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15" yWindow="135" windowWidth="23010" windowHeight="4590" tabRatio="924" firstSheet="2" activeTab="4"/>
  </bookViews>
  <sheets>
    <sheet name="填寫舉例" sheetId="1" state="hidden" r:id="rId1"/>
    <sheet name="生產管理報表(月)" sheetId="13" state="hidden" r:id="rId2"/>
    <sheet name="生產管理報表(週) " sheetId="39" r:id="rId3"/>
    <sheet name="（１）收支狀況" sheetId="3" r:id="rId4"/>
    <sheet name="（２）ＫＰＩ達成進度" sheetId="5" r:id="rId5"/>
    <sheet name="（３）業績構成比" sheetId="7" r:id="rId6"/>
    <sheet name="（４）訂單數量構成比" sheetId="6" r:id="rId7"/>
    <sheet name="（５-1）品群別人時生產性（18℃-飯糰）" sheetId="8" r:id="rId8"/>
    <sheet name="（５-2）品群別人時生產性（18-壽司手卷)" sheetId="30" r:id="rId9"/>
    <sheet name="（５-3）品群別人時生產性（4℃-飯糰)" sheetId="32" r:id="rId10"/>
    <sheet name="（５-4）品群別人時生產性（4℃-壽司手卷)" sheetId="31" r:id="rId11"/>
    <sheet name="（５-5）品群別人時生產性(主食) " sheetId="33" r:id="rId12"/>
    <sheet name="（５-6）品群別人時生產性(便當)" sheetId="34" r:id="rId13"/>
    <sheet name="（５-7）品群別人時生產性(熱食義麵) " sheetId="35" r:id="rId14"/>
    <sheet name="（５-8）品群別人時生產性(季節調理麵) " sheetId="36" r:id="rId15"/>
    <sheet name="（５-9）品群別人時生產性(微波小吃)" sheetId="37" r:id="rId16"/>
    <sheet name="生產管理報表 6-1" sheetId="15" r:id="rId17"/>
    <sheet name="生產管理報表 6-2" sheetId="22" r:id="rId18"/>
    <sheet name="生產管理報表 6-3" sheetId="23" r:id="rId19"/>
    <sheet name="生產管理報表 6-4" sheetId="24" r:id="rId20"/>
    <sheet name="生產管理報表 6-5" sheetId="25" r:id="rId21"/>
    <sheet name="生產管理報表 7-1(月)" sheetId="40" state="hidden" r:id="rId22"/>
    <sheet name="生產管理報表 7-1 (週)" sheetId="41" r:id="rId23"/>
    <sheet name="生產管理報表 8-1(報廢)" sheetId="19" r:id="rId24"/>
    <sheet name="生產管理報表 8-2(報廢)" sheetId="20" r:id="rId25"/>
    <sheet name="生產管理報表 8-3(超用)" sheetId="44" r:id="rId26"/>
    <sheet name="生產管理報表 8-4(超用)" sheetId="45" r:id="rId27"/>
    <sheet name="生產管理報表 9" sheetId="21" r:id="rId28"/>
    <sheet name="報廢20大－原因別分析" sheetId="46" r:id="rId29"/>
    <sheet name="超用20大－原因別分析" sheetId="47" r:id="rId30"/>
    <sheet name="日別報廢率總表  " sheetId="48" r:id="rId31"/>
    <sheet name="鮮食品群番" sheetId="38" state="hidden" r:id="rId32"/>
  </sheets>
  <definedNames>
    <definedName name="_xlnm._FilterDatabase" localSheetId="7" hidden="1">'（５-1）品群別人時生產性（18℃-飯糰）'!#REF!</definedName>
    <definedName name="_xlnm._FilterDatabase" localSheetId="8" hidden="1">'（５-2）品群別人時生產性（18-壽司手卷)'!#REF!</definedName>
    <definedName name="_xlnm._FilterDatabase" localSheetId="9" hidden="1">'（５-3）品群別人時生產性（4℃-飯糰)'!#REF!</definedName>
    <definedName name="_xlnm._FilterDatabase" localSheetId="10" hidden="1">'（５-4）品群別人時生產性（4℃-壽司手卷)'!#REF!</definedName>
    <definedName name="_xlnm._FilterDatabase" localSheetId="11" hidden="1">'（５-5）品群別人時生產性(主食) '!#REF!</definedName>
    <definedName name="_xlnm._FilterDatabase" localSheetId="12" hidden="1">'（５-6）品群別人時生產性(便當)'!#REF!</definedName>
    <definedName name="_xlnm._FilterDatabase" localSheetId="13" hidden="1">'（５-7）品群別人時生產性(熱食義麵) '!#REF!</definedName>
    <definedName name="_xlnm._FilterDatabase" localSheetId="14" hidden="1">'（５-8）品群別人時生產性(季節調理麵) '!#REF!</definedName>
    <definedName name="_xlnm._FilterDatabase" localSheetId="15" hidden="1">'（５-9）品群別人時生產性(微波小吃)'!#REF!</definedName>
    <definedName name="_xlnm._FilterDatabase" localSheetId="25" hidden="1">'生產管理報表 8-3(超用)'!$R$24:$W$28</definedName>
    <definedName name="_xlnm._FilterDatabase" localSheetId="26" hidden="1">'生產管理報表 8-4(超用)'!$R$24:$W$29</definedName>
    <definedName name="_xlnm._FilterDatabase" localSheetId="28" hidden="1">'報廢20大－原因別分析'!$U$7:$U$26</definedName>
    <definedName name="_xlnm._FilterDatabase" localSheetId="29" hidden="1">'超用20大－原因別分析'!$U$7:$U$26</definedName>
    <definedName name="_xlnm.Print_Area" localSheetId="16">'生產管理報表 6-1'!$A$1:$L$35</definedName>
    <definedName name="_xlnm.Print_Area" localSheetId="17">'生產管理報表 6-2'!$A$1:$L$35</definedName>
    <definedName name="_xlnm.Print_Area" localSheetId="18">'生產管理報表 6-3'!$A$1:$L$35</definedName>
    <definedName name="_xlnm.Print_Area" localSheetId="19">'生產管理報表 6-4'!$A$1:$L$35</definedName>
    <definedName name="_xlnm.Print_Area" localSheetId="20">'生產管理報表 6-5'!$A$1:$L$35</definedName>
    <definedName name="_xlnm.Print_Area" localSheetId="22">'生產管理報表 7-1 (週)'!$A$1:$M$2</definedName>
    <definedName name="_xlnm.Print_Area" localSheetId="21">'生產管理報表 7-1(月)'!$A$1:$M$15</definedName>
    <definedName name="_xlnm.Print_Area" localSheetId="25">'生產管理報表 8-3(超用)'!$A$1:$Q$30</definedName>
    <definedName name="_xlnm.Print_Area" localSheetId="26">'生產管理報表 8-4(超用)'!$A$1:$Q$38</definedName>
    <definedName name="_xlnm.Print_Area" localSheetId="27">'生產管理報表 9'!#REF!</definedName>
    <definedName name="_xlnm.Print_Area" localSheetId="1">'生產管理報表(月)'!$A$1:$K$36</definedName>
    <definedName name="_xlnm.Print_Area" localSheetId="2">'生產管理報表(週) '!$A$1:$K$36</definedName>
    <definedName name="_xlnm.Print_Area" localSheetId="31">鮮食品群番!$B$2:$F$20</definedName>
  </definedNames>
  <calcPr calcId="145621"/>
</workbook>
</file>

<file path=xl/calcChain.xml><?xml version="1.0" encoding="utf-8"?>
<calcChain xmlns="http://schemas.openxmlformats.org/spreadsheetml/2006/main">
  <c r="S81" i="37" l="1"/>
  <c r="S80" i="37"/>
  <c r="S79" i="37"/>
  <c r="S78" i="37"/>
  <c r="S77" i="37"/>
  <c r="S76" i="37"/>
  <c r="S75" i="37"/>
  <c r="S74" i="37"/>
  <c r="S73" i="37"/>
  <c r="S72" i="37"/>
  <c r="S71" i="37"/>
  <c r="S70" i="37"/>
  <c r="S69" i="37"/>
  <c r="S68" i="37"/>
  <c r="T67" i="37"/>
  <c r="S67" i="37"/>
  <c r="X81" i="37"/>
  <c r="X80" i="37"/>
  <c r="X79" i="37"/>
  <c r="X78" i="37"/>
  <c r="X77" i="37"/>
  <c r="X76" i="37"/>
  <c r="X75" i="37"/>
  <c r="X74" i="37"/>
  <c r="X73" i="37"/>
  <c r="X72" i="37"/>
  <c r="X71" i="37"/>
  <c r="X70" i="37"/>
  <c r="X69" i="37"/>
  <c r="X68" i="37"/>
  <c r="Y67" i="37"/>
  <c r="X67" i="37"/>
  <c r="AC81" i="37"/>
  <c r="AC80" i="37"/>
  <c r="AC79" i="37"/>
  <c r="AC78" i="37"/>
  <c r="AC77" i="37"/>
  <c r="AC76" i="37"/>
  <c r="AC75" i="37"/>
  <c r="AC74" i="37"/>
  <c r="AC73" i="37"/>
  <c r="AC72" i="37"/>
  <c r="AC71" i="37"/>
  <c r="AC70" i="37"/>
  <c r="AC69" i="37"/>
  <c r="AC68" i="37"/>
  <c r="AD67" i="37"/>
  <c r="AC67" i="37"/>
  <c r="AH81" i="37"/>
  <c r="AH80" i="37"/>
  <c r="AH79" i="37"/>
  <c r="AH78" i="37"/>
  <c r="AH77" i="37"/>
  <c r="AH76" i="37"/>
  <c r="AH75" i="37"/>
  <c r="AH74" i="37"/>
  <c r="AH73" i="37"/>
  <c r="AH72" i="37"/>
  <c r="AH71" i="37"/>
  <c r="AH70" i="37"/>
  <c r="AH69" i="37"/>
  <c r="AH68" i="37"/>
  <c r="AI67" i="37"/>
  <c r="AH67" i="37"/>
  <c r="AM81" i="37"/>
  <c r="AM80" i="37"/>
  <c r="AM79" i="37"/>
  <c r="AM78" i="37"/>
  <c r="AM77" i="37"/>
  <c r="AM76" i="37"/>
  <c r="AM75" i="37"/>
  <c r="AM74" i="37"/>
  <c r="AM73" i="37"/>
  <c r="AM72" i="37"/>
  <c r="AM71" i="37"/>
  <c r="AM70" i="37"/>
  <c r="AM69" i="37"/>
  <c r="AM68" i="37"/>
  <c r="AN67" i="37"/>
  <c r="AM67" i="37"/>
  <c r="AR81" i="37"/>
  <c r="AR80" i="37"/>
  <c r="AR79" i="37"/>
  <c r="AR78" i="37"/>
  <c r="AR77" i="37"/>
  <c r="AR76" i="37"/>
  <c r="AR75" i="37"/>
  <c r="AR74" i="37"/>
  <c r="AR73" i="37"/>
  <c r="AR72" i="37"/>
  <c r="AR71" i="37"/>
  <c r="AR70" i="37"/>
  <c r="AR69" i="37"/>
  <c r="AR68" i="37"/>
  <c r="AS67" i="37"/>
  <c r="AR67" i="37"/>
  <c r="AW81" i="37"/>
  <c r="AW80" i="37"/>
  <c r="AW79" i="37"/>
  <c r="AW78" i="37"/>
  <c r="AW77" i="37"/>
  <c r="AW76" i="37"/>
  <c r="AW75" i="37"/>
  <c r="AW74" i="37"/>
  <c r="AW73" i="37"/>
  <c r="AW72" i="37"/>
  <c r="AW71" i="37"/>
  <c r="AW70" i="37"/>
  <c r="AW69" i="37"/>
  <c r="AW68" i="37"/>
  <c r="AX67" i="37"/>
  <c r="AW67" i="37"/>
  <c r="S81" i="36"/>
  <c r="S80" i="36"/>
  <c r="S79" i="36"/>
  <c r="S78" i="36"/>
  <c r="S77" i="36"/>
  <c r="S76" i="36"/>
  <c r="S75" i="36"/>
  <c r="S74" i="36"/>
  <c r="S73" i="36"/>
  <c r="S72" i="36"/>
  <c r="S71" i="36"/>
  <c r="S70" i="36"/>
  <c r="S69" i="36"/>
  <c r="S68" i="36"/>
  <c r="T67" i="36"/>
  <c r="S67" i="36"/>
  <c r="X81" i="36"/>
  <c r="X80" i="36"/>
  <c r="X79" i="36"/>
  <c r="X78" i="36"/>
  <c r="X77" i="36"/>
  <c r="X76" i="36"/>
  <c r="X75" i="36"/>
  <c r="X74" i="36"/>
  <c r="X73" i="36"/>
  <c r="X72" i="36"/>
  <c r="X71" i="36"/>
  <c r="X70" i="36"/>
  <c r="X69" i="36"/>
  <c r="X68" i="36"/>
  <c r="Y67" i="36"/>
  <c r="X67" i="36"/>
  <c r="AC81" i="36"/>
  <c r="AC80" i="36"/>
  <c r="AC79" i="36"/>
  <c r="AC78" i="36"/>
  <c r="AC77" i="36"/>
  <c r="AC76" i="36"/>
  <c r="AC75" i="36"/>
  <c r="AC74" i="36"/>
  <c r="AC73" i="36"/>
  <c r="AC72" i="36"/>
  <c r="AC71" i="36"/>
  <c r="AC70" i="36"/>
  <c r="AC69" i="36"/>
  <c r="AC68" i="36"/>
  <c r="AD67" i="36"/>
  <c r="AC67" i="36"/>
  <c r="AH81" i="36"/>
  <c r="AH80" i="36"/>
  <c r="AH79" i="36"/>
  <c r="AH78" i="36"/>
  <c r="AH77" i="36"/>
  <c r="AH76" i="36"/>
  <c r="AH75" i="36"/>
  <c r="AH74" i="36"/>
  <c r="AH73" i="36"/>
  <c r="AH72" i="36"/>
  <c r="AH71" i="36"/>
  <c r="AH70" i="36"/>
  <c r="AH69" i="36"/>
  <c r="AH68" i="36"/>
  <c r="AI67" i="36"/>
  <c r="AH67" i="36"/>
  <c r="AM81" i="36"/>
  <c r="AM80" i="36"/>
  <c r="AM79" i="36"/>
  <c r="AM78" i="36"/>
  <c r="AM77" i="36"/>
  <c r="AM76" i="36"/>
  <c r="AM75" i="36"/>
  <c r="AM74" i="36"/>
  <c r="AM73" i="36"/>
  <c r="AM72" i="36"/>
  <c r="AM71" i="36"/>
  <c r="AM70" i="36"/>
  <c r="AM69" i="36"/>
  <c r="AM68" i="36"/>
  <c r="AN67" i="36"/>
  <c r="AM67" i="36"/>
  <c r="AR81" i="36"/>
  <c r="AR80" i="36"/>
  <c r="AR79" i="36"/>
  <c r="AR78" i="36"/>
  <c r="AR77" i="36"/>
  <c r="AR76" i="36"/>
  <c r="AR75" i="36"/>
  <c r="AR74" i="36"/>
  <c r="AR73" i="36"/>
  <c r="AR72" i="36"/>
  <c r="AR71" i="36"/>
  <c r="AR70" i="36"/>
  <c r="AR69" i="36"/>
  <c r="AR68" i="36"/>
  <c r="AS67" i="36"/>
  <c r="AR67" i="36"/>
  <c r="AW81" i="36"/>
  <c r="AW80" i="36"/>
  <c r="AW79" i="36"/>
  <c r="AW78" i="36"/>
  <c r="AW77" i="36"/>
  <c r="AW76" i="36"/>
  <c r="AW75" i="36"/>
  <c r="AW74" i="36"/>
  <c r="AW73" i="36"/>
  <c r="AW72" i="36"/>
  <c r="AW71" i="36"/>
  <c r="AW70" i="36"/>
  <c r="AW69" i="36"/>
  <c r="AW68" i="36"/>
  <c r="AX67" i="36"/>
  <c r="AW67" i="36"/>
  <c r="S81" i="35"/>
  <c r="S80" i="35"/>
  <c r="S79" i="35"/>
  <c r="S78" i="35"/>
  <c r="S77" i="35"/>
  <c r="S76" i="35"/>
  <c r="S75" i="35"/>
  <c r="S74" i="35"/>
  <c r="S73" i="35"/>
  <c r="S72" i="35"/>
  <c r="S71" i="35"/>
  <c r="S70" i="35"/>
  <c r="S69" i="35"/>
  <c r="S68" i="35"/>
  <c r="T67" i="35"/>
  <c r="S67" i="35"/>
  <c r="X81" i="35"/>
  <c r="X80" i="35"/>
  <c r="X79" i="35"/>
  <c r="X78" i="35"/>
  <c r="X77" i="35"/>
  <c r="X76" i="35"/>
  <c r="X75" i="35"/>
  <c r="X74" i="35"/>
  <c r="X73" i="35"/>
  <c r="X72" i="35"/>
  <c r="X71" i="35"/>
  <c r="X70" i="35"/>
  <c r="X69" i="35"/>
  <c r="X68" i="35"/>
  <c r="Y67" i="35"/>
  <c r="X67" i="35"/>
  <c r="AC81" i="35"/>
  <c r="AC80" i="35"/>
  <c r="AC79" i="35"/>
  <c r="AC78" i="35"/>
  <c r="AC77" i="35"/>
  <c r="AC76" i="35"/>
  <c r="AC75" i="35"/>
  <c r="AC74" i="35"/>
  <c r="AC73" i="35"/>
  <c r="AC72" i="35"/>
  <c r="AC71" i="35"/>
  <c r="AC70" i="35"/>
  <c r="AC69" i="35"/>
  <c r="AC68" i="35"/>
  <c r="AD67" i="35"/>
  <c r="AC67" i="35"/>
  <c r="AH81" i="35"/>
  <c r="AH80" i="35"/>
  <c r="AH79" i="35"/>
  <c r="AH78" i="35"/>
  <c r="AH77" i="35"/>
  <c r="AH76" i="35"/>
  <c r="AH75" i="35"/>
  <c r="AH74" i="35"/>
  <c r="AH73" i="35"/>
  <c r="AH72" i="35"/>
  <c r="AH71" i="35"/>
  <c r="AH70" i="35"/>
  <c r="AH69" i="35"/>
  <c r="AH68" i="35"/>
  <c r="AI67" i="35"/>
  <c r="AH67" i="35"/>
  <c r="AM81" i="35"/>
  <c r="AM80" i="35"/>
  <c r="AM79" i="35"/>
  <c r="AM78" i="35"/>
  <c r="AM77" i="35"/>
  <c r="AM76" i="35"/>
  <c r="AM75" i="35"/>
  <c r="AM74" i="35"/>
  <c r="AM73" i="35"/>
  <c r="AM72" i="35"/>
  <c r="AM71" i="35"/>
  <c r="AM70" i="35"/>
  <c r="AM69" i="35"/>
  <c r="AM68" i="35"/>
  <c r="AN67" i="35"/>
  <c r="AM67" i="35"/>
  <c r="AR81" i="35"/>
  <c r="AR80" i="35"/>
  <c r="AR79" i="35"/>
  <c r="AR78" i="35"/>
  <c r="AR77" i="35"/>
  <c r="AR76" i="35"/>
  <c r="AR75" i="35"/>
  <c r="AR74" i="35"/>
  <c r="AR73" i="35"/>
  <c r="AR72" i="35"/>
  <c r="AR71" i="35"/>
  <c r="AR70" i="35"/>
  <c r="AR69" i="35"/>
  <c r="AR68" i="35"/>
  <c r="AS67" i="35"/>
  <c r="AR67" i="35"/>
  <c r="AW81" i="35"/>
  <c r="AW80" i="35"/>
  <c r="AW79" i="35"/>
  <c r="AW78" i="35"/>
  <c r="AW77" i="35"/>
  <c r="AW76" i="35"/>
  <c r="AW75" i="35"/>
  <c r="AW74" i="35"/>
  <c r="AW73" i="35"/>
  <c r="AW72" i="35"/>
  <c r="AW71" i="35"/>
  <c r="AW70" i="35"/>
  <c r="AW69" i="35"/>
  <c r="AW68" i="35"/>
  <c r="AX67" i="35"/>
  <c r="AW67" i="35"/>
  <c r="S81" i="34"/>
  <c r="S80" i="34"/>
  <c r="S79" i="34"/>
  <c r="S78" i="34"/>
  <c r="S77" i="34"/>
  <c r="S76" i="34"/>
  <c r="S75" i="34"/>
  <c r="S74" i="34"/>
  <c r="S73" i="34"/>
  <c r="S72" i="34"/>
  <c r="S71" i="34"/>
  <c r="S70" i="34"/>
  <c r="S69" i="34"/>
  <c r="S68" i="34"/>
  <c r="T67" i="34"/>
  <c r="S67" i="34"/>
  <c r="X81" i="34"/>
  <c r="X80" i="34"/>
  <c r="X79" i="34"/>
  <c r="X78" i="34"/>
  <c r="X77" i="34"/>
  <c r="X76" i="34"/>
  <c r="X75" i="34"/>
  <c r="X74" i="34"/>
  <c r="X73" i="34"/>
  <c r="X72" i="34"/>
  <c r="X71" i="34"/>
  <c r="X70" i="34"/>
  <c r="X69" i="34"/>
  <c r="X68" i="34"/>
  <c r="Y67" i="34"/>
  <c r="X67" i="34"/>
  <c r="AC81" i="34"/>
  <c r="AC80" i="34"/>
  <c r="AC79" i="34"/>
  <c r="AC78" i="34"/>
  <c r="AC77" i="34"/>
  <c r="AC76" i="34"/>
  <c r="AC75" i="34"/>
  <c r="AC74" i="34"/>
  <c r="AC73" i="34"/>
  <c r="AC72" i="34"/>
  <c r="AC71" i="34"/>
  <c r="AC70" i="34"/>
  <c r="AC69" i="34"/>
  <c r="AC68" i="34"/>
  <c r="AD67" i="34"/>
  <c r="AC67" i="34"/>
  <c r="AH81" i="34"/>
  <c r="AH80" i="34"/>
  <c r="AH79" i="34"/>
  <c r="AH78" i="34"/>
  <c r="AH77" i="34"/>
  <c r="AH76" i="34"/>
  <c r="AH75" i="34"/>
  <c r="AH74" i="34"/>
  <c r="AH73" i="34"/>
  <c r="AH72" i="34"/>
  <c r="AH71" i="34"/>
  <c r="AH70" i="34"/>
  <c r="AH69" i="34"/>
  <c r="AH68" i="34"/>
  <c r="AI67" i="34"/>
  <c r="AH67" i="34"/>
  <c r="AM81" i="34"/>
  <c r="AM80" i="34"/>
  <c r="AM79" i="34"/>
  <c r="AM78" i="34"/>
  <c r="AM77" i="34"/>
  <c r="AM76" i="34"/>
  <c r="AM75" i="34"/>
  <c r="AM74" i="34"/>
  <c r="AM73" i="34"/>
  <c r="AM72" i="34"/>
  <c r="AM71" i="34"/>
  <c r="AM70" i="34"/>
  <c r="AM69" i="34"/>
  <c r="AM68" i="34"/>
  <c r="AN67" i="34"/>
  <c r="AM67" i="34"/>
  <c r="AR81" i="34"/>
  <c r="AR80" i="34"/>
  <c r="AR79" i="34"/>
  <c r="AR78" i="34"/>
  <c r="AR77" i="34"/>
  <c r="AR76" i="34"/>
  <c r="AR75" i="34"/>
  <c r="AR74" i="34"/>
  <c r="AR73" i="34"/>
  <c r="AR72" i="34"/>
  <c r="AR71" i="34"/>
  <c r="AR70" i="34"/>
  <c r="AR69" i="34"/>
  <c r="AR68" i="34"/>
  <c r="AS67" i="34"/>
  <c r="AR67" i="34"/>
  <c r="AW81" i="34"/>
  <c r="AW80" i="34"/>
  <c r="AW79" i="34"/>
  <c r="AW78" i="34"/>
  <c r="AW77" i="34"/>
  <c r="AW76" i="34"/>
  <c r="AW75" i="34"/>
  <c r="AW74" i="34"/>
  <c r="AW73" i="34"/>
  <c r="AW72" i="34"/>
  <c r="AW71" i="34"/>
  <c r="AW70" i="34"/>
  <c r="AW69" i="34"/>
  <c r="AW68" i="34"/>
  <c r="AX67" i="34"/>
  <c r="AW67" i="34"/>
  <c r="S141" i="33"/>
  <c r="S140" i="33"/>
  <c r="S139" i="33"/>
  <c r="S138" i="33"/>
  <c r="S137" i="33"/>
  <c r="S136" i="33"/>
  <c r="S135" i="33"/>
  <c r="S134" i="33"/>
  <c r="S133" i="33"/>
  <c r="S132" i="33"/>
  <c r="S131" i="33"/>
  <c r="S130" i="33"/>
  <c r="S129" i="33"/>
  <c r="S128" i="33"/>
  <c r="S127" i="33"/>
  <c r="S126" i="33"/>
  <c r="S125" i="33"/>
  <c r="S124" i="33"/>
  <c r="S123" i="33"/>
  <c r="S122" i="33"/>
  <c r="S121" i="33"/>
  <c r="S120" i="33"/>
  <c r="S119" i="33"/>
  <c r="S118" i="33"/>
  <c r="S117" i="33"/>
  <c r="S116" i="33"/>
  <c r="S115" i="33"/>
  <c r="S114" i="33"/>
  <c r="S113" i="33"/>
  <c r="T112" i="33"/>
  <c r="S112" i="33"/>
  <c r="X141" i="33"/>
  <c r="X140" i="33"/>
  <c r="X139" i="33"/>
  <c r="X138" i="33"/>
  <c r="X137" i="33"/>
  <c r="X136" i="33"/>
  <c r="X135" i="33"/>
  <c r="X134" i="33"/>
  <c r="X133" i="33"/>
  <c r="X132" i="33"/>
  <c r="X131" i="33"/>
  <c r="X130" i="33"/>
  <c r="X129" i="33"/>
  <c r="X128" i="33"/>
  <c r="X127" i="33"/>
  <c r="X126" i="33"/>
  <c r="X125" i="33"/>
  <c r="X124" i="33"/>
  <c r="X123" i="33"/>
  <c r="X122" i="33"/>
  <c r="X121" i="33"/>
  <c r="X120" i="33"/>
  <c r="X119" i="33"/>
  <c r="X118" i="33"/>
  <c r="X117" i="33"/>
  <c r="X116" i="33"/>
  <c r="X115" i="33"/>
  <c r="X114" i="33"/>
  <c r="X113" i="33"/>
  <c r="Y112" i="33"/>
  <c r="X112" i="33"/>
  <c r="AC141" i="33"/>
  <c r="AC140" i="33"/>
  <c r="AC139" i="33"/>
  <c r="AC138" i="33"/>
  <c r="AC137" i="33"/>
  <c r="AC136" i="33"/>
  <c r="AC135" i="33"/>
  <c r="AC134" i="33"/>
  <c r="AC133" i="33"/>
  <c r="AC132" i="33"/>
  <c r="AC131" i="33"/>
  <c r="AC130" i="33"/>
  <c r="AC129" i="33"/>
  <c r="AC128" i="33"/>
  <c r="AC127" i="33"/>
  <c r="AC126" i="33"/>
  <c r="AC125" i="33"/>
  <c r="AC124" i="33"/>
  <c r="AC123" i="33"/>
  <c r="AC122" i="33"/>
  <c r="AC121" i="33"/>
  <c r="AC120" i="33"/>
  <c r="AC119" i="33"/>
  <c r="AC118" i="33"/>
  <c r="AC117" i="33"/>
  <c r="AC116" i="33"/>
  <c r="AC115" i="33"/>
  <c r="AC114" i="33"/>
  <c r="AC113" i="33"/>
  <c r="AD112" i="33"/>
  <c r="AC112" i="33"/>
  <c r="AH141" i="33"/>
  <c r="AH140" i="33"/>
  <c r="AH139" i="33"/>
  <c r="AH138" i="33"/>
  <c r="AH137" i="33"/>
  <c r="AH136" i="33"/>
  <c r="AH135" i="33"/>
  <c r="AH134" i="33"/>
  <c r="AH133" i="33"/>
  <c r="AH132" i="33"/>
  <c r="AH131" i="33"/>
  <c r="AH130" i="33"/>
  <c r="AH129" i="33"/>
  <c r="AH128" i="33"/>
  <c r="AH127" i="33"/>
  <c r="AH126" i="33"/>
  <c r="AH125" i="33"/>
  <c r="AH124" i="33"/>
  <c r="AH123" i="33"/>
  <c r="AH122" i="33"/>
  <c r="AH121" i="33"/>
  <c r="AH120" i="33"/>
  <c r="AH119" i="33"/>
  <c r="AH118" i="33"/>
  <c r="AH117" i="33"/>
  <c r="AH116" i="33"/>
  <c r="AH115" i="33"/>
  <c r="AH114" i="33"/>
  <c r="AH113" i="33"/>
  <c r="AI112" i="33"/>
  <c r="AH112" i="33"/>
  <c r="AM141" i="33"/>
  <c r="AM140" i="33"/>
  <c r="AM139" i="33"/>
  <c r="AM138" i="33"/>
  <c r="AM137" i="33"/>
  <c r="AM136" i="33"/>
  <c r="AM135" i="33"/>
  <c r="AM134" i="33"/>
  <c r="AM133" i="33"/>
  <c r="AM132" i="33"/>
  <c r="AM131" i="33"/>
  <c r="AM130" i="33"/>
  <c r="AM129" i="33"/>
  <c r="AM128" i="33"/>
  <c r="AM127" i="33"/>
  <c r="AM126" i="33"/>
  <c r="AM125" i="33"/>
  <c r="AM124" i="33"/>
  <c r="AM123" i="33"/>
  <c r="AM122" i="33"/>
  <c r="AM121" i="33"/>
  <c r="AM120" i="33"/>
  <c r="AM119" i="33"/>
  <c r="AM118" i="33"/>
  <c r="AM117" i="33"/>
  <c r="AM116" i="33"/>
  <c r="AM115" i="33"/>
  <c r="AM114" i="33"/>
  <c r="AM113" i="33"/>
  <c r="AN112" i="33"/>
  <c r="AM112" i="33"/>
  <c r="AR141" i="33"/>
  <c r="AR140" i="33"/>
  <c r="AR139" i="33"/>
  <c r="AR138" i="33"/>
  <c r="AR137" i="33"/>
  <c r="AR136" i="33"/>
  <c r="AR135" i="33"/>
  <c r="AR134" i="33"/>
  <c r="AR133" i="33"/>
  <c r="AR132" i="33"/>
  <c r="AR131" i="33"/>
  <c r="AR130" i="33"/>
  <c r="AR129" i="33"/>
  <c r="AR128" i="33"/>
  <c r="AR127" i="33"/>
  <c r="AR126" i="33"/>
  <c r="AR125" i="33"/>
  <c r="AR124" i="33"/>
  <c r="AR123" i="33"/>
  <c r="AR122" i="33"/>
  <c r="AR121" i="33"/>
  <c r="AR120" i="33"/>
  <c r="AR119" i="33"/>
  <c r="AR118" i="33"/>
  <c r="AR117" i="33"/>
  <c r="AR116" i="33"/>
  <c r="AR115" i="33"/>
  <c r="AR114" i="33"/>
  <c r="AR113" i="33"/>
  <c r="AS112" i="33"/>
  <c r="AR112" i="33"/>
  <c r="AW141" i="33"/>
  <c r="AW140" i="33"/>
  <c r="AW139" i="33"/>
  <c r="AW138" i="33"/>
  <c r="AW137" i="33"/>
  <c r="AW136" i="33"/>
  <c r="AW135" i="33"/>
  <c r="AW134" i="33"/>
  <c r="AW133" i="33"/>
  <c r="AW132" i="33"/>
  <c r="AW131" i="33"/>
  <c r="AW130" i="33"/>
  <c r="AW129" i="33"/>
  <c r="AW128" i="33"/>
  <c r="AW127" i="33"/>
  <c r="AW126" i="33"/>
  <c r="AW125" i="33"/>
  <c r="AW124" i="33"/>
  <c r="AW123" i="33"/>
  <c r="AW122" i="33"/>
  <c r="AW121" i="33"/>
  <c r="AW120" i="33"/>
  <c r="AW119" i="33"/>
  <c r="AW118" i="33"/>
  <c r="AW117" i="33"/>
  <c r="AW116" i="33"/>
  <c r="AW115" i="33"/>
  <c r="AW114" i="33"/>
  <c r="AW113" i="33"/>
  <c r="AX112" i="33"/>
  <c r="AW112" i="33"/>
  <c r="S81" i="31"/>
  <c r="S80" i="31"/>
  <c r="S79" i="31"/>
  <c r="S78" i="31"/>
  <c r="S77" i="31"/>
  <c r="S76" i="31"/>
  <c r="S75" i="31"/>
  <c r="S74" i="31"/>
  <c r="S73" i="31"/>
  <c r="S72" i="31"/>
  <c r="S71" i="31"/>
  <c r="S70" i="31"/>
  <c r="S69" i="31"/>
  <c r="S68" i="31"/>
  <c r="T67" i="31"/>
  <c r="S67" i="31"/>
  <c r="X81" i="31"/>
  <c r="X80" i="31"/>
  <c r="X79" i="31"/>
  <c r="X78" i="31"/>
  <c r="X77" i="31"/>
  <c r="X76" i="31"/>
  <c r="X75" i="31"/>
  <c r="X74" i="31"/>
  <c r="X73" i="31"/>
  <c r="X72" i="31"/>
  <c r="X71" i="31"/>
  <c r="X70" i="31"/>
  <c r="X69" i="31"/>
  <c r="X68" i="31"/>
  <c r="Y67" i="31"/>
  <c r="X67" i="31"/>
  <c r="AC81" i="31"/>
  <c r="AC80" i="31"/>
  <c r="AC79" i="31"/>
  <c r="AC78" i="31"/>
  <c r="AC77" i="31"/>
  <c r="AC76" i="31"/>
  <c r="AC75" i="31"/>
  <c r="AC74" i="31"/>
  <c r="AC73" i="31"/>
  <c r="AC72" i="31"/>
  <c r="AC71" i="31"/>
  <c r="AC70" i="31"/>
  <c r="AC69" i="31"/>
  <c r="AC68" i="31"/>
  <c r="AD67" i="31"/>
  <c r="AC67" i="31"/>
  <c r="AH81" i="31"/>
  <c r="AH80" i="31"/>
  <c r="AH79" i="31"/>
  <c r="AH78" i="31"/>
  <c r="AH77" i="31"/>
  <c r="AH76" i="31"/>
  <c r="AH75" i="31"/>
  <c r="AH74" i="31"/>
  <c r="AH73" i="31"/>
  <c r="AH72" i="31"/>
  <c r="AH71" i="31"/>
  <c r="AH70" i="31"/>
  <c r="AH69" i="31"/>
  <c r="AH68" i="31"/>
  <c r="AI67" i="31"/>
  <c r="AH67" i="31"/>
  <c r="AM81" i="31"/>
  <c r="AM80" i="31"/>
  <c r="AM79" i="31"/>
  <c r="AM78" i="31"/>
  <c r="AM77" i="31"/>
  <c r="AM76" i="31"/>
  <c r="AM75" i="31"/>
  <c r="AM74" i="31"/>
  <c r="AM73" i="31"/>
  <c r="AM72" i="31"/>
  <c r="AM71" i="31"/>
  <c r="AM70" i="31"/>
  <c r="AM69" i="31"/>
  <c r="AM68" i="31"/>
  <c r="AN67" i="31"/>
  <c r="AM67" i="31"/>
  <c r="AR81" i="31"/>
  <c r="AR80" i="31"/>
  <c r="AR79" i="31"/>
  <c r="AR78" i="31"/>
  <c r="AR77" i="31"/>
  <c r="AR76" i="31"/>
  <c r="AR75" i="31"/>
  <c r="AR74" i="31"/>
  <c r="AR73" i="31"/>
  <c r="AR72" i="31"/>
  <c r="AR71" i="31"/>
  <c r="AR70" i="31"/>
  <c r="AR69" i="31"/>
  <c r="AR68" i="31"/>
  <c r="AS67" i="31"/>
  <c r="AR67" i="31"/>
  <c r="AW81" i="31"/>
  <c r="AW80" i="31"/>
  <c r="AW79" i="31"/>
  <c r="AW78" i="31"/>
  <c r="AW77" i="31"/>
  <c r="AW76" i="31"/>
  <c r="AW75" i="31"/>
  <c r="AW74" i="31"/>
  <c r="AW73" i="31"/>
  <c r="AW72" i="31"/>
  <c r="AW71" i="31"/>
  <c r="AW70" i="31"/>
  <c r="AW69" i="31"/>
  <c r="AW68" i="31"/>
  <c r="AX67" i="31"/>
  <c r="AW67" i="31"/>
  <c r="S81" i="32"/>
  <c r="S80" i="32"/>
  <c r="S79" i="32"/>
  <c r="S78" i="32"/>
  <c r="S77" i="32"/>
  <c r="S76" i="32"/>
  <c r="S75" i="32"/>
  <c r="S74" i="32"/>
  <c r="S73" i="32"/>
  <c r="S72" i="32"/>
  <c r="S71" i="32"/>
  <c r="S70" i="32"/>
  <c r="S69" i="32"/>
  <c r="S68" i="32"/>
  <c r="T67" i="32"/>
  <c r="S67" i="32"/>
  <c r="X81" i="32"/>
  <c r="X80" i="32"/>
  <c r="X79" i="32"/>
  <c r="X78" i="32"/>
  <c r="X77" i="32"/>
  <c r="X76" i="32"/>
  <c r="X75" i="32"/>
  <c r="X74" i="32"/>
  <c r="X73" i="32"/>
  <c r="X72" i="32"/>
  <c r="X71" i="32"/>
  <c r="X70" i="32"/>
  <c r="X69" i="32"/>
  <c r="X68" i="32"/>
  <c r="Y67" i="32"/>
  <c r="X67" i="32"/>
  <c r="AC81" i="32"/>
  <c r="AC80" i="32"/>
  <c r="AC79" i="32"/>
  <c r="AC78" i="32"/>
  <c r="AC77" i="32"/>
  <c r="AC76" i="32"/>
  <c r="AC75" i="32"/>
  <c r="AC74" i="32"/>
  <c r="AC73" i="32"/>
  <c r="AC72" i="32"/>
  <c r="AC71" i="32"/>
  <c r="AC70" i="32"/>
  <c r="AC69" i="32"/>
  <c r="AC68" i="32"/>
  <c r="AD67" i="32"/>
  <c r="AC67" i="32"/>
  <c r="AH81" i="32"/>
  <c r="AH80" i="32"/>
  <c r="AH79" i="32"/>
  <c r="AH78" i="32"/>
  <c r="AH77" i="32"/>
  <c r="AH76" i="32"/>
  <c r="AH75" i="32"/>
  <c r="AH74" i="32"/>
  <c r="AH73" i="32"/>
  <c r="AH72" i="32"/>
  <c r="AH71" i="32"/>
  <c r="AH70" i="32"/>
  <c r="AH69" i="32"/>
  <c r="AH68" i="32"/>
  <c r="AI67" i="32"/>
  <c r="AH67" i="32"/>
  <c r="AM81" i="32"/>
  <c r="AM80" i="32"/>
  <c r="AM79" i="32"/>
  <c r="AM78" i="32"/>
  <c r="AM77" i="32"/>
  <c r="AM76" i="32"/>
  <c r="AM75" i="32"/>
  <c r="AM74" i="32"/>
  <c r="AM73" i="32"/>
  <c r="AM72" i="32"/>
  <c r="AM71" i="32"/>
  <c r="AM70" i="32"/>
  <c r="AM69" i="32"/>
  <c r="AM68" i="32"/>
  <c r="AN67" i="32"/>
  <c r="AM67" i="32"/>
  <c r="AR81" i="32"/>
  <c r="AR80" i="32"/>
  <c r="AR79" i="32"/>
  <c r="AR78" i="32"/>
  <c r="AR77" i="32"/>
  <c r="AR76" i="32"/>
  <c r="AR75" i="32"/>
  <c r="AR74" i="32"/>
  <c r="AR73" i="32"/>
  <c r="AR72" i="32"/>
  <c r="AR71" i="32"/>
  <c r="AR70" i="32"/>
  <c r="AR69" i="32"/>
  <c r="AR68" i="32"/>
  <c r="AS67" i="32"/>
  <c r="AR67" i="32"/>
  <c r="AW81" i="32"/>
  <c r="AW80" i="32"/>
  <c r="AW79" i="32"/>
  <c r="AW78" i="32"/>
  <c r="AW77" i="32"/>
  <c r="AW76" i="32"/>
  <c r="AW75" i="32"/>
  <c r="AW74" i="32"/>
  <c r="AW73" i="32"/>
  <c r="AW72" i="32"/>
  <c r="AW71" i="32"/>
  <c r="AW70" i="32"/>
  <c r="AW69" i="32"/>
  <c r="AW68" i="32"/>
  <c r="AX67" i="32"/>
  <c r="AW67" i="32"/>
  <c r="S81" i="30"/>
  <c r="S80" i="30"/>
  <c r="S79" i="30"/>
  <c r="S78" i="30"/>
  <c r="S77" i="30"/>
  <c r="S76" i="30"/>
  <c r="S75" i="30"/>
  <c r="S74" i="30"/>
  <c r="S73" i="30"/>
  <c r="S72" i="30"/>
  <c r="S71" i="30"/>
  <c r="S70" i="30"/>
  <c r="S69" i="30"/>
  <c r="S68" i="30"/>
  <c r="T67" i="30"/>
  <c r="S67" i="30"/>
  <c r="X81" i="30"/>
  <c r="X80" i="30"/>
  <c r="X79" i="30"/>
  <c r="X78" i="30"/>
  <c r="X77" i="30"/>
  <c r="X76" i="30"/>
  <c r="X75" i="30"/>
  <c r="X74" i="30"/>
  <c r="X73" i="30"/>
  <c r="X72" i="30"/>
  <c r="X71" i="30"/>
  <c r="X70" i="30"/>
  <c r="X69" i="30"/>
  <c r="X68" i="30"/>
  <c r="Y67" i="30"/>
  <c r="X67" i="30"/>
  <c r="AC81" i="30"/>
  <c r="AC80" i="30"/>
  <c r="AC79" i="30"/>
  <c r="AC78" i="30"/>
  <c r="AC77" i="30"/>
  <c r="AC76" i="30"/>
  <c r="AC75" i="30"/>
  <c r="AC74" i="30"/>
  <c r="AC73" i="30"/>
  <c r="AC72" i="30"/>
  <c r="AC71" i="30"/>
  <c r="AC70" i="30"/>
  <c r="AC69" i="30"/>
  <c r="AC68" i="30"/>
  <c r="AD67" i="30"/>
  <c r="AC67" i="30"/>
  <c r="AH81" i="30"/>
  <c r="AH80" i="30"/>
  <c r="AH79" i="30"/>
  <c r="AH78" i="30"/>
  <c r="AH77" i="30"/>
  <c r="AH76" i="30"/>
  <c r="AH75" i="30"/>
  <c r="AH74" i="30"/>
  <c r="AH73" i="30"/>
  <c r="AH72" i="30"/>
  <c r="AH71" i="30"/>
  <c r="AH70" i="30"/>
  <c r="AH69" i="30"/>
  <c r="AH68" i="30"/>
  <c r="AI67" i="30"/>
  <c r="AH67" i="30"/>
  <c r="AM81" i="30"/>
  <c r="AM80" i="30"/>
  <c r="AM79" i="30"/>
  <c r="AM78" i="30"/>
  <c r="AM77" i="30"/>
  <c r="AM76" i="30"/>
  <c r="AM75" i="30"/>
  <c r="AM74" i="30"/>
  <c r="AM73" i="30"/>
  <c r="AM72" i="30"/>
  <c r="AM71" i="30"/>
  <c r="AM70" i="30"/>
  <c r="AM69" i="30"/>
  <c r="AM68" i="30"/>
  <c r="AN67" i="30"/>
  <c r="AM67" i="30"/>
  <c r="AR81" i="30"/>
  <c r="AR80" i="30"/>
  <c r="AR79" i="30"/>
  <c r="AR78" i="30"/>
  <c r="AR77" i="30"/>
  <c r="AR76" i="30"/>
  <c r="AR75" i="30"/>
  <c r="AR74" i="30"/>
  <c r="AR73" i="30"/>
  <c r="AR72" i="30"/>
  <c r="AR71" i="30"/>
  <c r="AR70" i="30"/>
  <c r="AR69" i="30"/>
  <c r="AR68" i="30"/>
  <c r="AS67" i="30"/>
  <c r="AR67" i="30"/>
  <c r="AW81" i="30"/>
  <c r="AW80" i="30"/>
  <c r="AW79" i="30"/>
  <c r="AW78" i="30"/>
  <c r="AW77" i="30"/>
  <c r="AW76" i="30"/>
  <c r="AW75" i="30"/>
  <c r="AW74" i="30"/>
  <c r="AW73" i="30"/>
  <c r="AW72" i="30"/>
  <c r="AW71" i="30"/>
  <c r="AW70" i="30"/>
  <c r="AW69" i="30"/>
  <c r="AW68" i="30"/>
  <c r="AX67" i="30"/>
  <c r="AW67" i="30"/>
  <c r="C10" i="39" l="1"/>
  <c r="L30" i="48" l="1"/>
  <c r="L29" i="48"/>
  <c r="L28" i="48"/>
  <c r="L27" i="48"/>
  <c r="L26" i="48"/>
  <c r="L25" i="48"/>
  <c r="L24" i="48"/>
  <c r="H30" i="48"/>
  <c r="H29" i="48"/>
  <c r="H28" i="48"/>
  <c r="H27" i="48"/>
  <c r="H26" i="48"/>
  <c r="H25" i="48"/>
  <c r="H24" i="48"/>
  <c r="F30" i="48"/>
  <c r="F29" i="48"/>
  <c r="F28" i="48"/>
  <c r="F27" i="48"/>
  <c r="F26" i="48"/>
  <c r="F25" i="48"/>
  <c r="F24" i="48"/>
  <c r="D30" i="48"/>
  <c r="D29" i="48"/>
  <c r="D28" i="48"/>
  <c r="D27" i="48"/>
  <c r="D26" i="48"/>
  <c r="D25" i="48"/>
  <c r="D24" i="48"/>
  <c r="H23" i="39" l="1"/>
  <c r="H22" i="39"/>
  <c r="H21" i="39"/>
  <c r="H20" i="39"/>
  <c r="H19" i="39"/>
  <c r="H18" i="39"/>
  <c r="H17" i="39"/>
  <c r="H16" i="39"/>
  <c r="H15" i="39"/>
  <c r="B23" i="39"/>
  <c r="B22" i="39"/>
  <c r="B21" i="39"/>
  <c r="B20" i="39"/>
  <c r="B19" i="39"/>
  <c r="B18" i="39"/>
  <c r="B17" i="39"/>
  <c r="B16" i="39"/>
  <c r="B15" i="39"/>
  <c r="V32" i="3" l="1"/>
  <c r="S54" i="37" l="1"/>
  <c r="S53" i="37"/>
  <c r="S52" i="37"/>
  <c r="S51" i="37"/>
  <c r="S50" i="37"/>
  <c r="S49" i="37"/>
  <c r="S48" i="37"/>
  <c r="T47" i="37"/>
  <c r="S47" i="37"/>
  <c r="X54" i="37"/>
  <c r="X53" i="37"/>
  <c r="X52" i="37"/>
  <c r="X51" i="37"/>
  <c r="X50" i="37"/>
  <c r="X49" i="37"/>
  <c r="X48" i="37"/>
  <c r="Y47" i="37"/>
  <c r="X47" i="37"/>
  <c r="AC54" i="37"/>
  <c r="AC53" i="37"/>
  <c r="AC52" i="37"/>
  <c r="AC51" i="37"/>
  <c r="AC50" i="37"/>
  <c r="AC49" i="37"/>
  <c r="AC48" i="37"/>
  <c r="AD47" i="37"/>
  <c r="AC47" i="37"/>
  <c r="AH54" i="37"/>
  <c r="AH53" i="37"/>
  <c r="AH52" i="37"/>
  <c r="AH51" i="37"/>
  <c r="AH50" i="37"/>
  <c r="AH49" i="37"/>
  <c r="AH48" i="37"/>
  <c r="AI47" i="37"/>
  <c r="AH47" i="37"/>
  <c r="AM54" i="37"/>
  <c r="AM53" i="37"/>
  <c r="AM52" i="37"/>
  <c r="AM51" i="37"/>
  <c r="AM50" i="37"/>
  <c r="AM49" i="37"/>
  <c r="AM48" i="37"/>
  <c r="AN47" i="37"/>
  <c r="AM47" i="37"/>
  <c r="AR54" i="37"/>
  <c r="AR53" i="37"/>
  <c r="AR52" i="37"/>
  <c r="AR51" i="37"/>
  <c r="AR50" i="37"/>
  <c r="AR49" i="37"/>
  <c r="AR48" i="37"/>
  <c r="AS47" i="37"/>
  <c r="AR47" i="37"/>
  <c r="AW54" i="37"/>
  <c r="AW53" i="37"/>
  <c r="AW52" i="37"/>
  <c r="AW51" i="37"/>
  <c r="AW50" i="37"/>
  <c r="AW49" i="37"/>
  <c r="AW48" i="37"/>
  <c r="AX47" i="37"/>
  <c r="AW47" i="37"/>
  <c r="S51" i="36"/>
  <c r="S50" i="36"/>
  <c r="S49" i="36"/>
  <c r="S48" i="36"/>
  <c r="T47" i="36"/>
  <c r="S47" i="36"/>
  <c r="X51" i="36"/>
  <c r="X50" i="36"/>
  <c r="X49" i="36"/>
  <c r="X48" i="36"/>
  <c r="Y47" i="36"/>
  <c r="X47" i="36"/>
  <c r="AC51" i="36"/>
  <c r="AC50" i="36"/>
  <c r="AC49" i="36"/>
  <c r="AC48" i="36"/>
  <c r="AD47" i="36"/>
  <c r="AC47" i="36"/>
  <c r="AH51" i="36"/>
  <c r="AH50" i="36"/>
  <c r="AH49" i="36"/>
  <c r="AH48" i="36"/>
  <c r="AI47" i="36"/>
  <c r="AH47" i="36"/>
  <c r="AM51" i="36"/>
  <c r="AM50" i="36"/>
  <c r="AM49" i="36"/>
  <c r="AM48" i="36"/>
  <c r="AN47" i="36"/>
  <c r="AM47" i="36"/>
  <c r="AR51" i="36"/>
  <c r="AR50" i="36"/>
  <c r="AR49" i="36"/>
  <c r="AR48" i="36"/>
  <c r="AS47" i="36"/>
  <c r="AR47" i="36"/>
  <c r="AW51" i="36"/>
  <c r="AW50" i="36"/>
  <c r="AW49" i="36"/>
  <c r="AW48" i="36"/>
  <c r="AX47" i="36"/>
  <c r="AW47" i="36"/>
  <c r="S61" i="35"/>
  <c r="S60" i="35"/>
  <c r="S59" i="35"/>
  <c r="S58" i="35"/>
  <c r="S57" i="35"/>
  <c r="S56" i="35"/>
  <c r="S55" i="35"/>
  <c r="S54" i="35"/>
  <c r="S53" i="35"/>
  <c r="S52" i="35"/>
  <c r="S51" i="35"/>
  <c r="S50" i="35"/>
  <c r="S49" i="35"/>
  <c r="S48" i="35"/>
  <c r="T47" i="35"/>
  <c r="S47" i="35"/>
  <c r="X61" i="35"/>
  <c r="X60" i="35"/>
  <c r="X59" i="35"/>
  <c r="X58" i="35"/>
  <c r="X57" i="35"/>
  <c r="X56" i="35"/>
  <c r="X55" i="35"/>
  <c r="X54" i="35"/>
  <c r="X53" i="35"/>
  <c r="X52" i="35"/>
  <c r="X51" i="35"/>
  <c r="X50" i="35"/>
  <c r="X49" i="35"/>
  <c r="X48" i="35"/>
  <c r="Y47" i="35"/>
  <c r="X47" i="35"/>
  <c r="AC61" i="35"/>
  <c r="AC60" i="35"/>
  <c r="AC59" i="35"/>
  <c r="AC58" i="35"/>
  <c r="AC57" i="35"/>
  <c r="AC56" i="35"/>
  <c r="AC55" i="35"/>
  <c r="AC54" i="35"/>
  <c r="AC53" i="35"/>
  <c r="AC52" i="35"/>
  <c r="AC51" i="35"/>
  <c r="AC50" i="35"/>
  <c r="AC49" i="35"/>
  <c r="AC48" i="35"/>
  <c r="AD47" i="35"/>
  <c r="AC47" i="35"/>
  <c r="AH61" i="35"/>
  <c r="AH60" i="35"/>
  <c r="AH59" i="35"/>
  <c r="AH58" i="35"/>
  <c r="AH57" i="35"/>
  <c r="AH56" i="35"/>
  <c r="AH55" i="35"/>
  <c r="AH54" i="35"/>
  <c r="AH53" i="35"/>
  <c r="AH52" i="35"/>
  <c r="AH51" i="35"/>
  <c r="AH50" i="35"/>
  <c r="AH49" i="35"/>
  <c r="AH48" i="35"/>
  <c r="AI47" i="35"/>
  <c r="AH47" i="35"/>
  <c r="AM61" i="35"/>
  <c r="AM60" i="35"/>
  <c r="AM59" i="35"/>
  <c r="AM58" i="35"/>
  <c r="AM57" i="35"/>
  <c r="AM56" i="35"/>
  <c r="AM55" i="35"/>
  <c r="AM54" i="35"/>
  <c r="AM53" i="35"/>
  <c r="AM52" i="35"/>
  <c r="AM51" i="35"/>
  <c r="AM50" i="35"/>
  <c r="AM49" i="35"/>
  <c r="AM48" i="35"/>
  <c r="AN47" i="35"/>
  <c r="AM47" i="35"/>
  <c r="AR61" i="35"/>
  <c r="AR60" i="35"/>
  <c r="AR59" i="35"/>
  <c r="AR58" i="35"/>
  <c r="AR57" i="35"/>
  <c r="AR56" i="35"/>
  <c r="AR55" i="35"/>
  <c r="AR54" i="35"/>
  <c r="AR53" i="35"/>
  <c r="AR52" i="35"/>
  <c r="AR51" i="35"/>
  <c r="AR50" i="35"/>
  <c r="AR49" i="35"/>
  <c r="AR48" i="35"/>
  <c r="AS47" i="35"/>
  <c r="AR47" i="35"/>
  <c r="AW61" i="35"/>
  <c r="AW60" i="35"/>
  <c r="AW59" i="35"/>
  <c r="AW58" i="35"/>
  <c r="AW57" i="35"/>
  <c r="AW56" i="35"/>
  <c r="AW55" i="35"/>
  <c r="AW54" i="35"/>
  <c r="AW53" i="35"/>
  <c r="AW52" i="35"/>
  <c r="AW51" i="35"/>
  <c r="AW50" i="35"/>
  <c r="AW49" i="35"/>
  <c r="AW48" i="35"/>
  <c r="AX47" i="35"/>
  <c r="AW47" i="35"/>
  <c r="S61" i="34"/>
  <c r="S60" i="34"/>
  <c r="S59" i="34"/>
  <c r="S58" i="34"/>
  <c r="S57" i="34"/>
  <c r="S56" i="34"/>
  <c r="S55" i="34"/>
  <c r="S54" i="34"/>
  <c r="S53" i="34"/>
  <c r="S52" i="34"/>
  <c r="S51" i="34"/>
  <c r="S50" i="34"/>
  <c r="S49" i="34"/>
  <c r="S48" i="34"/>
  <c r="T47" i="34"/>
  <c r="S47" i="34"/>
  <c r="X61" i="34"/>
  <c r="X60" i="34"/>
  <c r="X59" i="34"/>
  <c r="X58" i="34"/>
  <c r="X57" i="34"/>
  <c r="X56" i="34"/>
  <c r="X55" i="34"/>
  <c r="X54" i="34"/>
  <c r="X53" i="34"/>
  <c r="X52" i="34"/>
  <c r="X51" i="34"/>
  <c r="X50" i="34"/>
  <c r="X49" i="34"/>
  <c r="X48" i="34"/>
  <c r="Y47" i="34"/>
  <c r="X47" i="34"/>
  <c r="AC61" i="34"/>
  <c r="AC60" i="34"/>
  <c r="AC59" i="34"/>
  <c r="AC58" i="34"/>
  <c r="AC57" i="34"/>
  <c r="AC56" i="34"/>
  <c r="AC55" i="34"/>
  <c r="AC54" i="34"/>
  <c r="AC53" i="34"/>
  <c r="AC52" i="34"/>
  <c r="AC51" i="34"/>
  <c r="AC50" i="34"/>
  <c r="AC49" i="34"/>
  <c r="AC48" i="34"/>
  <c r="AD47" i="34"/>
  <c r="AC47" i="34"/>
  <c r="AH61" i="34"/>
  <c r="AH60" i="34"/>
  <c r="AH59" i="34"/>
  <c r="AH58" i="34"/>
  <c r="AH57" i="34"/>
  <c r="AH56" i="34"/>
  <c r="AH55" i="34"/>
  <c r="AH54" i="34"/>
  <c r="AH53" i="34"/>
  <c r="AH52" i="34"/>
  <c r="AH51" i="34"/>
  <c r="AH50" i="34"/>
  <c r="AH49" i="34"/>
  <c r="AH48" i="34"/>
  <c r="AI47" i="34"/>
  <c r="AH47" i="34"/>
  <c r="AM61" i="34"/>
  <c r="AM60" i="34"/>
  <c r="AM59" i="34"/>
  <c r="AM58" i="34"/>
  <c r="AM57" i="34"/>
  <c r="AM56" i="34"/>
  <c r="AM55" i="34"/>
  <c r="AM54" i="34"/>
  <c r="AM53" i="34"/>
  <c r="AM52" i="34"/>
  <c r="AM51" i="34"/>
  <c r="AM50" i="34"/>
  <c r="AM49" i="34"/>
  <c r="AM48" i="34"/>
  <c r="AN47" i="34"/>
  <c r="AM47" i="34"/>
  <c r="AR61" i="34"/>
  <c r="AR60" i="34"/>
  <c r="AR59" i="34"/>
  <c r="AR58" i="34"/>
  <c r="AR57" i="34"/>
  <c r="AR56" i="34"/>
  <c r="AR55" i="34"/>
  <c r="AR54" i="34"/>
  <c r="AR53" i="34"/>
  <c r="AR52" i="34"/>
  <c r="AR51" i="34"/>
  <c r="AR50" i="34"/>
  <c r="AR49" i="34"/>
  <c r="AR48" i="34"/>
  <c r="AS47" i="34"/>
  <c r="AR47" i="34"/>
  <c r="AW61" i="34"/>
  <c r="AW60" i="34"/>
  <c r="AW59" i="34"/>
  <c r="AW58" i="34"/>
  <c r="AW57" i="34"/>
  <c r="AW56" i="34"/>
  <c r="AW55" i="34"/>
  <c r="AW54" i="34"/>
  <c r="AW53" i="34"/>
  <c r="AW52" i="34"/>
  <c r="AW51" i="34"/>
  <c r="AW50" i="34"/>
  <c r="AW49" i="34"/>
  <c r="AW48" i="34"/>
  <c r="AX47" i="34"/>
  <c r="AW47" i="34"/>
  <c r="S106" i="33"/>
  <c r="S105" i="33"/>
  <c r="S104" i="33"/>
  <c r="S103" i="33"/>
  <c r="S102" i="33"/>
  <c r="S101" i="33"/>
  <c r="S100" i="33"/>
  <c r="S99" i="33"/>
  <c r="S98" i="33"/>
  <c r="S97" i="33"/>
  <c r="S96" i="33"/>
  <c r="S95" i="33"/>
  <c r="S94" i="33"/>
  <c r="S93" i="33"/>
  <c r="S92" i="33"/>
  <c r="S91" i="33"/>
  <c r="S90" i="33"/>
  <c r="S89" i="33"/>
  <c r="S88" i="33"/>
  <c r="S87" i="33"/>
  <c r="S86" i="33"/>
  <c r="S85" i="33"/>
  <c r="S84" i="33"/>
  <c r="S83" i="33"/>
  <c r="S82" i="33"/>
  <c r="S81" i="33"/>
  <c r="S80" i="33"/>
  <c r="S79" i="33"/>
  <c r="S78" i="33"/>
  <c r="T77" i="33"/>
  <c r="S77" i="33"/>
  <c r="X106" i="33"/>
  <c r="X105" i="33"/>
  <c r="X104" i="33"/>
  <c r="X103" i="33"/>
  <c r="X102" i="33"/>
  <c r="X101" i="33"/>
  <c r="X100" i="33"/>
  <c r="X99" i="33"/>
  <c r="X98" i="33"/>
  <c r="X97" i="33"/>
  <c r="X96" i="33"/>
  <c r="X95" i="33"/>
  <c r="X94" i="33"/>
  <c r="X93" i="33"/>
  <c r="X92" i="33"/>
  <c r="X91" i="33"/>
  <c r="X90" i="33"/>
  <c r="X89" i="33"/>
  <c r="X88" i="33"/>
  <c r="X87" i="33"/>
  <c r="X86" i="33"/>
  <c r="X85" i="33"/>
  <c r="X84" i="33"/>
  <c r="X83" i="33"/>
  <c r="X82" i="33"/>
  <c r="X81" i="33"/>
  <c r="X80" i="33"/>
  <c r="X79" i="33"/>
  <c r="X78" i="33"/>
  <c r="Y77" i="33"/>
  <c r="X77" i="33"/>
  <c r="AC106" i="33"/>
  <c r="AC105" i="33"/>
  <c r="AC104" i="33"/>
  <c r="AC103" i="33"/>
  <c r="AC102" i="33"/>
  <c r="AC101" i="33"/>
  <c r="AC100" i="33"/>
  <c r="AC99" i="33"/>
  <c r="AC98" i="33"/>
  <c r="AC97" i="33"/>
  <c r="AC96" i="33"/>
  <c r="AC95" i="33"/>
  <c r="AC94" i="33"/>
  <c r="AC93" i="33"/>
  <c r="AC92" i="33"/>
  <c r="AC91" i="33"/>
  <c r="AC90" i="33"/>
  <c r="AC89" i="33"/>
  <c r="AC88" i="33"/>
  <c r="AC87" i="33"/>
  <c r="AC86" i="33"/>
  <c r="AC85" i="33"/>
  <c r="AC84" i="33"/>
  <c r="AC83" i="33"/>
  <c r="AC82" i="33"/>
  <c r="AC81" i="33"/>
  <c r="AC80" i="33"/>
  <c r="AC79" i="33"/>
  <c r="AC78" i="33"/>
  <c r="AD77" i="33"/>
  <c r="AC77" i="33"/>
  <c r="AH106" i="33"/>
  <c r="AH105" i="33"/>
  <c r="AH104" i="33"/>
  <c r="AH103" i="33"/>
  <c r="AH102" i="33"/>
  <c r="AH101" i="33"/>
  <c r="AH100" i="33"/>
  <c r="AH99" i="33"/>
  <c r="AH98" i="33"/>
  <c r="AH97" i="33"/>
  <c r="AH96" i="33"/>
  <c r="AH95" i="33"/>
  <c r="AH94" i="33"/>
  <c r="AH93" i="33"/>
  <c r="AH92" i="33"/>
  <c r="AH91" i="33"/>
  <c r="AH90" i="33"/>
  <c r="AH89" i="33"/>
  <c r="AH88" i="33"/>
  <c r="AH87" i="33"/>
  <c r="AH86" i="33"/>
  <c r="AH85" i="33"/>
  <c r="AH84" i="33"/>
  <c r="AH83" i="33"/>
  <c r="AH82" i="33"/>
  <c r="AH81" i="33"/>
  <c r="AH80" i="33"/>
  <c r="AH79" i="33"/>
  <c r="AH78" i="33"/>
  <c r="AI77" i="33"/>
  <c r="AH77" i="33"/>
  <c r="AM106" i="33"/>
  <c r="AM105" i="33"/>
  <c r="AM104" i="33"/>
  <c r="AM103" i="33"/>
  <c r="AM102" i="33"/>
  <c r="AM101" i="33"/>
  <c r="AM100" i="33"/>
  <c r="AM99" i="33"/>
  <c r="AM98" i="33"/>
  <c r="AM97" i="33"/>
  <c r="AM96" i="33"/>
  <c r="AM95" i="33"/>
  <c r="AM94" i="33"/>
  <c r="AM93" i="33"/>
  <c r="AM92" i="33"/>
  <c r="AM91" i="33"/>
  <c r="AM90" i="33"/>
  <c r="AM89" i="33"/>
  <c r="AM88" i="33"/>
  <c r="AM87" i="33"/>
  <c r="AM86" i="33"/>
  <c r="AM85" i="33"/>
  <c r="AM84" i="33"/>
  <c r="AM83" i="33"/>
  <c r="AM82" i="33"/>
  <c r="AM81" i="33"/>
  <c r="AM80" i="33"/>
  <c r="AM79" i="33"/>
  <c r="AM78" i="33"/>
  <c r="AN77" i="33"/>
  <c r="AM77" i="33"/>
  <c r="AR106" i="33"/>
  <c r="AR105" i="33"/>
  <c r="AR104" i="33"/>
  <c r="AR103" i="33"/>
  <c r="AR102" i="33"/>
  <c r="AR101" i="33"/>
  <c r="AR100" i="33"/>
  <c r="AR99" i="33"/>
  <c r="AR98" i="33"/>
  <c r="AR97" i="33"/>
  <c r="AR96" i="33"/>
  <c r="AR95" i="33"/>
  <c r="AR94" i="33"/>
  <c r="AR93" i="33"/>
  <c r="AR92" i="33"/>
  <c r="AR91" i="33"/>
  <c r="AR90" i="33"/>
  <c r="AR89" i="33"/>
  <c r="AR88" i="33"/>
  <c r="AR87" i="33"/>
  <c r="AR86" i="33"/>
  <c r="AR85" i="33"/>
  <c r="AR84" i="33"/>
  <c r="AR83" i="33"/>
  <c r="AR82" i="33"/>
  <c r="AR81" i="33"/>
  <c r="AR80" i="33"/>
  <c r="AR79" i="33"/>
  <c r="AR78" i="33"/>
  <c r="AS77" i="33"/>
  <c r="AR77" i="33"/>
  <c r="AW106" i="33"/>
  <c r="AW105" i="33"/>
  <c r="AW104" i="33"/>
  <c r="AW103" i="33"/>
  <c r="AW102" i="33"/>
  <c r="AW101" i="33"/>
  <c r="AW100" i="33"/>
  <c r="AW99" i="33"/>
  <c r="AW98" i="33"/>
  <c r="AW97" i="33"/>
  <c r="AW96" i="33"/>
  <c r="AW95" i="33"/>
  <c r="AW94" i="33"/>
  <c r="AW93" i="33"/>
  <c r="AW92" i="33"/>
  <c r="AW91" i="33"/>
  <c r="AW90" i="33"/>
  <c r="AW89" i="33"/>
  <c r="AW88" i="33"/>
  <c r="AW87" i="33"/>
  <c r="AW86" i="33"/>
  <c r="AW85" i="33"/>
  <c r="AW84" i="33"/>
  <c r="AW83" i="33"/>
  <c r="AW82" i="33"/>
  <c r="AW81" i="33"/>
  <c r="AW80" i="33"/>
  <c r="AW79" i="33"/>
  <c r="AW78" i="33"/>
  <c r="AX77" i="33"/>
  <c r="AW77" i="33"/>
  <c r="S61" i="31"/>
  <c r="S60" i="31"/>
  <c r="S59" i="31"/>
  <c r="S58" i="31"/>
  <c r="S57" i="31"/>
  <c r="S56" i="31"/>
  <c r="S55" i="31"/>
  <c r="S54" i="31"/>
  <c r="S53" i="31"/>
  <c r="S52" i="31"/>
  <c r="S51" i="31"/>
  <c r="S50" i="31"/>
  <c r="S49" i="31"/>
  <c r="S48" i="31"/>
  <c r="T47" i="31"/>
  <c r="S47" i="31"/>
  <c r="X61" i="31"/>
  <c r="X60" i="31"/>
  <c r="X59" i="31"/>
  <c r="X58" i="31"/>
  <c r="X57" i="31"/>
  <c r="X56" i="31"/>
  <c r="X55" i="31"/>
  <c r="X54" i="31"/>
  <c r="X53" i="31"/>
  <c r="X52" i="31"/>
  <c r="X51" i="31"/>
  <c r="X50" i="31"/>
  <c r="X49" i="31"/>
  <c r="X48" i="31"/>
  <c r="Y47" i="31"/>
  <c r="X47" i="31"/>
  <c r="AC61" i="31"/>
  <c r="AC60" i="31"/>
  <c r="AC59" i="31"/>
  <c r="AC58" i="31"/>
  <c r="AC57" i="31"/>
  <c r="AC56" i="31"/>
  <c r="AC55" i="31"/>
  <c r="AC54" i="31"/>
  <c r="AC53" i="31"/>
  <c r="AC52" i="31"/>
  <c r="AC51" i="31"/>
  <c r="AC50" i="31"/>
  <c r="AC49" i="31"/>
  <c r="AC48" i="31"/>
  <c r="AD47" i="31"/>
  <c r="AC47" i="31"/>
  <c r="AH61" i="31"/>
  <c r="AH60" i="31"/>
  <c r="AH59" i="31"/>
  <c r="AH58" i="31"/>
  <c r="AH57" i="31"/>
  <c r="AH56" i="31"/>
  <c r="AH55" i="31"/>
  <c r="AH54" i="31"/>
  <c r="AH53" i="31"/>
  <c r="AH52" i="31"/>
  <c r="AH51" i="31"/>
  <c r="AH50" i="31"/>
  <c r="AH49" i="31"/>
  <c r="AH48" i="31"/>
  <c r="AI47" i="31"/>
  <c r="AH47" i="31"/>
  <c r="AM61" i="31"/>
  <c r="AM60" i="31"/>
  <c r="AM59" i="31"/>
  <c r="AM58" i="31"/>
  <c r="AM57" i="31"/>
  <c r="AM56" i="31"/>
  <c r="AM55" i="31"/>
  <c r="AM54" i="31"/>
  <c r="AM53" i="31"/>
  <c r="AM52" i="31"/>
  <c r="AM51" i="31"/>
  <c r="AM50" i="31"/>
  <c r="AM49" i="31"/>
  <c r="AM48" i="31"/>
  <c r="AN47" i="31"/>
  <c r="AM47" i="31"/>
  <c r="AR61" i="31"/>
  <c r="AR60" i="31"/>
  <c r="AR59" i="31"/>
  <c r="AR58" i="31"/>
  <c r="AR57" i="31"/>
  <c r="AR56" i="31"/>
  <c r="AR55" i="31"/>
  <c r="AR54" i="31"/>
  <c r="AR53" i="31"/>
  <c r="AR52" i="31"/>
  <c r="AR51" i="31"/>
  <c r="AR50" i="31"/>
  <c r="AR49" i="31"/>
  <c r="AR48" i="31"/>
  <c r="AS47" i="31"/>
  <c r="AR47" i="31"/>
  <c r="AW61" i="31"/>
  <c r="AW60" i="31"/>
  <c r="AW59" i="31"/>
  <c r="AW58" i="31"/>
  <c r="AW57" i="31"/>
  <c r="AW56" i="31"/>
  <c r="AW55" i="31"/>
  <c r="AW54" i="31"/>
  <c r="AW53" i="31"/>
  <c r="AW52" i="31"/>
  <c r="AW51" i="31"/>
  <c r="AW50" i="31"/>
  <c r="AW49" i="31"/>
  <c r="AW48" i="31"/>
  <c r="AX47" i="31"/>
  <c r="AW47" i="31"/>
  <c r="S61" i="32"/>
  <c r="S60" i="32"/>
  <c r="S59" i="32"/>
  <c r="S58" i="32"/>
  <c r="S57" i="32"/>
  <c r="S56" i="32"/>
  <c r="S55" i="32"/>
  <c r="S54" i="32"/>
  <c r="S53" i="32"/>
  <c r="S52" i="32"/>
  <c r="S51" i="32"/>
  <c r="S50" i="32"/>
  <c r="S49" i="32"/>
  <c r="S48" i="32"/>
  <c r="T47" i="32"/>
  <c r="S47" i="32"/>
  <c r="X61" i="32"/>
  <c r="X60" i="32"/>
  <c r="X59" i="32"/>
  <c r="X58" i="32"/>
  <c r="X57" i="32"/>
  <c r="X56" i="32"/>
  <c r="X55" i="32"/>
  <c r="X54" i="32"/>
  <c r="X53" i="32"/>
  <c r="X52" i="32"/>
  <c r="X51" i="32"/>
  <c r="X50" i="32"/>
  <c r="X49" i="32"/>
  <c r="X48" i="32"/>
  <c r="Y47" i="32"/>
  <c r="X47" i="32"/>
  <c r="AC61" i="32"/>
  <c r="AC60" i="32"/>
  <c r="AC59" i="32"/>
  <c r="AC58" i="32"/>
  <c r="AC57" i="32"/>
  <c r="AC56" i="32"/>
  <c r="AC55" i="32"/>
  <c r="AC54" i="32"/>
  <c r="AC53" i="32"/>
  <c r="AC52" i="32"/>
  <c r="AC51" i="32"/>
  <c r="AC50" i="32"/>
  <c r="AC49" i="32"/>
  <c r="AC48" i="32"/>
  <c r="AD47" i="32"/>
  <c r="AC47" i="32"/>
  <c r="AH61" i="32"/>
  <c r="AH60" i="32"/>
  <c r="AH59" i="32"/>
  <c r="AH58" i="32"/>
  <c r="AH57" i="32"/>
  <c r="AH56" i="32"/>
  <c r="AH55" i="32"/>
  <c r="AH54" i="32"/>
  <c r="AH53" i="32"/>
  <c r="AH52" i="32"/>
  <c r="AH51" i="32"/>
  <c r="AH50" i="32"/>
  <c r="AH49" i="32"/>
  <c r="AH48" i="32"/>
  <c r="AI47" i="32"/>
  <c r="AH47" i="32"/>
  <c r="AM61" i="32"/>
  <c r="AM60" i="32"/>
  <c r="AM59" i="32"/>
  <c r="AM58" i="32"/>
  <c r="AM57" i="32"/>
  <c r="AM56" i="32"/>
  <c r="AM55" i="32"/>
  <c r="AM54" i="32"/>
  <c r="AM53" i="32"/>
  <c r="AM52" i="32"/>
  <c r="AM51" i="32"/>
  <c r="AM50" i="32"/>
  <c r="AM49" i="32"/>
  <c r="AM48" i="32"/>
  <c r="AN47" i="32"/>
  <c r="AM47" i="32"/>
  <c r="AR61" i="32"/>
  <c r="AR60" i="32"/>
  <c r="AR59" i="32"/>
  <c r="AR58" i="32"/>
  <c r="AR57" i="32"/>
  <c r="AR56" i="32"/>
  <c r="AR55" i="32"/>
  <c r="AR54" i="32"/>
  <c r="AR53" i="32"/>
  <c r="AR52" i="32"/>
  <c r="AR51" i="32"/>
  <c r="AR50" i="32"/>
  <c r="AR49" i="32"/>
  <c r="AR48" i="32"/>
  <c r="AS47" i="32"/>
  <c r="AR47" i="32"/>
  <c r="AW61" i="32"/>
  <c r="AW60" i="32"/>
  <c r="AW59" i="32"/>
  <c r="AW58" i="32"/>
  <c r="AW57" i="32"/>
  <c r="AW56" i="32"/>
  <c r="AW55" i="32"/>
  <c r="AW54" i="32"/>
  <c r="AW53" i="32"/>
  <c r="AW52" i="32"/>
  <c r="AW51" i="32"/>
  <c r="AW50" i="32"/>
  <c r="AW49" i="32"/>
  <c r="AW48" i="32"/>
  <c r="AX47" i="32"/>
  <c r="AW47" i="32"/>
  <c r="S53" i="30"/>
  <c r="S52" i="30"/>
  <c r="S51" i="30"/>
  <c r="S50" i="30"/>
  <c r="S49" i="30"/>
  <c r="S48" i="30"/>
  <c r="T47" i="30"/>
  <c r="S47" i="30"/>
  <c r="X53" i="30"/>
  <c r="X52" i="30"/>
  <c r="X51" i="30"/>
  <c r="X50" i="30"/>
  <c r="X49" i="30"/>
  <c r="X48" i="30"/>
  <c r="Y47" i="30"/>
  <c r="X47" i="30"/>
  <c r="AC53" i="30"/>
  <c r="AC52" i="30"/>
  <c r="AC51" i="30"/>
  <c r="AC50" i="30"/>
  <c r="AC49" i="30"/>
  <c r="AC48" i="30"/>
  <c r="AD47" i="30"/>
  <c r="AC47" i="30"/>
  <c r="AH53" i="30"/>
  <c r="AH52" i="30"/>
  <c r="AH51" i="30"/>
  <c r="AH50" i="30"/>
  <c r="AH49" i="30"/>
  <c r="AH48" i="30"/>
  <c r="AI47" i="30"/>
  <c r="AH47" i="30"/>
  <c r="AM53" i="30"/>
  <c r="AM52" i="30"/>
  <c r="AM51" i="30"/>
  <c r="AM50" i="30"/>
  <c r="AM49" i="30"/>
  <c r="AM48" i="30"/>
  <c r="AN47" i="30"/>
  <c r="AM47" i="30"/>
  <c r="AR53" i="30"/>
  <c r="AR52" i="30"/>
  <c r="AR51" i="30"/>
  <c r="AR50" i="30"/>
  <c r="AR49" i="30"/>
  <c r="AR48" i="30"/>
  <c r="AS47" i="30"/>
  <c r="AR47" i="30"/>
  <c r="AW53" i="30"/>
  <c r="AW52" i="30"/>
  <c r="AW51" i="30"/>
  <c r="AW50" i="30"/>
  <c r="AW49" i="30"/>
  <c r="AW48" i="30"/>
  <c r="AX47" i="30"/>
  <c r="AW47" i="30"/>
  <c r="L23" i="48" l="1"/>
  <c r="L22" i="48"/>
  <c r="L21" i="48"/>
  <c r="L20" i="48"/>
  <c r="L19" i="48"/>
  <c r="L18" i="48"/>
  <c r="L17" i="48"/>
  <c r="L16" i="48"/>
  <c r="L15" i="48"/>
  <c r="L14" i="48"/>
  <c r="H23" i="48"/>
  <c r="H22" i="48"/>
  <c r="H21" i="48"/>
  <c r="H20" i="48"/>
  <c r="H19" i="48"/>
  <c r="H18" i="48"/>
  <c r="H17" i="48"/>
  <c r="H16" i="48"/>
  <c r="H15" i="48"/>
  <c r="F23" i="48"/>
  <c r="F22" i="48"/>
  <c r="F21" i="48"/>
  <c r="F20" i="48"/>
  <c r="F19" i="48"/>
  <c r="F18" i="48"/>
  <c r="F17" i="48"/>
  <c r="F16" i="48"/>
  <c r="D23" i="48"/>
  <c r="D22" i="48"/>
  <c r="D21" i="48"/>
  <c r="D20" i="48"/>
  <c r="D19" i="48"/>
  <c r="D18" i="48"/>
  <c r="D17" i="48"/>
  <c r="O31" i="48" l="1"/>
  <c r="N31" i="48"/>
  <c r="M31" i="48"/>
  <c r="O24" i="48"/>
  <c r="N24" i="48"/>
  <c r="M24" i="48"/>
  <c r="O17" i="48"/>
  <c r="N17" i="48"/>
  <c r="M17" i="48"/>
  <c r="O10" i="48"/>
  <c r="N10" i="48"/>
  <c r="M10" i="48"/>
  <c r="O4" i="48"/>
  <c r="N4" i="48"/>
  <c r="M4" i="48"/>
  <c r="S41" i="37" l="1"/>
  <c r="S40" i="37"/>
  <c r="S39" i="37"/>
  <c r="S38" i="37"/>
  <c r="S37" i="37"/>
  <c r="S36" i="37"/>
  <c r="S35" i="37"/>
  <c r="S34" i="37"/>
  <c r="S33" i="37"/>
  <c r="S32" i="37"/>
  <c r="S31" i="37"/>
  <c r="S30" i="37"/>
  <c r="S29" i="37"/>
  <c r="S28" i="37"/>
  <c r="T27" i="37"/>
  <c r="S27" i="37"/>
  <c r="X41" i="37"/>
  <c r="X40" i="37"/>
  <c r="X39" i="37"/>
  <c r="X38" i="37"/>
  <c r="X37" i="37"/>
  <c r="X36" i="37"/>
  <c r="X35" i="37"/>
  <c r="X34" i="37"/>
  <c r="X33" i="37"/>
  <c r="X32" i="37"/>
  <c r="X31" i="37"/>
  <c r="X30" i="37"/>
  <c r="X29" i="37"/>
  <c r="X28" i="37"/>
  <c r="Y27" i="37"/>
  <c r="X27" i="37"/>
  <c r="AC41" i="37"/>
  <c r="AC40" i="37"/>
  <c r="AC39" i="37"/>
  <c r="AC38" i="37"/>
  <c r="AC37" i="37"/>
  <c r="AC36" i="37"/>
  <c r="AC35" i="37"/>
  <c r="AC34" i="37"/>
  <c r="AC33" i="37"/>
  <c r="AC32" i="37"/>
  <c r="AC31" i="37"/>
  <c r="AC30" i="37"/>
  <c r="AC29" i="37"/>
  <c r="AC28" i="37"/>
  <c r="AD27" i="37"/>
  <c r="AC27" i="37"/>
  <c r="AH41" i="37"/>
  <c r="AH40" i="37"/>
  <c r="AH39" i="37"/>
  <c r="AH38" i="37"/>
  <c r="AH37" i="37"/>
  <c r="AH36" i="37"/>
  <c r="AH35" i="37"/>
  <c r="AH34" i="37"/>
  <c r="AH33" i="37"/>
  <c r="AH32" i="37"/>
  <c r="AH31" i="37"/>
  <c r="AH30" i="37"/>
  <c r="AH29" i="37"/>
  <c r="AH28" i="37"/>
  <c r="AI27" i="37"/>
  <c r="AH27" i="37"/>
  <c r="AM41" i="37"/>
  <c r="AM40" i="37"/>
  <c r="AM39" i="37"/>
  <c r="AM38" i="37"/>
  <c r="AM37" i="37"/>
  <c r="AM36" i="37"/>
  <c r="AM35" i="37"/>
  <c r="AM34" i="37"/>
  <c r="AM33" i="37"/>
  <c r="AM32" i="37"/>
  <c r="AM31" i="37"/>
  <c r="AM30" i="37"/>
  <c r="AM29" i="37"/>
  <c r="AM28" i="37"/>
  <c r="AN27" i="37"/>
  <c r="AM27" i="37"/>
  <c r="AR41" i="37"/>
  <c r="AR40" i="37"/>
  <c r="AR39" i="37"/>
  <c r="AR38" i="37"/>
  <c r="AR37" i="37"/>
  <c r="AR36" i="37"/>
  <c r="AR35" i="37"/>
  <c r="AR34" i="37"/>
  <c r="AR33" i="37"/>
  <c r="AR32" i="37"/>
  <c r="AR31" i="37"/>
  <c r="AR30" i="37"/>
  <c r="AR29" i="37"/>
  <c r="AR28" i="37"/>
  <c r="AS27" i="37"/>
  <c r="AR27" i="37"/>
  <c r="AW41" i="37"/>
  <c r="AW40" i="37"/>
  <c r="AW39" i="37"/>
  <c r="AW38" i="37"/>
  <c r="AW37" i="37"/>
  <c r="AW36" i="37"/>
  <c r="AW35" i="37"/>
  <c r="AW34" i="37"/>
  <c r="AW33" i="37"/>
  <c r="AW32" i="37"/>
  <c r="AW31" i="37"/>
  <c r="AW30" i="37"/>
  <c r="AW29" i="37"/>
  <c r="AW28" i="37"/>
  <c r="AX27" i="37"/>
  <c r="AW27" i="37"/>
  <c r="S41" i="36"/>
  <c r="S40" i="36"/>
  <c r="S39" i="36"/>
  <c r="S38" i="36"/>
  <c r="S37" i="36"/>
  <c r="S36" i="36"/>
  <c r="S35" i="36"/>
  <c r="S34" i="36"/>
  <c r="S33" i="36"/>
  <c r="S32" i="36"/>
  <c r="S31" i="36"/>
  <c r="S30" i="36"/>
  <c r="S29" i="36"/>
  <c r="S28" i="36"/>
  <c r="T27" i="36"/>
  <c r="S27" i="36"/>
  <c r="X41" i="36"/>
  <c r="X40" i="36"/>
  <c r="X39" i="36"/>
  <c r="X38" i="36"/>
  <c r="X37" i="36"/>
  <c r="X36" i="36"/>
  <c r="X35" i="36"/>
  <c r="X34" i="36"/>
  <c r="X33" i="36"/>
  <c r="X32" i="36"/>
  <c r="X31" i="36"/>
  <c r="X30" i="36"/>
  <c r="X29" i="36"/>
  <c r="X28" i="36"/>
  <c r="Y27" i="36"/>
  <c r="X27" i="36"/>
  <c r="AC41" i="36"/>
  <c r="AC40" i="36"/>
  <c r="AC39" i="36"/>
  <c r="AC38" i="36"/>
  <c r="AC37" i="36"/>
  <c r="AC36" i="36"/>
  <c r="AC35" i="36"/>
  <c r="AC34" i="36"/>
  <c r="AC33" i="36"/>
  <c r="AC32" i="36"/>
  <c r="AC31" i="36"/>
  <c r="AC30" i="36"/>
  <c r="AC29" i="36"/>
  <c r="AC28" i="36"/>
  <c r="AD27" i="36"/>
  <c r="AC27" i="36"/>
  <c r="AH41" i="36"/>
  <c r="AH40" i="36"/>
  <c r="AH39" i="36"/>
  <c r="AH38" i="36"/>
  <c r="AH37" i="36"/>
  <c r="AH36" i="36"/>
  <c r="AH35" i="36"/>
  <c r="AH34" i="36"/>
  <c r="AH33" i="36"/>
  <c r="AH32" i="36"/>
  <c r="AH31" i="36"/>
  <c r="AH30" i="36"/>
  <c r="AH29" i="36"/>
  <c r="AH28" i="36"/>
  <c r="AI27" i="36"/>
  <c r="AH27" i="36"/>
  <c r="AM41" i="36"/>
  <c r="AM40" i="36"/>
  <c r="AM39" i="36"/>
  <c r="AM38" i="36"/>
  <c r="AM37" i="36"/>
  <c r="AM36" i="36"/>
  <c r="AM35" i="36"/>
  <c r="AM34" i="36"/>
  <c r="AM33" i="36"/>
  <c r="AM32" i="36"/>
  <c r="AM31" i="36"/>
  <c r="AM30" i="36"/>
  <c r="AM29" i="36"/>
  <c r="AM28" i="36"/>
  <c r="AN27" i="36"/>
  <c r="AM27" i="36"/>
  <c r="AR41" i="36"/>
  <c r="AR40" i="36"/>
  <c r="AR39" i="36"/>
  <c r="AR38" i="36"/>
  <c r="AR37" i="36"/>
  <c r="AR36" i="36"/>
  <c r="AR35" i="36"/>
  <c r="AR34" i="36"/>
  <c r="AR33" i="36"/>
  <c r="AR32" i="36"/>
  <c r="AR31" i="36"/>
  <c r="AR30" i="36"/>
  <c r="AR29" i="36"/>
  <c r="AR28" i="36"/>
  <c r="AS27" i="36"/>
  <c r="AR27" i="36"/>
  <c r="AW41" i="36"/>
  <c r="AW40" i="36"/>
  <c r="AW39" i="36"/>
  <c r="AW38" i="36"/>
  <c r="AW37" i="36"/>
  <c r="AW36" i="36"/>
  <c r="AW35" i="36"/>
  <c r="AW34" i="36"/>
  <c r="AW33" i="36"/>
  <c r="AW32" i="36"/>
  <c r="AW31" i="36"/>
  <c r="AW30" i="36"/>
  <c r="AW29" i="36"/>
  <c r="AW28" i="36"/>
  <c r="AX27" i="36"/>
  <c r="AW27" i="36"/>
  <c r="S41" i="35"/>
  <c r="S40" i="35"/>
  <c r="S39" i="35"/>
  <c r="S38" i="35"/>
  <c r="S37" i="35"/>
  <c r="S36" i="35"/>
  <c r="S35" i="35"/>
  <c r="S34" i="35"/>
  <c r="S33" i="35"/>
  <c r="S32" i="35"/>
  <c r="S31" i="35"/>
  <c r="S30" i="35"/>
  <c r="S29" i="35"/>
  <c r="S28" i="35"/>
  <c r="T27" i="35"/>
  <c r="S27" i="35"/>
  <c r="X41" i="35"/>
  <c r="X40" i="35"/>
  <c r="X39" i="35"/>
  <c r="X38" i="35"/>
  <c r="X37" i="35"/>
  <c r="X36" i="35"/>
  <c r="X35" i="35"/>
  <c r="X34" i="35"/>
  <c r="X33" i="35"/>
  <c r="X32" i="35"/>
  <c r="X31" i="35"/>
  <c r="X30" i="35"/>
  <c r="X29" i="35"/>
  <c r="X28" i="35"/>
  <c r="Y27" i="35"/>
  <c r="X27" i="35"/>
  <c r="AC41" i="35"/>
  <c r="AC40" i="35"/>
  <c r="AC39" i="35"/>
  <c r="AC38" i="35"/>
  <c r="AC37" i="35"/>
  <c r="AC36" i="35"/>
  <c r="AC35" i="35"/>
  <c r="AC34" i="35"/>
  <c r="AC33" i="35"/>
  <c r="AC32" i="35"/>
  <c r="AC31" i="35"/>
  <c r="AC30" i="35"/>
  <c r="AC29" i="35"/>
  <c r="AC28" i="35"/>
  <c r="AD27" i="35"/>
  <c r="AC27" i="35"/>
  <c r="AH41" i="35"/>
  <c r="AH40" i="35"/>
  <c r="AH39" i="35"/>
  <c r="AH38" i="35"/>
  <c r="AH37" i="35"/>
  <c r="AH36" i="35"/>
  <c r="AH35" i="35"/>
  <c r="AH34" i="35"/>
  <c r="AH33" i="35"/>
  <c r="AH32" i="35"/>
  <c r="AH31" i="35"/>
  <c r="AH30" i="35"/>
  <c r="AH29" i="35"/>
  <c r="AH28" i="35"/>
  <c r="AI27" i="35"/>
  <c r="AH27" i="35"/>
  <c r="AM41" i="35"/>
  <c r="AM40" i="35"/>
  <c r="AM39" i="35"/>
  <c r="AM38" i="35"/>
  <c r="AM37" i="35"/>
  <c r="AM36" i="35"/>
  <c r="AM35" i="35"/>
  <c r="AM34" i="35"/>
  <c r="AM33" i="35"/>
  <c r="AM32" i="35"/>
  <c r="AM31" i="35"/>
  <c r="AM30" i="35"/>
  <c r="AM29" i="35"/>
  <c r="AM28" i="35"/>
  <c r="AN27" i="35"/>
  <c r="AM27" i="35"/>
  <c r="AR41" i="35"/>
  <c r="AR40" i="35"/>
  <c r="AR39" i="35"/>
  <c r="AR38" i="35"/>
  <c r="AR37" i="35"/>
  <c r="AR36" i="35"/>
  <c r="AR35" i="35"/>
  <c r="AR34" i="35"/>
  <c r="AR33" i="35"/>
  <c r="AR32" i="35"/>
  <c r="AR31" i="35"/>
  <c r="AR30" i="35"/>
  <c r="AR29" i="35"/>
  <c r="AR28" i="35"/>
  <c r="AS27" i="35"/>
  <c r="AR27" i="35"/>
  <c r="AW41" i="35"/>
  <c r="AW40" i="35"/>
  <c r="AW39" i="35"/>
  <c r="AW38" i="35"/>
  <c r="AW37" i="35"/>
  <c r="AW36" i="35"/>
  <c r="AW35" i="35"/>
  <c r="AW34" i="35"/>
  <c r="AW33" i="35"/>
  <c r="AW32" i="35"/>
  <c r="AW31" i="35"/>
  <c r="AW30" i="35"/>
  <c r="AW29" i="35"/>
  <c r="AW28" i="35"/>
  <c r="AX27" i="35"/>
  <c r="AW27" i="35"/>
  <c r="S41" i="34"/>
  <c r="S40" i="34"/>
  <c r="S39" i="34"/>
  <c r="S38" i="34"/>
  <c r="S37" i="34"/>
  <c r="S36" i="34"/>
  <c r="S35" i="34"/>
  <c r="S34" i="34"/>
  <c r="S33" i="34"/>
  <c r="S32" i="34"/>
  <c r="S31" i="34"/>
  <c r="S30" i="34"/>
  <c r="S29" i="34"/>
  <c r="S28" i="34"/>
  <c r="T27" i="34"/>
  <c r="S27" i="34"/>
  <c r="X41" i="34"/>
  <c r="X40" i="34"/>
  <c r="X39" i="34"/>
  <c r="X38" i="34"/>
  <c r="X37" i="34"/>
  <c r="X36" i="34"/>
  <c r="X35" i="34"/>
  <c r="X34" i="34"/>
  <c r="X33" i="34"/>
  <c r="X32" i="34"/>
  <c r="X31" i="34"/>
  <c r="X30" i="34"/>
  <c r="X29" i="34"/>
  <c r="X28" i="34"/>
  <c r="Y27" i="34"/>
  <c r="X27" i="34"/>
  <c r="AC41" i="34"/>
  <c r="AC40" i="34"/>
  <c r="AC39" i="34"/>
  <c r="AC38" i="34"/>
  <c r="AC37" i="34"/>
  <c r="AC36" i="34"/>
  <c r="AC35" i="34"/>
  <c r="AC34" i="34"/>
  <c r="AC33" i="34"/>
  <c r="AC32" i="34"/>
  <c r="AC31" i="34"/>
  <c r="AC30" i="34"/>
  <c r="AC29" i="34"/>
  <c r="AC28" i="34"/>
  <c r="AD27" i="34"/>
  <c r="AC27" i="34"/>
  <c r="AH41" i="34"/>
  <c r="AH40" i="34"/>
  <c r="AH39" i="34"/>
  <c r="AH38" i="34"/>
  <c r="AH37" i="34"/>
  <c r="AH36" i="34"/>
  <c r="AH35" i="34"/>
  <c r="AH34" i="34"/>
  <c r="AH33" i="34"/>
  <c r="AH32" i="34"/>
  <c r="AH31" i="34"/>
  <c r="AH30" i="34"/>
  <c r="AH29" i="34"/>
  <c r="AH28" i="34"/>
  <c r="AI27" i="34"/>
  <c r="AH27" i="34"/>
  <c r="AM41" i="34"/>
  <c r="AM40" i="34"/>
  <c r="AM39" i="34"/>
  <c r="AM38" i="34"/>
  <c r="AM37" i="34"/>
  <c r="AM36" i="34"/>
  <c r="AM35" i="34"/>
  <c r="AM34" i="34"/>
  <c r="AM33" i="34"/>
  <c r="AM32" i="34"/>
  <c r="AM31" i="34"/>
  <c r="AM30" i="34"/>
  <c r="AM29" i="34"/>
  <c r="AM28" i="34"/>
  <c r="AN27" i="34"/>
  <c r="AM27" i="34"/>
  <c r="AR41" i="34"/>
  <c r="AR40" i="34"/>
  <c r="AR39" i="34"/>
  <c r="AR38" i="34"/>
  <c r="AR37" i="34"/>
  <c r="AR36" i="34"/>
  <c r="AR35" i="34"/>
  <c r="AR34" i="34"/>
  <c r="AR33" i="34"/>
  <c r="AR32" i="34"/>
  <c r="AR31" i="34"/>
  <c r="AR30" i="34"/>
  <c r="AR29" i="34"/>
  <c r="AR28" i="34"/>
  <c r="AS27" i="34"/>
  <c r="AR27" i="34"/>
  <c r="AW41" i="34"/>
  <c r="AW40" i="34"/>
  <c r="AW39" i="34"/>
  <c r="AW38" i="34"/>
  <c r="AW37" i="34"/>
  <c r="AW36" i="34"/>
  <c r="AW35" i="34"/>
  <c r="AW34" i="34"/>
  <c r="AW33" i="34"/>
  <c r="AW32" i="34"/>
  <c r="AW31" i="34"/>
  <c r="AW30" i="34"/>
  <c r="AW29" i="34"/>
  <c r="AW28" i="34"/>
  <c r="AX27" i="34"/>
  <c r="AW27" i="34"/>
  <c r="S71" i="33"/>
  <c r="S70" i="33"/>
  <c r="S69" i="33"/>
  <c r="S68" i="33"/>
  <c r="S67" i="33"/>
  <c r="S66" i="33"/>
  <c r="S65" i="33"/>
  <c r="S64" i="33"/>
  <c r="S63" i="33"/>
  <c r="S62" i="33"/>
  <c r="S61" i="33"/>
  <c r="S60" i="33"/>
  <c r="S59" i="33"/>
  <c r="S58" i="33"/>
  <c r="S57" i="33"/>
  <c r="S56" i="33"/>
  <c r="S55" i="33"/>
  <c r="S54" i="33"/>
  <c r="S53" i="33"/>
  <c r="S52" i="33"/>
  <c r="S51" i="33"/>
  <c r="S50" i="33"/>
  <c r="S49" i="33"/>
  <c r="S48" i="33"/>
  <c r="S47" i="33"/>
  <c r="S46" i="33"/>
  <c r="S45" i="33"/>
  <c r="S44" i="33"/>
  <c r="S43" i="33"/>
  <c r="T42" i="33"/>
  <c r="S42" i="33"/>
  <c r="X71" i="33"/>
  <c r="X70" i="33"/>
  <c r="X69" i="33"/>
  <c r="X68" i="33"/>
  <c r="X67" i="33"/>
  <c r="X66" i="33"/>
  <c r="X65" i="33"/>
  <c r="X64" i="33"/>
  <c r="X63" i="33"/>
  <c r="X62" i="33"/>
  <c r="X61" i="33"/>
  <c r="X60" i="33"/>
  <c r="X59" i="33"/>
  <c r="X58" i="33"/>
  <c r="X57" i="33"/>
  <c r="X56" i="33"/>
  <c r="X55" i="33"/>
  <c r="X54" i="33"/>
  <c r="X53" i="33"/>
  <c r="X52" i="33"/>
  <c r="X51" i="33"/>
  <c r="X50" i="33"/>
  <c r="X49" i="33"/>
  <c r="X48" i="33"/>
  <c r="X47" i="33"/>
  <c r="X46" i="33"/>
  <c r="X45" i="33"/>
  <c r="X44" i="33"/>
  <c r="X43" i="33"/>
  <c r="Y42" i="33"/>
  <c r="X42" i="33"/>
  <c r="AC71" i="33"/>
  <c r="AC70" i="33"/>
  <c r="AC69" i="33"/>
  <c r="AC68" i="33"/>
  <c r="AC67" i="33"/>
  <c r="AC66" i="33"/>
  <c r="AC65" i="33"/>
  <c r="AC64" i="33"/>
  <c r="AC63" i="33"/>
  <c r="AC62" i="33"/>
  <c r="AC61" i="33"/>
  <c r="AC60" i="33"/>
  <c r="AC59" i="33"/>
  <c r="AC58" i="33"/>
  <c r="AC57" i="33"/>
  <c r="AC56" i="33"/>
  <c r="AC55" i="33"/>
  <c r="AC54" i="33"/>
  <c r="AC53" i="33"/>
  <c r="AC52" i="33"/>
  <c r="AC51" i="33"/>
  <c r="AC50" i="33"/>
  <c r="AC49" i="33"/>
  <c r="AC48" i="33"/>
  <c r="AC47" i="33"/>
  <c r="AC46" i="33"/>
  <c r="AC45" i="33"/>
  <c r="AC44" i="33"/>
  <c r="AC43" i="33"/>
  <c r="AD42" i="33"/>
  <c r="AC42" i="33"/>
  <c r="AH71" i="33"/>
  <c r="AH70" i="33"/>
  <c r="AH69" i="33"/>
  <c r="AH68" i="33"/>
  <c r="AH67" i="33"/>
  <c r="AH66" i="33"/>
  <c r="AH65" i="33"/>
  <c r="AH64" i="33"/>
  <c r="AH63" i="33"/>
  <c r="AH62" i="33"/>
  <c r="AH61" i="33"/>
  <c r="AH60" i="33"/>
  <c r="AH59" i="33"/>
  <c r="AH58" i="33"/>
  <c r="AH57" i="33"/>
  <c r="AH56" i="33"/>
  <c r="AH55" i="33"/>
  <c r="AH54" i="33"/>
  <c r="AH53" i="33"/>
  <c r="AH52" i="33"/>
  <c r="AH51" i="33"/>
  <c r="AH50" i="33"/>
  <c r="AH49" i="33"/>
  <c r="AH48" i="33"/>
  <c r="AH47" i="33"/>
  <c r="AH46" i="33"/>
  <c r="AH45" i="33"/>
  <c r="AH44" i="33"/>
  <c r="AH43" i="33"/>
  <c r="AI42" i="33"/>
  <c r="AH42" i="33"/>
  <c r="AM71" i="33"/>
  <c r="AM70" i="33"/>
  <c r="AM69" i="33"/>
  <c r="AM68" i="33"/>
  <c r="AM67" i="33"/>
  <c r="AM66" i="33"/>
  <c r="AM65" i="33"/>
  <c r="AM64" i="33"/>
  <c r="AM63" i="33"/>
  <c r="AM62" i="33"/>
  <c r="AM61" i="33"/>
  <c r="AM60" i="33"/>
  <c r="AM59" i="33"/>
  <c r="AM58" i="33"/>
  <c r="AM57" i="33"/>
  <c r="AM56" i="33"/>
  <c r="AM55" i="33"/>
  <c r="AM54" i="33"/>
  <c r="AM53" i="33"/>
  <c r="AM52" i="33"/>
  <c r="AM51" i="33"/>
  <c r="AM50" i="33"/>
  <c r="AM49" i="33"/>
  <c r="AM48" i="33"/>
  <c r="AM47" i="33"/>
  <c r="AM46" i="33"/>
  <c r="AM45" i="33"/>
  <c r="AM44" i="33"/>
  <c r="AM43" i="33"/>
  <c r="AN42" i="33"/>
  <c r="AM42" i="33"/>
  <c r="AR71" i="33"/>
  <c r="AR70" i="33"/>
  <c r="AR69" i="33"/>
  <c r="AR68" i="33"/>
  <c r="AR67" i="33"/>
  <c r="AR66" i="33"/>
  <c r="AR65" i="33"/>
  <c r="AR64" i="33"/>
  <c r="AR63" i="33"/>
  <c r="AR62" i="33"/>
  <c r="AR61" i="33"/>
  <c r="AR60" i="33"/>
  <c r="AR59" i="33"/>
  <c r="AR58" i="33"/>
  <c r="AR57" i="33"/>
  <c r="AR56" i="33"/>
  <c r="AR55" i="33"/>
  <c r="AR54" i="33"/>
  <c r="AR53" i="33"/>
  <c r="AR52" i="33"/>
  <c r="AR51" i="33"/>
  <c r="AR50" i="33"/>
  <c r="AR49" i="33"/>
  <c r="AR48" i="33"/>
  <c r="AR47" i="33"/>
  <c r="AR46" i="33"/>
  <c r="AR45" i="33"/>
  <c r="AR44" i="33"/>
  <c r="AR43" i="33"/>
  <c r="AS42" i="33"/>
  <c r="AR42" i="33"/>
  <c r="AW71" i="33"/>
  <c r="AW70" i="33"/>
  <c r="AW69" i="33"/>
  <c r="AW68" i="33"/>
  <c r="AW67" i="33"/>
  <c r="AW66" i="33"/>
  <c r="AW65" i="33"/>
  <c r="AW64" i="33"/>
  <c r="AW63" i="33"/>
  <c r="AW62" i="33"/>
  <c r="AW61" i="33"/>
  <c r="AW60" i="33"/>
  <c r="AW59" i="33"/>
  <c r="AW58" i="33"/>
  <c r="AW57" i="33"/>
  <c r="AW56" i="33"/>
  <c r="AW55" i="33"/>
  <c r="AW54" i="33"/>
  <c r="AW53" i="33"/>
  <c r="AW52" i="33"/>
  <c r="AW51" i="33"/>
  <c r="AW50" i="33"/>
  <c r="AW49" i="33"/>
  <c r="AW48" i="33"/>
  <c r="AW47" i="33"/>
  <c r="AW46" i="33"/>
  <c r="AW45" i="33"/>
  <c r="AW44" i="33"/>
  <c r="AW43" i="33"/>
  <c r="AX42" i="33"/>
  <c r="AW42" i="33"/>
  <c r="P72" i="33"/>
  <c r="U72" i="33"/>
  <c r="Z72" i="33" s="1"/>
  <c r="AE72" i="33" s="1"/>
  <c r="AJ72" i="33" s="1"/>
  <c r="AO72" i="33" s="1"/>
  <c r="AT72" i="33" s="1"/>
  <c r="S41" i="31"/>
  <c r="S40" i="31"/>
  <c r="S39" i="31"/>
  <c r="S38" i="31"/>
  <c r="S37" i="31"/>
  <c r="S36" i="31"/>
  <c r="S35" i="31"/>
  <c r="S34" i="31"/>
  <c r="S33" i="31"/>
  <c r="S32" i="31"/>
  <c r="S31" i="31"/>
  <c r="S30" i="31"/>
  <c r="S29" i="31"/>
  <c r="S28" i="31"/>
  <c r="T27" i="31"/>
  <c r="S27" i="31"/>
  <c r="X41" i="31"/>
  <c r="X40" i="31"/>
  <c r="X39" i="31"/>
  <c r="X38" i="31"/>
  <c r="X37" i="31"/>
  <c r="X36" i="31"/>
  <c r="X35" i="31"/>
  <c r="X34" i="31"/>
  <c r="X33" i="31"/>
  <c r="X32" i="31"/>
  <c r="X31" i="31"/>
  <c r="X30" i="31"/>
  <c r="X29" i="31"/>
  <c r="X28" i="31"/>
  <c r="Y27" i="31"/>
  <c r="X27" i="31"/>
  <c r="AC41" i="31"/>
  <c r="AC40" i="31"/>
  <c r="AC39" i="31"/>
  <c r="AC38" i="31"/>
  <c r="AC37" i="31"/>
  <c r="AC36" i="31"/>
  <c r="AC35" i="31"/>
  <c r="AC34" i="31"/>
  <c r="AC33" i="31"/>
  <c r="AC32" i="31"/>
  <c r="AC31" i="31"/>
  <c r="AC30" i="31"/>
  <c r="AC29" i="31"/>
  <c r="AC28" i="31"/>
  <c r="AD27" i="31"/>
  <c r="AC27" i="31"/>
  <c r="AH41" i="31"/>
  <c r="AH40" i="31"/>
  <c r="AH39" i="31"/>
  <c r="AH38" i="31"/>
  <c r="AH37" i="31"/>
  <c r="AH36" i="31"/>
  <c r="AH35" i="31"/>
  <c r="AH34" i="31"/>
  <c r="AH33" i="31"/>
  <c r="AH32" i="31"/>
  <c r="AH31" i="31"/>
  <c r="AH30" i="31"/>
  <c r="AH29" i="31"/>
  <c r="AH28" i="31"/>
  <c r="AI27" i="31"/>
  <c r="AH27" i="31"/>
  <c r="AM41" i="31"/>
  <c r="AM40" i="31"/>
  <c r="AM39" i="31"/>
  <c r="AM38" i="31"/>
  <c r="AM37" i="31"/>
  <c r="AM36" i="31"/>
  <c r="AM35" i="31"/>
  <c r="AM34" i="31"/>
  <c r="AM33" i="31"/>
  <c r="AM32" i="31"/>
  <c r="AM31" i="31"/>
  <c r="AM30" i="31"/>
  <c r="AM29" i="31"/>
  <c r="AM28" i="31"/>
  <c r="AN27" i="31"/>
  <c r="AM27" i="31"/>
  <c r="AR41" i="31"/>
  <c r="AR40" i="31"/>
  <c r="AR39" i="31"/>
  <c r="AR38" i="31"/>
  <c r="AR37" i="31"/>
  <c r="AR36" i="31"/>
  <c r="AR35" i="31"/>
  <c r="AR34" i="31"/>
  <c r="AR33" i="31"/>
  <c r="AR32" i="31"/>
  <c r="AR31" i="31"/>
  <c r="AR30" i="31"/>
  <c r="AR29" i="31"/>
  <c r="AR28" i="31"/>
  <c r="AS27" i="31"/>
  <c r="AR27" i="31"/>
  <c r="AW41" i="31"/>
  <c r="AW40" i="31"/>
  <c r="AW39" i="31"/>
  <c r="AW38" i="31"/>
  <c r="AW37" i="31"/>
  <c r="AW36" i="31"/>
  <c r="AW35" i="31"/>
  <c r="AW34" i="31"/>
  <c r="AW33" i="31"/>
  <c r="AW32" i="31"/>
  <c r="AW31" i="31"/>
  <c r="AW30" i="31"/>
  <c r="AW29" i="31"/>
  <c r="AW28" i="31"/>
  <c r="AX27" i="31"/>
  <c r="AW27" i="31"/>
  <c r="S41" i="32"/>
  <c r="S40" i="32"/>
  <c r="S39" i="32"/>
  <c r="S38" i="32"/>
  <c r="S37" i="32"/>
  <c r="S36" i="32"/>
  <c r="S35" i="32"/>
  <c r="S34" i="32"/>
  <c r="S33" i="32"/>
  <c r="S32" i="32"/>
  <c r="S31" i="32"/>
  <c r="S30" i="32"/>
  <c r="S29" i="32"/>
  <c r="S28" i="32"/>
  <c r="T27" i="32"/>
  <c r="S27" i="32"/>
  <c r="X41" i="32"/>
  <c r="X40" i="32"/>
  <c r="X39" i="32"/>
  <c r="X38" i="32"/>
  <c r="X37" i="32"/>
  <c r="X36" i="32"/>
  <c r="X35" i="32"/>
  <c r="X34" i="32"/>
  <c r="X33" i="32"/>
  <c r="X32" i="32"/>
  <c r="X31" i="32"/>
  <c r="X30" i="32"/>
  <c r="X29" i="32"/>
  <c r="X28" i="32"/>
  <c r="Y27" i="32"/>
  <c r="X27" i="32"/>
  <c r="AC41" i="32"/>
  <c r="AC40" i="32"/>
  <c r="AC39" i="32"/>
  <c r="AC38" i="32"/>
  <c r="AC37" i="32"/>
  <c r="AC36" i="32"/>
  <c r="AC35" i="32"/>
  <c r="AC34" i="32"/>
  <c r="AC33" i="32"/>
  <c r="AC32" i="32"/>
  <c r="AC31" i="32"/>
  <c r="AC30" i="32"/>
  <c r="AC29" i="32"/>
  <c r="AC28" i="32"/>
  <c r="AD27" i="32"/>
  <c r="AC27" i="32"/>
  <c r="AH41" i="32"/>
  <c r="AH40" i="32"/>
  <c r="AH39" i="32"/>
  <c r="AH38" i="32"/>
  <c r="AH37" i="32"/>
  <c r="AH36" i="32"/>
  <c r="AH35" i="32"/>
  <c r="AH34" i="32"/>
  <c r="AH33" i="32"/>
  <c r="AH32" i="32"/>
  <c r="AH31" i="32"/>
  <c r="AH30" i="32"/>
  <c r="AH29" i="32"/>
  <c r="AH28" i="32"/>
  <c r="AI27" i="32"/>
  <c r="AH27" i="32"/>
  <c r="AM41" i="32"/>
  <c r="AM40" i="32"/>
  <c r="AM39" i="32"/>
  <c r="AM38" i="32"/>
  <c r="AM37" i="32"/>
  <c r="AM36" i="32"/>
  <c r="AM35" i="32"/>
  <c r="AM34" i="32"/>
  <c r="AM33" i="32"/>
  <c r="AM32" i="32"/>
  <c r="AM31" i="32"/>
  <c r="AM30" i="32"/>
  <c r="AM29" i="32"/>
  <c r="AM28" i="32"/>
  <c r="AN27" i="32"/>
  <c r="AM27" i="32"/>
  <c r="AR41" i="32"/>
  <c r="AR40" i="32"/>
  <c r="AR39" i="32"/>
  <c r="AR38" i="32"/>
  <c r="AR37" i="32"/>
  <c r="AR36" i="32"/>
  <c r="AR35" i="32"/>
  <c r="AR34" i="32"/>
  <c r="AR33" i="32"/>
  <c r="AR32" i="32"/>
  <c r="AR31" i="32"/>
  <c r="AR30" i="32"/>
  <c r="AR29" i="32"/>
  <c r="AR28" i="32"/>
  <c r="AS27" i="32"/>
  <c r="AR27" i="32"/>
  <c r="AW41" i="32"/>
  <c r="AW40" i="32"/>
  <c r="AW39" i="32"/>
  <c r="AW38" i="32"/>
  <c r="AW37" i="32"/>
  <c r="AW36" i="32"/>
  <c r="AW35" i="32"/>
  <c r="AW34" i="32"/>
  <c r="AW33" i="32"/>
  <c r="AW32" i="32"/>
  <c r="AW31" i="32"/>
  <c r="AW30" i="32"/>
  <c r="AW29" i="32"/>
  <c r="AW28" i="32"/>
  <c r="AX27" i="32"/>
  <c r="AW27" i="32"/>
  <c r="S41" i="30"/>
  <c r="S40" i="30"/>
  <c r="S39" i="30"/>
  <c r="S38" i="30"/>
  <c r="S37" i="30"/>
  <c r="S36" i="30"/>
  <c r="S35" i="30"/>
  <c r="S34" i="30"/>
  <c r="S33" i="30"/>
  <c r="S32" i="30"/>
  <c r="S31" i="30"/>
  <c r="S30" i="30"/>
  <c r="S29" i="30"/>
  <c r="S28" i="30"/>
  <c r="T27" i="30"/>
  <c r="S27" i="30"/>
  <c r="X41" i="30"/>
  <c r="X40" i="30"/>
  <c r="X39" i="30"/>
  <c r="X38" i="30"/>
  <c r="X37" i="30"/>
  <c r="X36" i="30"/>
  <c r="X35" i="30"/>
  <c r="X34" i="30"/>
  <c r="X33" i="30"/>
  <c r="X32" i="30"/>
  <c r="X31" i="30"/>
  <c r="X30" i="30"/>
  <c r="X29" i="30"/>
  <c r="X28" i="30"/>
  <c r="Y27" i="30"/>
  <c r="X27" i="30"/>
  <c r="AC41" i="30"/>
  <c r="AC40" i="30"/>
  <c r="AC39" i="30"/>
  <c r="AC38" i="30"/>
  <c r="AC37" i="30"/>
  <c r="AC36" i="30"/>
  <c r="AC35" i="30"/>
  <c r="AC34" i="30"/>
  <c r="AC33" i="30"/>
  <c r="AC32" i="30"/>
  <c r="AC31" i="30"/>
  <c r="AC30" i="30"/>
  <c r="AC29" i="30"/>
  <c r="AC28" i="30"/>
  <c r="AD27" i="30"/>
  <c r="AC27" i="30"/>
  <c r="AH41" i="30"/>
  <c r="AH40" i="30"/>
  <c r="AH39" i="30"/>
  <c r="AH38" i="30"/>
  <c r="AH37" i="30"/>
  <c r="AH36" i="30"/>
  <c r="AH35" i="30"/>
  <c r="AH34" i="30"/>
  <c r="AH33" i="30"/>
  <c r="AH32" i="30"/>
  <c r="AH31" i="30"/>
  <c r="AH30" i="30"/>
  <c r="AH29" i="30"/>
  <c r="AH28" i="30"/>
  <c r="AI27" i="30"/>
  <c r="AH27" i="30"/>
  <c r="AM41" i="30"/>
  <c r="AM40" i="30"/>
  <c r="AM39" i="30"/>
  <c r="AM38" i="30"/>
  <c r="AM37" i="30"/>
  <c r="AM36" i="30"/>
  <c r="AM35" i="30"/>
  <c r="AM34" i="30"/>
  <c r="AM33" i="30"/>
  <c r="AM32" i="30"/>
  <c r="AM31" i="30"/>
  <c r="AM30" i="30"/>
  <c r="AM29" i="30"/>
  <c r="AM28" i="30"/>
  <c r="AN27" i="30"/>
  <c r="AM27" i="30"/>
  <c r="AR41" i="30"/>
  <c r="AR40" i="30"/>
  <c r="AR39" i="30"/>
  <c r="AR38" i="30"/>
  <c r="AR37" i="30"/>
  <c r="AR36" i="30"/>
  <c r="AR35" i="30"/>
  <c r="AR34" i="30"/>
  <c r="AR33" i="30"/>
  <c r="AR32" i="30"/>
  <c r="AR31" i="30"/>
  <c r="AR30" i="30"/>
  <c r="AR29" i="30"/>
  <c r="AR28" i="30"/>
  <c r="AS27" i="30"/>
  <c r="AR27" i="30"/>
  <c r="AW41" i="30"/>
  <c r="AW40" i="30"/>
  <c r="AW39" i="30"/>
  <c r="AW38" i="30"/>
  <c r="AW37" i="30"/>
  <c r="AW36" i="30"/>
  <c r="AW35" i="30"/>
  <c r="AW34" i="30"/>
  <c r="AW33" i="30"/>
  <c r="AW32" i="30"/>
  <c r="AW31" i="30"/>
  <c r="AW30" i="30"/>
  <c r="AW29" i="30"/>
  <c r="AW28" i="30"/>
  <c r="AX27" i="30"/>
  <c r="AW27" i="30"/>
  <c r="S71" i="8"/>
  <c r="S70" i="8"/>
  <c r="S69" i="8"/>
  <c r="S68" i="8"/>
  <c r="S67" i="8"/>
  <c r="S66" i="8"/>
  <c r="S65" i="8"/>
  <c r="S64" i="8"/>
  <c r="S63" i="8"/>
  <c r="S62" i="8"/>
  <c r="S61" i="8"/>
  <c r="S60" i="8"/>
  <c r="S59" i="8"/>
  <c r="S58" i="8"/>
  <c r="S57" i="8"/>
  <c r="S56" i="8"/>
  <c r="S55" i="8"/>
  <c r="S54" i="8"/>
  <c r="S53" i="8"/>
  <c r="S52" i="8"/>
  <c r="S51" i="8"/>
  <c r="S50" i="8"/>
  <c r="S49" i="8"/>
  <c r="S48" i="8"/>
  <c r="S47" i="8"/>
  <c r="S46" i="8"/>
  <c r="S45" i="8"/>
  <c r="S44" i="8"/>
  <c r="S43" i="8"/>
  <c r="T42" i="8"/>
  <c r="S42" i="8"/>
  <c r="X71" i="8"/>
  <c r="X70" i="8"/>
  <c r="X69" i="8"/>
  <c r="X68" i="8"/>
  <c r="X67" i="8"/>
  <c r="X66" i="8"/>
  <c r="X65" i="8"/>
  <c r="X64" i="8"/>
  <c r="X63" i="8"/>
  <c r="X62" i="8"/>
  <c r="X61" i="8"/>
  <c r="X60" i="8"/>
  <c r="X59" i="8"/>
  <c r="X58" i="8"/>
  <c r="X57" i="8"/>
  <c r="X56" i="8"/>
  <c r="X55" i="8"/>
  <c r="X54" i="8"/>
  <c r="X53" i="8"/>
  <c r="X52" i="8"/>
  <c r="X51" i="8"/>
  <c r="X50" i="8"/>
  <c r="X49" i="8"/>
  <c r="X48" i="8"/>
  <c r="X47" i="8"/>
  <c r="X46" i="8"/>
  <c r="X45" i="8"/>
  <c r="X44" i="8"/>
  <c r="X43" i="8"/>
  <c r="Y42" i="8"/>
  <c r="X42" i="8"/>
  <c r="AC71" i="8"/>
  <c r="AC70" i="8"/>
  <c r="AC69" i="8"/>
  <c r="AC68" i="8"/>
  <c r="AC67" i="8"/>
  <c r="AC66" i="8"/>
  <c r="AC65" i="8"/>
  <c r="AC64" i="8"/>
  <c r="AC63" i="8"/>
  <c r="AC62" i="8"/>
  <c r="AC61" i="8"/>
  <c r="AC60" i="8"/>
  <c r="AC59" i="8"/>
  <c r="AC58" i="8"/>
  <c r="AC57" i="8"/>
  <c r="AC56" i="8"/>
  <c r="AC55" i="8"/>
  <c r="AC54" i="8"/>
  <c r="AC53" i="8"/>
  <c r="AC52" i="8"/>
  <c r="AC51" i="8"/>
  <c r="AC50" i="8"/>
  <c r="AC49" i="8"/>
  <c r="AC48" i="8"/>
  <c r="AC47" i="8"/>
  <c r="AC46" i="8"/>
  <c r="AC45" i="8"/>
  <c r="AC44" i="8"/>
  <c r="AC43" i="8"/>
  <c r="AD42" i="8"/>
  <c r="AC42" i="8"/>
  <c r="AH71" i="8"/>
  <c r="AH70" i="8"/>
  <c r="AH69" i="8"/>
  <c r="AH68" i="8"/>
  <c r="AH67" i="8"/>
  <c r="AH66" i="8"/>
  <c r="AH65" i="8"/>
  <c r="AH64" i="8"/>
  <c r="AH63" i="8"/>
  <c r="AH62" i="8"/>
  <c r="AH61" i="8"/>
  <c r="AH60" i="8"/>
  <c r="AH59" i="8"/>
  <c r="AH58" i="8"/>
  <c r="AH57" i="8"/>
  <c r="AH56" i="8"/>
  <c r="AH55" i="8"/>
  <c r="AH54" i="8"/>
  <c r="AH53" i="8"/>
  <c r="AH52" i="8"/>
  <c r="AH51" i="8"/>
  <c r="AH50" i="8"/>
  <c r="AH49" i="8"/>
  <c r="AH48" i="8"/>
  <c r="AH47" i="8"/>
  <c r="AH46" i="8"/>
  <c r="AH45" i="8"/>
  <c r="AH44" i="8"/>
  <c r="AH43" i="8"/>
  <c r="AI42" i="8"/>
  <c r="AH42" i="8"/>
  <c r="AM71" i="8"/>
  <c r="AM70" i="8"/>
  <c r="AM69" i="8"/>
  <c r="AM68" i="8"/>
  <c r="AM67" i="8"/>
  <c r="AM66" i="8"/>
  <c r="AM65" i="8"/>
  <c r="AM64" i="8"/>
  <c r="AM63" i="8"/>
  <c r="AM62" i="8"/>
  <c r="AM61" i="8"/>
  <c r="AM60" i="8"/>
  <c r="AM59" i="8"/>
  <c r="AM58" i="8"/>
  <c r="AM57" i="8"/>
  <c r="AM56" i="8"/>
  <c r="AM55" i="8"/>
  <c r="AM54" i="8"/>
  <c r="AM53" i="8"/>
  <c r="AM52" i="8"/>
  <c r="AM51" i="8"/>
  <c r="AM50" i="8"/>
  <c r="AM49" i="8"/>
  <c r="AM48" i="8"/>
  <c r="AM47" i="8"/>
  <c r="AM46" i="8"/>
  <c r="AM45" i="8"/>
  <c r="AM44" i="8"/>
  <c r="AM43" i="8"/>
  <c r="AN42" i="8"/>
  <c r="AM42" i="8"/>
  <c r="AR71" i="8"/>
  <c r="AR70" i="8"/>
  <c r="AR69" i="8"/>
  <c r="AR68" i="8"/>
  <c r="AR67" i="8"/>
  <c r="AR66" i="8"/>
  <c r="AR65" i="8"/>
  <c r="AR64" i="8"/>
  <c r="AR63" i="8"/>
  <c r="AR62" i="8"/>
  <c r="AR61" i="8"/>
  <c r="AR60" i="8"/>
  <c r="AR59" i="8"/>
  <c r="AR58" i="8"/>
  <c r="AR57" i="8"/>
  <c r="AR56" i="8"/>
  <c r="AR55" i="8"/>
  <c r="AR54" i="8"/>
  <c r="AR53" i="8"/>
  <c r="AR52" i="8"/>
  <c r="AR51" i="8"/>
  <c r="AR50" i="8"/>
  <c r="AR49" i="8"/>
  <c r="AR48" i="8"/>
  <c r="AR47" i="8"/>
  <c r="AR46" i="8"/>
  <c r="AR45" i="8"/>
  <c r="AR44" i="8"/>
  <c r="AR43" i="8"/>
  <c r="AS42" i="8"/>
  <c r="AR42" i="8"/>
  <c r="AW71" i="8"/>
  <c r="AW70" i="8"/>
  <c r="AW69" i="8"/>
  <c r="AW68" i="8"/>
  <c r="AW67" i="8"/>
  <c r="AW66" i="8"/>
  <c r="AW65" i="8"/>
  <c r="AW64" i="8"/>
  <c r="AW63" i="8"/>
  <c r="AW62" i="8"/>
  <c r="AW61" i="8"/>
  <c r="AW60" i="8"/>
  <c r="AW59" i="8"/>
  <c r="AW58" i="8"/>
  <c r="AW57" i="8"/>
  <c r="AW56" i="8"/>
  <c r="AW55" i="8"/>
  <c r="AW54" i="8"/>
  <c r="AW53" i="8"/>
  <c r="AW52" i="8"/>
  <c r="AW51" i="8"/>
  <c r="AW50" i="8"/>
  <c r="AW49" i="8"/>
  <c r="AW48" i="8"/>
  <c r="AW47" i="8"/>
  <c r="AW46" i="8"/>
  <c r="AW45" i="8"/>
  <c r="AW44" i="8"/>
  <c r="AW43" i="8"/>
  <c r="AX42" i="8"/>
  <c r="AW42" i="8"/>
  <c r="AZ121" i="30"/>
  <c r="AZ120" i="30"/>
  <c r="AZ119" i="30"/>
  <c r="AZ118" i="30"/>
  <c r="AZ117" i="30"/>
  <c r="AZ116" i="30"/>
  <c r="AZ115" i="30"/>
  <c r="AZ114" i="30"/>
  <c r="AZ113" i="30"/>
  <c r="AZ112" i="30"/>
  <c r="AZ111" i="30"/>
  <c r="AZ110" i="30"/>
  <c r="AZ109" i="30"/>
  <c r="AZ108" i="30"/>
  <c r="BA107" i="30"/>
  <c r="AZ107" i="30"/>
  <c r="AZ101" i="30"/>
  <c r="AZ100" i="30"/>
  <c r="AZ99" i="30"/>
  <c r="AZ98" i="30"/>
  <c r="AZ97" i="30"/>
  <c r="AZ96" i="30"/>
  <c r="AZ95" i="30"/>
  <c r="AZ94" i="30"/>
  <c r="AZ93" i="30"/>
  <c r="AZ92" i="30"/>
  <c r="AZ91" i="30"/>
  <c r="AZ90" i="30"/>
  <c r="AZ89" i="30"/>
  <c r="AZ88" i="30"/>
  <c r="BA87" i="30"/>
  <c r="AZ87" i="30"/>
  <c r="AZ81" i="30"/>
  <c r="AZ80" i="30"/>
  <c r="AZ79" i="30"/>
  <c r="AZ78" i="30"/>
  <c r="AZ77" i="30"/>
  <c r="AZ76" i="30"/>
  <c r="AZ75" i="30"/>
  <c r="AZ74" i="30"/>
  <c r="AZ73" i="30"/>
  <c r="AZ72" i="30"/>
  <c r="AZ71" i="30"/>
  <c r="AZ70" i="30"/>
  <c r="AZ69" i="30"/>
  <c r="AZ68" i="30"/>
  <c r="BA67" i="30"/>
  <c r="AZ67" i="30"/>
  <c r="AZ53" i="30"/>
  <c r="AZ52" i="30"/>
  <c r="AZ51" i="30"/>
  <c r="AZ50" i="30"/>
  <c r="AZ49" i="30"/>
  <c r="AZ48" i="30"/>
  <c r="BA47" i="30"/>
  <c r="AZ47" i="30"/>
  <c r="AZ41" i="30"/>
  <c r="AZ40" i="30"/>
  <c r="AZ39" i="30"/>
  <c r="AZ38" i="30"/>
  <c r="AZ37" i="30"/>
  <c r="AZ36" i="30"/>
  <c r="AZ35" i="30"/>
  <c r="AZ34" i="30"/>
  <c r="AZ33" i="30"/>
  <c r="AZ32" i="30"/>
  <c r="AZ31" i="30"/>
  <c r="AZ30" i="30"/>
  <c r="AZ29" i="30"/>
  <c r="AZ28" i="30"/>
  <c r="BA27" i="30"/>
  <c r="AZ27" i="30"/>
  <c r="AZ21" i="30"/>
  <c r="AZ20" i="30"/>
  <c r="AZ19" i="30"/>
  <c r="AZ18" i="30"/>
  <c r="AZ17" i="30"/>
  <c r="AZ16" i="30"/>
  <c r="AZ15" i="30"/>
  <c r="AZ14" i="30"/>
  <c r="AZ13" i="30"/>
  <c r="AZ12" i="30"/>
  <c r="AZ11" i="30"/>
  <c r="AZ10" i="30"/>
  <c r="AZ9" i="30"/>
  <c r="AZ8" i="30"/>
  <c r="BA7" i="30"/>
  <c r="AZ7" i="30"/>
  <c r="AZ211" i="8"/>
  <c r="AZ210" i="8"/>
  <c r="AZ209" i="8"/>
  <c r="AZ208" i="8"/>
  <c r="AZ207" i="8"/>
  <c r="AZ206" i="8"/>
  <c r="AZ205" i="8"/>
  <c r="AZ204" i="8"/>
  <c r="AZ203" i="8"/>
  <c r="AZ202" i="8"/>
  <c r="AZ201" i="8"/>
  <c r="AZ200" i="8"/>
  <c r="AZ199" i="8"/>
  <c r="AZ198" i="8"/>
  <c r="AZ197" i="8"/>
  <c r="AZ196" i="8"/>
  <c r="AZ195" i="8"/>
  <c r="AZ194" i="8"/>
  <c r="AZ193" i="8"/>
  <c r="AZ192" i="8"/>
  <c r="AZ191" i="8"/>
  <c r="AZ190" i="8"/>
  <c r="AZ189" i="8"/>
  <c r="AZ188" i="8"/>
  <c r="AZ187" i="8"/>
  <c r="AZ186" i="8"/>
  <c r="AZ185" i="8"/>
  <c r="AZ184" i="8"/>
  <c r="AZ183" i="8"/>
  <c r="BA182" i="8"/>
  <c r="AZ182" i="8"/>
  <c r="AZ176" i="8"/>
  <c r="AZ175" i="8"/>
  <c r="AZ174" i="8"/>
  <c r="AZ173" i="8"/>
  <c r="AZ172" i="8"/>
  <c r="AZ171" i="8"/>
  <c r="AZ170" i="8"/>
  <c r="AZ169" i="8"/>
  <c r="AZ168" i="8"/>
  <c r="AZ167" i="8"/>
  <c r="AZ166" i="8"/>
  <c r="AZ165" i="8"/>
  <c r="AZ164" i="8"/>
  <c r="AZ163" i="8"/>
  <c r="AZ162" i="8"/>
  <c r="AZ161" i="8"/>
  <c r="AZ160" i="8"/>
  <c r="AZ159" i="8"/>
  <c r="AZ158" i="8"/>
  <c r="AZ157" i="8"/>
  <c r="AZ156" i="8"/>
  <c r="AZ155" i="8"/>
  <c r="AZ154" i="8"/>
  <c r="AZ153" i="8"/>
  <c r="AZ152" i="8"/>
  <c r="AZ151" i="8"/>
  <c r="AZ150" i="8"/>
  <c r="AZ149" i="8"/>
  <c r="AZ148" i="8"/>
  <c r="BA147" i="8"/>
  <c r="AZ147" i="8"/>
  <c r="AZ141" i="8"/>
  <c r="AZ140" i="8"/>
  <c r="AZ139" i="8"/>
  <c r="AZ138" i="8"/>
  <c r="AZ137" i="8"/>
  <c r="AZ136" i="8"/>
  <c r="AZ135" i="8"/>
  <c r="AZ134" i="8"/>
  <c r="AZ133" i="8"/>
  <c r="AZ132" i="8"/>
  <c r="AZ131" i="8"/>
  <c r="AZ130" i="8"/>
  <c r="AZ129" i="8"/>
  <c r="AZ128" i="8"/>
  <c r="AZ127" i="8"/>
  <c r="AZ126" i="8"/>
  <c r="AZ125" i="8"/>
  <c r="AZ124" i="8"/>
  <c r="AZ123" i="8"/>
  <c r="AZ122" i="8"/>
  <c r="AZ121" i="8"/>
  <c r="AZ120" i="8"/>
  <c r="AZ119" i="8"/>
  <c r="AZ118" i="8"/>
  <c r="AZ117" i="8"/>
  <c r="AZ116" i="8"/>
  <c r="AZ115" i="8"/>
  <c r="AZ114" i="8"/>
  <c r="AZ113" i="8"/>
  <c r="BA112" i="8"/>
  <c r="AZ112" i="8"/>
  <c r="AZ106" i="8"/>
  <c r="AZ105" i="8"/>
  <c r="AZ104" i="8"/>
  <c r="AZ103" i="8"/>
  <c r="AZ102" i="8"/>
  <c r="AZ101" i="8"/>
  <c r="AZ100" i="8"/>
  <c r="AZ99" i="8"/>
  <c r="AZ98" i="8"/>
  <c r="AZ97" i="8"/>
  <c r="AZ96" i="8"/>
  <c r="AZ95" i="8"/>
  <c r="AZ94" i="8"/>
  <c r="AZ93" i="8"/>
  <c r="AZ92" i="8"/>
  <c r="AZ91" i="8"/>
  <c r="AZ90" i="8"/>
  <c r="AZ89" i="8"/>
  <c r="AZ88" i="8"/>
  <c r="AZ87" i="8"/>
  <c r="AZ86" i="8"/>
  <c r="AZ85" i="8"/>
  <c r="AZ84" i="8"/>
  <c r="AZ83" i="8"/>
  <c r="AZ82" i="8"/>
  <c r="AZ81" i="8"/>
  <c r="AZ80" i="8"/>
  <c r="AZ79" i="8"/>
  <c r="AZ78" i="8"/>
  <c r="BA77" i="8"/>
  <c r="AZ77" i="8"/>
  <c r="AZ71" i="8"/>
  <c r="AZ70" i="8"/>
  <c r="AZ69" i="8"/>
  <c r="AZ68" i="8"/>
  <c r="AZ67" i="8"/>
  <c r="AZ66" i="8"/>
  <c r="AZ65" i="8"/>
  <c r="AZ64" i="8"/>
  <c r="AZ63" i="8"/>
  <c r="AZ62" i="8"/>
  <c r="AZ61" i="8"/>
  <c r="AZ60" i="8"/>
  <c r="AZ59" i="8"/>
  <c r="AZ58" i="8"/>
  <c r="AZ57" i="8"/>
  <c r="AZ56" i="8"/>
  <c r="AZ55" i="8"/>
  <c r="AZ54" i="8"/>
  <c r="AZ53" i="8"/>
  <c r="AZ52" i="8"/>
  <c r="AZ51" i="8"/>
  <c r="AZ50" i="8"/>
  <c r="AZ49" i="8"/>
  <c r="AZ48" i="8"/>
  <c r="AZ47" i="8"/>
  <c r="AZ46" i="8"/>
  <c r="AZ45" i="8"/>
  <c r="AZ44" i="8"/>
  <c r="AZ43" i="8"/>
  <c r="BA42" i="8"/>
  <c r="AZ42" i="8"/>
  <c r="AZ36" i="8"/>
  <c r="AZ35" i="8"/>
  <c r="AZ34" i="8"/>
  <c r="AZ33" i="8"/>
  <c r="AZ32" i="8"/>
  <c r="AZ31" i="8"/>
  <c r="AZ30" i="8"/>
  <c r="AZ29" i="8"/>
  <c r="AZ28" i="8"/>
  <c r="AZ27" i="8"/>
  <c r="AZ26" i="8"/>
  <c r="AZ25" i="8"/>
  <c r="AZ24" i="8"/>
  <c r="AZ23" i="8"/>
  <c r="AZ22" i="8"/>
  <c r="AZ21" i="8"/>
  <c r="AZ20" i="8"/>
  <c r="AZ19" i="8"/>
  <c r="AZ18" i="8"/>
  <c r="AZ17" i="8"/>
  <c r="AZ16" i="8"/>
  <c r="AZ15" i="8"/>
  <c r="AZ14" i="8"/>
  <c r="AZ13" i="8"/>
  <c r="AZ12" i="8"/>
  <c r="AZ11" i="8"/>
  <c r="AZ10" i="8"/>
  <c r="AZ9" i="8"/>
  <c r="AZ8" i="8"/>
  <c r="BA7" i="8"/>
  <c r="AZ7" i="8"/>
  <c r="G34" i="6" l="1"/>
  <c r="G8" i="6"/>
  <c r="D8" i="6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40" i="6" s="1"/>
  <c r="G34" i="7"/>
  <c r="G8" i="7"/>
  <c r="D8" i="7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V32" i="5"/>
  <c r="V25" i="5"/>
  <c r="I11" i="39" s="1"/>
  <c r="V18" i="5"/>
  <c r="V11" i="5"/>
  <c r="V6" i="5"/>
  <c r="S32" i="5"/>
  <c r="S25" i="5"/>
  <c r="S18" i="5"/>
  <c r="S11" i="5"/>
  <c r="S6" i="5"/>
  <c r="P32" i="5"/>
  <c r="P25" i="5"/>
  <c r="I9" i="39" s="1"/>
  <c r="P18" i="5"/>
  <c r="P11" i="5"/>
  <c r="P6" i="5"/>
  <c r="M32" i="5"/>
  <c r="M25" i="5"/>
  <c r="I8" i="39" s="1"/>
  <c r="M18" i="5"/>
  <c r="M11" i="5"/>
  <c r="M6" i="5"/>
  <c r="W10" i="5"/>
  <c r="T10" i="5"/>
  <c r="Q10" i="5"/>
  <c r="N10" i="5"/>
  <c r="N10" i="3"/>
  <c r="K10" i="3"/>
  <c r="H10" i="3"/>
  <c r="H10" i="5"/>
  <c r="J32" i="5"/>
  <c r="J6" i="5"/>
  <c r="G32" i="5"/>
  <c r="G25" i="5"/>
  <c r="I6" i="39" s="1"/>
  <c r="G18" i="5"/>
  <c r="G11" i="5"/>
  <c r="G6" i="5"/>
  <c r="S32" i="3"/>
  <c r="S25" i="3"/>
  <c r="B10" i="39" s="1"/>
  <c r="S18" i="3"/>
  <c r="V18" i="3" s="1"/>
  <c r="S11" i="3"/>
  <c r="V11" i="3" s="1"/>
  <c r="T10" i="3"/>
  <c r="S6" i="3"/>
  <c r="V6" i="3" s="1"/>
  <c r="P32" i="3"/>
  <c r="M32" i="3"/>
  <c r="M25" i="3"/>
  <c r="B8" i="39" s="1"/>
  <c r="M18" i="3"/>
  <c r="M11" i="3"/>
  <c r="M6" i="3"/>
  <c r="J32" i="3"/>
  <c r="J25" i="3"/>
  <c r="B7" i="39" s="1"/>
  <c r="J18" i="3"/>
  <c r="J11" i="3"/>
  <c r="J6" i="3"/>
  <c r="G32" i="3"/>
  <c r="G25" i="3"/>
  <c r="G18" i="3"/>
  <c r="G11" i="3"/>
  <c r="G6" i="3"/>
  <c r="D6" i="5"/>
  <c r="D7" i="5" s="1"/>
  <c r="D8" i="5" s="1"/>
  <c r="D9" i="5" s="1"/>
  <c r="D10" i="5" s="1"/>
  <c r="D11" i="5" s="1"/>
  <c r="D12" i="5" s="1"/>
  <c r="D13" i="5" s="1"/>
  <c r="D14" i="5" s="1"/>
  <c r="D15" i="5" s="1"/>
  <c r="D16" i="5" s="1"/>
  <c r="D17" i="5" s="1"/>
  <c r="D18" i="5" s="1"/>
  <c r="D19" i="5" s="1"/>
  <c r="D20" i="5" s="1"/>
  <c r="D21" i="5" s="1"/>
  <c r="D22" i="5" s="1"/>
  <c r="D23" i="5" s="1"/>
  <c r="D24" i="5" s="1"/>
  <c r="D25" i="5" s="1"/>
  <c r="D26" i="5" s="1"/>
  <c r="D27" i="5" s="1"/>
  <c r="D28" i="5" s="1"/>
  <c r="D29" i="5" s="1"/>
  <c r="D30" i="5" s="1"/>
  <c r="D31" i="5" s="1"/>
  <c r="D32" i="5" s="1"/>
  <c r="D33" i="5" s="1"/>
  <c r="D34" i="5" s="1"/>
  <c r="D35" i="5" s="1"/>
  <c r="D36" i="5" s="1"/>
  <c r="D37" i="5" s="1"/>
  <c r="D38" i="5" s="1"/>
  <c r="O40" i="3"/>
  <c r="U40" i="3"/>
  <c r="O41" i="3"/>
  <c r="U41" i="3"/>
  <c r="D6" i="3"/>
  <c r="D7" i="3" s="1"/>
  <c r="D8" i="3" s="1"/>
  <c r="D9" i="3" s="1"/>
  <c r="D10" i="3" s="1"/>
  <c r="B6" i="39" l="1"/>
  <c r="V25" i="3"/>
  <c r="B11" i="39" s="1"/>
  <c r="P25" i="3"/>
  <c r="B9" i="39" s="1"/>
  <c r="P18" i="3"/>
  <c r="P11" i="3"/>
  <c r="L37" i="48"/>
  <c r="L36" i="48"/>
  <c r="L35" i="48"/>
  <c r="L34" i="48"/>
  <c r="L33" i="48"/>
  <c r="L32" i="48"/>
  <c r="L31" i="48"/>
  <c r="H37" i="48"/>
  <c r="H36" i="48"/>
  <c r="H35" i="48"/>
  <c r="H34" i="48"/>
  <c r="H33" i="48"/>
  <c r="H32" i="48"/>
  <c r="H31" i="48"/>
  <c r="F37" i="48"/>
  <c r="F36" i="48"/>
  <c r="F35" i="48"/>
  <c r="F34" i="48"/>
  <c r="F33" i="48"/>
  <c r="F32" i="48"/>
  <c r="F31" i="48"/>
  <c r="D37" i="48"/>
  <c r="D36" i="48"/>
  <c r="D35" i="48"/>
  <c r="D34" i="48"/>
  <c r="D33" i="48"/>
  <c r="D32" i="48"/>
  <c r="D31" i="48"/>
  <c r="S21" i="37" l="1"/>
  <c r="S20" i="37"/>
  <c r="S19" i="37"/>
  <c r="S18" i="37"/>
  <c r="S17" i="37"/>
  <c r="S16" i="37"/>
  <c r="S15" i="37"/>
  <c r="S14" i="37"/>
  <c r="S13" i="37"/>
  <c r="S12" i="37"/>
  <c r="S11" i="37"/>
  <c r="S10" i="37"/>
  <c r="S9" i="37"/>
  <c r="S8" i="37"/>
  <c r="T7" i="37"/>
  <c r="S7" i="37"/>
  <c r="X21" i="37"/>
  <c r="X20" i="37"/>
  <c r="X19" i="37"/>
  <c r="X18" i="37"/>
  <c r="X17" i="37"/>
  <c r="X16" i="37"/>
  <c r="X15" i="37"/>
  <c r="X14" i="37"/>
  <c r="X13" i="37"/>
  <c r="X12" i="37"/>
  <c r="X11" i="37"/>
  <c r="X10" i="37"/>
  <c r="X9" i="37"/>
  <c r="X8" i="37"/>
  <c r="Y7" i="37"/>
  <c r="X7" i="37"/>
  <c r="AC21" i="37"/>
  <c r="AC20" i="37"/>
  <c r="AC19" i="37"/>
  <c r="AC18" i="37"/>
  <c r="AC17" i="37"/>
  <c r="AC16" i="37"/>
  <c r="AC15" i="37"/>
  <c r="AC14" i="37"/>
  <c r="AC13" i="37"/>
  <c r="AC12" i="37"/>
  <c r="AC11" i="37"/>
  <c r="AC10" i="37"/>
  <c r="AC9" i="37"/>
  <c r="AC8" i="37"/>
  <c r="AD7" i="37"/>
  <c r="AC7" i="37"/>
  <c r="AH21" i="37"/>
  <c r="AH20" i="37"/>
  <c r="AH19" i="37"/>
  <c r="AH18" i="37"/>
  <c r="AH17" i="37"/>
  <c r="AH16" i="37"/>
  <c r="AH15" i="37"/>
  <c r="AH14" i="37"/>
  <c r="AH13" i="37"/>
  <c r="AH12" i="37"/>
  <c r="AH11" i="37"/>
  <c r="AH10" i="37"/>
  <c r="AH9" i="37"/>
  <c r="AH8" i="37"/>
  <c r="AI7" i="37"/>
  <c r="AH7" i="37"/>
  <c r="AM21" i="37"/>
  <c r="AM20" i="37"/>
  <c r="AM19" i="37"/>
  <c r="AM18" i="37"/>
  <c r="AM17" i="37"/>
  <c r="AM16" i="37"/>
  <c r="AM15" i="37"/>
  <c r="AM14" i="37"/>
  <c r="AM13" i="37"/>
  <c r="AM12" i="37"/>
  <c r="AM11" i="37"/>
  <c r="AM10" i="37"/>
  <c r="AM9" i="37"/>
  <c r="AM8" i="37"/>
  <c r="AN7" i="37"/>
  <c r="AM7" i="37"/>
  <c r="AR21" i="37"/>
  <c r="AR20" i="37"/>
  <c r="AR19" i="37"/>
  <c r="AR18" i="37"/>
  <c r="AR17" i="37"/>
  <c r="AR16" i="37"/>
  <c r="AR15" i="37"/>
  <c r="AR14" i="37"/>
  <c r="AR13" i="37"/>
  <c r="AR12" i="37"/>
  <c r="AR11" i="37"/>
  <c r="AR10" i="37"/>
  <c r="AR9" i="37"/>
  <c r="AR8" i="37"/>
  <c r="AS7" i="37"/>
  <c r="AR7" i="37"/>
  <c r="AW21" i="37"/>
  <c r="AW20" i="37"/>
  <c r="AW19" i="37"/>
  <c r="AW18" i="37"/>
  <c r="AW17" i="37"/>
  <c r="AW16" i="37"/>
  <c r="AW15" i="37"/>
  <c r="AW14" i="37"/>
  <c r="AW13" i="37"/>
  <c r="AW12" i="37"/>
  <c r="AW11" i="37"/>
  <c r="AW10" i="37"/>
  <c r="AW9" i="37"/>
  <c r="AW8" i="37"/>
  <c r="AX7" i="37"/>
  <c r="AW7" i="37"/>
  <c r="AZ121" i="37"/>
  <c r="AZ120" i="37"/>
  <c r="AZ119" i="37"/>
  <c r="AZ118" i="37"/>
  <c r="AZ117" i="37"/>
  <c r="AZ116" i="37"/>
  <c r="AZ115" i="37"/>
  <c r="AZ114" i="37"/>
  <c r="AZ113" i="37"/>
  <c r="AZ112" i="37"/>
  <c r="AZ111" i="37"/>
  <c r="AZ110" i="37"/>
  <c r="AZ109" i="37"/>
  <c r="AZ108" i="37"/>
  <c r="BA107" i="37"/>
  <c r="AZ107" i="37"/>
  <c r="AZ101" i="37"/>
  <c r="AZ100" i="37"/>
  <c r="AZ99" i="37"/>
  <c r="AZ98" i="37"/>
  <c r="AZ97" i="37"/>
  <c r="AZ96" i="37"/>
  <c r="AZ95" i="37"/>
  <c r="AZ94" i="37"/>
  <c r="AZ93" i="37"/>
  <c r="AZ92" i="37"/>
  <c r="AZ91" i="37"/>
  <c r="AZ90" i="37"/>
  <c r="AZ89" i="37"/>
  <c r="AZ88" i="37"/>
  <c r="BA87" i="37"/>
  <c r="AZ87" i="37"/>
  <c r="AZ81" i="37"/>
  <c r="AZ80" i="37"/>
  <c r="AZ79" i="37"/>
  <c r="AZ78" i="37"/>
  <c r="AZ77" i="37"/>
  <c r="AZ76" i="37"/>
  <c r="AZ75" i="37"/>
  <c r="AZ74" i="37"/>
  <c r="AZ73" i="37"/>
  <c r="AZ72" i="37"/>
  <c r="AZ71" i="37"/>
  <c r="AZ70" i="37"/>
  <c r="AZ69" i="37"/>
  <c r="AZ68" i="37"/>
  <c r="BA67" i="37"/>
  <c r="AZ67" i="37"/>
  <c r="AZ54" i="37"/>
  <c r="AZ53" i="37"/>
  <c r="AZ52" i="37"/>
  <c r="AZ51" i="37"/>
  <c r="AZ50" i="37"/>
  <c r="AZ49" i="37"/>
  <c r="AZ48" i="37"/>
  <c r="BA47" i="37"/>
  <c r="AZ47" i="37"/>
  <c r="AZ41" i="37"/>
  <c r="AZ40" i="37"/>
  <c r="AZ39" i="37"/>
  <c r="AZ38" i="37"/>
  <c r="AZ37" i="37"/>
  <c r="AZ36" i="37"/>
  <c r="AZ35" i="37"/>
  <c r="AZ34" i="37"/>
  <c r="AZ33" i="37"/>
  <c r="AZ32" i="37"/>
  <c r="AZ31" i="37"/>
  <c r="AZ30" i="37"/>
  <c r="AZ29" i="37"/>
  <c r="AZ28" i="37"/>
  <c r="BA27" i="37"/>
  <c r="AZ27" i="37"/>
  <c r="AZ21" i="37"/>
  <c r="AZ20" i="37"/>
  <c r="AZ19" i="37"/>
  <c r="AZ18" i="37"/>
  <c r="AZ17" i="37"/>
  <c r="AZ16" i="37"/>
  <c r="AZ15" i="37"/>
  <c r="AZ14" i="37"/>
  <c r="AZ13" i="37"/>
  <c r="AZ12" i="37"/>
  <c r="AZ11" i="37"/>
  <c r="AZ10" i="37"/>
  <c r="AZ9" i="37"/>
  <c r="AZ8" i="37"/>
  <c r="BA7" i="37"/>
  <c r="AZ7" i="37"/>
  <c r="S21" i="36"/>
  <c r="S20" i="36"/>
  <c r="S19" i="36"/>
  <c r="S18" i="36"/>
  <c r="S17" i="36"/>
  <c r="S16" i="36"/>
  <c r="S15" i="36"/>
  <c r="S14" i="36"/>
  <c r="S13" i="36"/>
  <c r="S12" i="36"/>
  <c r="S11" i="36"/>
  <c r="S10" i="36"/>
  <c r="S9" i="36"/>
  <c r="S8" i="36"/>
  <c r="T7" i="36"/>
  <c r="S7" i="36"/>
  <c r="X21" i="36"/>
  <c r="X20" i="36"/>
  <c r="X19" i="36"/>
  <c r="X18" i="36"/>
  <c r="X17" i="36"/>
  <c r="X16" i="36"/>
  <c r="X15" i="36"/>
  <c r="X14" i="36"/>
  <c r="X13" i="36"/>
  <c r="X12" i="36"/>
  <c r="X11" i="36"/>
  <c r="X10" i="36"/>
  <c r="X9" i="36"/>
  <c r="X8" i="36"/>
  <c r="Y7" i="36"/>
  <c r="X7" i="36"/>
  <c r="AC21" i="36"/>
  <c r="AC20" i="36"/>
  <c r="AC19" i="36"/>
  <c r="AC18" i="36"/>
  <c r="AC17" i="36"/>
  <c r="AC16" i="36"/>
  <c r="AC15" i="36"/>
  <c r="AC14" i="36"/>
  <c r="AC13" i="36"/>
  <c r="AC12" i="36"/>
  <c r="AC11" i="36"/>
  <c r="AC10" i="36"/>
  <c r="AC9" i="36"/>
  <c r="AC8" i="36"/>
  <c r="AD7" i="36"/>
  <c r="AC7" i="36"/>
  <c r="AH21" i="36"/>
  <c r="AH20" i="36"/>
  <c r="AH19" i="36"/>
  <c r="AH18" i="36"/>
  <c r="AH17" i="36"/>
  <c r="AH16" i="36"/>
  <c r="AH15" i="36"/>
  <c r="AH14" i="36"/>
  <c r="AH13" i="36"/>
  <c r="AH12" i="36"/>
  <c r="AH11" i="36"/>
  <c r="AH10" i="36"/>
  <c r="AH9" i="36"/>
  <c r="AH8" i="36"/>
  <c r="AI7" i="36"/>
  <c r="AH7" i="36"/>
  <c r="AM21" i="36"/>
  <c r="AM20" i="36"/>
  <c r="AM19" i="36"/>
  <c r="AM18" i="36"/>
  <c r="AM17" i="36"/>
  <c r="AM16" i="36"/>
  <c r="AM15" i="36"/>
  <c r="AM14" i="36"/>
  <c r="AM13" i="36"/>
  <c r="AM12" i="36"/>
  <c r="AM11" i="36"/>
  <c r="AM10" i="36"/>
  <c r="AM9" i="36"/>
  <c r="AM8" i="36"/>
  <c r="AN7" i="36"/>
  <c r="AM7" i="36"/>
  <c r="AR21" i="36"/>
  <c r="AR20" i="36"/>
  <c r="AR19" i="36"/>
  <c r="AR18" i="36"/>
  <c r="AR17" i="36"/>
  <c r="AR16" i="36"/>
  <c r="AR15" i="36"/>
  <c r="AR14" i="36"/>
  <c r="AR13" i="36"/>
  <c r="AR12" i="36"/>
  <c r="AR11" i="36"/>
  <c r="AR10" i="36"/>
  <c r="AR9" i="36"/>
  <c r="AR8" i="36"/>
  <c r="AS7" i="36"/>
  <c r="AR7" i="36"/>
  <c r="AW21" i="36"/>
  <c r="AW20" i="36"/>
  <c r="AW19" i="36"/>
  <c r="AW18" i="36"/>
  <c r="AW17" i="36"/>
  <c r="AW16" i="36"/>
  <c r="AW15" i="36"/>
  <c r="AW14" i="36"/>
  <c r="AW13" i="36"/>
  <c r="AW12" i="36"/>
  <c r="AW11" i="36"/>
  <c r="AW10" i="36"/>
  <c r="AW9" i="36"/>
  <c r="AW8" i="36"/>
  <c r="AX7" i="36"/>
  <c r="AW7" i="36"/>
  <c r="AZ121" i="36"/>
  <c r="AZ120" i="36"/>
  <c r="AZ119" i="36"/>
  <c r="AZ118" i="36"/>
  <c r="AZ117" i="36"/>
  <c r="AZ116" i="36"/>
  <c r="AZ115" i="36"/>
  <c r="AZ114" i="36"/>
  <c r="AZ113" i="36"/>
  <c r="AZ112" i="36"/>
  <c r="AZ111" i="36"/>
  <c r="AZ110" i="36"/>
  <c r="AZ109" i="36"/>
  <c r="AZ108" i="36"/>
  <c r="BA107" i="36"/>
  <c r="AZ107" i="36"/>
  <c r="AZ101" i="36"/>
  <c r="AZ100" i="36"/>
  <c r="AZ99" i="36"/>
  <c r="AZ98" i="36"/>
  <c r="AZ97" i="36"/>
  <c r="AZ96" i="36"/>
  <c r="AZ95" i="36"/>
  <c r="AZ94" i="36"/>
  <c r="AZ93" i="36"/>
  <c r="AZ92" i="36"/>
  <c r="AZ91" i="36"/>
  <c r="AZ90" i="36"/>
  <c r="AZ89" i="36"/>
  <c r="AZ88" i="36"/>
  <c r="BA87" i="36"/>
  <c r="AZ87" i="36"/>
  <c r="AZ81" i="36"/>
  <c r="AZ80" i="36"/>
  <c r="AZ79" i="36"/>
  <c r="AZ78" i="36"/>
  <c r="AZ77" i="36"/>
  <c r="AZ76" i="36"/>
  <c r="AZ75" i="36"/>
  <c r="AZ74" i="36"/>
  <c r="AZ73" i="36"/>
  <c r="AZ72" i="36"/>
  <c r="AZ71" i="36"/>
  <c r="AZ70" i="36"/>
  <c r="AZ69" i="36"/>
  <c r="AZ68" i="36"/>
  <c r="BA67" i="36"/>
  <c r="AZ67" i="36"/>
  <c r="AZ51" i="36"/>
  <c r="AZ50" i="36"/>
  <c r="AZ49" i="36"/>
  <c r="AZ48" i="36"/>
  <c r="BA47" i="36"/>
  <c r="AZ47" i="36"/>
  <c r="AZ41" i="36"/>
  <c r="AZ40" i="36"/>
  <c r="AZ39" i="36"/>
  <c r="AZ38" i="36"/>
  <c r="AZ37" i="36"/>
  <c r="AZ36" i="36"/>
  <c r="AZ35" i="36"/>
  <c r="AZ34" i="36"/>
  <c r="AZ33" i="36"/>
  <c r="AZ32" i="36"/>
  <c r="AZ31" i="36"/>
  <c r="AZ30" i="36"/>
  <c r="AZ29" i="36"/>
  <c r="AZ28" i="36"/>
  <c r="BA27" i="36"/>
  <c r="AZ27" i="36"/>
  <c r="AZ21" i="36"/>
  <c r="AZ20" i="36"/>
  <c r="AZ19" i="36"/>
  <c r="AZ18" i="36"/>
  <c r="AZ17" i="36"/>
  <c r="AZ16" i="36"/>
  <c r="AZ15" i="36"/>
  <c r="AZ14" i="36"/>
  <c r="AZ13" i="36"/>
  <c r="AZ12" i="36"/>
  <c r="AZ11" i="36"/>
  <c r="AZ10" i="36"/>
  <c r="AZ9" i="36"/>
  <c r="AZ8" i="36"/>
  <c r="BA7" i="36"/>
  <c r="AZ7" i="36"/>
  <c r="AZ121" i="35"/>
  <c r="AZ120" i="35"/>
  <c r="AZ119" i="35"/>
  <c r="AZ118" i="35"/>
  <c r="AZ117" i="35"/>
  <c r="AZ116" i="35"/>
  <c r="AZ115" i="35"/>
  <c r="AZ114" i="35"/>
  <c r="AZ113" i="35"/>
  <c r="AZ112" i="35"/>
  <c r="AZ111" i="35"/>
  <c r="AZ110" i="35"/>
  <c r="AZ109" i="35"/>
  <c r="AZ108" i="35"/>
  <c r="BA107" i="35"/>
  <c r="AZ107" i="35"/>
  <c r="AZ101" i="35"/>
  <c r="AZ100" i="35"/>
  <c r="AZ99" i="35"/>
  <c r="AZ98" i="35"/>
  <c r="AZ97" i="35"/>
  <c r="AZ96" i="35"/>
  <c r="AZ95" i="35"/>
  <c r="AZ94" i="35"/>
  <c r="AZ93" i="35"/>
  <c r="AZ92" i="35"/>
  <c r="AZ91" i="35"/>
  <c r="AZ90" i="35"/>
  <c r="AZ89" i="35"/>
  <c r="AZ88" i="35"/>
  <c r="BA87" i="35"/>
  <c r="AZ87" i="35"/>
  <c r="AZ81" i="35"/>
  <c r="AZ80" i="35"/>
  <c r="AZ79" i="35"/>
  <c r="AZ78" i="35"/>
  <c r="AZ77" i="35"/>
  <c r="AZ76" i="35"/>
  <c r="AZ75" i="35"/>
  <c r="AZ74" i="35"/>
  <c r="AZ73" i="35"/>
  <c r="AZ72" i="35"/>
  <c r="AZ71" i="35"/>
  <c r="AZ70" i="35"/>
  <c r="AZ69" i="35"/>
  <c r="AZ68" i="35"/>
  <c r="BA67" i="35"/>
  <c r="AZ67" i="35"/>
  <c r="AZ61" i="35"/>
  <c r="AZ60" i="35"/>
  <c r="AZ59" i="35"/>
  <c r="AZ58" i="35"/>
  <c r="AZ57" i="35"/>
  <c r="AZ56" i="35"/>
  <c r="AZ55" i="35"/>
  <c r="AZ54" i="35"/>
  <c r="AZ53" i="35"/>
  <c r="AZ52" i="35"/>
  <c r="AZ51" i="35"/>
  <c r="AZ50" i="35"/>
  <c r="AZ49" i="35"/>
  <c r="AZ48" i="35"/>
  <c r="BA47" i="35"/>
  <c r="AZ47" i="35"/>
  <c r="AZ41" i="35"/>
  <c r="AZ40" i="35"/>
  <c r="AZ39" i="35"/>
  <c r="AZ38" i="35"/>
  <c r="AZ37" i="35"/>
  <c r="AZ36" i="35"/>
  <c r="AZ35" i="35"/>
  <c r="AZ34" i="35"/>
  <c r="AZ33" i="35"/>
  <c r="AZ32" i="35"/>
  <c r="AZ31" i="35"/>
  <c r="AZ30" i="35"/>
  <c r="AZ29" i="35"/>
  <c r="AZ28" i="35"/>
  <c r="BA27" i="35"/>
  <c r="AZ27" i="35"/>
  <c r="AZ21" i="35"/>
  <c r="AZ20" i="35"/>
  <c r="AZ19" i="35"/>
  <c r="AZ18" i="35"/>
  <c r="AZ17" i="35"/>
  <c r="AZ16" i="35"/>
  <c r="AZ15" i="35"/>
  <c r="AZ14" i="35"/>
  <c r="AZ13" i="35"/>
  <c r="AZ12" i="35"/>
  <c r="AZ11" i="35"/>
  <c r="AZ10" i="35"/>
  <c r="AZ9" i="35"/>
  <c r="AZ8" i="35"/>
  <c r="BA7" i="35"/>
  <c r="AZ7" i="35"/>
  <c r="S21" i="34"/>
  <c r="S20" i="34"/>
  <c r="S19" i="34"/>
  <c r="S18" i="34"/>
  <c r="S17" i="34"/>
  <c r="S16" i="34"/>
  <c r="S15" i="34"/>
  <c r="S14" i="34"/>
  <c r="S13" i="34"/>
  <c r="S12" i="34"/>
  <c r="S11" i="34"/>
  <c r="S10" i="34"/>
  <c r="S9" i="34"/>
  <c r="S8" i="34"/>
  <c r="T7" i="34"/>
  <c r="S7" i="34"/>
  <c r="X21" i="34"/>
  <c r="X20" i="34"/>
  <c r="X19" i="34"/>
  <c r="X18" i="34"/>
  <c r="X17" i="34"/>
  <c r="X16" i="34"/>
  <c r="X15" i="34"/>
  <c r="X14" i="34"/>
  <c r="X13" i="34"/>
  <c r="X12" i="34"/>
  <c r="X11" i="34"/>
  <c r="X10" i="34"/>
  <c r="X9" i="34"/>
  <c r="X8" i="34"/>
  <c r="Y7" i="34"/>
  <c r="X7" i="34"/>
  <c r="AC21" i="34"/>
  <c r="AC20" i="34"/>
  <c r="AC19" i="34"/>
  <c r="AC18" i="34"/>
  <c r="AC17" i="34"/>
  <c r="AC16" i="34"/>
  <c r="AC15" i="34"/>
  <c r="AC14" i="34"/>
  <c r="AC13" i="34"/>
  <c r="AC12" i="34"/>
  <c r="AC11" i="34"/>
  <c r="AC10" i="34"/>
  <c r="AC9" i="34"/>
  <c r="AC8" i="34"/>
  <c r="AD7" i="34"/>
  <c r="AC7" i="34"/>
  <c r="AH21" i="34"/>
  <c r="AH20" i="34"/>
  <c r="AH19" i="34"/>
  <c r="AH18" i="34"/>
  <c r="AH17" i="34"/>
  <c r="AH16" i="34"/>
  <c r="AH15" i="34"/>
  <c r="AH14" i="34"/>
  <c r="AH13" i="34"/>
  <c r="AH12" i="34"/>
  <c r="AH11" i="34"/>
  <c r="AH10" i="34"/>
  <c r="AH9" i="34"/>
  <c r="AH8" i="34"/>
  <c r="AI7" i="34"/>
  <c r="AH7" i="34"/>
  <c r="AM21" i="34"/>
  <c r="AM20" i="34"/>
  <c r="AM19" i="34"/>
  <c r="AM18" i="34"/>
  <c r="AM17" i="34"/>
  <c r="AM16" i="34"/>
  <c r="AM15" i="34"/>
  <c r="AM14" i="34"/>
  <c r="AM13" i="34"/>
  <c r="AM12" i="34"/>
  <c r="AM11" i="34"/>
  <c r="AM10" i="34"/>
  <c r="AM9" i="34"/>
  <c r="AM8" i="34"/>
  <c r="AN7" i="34"/>
  <c r="AM7" i="34"/>
  <c r="AR21" i="34"/>
  <c r="AR20" i="34"/>
  <c r="AR19" i="34"/>
  <c r="AR18" i="34"/>
  <c r="AR17" i="34"/>
  <c r="AR16" i="34"/>
  <c r="AR15" i="34"/>
  <c r="AR14" i="34"/>
  <c r="AR13" i="34"/>
  <c r="AR12" i="34"/>
  <c r="AR11" i="34"/>
  <c r="AR10" i="34"/>
  <c r="AR9" i="34"/>
  <c r="AR8" i="34"/>
  <c r="AS7" i="34"/>
  <c r="AR7" i="34"/>
  <c r="AW21" i="34"/>
  <c r="AW20" i="34"/>
  <c r="AW19" i="34"/>
  <c r="AW18" i="34"/>
  <c r="AW17" i="34"/>
  <c r="AW16" i="34"/>
  <c r="AW15" i="34"/>
  <c r="AW14" i="34"/>
  <c r="AW13" i="34"/>
  <c r="AW12" i="34"/>
  <c r="AW11" i="34"/>
  <c r="AW10" i="34"/>
  <c r="AW9" i="34"/>
  <c r="AW8" i="34"/>
  <c r="AX7" i="34"/>
  <c r="AW7" i="34"/>
  <c r="AZ121" i="34"/>
  <c r="AZ120" i="34"/>
  <c r="AZ119" i="34"/>
  <c r="AZ118" i="34"/>
  <c r="AZ117" i="34"/>
  <c r="AZ116" i="34"/>
  <c r="AZ115" i="34"/>
  <c r="AZ114" i="34"/>
  <c r="AZ113" i="34"/>
  <c r="AZ112" i="34"/>
  <c r="AZ111" i="34"/>
  <c r="AZ110" i="34"/>
  <c r="AZ109" i="34"/>
  <c r="AZ108" i="34"/>
  <c r="BA107" i="34"/>
  <c r="AZ107" i="34"/>
  <c r="AZ101" i="34"/>
  <c r="AZ100" i="34"/>
  <c r="AZ99" i="34"/>
  <c r="AZ98" i="34"/>
  <c r="AZ97" i="34"/>
  <c r="AZ96" i="34"/>
  <c r="AZ95" i="34"/>
  <c r="AZ94" i="34"/>
  <c r="AZ93" i="34"/>
  <c r="AZ92" i="34"/>
  <c r="AZ91" i="34"/>
  <c r="AZ90" i="34"/>
  <c r="AZ89" i="34"/>
  <c r="AZ88" i="34"/>
  <c r="BA87" i="34"/>
  <c r="AZ87" i="34"/>
  <c r="AZ81" i="34"/>
  <c r="AZ80" i="34"/>
  <c r="AZ79" i="34"/>
  <c r="AZ78" i="34"/>
  <c r="AZ77" i="34"/>
  <c r="AZ76" i="34"/>
  <c r="AZ75" i="34"/>
  <c r="AZ74" i="34"/>
  <c r="AZ73" i="34"/>
  <c r="AZ72" i="34"/>
  <c r="AZ71" i="34"/>
  <c r="AZ70" i="34"/>
  <c r="AZ69" i="34"/>
  <c r="AZ68" i="34"/>
  <c r="BA67" i="34"/>
  <c r="AZ67" i="34"/>
  <c r="AZ61" i="34"/>
  <c r="AZ60" i="34"/>
  <c r="AZ59" i="34"/>
  <c r="AZ58" i="34"/>
  <c r="AZ57" i="34"/>
  <c r="AZ56" i="34"/>
  <c r="AZ55" i="34"/>
  <c r="AZ54" i="34"/>
  <c r="AZ53" i="34"/>
  <c r="AZ52" i="34"/>
  <c r="AZ51" i="34"/>
  <c r="AZ50" i="34"/>
  <c r="AZ49" i="34"/>
  <c r="AZ48" i="34"/>
  <c r="BA47" i="34"/>
  <c r="AZ47" i="34"/>
  <c r="AZ41" i="34"/>
  <c r="AZ40" i="34"/>
  <c r="AZ39" i="34"/>
  <c r="AZ38" i="34"/>
  <c r="AZ37" i="34"/>
  <c r="AZ36" i="34"/>
  <c r="AZ35" i="34"/>
  <c r="AZ34" i="34"/>
  <c r="AZ33" i="34"/>
  <c r="AZ32" i="34"/>
  <c r="AZ31" i="34"/>
  <c r="AZ30" i="34"/>
  <c r="AZ29" i="34"/>
  <c r="AZ28" i="34"/>
  <c r="BA27" i="34"/>
  <c r="AZ27" i="34"/>
  <c r="AZ21" i="34"/>
  <c r="AZ20" i="34"/>
  <c r="AZ19" i="34"/>
  <c r="AZ18" i="34"/>
  <c r="AZ17" i="34"/>
  <c r="AZ16" i="34"/>
  <c r="AZ15" i="34"/>
  <c r="AZ14" i="34"/>
  <c r="AZ13" i="34"/>
  <c r="AZ12" i="34"/>
  <c r="AZ11" i="34"/>
  <c r="AZ10" i="34"/>
  <c r="AZ9" i="34"/>
  <c r="AZ8" i="34"/>
  <c r="BA7" i="34"/>
  <c r="AZ7" i="34"/>
  <c r="S36" i="33"/>
  <c r="S35" i="33"/>
  <c r="S34" i="33"/>
  <c r="S33" i="33"/>
  <c r="S32" i="33"/>
  <c r="S31" i="33"/>
  <c r="S30" i="33"/>
  <c r="S29" i="33"/>
  <c r="S28" i="33"/>
  <c r="S27" i="33"/>
  <c r="S26" i="33"/>
  <c r="S25" i="33"/>
  <c r="S24" i="33"/>
  <c r="S23" i="33"/>
  <c r="S22" i="33"/>
  <c r="S21" i="33"/>
  <c r="S20" i="33"/>
  <c r="S19" i="33"/>
  <c r="S18" i="33"/>
  <c r="S17" i="33"/>
  <c r="S16" i="33"/>
  <c r="S15" i="33"/>
  <c r="S14" i="33"/>
  <c r="S13" i="33"/>
  <c r="S12" i="33"/>
  <c r="S11" i="33"/>
  <c r="S10" i="33"/>
  <c r="S9" i="33"/>
  <c r="S8" i="33"/>
  <c r="T7" i="33"/>
  <c r="S7" i="33"/>
  <c r="X36" i="33"/>
  <c r="X35" i="33"/>
  <c r="X34" i="33"/>
  <c r="X33" i="33"/>
  <c r="X32" i="33"/>
  <c r="X31" i="33"/>
  <c r="X30" i="33"/>
  <c r="X29" i="33"/>
  <c r="X28" i="33"/>
  <c r="X27" i="33"/>
  <c r="X26" i="33"/>
  <c r="X25" i="33"/>
  <c r="X24" i="33"/>
  <c r="X23" i="33"/>
  <c r="X22" i="33"/>
  <c r="X21" i="33"/>
  <c r="X20" i="33"/>
  <c r="X19" i="33"/>
  <c r="X18" i="33"/>
  <c r="X17" i="33"/>
  <c r="X16" i="33"/>
  <c r="X15" i="33"/>
  <c r="X14" i="33"/>
  <c r="X13" i="33"/>
  <c r="X12" i="33"/>
  <c r="X11" i="33"/>
  <c r="X10" i="33"/>
  <c r="X9" i="33"/>
  <c r="X8" i="33"/>
  <c r="Y7" i="33"/>
  <c r="X7" i="33"/>
  <c r="AC36" i="33"/>
  <c r="AC35" i="33"/>
  <c r="AC34" i="33"/>
  <c r="AC33" i="33"/>
  <c r="AC32" i="33"/>
  <c r="AC31" i="33"/>
  <c r="AC30" i="33"/>
  <c r="AC29" i="33"/>
  <c r="AC28" i="33"/>
  <c r="AC27" i="33"/>
  <c r="AC26" i="33"/>
  <c r="AC25" i="33"/>
  <c r="AC24" i="33"/>
  <c r="AC23" i="33"/>
  <c r="AC22" i="33"/>
  <c r="AC21" i="33"/>
  <c r="AC20" i="33"/>
  <c r="AC19" i="33"/>
  <c r="AC18" i="33"/>
  <c r="AC17" i="33"/>
  <c r="AC16" i="33"/>
  <c r="AC15" i="33"/>
  <c r="AC14" i="33"/>
  <c r="AC13" i="33"/>
  <c r="AC12" i="33"/>
  <c r="AC11" i="33"/>
  <c r="AC10" i="33"/>
  <c r="AC9" i="33"/>
  <c r="AC8" i="33"/>
  <c r="AD7" i="33"/>
  <c r="AC7" i="33"/>
  <c r="AH36" i="33"/>
  <c r="AH35" i="33"/>
  <c r="AH34" i="33"/>
  <c r="AH33" i="33"/>
  <c r="AH32" i="33"/>
  <c r="AH31" i="33"/>
  <c r="AH30" i="33"/>
  <c r="AH29" i="33"/>
  <c r="AH28" i="33"/>
  <c r="AH27" i="33"/>
  <c r="AH26" i="33"/>
  <c r="AH25" i="33"/>
  <c r="AH24" i="33"/>
  <c r="AH23" i="33"/>
  <c r="AH22" i="33"/>
  <c r="AH21" i="33"/>
  <c r="AH20" i="33"/>
  <c r="AH19" i="33"/>
  <c r="AH18" i="33"/>
  <c r="AH17" i="33"/>
  <c r="AH16" i="33"/>
  <c r="AH15" i="33"/>
  <c r="AH14" i="33"/>
  <c r="AH13" i="33"/>
  <c r="AH12" i="33"/>
  <c r="AH11" i="33"/>
  <c r="AH10" i="33"/>
  <c r="AH9" i="33"/>
  <c r="AH8" i="33"/>
  <c r="AI7" i="33"/>
  <c r="AH7" i="33"/>
  <c r="AM36" i="33"/>
  <c r="AM35" i="33"/>
  <c r="AM34" i="33"/>
  <c r="AM33" i="33"/>
  <c r="AM32" i="33"/>
  <c r="AM31" i="33"/>
  <c r="AM30" i="33"/>
  <c r="AM29" i="33"/>
  <c r="AM28" i="33"/>
  <c r="AM27" i="33"/>
  <c r="AM26" i="33"/>
  <c r="AM25" i="33"/>
  <c r="AM24" i="33"/>
  <c r="AM23" i="33"/>
  <c r="AM22" i="33"/>
  <c r="AM21" i="33"/>
  <c r="AM20" i="33"/>
  <c r="AM19" i="33"/>
  <c r="AM18" i="33"/>
  <c r="AM17" i="33"/>
  <c r="AM16" i="33"/>
  <c r="AM15" i="33"/>
  <c r="AM14" i="33"/>
  <c r="AM13" i="33"/>
  <c r="AM12" i="33"/>
  <c r="AM11" i="33"/>
  <c r="AM10" i="33"/>
  <c r="AM9" i="33"/>
  <c r="AM8" i="33"/>
  <c r="AN7" i="33"/>
  <c r="AM7" i="33"/>
  <c r="AR36" i="33"/>
  <c r="AR35" i="33"/>
  <c r="AR34" i="33"/>
  <c r="AR33" i="33"/>
  <c r="AR32" i="33"/>
  <c r="AR31" i="33"/>
  <c r="AR30" i="33"/>
  <c r="AR29" i="33"/>
  <c r="AR28" i="33"/>
  <c r="AR27" i="33"/>
  <c r="AR26" i="33"/>
  <c r="AR25" i="33"/>
  <c r="AR24" i="33"/>
  <c r="AR23" i="33"/>
  <c r="AR22" i="33"/>
  <c r="AR21" i="33"/>
  <c r="AR20" i="33"/>
  <c r="AR19" i="33"/>
  <c r="AR18" i="33"/>
  <c r="AR17" i="33"/>
  <c r="AR16" i="33"/>
  <c r="AR15" i="33"/>
  <c r="AR14" i="33"/>
  <c r="AR13" i="33"/>
  <c r="AR12" i="33"/>
  <c r="AR11" i="33"/>
  <c r="AR10" i="33"/>
  <c r="AR9" i="33"/>
  <c r="AR8" i="33"/>
  <c r="AS7" i="33"/>
  <c r="AR7" i="33"/>
  <c r="AW36" i="33"/>
  <c r="AW35" i="33"/>
  <c r="AW34" i="33"/>
  <c r="AW33" i="33"/>
  <c r="AW32" i="33"/>
  <c r="AW31" i="33"/>
  <c r="AW30" i="33"/>
  <c r="AW29" i="33"/>
  <c r="AW28" i="33"/>
  <c r="AW27" i="33"/>
  <c r="AW26" i="33"/>
  <c r="AW25" i="33"/>
  <c r="AW24" i="33"/>
  <c r="AW23" i="33"/>
  <c r="AW22" i="33"/>
  <c r="AW21" i="33"/>
  <c r="AW20" i="33"/>
  <c r="AW19" i="33"/>
  <c r="AW18" i="33"/>
  <c r="AW17" i="33"/>
  <c r="AW16" i="33"/>
  <c r="AW15" i="33"/>
  <c r="AW14" i="33"/>
  <c r="AW13" i="33"/>
  <c r="AW12" i="33"/>
  <c r="AW11" i="33"/>
  <c r="AW10" i="33"/>
  <c r="AW9" i="33"/>
  <c r="AW8" i="33"/>
  <c r="AX7" i="33"/>
  <c r="AW7" i="33"/>
  <c r="AZ211" i="33"/>
  <c r="AZ210" i="33"/>
  <c r="AZ209" i="33"/>
  <c r="AZ208" i="33"/>
  <c r="AZ207" i="33"/>
  <c r="AZ206" i="33"/>
  <c r="AZ205" i="33"/>
  <c r="AZ204" i="33"/>
  <c r="AZ203" i="33"/>
  <c r="AZ202" i="33"/>
  <c r="AZ201" i="33"/>
  <c r="AZ200" i="33"/>
  <c r="AZ199" i="33"/>
  <c r="AZ198" i="33"/>
  <c r="AZ197" i="33"/>
  <c r="AZ196" i="33"/>
  <c r="AZ195" i="33"/>
  <c r="AZ194" i="33"/>
  <c r="AZ193" i="33"/>
  <c r="AZ192" i="33"/>
  <c r="AZ191" i="33"/>
  <c r="AZ190" i="33"/>
  <c r="AZ189" i="33"/>
  <c r="AZ188" i="33"/>
  <c r="AZ187" i="33"/>
  <c r="AZ186" i="33"/>
  <c r="AZ185" i="33"/>
  <c r="AZ184" i="33"/>
  <c r="AZ183" i="33"/>
  <c r="BA182" i="33"/>
  <c r="AZ182" i="33"/>
  <c r="AZ176" i="33"/>
  <c r="AZ175" i="33"/>
  <c r="AZ174" i="33"/>
  <c r="AZ173" i="33"/>
  <c r="AZ172" i="33"/>
  <c r="AZ171" i="33"/>
  <c r="AZ170" i="33"/>
  <c r="AZ169" i="33"/>
  <c r="AZ168" i="33"/>
  <c r="AZ167" i="33"/>
  <c r="AZ166" i="33"/>
  <c r="AZ165" i="33"/>
  <c r="AZ164" i="33"/>
  <c r="AZ163" i="33"/>
  <c r="AZ162" i="33"/>
  <c r="AZ161" i="33"/>
  <c r="AZ160" i="33"/>
  <c r="AZ159" i="33"/>
  <c r="AZ158" i="33"/>
  <c r="AZ157" i="33"/>
  <c r="AZ156" i="33"/>
  <c r="AZ155" i="33"/>
  <c r="AZ154" i="33"/>
  <c r="AZ153" i="33"/>
  <c r="AZ152" i="33"/>
  <c r="AZ151" i="33"/>
  <c r="AZ150" i="33"/>
  <c r="AZ149" i="33"/>
  <c r="AZ148" i="33"/>
  <c r="BA147" i="33"/>
  <c r="AZ147" i="33"/>
  <c r="AZ141" i="33"/>
  <c r="AZ140" i="33"/>
  <c r="AZ139" i="33"/>
  <c r="AZ138" i="33"/>
  <c r="AZ137" i="33"/>
  <c r="AZ136" i="33"/>
  <c r="AZ135" i="33"/>
  <c r="AZ134" i="33"/>
  <c r="AZ133" i="33"/>
  <c r="AZ132" i="33"/>
  <c r="AZ131" i="33"/>
  <c r="AZ130" i="33"/>
  <c r="AZ129" i="33"/>
  <c r="AZ128" i="33"/>
  <c r="AZ127" i="33"/>
  <c r="AZ126" i="33"/>
  <c r="AZ125" i="33"/>
  <c r="AZ124" i="33"/>
  <c r="AZ123" i="33"/>
  <c r="AZ122" i="33"/>
  <c r="AZ121" i="33"/>
  <c r="AZ120" i="33"/>
  <c r="AZ119" i="33"/>
  <c r="AZ118" i="33"/>
  <c r="AZ117" i="33"/>
  <c r="AZ116" i="33"/>
  <c r="AZ115" i="33"/>
  <c r="AZ114" i="33"/>
  <c r="AZ113" i="33"/>
  <c r="BA112" i="33"/>
  <c r="AZ112" i="33"/>
  <c r="AZ106" i="33"/>
  <c r="AZ105" i="33"/>
  <c r="AZ104" i="33"/>
  <c r="AZ103" i="33"/>
  <c r="AZ102" i="33"/>
  <c r="AZ101" i="33"/>
  <c r="AZ100" i="33"/>
  <c r="AZ99" i="33"/>
  <c r="AZ98" i="33"/>
  <c r="AZ97" i="33"/>
  <c r="AZ96" i="33"/>
  <c r="AZ95" i="33"/>
  <c r="AZ94" i="33"/>
  <c r="AZ93" i="33"/>
  <c r="AZ92" i="33"/>
  <c r="AZ91" i="33"/>
  <c r="AZ90" i="33"/>
  <c r="AZ89" i="33"/>
  <c r="AZ88" i="33"/>
  <c r="AZ87" i="33"/>
  <c r="AZ86" i="33"/>
  <c r="AZ85" i="33"/>
  <c r="AZ84" i="33"/>
  <c r="AZ83" i="33"/>
  <c r="AZ82" i="33"/>
  <c r="AZ81" i="33"/>
  <c r="AZ80" i="33"/>
  <c r="AZ79" i="33"/>
  <c r="AZ78" i="33"/>
  <c r="BA77" i="33"/>
  <c r="AZ77" i="33"/>
  <c r="AZ71" i="33"/>
  <c r="AZ70" i="33"/>
  <c r="AZ69" i="33"/>
  <c r="AZ68" i="33"/>
  <c r="AZ67" i="33"/>
  <c r="AZ66" i="33"/>
  <c r="AZ65" i="33"/>
  <c r="AZ64" i="33"/>
  <c r="AZ63" i="33"/>
  <c r="AZ62" i="33"/>
  <c r="AZ61" i="33"/>
  <c r="AZ60" i="33"/>
  <c r="AZ59" i="33"/>
  <c r="AZ58" i="33"/>
  <c r="AZ57" i="33"/>
  <c r="AZ56" i="33"/>
  <c r="AZ55" i="33"/>
  <c r="AZ54" i="33"/>
  <c r="AZ53" i="33"/>
  <c r="AZ52" i="33"/>
  <c r="AZ51" i="33"/>
  <c r="AZ50" i="33"/>
  <c r="AZ49" i="33"/>
  <c r="AZ48" i="33"/>
  <c r="AZ47" i="33"/>
  <c r="AZ46" i="33"/>
  <c r="AZ45" i="33"/>
  <c r="AZ44" i="33"/>
  <c r="AZ43" i="33"/>
  <c r="BA42" i="33"/>
  <c r="AZ42" i="33"/>
  <c r="AZ36" i="33"/>
  <c r="AZ35" i="33"/>
  <c r="AZ34" i="33"/>
  <c r="AZ33" i="33"/>
  <c r="AZ32" i="33"/>
  <c r="AZ31" i="33"/>
  <c r="AZ30" i="33"/>
  <c r="AZ29" i="33"/>
  <c r="AZ28" i="33"/>
  <c r="AZ27" i="33"/>
  <c r="AZ26" i="33"/>
  <c r="AZ25" i="33"/>
  <c r="AZ24" i="33"/>
  <c r="AZ23" i="33"/>
  <c r="AZ22" i="33"/>
  <c r="AZ21" i="33"/>
  <c r="AZ20" i="33"/>
  <c r="AZ19" i="33"/>
  <c r="AZ18" i="33"/>
  <c r="AZ17" i="33"/>
  <c r="AZ16" i="33"/>
  <c r="AZ15" i="33"/>
  <c r="AZ14" i="33"/>
  <c r="AZ13" i="33"/>
  <c r="AZ12" i="33"/>
  <c r="AZ11" i="33"/>
  <c r="AZ10" i="33"/>
  <c r="AZ9" i="33"/>
  <c r="AZ8" i="33"/>
  <c r="BA7" i="33"/>
  <c r="AZ7" i="33"/>
  <c r="S21" i="31"/>
  <c r="S20" i="31"/>
  <c r="S19" i="31"/>
  <c r="S18" i="31"/>
  <c r="S17" i="31"/>
  <c r="S16" i="31"/>
  <c r="S15" i="31"/>
  <c r="S14" i="31"/>
  <c r="S13" i="31"/>
  <c r="S12" i="31"/>
  <c r="S11" i="31"/>
  <c r="S10" i="31"/>
  <c r="S9" i="31"/>
  <c r="S8" i="31"/>
  <c r="T7" i="31"/>
  <c r="S7" i="31"/>
  <c r="X21" i="31"/>
  <c r="X20" i="31"/>
  <c r="X19" i="31"/>
  <c r="X18" i="31"/>
  <c r="X17" i="31"/>
  <c r="X16" i="31"/>
  <c r="X15" i="31"/>
  <c r="X14" i="31"/>
  <c r="X13" i="31"/>
  <c r="X12" i="31"/>
  <c r="X11" i="31"/>
  <c r="X10" i="31"/>
  <c r="X9" i="31"/>
  <c r="X8" i="31"/>
  <c r="Y7" i="31"/>
  <c r="X7" i="31"/>
  <c r="AC21" i="31"/>
  <c r="AC20" i="31"/>
  <c r="AC19" i="31"/>
  <c r="AC18" i="31"/>
  <c r="AC17" i="31"/>
  <c r="AC16" i="31"/>
  <c r="AC15" i="31"/>
  <c r="AC14" i="31"/>
  <c r="AC13" i="31"/>
  <c r="AC12" i="31"/>
  <c r="AC11" i="31"/>
  <c r="AC10" i="31"/>
  <c r="AC9" i="31"/>
  <c r="AC8" i="31"/>
  <c r="AD7" i="31"/>
  <c r="AC7" i="31"/>
  <c r="AH21" i="31"/>
  <c r="AH20" i="31"/>
  <c r="AH19" i="31"/>
  <c r="AH18" i="31"/>
  <c r="AH17" i="31"/>
  <c r="AH16" i="31"/>
  <c r="AH15" i="31"/>
  <c r="AH14" i="31"/>
  <c r="AH13" i="31"/>
  <c r="AH12" i="31"/>
  <c r="AH11" i="31"/>
  <c r="AH10" i="31"/>
  <c r="AH9" i="31"/>
  <c r="AH8" i="31"/>
  <c r="AI7" i="31"/>
  <c r="AH7" i="31"/>
  <c r="AM21" i="31"/>
  <c r="AM20" i="31"/>
  <c r="AM19" i="31"/>
  <c r="AM18" i="31"/>
  <c r="AM17" i="31"/>
  <c r="AM16" i="31"/>
  <c r="AM15" i="31"/>
  <c r="AM14" i="31"/>
  <c r="AM13" i="31"/>
  <c r="AM12" i="31"/>
  <c r="AM11" i="31"/>
  <c r="AM10" i="31"/>
  <c r="AM9" i="31"/>
  <c r="AM8" i="31"/>
  <c r="AN7" i="31"/>
  <c r="AM7" i="31"/>
  <c r="AR21" i="31"/>
  <c r="AR20" i="31"/>
  <c r="AR19" i="31"/>
  <c r="AR18" i="31"/>
  <c r="AR17" i="31"/>
  <c r="AR16" i="31"/>
  <c r="AR15" i="31"/>
  <c r="AR14" i="31"/>
  <c r="AR13" i="31"/>
  <c r="AR12" i="31"/>
  <c r="AR11" i="31"/>
  <c r="AR10" i="31"/>
  <c r="AR9" i="31"/>
  <c r="AR8" i="31"/>
  <c r="AS7" i="31"/>
  <c r="AR7" i="31"/>
  <c r="AW21" i="31"/>
  <c r="AW20" i="31"/>
  <c r="AW19" i="31"/>
  <c r="AW18" i="31"/>
  <c r="AW17" i="31"/>
  <c r="AW16" i="31"/>
  <c r="AW15" i="31"/>
  <c r="AW14" i="31"/>
  <c r="AW13" i="31"/>
  <c r="AW12" i="31"/>
  <c r="AW11" i="31"/>
  <c r="AW10" i="31"/>
  <c r="AW9" i="31"/>
  <c r="AW8" i="31"/>
  <c r="AX7" i="31"/>
  <c r="AW7" i="31"/>
  <c r="AZ121" i="31"/>
  <c r="AZ120" i="31"/>
  <c r="AZ119" i="31"/>
  <c r="AZ118" i="31"/>
  <c r="AZ117" i="31"/>
  <c r="AZ116" i="31"/>
  <c r="AZ115" i="31"/>
  <c r="AZ114" i="31"/>
  <c r="AZ113" i="31"/>
  <c r="AZ112" i="31"/>
  <c r="AZ111" i="31"/>
  <c r="AZ110" i="31"/>
  <c r="AZ109" i="31"/>
  <c r="AZ108" i="31"/>
  <c r="BA107" i="31"/>
  <c r="AZ107" i="31"/>
  <c r="AZ101" i="31"/>
  <c r="AZ100" i="31"/>
  <c r="AZ99" i="31"/>
  <c r="AZ98" i="31"/>
  <c r="AZ97" i="31"/>
  <c r="AZ96" i="31"/>
  <c r="AZ95" i="31"/>
  <c r="AZ94" i="31"/>
  <c r="AZ93" i="31"/>
  <c r="AZ92" i="31"/>
  <c r="AZ91" i="31"/>
  <c r="AZ90" i="31"/>
  <c r="AZ89" i="31"/>
  <c r="AZ88" i="31"/>
  <c r="BA87" i="31"/>
  <c r="AZ87" i="31"/>
  <c r="AZ81" i="31"/>
  <c r="AZ80" i="31"/>
  <c r="AZ79" i="31"/>
  <c r="AZ78" i="31"/>
  <c r="AZ77" i="31"/>
  <c r="AZ76" i="31"/>
  <c r="AZ75" i="31"/>
  <c r="AZ74" i="31"/>
  <c r="AZ73" i="31"/>
  <c r="AZ72" i="31"/>
  <c r="AZ71" i="31"/>
  <c r="AZ70" i="31"/>
  <c r="AZ69" i="31"/>
  <c r="AZ68" i="31"/>
  <c r="BA67" i="31"/>
  <c r="AZ67" i="31"/>
  <c r="AZ61" i="31"/>
  <c r="AZ60" i="31"/>
  <c r="AZ59" i="31"/>
  <c r="AZ58" i="31"/>
  <c r="AZ57" i="31"/>
  <c r="AZ56" i="31"/>
  <c r="AZ55" i="31"/>
  <c r="AZ54" i="31"/>
  <c r="AZ53" i="31"/>
  <c r="AZ52" i="31"/>
  <c r="AZ51" i="31"/>
  <c r="AZ50" i="31"/>
  <c r="AZ49" i="31"/>
  <c r="AZ48" i="31"/>
  <c r="BA47" i="31"/>
  <c r="AZ47" i="31"/>
  <c r="AZ41" i="31"/>
  <c r="AZ40" i="31"/>
  <c r="AZ39" i="31"/>
  <c r="AZ38" i="31"/>
  <c r="AZ37" i="31"/>
  <c r="AZ36" i="31"/>
  <c r="AZ35" i="31"/>
  <c r="AZ34" i="31"/>
  <c r="AZ33" i="31"/>
  <c r="AZ32" i="31"/>
  <c r="AZ31" i="31"/>
  <c r="AZ30" i="31"/>
  <c r="AZ29" i="31"/>
  <c r="AZ28" i="31"/>
  <c r="BA27" i="31"/>
  <c r="AZ27" i="31"/>
  <c r="AZ21" i="31"/>
  <c r="AZ20" i="31"/>
  <c r="AZ19" i="31"/>
  <c r="AZ18" i="31"/>
  <c r="AZ17" i="31"/>
  <c r="AZ16" i="31"/>
  <c r="AZ15" i="31"/>
  <c r="AZ14" i="31"/>
  <c r="AZ13" i="31"/>
  <c r="AZ12" i="31"/>
  <c r="AZ11" i="31"/>
  <c r="AZ10" i="31"/>
  <c r="AZ9" i="31"/>
  <c r="AZ8" i="31"/>
  <c r="BA7" i="31"/>
  <c r="AZ7" i="31"/>
  <c r="AZ121" i="32"/>
  <c r="AZ120" i="32"/>
  <c r="AZ119" i="32"/>
  <c r="AZ118" i="32"/>
  <c r="AZ117" i="32"/>
  <c r="AZ116" i="32"/>
  <c r="AZ115" i="32"/>
  <c r="AZ114" i="32"/>
  <c r="AZ113" i="32"/>
  <c r="AZ112" i="32"/>
  <c r="AZ111" i="32"/>
  <c r="AZ110" i="32"/>
  <c r="AZ109" i="32"/>
  <c r="AZ108" i="32"/>
  <c r="BA107" i="32"/>
  <c r="AZ107" i="32"/>
  <c r="AZ101" i="32"/>
  <c r="AZ100" i="32"/>
  <c r="AZ99" i="32"/>
  <c r="AZ98" i="32"/>
  <c r="AZ97" i="32"/>
  <c r="AZ96" i="32"/>
  <c r="AZ95" i="32"/>
  <c r="AZ94" i="32"/>
  <c r="AZ93" i="32"/>
  <c r="AZ92" i="32"/>
  <c r="AZ91" i="32"/>
  <c r="AZ90" i="32"/>
  <c r="AZ89" i="32"/>
  <c r="AZ88" i="32"/>
  <c r="BA87" i="32"/>
  <c r="AZ87" i="32"/>
  <c r="AZ81" i="32"/>
  <c r="AZ80" i="32"/>
  <c r="AZ79" i="32"/>
  <c r="AZ78" i="32"/>
  <c r="AZ77" i="32"/>
  <c r="AZ76" i="32"/>
  <c r="AZ75" i="32"/>
  <c r="AZ74" i="32"/>
  <c r="AZ73" i="32"/>
  <c r="AZ72" i="32"/>
  <c r="AZ71" i="32"/>
  <c r="AZ70" i="32"/>
  <c r="AZ69" i="32"/>
  <c r="AZ68" i="32"/>
  <c r="BA67" i="32"/>
  <c r="AZ67" i="32"/>
  <c r="AZ61" i="32"/>
  <c r="AZ60" i="32"/>
  <c r="AZ59" i="32"/>
  <c r="AZ58" i="32"/>
  <c r="AZ57" i="32"/>
  <c r="AZ56" i="32"/>
  <c r="AZ55" i="32"/>
  <c r="AZ54" i="32"/>
  <c r="AZ53" i="32"/>
  <c r="AZ52" i="32"/>
  <c r="AZ51" i="32"/>
  <c r="AZ50" i="32"/>
  <c r="AZ49" i="32"/>
  <c r="AZ48" i="32"/>
  <c r="BA47" i="32"/>
  <c r="AZ47" i="32"/>
  <c r="AZ41" i="32"/>
  <c r="AZ40" i="32"/>
  <c r="AZ39" i="32"/>
  <c r="AZ38" i="32"/>
  <c r="AZ37" i="32"/>
  <c r="AZ36" i="32"/>
  <c r="AZ35" i="32"/>
  <c r="AZ34" i="32"/>
  <c r="AZ33" i="32"/>
  <c r="AZ32" i="32"/>
  <c r="AZ31" i="32"/>
  <c r="AZ30" i="32"/>
  <c r="AZ29" i="32"/>
  <c r="AZ28" i="32"/>
  <c r="BA27" i="32"/>
  <c r="AZ27" i="32"/>
  <c r="AZ21" i="32"/>
  <c r="AZ20" i="32"/>
  <c r="AZ19" i="32"/>
  <c r="AZ18" i="32"/>
  <c r="AZ17" i="32"/>
  <c r="AZ16" i="32"/>
  <c r="AZ15" i="32"/>
  <c r="AZ14" i="32"/>
  <c r="AZ13" i="32"/>
  <c r="AZ12" i="32"/>
  <c r="AZ11" i="32"/>
  <c r="AZ10" i="32"/>
  <c r="AZ9" i="32"/>
  <c r="AZ8" i="32"/>
  <c r="BA7" i="32"/>
  <c r="AZ7" i="32"/>
  <c r="S21" i="32"/>
  <c r="S20" i="32"/>
  <c r="S19" i="32"/>
  <c r="S18" i="32"/>
  <c r="S17" i="32"/>
  <c r="S16" i="32"/>
  <c r="S15" i="32"/>
  <c r="S14" i="32"/>
  <c r="S13" i="32"/>
  <c r="S12" i="32"/>
  <c r="S11" i="32"/>
  <c r="S10" i="32"/>
  <c r="S9" i="32"/>
  <c r="S8" i="32"/>
  <c r="T7" i="32"/>
  <c r="S7" i="32"/>
  <c r="X21" i="32"/>
  <c r="X20" i="32"/>
  <c r="X19" i="32"/>
  <c r="X18" i="32"/>
  <c r="X17" i="32"/>
  <c r="X16" i="32"/>
  <c r="X15" i="32"/>
  <c r="X14" i="32"/>
  <c r="X13" i="32"/>
  <c r="X12" i="32"/>
  <c r="X11" i="32"/>
  <c r="X10" i="32"/>
  <c r="X9" i="32"/>
  <c r="X8" i="32"/>
  <c r="Y7" i="32"/>
  <c r="X7" i="32"/>
  <c r="AC21" i="32"/>
  <c r="AC20" i="32"/>
  <c r="AC19" i="32"/>
  <c r="AC18" i="32"/>
  <c r="AC17" i="32"/>
  <c r="AC16" i="32"/>
  <c r="AC15" i="32"/>
  <c r="AC14" i="32"/>
  <c r="AC13" i="32"/>
  <c r="AC12" i="32"/>
  <c r="AC11" i="32"/>
  <c r="AC10" i="32"/>
  <c r="AC9" i="32"/>
  <c r="AC8" i="32"/>
  <c r="AD7" i="32"/>
  <c r="AC7" i="32"/>
  <c r="AH21" i="32"/>
  <c r="AH20" i="32"/>
  <c r="AH19" i="32"/>
  <c r="AH18" i="32"/>
  <c r="AH17" i="32"/>
  <c r="AH16" i="32"/>
  <c r="AH15" i="32"/>
  <c r="AH14" i="32"/>
  <c r="AH13" i="32"/>
  <c r="AH12" i="32"/>
  <c r="AH11" i="32"/>
  <c r="AH10" i="32"/>
  <c r="AH9" i="32"/>
  <c r="AH8" i="32"/>
  <c r="AI7" i="32"/>
  <c r="AH7" i="32"/>
  <c r="AM21" i="32"/>
  <c r="AM20" i="32"/>
  <c r="AM19" i="32"/>
  <c r="AM18" i="32"/>
  <c r="AM17" i="32"/>
  <c r="AM16" i="32"/>
  <c r="AM15" i="32"/>
  <c r="AM14" i="32"/>
  <c r="AM13" i="32"/>
  <c r="AM12" i="32"/>
  <c r="AM11" i="32"/>
  <c r="AM10" i="32"/>
  <c r="AM9" i="32"/>
  <c r="AM8" i="32"/>
  <c r="AN7" i="32"/>
  <c r="AM7" i="32"/>
  <c r="AR21" i="32"/>
  <c r="AR20" i="32"/>
  <c r="AR19" i="32"/>
  <c r="AR18" i="32"/>
  <c r="AR17" i="32"/>
  <c r="AR16" i="32"/>
  <c r="AR15" i="32"/>
  <c r="AR14" i="32"/>
  <c r="AR13" i="32"/>
  <c r="AR12" i="32"/>
  <c r="AR11" i="32"/>
  <c r="AR10" i="32"/>
  <c r="AR9" i="32"/>
  <c r="AR8" i="32"/>
  <c r="AS7" i="32"/>
  <c r="AR7" i="32"/>
  <c r="AW21" i="32"/>
  <c r="AW20" i="32"/>
  <c r="AW19" i="32"/>
  <c r="AW18" i="32"/>
  <c r="AW17" i="32"/>
  <c r="AW16" i="32"/>
  <c r="AW15" i="32"/>
  <c r="AW14" i="32"/>
  <c r="AW13" i="32"/>
  <c r="AW12" i="32"/>
  <c r="AW11" i="32"/>
  <c r="AW10" i="32"/>
  <c r="AW9" i="32"/>
  <c r="AW8" i="32"/>
  <c r="AX7" i="32"/>
  <c r="AW7" i="32"/>
  <c r="M36" i="8" l="1"/>
  <c r="M35" i="8"/>
  <c r="M34" i="8"/>
  <c r="M33" i="8"/>
  <c r="M32" i="8"/>
  <c r="M31" i="8"/>
  <c r="M30" i="8"/>
  <c r="M29" i="8"/>
  <c r="K120" i="35"/>
  <c r="J120" i="35"/>
  <c r="I120" i="35"/>
  <c r="K119" i="35"/>
  <c r="J119" i="35"/>
  <c r="I119" i="35"/>
  <c r="K118" i="35"/>
  <c r="J118" i="35"/>
  <c r="I118" i="35"/>
  <c r="K117" i="35"/>
  <c r="J117" i="35"/>
  <c r="I117" i="35"/>
  <c r="K116" i="35"/>
  <c r="J116" i="35"/>
  <c r="I116" i="35"/>
  <c r="K115" i="35"/>
  <c r="J115" i="35"/>
  <c r="I115" i="35"/>
  <c r="K114" i="35"/>
  <c r="J114" i="35"/>
  <c r="I114" i="35"/>
  <c r="K113" i="35"/>
  <c r="J113" i="35"/>
  <c r="I113" i="35"/>
  <c r="K112" i="35"/>
  <c r="J112" i="35"/>
  <c r="I112" i="35"/>
  <c r="K111" i="35"/>
  <c r="J111" i="35"/>
  <c r="I111" i="35"/>
  <c r="K110" i="35"/>
  <c r="J110" i="35"/>
  <c r="I110" i="35"/>
  <c r="K109" i="35"/>
  <c r="J109" i="35"/>
  <c r="I109" i="35"/>
  <c r="K108" i="35"/>
  <c r="J108" i="35"/>
  <c r="I108" i="35"/>
  <c r="K107" i="35"/>
  <c r="J107" i="35"/>
  <c r="I107" i="35"/>
  <c r="K120" i="36"/>
  <c r="J120" i="36"/>
  <c r="I120" i="36"/>
  <c r="K119" i="36"/>
  <c r="J119" i="36"/>
  <c r="I119" i="36"/>
  <c r="K118" i="36"/>
  <c r="J118" i="36"/>
  <c r="I118" i="36"/>
  <c r="K117" i="36"/>
  <c r="J117" i="36"/>
  <c r="I117" i="36"/>
  <c r="K116" i="36"/>
  <c r="J116" i="36"/>
  <c r="I116" i="36"/>
  <c r="K115" i="36"/>
  <c r="J115" i="36"/>
  <c r="I115" i="36"/>
  <c r="K114" i="36"/>
  <c r="J114" i="36"/>
  <c r="I114" i="36"/>
  <c r="K113" i="36"/>
  <c r="J113" i="36"/>
  <c r="I113" i="36"/>
  <c r="K112" i="36"/>
  <c r="J112" i="36"/>
  <c r="I112" i="36"/>
  <c r="K111" i="36"/>
  <c r="J111" i="36"/>
  <c r="I111" i="36"/>
  <c r="K110" i="36"/>
  <c r="J110" i="36"/>
  <c r="I110" i="36"/>
  <c r="K109" i="36"/>
  <c r="J109" i="36"/>
  <c r="I109" i="36"/>
  <c r="K108" i="36"/>
  <c r="J108" i="36"/>
  <c r="I108" i="36"/>
  <c r="K107" i="36"/>
  <c r="J107" i="36"/>
  <c r="I107" i="36"/>
  <c r="K120" i="37"/>
  <c r="J120" i="37"/>
  <c r="I120" i="37"/>
  <c r="K119" i="37"/>
  <c r="J119" i="37"/>
  <c r="I119" i="37"/>
  <c r="K118" i="37"/>
  <c r="J118" i="37"/>
  <c r="I118" i="37"/>
  <c r="K117" i="37"/>
  <c r="J117" i="37"/>
  <c r="I117" i="37"/>
  <c r="K116" i="37"/>
  <c r="J116" i="37"/>
  <c r="I116" i="37"/>
  <c r="K115" i="37"/>
  <c r="J115" i="37"/>
  <c r="I115" i="37"/>
  <c r="K114" i="37"/>
  <c r="J114" i="37"/>
  <c r="I114" i="37"/>
  <c r="K113" i="37"/>
  <c r="J113" i="37"/>
  <c r="I113" i="37"/>
  <c r="K112" i="37"/>
  <c r="J112" i="37"/>
  <c r="I112" i="37"/>
  <c r="K111" i="37"/>
  <c r="J111" i="37"/>
  <c r="I111" i="37"/>
  <c r="K110" i="37"/>
  <c r="J110" i="37"/>
  <c r="I110" i="37"/>
  <c r="K109" i="37"/>
  <c r="J109" i="37"/>
  <c r="I109" i="37"/>
  <c r="K108" i="37"/>
  <c r="J108" i="37"/>
  <c r="I108" i="37"/>
  <c r="K107" i="37"/>
  <c r="J107" i="37"/>
  <c r="I107" i="37"/>
  <c r="K120" i="34"/>
  <c r="J120" i="34"/>
  <c r="I120" i="34"/>
  <c r="K119" i="34"/>
  <c r="J119" i="34"/>
  <c r="I119" i="34"/>
  <c r="K118" i="34"/>
  <c r="J118" i="34"/>
  <c r="I118" i="34"/>
  <c r="K117" i="34"/>
  <c r="J117" i="34"/>
  <c r="I117" i="34"/>
  <c r="K116" i="34"/>
  <c r="J116" i="34"/>
  <c r="I116" i="34"/>
  <c r="K115" i="34"/>
  <c r="J115" i="34"/>
  <c r="I115" i="34"/>
  <c r="K114" i="34"/>
  <c r="J114" i="34"/>
  <c r="I114" i="34"/>
  <c r="K113" i="34"/>
  <c r="J113" i="34"/>
  <c r="I113" i="34"/>
  <c r="K112" i="34"/>
  <c r="J112" i="34"/>
  <c r="I112" i="34"/>
  <c r="K111" i="34"/>
  <c r="J111" i="34"/>
  <c r="I111" i="34"/>
  <c r="K110" i="34"/>
  <c r="J110" i="34"/>
  <c r="I110" i="34"/>
  <c r="K109" i="34"/>
  <c r="J109" i="34"/>
  <c r="I109" i="34"/>
  <c r="K108" i="34"/>
  <c r="J108" i="34"/>
  <c r="I108" i="34"/>
  <c r="K107" i="34"/>
  <c r="J107" i="34"/>
  <c r="I107" i="34"/>
  <c r="K100" i="35"/>
  <c r="J100" i="35"/>
  <c r="I100" i="35"/>
  <c r="K99" i="35"/>
  <c r="J99" i="35"/>
  <c r="I99" i="35"/>
  <c r="K98" i="35"/>
  <c r="J98" i="35"/>
  <c r="I98" i="35"/>
  <c r="K97" i="35"/>
  <c r="J97" i="35"/>
  <c r="I97" i="35"/>
  <c r="K96" i="35"/>
  <c r="J96" i="35"/>
  <c r="I96" i="35"/>
  <c r="K95" i="35"/>
  <c r="J95" i="35"/>
  <c r="I95" i="35"/>
  <c r="K94" i="35"/>
  <c r="J94" i="35"/>
  <c r="I94" i="35"/>
  <c r="K93" i="35"/>
  <c r="J93" i="35"/>
  <c r="I93" i="35"/>
  <c r="K92" i="35"/>
  <c r="J92" i="35"/>
  <c r="I92" i="35"/>
  <c r="K91" i="35"/>
  <c r="J91" i="35"/>
  <c r="I91" i="35"/>
  <c r="K90" i="35"/>
  <c r="J90" i="35"/>
  <c r="I90" i="35"/>
  <c r="K89" i="35"/>
  <c r="J89" i="35"/>
  <c r="I89" i="35"/>
  <c r="K88" i="35"/>
  <c r="J88" i="35"/>
  <c r="I88" i="35"/>
  <c r="K87" i="35"/>
  <c r="J87" i="35"/>
  <c r="I87" i="35"/>
  <c r="K100" i="36"/>
  <c r="J100" i="36"/>
  <c r="I100" i="36"/>
  <c r="K99" i="36"/>
  <c r="J99" i="36"/>
  <c r="I99" i="36"/>
  <c r="K98" i="36"/>
  <c r="J98" i="36"/>
  <c r="I98" i="36"/>
  <c r="K97" i="36"/>
  <c r="J97" i="36"/>
  <c r="I97" i="36"/>
  <c r="K96" i="36"/>
  <c r="J96" i="36"/>
  <c r="I96" i="36"/>
  <c r="K95" i="36"/>
  <c r="J95" i="36"/>
  <c r="I95" i="36"/>
  <c r="K94" i="36"/>
  <c r="J94" i="36"/>
  <c r="I94" i="36"/>
  <c r="K93" i="36"/>
  <c r="J93" i="36"/>
  <c r="I93" i="36"/>
  <c r="K92" i="36"/>
  <c r="J92" i="36"/>
  <c r="I92" i="36"/>
  <c r="K91" i="36"/>
  <c r="J91" i="36"/>
  <c r="I91" i="36"/>
  <c r="K90" i="36"/>
  <c r="J90" i="36"/>
  <c r="I90" i="36"/>
  <c r="K89" i="36"/>
  <c r="J89" i="36"/>
  <c r="I89" i="36"/>
  <c r="K88" i="36"/>
  <c r="J88" i="36"/>
  <c r="I88" i="36"/>
  <c r="K87" i="36"/>
  <c r="J87" i="36"/>
  <c r="I87" i="36"/>
  <c r="K100" i="37"/>
  <c r="J100" i="37"/>
  <c r="I100" i="37"/>
  <c r="K99" i="37"/>
  <c r="J99" i="37"/>
  <c r="I99" i="37"/>
  <c r="K98" i="37"/>
  <c r="J98" i="37"/>
  <c r="I98" i="37"/>
  <c r="K97" i="37"/>
  <c r="J97" i="37"/>
  <c r="I97" i="37"/>
  <c r="K96" i="37"/>
  <c r="J96" i="37"/>
  <c r="I96" i="37"/>
  <c r="K95" i="37"/>
  <c r="J95" i="37"/>
  <c r="I95" i="37"/>
  <c r="K94" i="37"/>
  <c r="J94" i="37"/>
  <c r="I94" i="37"/>
  <c r="K93" i="37"/>
  <c r="J93" i="37"/>
  <c r="I93" i="37"/>
  <c r="K92" i="37"/>
  <c r="J92" i="37"/>
  <c r="I92" i="37"/>
  <c r="K91" i="37"/>
  <c r="J91" i="37"/>
  <c r="I91" i="37"/>
  <c r="K90" i="37"/>
  <c r="J90" i="37"/>
  <c r="I90" i="37"/>
  <c r="K89" i="37"/>
  <c r="J89" i="37"/>
  <c r="I89" i="37"/>
  <c r="K88" i="37"/>
  <c r="J88" i="37"/>
  <c r="I88" i="37"/>
  <c r="K87" i="37"/>
  <c r="J87" i="37"/>
  <c r="I87" i="37"/>
  <c r="K100" i="34"/>
  <c r="J100" i="34"/>
  <c r="I100" i="34"/>
  <c r="K99" i="34"/>
  <c r="J99" i="34"/>
  <c r="I99" i="34"/>
  <c r="K98" i="34"/>
  <c r="J98" i="34"/>
  <c r="I98" i="34"/>
  <c r="K97" i="34"/>
  <c r="J97" i="34"/>
  <c r="I97" i="34"/>
  <c r="K96" i="34"/>
  <c r="J96" i="34"/>
  <c r="I96" i="34"/>
  <c r="K95" i="34"/>
  <c r="J95" i="34"/>
  <c r="I95" i="34"/>
  <c r="K94" i="34"/>
  <c r="J94" i="34"/>
  <c r="I94" i="34"/>
  <c r="K93" i="34"/>
  <c r="J93" i="34"/>
  <c r="I93" i="34"/>
  <c r="K92" i="34"/>
  <c r="J92" i="34"/>
  <c r="I92" i="34"/>
  <c r="K91" i="34"/>
  <c r="J91" i="34"/>
  <c r="I91" i="34"/>
  <c r="K90" i="34"/>
  <c r="J90" i="34"/>
  <c r="I90" i="34"/>
  <c r="K89" i="34"/>
  <c r="J89" i="34"/>
  <c r="I89" i="34"/>
  <c r="K88" i="34"/>
  <c r="J88" i="34"/>
  <c r="I88" i="34"/>
  <c r="K87" i="34"/>
  <c r="J87" i="34"/>
  <c r="I87" i="34"/>
  <c r="K80" i="35"/>
  <c r="J80" i="35"/>
  <c r="I80" i="35"/>
  <c r="K79" i="35"/>
  <c r="J79" i="35"/>
  <c r="I79" i="35"/>
  <c r="K78" i="35"/>
  <c r="J78" i="35"/>
  <c r="I78" i="35"/>
  <c r="K77" i="35"/>
  <c r="J77" i="35"/>
  <c r="I77" i="35"/>
  <c r="K76" i="35"/>
  <c r="J76" i="35"/>
  <c r="I76" i="35"/>
  <c r="K75" i="35"/>
  <c r="J75" i="35"/>
  <c r="I75" i="35"/>
  <c r="K74" i="35"/>
  <c r="J74" i="35"/>
  <c r="I74" i="35"/>
  <c r="K73" i="35"/>
  <c r="J73" i="35"/>
  <c r="I73" i="35"/>
  <c r="K72" i="35"/>
  <c r="J72" i="35"/>
  <c r="I72" i="35"/>
  <c r="K71" i="35"/>
  <c r="J71" i="35"/>
  <c r="I71" i="35"/>
  <c r="K70" i="35"/>
  <c r="J70" i="35"/>
  <c r="I70" i="35"/>
  <c r="K69" i="35"/>
  <c r="J69" i="35"/>
  <c r="I69" i="35"/>
  <c r="K68" i="35"/>
  <c r="J68" i="35"/>
  <c r="I68" i="35"/>
  <c r="K67" i="35"/>
  <c r="L67" i="35" s="1"/>
  <c r="B34" i="39" s="1"/>
  <c r="J67" i="35"/>
  <c r="I67" i="35"/>
  <c r="K80" i="36"/>
  <c r="J80" i="36"/>
  <c r="I80" i="36"/>
  <c r="K79" i="36"/>
  <c r="J79" i="36"/>
  <c r="I79" i="36"/>
  <c r="K78" i="36"/>
  <c r="J78" i="36"/>
  <c r="I78" i="36"/>
  <c r="K77" i="36"/>
  <c r="J77" i="36"/>
  <c r="I77" i="36"/>
  <c r="K76" i="36"/>
  <c r="J76" i="36"/>
  <c r="I76" i="36"/>
  <c r="K75" i="36"/>
  <c r="J75" i="36"/>
  <c r="I75" i="36"/>
  <c r="K74" i="36"/>
  <c r="J74" i="36"/>
  <c r="I74" i="36"/>
  <c r="K73" i="36"/>
  <c r="J73" i="36"/>
  <c r="I73" i="36"/>
  <c r="K72" i="36"/>
  <c r="J72" i="36"/>
  <c r="I72" i="36"/>
  <c r="K71" i="36"/>
  <c r="J71" i="36"/>
  <c r="I71" i="36"/>
  <c r="K70" i="36"/>
  <c r="J70" i="36"/>
  <c r="I70" i="36"/>
  <c r="K69" i="36"/>
  <c r="J69" i="36"/>
  <c r="I69" i="36"/>
  <c r="K68" i="36"/>
  <c r="J68" i="36"/>
  <c r="I68" i="36"/>
  <c r="K67" i="36"/>
  <c r="J67" i="36"/>
  <c r="I67" i="36"/>
  <c r="K80" i="37"/>
  <c r="J80" i="37"/>
  <c r="I80" i="37"/>
  <c r="K79" i="37"/>
  <c r="J79" i="37"/>
  <c r="I79" i="37"/>
  <c r="K78" i="37"/>
  <c r="J78" i="37"/>
  <c r="I78" i="37"/>
  <c r="K77" i="37"/>
  <c r="J77" i="37"/>
  <c r="I77" i="37"/>
  <c r="K76" i="37"/>
  <c r="J76" i="37"/>
  <c r="I76" i="37"/>
  <c r="K75" i="37"/>
  <c r="J75" i="37"/>
  <c r="I75" i="37"/>
  <c r="K74" i="37"/>
  <c r="J74" i="37"/>
  <c r="I74" i="37"/>
  <c r="K73" i="37"/>
  <c r="J73" i="37"/>
  <c r="I73" i="37"/>
  <c r="K72" i="37"/>
  <c r="J72" i="37"/>
  <c r="I72" i="37"/>
  <c r="K71" i="37"/>
  <c r="J71" i="37"/>
  <c r="I71" i="37"/>
  <c r="K70" i="37"/>
  <c r="J70" i="37"/>
  <c r="I70" i="37"/>
  <c r="K69" i="37"/>
  <c r="J69" i="37"/>
  <c r="I69" i="37"/>
  <c r="K68" i="37"/>
  <c r="J68" i="37"/>
  <c r="I68" i="37"/>
  <c r="K67" i="37"/>
  <c r="L67" i="37" s="1"/>
  <c r="B36" i="39" s="1"/>
  <c r="J67" i="37"/>
  <c r="I67" i="37"/>
  <c r="K80" i="34"/>
  <c r="J80" i="34"/>
  <c r="I80" i="34"/>
  <c r="K79" i="34"/>
  <c r="J79" i="34"/>
  <c r="I79" i="34"/>
  <c r="K78" i="34"/>
  <c r="J78" i="34"/>
  <c r="I78" i="34"/>
  <c r="K77" i="34"/>
  <c r="J77" i="34"/>
  <c r="I77" i="34"/>
  <c r="K76" i="34"/>
  <c r="J76" i="34"/>
  <c r="I76" i="34"/>
  <c r="K75" i="34"/>
  <c r="J75" i="34"/>
  <c r="I75" i="34"/>
  <c r="K74" i="34"/>
  <c r="J74" i="34"/>
  <c r="I74" i="34"/>
  <c r="K73" i="34"/>
  <c r="J73" i="34"/>
  <c r="I73" i="34"/>
  <c r="K72" i="34"/>
  <c r="J72" i="34"/>
  <c r="I72" i="34"/>
  <c r="K71" i="34"/>
  <c r="J71" i="34"/>
  <c r="I71" i="34"/>
  <c r="K70" i="34"/>
  <c r="J70" i="34"/>
  <c r="I70" i="34"/>
  <c r="K69" i="34"/>
  <c r="J69" i="34"/>
  <c r="I69" i="34"/>
  <c r="K68" i="34"/>
  <c r="J68" i="34"/>
  <c r="I68" i="34"/>
  <c r="K67" i="34"/>
  <c r="J67" i="34"/>
  <c r="I67" i="34"/>
  <c r="K60" i="35"/>
  <c r="J60" i="35"/>
  <c r="I60" i="35"/>
  <c r="K59" i="35"/>
  <c r="J59" i="35"/>
  <c r="I59" i="35"/>
  <c r="K58" i="35"/>
  <c r="J58" i="35"/>
  <c r="I58" i="35"/>
  <c r="K57" i="35"/>
  <c r="J57" i="35"/>
  <c r="I57" i="35"/>
  <c r="K56" i="35"/>
  <c r="J56" i="35"/>
  <c r="I56" i="35"/>
  <c r="K55" i="35"/>
  <c r="J55" i="35"/>
  <c r="I55" i="35"/>
  <c r="K54" i="35"/>
  <c r="J54" i="35"/>
  <c r="I54" i="35"/>
  <c r="K53" i="35"/>
  <c r="J53" i="35"/>
  <c r="I53" i="35"/>
  <c r="K52" i="35"/>
  <c r="J52" i="35"/>
  <c r="I52" i="35"/>
  <c r="K51" i="35"/>
  <c r="J51" i="35"/>
  <c r="I51" i="35"/>
  <c r="K50" i="35"/>
  <c r="J50" i="35"/>
  <c r="I50" i="35"/>
  <c r="K49" i="35"/>
  <c r="J49" i="35"/>
  <c r="I49" i="35"/>
  <c r="K48" i="35"/>
  <c r="J48" i="35"/>
  <c r="I48" i="35"/>
  <c r="K47" i="35"/>
  <c r="J47" i="35"/>
  <c r="I47" i="35"/>
  <c r="K60" i="36"/>
  <c r="J60" i="36"/>
  <c r="I60" i="36"/>
  <c r="K59" i="36"/>
  <c r="J59" i="36"/>
  <c r="I59" i="36"/>
  <c r="K58" i="36"/>
  <c r="J58" i="36"/>
  <c r="I58" i="36"/>
  <c r="K57" i="36"/>
  <c r="J57" i="36"/>
  <c r="I57" i="36"/>
  <c r="K56" i="36"/>
  <c r="J56" i="36"/>
  <c r="I56" i="36"/>
  <c r="K55" i="36"/>
  <c r="J55" i="36"/>
  <c r="I55" i="36"/>
  <c r="K54" i="36"/>
  <c r="J54" i="36"/>
  <c r="I54" i="36"/>
  <c r="K53" i="36"/>
  <c r="J53" i="36"/>
  <c r="I53" i="36"/>
  <c r="K52" i="36"/>
  <c r="J52" i="36"/>
  <c r="I52" i="36"/>
  <c r="K51" i="36"/>
  <c r="J51" i="36"/>
  <c r="I51" i="36"/>
  <c r="K50" i="36"/>
  <c r="J50" i="36"/>
  <c r="I50" i="36"/>
  <c r="K49" i="36"/>
  <c r="L47" i="36" s="1"/>
  <c r="J49" i="36"/>
  <c r="I49" i="36"/>
  <c r="K48" i="36"/>
  <c r="J48" i="36"/>
  <c r="I48" i="36"/>
  <c r="K47" i="36"/>
  <c r="J47" i="36"/>
  <c r="I47" i="36"/>
  <c r="K60" i="37"/>
  <c r="J60" i="37"/>
  <c r="I60" i="37"/>
  <c r="K59" i="37"/>
  <c r="J59" i="37"/>
  <c r="I59" i="37"/>
  <c r="K58" i="37"/>
  <c r="J58" i="37"/>
  <c r="I58" i="37"/>
  <c r="K57" i="37"/>
  <c r="J57" i="37"/>
  <c r="I57" i="37"/>
  <c r="K56" i="37"/>
  <c r="J56" i="37"/>
  <c r="I56" i="37"/>
  <c r="K55" i="37"/>
  <c r="J55" i="37"/>
  <c r="I55" i="37"/>
  <c r="K54" i="37"/>
  <c r="J54" i="37"/>
  <c r="I54" i="37"/>
  <c r="K53" i="37"/>
  <c r="J53" i="37"/>
  <c r="I53" i="37"/>
  <c r="K52" i="37"/>
  <c r="J52" i="37"/>
  <c r="I52" i="37"/>
  <c r="K51" i="37"/>
  <c r="J51" i="37"/>
  <c r="I51" i="37"/>
  <c r="K50" i="37"/>
  <c r="J50" i="37"/>
  <c r="I50" i="37"/>
  <c r="K49" i="37"/>
  <c r="J49" i="37"/>
  <c r="I49" i="37"/>
  <c r="K48" i="37"/>
  <c r="J48" i="37"/>
  <c r="I48" i="37"/>
  <c r="K47" i="37"/>
  <c r="L47" i="37" s="1"/>
  <c r="J47" i="37"/>
  <c r="I47" i="37"/>
  <c r="K60" i="34"/>
  <c r="J60" i="34"/>
  <c r="I60" i="34"/>
  <c r="K59" i="34"/>
  <c r="J59" i="34"/>
  <c r="I59" i="34"/>
  <c r="K58" i="34"/>
  <c r="J58" i="34"/>
  <c r="I58" i="34"/>
  <c r="K57" i="34"/>
  <c r="J57" i="34"/>
  <c r="I57" i="34"/>
  <c r="K56" i="34"/>
  <c r="J56" i="34"/>
  <c r="I56" i="34"/>
  <c r="K55" i="34"/>
  <c r="J55" i="34"/>
  <c r="I55" i="34"/>
  <c r="K54" i="34"/>
  <c r="J54" i="34"/>
  <c r="I54" i="34"/>
  <c r="K53" i="34"/>
  <c r="J53" i="34"/>
  <c r="I53" i="34"/>
  <c r="K52" i="34"/>
  <c r="J52" i="34"/>
  <c r="I52" i="34"/>
  <c r="K51" i="34"/>
  <c r="J51" i="34"/>
  <c r="I51" i="34"/>
  <c r="K50" i="34"/>
  <c r="J50" i="34"/>
  <c r="I50" i="34"/>
  <c r="K49" i="34"/>
  <c r="J49" i="34"/>
  <c r="I49" i="34"/>
  <c r="K48" i="34"/>
  <c r="J48" i="34"/>
  <c r="I48" i="34"/>
  <c r="K47" i="34"/>
  <c r="J47" i="34"/>
  <c r="I47" i="34"/>
  <c r="K40" i="35"/>
  <c r="J40" i="35"/>
  <c r="I40" i="35"/>
  <c r="K39" i="35"/>
  <c r="J39" i="35"/>
  <c r="I39" i="35"/>
  <c r="K38" i="35"/>
  <c r="J38" i="35"/>
  <c r="I38" i="35"/>
  <c r="K37" i="35"/>
  <c r="J37" i="35"/>
  <c r="I37" i="35"/>
  <c r="K36" i="35"/>
  <c r="J36" i="35"/>
  <c r="I36" i="35"/>
  <c r="K35" i="35"/>
  <c r="J35" i="35"/>
  <c r="I35" i="35"/>
  <c r="K34" i="35"/>
  <c r="J34" i="35"/>
  <c r="I34" i="35"/>
  <c r="K33" i="35"/>
  <c r="J33" i="35"/>
  <c r="I33" i="35"/>
  <c r="K32" i="35"/>
  <c r="J32" i="35"/>
  <c r="I32" i="35"/>
  <c r="K31" i="35"/>
  <c r="J31" i="35"/>
  <c r="I31" i="35"/>
  <c r="K30" i="35"/>
  <c r="J30" i="35"/>
  <c r="I30" i="35"/>
  <c r="K29" i="35"/>
  <c r="J29" i="35"/>
  <c r="I29" i="35"/>
  <c r="K28" i="35"/>
  <c r="J28" i="35"/>
  <c r="I28" i="35"/>
  <c r="K27" i="35"/>
  <c r="J27" i="35"/>
  <c r="I27" i="35"/>
  <c r="K40" i="36"/>
  <c r="J40" i="36"/>
  <c r="I40" i="36"/>
  <c r="K39" i="36"/>
  <c r="J39" i="36"/>
  <c r="I39" i="36"/>
  <c r="K38" i="36"/>
  <c r="J38" i="36"/>
  <c r="I38" i="36"/>
  <c r="K37" i="36"/>
  <c r="J37" i="36"/>
  <c r="I37" i="36"/>
  <c r="K36" i="36"/>
  <c r="J36" i="36"/>
  <c r="I36" i="36"/>
  <c r="K35" i="36"/>
  <c r="J35" i="36"/>
  <c r="I35" i="36"/>
  <c r="K34" i="36"/>
  <c r="J34" i="36"/>
  <c r="I34" i="36"/>
  <c r="K33" i="36"/>
  <c r="J33" i="36"/>
  <c r="I33" i="36"/>
  <c r="K32" i="36"/>
  <c r="J32" i="36"/>
  <c r="I32" i="36"/>
  <c r="K31" i="36"/>
  <c r="J31" i="36"/>
  <c r="I31" i="36"/>
  <c r="K30" i="36"/>
  <c r="J30" i="36"/>
  <c r="I30" i="36"/>
  <c r="K29" i="36"/>
  <c r="J29" i="36"/>
  <c r="I29" i="36"/>
  <c r="K28" i="36"/>
  <c r="J28" i="36"/>
  <c r="I28" i="36"/>
  <c r="K27" i="36"/>
  <c r="J27" i="36"/>
  <c r="I27" i="36"/>
  <c r="K40" i="37"/>
  <c r="J40" i="37"/>
  <c r="I40" i="37"/>
  <c r="K39" i="37"/>
  <c r="J39" i="37"/>
  <c r="I39" i="37"/>
  <c r="K38" i="37"/>
  <c r="J38" i="37"/>
  <c r="I38" i="37"/>
  <c r="K37" i="37"/>
  <c r="J37" i="37"/>
  <c r="I37" i="37"/>
  <c r="K36" i="37"/>
  <c r="J36" i="37"/>
  <c r="I36" i="37"/>
  <c r="K35" i="37"/>
  <c r="J35" i="37"/>
  <c r="I35" i="37"/>
  <c r="K34" i="37"/>
  <c r="J34" i="37"/>
  <c r="I34" i="37"/>
  <c r="K33" i="37"/>
  <c r="J33" i="37"/>
  <c r="I33" i="37"/>
  <c r="K32" i="37"/>
  <c r="J32" i="37"/>
  <c r="I32" i="37"/>
  <c r="K31" i="37"/>
  <c r="J31" i="37"/>
  <c r="I31" i="37"/>
  <c r="K30" i="37"/>
  <c r="J30" i="37"/>
  <c r="I30" i="37"/>
  <c r="K29" i="37"/>
  <c r="J29" i="37"/>
  <c r="I29" i="37"/>
  <c r="K28" i="37"/>
  <c r="J28" i="37"/>
  <c r="I28" i="37"/>
  <c r="K27" i="37"/>
  <c r="L27" i="37" s="1"/>
  <c r="J27" i="37"/>
  <c r="I27" i="37"/>
  <c r="K40" i="34"/>
  <c r="J40" i="34"/>
  <c r="I40" i="34"/>
  <c r="K39" i="34"/>
  <c r="J39" i="34"/>
  <c r="I39" i="34"/>
  <c r="K38" i="34"/>
  <c r="J38" i="34"/>
  <c r="I38" i="34"/>
  <c r="K37" i="34"/>
  <c r="J37" i="34"/>
  <c r="I37" i="34"/>
  <c r="K36" i="34"/>
  <c r="J36" i="34"/>
  <c r="I36" i="34"/>
  <c r="K35" i="34"/>
  <c r="J35" i="34"/>
  <c r="I35" i="34"/>
  <c r="K34" i="34"/>
  <c r="J34" i="34"/>
  <c r="I34" i="34"/>
  <c r="K33" i="34"/>
  <c r="J33" i="34"/>
  <c r="I33" i="34"/>
  <c r="K32" i="34"/>
  <c r="J32" i="34"/>
  <c r="I32" i="34"/>
  <c r="K31" i="34"/>
  <c r="J31" i="34"/>
  <c r="I31" i="34"/>
  <c r="K30" i="34"/>
  <c r="J30" i="34"/>
  <c r="I30" i="34"/>
  <c r="K29" i="34"/>
  <c r="J29" i="34"/>
  <c r="I29" i="34"/>
  <c r="K28" i="34"/>
  <c r="J28" i="34"/>
  <c r="I28" i="34"/>
  <c r="K27" i="34"/>
  <c r="J27" i="34"/>
  <c r="I27" i="34"/>
  <c r="K20" i="35"/>
  <c r="J20" i="35"/>
  <c r="I20" i="35"/>
  <c r="K19" i="35"/>
  <c r="J19" i="35"/>
  <c r="I19" i="35"/>
  <c r="K18" i="35"/>
  <c r="J18" i="35"/>
  <c r="I18" i="35"/>
  <c r="K17" i="35"/>
  <c r="J17" i="35"/>
  <c r="I17" i="35"/>
  <c r="K16" i="35"/>
  <c r="J16" i="35"/>
  <c r="I16" i="35"/>
  <c r="K15" i="35"/>
  <c r="J15" i="35"/>
  <c r="I15" i="35"/>
  <c r="K14" i="35"/>
  <c r="J14" i="35"/>
  <c r="I14" i="35"/>
  <c r="K13" i="35"/>
  <c r="J13" i="35"/>
  <c r="I13" i="35"/>
  <c r="K12" i="35"/>
  <c r="J12" i="35"/>
  <c r="I12" i="35"/>
  <c r="K11" i="35"/>
  <c r="J11" i="35"/>
  <c r="I11" i="35"/>
  <c r="K10" i="35"/>
  <c r="J10" i="35"/>
  <c r="I10" i="35"/>
  <c r="K9" i="35"/>
  <c r="J9" i="35"/>
  <c r="I9" i="35"/>
  <c r="K8" i="35"/>
  <c r="J8" i="35"/>
  <c r="I8" i="35"/>
  <c r="K7" i="35"/>
  <c r="J7" i="35"/>
  <c r="I7" i="35"/>
  <c r="K20" i="36"/>
  <c r="J20" i="36"/>
  <c r="I20" i="36"/>
  <c r="K19" i="36"/>
  <c r="J19" i="36"/>
  <c r="I19" i="36"/>
  <c r="K18" i="36"/>
  <c r="J18" i="36"/>
  <c r="I18" i="36"/>
  <c r="K17" i="36"/>
  <c r="J17" i="36"/>
  <c r="I17" i="36"/>
  <c r="K16" i="36"/>
  <c r="J16" i="36"/>
  <c r="I16" i="36"/>
  <c r="K15" i="36"/>
  <c r="J15" i="36"/>
  <c r="I15" i="36"/>
  <c r="K14" i="36"/>
  <c r="J14" i="36"/>
  <c r="I14" i="36"/>
  <c r="K13" i="36"/>
  <c r="J13" i="36"/>
  <c r="I13" i="36"/>
  <c r="K12" i="36"/>
  <c r="J12" i="36"/>
  <c r="I12" i="36"/>
  <c r="K11" i="36"/>
  <c r="J11" i="36"/>
  <c r="I11" i="36"/>
  <c r="K10" i="36"/>
  <c r="J10" i="36"/>
  <c r="I10" i="36"/>
  <c r="K9" i="36"/>
  <c r="J9" i="36"/>
  <c r="I9" i="36"/>
  <c r="K8" i="36"/>
  <c r="J8" i="36"/>
  <c r="I8" i="36"/>
  <c r="K7" i="36"/>
  <c r="J7" i="36"/>
  <c r="I7" i="36"/>
  <c r="K20" i="37"/>
  <c r="J20" i="37"/>
  <c r="I20" i="37"/>
  <c r="K19" i="37"/>
  <c r="J19" i="37"/>
  <c r="I19" i="37"/>
  <c r="K18" i="37"/>
  <c r="J18" i="37"/>
  <c r="I18" i="37"/>
  <c r="K17" i="37"/>
  <c r="J17" i="37"/>
  <c r="I17" i="37"/>
  <c r="K16" i="37"/>
  <c r="J16" i="37"/>
  <c r="I16" i="37"/>
  <c r="K15" i="37"/>
  <c r="J15" i="37"/>
  <c r="I15" i="37"/>
  <c r="K14" i="37"/>
  <c r="J14" i="37"/>
  <c r="I14" i="37"/>
  <c r="K13" i="37"/>
  <c r="J13" i="37"/>
  <c r="I13" i="37"/>
  <c r="K12" i="37"/>
  <c r="J12" i="37"/>
  <c r="I12" i="37"/>
  <c r="K11" i="37"/>
  <c r="J11" i="37"/>
  <c r="I11" i="37"/>
  <c r="K10" i="37"/>
  <c r="J10" i="37"/>
  <c r="I10" i="37"/>
  <c r="K9" i="37"/>
  <c r="J9" i="37"/>
  <c r="I9" i="37"/>
  <c r="K8" i="37"/>
  <c r="J8" i="37"/>
  <c r="I8" i="37"/>
  <c r="K7" i="37"/>
  <c r="L7" i="37" s="1"/>
  <c r="J7" i="37"/>
  <c r="I7" i="37"/>
  <c r="K20" i="34"/>
  <c r="J20" i="34"/>
  <c r="I20" i="34"/>
  <c r="K19" i="34"/>
  <c r="J19" i="34"/>
  <c r="I19" i="34"/>
  <c r="K18" i="34"/>
  <c r="J18" i="34"/>
  <c r="I18" i="34"/>
  <c r="K17" i="34"/>
  <c r="J17" i="34"/>
  <c r="I17" i="34"/>
  <c r="K16" i="34"/>
  <c r="J16" i="34"/>
  <c r="I16" i="34"/>
  <c r="K15" i="34"/>
  <c r="J15" i="34"/>
  <c r="I15" i="34"/>
  <c r="K14" i="34"/>
  <c r="J14" i="34"/>
  <c r="I14" i="34"/>
  <c r="K13" i="34"/>
  <c r="J13" i="34"/>
  <c r="I13" i="34"/>
  <c r="K12" i="34"/>
  <c r="J12" i="34"/>
  <c r="I12" i="34"/>
  <c r="K11" i="34"/>
  <c r="J11" i="34"/>
  <c r="I11" i="34"/>
  <c r="K10" i="34"/>
  <c r="J10" i="34"/>
  <c r="I10" i="34"/>
  <c r="K9" i="34"/>
  <c r="J9" i="34"/>
  <c r="I9" i="34"/>
  <c r="K8" i="34"/>
  <c r="J8" i="34"/>
  <c r="I8" i="34"/>
  <c r="K7" i="34"/>
  <c r="J7" i="34"/>
  <c r="I7" i="34"/>
  <c r="K120" i="31"/>
  <c r="J120" i="31"/>
  <c r="I120" i="31"/>
  <c r="K119" i="31"/>
  <c r="J119" i="31"/>
  <c r="I119" i="31"/>
  <c r="K118" i="31"/>
  <c r="J118" i="31"/>
  <c r="I118" i="31"/>
  <c r="K117" i="31"/>
  <c r="J117" i="31"/>
  <c r="I117" i="31"/>
  <c r="K116" i="31"/>
  <c r="J116" i="31"/>
  <c r="I116" i="31"/>
  <c r="K115" i="31"/>
  <c r="J115" i="31"/>
  <c r="I115" i="31"/>
  <c r="K114" i="31"/>
  <c r="J114" i="31"/>
  <c r="I114" i="31"/>
  <c r="K113" i="31"/>
  <c r="J113" i="31"/>
  <c r="I113" i="31"/>
  <c r="K112" i="31"/>
  <c r="J112" i="31"/>
  <c r="I112" i="31"/>
  <c r="K111" i="31"/>
  <c r="J111" i="31"/>
  <c r="I111" i="31"/>
  <c r="K110" i="31"/>
  <c r="J110" i="31"/>
  <c r="I110" i="31"/>
  <c r="K109" i="31"/>
  <c r="J109" i="31"/>
  <c r="I109" i="31"/>
  <c r="K108" i="31"/>
  <c r="J108" i="31"/>
  <c r="I108" i="31"/>
  <c r="K107" i="31"/>
  <c r="J107" i="31"/>
  <c r="I107" i="31"/>
  <c r="K100" i="31"/>
  <c r="J100" i="31"/>
  <c r="I100" i="31"/>
  <c r="K99" i="31"/>
  <c r="J99" i="31"/>
  <c r="I99" i="31"/>
  <c r="K98" i="31"/>
  <c r="J98" i="31"/>
  <c r="I98" i="31"/>
  <c r="K97" i="31"/>
  <c r="J97" i="31"/>
  <c r="I97" i="31"/>
  <c r="K96" i="31"/>
  <c r="J96" i="31"/>
  <c r="I96" i="31"/>
  <c r="K95" i="31"/>
  <c r="J95" i="31"/>
  <c r="I95" i="31"/>
  <c r="K94" i="31"/>
  <c r="J94" i="31"/>
  <c r="I94" i="31"/>
  <c r="K93" i="31"/>
  <c r="J93" i="31"/>
  <c r="I93" i="31"/>
  <c r="K92" i="31"/>
  <c r="J92" i="31"/>
  <c r="I92" i="31"/>
  <c r="K91" i="31"/>
  <c r="J91" i="31"/>
  <c r="I91" i="31"/>
  <c r="K90" i="31"/>
  <c r="J90" i="31"/>
  <c r="I90" i="31"/>
  <c r="K89" i="31"/>
  <c r="J89" i="31"/>
  <c r="I89" i="31"/>
  <c r="K88" i="31"/>
  <c r="J88" i="31"/>
  <c r="I88" i="31"/>
  <c r="K87" i="31"/>
  <c r="J87" i="31"/>
  <c r="I87" i="31"/>
  <c r="K80" i="31"/>
  <c r="J80" i="31"/>
  <c r="I80" i="31"/>
  <c r="K79" i="31"/>
  <c r="J79" i="31"/>
  <c r="I79" i="31"/>
  <c r="K78" i="31"/>
  <c r="J78" i="31"/>
  <c r="I78" i="31"/>
  <c r="K77" i="31"/>
  <c r="J77" i="31"/>
  <c r="I77" i="31"/>
  <c r="K76" i="31"/>
  <c r="J76" i="31"/>
  <c r="I76" i="31"/>
  <c r="K75" i="31"/>
  <c r="J75" i="31"/>
  <c r="I75" i="31"/>
  <c r="K74" i="31"/>
  <c r="J74" i="31"/>
  <c r="I74" i="31"/>
  <c r="K73" i="31"/>
  <c r="J73" i="31"/>
  <c r="I73" i="31"/>
  <c r="K72" i="31"/>
  <c r="J72" i="31"/>
  <c r="I72" i="31"/>
  <c r="K71" i="31"/>
  <c r="J71" i="31"/>
  <c r="I71" i="31"/>
  <c r="K70" i="31"/>
  <c r="J70" i="31"/>
  <c r="I70" i="31"/>
  <c r="K69" i="31"/>
  <c r="J69" i="31"/>
  <c r="I69" i="31"/>
  <c r="K68" i="31"/>
  <c r="J68" i="31"/>
  <c r="I68" i="31"/>
  <c r="K67" i="31"/>
  <c r="J67" i="31"/>
  <c r="I67" i="31"/>
  <c r="K60" i="31"/>
  <c r="J60" i="31"/>
  <c r="I60" i="31"/>
  <c r="K59" i="31"/>
  <c r="J59" i="31"/>
  <c r="I59" i="31"/>
  <c r="K58" i="31"/>
  <c r="J58" i="31"/>
  <c r="I58" i="31"/>
  <c r="K57" i="31"/>
  <c r="J57" i="31"/>
  <c r="I57" i="31"/>
  <c r="K56" i="31"/>
  <c r="J56" i="31"/>
  <c r="I56" i="31"/>
  <c r="K55" i="31"/>
  <c r="J55" i="31"/>
  <c r="I55" i="31"/>
  <c r="K54" i="31"/>
  <c r="J54" i="31"/>
  <c r="I54" i="31"/>
  <c r="K53" i="31"/>
  <c r="J53" i="31"/>
  <c r="I53" i="31"/>
  <c r="K52" i="31"/>
  <c r="J52" i="31"/>
  <c r="I52" i="31"/>
  <c r="K51" i="31"/>
  <c r="J51" i="31"/>
  <c r="I51" i="31"/>
  <c r="K50" i="31"/>
  <c r="J50" i="31"/>
  <c r="I50" i="31"/>
  <c r="K49" i="31"/>
  <c r="J49" i="31"/>
  <c r="I49" i="31"/>
  <c r="K48" i="31"/>
  <c r="J48" i="31"/>
  <c r="I48" i="31"/>
  <c r="K47" i="31"/>
  <c r="J47" i="31"/>
  <c r="I47" i="31"/>
  <c r="K40" i="31"/>
  <c r="J40" i="31"/>
  <c r="I40" i="31"/>
  <c r="K39" i="31"/>
  <c r="J39" i="31"/>
  <c r="I39" i="31"/>
  <c r="K38" i="31"/>
  <c r="J38" i="31"/>
  <c r="I38" i="31"/>
  <c r="K37" i="31"/>
  <c r="J37" i="31"/>
  <c r="I37" i="31"/>
  <c r="K36" i="31"/>
  <c r="J36" i="31"/>
  <c r="I36" i="31"/>
  <c r="K35" i="31"/>
  <c r="J35" i="31"/>
  <c r="I35" i="31"/>
  <c r="K34" i="31"/>
  <c r="J34" i="31"/>
  <c r="I34" i="31"/>
  <c r="K33" i="31"/>
  <c r="J33" i="31"/>
  <c r="I33" i="31"/>
  <c r="K32" i="31"/>
  <c r="J32" i="31"/>
  <c r="I32" i="31"/>
  <c r="K31" i="31"/>
  <c r="J31" i="31"/>
  <c r="I31" i="31"/>
  <c r="K30" i="31"/>
  <c r="J30" i="31"/>
  <c r="I30" i="31"/>
  <c r="K29" i="31"/>
  <c r="J29" i="31"/>
  <c r="I29" i="31"/>
  <c r="K28" i="31"/>
  <c r="J28" i="31"/>
  <c r="I28" i="31"/>
  <c r="K27" i="31"/>
  <c r="J27" i="31"/>
  <c r="I27" i="31"/>
  <c r="K20" i="31"/>
  <c r="J20" i="31"/>
  <c r="I20" i="31"/>
  <c r="K19" i="31"/>
  <c r="J19" i="31"/>
  <c r="I19" i="31"/>
  <c r="K18" i="31"/>
  <c r="J18" i="31"/>
  <c r="I18" i="31"/>
  <c r="K17" i="31"/>
  <c r="J17" i="31"/>
  <c r="I17" i="31"/>
  <c r="K16" i="31"/>
  <c r="J16" i="31"/>
  <c r="I16" i="31"/>
  <c r="K15" i="31"/>
  <c r="J15" i="31"/>
  <c r="I15" i="31"/>
  <c r="K14" i="31"/>
  <c r="J14" i="31"/>
  <c r="I14" i="31"/>
  <c r="K13" i="31"/>
  <c r="J13" i="31"/>
  <c r="I13" i="31"/>
  <c r="K12" i="31"/>
  <c r="J12" i="31"/>
  <c r="I12" i="31"/>
  <c r="K11" i="31"/>
  <c r="J11" i="31"/>
  <c r="I11" i="31"/>
  <c r="K10" i="31"/>
  <c r="J10" i="31"/>
  <c r="I10" i="31"/>
  <c r="K9" i="31"/>
  <c r="J9" i="31"/>
  <c r="I9" i="31"/>
  <c r="K8" i="31"/>
  <c r="J8" i="31"/>
  <c r="I8" i="31"/>
  <c r="K7" i="31"/>
  <c r="J7" i="31"/>
  <c r="I7" i="31"/>
  <c r="K120" i="32"/>
  <c r="J120" i="32"/>
  <c r="I120" i="32"/>
  <c r="K119" i="32"/>
  <c r="J119" i="32"/>
  <c r="I119" i="32"/>
  <c r="K118" i="32"/>
  <c r="J118" i="32"/>
  <c r="I118" i="32"/>
  <c r="K117" i="32"/>
  <c r="J117" i="32"/>
  <c r="I117" i="32"/>
  <c r="K116" i="32"/>
  <c r="J116" i="32"/>
  <c r="I116" i="32"/>
  <c r="K115" i="32"/>
  <c r="J115" i="32"/>
  <c r="I115" i="32"/>
  <c r="K114" i="32"/>
  <c r="J114" i="32"/>
  <c r="I114" i="32"/>
  <c r="K113" i="32"/>
  <c r="J113" i="32"/>
  <c r="I113" i="32"/>
  <c r="K112" i="32"/>
  <c r="J112" i="32"/>
  <c r="I112" i="32"/>
  <c r="K111" i="32"/>
  <c r="J111" i="32"/>
  <c r="I111" i="32"/>
  <c r="K110" i="32"/>
  <c r="J110" i="32"/>
  <c r="I110" i="32"/>
  <c r="K109" i="32"/>
  <c r="J109" i="32"/>
  <c r="I109" i="32"/>
  <c r="K108" i="32"/>
  <c r="J108" i="32"/>
  <c r="I108" i="32"/>
  <c r="K107" i="32"/>
  <c r="J107" i="32"/>
  <c r="I107" i="32"/>
  <c r="K100" i="32"/>
  <c r="J100" i="32"/>
  <c r="I100" i="32"/>
  <c r="K99" i="32"/>
  <c r="J99" i="32"/>
  <c r="I99" i="32"/>
  <c r="K98" i="32"/>
  <c r="J98" i="32"/>
  <c r="I98" i="32"/>
  <c r="K97" i="32"/>
  <c r="J97" i="32"/>
  <c r="I97" i="32"/>
  <c r="K96" i="32"/>
  <c r="J96" i="32"/>
  <c r="I96" i="32"/>
  <c r="K95" i="32"/>
  <c r="J95" i="32"/>
  <c r="I95" i="32"/>
  <c r="K94" i="32"/>
  <c r="J94" i="32"/>
  <c r="I94" i="32"/>
  <c r="K93" i="32"/>
  <c r="J93" i="32"/>
  <c r="I93" i="32"/>
  <c r="K92" i="32"/>
  <c r="J92" i="32"/>
  <c r="I92" i="32"/>
  <c r="K91" i="32"/>
  <c r="J91" i="32"/>
  <c r="I91" i="32"/>
  <c r="K90" i="32"/>
  <c r="J90" i="32"/>
  <c r="I90" i="32"/>
  <c r="K89" i="32"/>
  <c r="J89" i="32"/>
  <c r="I89" i="32"/>
  <c r="K88" i="32"/>
  <c r="J88" i="32"/>
  <c r="I88" i="32"/>
  <c r="K87" i="32"/>
  <c r="J87" i="32"/>
  <c r="I87" i="32"/>
  <c r="K80" i="32"/>
  <c r="J80" i="32"/>
  <c r="I80" i="32"/>
  <c r="K79" i="32"/>
  <c r="J79" i="32"/>
  <c r="I79" i="32"/>
  <c r="K78" i="32"/>
  <c r="J78" i="32"/>
  <c r="I78" i="32"/>
  <c r="K77" i="32"/>
  <c r="J77" i="32"/>
  <c r="I77" i="32"/>
  <c r="K76" i="32"/>
  <c r="J76" i="32"/>
  <c r="I76" i="32"/>
  <c r="K75" i="32"/>
  <c r="J75" i="32"/>
  <c r="I75" i="32"/>
  <c r="K74" i="32"/>
  <c r="J74" i="32"/>
  <c r="I74" i="32"/>
  <c r="K73" i="32"/>
  <c r="J73" i="32"/>
  <c r="I73" i="32"/>
  <c r="K72" i="32"/>
  <c r="J72" i="32"/>
  <c r="I72" i="32"/>
  <c r="K71" i="32"/>
  <c r="J71" i="32"/>
  <c r="I71" i="32"/>
  <c r="K70" i="32"/>
  <c r="J70" i="32"/>
  <c r="I70" i="32"/>
  <c r="K69" i="32"/>
  <c r="J69" i="32"/>
  <c r="I69" i="32"/>
  <c r="K68" i="32"/>
  <c r="J68" i="32"/>
  <c r="I68" i="32"/>
  <c r="K67" i="32"/>
  <c r="L67" i="32" s="1"/>
  <c r="B30" i="39" s="1"/>
  <c r="J67" i="32"/>
  <c r="I67" i="32"/>
  <c r="K60" i="32"/>
  <c r="J60" i="32"/>
  <c r="I60" i="32"/>
  <c r="K59" i="32"/>
  <c r="J59" i="32"/>
  <c r="I59" i="32"/>
  <c r="K58" i="32"/>
  <c r="J58" i="32"/>
  <c r="I58" i="32"/>
  <c r="K57" i="32"/>
  <c r="J57" i="32"/>
  <c r="I57" i="32"/>
  <c r="K56" i="32"/>
  <c r="J56" i="32"/>
  <c r="I56" i="32"/>
  <c r="K55" i="32"/>
  <c r="J55" i="32"/>
  <c r="I55" i="32"/>
  <c r="K54" i="32"/>
  <c r="J54" i="32"/>
  <c r="I54" i="32"/>
  <c r="K53" i="32"/>
  <c r="J53" i="32"/>
  <c r="I53" i="32"/>
  <c r="K52" i="32"/>
  <c r="J52" i="32"/>
  <c r="I52" i="32"/>
  <c r="K51" i="32"/>
  <c r="J51" i="32"/>
  <c r="I51" i="32"/>
  <c r="K50" i="32"/>
  <c r="J50" i="32"/>
  <c r="I50" i="32"/>
  <c r="K49" i="32"/>
  <c r="L47" i="32" s="1"/>
  <c r="J49" i="32"/>
  <c r="I49" i="32"/>
  <c r="K48" i="32"/>
  <c r="J48" i="32"/>
  <c r="I48" i="32"/>
  <c r="K47" i="32"/>
  <c r="J47" i="32"/>
  <c r="I47" i="32"/>
  <c r="K40" i="32"/>
  <c r="J40" i="32"/>
  <c r="I40" i="32"/>
  <c r="K39" i="32"/>
  <c r="J39" i="32"/>
  <c r="I39" i="32"/>
  <c r="K38" i="32"/>
  <c r="J38" i="32"/>
  <c r="I38" i="32"/>
  <c r="K37" i="32"/>
  <c r="J37" i="32"/>
  <c r="I37" i="32"/>
  <c r="K36" i="32"/>
  <c r="J36" i="32"/>
  <c r="I36" i="32"/>
  <c r="K35" i="32"/>
  <c r="J35" i="32"/>
  <c r="I35" i="32"/>
  <c r="K34" i="32"/>
  <c r="J34" i="32"/>
  <c r="I34" i="32"/>
  <c r="K33" i="32"/>
  <c r="J33" i="32"/>
  <c r="I33" i="32"/>
  <c r="K32" i="32"/>
  <c r="J32" i="32"/>
  <c r="I32" i="32"/>
  <c r="K31" i="32"/>
  <c r="J31" i="32"/>
  <c r="I31" i="32"/>
  <c r="K30" i="32"/>
  <c r="J30" i="32"/>
  <c r="I30" i="32"/>
  <c r="K29" i="32"/>
  <c r="J29" i="32"/>
  <c r="I29" i="32"/>
  <c r="K28" i="32"/>
  <c r="J28" i="32"/>
  <c r="I28" i="32"/>
  <c r="K27" i="32"/>
  <c r="J27" i="32"/>
  <c r="I27" i="32"/>
  <c r="K20" i="32"/>
  <c r="J20" i="32"/>
  <c r="I20" i="32"/>
  <c r="K19" i="32"/>
  <c r="J19" i="32"/>
  <c r="I19" i="32"/>
  <c r="K18" i="32"/>
  <c r="J18" i="32"/>
  <c r="I18" i="32"/>
  <c r="K17" i="32"/>
  <c r="J17" i="32"/>
  <c r="I17" i="32"/>
  <c r="K16" i="32"/>
  <c r="J16" i="32"/>
  <c r="I16" i="32"/>
  <c r="K15" i="32"/>
  <c r="J15" i="32"/>
  <c r="I15" i="32"/>
  <c r="K14" i="32"/>
  <c r="J14" i="32"/>
  <c r="I14" i="32"/>
  <c r="K13" i="32"/>
  <c r="J13" i="32"/>
  <c r="I13" i="32"/>
  <c r="K12" i="32"/>
  <c r="J12" i="32"/>
  <c r="I12" i="32"/>
  <c r="K11" i="32"/>
  <c r="J11" i="32"/>
  <c r="I11" i="32"/>
  <c r="K10" i="32"/>
  <c r="J10" i="32"/>
  <c r="I10" i="32"/>
  <c r="K9" i="32"/>
  <c r="L7" i="32" s="1"/>
  <c r="J9" i="32"/>
  <c r="I9" i="32"/>
  <c r="K8" i="32"/>
  <c r="J8" i="32"/>
  <c r="I8" i="32"/>
  <c r="K7" i="32"/>
  <c r="J7" i="32"/>
  <c r="I7" i="32"/>
  <c r="K121" i="30"/>
  <c r="J121" i="30"/>
  <c r="I121" i="30"/>
  <c r="K120" i="30"/>
  <c r="J120" i="30"/>
  <c r="I120" i="30"/>
  <c r="K119" i="30"/>
  <c r="J119" i="30"/>
  <c r="I119" i="30"/>
  <c r="K118" i="30"/>
  <c r="J118" i="30"/>
  <c r="I118" i="30"/>
  <c r="K117" i="30"/>
  <c r="J117" i="30"/>
  <c r="I117" i="30"/>
  <c r="K116" i="30"/>
  <c r="J116" i="30"/>
  <c r="I116" i="30"/>
  <c r="K115" i="30"/>
  <c r="J115" i="30"/>
  <c r="I115" i="30"/>
  <c r="K114" i="30"/>
  <c r="J114" i="30"/>
  <c r="I114" i="30"/>
  <c r="K113" i="30"/>
  <c r="J113" i="30"/>
  <c r="I113" i="30"/>
  <c r="K112" i="30"/>
  <c r="J112" i="30"/>
  <c r="I112" i="30"/>
  <c r="K111" i="30"/>
  <c r="J111" i="30"/>
  <c r="I111" i="30"/>
  <c r="K110" i="30"/>
  <c r="J110" i="30"/>
  <c r="I110" i="30"/>
  <c r="K109" i="30"/>
  <c r="J109" i="30"/>
  <c r="I109" i="30"/>
  <c r="K108" i="30"/>
  <c r="J108" i="30"/>
  <c r="I108" i="30"/>
  <c r="K107" i="30"/>
  <c r="J107" i="30"/>
  <c r="I107" i="30"/>
  <c r="K101" i="30"/>
  <c r="J101" i="30"/>
  <c r="I101" i="30"/>
  <c r="K100" i="30"/>
  <c r="J100" i="30"/>
  <c r="I100" i="30"/>
  <c r="K99" i="30"/>
  <c r="J99" i="30"/>
  <c r="I99" i="30"/>
  <c r="K98" i="30"/>
  <c r="J98" i="30"/>
  <c r="I98" i="30"/>
  <c r="K97" i="30"/>
  <c r="J97" i="30"/>
  <c r="I97" i="30"/>
  <c r="K96" i="30"/>
  <c r="J96" i="30"/>
  <c r="I96" i="30"/>
  <c r="K95" i="30"/>
  <c r="J95" i="30"/>
  <c r="I95" i="30"/>
  <c r="K94" i="30"/>
  <c r="J94" i="30"/>
  <c r="I94" i="30"/>
  <c r="K93" i="30"/>
  <c r="J93" i="30"/>
  <c r="I93" i="30"/>
  <c r="K92" i="30"/>
  <c r="J92" i="30"/>
  <c r="I92" i="30"/>
  <c r="K91" i="30"/>
  <c r="J91" i="30"/>
  <c r="I91" i="30"/>
  <c r="K90" i="30"/>
  <c r="J90" i="30"/>
  <c r="I90" i="30"/>
  <c r="K89" i="30"/>
  <c r="J89" i="30"/>
  <c r="I89" i="30"/>
  <c r="K88" i="30"/>
  <c r="J88" i="30"/>
  <c r="I88" i="30"/>
  <c r="K87" i="30"/>
  <c r="J87" i="30"/>
  <c r="I87" i="30"/>
  <c r="K81" i="30"/>
  <c r="J81" i="30"/>
  <c r="I81" i="30"/>
  <c r="K80" i="30"/>
  <c r="J80" i="30"/>
  <c r="I80" i="30"/>
  <c r="K79" i="30"/>
  <c r="J79" i="30"/>
  <c r="I79" i="30"/>
  <c r="K78" i="30"/>
  <c r="J78" i="30"/>
  <c r="I78" i="30"/>
  <c r="K77" i="30"/>
  <c r="J77" i="30"/>
  <c r="I77" i="30"/>
  <c r="K76" i="30"/>
  <c r="J76" i="30"/>
  <c r="I76" i="30"/>
  <c r="K75" i="30"/>
  <c r="J75" i="30"/>
  <c r="I75" i="30"/>
  <c r="K74" i="30"/>
  <c r="J74" i="30"/>
  <c r="I74" i="30"/>
  <c r="K73" i="30"/>
  <c r="J73" i="30"/>
  <c r="I73" i="30"/>
  <c r="K72" i="30"/>
  <c r="J72" i="30"/>
  <c r="I72" i="30"/>
  <c r="K71" i="30"/>
  <c r="J71" i="30"/>
  <c r="I71" i="30"/>
  <c r="K70" i="30"/>
  <c r="J70" i="30"/>
  <c r="I70" i="30"/>
  <c r="K69" i="30"/>
  <c r="J69" i="30"/>
  <c r="I69" i="30"/>
  <c r="K68" i="30"/>
  <c r="J68" i="30"/>
  <c r="I68" i="30"/>
  <c r="K67" i="30"/>
  <c r="J67" i="30"/>
  <c r="I67" i="30"/>
  <c r="K61" i="30"/>
  <c r="J61" i="30"/>
  <c r="I61" i="30"/>
  <c r="K60" i="30"/>
  <c r="J60" i="30"/>
  <c r="I60" i="30"/>
  <c r="K59" i="30"/>
  <c r="J59" i="30"/>
  <c r="I59" i="30"/>
  <c r="K58" i="30"/>
  <c r="J58" i="30"/>
  <c r="I58" i="30"/>
  <c r="K57" i="30"/>
  <c r="J57" i="30"/>
  <c r="I57" i="30"/>
  <c r="K56" i="30"/>
  <c r="J56" i="30"/>
  <c r="I56" i="30"/>
  <c r="K55" i="30"/>
  <c r="J55" i="30"/>
  <c r="I55" i="30"/>
  <c r="K54" i="30"/>
  <c r="J54" i="30"/>
  <c r="I54" i="30"/>
  <c r="K53" i="30"/>
  <c r="J53" i="30"/>
  <c r="I53" i="30"/>
  <c r="K52" i="30"/>
  <c r="J52" i="30"/>
  <c r="I52" i="30"/>
  <c r="K51" i="30"/>
  <c r="J51" i="30"/>
  <c r="I51" i="30"/>
  <c r="K50" i="30"/>
  <c r="J50" i="30"/>
  <c r="I50" i="30"/>
  <c r="K49" i="30"/>
  <c r="J49" i="30"/>
  <c r="I49" i="30"/>
  <c r="K48" i="30"/>
  <c r="J48" i="30"/>
  <c r="I48" i="30"/>
  <c r="K47" i="30"/>
  <c r="J47" i="30"/>
  <c r="I47" i="30"/>
  <c r="K41" i="30"/>
  <c r="J41" i="30"/>
  <c r="I41" i="30"/>
  <c r="K40" i="30"/>
  <c r="J40" i="30"/>
  <c r="I40" i="30"/>
  <c r="K39" i="30"/>
  <c r="J39" i="30"/>
  <c r="I39" i="30"/>
  <c r="K38" i="30"/>
  <c r="J38" i="30"/>
  <c r="I38" i="30"/>
  <c r="K37" i="30"/>
  <c r="J37" i="30"/>
  <c r="I37" i="30"/>
  <c r="K36" i="30"/>
  <c r="J36" i="30"/>
  <c r="I36" i="30"/>
  <c r="K35" i="30"/>
  <c r="J35" i="30"/>
  <c r="I35" i="30"/>
  <c r="K34" i="30"/>
  <c r="J34" i="30"/>
  <c r="I34" i="30"/>
  <c r="K33" i="30"/>
  <c r="J33" i="30"/>
  <c r="I33" i="30"/>
  <c r="K32" i="30"/>
  <c r="J32" i="30"/>
  <c r="I32" i="30"/>
  <c r="K31" i="30"/>
  <c r="J31" i="30"/>
  <c r="I31" i="30"/>
  <c r="K30" i="30"/>
  <c r="J30" i="30"/>
  <c r="I30" i="30"/>
  <c r="K29" i="30"/>
  <c r="J29" i="30"/>
  <c r="I29" i="30"/>
  <c r="K28" i="30"/>
  <c r="J28" i="30"/>
  <c r="I28" i="30"/>
  <c r="K27" i="30"/>
  <c r="J27" i="30"/>
  <c r="I27" i="30"/>
  <c r="K211" i="33"/>
  <c r="J211" i="33"/>
  <c r="I211" i="33"/>
  <c r="K210" i="33"/>
  <c r="J210" i="33"/>
  <c r="I210" i="33"/>
  <c r="K209" i="33"/>
  <c r="J209" i="33"/>
  <c r="I209" i="33"/>
  <c r="K208" i="33"/>
  <c r="J208" i="33"/>
  <c r="I208" i="33"/>
  <c r="K207" i="33"/>
  <c r="J207" i="33"/>
  <c r="I207" i="33"/>
  <c r="K206" i="33"/>
  <c r="J206" i="33"/>
  <c r="I206" i="33"/>
  <c r="K205" i="33"/>
  <c r="J205" i="33"/>
  <c r="I205" i="33"/>
  <c r="K204" i="33"/>
  <c r="J204" i="33"/>
  <c r="I204" i="33"/>
  <c r="K203" i="33"/>
  <c r="J203" i="33"/>
  <c r="I203" i="33"/>
  <c r="K202" i="33"/>
  <c r="J202" i="33"/>
  <c r="I202" i="33"/>
  <c r="K201" i="33"/>
  <c r="J201" i="33"/>
  <c r="I201" i="33"/>
  <c r="K200" i="33"/>
  <c r="J200" i="33"/>
  <c r="I200" i="33"/>
  <c r="K199" i="33"/>
  <c r="J199" i="33"/>
  <c r="I199" i="33"/>
  <c r="K198" i="33"/>
  <c r="J198" i="33"/>
  <c r="I198" i="33"/>
  <c r="K197" i="33"/>
  <c r="J197" i="33"/>
  <c r="I197" i="33"/>
  <c r="K196" i="33"/>
  <c r="J196" i="33"/>
  <c r="I196" i="33"/>
  <c r="K195" i="33"/>
  <c r="J195" i="33"/>
  <c r="I195" i="33"/>
  <c r="K194" i="33"/>
  <c r="J194" i="33"/>
  <c r="I194" i="33"/>
  <c r="K193" i="33"/>
  <c r="J193" i="33"/>
  <c r="I193" i="33"/>
  <c r="K192" i="33"/>
  <c r="J192" i="33"/>
  <c r="I192" i="33"/>
  <c r="K191" i="33"/>
  <c r="J191" i="33"/>
  <c r="I191" i="33"/>
  <c r="K190" i="33"/>
  <c r="J190" i="33"/>
  <c r="I190" i="33"/>
  <c r="K189" i="33"/>
  <c r="J189" i="33"/>
  <c r="I189" i="33"/>
  <c r="K188" i="33"/>
  <c r="J188" i="33"/>
  <c r="I188" i="33"/>
  <c r="K187" i="33"/>
  <c r="J187" i="33"/>
  <c r="I187" i="33"/>
  <c r="K186" i="33"/>
  <c r="J186" i="33"/>
  <c r="I186" i="33"/>
  <c r="K185" i="33"/>
  <c r="J185" i="33"/>
  <c r="I185" i="33"/>
  <c r="K184" i="33"/>
  <c r="J184" i="33"/>
  <c r="I184" i="33"/>
  <c r="K183" i="33"/>
  <c r="J183" i="33"/>
  <c r="I183" i="33"/>
  <c r="K182" i="33"/>
  <c r="J182" i="33"/>
  <c r="I182" i="33"/>
  <c r="K176" i="33"/>
  <c r="J176" i="33"/>
  <c r="I176" i="33"/>
  <c r="K175" i="33"/>
  <c r="J175" i="33"/>
  <c r="I175" i="33"/>
  <c r="K174" i="33"/>
  <c r="J174" i="33"/>
  <c r="I174" i="33"/>
  <c r="K173" i="33"/>
  <c r="J173" i="33"/>
  <c r="I173" i="33"/>
  <c r="K172" i="33"/>
  <c r="J172" i="33"/>
  <c r="I172" i="33"/>
  <c r="K171" i="33"/>
  <c r="J171" i="33"/>
  <c r="I171" i="33"/>
  <c r="K170" i="33"/>
  <c r="J170" i="33"/>
  <c r="I170" i="33"/>
  <c r="K169" i="33"/>
  <c r="J169" i="33"/>
  <c r="I169" i="33"/>
  <c r="K168" i="33"/>
  <c r="J168" i="33"/>
  <c r="I168" i="33"/>
  <c r="K167" i="33"/>
  <c r="J167" i="33"/>
  <c r="I167" i="33"/>
  <c r="K166" i="33"/>
  <c r="J166" i="33"/>
  <c r="I166" i="33"/>
  <c r="K165" i="33"/>
  <c r="J165" i="33"/>
  <c r="I165" i="33"/>
  <c r="K164" i="33"/>
  <c r="J164" i="33"/>
  <c r="I164" i="33"/>
  <c r="K163" i="33"/>
  <c r="J163" i="33"/>
  <c r="I163" i="33"/>
  <c r="K162" i="33"/>
  <c r="J162" i="33"/>
  <c r="I162" i="33"/>
  <c r="K161" i="33"/>
  <c r="J161" i="33"/>
  <c r="I161" i="33"/>
  <c r="K160" i="33"/>
  <c r="J160" i="33"/>
  <c r="I160" i="33"/>
  <c r="K159" i="33"/>
  <c r="J159" i="33"/>
  <c r="I159" i="33"/>
  <c r="K158" i="33"/>
  <c r="J158" i="33"/>
  <c r="I158" i="33"/>
  <c r="K157" i="33"/>
  <c r="J157" i="33"/>
  <c r="I157" i="33"/>
  <c r="K156" i="33"/>
  <c r="J156" i="33"/>
  <c r="I156" i="33"/>
  <c r="K155" i="33"/>
  <c r="J155" i="33"/>
  <c r="I155" i="33"/>
  <c r="K154" i="33"/>
  <c r="J154" i="33"/>
  <c r="I154" i="33"/>
  <c r="K153" i="33"/>
  <c r="J153" i="33"/>
  <c r="I153" i="33"/>
  <c r="K152" i="33"/>
  <c r="J152" i="33"/>
  <c r="I152" i="33"/>
  <c r="K151" i="33"/>
  <c r="J151" i="33"/>
  <c r="I151" i="33"/>
  <c r="K150" i="33"/>
  <c r="J150" i="33"/>
  <c r="I150" i="33"/>
  <c r="K149" i="33"/>
  <c r="J149" i="33"/>
  <c r="I149" i="33"/>
  <c r="K148" i="33"/>
  <c r="J148" i="33"/>
  <c r="I148" i="33"/>
  <c r="K147" i="33"/>
  <c r="J147" i="33"/>
  <c r="I147" i="33"/>
  <c r="K141" i="33"/>
  <c r="J141" i="33"/>
  <c r="I141" i="33"/>
  <c r="K140" i="33"/>
  <c r="J140" i="33"/>
  <c r="I140" i="33"/>
  <c r="K139" i="33"/>
  <c r="J139" i="33"/>
  <c r="I139" i="33"/>
  <c r="K138" i="33"/>
  <c r="J138" i="33"/>
  <c r="I138" i="33"/>
  <c r="K137" i="33"/>
  <c r="J137" i="33"/>
  <c r="I137" i="33"/>
  <c r="K136" i="33"/>
  <c r="J136" i="33"/>
  <c r="I136" i="33"/>
  <c r="K135" i="33"/>
  <c r="J135" i="33"/>
  <c r="I135" i="33"/>
  <c r="K134" i="33"/>
  <c r="J134" i="33"/>
  <c r="I134" i="33"/>
  <c r="K133" i="33"/>
  <c r="J133" i="33"/>
  <c r="I133" i="33"/>
  <c r="K132" i="33"/>
  <c r="J132" i="33"/>
  <c r="I132" i="33"/>
  <c r="K131" i="33"/>
  <c r="J131" i="33"/>
  <c r="I131" i="33"/>
  <c r="K130" i="33"/>
  <c r="J130" i="33"/>
  <c r="I130" i="33"/>
  <c r="K129" i="33"/>
  <c r="J129" i="33"/>
  <c r="I129" i="33"/>
  <c r="K128" i="33"/>
  <c r="J128" i="33"/>
  <c r="I128" i="33"/>
  <c r="K127" i="33"/>
  <c r="J127" i="33"/>
  <c r="I127" i="33"/>
  <c r="K126" i="33"/>
  <c r="J126" i="33"/>
  <c r="I126" i="33"/>
  <c r="K125" i="33"/>
  <c r="J125" i="33"/>
  <c r="I125" i="33"/>
  <c r="K124" i="33"/>
  <c r="J124" i="33"/>
  <c r="I124" i="33"/>
  <c r="K123" i="33"/>
  <c r="J123" i="33"/>
  <c r="I123" i="33"/>
  <c r="K122" i="33"/>
  <c r="J122" i="33"/>
  <c r="I122" i="33"/>
  <c r="K121" i="33"/>
  <c r="J121" i="33"/>
  <c r="I121" i="33"/>
  <c r="K120" i="33"/>
  <c r="J120" i="33"/>
  <c r="I120" i="33"/>
  <c r="K119" i="33"/>
  <c r="J119" i="33"/>
  <c r="I119" i="33"/>
  <c r="K118" i="33"/>
  <c r="J118" i="33"/>
  <c r="I118" i="33"/>
  <c r="K117" i="33"/>
  <c r="J117" i="33"/>
  <c r="I117" i="33"/>
  <c r="K116" i="33"/>
  <c r="J116" i="33"/>
  <c r="I116" i="33"/>
  <c r="K115" i="33"/>
  <c r="J115" i="33"/>
  <c r="I115" i="33"/>
  <c r="K114" i="33"/>
  <c r="J114" i="33"/>
  <c r="I114" i="33"/>
  <c r="K113" i="33"/>
  <c r="J113" i="33"/>
  <c r="I113" i="33"/>
  <c r="K112" i="33"/>
  <c r="J112" i="33"/>
  <c r="I112" i="33"/>
  <c r="K106" i="33"/>
  <c r="J106" i="33"/>
  <c r="I106" i="33"/>
  <c r="K105" i="33"/>
  <c r="J105" i="33"/>
  <c r="I105" i="33"/>
  <c r="K104" i="33"/>
  <c r="J104" i="33"/>
  <c r="I104" i="33"/>
  <c r="K103" i="33"/>
  <c r="J103" i="33"/>
  <c r="I103" i="33"/>
  <c r="K102" i="33"/>
  <c r="J102" i="33"/>
  <c r="I102" i="33"/>
  <c r="K101" i="33"/>
  <c r="J101" i="33"/>
  <c r="I101" i="33"/>
  <c r="K100" i="33"/>
  <c r="J100" i="33"/>
  <c r="I100" i="33"/>
  <c r="K99" i="33"/>
  <c r="J99" i="33"/>
  <c r="I99" i="33"/>
  <c r="K98" i="33"/>
  <c r="J98" i="33"/>
  <c r="I98" i="33"/>
  <c r="K97" i="33"/>
  <c r="J97" i="33"/>
  <c r="I97" i="33"/>
  <c r="K96" i="33"/>
  <c r="J96" i="33"/>
  <c r="I96" i="33"/>
  <c r="K95" i="33"/>
  <c r="J95" i="33"/>
  <c r="I95" i="33"/>
  <c r="K94" i="33"/>
  <c r="J94" i="33"/>
  <c r="I94" i="33"/>
  <c r="K93" i="33"/>
  <c r="J93" i="33"/>
  <c r="I93" i="33"/>
  <c r="K92" i="33"/>
  <c r="J92" i="33"/>
  <c r="I92" i="33"/>
  <c r="K91" i="33"/>
  <c r="J91" i="33"/>
  <c r="I91" i="33"/>
  <c r="K90" i="33"/>
  <c r="J90" i="33"/>
  <c r="I90" i="33"/>
  <c r="K89" i="33"/>
  <c r="J89" i="33"/>
  <c r="I89" i="33"/>
  <c r="K88" i="33"/>
  <c r="J88" i="33"/>
  <c r="I88" i="33"/>
  <c r="K87" i="33"/>
  <c r="J87" i="33"/>
  <c r="I87" i="33"/>
  <c r="K86" i="33"/>
  <c r="J86" i="33"/>
  <c r="I86" i="33"/>
  <c r="K85" i="33"/>
  <c r="J85" i="33"/>
  <c r="I85" i="33"/>
  <c r="K84" i="33"/>
  <c r="J84" i="33"/>
  <c r="I84" i="33"/>
  <c r="K83" i="33"/>
  <c r="J83" i="33"/>
  <c r="I83" i="33"/>
  <c r="K82" i="33"/>
  <c r="J82" i="33"/>
  <c r="I82" i="33"/>
  <c r="K81" i="33"/>
  <c r="J81" i="33"/>
  <c r="I81" i="33"/>
  <c r="K80" i="33"/>
  <c r="J80" i="33"/>
  <c r="I80" i="33"/>
  <c r="K79" i="33"/>
  <c r="J79" i="33"/>
  <c r="I79" i="33"/>
  <c r="K78" i="33"/>
  <c r="J78" i="33"/>
  <c r="I78" i="33"/>
  <c r="K77" i="33"/>
  <c r="J77" i="33"/>
  <c r="I77" i="33"/>
  <c r="K71" i="33"/>
  <c r="J71" i="33"/>
  <c r="I71" i="33"/>
  <c r="K70" i="33"/>
  <c r="J70" i="33"/>
  <c r="I70" i="33"/>
  <c r="K69" i="33"/>
  <c r="J69" i="33"/>
  <c r="I69" i="33"/>
  <c r="K68" i="33"/>
  <c r="J68" i="33"/>
  <c r="I68" i="33"/>
  <c r="K67" i="33"/>
  <c r="J67" i="33"/>
  <c r="I67" i="33"/>
  <c r="K66" i="33"/>
  <c r="J66" i="33"/>
  <c r="I66" i="33"/>
  <c r="K65" i="33"/>
  <c r="J65" i="33"/>
  <c r="I65" i="33"/>
  <c r="K64" i="33"/>
  <c r="J64" i="33"/>
  <c r="I64" i="33"/>
  <c r="K63" i="33"/>
  <c r="J63" i="33"/>
  <c r="I63" i="33"/>
  <c r="K62" i="33"/>
  <c r="J62" i="33"/>
  <c r="I62" i="33"/>
  <c r="K61" i="33"/>
  <c r="J61" i="33"/>
  <c r="I61" i="33"/>
  <c r="K60" i="33"/>
  <c r="J60" i="33"/>
  <c r="I60" i="33"/>
  <c r="K59" i="33"/>
  <c r="J59" i="33"/>
  <c r="I59" i="33"/>
  <c r="K58" i="33"/>
  <c r="J58" i="33"/>
  <c r="I58" i="33"/>
  <c r="K57" i="33"/>
  <c r="J57" i="33"/>
  <c r="I57" i="33"/>
  <c r="K56" i="33"/>
  <c r="J56" i="33"/>
  <c r="I56" i="33"/>
  <c r="K55" i="33"/>
  <c r="J55" i="33"/>
  <c r="I55" i="33"/>
  <c r="K54" i="33"/>
  <c r="J54" i="33"/>
  <c r="I54" i="33"/>
  <c r="K53" i="33"/>
  <c r="J53" i="33"/>
  <c r="I53" i="33"/>
  <c r="K52" i="33"/>
  <c r="J52" i="33"/>
  <c r="I52" i="33"/>
  <c r="K51" i="33"/>
  <c r="J51" i="33"/>
  <c r="I51" i="33"/>
  <c r="K50" i="33"/>
  <c r="J50" i="33"/>
  <c r="I50" i="33"/>
  <c r="K49" i="33"/>
  <c r="J49" i="33"/>
  <c r="I49" i="33"/>
  <c r="K48" i="33"/>
  <c r="J48" i="33"/>
  <c r="I48" i="33"/>
  <c r="K47" i="33"/>
  <c r="J47" i="33"/>
  <c r="I47" i="33"/>
  <c r="K46" i="33"/>
  <c r="J46" i="33"/>
  <c r="I46" i="33"/>
  <c r="K45" i="33"/>
  <c r="J45" i="33"/>
  <c r="I45" i="33"/>
  <c r="K44" i="33"/>
  <c r="J44" i="33"/>
  <c r="I44" i="33"/>
  <c r="K43" i="33"/>
  <c r="J43" i="33"/>
  <c r="I43" i="33"/>
  <c r="K42" i="33"/>
  <c r="J42" i="33"/>
  <c r="I42" i="33"/>
  <c r="K21" i="30"/>
  <c r="J21" i="30"/>
  <c r="I21" i="30"/>
  <c r="K20" i="30"/>
  <c r="J20" i="30"/>
  <c r="I20" i="30"/>
  <c r="K19" i="30"/>
  <c r="J19" i="30"/>
  <c r="I19" i="30"/>
  <c r="K18" i="30"/>
  <c r="J18" i="30"/>
  <c r="I18" i="30"/>
  <c r="K17" i="30"/>
  <c r="J17" i="30"/>
  <c r="I17" i="30"/>
  <c r="K16" i="30"/>
  <c r="J16" i="30"/>
  <c r="I16" i="30"/>
  <c r="K15" i="30"/>
  <c r="J15" i="30"/>
  <c r="I15" i="30"/>
  <c r="K14" i="30"/>
  <c r="J14" i="30"/>
  <c r="I14" i="30"/>
  <c r="K13" i="30"/>
  <c r="J13" i="30"/>
  <c r="I13" i="30"/>
  <c r="K12" i="30"/>
  <c r="J12" i="30"/>
  <c r="I12" i="30"/>
  <c r="K11" i="30"/>
  <c r="J11" i="30"/>
  <c r="I11" i="30"/>
  <c r="K10" i="30"/>
  <c r="J10" i="30"/>
  <c r="I10" i="30"/>
  <c r="K9" i="30"/>
  <c r="J9" i="30"/>
  <c r="I9" i="30"/>
  <c r="K8" i="30"/>
  <c r="J8" i="30"/>
  <c r="I8" i="30"/>
  <c r="K7" i="30"/>
  <c r="J7" i="30"/>
  <c r="I7" i="30"/>
  <c r="K211" i="8"/>
  <c r="J211" i="8"/>
  <c r="I211" i="8"/>
  <c r="K210" i="8"/>
  <c r="J210" i="8"/>
  <c r="I210" i="8"/>
  <c r="K209" i="8"/>
  <c r="J209" i="8"/>
  <c r="I209" i="8"/>
  <c r="K208" i="8"/>
  <c r="J208" i="8"/>
  <c r="I208" i="8"/>
  <c r="K207" i="8"/>
  <c r="J207" i="8"/>
  <c r="I207" i="8"/>
  <c r="K206" i="8"/>
  <c r="J206" i="8"/>
  <c r="I206" i="8"/>
  <c r="K205" i="8"/>
  <c r="J205" i="8"/>
  <c r="I205" i="8"/>
  <c r="K204" i="8"/>
  <c r="J204" i="8"/>
  <c r="I204" i="8"/>
  <c r="K203" i="8"/>
  <c r="J203" i="8"/>
  <c r="I203" i="8"/>
  <c r="K202" i="8"/>
  <c r="J202" i="8"/>
  <c r="I202" i="8"/>
  <c r="K201" i="8"/>
  <c r="J201" i="8"/>
  <c r="I201" i="8"/>
  <c r="K200" i="8"/>
  <c r="J200" i="8"/>
  <c r="I200" i="8"/>
  <c r="K199" i="8"/>
  <c r="J199" i="8"/>
  <c r="I199" i="8"/>
  <c r="K198" i="8"/>
  <c r="J198" i="8"/>
  <c r="I198" i="8"/>
  <c r="K197" i="8"/>
  <c r="J197" i="8"/>
  <c r="I197" i="8"/>
  <c r="K196" i="8"/>
  <c r="J196" i="8"/>
  <c r="I196" i="8"/>
  <c r="K195" i="8"/>
  <c r="J195" i="8"/>
  <c r="I195" i="8"/>
  <c r="K194" i="8"/>
  <c r="J194" i="8"/>
  <c r="I194" i="8"/>
  <c r="K193" i="8"/>
  <c r="J193" i="8"/>
  <c r="I193" i="8"/>
  <c r="K192" i="8"/>
  <c r="J192" i="8"/>
  <c r="I192" i="8"/>
  <c r="K191" i="8"/>
  <c r="J191" i="8"/>
  <c r="I191" i="8"/>
  <c r="K190" i="8"/>
  <c r="J190" i="8"/>
  <c r="I190" i="8"/>
  <c r="K189" i="8"/>
  <c r="J189" i="8"/>
  <c r="I189" i="8"/>
  <c r="K188" i="8"/>
  <c r="J188" i="8"/>
  <c r="I188" i="8"/>
  <c r="K187" i="8"/>
  <c r="J187" i="8"/>
  <c r="I187" i="8"/>
  <c r="K186" i="8"/>
  <c r="J186" i="8"/>
  <c r="I186" i="8"/>
  <c r="K185" i="8"/>
  <c r="J185" i="8"/>
  <c r="I185" i="8"/>
  <c r="K184" i="8"/>
  <c r="J184" i="8"/>
  <c r="I184" i="8"/>
  <c r="K183" i="8"/>
  <c r="J183" i="8"/>
  <c r="I183" i="8"/>
  <c r="K182" i="8"/>
  <c r="J182" i="8"/>
  <c r="I182" i="8"/>
  <c r="K176" i="8"/>
  <c r="J176" i="8"/>
  <c r="I176" i="8"/>
  <c r="K175" i="8"/>
  <c r="J175" i="8"/>
  <c r="I175" i="8"/>
  <c r="K174" i="8"/>
  <c r="J174" i="8"/>
  <c r="I174" i="8"/>
  <c r="K173" i="8"/>
  <c r="J173" i="8"/>
  <c r="I173" i="8"/>
  <c r="K172" i="8"/>
  <c r="J172" i="8"/>
  <c r="I172" i="8"/>
  <c r="K171" i="8"/>
  <c r="J171" i="8"/>
  <c r="I171" i="8"/>
  <c r="K170" i="8"/>
  <c r="J170" i="8"/>
  <c r="I170" i="8"/>
  <c r="K169" i="8"/>
  <c r="J169" i="8"/>
  <c r="I169" i="8"/>
  <c r="K168" i="8"/>
  <c r="J168" i="8"/>
  <c r="I168" i="8"/>
  <c r="K167" i="8"/>
  <c r="J167" i="8"/>
  <c r="I167" i="8"/>
  <c r="K166" i="8"/>
  <c r="J166" i="8"/>
  <c r="I166" i="8"/>
  <c r="K165" i="8"/>
  <c r="J165" i="8"/>
  <c r="I165" i="8"/>
  <c r="K164" i="8"/>
  <c r="J164" i="8"/>
  <c r="I164" i="8"/>
  <c r="K163" i="8"/>
  <c r="J163" i="8"/>
  <c r="I163" i="8"/>
  <c r="K162" i="8"/>
  <c r="J162" i="8"/>
  <c r="I162" i="8"/>
  <c r="K161" i="8"/>
  <c r="J161" i="8"/>
  <c r="I161" i="8"/>
  <c r="K160" i="8"/>
  <c r="J160" i="8"/>
  <c r="I160" i="8"/>
  <c r="K159" i="8"/>
  <c r="J159" i="8"/>
  <c r="I159" i="8"/>
  <c r="K158" i="8"/>
  <c r="J158" i="8"/>
  <c r="I158" i="8"/>
  <c r="K157" i="8"/>
  <c r="J157" i="8"/>
  <c r="I157" i="8"/>
  <c r="K156" i="8"/>
  <c r="J156" i="8"/>
  <c r="I156" i="8"/>
  <c r="K155" i="8"/>
  <c r="J155" i="8"/>
  <c r="I155" i="8"/>
  <c r="K154" i="8"/>
  <c r="J154" i="8"/>
  <c r="I154" i="8"/>
  <c r="K153" i="8"/>
  <c r="J153" i="8"/>
  <c r="I153" i="8"/>
  <c r="K152" i="8"/>
  <c r="J152" i="8"/>
  <c r="I152" i="8"/>
  <c r="K151" i="8"/>
  <c r="J151" i="8"/>
  <c r="I151" i="8"/>
  <c r="K150" i="8"/>
  <c r="J150" i="8"/>
  <c r="I150" i="8"/>
  <c r="K149" i="8"/>
  <c r="J149" i="8"/>
  <c r="I149" i="8"/>
  <c r="K148" i="8"/>
  <c r="J148" i="8"/>
  <c r="I148" i="8"/>
  <c r="K147" i="8"/>
  <c r="J147" i="8"/>
  <c r="I147" i="8"/>
  <c r="K141" i="8"/>
  <c r="J141" i="8"/>
  <c r="I141" i="8"/>
  <c r="K140" i="8"/>
  <c r="J140" i="8"/>
  <c r="I140" i="8"/>
  <c r="K139" i="8"/>
  <c r="J139" i="8"/>
  <c r="I139" i="8"/>
  <c r="K138" i="8"/>
  <c r="J138" i="8"/>
  <c r="I138" i="8"/>
  <c r="K137" i="8"/>
  <c r="J137" i="8"/>
  <c r="I137" i="8"/>
  <c r="K136" i="8"/>
  <c r="J136" i="8"/>
  <c r="I136" i="8"/>
  <c r="K135" i="8"/>
  <c r="J135" i="8"/>
  <c r="I135" i="8"/>
  <c r="K134" i="8"/>
  <c r="J134" i="8"/>
  <c r="I134" i="8"/>
  <c r="K133" i="8"/>
  <c r="J133" i="8"/>
  <c r="I133" i="8"/>
  <c r="K132" i="8"/>
  <c r="J132" i="8"/>
  <c r="I132" i="8"/>
  <c r="K131" i="8"/>
  <c r="J131" i="8"/>
  <c r="I131" i="8"/>
  <c r="K130" i="8"/>
  <c r="J130" i="8"/>
  <c r="I130" i="8"/>
  <c r="K129" i="8"/>
  <c r="J129" i="8"/>
  <c r="I129" i="8"/>
  <c r="K128" i="8"/>
  <c r="J128" i="8"/>
  <c r="I128" i="8"/>
  <c r="K127" i="8"/>
  <c r="J127" i="8"/>
  <c r="I127" i="8"/>
  <c r="K126" i="8"/>
  <c r="J126" i="8"/>
  <c r="I126" i="8"/>
  <c r="K125" i="8"/>
  <c r="J125" i="8"/>
  <c r="I125" i="8"/>
  <c r="K124" i="8"/>
  <c r="J124" i="8"/>
  <c r="I124" i="8"/>
  <c r="K123" i="8"/>
  <c r="J123" i="8"/>
  <c r="I123" i="8"/>
  <c r="K122" i="8"/>
  <c r="J122" i="8"/>
  <c r="I122" i="8"/>
  <c r="K121" i="8"/>
  <c r="J121" i="8"/>
  <c r="I121" i="8"/>
  <c r="K120" i="8"/>
  <c r="J120" i="8"/>
  <c r="I120" i="8"/>
  <c r="K119" i="8"/>
  <c r="J119" i="8"/>
  <c r="I119" i="8"/>
  <c r="K118" i="8"/>
  <c r="J118" i="8"/>
  <c r="I118" i="8"/>
  <c r="K117" i="8"/>
  <c r="J117" i="8"/>
  <c r="I117" i="8"/>
  <c r="K116" i="8"/>
  <c r="J116" i="8"/>
  <c r="I116" i="8"/>
  <c r="K115" i="8"/>
  <c r="J115" i="8"/>
  <c r="I115" i="8"/>
  <c r="K114" i="8"/>
  <c r="J114" i="8"/>
  <c r="I114" i="8"/>
  <c r="K113" i="8"/>
  <c r="J113" i="8"/>
  <c r="I113" i="8"/>
  <c r="K112" i="8"/>
  <c r="J112" i="8"/>
  <c r="I112" i="8"/>
  <c r="K106" i="8"/>
  <c r="J106" i="8"/>
  <c r="I106" i="8"/>
  <c r="K105" i="8"/>
  <c r="J105" i="8"/>
  <c r="I105" i="8"/>
  <c r="K104" i="8"/>
  <c r="J104" i="8"/>
  <c r="I104" i="8"/>
  <c r="K103" i="8"/>
  <c r="J103" i="8"/>
  <c r="I103" i="8"/>
  <c r="K102" i="8"/>
  <c r="J102" i="8"/>
  <c r="I102" i="8"/>
  <c r="K101" i="8"/>
  <c r="J101" i="8"/>
  <c r="I101" i="8"/>
  <c r="K100" i="8"/>
  <c r="J100" i="8"/>
  <c r="I100" i="8"/>
  <c r="K99" i="8"/>
  <c r="J99" i="8"/>
  <c r="I99" i="8"/>
  <c r="K98" i="8"/>
  <c r="J98" i="8"/>
  <c r="I98" i="8"/>
  <c r="K97" i="8"/>
  <c r="J97" i="8"/>
  <c r="I97" i="8"/>
  <c r="K96" i="8"/>
  <c r="J96" i="8"/>
  <c r="I96" i="8"/>
  <c r="K95" i="8"/>
  <c r="J95" i="8"/>
  <c r="I95" i="8"/>
  <c r="K94" i="8"/>
  <c r="J94" i="8"/>
  <c r="I94" i="8"/>
  <c r="K93" i="8"/>
  <c r="J93" i="8"/>
  <c r="I93" i="8"/>
  <c r="K92" i="8"/>
  <c r="J92" i="8"/>
  <c r="I92" i="8"/>
  <c r="K91" i="8"/>
  <c r="J91" i="8"/>
  <c r="I91" i="8"/>
  <c r="K90" i="8"/>
  <c r="J90" i="8"/>
  <c r="I90" i="8"/>
  <c r="K89" i="8"/>
  <c r="J89" i="8"/>
  <c r="I89" i="8"/>
  <c r="K88" i="8"/>
  <c r="J88" i="8"/>
  <c r="I88" i="8"/>
  <c r="K87" i="8"/>
  <c r="J87" i="8"/>
  <c r="I87" i="8"/>
  <c r="K86" i="8"/>
  <c r="J86" i="8"/>
  <c r="I86" i="8"/>
  <c r="K85" i="8"/>
  <c r="J85" i="8"/>
  <c r="I85" i="8"/>
  <c r="K84" i="8"/>
  <c r="J84" i="8"/>
  <c r="I84" i="8"/>
  <c r="K83" i="8"/>
  <c r="J83" i="8"/>
  <c r="I83" i="8"/>
  <c r="K82" i="8"/>
  <c r="J82" i="8"/>
  <c r="I82" i="8"/>
  <c r="K81" i="8"/>
  <c r="J81" i="8"/>
  <c r="I81" i="8"/>
  <c r="K80" i="8"/>
  <c r="J80" i="8"/>
  <c r="I80" i="8"/>
  <c r="K79" i="8"/>
  <c r="J79" i="8"/>
  <c r="I79" i="8"/>
  <c r="K78" i="8"/>
  <c r="J78" i="8"/>
  <c r="I78" i="8"/>
  <c r="K77" i="8"/>
  <c r="J77" i="8"/>
  <c r="I77" i="8"/>
  <c r="K71" i="8"/>
  <c r="J71" i="8"/>
  <c r="I71" i="8"/>
  <c r="K70" i="8"/>
  <c r="J70" i="8"/>
  <c r="I70" i="8"/>
  <c r="K69" i="8"/>
  <c r="J69" i="8"/>
  <c r="I69" i="8"/>
  <c r="K68" i="8"/>
  <c r="J68" i="8"/>
  <c r="I68" i="8"/>
  <c r="K67" i="8"/>
  <c r="J67" i="8"/>
  <c r="I67" i="8"/>
  <c r="K66" i="8"/>
  <c r="J66" i="8"/>
  <c r="I66" i="8"/>
  <c r="K65" i="8"/>
  <c r="J65" i="8"/>
  <c r="I65" i="8"/>
  <c r="K64" i="8"/>
  <c r="J64" i="8"/>
  <c r="I64" i="8"/>
  <c r="K63" i="8"/>
  <c r="J63" i="8"/>
  <c r="I63" i="8"/>
  <c r="K62" i="8"/>
  <c r="J62" i="8"/>
  <c r="I62" i="8"/>
  <c r="K61" i="8"/>
  <c r="J61" i="8"/>
  <c r="I61" i="8"/>
  <c r="K60" i="8"/>
  <c r="J60" i="8"/>
  <c r="I60" i="8"/>
  <c r="K59" i="8"/>
  <c r="J59" i="8"/>
  <c r="I59" i="8"/>
  <c r="K58" i="8"/>
  <c r="J58" i="8"/>
  <c r="I58" i="8"/>
  <c r="K57" i="8"/>
  <c r="J57" i="8"/>
  <c r="I57" i="8"/>
  <c r="K56" i="8"/>
  <c r="J56" i="8"/>
  <c r="I56" i="8"/>
  <c r="K55" i="8"/>
  <c r="J55" i="8"/>
  <c r="I55" i="8"/>
  <c r="K54" i="8"/>
  <c r="J54" i="8"/>
  <c r="I54" i="8"/>
  <c r="K53" i="8"/>
  <c r="J53" i="8"/>
  <c r="I53" i="8"/>
  <c r="K52" i="8"/>
  <c r="J52" i="8"/>
  <c r="I52" i="8"/>
  <c r="K51" i="8"/>
  <c r="J51" i="8"/>
  <c r="I51" i="8"/>
  <c r="K50" i="8"/>
  <c r="J50" i="8"/>
  <c r="I50" i="8"/>
  <c r="K49" i="8"/>
  <c r="J49" i="8"/>
  <c r="I49" i="8"/>
  <c r="K48" i="8"/>
  <c r="J48" i="8"/>
  <c r="I48" i="8"/>
  <c r="K47" i="8"/>
  <c r="J47" i="8"/>
  <c r="I47" i="8"/>
  <c r="K46" i="8"/>
  <c r="J46" i="8"/>
  <c r="I46" i="8"/>
  <c r="K45" i="8"/>
  <c r="J45" i="8"/>
  <c r="I45" i="8"/>
  <c r="K44" i="8"/>
  <c r="J44" i="8"/>
  <c r="I44" i="8"/>
  <c r="K43" i="8"/>
  <c r="J43" i="8"/>
  <c r="I43" i="8"/>
  <c r="K42" i="8"/>
  <c r="J42" i="8"/>
  <c r="I42" i="8"/>
  <c r="K36" i="33"/>
  <c r="J36" i="33"/>
  <c r="I36" i="33"/>
  <c r="K35" i="33"/>
  <c r="J35" i="33"/>
  <c r="I35" i="33"/>
  <c r="K34" i="33"/>
  <c r="J34" i="33"/>
  <c r="I34" i="33"/>
  <c r="K33" i="33"/>
  <c r="J33" i="33"/>
  <c r="I33" i="33"/>
  <c r="K32" i="33"/>
  <c r="J32" i="33"/>
  <c r="I32" i="33"/>
  <c r="K31" i="33"/>
  <c r="J31" i="33"/>
  <c r="I31" i="33"/>
  <c r="K30" i="33"/>
  <c r="J30" i="33"/>
  <c r="I30" i="33"/>
  <c r="K29" i="33"/>
  <c r="J29" i="33"/>
  <c r="I29" i="33"/>
  <c r="K28" i="33"/>
  <c r="J28" i="33"/>
  <c r="I28" i="33"/>
  <c r="K27" i="33"/>
  <c r="J27" i="33"/>
  <c r="I27" i="33"/>
  <c r="K26" i="33"/>
  <c r="J26" i="33"/>
  <c r="I26" i="33"/>
  <c r="K25" i="33"/>
  <c r="J25" i="33"/>
  <c r="I25" i="33"/>
  <c r="K24" i="33"/>
  <c r="J24" i="33"/>
  <c r="I24" i="33"/>
  <c r="K23" i="33"/>
  <c r="J23" i="33"/>
  <c r="I23" i="33"/>
  <c r="K22" i="33"/>
  <c r="J22" i="33"/>
  <c r="I22" i="33"/>
  <c r="K21" i="33"/>
  <c r="J21" i="33"/>
  <c r="I21" i="33"/>
  <c r="K20" i="33"/>
  <c r="J20" i="33"/>
  <c r="I20" i="33"/>
  <c r="K19" i="33"/>
  <c r="J19" i="33"/>
  <c r="I19" i="33"/>
  <c r="K18" i="33"/>
  <c r="J18" i="33"/>
  <c r="I18" i="33"/>
  <c r="K17" i="33"/>
  <c r="J17" i="33"/>
  <c r="I17" i="33"/>
  <c r="K16" i="33"/>
  <c r="J16" i="33"/>
  <c r="I16" i="33"/>
  <c r="K15" i="33"/>
  <c r="J15" i="33"/>
  <c r="I15" i="33"/>
  <c r="K14" i="33"/>
  <c r="J14" i="33"/>
  <c r="I14" i="33"/>
  <c r="K13" i="33"/>
  <c r="J13" i="33"/>
  <c r="I13" i="33"/>
  <c r="K12" i="33"/>
  <c r="J12" i="33"/>
  <c r="I12" i="33"/>
  <c r="K11" i="33"/>
  <c r="J11" i="33"/>
  <c r="I11" i="33"/>
  <c r="K10" i="33"/>
  <c r="J10" i="33"/>
  <c r="I10" i="33"/>
  <c r="K9" i="33"/>
  <c r="J9" i="33"/>
  <c r="I9" i="33"/>
  <c r="K8" i="33"/>
  <c r="J8" i="33"/>
  <c r="I8" i="33"/>
  <c r="K7" i="33"/>
  <c r="J7" i="33"/>
  <c r="I7" i="33"/>
  <c r="K36" i="8"/>
  <c r="J36" i="8"/>
  <c r="I36" i="8"/>
  <c r="K35" i="8"/>
  <c r="J35" i="8"/>
  <c r="I35" i="8"/>
  <c r="K34" i="8"/>
  <c r="J34" i="8"/>
  <c r="I34" i="8"/>
  <c r="K33" i="8"/>
  <c r="J33" i="8"/>
  <c r="I33" i="8"/>
  <c r="K32" i="8"/>
  <c r="J32" i="8"/>
  <c r="I32" i="8"/>
  <c r="K31" i="8"/>
  <c r="J31" i="8"/>
  <c r="I31" i="8"/>
  <c r="K30" i="8"/>
  <c r="J30" i="8"/>
  <c r="I30" i="8"/>
  <c r="K29" i="8"/>
  <c r="J29" i="8"/>
  <c r="I29" i="8"/>
  <c r="K28" i="8"/>
  <c r="J28" i="8"/>
  <c r="I28" i="8"/>
  <c r="K27" i="8"/>
  <c r="J27" i="8"/>
  <c r="I27" i="8"/>
  <c r="K26" i="8"/>
  <c r="J26" i="8"/>
  <c r="I26" i="8"/>
  <c r="K25" i="8"/>
  <c r="J25" i="8"/>
  <c r="I25" i="8"/>
  <c r="K24" i="8"/>
  <c r="J24" i="8"/>
  <c r="I24" i="8"/>
  <c r="K23" i="8"/>
  <c r="J23" i="8"/>
  <c r="I23" i="8"/>
  <c r="K22" i="8"/>
  <c r="J22" i="8"/>
  <c r="I22" i="8"/>
  <c r="K21" i="8"/>
  <c r="J21" i="8"/>
  <c r="I21" i="8"/>
  <c r="K20" i="8"/>
  <c r="J20" i="8"/>
  <c r="I20" i="8"/>
  <c r="K19" i="8"/>
  <c r="J19" i="8"/>
  <c r="I19" i="8"/>
  <c r="K18" i="8"/>
  <c r="J18" i="8"/>
  <c r="I18" i="8"/>
  <c r="K17" i="8"/>
  <c r="J17" i="8"/>
  <c r="I17" i="8"/>
  <c r="K16" i="8"/>
  <c r="J16" i="8"/>
  <c r="I16" i="8"/>
  <c r="K15" i="8"/>
  <c r="J15" i="8"/>
  <c r="I15" i="8"/>
  <c r="K14" i="8"/>
  <c r="J14" i="8"/>
  <c r="I14" i="8"/>
  <c r="K13" i="8"/>
  <c r="J13" i="8"/>
  <c r="I13" i="8"/>
  <c r="K12" i="8"/>
  <c r="J12" i="8"/>
  <c r="I12" i="8"/>
  <c r="K11" i="8"/>
  <c r="J11" i="8"/>
  <c r="I11" i="8"/>
  <c r="K10" i="8"/>
  <c r="J10" i="8"/>
  <c r="I10" i="8"/>
  <c r="K9" i="8"/>
  <c r="J9" i="8"/>
  <c r="I9" i="8"/>
  <c r="K8" i="8"/>
  <c r="J8" i="8"/>
  <c r="I8" i="8"/>
  <c r="K7" i="8"/>
  <c r="M7" i="8" s="1"/>
  <c r="J7" i="8"/>
  <c r="I7" i="8"/>
  <c r="L107" i="37"/>
  <c r="L87" i="37"/>
  <c r="L107" i="36"/>
  <c r="L87" i="36"/>
  <c r="L67" i="36"/>
  <c r="B35" i="39" s="1"/>
  <c r="L27" i="36"/>
  <c r="L7" i="36"/>
  <c r="L107" i="35"/>
  <c r="L87" i="35"/>
  <c r="L47" i="35"/>
  <c r="L27" i="35"/>
  <c r="L7" i="35"/>
  <c r="L107" i="32"/>
  <c r="L87" i="32"/>
  <c r="L27" i="32"/>
  <c r="I35" i="5"/>
  <c r="U35" i="3"/>
  <c r="O35" i="3"/>
  <c r="M15" i="41"/>
  <c r="K15" i="41"/>
  <c r="I15" i="41"/>
  <c r="G15" i="41"/>
  <c r="M14" i="41"/>
  <c r="K14" i="41"/>
  <c r="I14" i="41"/>
  <c r="G14" i="41"/>
  <c r="M10" i="41"/>
  <c r="K10" i="41"/>
  <c r="I10" i="41"/>
  <c r="G10" i="41"/>
  <c r="C10" i="41"/>
  <c r="M9" i="41"/>
  <c r="K9" i="41"/>
  <c r="I9" i="41"/>
  <c r="G9" i="41"/>
  <c r="C9" i="41"/>
  <c r="AW21" i="30"/>
  <c r="AR21" i="30"/>
  <c r="AM21" i="30"/>
  <c r="AH21" i="30"/>
  <c r="AC21" i="30"/>
  <c r="X21" i="30"/>
  <c r="AW20" i="30"/>
  <c r="AR20" i="30"/>
  <c r="AM20" i="30"/>
  <c r="AH20" i="30"/>
  <c r="AC20" i="30"/>
  <c r="X20" i="30"/>
  <c r="AW19" i="30"/>
  <c r="AR19" i="30"/>
  <c r="AM19" i="30"/>
  <c r="AH19" i="30"/>
  <c r="AC19" i="30"/>
  <c r="X19" i="30"/>
  <c r="AW18" i="30"/>
  <c r="AR18" i="30"/>
  <c r="AM18" i="30"/>
  <c r="AH18" i="30"/>
  <c r="AC18" i="30"/>
  <c r="X18" i="30"/>
  <c r="AW17" i="30"/>
  <c r="AR17" i="30"/>
  <c r="AM17" i="30"/>
  <c r="AH17" i="30"/>
  <c r="AC17" i="30"/>
  <c r="X17" i="30"/>
  <c r="AW16" i="30"/>
  <c r="AR16" i="30"/>
  <c r="AM16" i="30"/>
  <c r="AH16" i="30"/>
  <c r="AC16" i="30"/>
  <c r="X16" i="30"/>
  <c r="AW15" i="30"/>
  <c r="AR15" i="30"/>
  <c r="AM15" i="30"/>
  <c r="AH15" i="30"/>
  <c r="AC15" i="30"/>
  <c r="X15" i="30"/>
  <c r="AW14" i="30"/>
  <c r="AR14" i="30"/>
  <c r="AM14" i="30"/>
  <c r="AH14" i="30"/>
  <c r="AC14" i="30"/>
  <c r="X14" i="30"/>
  <c r="AW13" i="30"/>
  <c r="AR13" i="30"/>
  <c r="AM13" i="30"/>
  <c r="AH13" i="30"/>
  <c r="AC13" i="30"/>
  <c r="X13" i="30"/>
  <c r="AW12" i="30"/>
  <c r="AR12" i="30"/>
  <c r="AM12" i="30"/>
  <c r="AH12" i="30"/>
  <c r="AC12" i="30"/>
  <c r="X12" i="30"/>
  <c r="AW11" i="30"/>
  <c r="AR11" i="30"/>
  <c r="AM11" i="30"/>
  <c r="AH11" i="30"/>
  <c r="AC11" i="30"/>
  <c r="X11" i="30"/>
  <c r="AW10" i="30"/>
  <c r="AR10" i="30"/>
  <c r="AM10" i="30"/>
  <c r="AH10" i="30"/>
  <c r="AC10" i="30"/>
  <c r="X10" i="30"/>
  <c r="AW9" i="30"/>
  <c r="AR9" i="30"/>
  <c r="AM9" i="30"/>
  <c r="AH9" i="30"/>
  <c r="AC9" i="30"/>
  <c r="X9" i="30"/>
  <c r="AW8" i="30"/>
  <c r="AR8" i="30"/>
  <c r="AM8" i="30"/>
  <c r="AH8" i="30"/>
  <c r="AC8" i="30"/>
  <c r="X8" i="30"/>
  <c r="AX7" i="30"/>
  <c r="AW7" i="30"/>
  <c r="AS7" i="30"/>
  <c r="AR7" i="30"/>
  <c r="AN7" i="30"/>
  <c r="AM7" i="30"/>
  <c r="AI7" i="30"/>
  <c r="AH7" i="30"/>
  <c r="AD7" i="30"/>
  <c r="AC7" i="30"/>
  <c r="Y7" i="30"/>
  <c r="X7" i="30"/>
  <c r="L42" i="8" l="1"/>
  <c r="L7" i="30"/>
  <c r="M11" i="8"/>
  <c r="M15" i="8"/>
  <c r="M19" i="8"/>
  <c r="M23" i="8"/>
  <c r="M27" i="8"/>
  <c r="M10" i="8"/>
  <c r="M14" i="8"/>
  <c r="M18" i="8"/>
  <c r="M22" i="8"/>
  <c r="M26" i="8"/>
  <c r="M9" i="8"/>
  <c r="M13" i="8"/>
  <c r="M17" i="8"/>
  <c r="M21" i="8"/>
  <c r="M25" i="8"/>
  <c r="M8" i="8"/>
  <c r="M12" i="8"/>
  <c r="M16" i="8"/>
  <c r="M20" i="8"/>
  <c r="M24" i="8"/>
  <c r="M28" i="8"/>
  <c r="H67" i="30"/>
  <c r="L13" i="48" l="1"/>
  <c r="L12" i="48"/>
  <c r="L11" i="48"/>
  <c r="H14" i="48"/>
  <c r="H13" i="48"/>
  <c r="H12" i="48"/>
  <c r="F15" i="48"/>
  <c r="F14" i="48"/>
  <c r="F13" i="48"/>
  <c r="F12" i="48"/>
  <c r="D16" i="48"/>
  <c r="D15" i="48"/>
  <c r="D14" i="48"/>
  <c r="D13" i="48"/>
  <c r="L10" i="48" l="1"/>
  <c r="L9" i="48"/>
  <c r="L8" i="48"/>
  <c r="L7" i="48"/>
  <c r="L6" i="48"/>
  <c r="L5" i="48"/>
  <c r="J12" i="48"/>
  <c r="J11" i="48"/>
  <c r="J10" i="48"/>
  <c r="J9" i="48"/>
  <c r="J8" i="48"/>
  <c r="J7" i="48"/>
  <c r="J6" i="48"/>
  <c r="J5" i="48"/>
  <c r="H11" i="48"/>
  <c r="H10" i="48"/>
  <c r="H9" i="48"/>
  <c r="H8" i="48"/>
  <c r="H7" i="48"/>
  <c r="H6" i="48"/>
  <c r="H5" i="48"/>
  <c r="F11" i="48"/>
  <c r="F10" i="48"/>
  <c r="F9" i="48"/>
  <c r="F8" i="48"/>
  <c r="F7" i="48"/>
  <c r="F6" i="48"/>
  <c r="D12" i="48"/>
  <c r="D11" i="48"/>
  <c r="D10" i="48"/>
  <c r="D9" i="48"/>
  <c r="D8" i="48"/>
  <c r="D7" i="48"/>
  <c r="D6" i="48"/>
  <c r="L4" i="48" l="1"/>
  <c r="F5" i="48"/>
  <c r="D5" i="48"/>
  <c r="J4" i="48"/>
  <c r="H4" i="48"/>
  <c r="F4" i="48"/>
  <c r="D4" i="48"/>
  <c r="P22" i="32" l="1"/>
  <c r="U22" i="32" s="1"/>
  <c r="Z22" i="32" s="1"/>
  <c r="AE22" i="32" s="1"/>
  <c r="AJ22" i="32" s="1"/>
  <c r="AO22" i="32" s="1"/>
  <c r="AT22" i="32" s="1"/>
  <c r="P22" i="31"/>
  <c r="U22" i="31" s="1"/>
  <c r="Z22" i="31" s="1"/>
  <c r="AE22" i="31" s="1"/>
  <c r="AJ22" i="31" s="1"/>
  <c r="AO22" i="31" s="1"/>
  <c r="AT22" i="31" s="1"/>
  <c r="P22" i="34"/>
  <c r="U22" i="34" s="1"/>
  <c r="Z22" i="34" s="1"/>
  <c r="AE22" i="34" s="1"/>
  <c r="AJ22" i="34" s="1"/>
  <c r="AO22" i="34" s="1"/>
  <c r="AT22" i="34" s="1"/>
  <c r="P22" i="35"/>
  <c r="U22" i="35" s="1"/>
  <c r="Z22" i="35" s="1"/>
  <c r="AE22" i="35" s="1"/>
  <c r="AJ22" i="35" s="1"/>
  <c r="AO22" i="35" s="1"/>
  <c r="AT22" i="35" s="1"/>
  <c r="P22" i="36"/>
  <c r="U22" i="36" s="1"/>
  <c r="Z22" i="36" s="1"/>
  <c r="AE22" i="36" s="1"/>
  <c r="AJ22" i="36" s="1"/>
  <c r="AO22" i="36" s="1"/>
  <c r="AT22" i="36" s="1"/>
  <c r="P22" i="37"/>
  <c r="U22" i="37" s="1"/>
  <c r="Z22" i="37" s="1"/>
  <c r="AE22" i="37" s="1"/>
  <c r="AJ22" i="37" s="1"/>
  <c r="AO22" i="37" s="1"/>
  <c r="AT22" i="37" s="1"/>
  <c r="P22" i="30"/>
  <c r="U22" i="30" s="1"/>
  <c r="Z22" i="30" s="1"/>
  <c r="AE22" i="30" s="1"/>
  <c r="AJ22" i="30" s="1"/>
  <c r="AO22" i="30" s="1"/>
  <c r="AT22" i="30" s="1"/>
  <c r="U2" i="32"/>
  <c r="Z2" i="32" s="1"/>
  <c r="AE2" i="32" s="1"/>
  <c r="AJ2" i="32" s="1"/>
  <c r="AO2" i="32" s="1"/>
  <c r="AT2" i="32" s="1"/>
  <c r="U2" i="31"/>
  <c r="Z2" i="31" s="1"/>
  <c r="AE2" i="31" s="1"/>
  <c r="AJ2" i="31" s="1"/>
  <c r="AO2" i="31" s="1"/>
  <c r="AT2" i="31" s="1"/>
  <c r="U2" i="34"/>
  <c r="Z2" i="34" s="1"/>
  <c r="AE2" i="34" s="1"/>
  <c r="AJ2" i="34" s="1"/>
  <c r="AO2" i="34" s="1"/>
  <c r="AT2" i="34" s="1"/>
  <c r="U2" i="35"/>
  <c r="Z2" i="35" s="1"/>
  <c r="AE2" i="35" s="1"/>
  <c r="AJ2" i="35" s="1"/>
  <c r="AO2" i="35" s="1"/>
  <c r="AT2" i="35" s="1"/>
  <c r="U2" i="36"/>
  <c r="Z2" i="36" s="1"/>
  <c r="AE2" i="36" s="1"/>
  <c r="AJ2" i="36" s="1"/>
  <c r="AO2" i="36" s="1"/>
  <c r="AT2" i="36" s="1"/>
  <c r="U2" i="37"/>
  <c r="Z2" i="37" s="1"/>
  <c r="AE2" i="37" s="1"/>
  <c r="AJ2" i="37" s="1"/>
  <c r="AO2" i="37" s="1"/>
  <c r="AT2" i="37" s="1"/>
  <c r="U2" i="30"/>
  <c r="Z2" i="30" s="1"/>
  <c r="AE2" i="30" s="1"/>
  <c r="AJ2" i="30" s="1"/>
  <c r="AO2" i="30" s="1"/>
  <c r="AT2" i="30" s="1"/>
  <c r="U2" i="33"/>
  <c r="Z2" i="33" s="1"/>
  <c r="AE2" i="33" s="1"/>
  <c r="AJ2" i="33" s="1"/>
  <c r="AO2" i="33" s="1"/>
  <c r="AT2" i="33" s="1"/>
  <c r="P37" i="8"/>
  <c r="U2" i="8"/>
  <c r="Z2" i="8" s="1"/>
  <c r="AE2" i="8" s="1"/>
  <c r="AJ2" i="8" s="1"/>
  <c r="AO2" i="8" s="1"/>
  <c r="AC8" i="6" l="1"/>
  <c r="S8" i="6"/>
  <c r="M8" i="6"/>
  <c r="AC7" i="6"/>
  <c r="S7" i="6"/>
  <c r="M7" i="6"/>
  <c r="AC8" i="7"/>
  <c r="S8" i="7"/>
  <c r="M8" i="7"/>
  <c r="AC7" i="7"/>
  <c r="S7" i="7"/>
  <c r="M7" i="7"/>
  <c r="M70" i="30" l="1"/>
  <c r="M69" i="30"/>
  <c r="M75" i="30"/>
  <c r="M67" i="30"/>
  <c r="M73" i="30"/>
  <c r="M81" i="30"/>
  <c r="M79" i="30"/>
  <c r="M77" i="30"/>
  <c r="M78" i="30"/>
  <c r="M80" i="30"/>
  <c r="M72" i="30"/>
  <c r="M74" i="30"/>
  <c r="M76" i="30"/>
  <c r="M71" i="30"/>
  <c r="M68" i="30"/>
  <c r="L67" i="30"/>
  <c r="B29" i="39" s="1"/>
  <c r="A5" i="48" l="1"/>
  <c r="A6" i="48" s="1"/>
  <c r="A7" i="48" s="1"/>
  <c r="A8" i="48" s="1"/>
  <c r="A9" i="48" s="1"/>
  <c r="A10" i="48" s="1"/>
  <c r="A11" i="48" s="1"/>
  <c r="A12" i="48" s="1"/>
  <c r="A13" i="48" s="1"/>
  <c r="A14" i="48" s="1"/>
  <c r="A15" i="48" s="1"/>
  <c r="A16" i="48" s="1"/>
  <c r="A17" i="48" s="1"/>
  <c r="A18" i="48" s="1"/>
  <c r="A19" i="48" s="1"/>
  <c r="A20" i="48" s="1"/>
  <c r="A21" i="48" s="1"/>
  <c r="A22" i="48" s="1"/>
  <c r="A23" i="48" s="1"/>
  <c r="A24" i="48" s="1"/>
  <c r="A25" i="48" s="1"/>
  <c r="A26" i="48" s="1"/>
  <c r="A27" i="48" s="1"/>
  <c r="A28" i="48" s="1"/>
  <c r="A29" i="48" s="1"/>
  <c r="A30" i="48" s="1"/>
  <c r="A31" i="48" s="1"/>
  <c r="A32" i="48" s="1"/>
  <c r="A33" i="48" s="1"/>
  <c r="A34" i="48" s="1"/>
  <c r="A35" i="48" s="1"/>
  <c r="A36" i="48" s="1"/>
  <c r="A37" i="48" s="1"/>
  <c r="AW36" i="8" l="1"/>
  <c r="AW35" i="8"/>
  <c r="AW34" i="8"/>
  <c r="AW33" i="8"/>
  <c r="AW32" i="8"/>
  <c r="AW31" i="8"/>
  <c r="AW30" i="8"/>
  <c r="AW29" i="8"/>
  <c r="AW28" i="8"/>
  <c r="AW27" i="8"/>
  <c r="AW26" i="8"/>
  <c r="AW25" i="8"/>
  <c r="AW24" i="8"/>
  <c r="AW23" i="8"/>
  <c r="AW22" i="8"/>
  <c r="AW21" i="8"/>
  <c r="AW20" i="8"/>
  <c r="AW19" i="8"/>
  <c r="AW18" i="8"/>
  <c r="AW17" i="8"/>
  <c r="AW16" i="8"/>
  <c r="AW15" i="8"/>
  <c r="AW14" i="8"/>
  <c r="AW13" i="8"/>
  <c r="AW12" i="8"/>
  <c r="AW11" i="8"/>
  <c r="AW10" i="8"/>
  <c r="AW9" i="8"/>
  <c r="AW8" i="8"/>
  <c r="AX7" i="8"/>
  <c r="AW7" i="8"/>
  <c r="AR36" i="8"/>
  <c r="AR35" i="8"/>
  <c r="AR34" i="8"/>
  <c r="AR33" i="8"/>
  <c r="AR32" i="8"/>
  <c r="AR31" i="8"/>
  <c r="AR30" i="8"/>
  <c r="AR29" i="8"/>
  <c r="AR28" i="8"/>
  <c r="AR27" i="8"/>
  <c r="AR26" i="8"/>
  <c r="AR25" i="8"/>
  <c r="AR24" i="8"/>
  <c r="AR23" i="8"/>
  <c r="AR22" i="8"/>
  <c r="AR21" i="8"/>
  <c r="AR20" i="8"/>
  <c r="AR19" i="8"/>
  <c r="AR18" i="8"/>
  <c r="AR17" i="8"/>
  <c r="AR16" i="8"/>
  <c r="AR15" i="8"/>
  <c r="AR14" i="8"/>
  <c r="AR13" i="8"/>
  <c r="AR12" i="8"/>
  <c r="AR11" i="8"/>
  <c r="AR10" i="8"/>
  <c r="AR9" i="8"/>
  <c r="AR8" i="8"/>
  <c r="AS7" i="8"/>
  <c r="AR7" i="8"/>
  <c r="AM36" i="8"/>
  <c r="AM35" i="8"/>
  <c r="AM34" i="8"/>
  <c r="AM33" i="8"/>
  <c r="AM32" i="8"/>
  <c r="AM31" i="8"/>
  <c r="AM30" i="8"/>
  <c r="AM29" i="8"/>
  <c r="AM28" i="8"/>
  <c r="AM27" i="8"/>
  <c r="AM26" i="8"/>
  <c r="AM25" i="8"/>
  <c r="AM24" i="8"/>
  <c r="AM23" i="8"/>
  <c r="AM22" i="8"/>
  <c r="AM21" i="8"/>
  <c r="AM20" i="8"/>
  <c r="AM19" i="8"/>
  <c r="AM18" i="8"/>
  <c r="AM17" i="8"/>
  <c r="AM16" i="8"/>
  <c r="AM15" i="8"/>
  <c r="AM14" i="8"/>
  <c r="AM13" i="8"/>
  <c r="AM12" i="8"/>
  <c r="AM11" i="8"/>
  <c r="AM10" i="8"/>
  <c r="AM9" i="8"/>
  <c r="AM8" i="8"/>
  <c r="AN7" i="8"/>
  <c r="AM7" i="8"/>
  <c r="AH36" i="8"/>
  <c r="AH35" i="8"/>
  <c r="AH34" i="8"/>
  <c r="AH33" i="8"/>
  <c r="AH32" i="8"/>
  <c r="AH31" i="8"/>
  <c r="AH30" i="8"/>
  <c r="AH29" i="8"/>
  <c r="AH28" i="8"/>
  <c r="AH27" i="8"/>
  <c r="AH26" i="8"/>
  <c r="AH25" i="8"/>
  <c r="AH24" i="8"/>
  <c r="AH23" i="8"/>
  <c r="AH22" i="8"/>
  <c r="AH21" i="8"/>
  <c r="AH20" i="8"/>
  <c r="AH19" i="8"/>
  <c r="AH18" i="8"/>
  <c r="AH17" i="8"/>
  <c r="AH16" i="8"/>
  <c r="AH15" i="8"/>
  <c r="AH14" i="8"/>
  <c r="AH13" i="8"/>
  <c r="AH12" i="8"/>
  <c r="AH11" i="8"/>
  <c r="AH10" i="8"/>
  <c r="AH9" i="8"/>
  <c r="AH8" i="8"/>
  <c r="AI7" i="8"/>
  <c r="AH7" i="8"/>
  <c r="AC36" i="8"/>
  <c r="AC35" i="8"/>
  <c r="AC34" i="8"/>
  <c r="AC33" i="8"/>
  <c r="AC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10" i="8"/>
  <c r="AC9" i="8"/>
  <c r="AC8" i="8"/>
  <c r="AD7" i="8"/>
  <c r="AC7" i="8"/>
  <c r="X36" i="8"/>
  <c r="X35" i="8"/>
  <c r="X34" i="8"/>
  <c r="X33" i="8"/>
  <c r="X32" i="8"/>
  <c r="X31" i="8"/>
  <c r="X30" i="8"/>
  <c r="X29" i="8"/>
  <c r="X28" i="8"/>
  <c r="X27" i="8"/>
  <c r="X26" i="8"/>
  <c r="X25" i="8"/>
  <c r="X24" i="8"/>
  <c r="X23" i="8"/>
  <c r="X22" i="8"/>
  <c r="X21" i="8"/>
  <c r="X20" i="8"/>
  <c r="X19" i="8"/>
  <c r="X18" i="8"/>
  <c r="X17" i="8"/>
  <c r="X16" i="8"/>
  <c r="X15" i="8"/>
  <c r="X14" i="8"/>
  <c r="X13" i="8"/>
  <c r="X12" i="8"/>
  <c r="X11" i="8"/>
  <c r="X10" i="8"/>
  <c r="X9" i="8"/>
  <c r="X8" i="8"/>
  <c r="Y7" i="8"/>
  <c r="X7" i="8"/>
  <c r="S36" i="8"/>
  <c r="S35" i="8"/>
  <c r="S34" i="8"/>
  <c r="S33" i="8"/>
  <c r="S32" i="8"/>
  <c r="S31" i="8"/>
  <c r="S30" i="8"/>
  <c r="S29" i="8"/>
  <c r="S28" i="8"/>
  <c r="S27" i="8"/>
  <c r="S26" i="8"/>
  <c r="S25" i="8"/>
  <c r="S24" i="8"/>
  <c r="S23" i="8"/>
  <c r="S22" i="8"/>
  <c r="S21" i="8"/>
  <c r="S20" i="8"/>
  <c r="S19" i="8"/>
  <c r="S18" i="8"/>
  <c r="S17" i="8"/>
  <c r="S16" i="8"/>
  <c r="S15" i="8"/>
  <c r="S14" i="8"/>
  <c r="S13" i="8"/>
  <c r="S12" i="8"/>
  <c r="S11" i="8"/>
  <c r="S10" i="8"/>
  <c r="S9" i="8"/>
  <c r="S8" i="8"/>
  <c r="T7" i="8"/>
  <c r="S7" i="8"/>
  <c r="H7" i="8"/>
  <c r="U5" i="3"/>
  <c r="P6" i="3" l="1"/>
  <c r="L7" i="8"/>
  <c r="AW121" i="30" l="1"/>
  <c r="AR121" i="30"/>
  <c r="AM121" i="30"/>
  <c r="AH121" i="30"/>
  <c r="AC121" i="30"/>
  <c r="X121" i="30"/>
  <c r="S121" i="30"/>
  <c r="AW120" i="30"/>
  <c r="AR120" i="30"/>
  <c r="AM120" i="30"/>
  <c r="AH120" i="30"/>
  <c r="AC120" i="30"/>
  <c r="X120" i="30"/>
  <c r="S120" i="30"/>
  <c r="AW119" i="30"/>
  <c r="AR119" i="30"/>
  <c r="AM119" i="30"/>
  <c r="AH119" i="30"/>
  <c r="AC119" i="30"/>
  <c r="X119" i="30"/>
  <c r="S119" i="30"/>
  <c r="AW118" i="30"/>
  <c r="AR118" i="30"/>
  <c r="AM118" i="30"/>
  <c r="AH118" i="30"/>
  <c r="AC118" i="30"/>
  <c r="X118" i="30"/>
  <c r="S118" i="30"/>
  <c r="AW117" i="30"/>
  <c r="AR117" i="30"/>
  <c r="AM117" i="30"/>
  <c r="AH117" i="30"/>
  <c r="AC117" i="30"/>
  <c r="X117" i="30"/>
  <c r="S117" i="30"/>
  <c r="AW116" i="30"/>
  <c r="AR116" i="30"/>
  <c r="AM116" i="30"/>
  <c r="AH116" i="30"/>
  <c r="AC116" i="30"/>
  <c r="X116" i="30"/>
  <c r="S116" i="30"/>
  <c r="AW115" i="30"/>
  <c r="AR115" i="30"/>
  <c r="AM115" i="30"/>
  <c r="AH115" i="30"/>
  <c r="AC115" i="30"/>
  <c r="X115" i="30"/>
  <c r="S115" i="30"/>
  <c r="AW114" i="30"/>
  <c r="AR114" i="30"/>
  <c r="AM114" i="30"/>
  <c r="AH114" i="30"/>
  <c r="AC114" i="30"/>
  <c r="X114" i="30"/>
  <c r="S114" i="30"/>
  <c r="AW113" i="30"/>
  <c r="AR113" i="30"/>
  <c r="AM113" i="30"/>
  <c r="AH113" i="30"/>
  <c r="AC113" i="30"/>
  <c r="X113" i="30"/>
  <c r="S113" i="30"/>
  <c r="AW112" i="30"/>
  <c r="AR112" i="30"/>
  <c r="AM112" i="30"/>
  <c r="AH112" i="30"/>
  <c r="AC112" i="30"/>
  <c r="X112" i="30"/>
  <c r="S112" i="30"/>
  <c r="AW111" i="30"/>
  <c r="AR111" i="30"/>
  <c r="AM111" i="30"/>
  <c r="AH111" i="30"/>
  <c r="AC111" i="30"/>
  <c r="X111" i="30"/>
  <c r="S111" i="30"/>
  <c r="AW110" i="30"/>
  <c r="AR110" i="30"/>
  <c r="AM110" i="30"/>
  <c r="AH110" i="30"/>
  <c r="AC110" i="30"/>
  <c r="X110" i="30"/>
  <c r="S110" i="30"/>
  <c r="AW109" i="30"/>
  <c r="AR109" i="30"/>
  <c r="AM109" i="30"/>
  <c r="AH109" i="30"/>
  <c r="AC109" i="30"/>
  <c r="X109" i="30"/>
  <c r="S109" i="30"/>
  <c r="AW108" i="30"/>
  <c r="AR108" i="30"/>
  <c r="AM108" i="30"/>
  <c r="AH108" i="30"/>
  <c r="AC108" i="30"/>
  <c r="X108" i="30"/>
  <c r="S108" i="30"/>
  <c r="AW107" i="30"/>
  <c r="AR107" i="30"/>
  <c r="AM107" i="30"/>
  <c r="AH107" i="30"/>
  <c r="AC107" i="30"/>
  <c r="X107" i="30"/>
  <c r="S107" i="30"/>
  <c r="G255" i="8" l="1"/>
  <c r="G254" i="8"/>
  <c r="G253" i="8"/>
  <c r="G252" i="8"/>
  <c r="G251" i="8"/>
  <c r="G250" i="8"/>
  <c r="G262" i="8"/>
  <c r="G261" i="8"/>
  <c r="G260" i="8"/>
  <c r="G259" i="8"/>
  <c r="G258" i="8"/>
  <c r="G257" i="8"/>
  <c r="K42" i="48" l="1"/>
  <c r="K41" i="48"/>
  <c r="I42" i="48"/>
  <c r="I41" i="48"/>
  <c r="G42" i="48"/>
  <c r="G41" i="48"/>
  <c r="E41" i="48"/>
  <c r="E42" i="48"/>
  <c r="B42" i="48"/>
  <c r="C42" i="48"/>
  <c r="C41" i="48"/>
  <c r="B41" i="48"/>
  <c r="L27" i="30" l="1"/>
  <c r="M27" i="30"/>
  <c r="M28" i="30"/>
  <c r="M30" i="30"/>
  <c r="M29" i="30"/>
  <c r="M32" i="30"/>
  <c r="H27" i="30"/>
  <c r="M34" i="30"/>
  <c r="M35" i="30"/>
  <c r="M36" i="30"/>
  <c r="M37" i="30"/>
  <c r="M38" i="30"/>
  <c r="M39" i="30"/>
  <c r="M40" i="30"/>
  <c r="M41" i="30"/>
  <c r="M31" i="30"/>
  <c r="M33" i="30"/>
  <c r="H7" i="35" l="1"/>
  <c r="H7" i="36"/>
  <c r="H7" i="37"/>
  <c r="H7" i="34"/>
  <c r="H7" i="33"/>
  <c r="H7" i="32"/>
  <c r="M21" i="37" l="1"/>
  <c r="M12" i="37"/>
  <c r="M11" i="37"/>
  <c r="M10" i="37"/>
  <c r="M14" i="37"/>
  <c r="M9" i="37"/>
  <c r="M13" i="37"/>
  <c r="M18" i="37"/>
  <c r="M7" i="37"/>
  <c r="M15" i="37"/>
  <c r="M19" i="37"/>
  <c r="M8" i="37"/>
  <c r="M16" i="37"/>
  <c r="M20" i="37"/>
  <c r="M17" i="37"/>
  <c r="M9" i="36"/>
  <c r="M8" i="36"/>
  <c r="M11" i="36"/>
  <c r="M10" i="36"/>
  <c r="M14" i="36"/>
  <c r="M18" i="36"/>
  <c r="M15" i="36"/>
  <c r="M19" i="36"/>
  <c r="M12" i="36"/>
  <c r="M16" i="36"/>
  <c r="M20" i="36"/>
  <c r="M7" i="36"/>
  <c r="M13" i="36"/>
  <c r="M17" i="36"/>
  <c r="M21" i="36"/>
  <c r="M11" i="35"/>
  <c r="M9" i="35"/>
  <c r="M8" i="35"/>
  <c r="M12" i="35"/>
  <c r="M15" i="35"/>
  <c r="M10" i="35"/>
  <c r="M14" i="35"/>
  <c r="M13" i="35"/>
  <c r="M18" i="35"/>
  <c r="M7" i="35"/>
  <c r="M19" i="35"/>
  <c r="M16" i="35"/>
  <c r="M20" i="35"/>
  <c r="M17" i="35"/>
  <c r="M21" i="35"/>
  <c r="L7" i="34"/>
  <c r="M8" i="34"/>
  <c r="M12" i="34"/>
  <c r="M16" i="34"/>
  <c r="M11" i="34"/>
  <c r="M15" i="34"/>
  <c r="M10" i="34"/>
  <c r="M14" i="34"/>
  <c r="M9" i="34"/>
  <c r="M13" i="34"/>
  <c r="M7" i="34"/>
  <c r="M20" i="34"/>
  <c r="M17" i="34"/>
  <c r="M21" i="34"/>
  <c r="M18" i="34"/>
  <c r="M19" i="34"/>
  <c r="M8" i="32"/>
  <c r="M12" i="32"/>
  <c r="M16" i="32"/>
  <c r="M11" i="32"/>
  <c r="M15" i="32"/>
  <c r="M10" i="32"/>
  <c r="M14" i="32"/>
  <c r="M9" i="32"/>
  <c r="M13" i="32"/>
  <c r="M17" i="32"/>
  <c r="M18" i="32"/>
  <c r="M7" i="32"/>
  <c r="M19" i="32"/>
  <c r="M20" i="32"/>
  <c r="M21" i="32"/>
  <c r="M35" i="33"/>
  <c r="M11" i="33"/>
  <c r="M15" i="33"/>
  <c r="M19" i="33"/>
  <c r="M23" i="33"/>
  <c r="M27" i="33"/>
  <c r="M10" i="33"/>
  <c r="M14" i="33"/>
  <c r="M18" i="33"/>
  <c r="M22" i="33"/>
  <c r="M26" i="33"/>
  <c r="M30" i="33"/>
  <c r="M9" i="33"/>
  <c r="M13" i="33"/>
  <c r="M17" i="33"/>
  <c r="M21" i="33"/>
  <c r="M25" i="33"/>
  <c r="M29" i="33"/>
  <c r="M8" i="33"/>
  <c r="M12" i="33"/>
  <c r="M16" i="33"/>
  <c r="M20" i="33"/>
  <c r="M24" i="33"/>
  <c r="M28" i="33"/>
  <c r="M33" i="33"/>
  <c r="M34" i="33"/>
  <c r="M7" i="33"/>
  <c r="M31" i="33"/>
  <c r="L7" i="33"/>
  <c r="M32" i="33"/>
  <c r="M36" i="33"/>
  <c r="S21" i="30"/>
  <c r="S20" i="30"/>
  <c r="S19" i="30"/>
  <c r="S18" i="30"/>
  <c r="S17" i="30"/>
  <c r="S16" i="30"/>
  <c r="S15" i="30"/>
  <c r="S14" i="30"/>
  <c r="S13" i="30"/>
  <c r="S12" i="30"/>
  <c r="S11" i="30"/>
  <c r="S10" i="30"/>
  <c r="S9" i="30"/>
  <c r="S8" i="30"/>
  <c r="S7" i="30"/>
  <c r="T7" i="30"/>
  <c r="H7" i="30"/>
  <c r="M21" i="30" l="1"/>
  <c r="M10" i="30"/>
  <c r="M14" i="30"/>
  <c r="M18" i="30"/>
  <c r="M7" i="30"/>
  <c r="M11" i="30"/>
  <c r="M15" i="30"/>
  <c r="M19" i="30"/>
  <c r="M8" i="30"/>
  <c r="M12" i="30"/>
  <c r="M16" i="30"/>
  <c r="M20" i="30"/>
  <c r="M9" i="30"/>
  <c r="M13" i="30"/>
  <c r="M17" i="30"/>
  <c r="AW211" i="33" l="1"/>
  <c r="AW210" i="33"/>
  <c r="AW209" i="33"/>
  <c r="AW208" i="33"/>
  <c r="AW207" i="33"/>
  <c r="AW206" i="33"/>
  <c r="AW205" i="33"/>
  <c r="AW204" i="33"/>
  <c r="AW203" i="33"/>
  <c r="AW202" i="33"/>
  <c r="AW201" i="33"/>
  <c r="AW200" i="33"/>
  <c r="AW199" i="33"/>
  <c r="AW198" i="33"/>
  <c r="AW197" i="33"/>
  <c r="AW196" i="33"/>
  <c r="AW195" i="33"/>
  <c r="AW194" i="33"/>
  <c r="AW193" i="33"/>
  <c r="AW192" i="33"/>
  <c r="AW191" i="33"/>
  <c r="AW190" i="33"/>
  <c r="AW189" i="33"/>
  <c r="AW188" i="33"/>
  <c r="AW187" i="33"/>
  <c r="AW186" i="33"/>
  <c r="AW185" i="33"/>
  <c r="AW184" i="33"/>
  <c r="AW183" i="33"/>
  <c r="AW182" i="33"/>
  <c r="AR211" i="33"/>
  <c r="AR210" i="33"/>
  <c r="AR209" i="33"/>
  <c r="AR208" i="33"/>
  <c r="AR207" i="33"/>
  <c r="AR206" i="33"/>
  <c r="AR205" i="33"/>
  <c r="AR204" i="33"/>
  <c r="AR203" i="33"/>
  <c r="AR202" i="33"/>
  <c r="AR201" i="33"/>
  <c r="AR200" i="33"/>
  <c r="AR199" i="33"/>
  <c r="AR198" i="33"/>
  <c r="AR197" i="33"/>
  <c r="AR196" i="33"/>
  <c r="AR195" i="33"/>
  <c r="AR194" i="33"/>
  <c r="AR193" i="33"/>
  <c r="AR192" i="33"/>
  <c r="AR191" i="33"/>
  <c r="AR190" i="33"/>
  <c r="AR189" i="33"/>
  <c r="AR188" i="33"/>
  <c r="AR187" i="33"/>
  <c r="AR186" i="33"/>
  <c r="AR185" i="33"/>
  <c r="AR184" i="33"/>
  <c r="AR183" i="33"/>
  <c r="AR182" i="33"/>
  <c r="AM211" i="33"/>
  <c r="AM210" i="33"/>
  <c r="AM209" i="33"/>
  <c r="AM208" i="33"/>
  <c r="AM207" i="33"/>
  <c r="AM206" i="33"/>
  <c r="AM205" i="33"/>
  <c r="AM204" i="33"/>
  <c r="AM203" i="33"/>
  <c r="AM202" i="33"/>
  <c r="AM201" i="33"/>
  <c r="AM200" i="33"/>
  <c r="AM199" i="33"/>
  <c r="AM198" i="33"/>
  <c r="AM197" i="33"/>
  <c r="AM196" i="33"/>
  <c r="AM195" i="33"/>
  <c r="AM194" i="33"/>
  <c r="AM193" i="33"/>
  <c r="AM192" i="33"/>
  <c r="AM191" i="33"/>
  <c r="AM190" i="33"/>
  <c r="AM189" i="33"/>
  <c r="AM188" i="33"/>
  <c r="AM187" i="33"/>
  <c r="AM186" i="33"/>
  <c r="AM185" i="33"/>
  <c r="AM184" i="33"/>
  <c r="AM183" i="33"/>
  <c r="AM182" i="33"/>
  <c r="AH211" i="33"/>
  <c r="AH210" i="33"/>
  <c r="AH209" i="33"/>
  <c r="AH208" i="33"/>
  <c r="AH207" i="33"/>
  <c r="AH206" i="33"/>
  <c r="AH205" i="33"/>
  <c r="AH204" i="33"/>
  <c r="AH203" i="33"/>
  <c r="AH202" i="33"/>
  <c r="AH201" i="33"/>
  <c r="AH200" i="33"/>
  <c r="AH199" i="33"/>
  <c r="AH198" i="33"/>
  <c r="AH197" i="33"/>
  <c r="AH196" i="33"/>
  <c r="AH195" i="33"/>
  <c r="AH194" i="33"/>
  <c r="AH193" i="33"/>
  <c r="AH192" i="33"/>
  <c r="AH191" i="33"/>
  <c r="AH190" i="33"/>
  <c r="AH189" i="33"/>
  <c r="AH188" i="33"/>
  <c r="AH187" i="33"/>
  <c r="AH186" i="33"/>
  <c r="AH185" i="33"/>
  <c r="AH184" i="33"/>
  <c r="AH183" i="33"/>
  <c r="AH182" i="33"/>
  <c r="AC211" i="33"/>
  <c r="AC210" i="33"/>
  <c r="AC209" i="33"/>
  <c r="AC208" i="33"/>
  <c r="AC207" i="33"/>
  <c r="AC206" i="33"/>
  <c r="AC205" i="33"/>
  <c r="AC204" i="33"/>
  <c r="AC203" i="33"/>
  <c r="AC202" i="33"/>
  <c r="AC201" i="33"/>
  <c r="AC200" i="33"/>
  <c r="AC199" i="33"/>
  <c r="AC198" i="33"/>
  <c r="AC197" i="33"/>
  <c r="AC196" i="33"/>
  <c r="AC195" i="33"/>
  <c r="AC194" i="33"/>
  <c r="AC193" i="33"/>
  <c r="AC192" i="33"/>
  <c r="AC191" i="33"/>
  <c r="AC190" i="33"/>
  <c r="AC189" i="33"/>
  <c r="AC188" i="33"/>
  <c r="AC187" i="33"/>
  <c r="AC186" i="33"/>
  <c r="AC185" i="33"/>
  <c r="AC184" i="33"/>
  <c r="AC183" i="33"/>
  <c r="AC182" i="33"/>
  <c r="X211" i="33"/>
  <c r="X210" i="33"/>
  <c r="X209" i="33"/>
  <c r="X208" i="33"/>
  <c r="X207" i="33"/>
  <c r="X206" i="33"/>
  <c r="X205" i="33"/>
  <c r="X204" i="33"/>
  <c r="X203" i="33"/>
  <c r="X202" i="33"/>
  <c r="X201" i="33"/>
  <c r="X200" i="33"/>
  <c r="X199" i="33"/>
  <c r="X198" i="33"/>
  <c r="X197" i="33"/>
  <c r="X196" i="33"/>
  <c r="X195" i="33"/>
  <c r="X194" i="33"/>
  <c r="X193" i="33"/>
  <c r="X192" i="33"/>
  <c r="X191" i="33"/>
  <c r="X190" i="33"/>
  <c r="X189" i="33"/>
  <c r="X188" i="33"/>
  <c r="X187" i="33"/>
  <c r="X186" i="33"/>
  <c r="X185" i="33"/>
  <c r="X184" i="33"/>
  <c r="X183" i="33"/>
  <c r="X182" i="33"/>
  <c r="S211" i="33"/>
  <c r="S210" i="33"/>
  <c r="S209" i="33"/>
  <c r="S208" i="33"/>
  <c r="S207" i="33"/>
  <c r="S206" i="33"/>
  <c r="S205" i="33"/>
  <c r="S204" i="33"/>
  <c r="S203" i="33"/>
  <c r="S202" i="33"/>
  <c r="S201" i="33"/>
  <c r="S200" i="33"/>
  <c r="S199" i="33"/>
  <c r="S198" i="33"/>
  <c r="S197" i="33"/>
  <c r="S196" i="33"/>
  <c r="S195" i="33"/>
  <c r="S194" i="33"/>
  <c r="S193" i="33"/>
  <c r="S192" i="33"/>
  <c r="S191" i="33"/>
  <c r="S190" i="33"/>
  <c r="S189" i="33"/>
  <c r="S188" i="33"/>
  <c r="S187" i="33"/>
  <c r="S186" i="33"/>
  <c r="S185" i="33"/>
  <c r="S184" i="33"/>
  <c r="S183" i="33"/>
  <c r="S182" i="33"/>
  <c r="F42" i="48" l="1"/>
  <c r="AW121" i="37" l="1"/>
  <c r="AR121" i="37"/>
  <c r="AM121" i="37"/>
  <c r="AH121" i="37"/>
  <c r="AC121" i="37"/>
  <c r="X121" i="37"/>
  <c r="S121" i="37"/>
  <c r="AW120" i="37"/>
  <c r="AR120" i="37"/>
  <c r="AM120" i="37"/>
  <c r="AH120" i="37"/>
  <c r="AC120" i="37"/>
  <c r="X120" i="37"/>
  <c r="S120" i="37"/>
  <c r="AW119" i="37"/>
  <c r="AR119" i="37"/>
  <c r="AM119" i="37"/>
  <c r="AH119" i="37"/>
  <c r="AC119" i="37"/>
  <c r="X119" i="37"/>
  <c r="S119" i="37"/>
  <c r="AW118" i="37"/>
  <c r="AR118" i="37"/>
  <c r="AM118" i="37"/>
  <c r="AH118" i="37"/>
  <c r="AC118" i="37"/>
  <c r="X118" i="37"/>
  <c r="S118" i="37"/>
  <c r="AW117" i="37"/>
  <c r="AR117" i="37"/>
  <c r="AM117" i="37"/>
  <c r="AH117" i="37"/>
  <c r="AC117" i="37"/>
  <c r="X117" i="37"/>
  <c r="S117" i="37"/>
  <c r="AW116" i="37"/>
  <c r="AR116" i="37"/>
  <c r="AM116" i="37"/>
  <c r="AH116" i="37"/>
  <c r="AC116" i="37"/>
  <c r="X116" i="37"/>
  <c r="S116" i="37"/>
  <c r="AW115" i="37"/>
  <c r="AR115" i="37"/>
  <c r="AM115" i="37"/>
  <c r="AH115" i="37"/>
  <c r="AC115" i="37"/>
  <c r="X115" i="37"/>
  <c r="S115" i="37"/>
  <c r="AW114" i="37"/>
  <c r="AR114" i="37"/>
  <c r="AM114" i="37"/>
  <c r="AH114" i="37"/>
  <c r="AC114" i="37"/>
  <c r="X114" i="37"/>
  <c r="S114" i="37"/>
  <c r="AW113" i="37"/>
  <c r="AR113" i="37"/>
  <c r="AM113" i="37"/>
  <c r="AH113" i="37"/>
  <c r="AC113" i="37"/>
  <c r="X113" i="37"/>
  <c r="S113" i="37"/>
  <c r="AW112" i="37"/>
  <c r="AR112" i="37"/>
  <c r="AM112" i="37"/>
  <c r="AH112" i="37"/>
  <c r="AC112" i="37"/>
  <c r="X112" i="37"/>
  <c r="S112" i="37"/>
  <c r="AW111" i="37"/>
  <c r="AR111" i="37"/>
  <c r="AM111" i="37"/>
  <c r="AH111" i="37"/>
  <c r="AC111" i="37"/>
  <c r="X111" i="37"/>
  <c r="S111" i="37"/>
  <c r="AW110" i="37"/>
  <c r="AR110" i="37"/>
  <c r="AM110" i="37"/>
  <c r="AH110" i="37"/>
  <c r="AC110" i="37"/>
  <c r="X110" i="37"/>
  <c r="S110" i="37"/>
  <c r="AW109" i="37"/>
  <c r="AR109" i="37"/>
  <c r="AM109" i="37"/>
  <c r="AH109" i="37"/>
  <c r="AC109" i="37"/>
  <c r="X109" i="37"/>
  <c r="S109" i="37"/>
  <c r="AW108" i="37"/>
  <c r="AR108" i="37"/>
  <c r="AM108" i="37"/>
  <c r="AH108" i="37"/>
  <c r="AC108" i="37"/>
  <c r="X108" i="37"/>
  <c r="S108" i="37"/>
  <c r="AX107" i="37"/>
  <c r="AW107" i="37"/>
  <c r="AS107" i="37"/>
  <c r="AR107" i="37"/>
  <c r="AN107" i="37"/>
  <c r="AM107" i="37"/>
  <c r="AI107" i="37"/>
  <c r="AH107" i="37"/>
  <c r="AD107" i="37"/>
  <c r="AC107" i="37"/>
  <c r="Y107" i="37"/>
  <c r="X107" i="37"/>
  <c r="T107" i="37"/>
  <c r="S107" i="37"/>
  <c r="H107" i="37"/>
  <c r="AW121" i="36"/>
  <c r="AR121" i="36"/>
  <c r="AM121" i="36"/>
  <c r="AH121" i="36"/>
  <c r="AC121" i="36"/>
  <c r="X121" i="36"/>
  <c r="S121" i="36"/>
  <c r="AW120" i="36"/>
  <c r="AR120" i="36"/>
  <c r="AM120" i="36"/>
  <c r="AH120" i="36"/>
  <c r="AC120" i="36"/>
  <c r="X120" i="36"/>
  <c r="S120" i="36"/>
  <c r="AW119" i="36"/>
  <c r="AR119" i="36"/>
  <c r="AM119" i="36"/>
  <c r="AH119" i="36"/>
  <c r="AC119" i="36"/>
  <c r="X119" i="36"/>
  <c r="S119" i="36"/>
  <c r="AW118" i="36"/>
  <c r="AR118" i="36"/>
  <c r="AM118" i="36"/>
  <c r="AH118" i="36"/>
  <c r="AC118" i="36"/>
  <c r="X118" i="36"/>
  <c r="S118" i="36"/>
  <c r="AW117" i="36"/>
  <c r="AR117" i="36"/>
  <c r="AM117" i="36"/>
  <c r="AH117" i="36"/>
  <c r="AC117" i="36"/>
  <c r="X117" i="36"/>
  <c r="S117" i="36"/>
  <c r="AW116" i="36"/>
  <c r="AR116" i="36"/>
  <c r="AM116" i="36"/>
  <c r="AH116" i="36"/>
  <c r="AC116" i="36"/>
  <c r="X116" i="36"/>
  <c r="S116" i="36"/>
  <c r="AW115" i="36"/>
  <c r="AR115" i="36"/>
  <c r="AM115" i="36"/>
  <c r="AH115" i="36"/>
  <c r="AC115" i="36"/>
  <c r="X115" i="36"/>
  <c r="S115" i="36"/>
  <c r="AW114" i="36"/>
  <c r="AR114" i="36"/>
  <c r="AM114" i="36"/>
  <c r="AH114" i="36"/>
  <c r="AC114" i="36"/>
  <c r="X114" i="36"/>
  <c r="S114" i="36"/>
  <c r="AW113" i="36"/>
  <c r="AR113" i="36"/>
  <c r="AM113" i="36"/>
  <c r="AH113" i="36"/>
  <c r="AC113" i="36"/>
  <c r="X113" i="36"/>
  <c r="S113" i="36"/>
  <c r="AW112" i="36"/>
  <c r="AR112" i="36"/>
  <c r="AM112" i="36"/>
  <c r="AH112" i="36"/>
  <c r="AC112" i="36"/>
  <c r="X112" i="36"/>
  <c r="S112" i="36"/>
  <c r="AW111" i="36"/>
  <c r="AR111" i="36"/>
  <c r="AM111" i="36"/>
  <c r="AH111" i="36"/>
  <c r="AC111" i="36"/>
  <c r="X111" i="36"/>
  <c r="S111" i="36"/>
  <c r="AW110" i="36"/>
  <c r="AR110" i="36"/>
  <c r="AM110" i="36"/>
  <c r="AH110" i="36"/>
  <c r="AC110" i="36"/>
  <c r="X110" i="36"/>
  <c r="S110" i="36"/>
  <c r="AW109" i="36"/>
  <c r="AR109" i="36"/>
  <c r="AM109" i="36"/>
  <c r="AH109" i="36"/>
  <c r="AC109" i="36"/>
  <c r="X109" i="36"/>
  <c r="S109" i="36"/>
  <c r="AW108" i="36"/>
  <c r="AR108" i="36"/>
  <c r="AM108" i="36"/>
  <c r="AH108" i="36"/>
  <c r="AC108" i="36"/>
  <c r="X108" i="36"/>
  <c r="S108" i="36"/>
  <c r="AX107" i="36"/>
  <c r="AW107" i="36"/>
  <c r="AS107" i="36"/>
  <c r="AR107" i="36"/>
  <c r="AN107" i="36"/>
  <c r="AM107" i="36"/>
  <c r="AI107" i="36"/>
  <c r="AH107" i="36"/>
  <c r="AD107" i="36"/>
  <c r="AC107" i="36"/>
  <c r="Y107" i="36"/>
  <c r="X107" i="36"/>
  <c r="T107" i="36"/>
  <c r="S107" i="36"/>
  <c r="H107" i="36"/>
  <c r="AW121" i="35"/>
  <c r="AR121" i="35"/>
  <c r="AM121" i="35"/>
  <c r="AH121" i="35"/>
  <c r="AC121" i="35"/>
  <c r="X121" i="35"/>
  <c r="S121" i="35"/>
  <c r="AW120" i="35"/>
  <c r="AR120" i="35"/>
  <c r="AM120" i="35"/>
  <c r="AH120" i="35"/>
  <c r="AC120" i="35"/>
  <c r="X120" i="35"/>
  <c r="S120" i="35"/>
  <c r="AW119" i="35"/>
  <c r="AR119" i="35"/>
  <c r="AM119" i="35"/>
  <c r="AH119" i="35"/>
  <c r="AC119" i="35"/>
  <c r="X119" i="35"/>
  <c r="S119" i="35"/>
  <c r="AW118" i="35"/>
  <c r="AR118" i="35"/>
  <c r="AM118" i="35"/>
  <c r="AH118" i="35"/>
  <c r="AC118" i="35"/>
  <c r="X118" i="35"/>
  <c r="S118" i="35"/>
  <c r="AW117" i="35"/>
  <c r="AR117" i="35"/>
  <c r="AM117" i="35"/>
  <c r="AH117" i="35"/>
  <c r="AC117" i="35"/>
  <c r="X117" i="35"/>
  <c r="S117" i="35"/>
  <c r="AW116" i="35"/>
  <c r="AR116" i="35"/>
  <c r="AM116" i="35"/>
  <c r="AH116" i="35"/>
  <c r="AC116" i="35"/>
  <c r="X116" i="35"/>
  <c r="S116" i="35"/>
  <c r="AW115" i="35"/>
  <c r="AR115" i="35"/>
  <c r="AM115" i="35"/>
  <c r="AH115" i="35"/>
  <c r="AC115" i="35"/>
  <c r="X115" i="35"/>
  <c r="S115" i="35"/>
  <c r="AW114" i="35"/>
  <c r="AR114" i="35"/>
  <c r="AM114" i="35"/>
  <c r="AH114" i="35"/>
  <c r="AC114" i="35"/>
  <c r="X114" i="35"/>
  <c r="S114" i="35"/>
  <c r="AW113" i="35"/>
  <c r="AR113" i="35"/>
  <c r="AM113" i="35"/>
  <c r="AH113" i="35"/>
  <c r="AC113" i="35"/>
  <c r="X113" i="35"/>
  <c r="S113" i="35"/>
  <c r="AW112" i="35"/>
  <c r="AR112" i="35"/>
  <c r="AM112" i="35"/>
  <c r="AH112" i="35"/>
  <c r="AC112" i="35"/>
  <c r="X112" i="35"/>
  <c r="S112" i="35"/>
  <c r="AW111" i="35"/>
  <c r="AR111" i="35"/>
  <c r="AM111" i="35"/>
  <c r="AH111" i="35"/>
  <c r="AC111" i="35"/>
  <c r="X111" i="35"/>
  <c r="S111" i="35"/>
  <c r="AW110" i="35"/>
  <c r="AR110" i="35"/>
  <c r="AM110" i="35"/>
  <c r="AH110" i="35"/>
  <c r="AC110" i="35"/>
  <c r="X110" i="35"/>
  <c r="S110" i="35"/>
  <c r="AW109" i="35"/>
  <c r="AR109" i="35"/>
  <c r="AM109" i="35"/>
  <c r="AH109" i="35"/>
  <c r="AC109" i="35"/>
  <c r="X109" i="35"/>
  <c r="S109" i="35"/>
  <c r="AW108" i="35"/>
  <c r="AR108" i="35"/>
  <c r="AM108" i="35"/>
  <c r="AH108" i="35"/>
  <c r="AC108" i="35"/>
  <c r="X108" i="35"/>
  <c r="S108" i="35"/>
  <c r="AX107" i="35"/>
  <c r="AW107" i="35"/>
  <c r="AS107" i="35"/>
  <c r="AR107" i="35"/>
  <c r="AN107" i="35"/>
  <c r="AM107" i="35"/>
  <c r="AI107" i="35"/>
  <c r="AH107" i="35"/>
  <c r="AD107" i="35"/>
  <c r="AC107" i="35"/>
  <c r="Y107" i="35"/>
  <c r="X107" i="35"/>
  <c r="T107" i="35"/>
  <c r="S107" i="35"/>
  <c r="H107" i="35"/>
  <c r="AW121" i="32"/>
  <c r="AR121" i="32"/>
  <c r="AM121" i="32"/>
  <c r="AH121" i="32"/>
  <c r="AC121" i="32"/>
  <c r="X121" i="32"/>
  <c r="S121" i="32"/>
  <c r="AW120" i="32"/>
  <c r="AR120" i="32"/>
  <c r="AM120" i="32"/>
  <c r="AH120" i="32"/>
  <c r="AC120" i="32"/>
  <c r="X120" i="32"/>
  <c r="S120" i="32"/>
  <c r="AW119" i="32"/>
  <c r="AR119" i="32"/>
  <c r="AM119" i="32"/>
  <c r="AH119" i="32"/>
  <c r="AC119" i="32"/>
  <c r="X119" i="32"/>
  <c r="S119" i="32"/>
  <c r="AW118" i="32"/>
  <c r="AR118" i="32"/>
  <c r="AM118" i="32"/>
  <c r="AH118" i="32"/>
  <c r="AC118" i="32"/>
  <c r="X118" i="32"/>
  <c r="S118" i="32"/>
  <c r="AW117" i="32"/>
  <c r="AR117" i="32"/>
  <c r="AM117" i="32"/>
  <c r="AH117" i="32"/>
  <c r="AC117" i="32"/>
  <c r="X117" i="32"/>
  <c r="S117" i="32"/>
  <c r="AW116" i="32"/>
  <c r="AR116" i="32"/>
  <c r="AM116" i="32"/>
  <c r="AH116" i="32"/>
  <c r="AC116" i="32"/>
  <c r="X116" i="32"/>
  <c r="S116" i="32"/>
  <c r="AW115" i="32"/>
  <c r="AR115" i="32"/>
  <c r="AM115" i="32"/>
  <c r="AH115" i="32"/>
  <c r="AC115" i="32"/>
  <c r="X115" i="32"/>
  <c r="S115" i="32"/>
  <c r="AW114" i="32"/>
  <c r="AR114" i="32"/>
  <c r="AM114" i="32"/>
  <c r="AH114" i="32"/>
  <c r="AC114" i="32"/>
  <c r="X114" i="32"/>
  <c r="S114" i="32"/>
  <c r="AW113" i="32"/>
  <c r="AR113" i="32"/>
  <c r="AM113" i="32"/>
  <c r="AH113" i="32"/>
  <c r="AC113" i="32"/>
  <c r="X113" i="32"/>
  <c r="S113" i="32"/>
  <c r="AW112" i="32"/>
  <c r="AR112" i="32"/>
  <c r="AM112" i="32"/>
  <c r="AH112" i="32"/>
  <c r="AC112" i="32"/>
  <c r="X112" i="32"/>
  <c r="S112" i="32"/>
  <c r="AW111" i="32"/>
  <c r="AR111" i="32"/>
  <c r="AM111" i="32"/>
  <c r="AH111" i="32"/>
  <c r="AC111" i="32"/>
  <c r="X111" i="32"/>
  <c r="S111" i="32"/>
  <c r="AW110" i="32"/>
  <c r="AR110" i="32"/>
  <c r="AM110" i="32"/>
  <c r="AH110" i="32"/>
  <c r="AC110" i="32"/>
  <c r="X110" i="32"/>
  <c r="S110" i="32"/>
  <c r="AW109" i="32"/>
  <c r="AR109" i="32"/>
  <c r="AM109" i="32"/>
  <c r="AH109" i="32"/>
  <c r="AC109" i="32"/>
  <c r="X109" i="32"/>
  <c r="S109" i="32"/>
  <c r="AW108" i="32"/>
  <c r="AR108" i="32"/>
  <c r="AM108" i="32"/>
  <c r="AH108" i="32"/>
  <c r="AC108" i="32"/>
  <c r="X108" i="32"/>
  <c r="S108" i="32"/>
  <c r="AX107" i="32"/>
  <c r="AW107" i="32"/>
  <c r="AS107" i="32"/>
  <c r="AR107" i="32"/>
  <c r="AN107" i="32"/>
  <c r="AM107" i="32"/>
  <c r="AI107" i="32"/>
  <c r="AH107" i="32"/>
  <c r="AD107" i="32"/>
  <c r="AC107" i="32"/>
  <c r="Y107" i="32"/>
  <c r="X107" i="32"/>
  <c r="T107" i="32"/>
  <c r="S107" i="32"/>
  <c r="H107" i="32"/>
  <c r="M113" i="30"/>
  <c r="M112" i="30"/>
  <c r="M111" i="30"/>
  <c r="M110" i="30"/>
  <c r="M109" i="30"/>
  <c r="M108" i="30"/>
  <c r="AX107" i="30"/>
  <c r="AS107" i="30"/>
  <c r="AN107" i="30"/>
  <c r="AI107" i="30"/>
  <c r="AD107" i="30"/>
  <c r="Y107" i="30"/>
  <c r="T107" i="30"/>
  <c r="H107" i="30"/>
  <c r="AW211" i="8"/>
  <c r="AR211" i="8"/>
  <c r="AM211" i="8"/>
  <c r="AH211" i="8"/>
  <c r="AC211" i="8"/>
  <c r="X211" i="8"/>
  <c r="S211" i="8"/>
  <c r="AW210" i="8"/>
  <c r="AR210" i="8"/>
  <c r="AM210" i="8"/>
  <c r="AH210" i="8"/>
  <c r="AC210" i="8"/>
  <c r="X210" i="8"/>
  <c r="S210" i="8"/>
  <c r="AW209" i="8"/>
  <c r="AR209" i="8"/>
  <c r="AM209" i="8"/>
  <c r="AH209" i="8"/>
  <c r="AC209" i="8"/>
  <c r="X209" i="8"/>
  <c r="S209" i="8"/>
  <c r="AW208" i="8"/>
  <c r="AR208" i="8"/>
  <c r="AM208" i="8"/>
  <c r="AH208" i="8"/>
  <c r="AC208" i="8"/>
  <c r="X208" i="8"/>
  <c r="S208" i="8"/>
  <c r="AW207" i="8"/>
  <c r="AR207" i="8"/>
  <c r="AM207" i="8"/>
  <c r="AH207" i="8"/>
  <c r="AC207" i="8"/>
  <c r="X207" i="8"/>
  <c r="S207" i="8"/>
  <c r="AW206" i="8"/>
  <c r="AR206" i="8"/>
  <c r="AM206" i="8"/>
  <c r="AH206" i="8"/>
  <c r="AC206" i="8"/>
  <c r="X206" i="8"/>
  <c r="S206" i="8"/>
  <c r="AW205" i="8"/>
  <c r="AR205" i="8"/>
  <c r="AM205" i="8"/>
  <c r="AH205" i="8"/>
  <c r="AC205" i="8"/>
  <c r="X205" i="8"/>
  <c r="S205" i="8"/>
  <c r="AW204" i="8"/>
  <c r="AR204" i="8"/>
  <c r="AM204" i="8"/>
  <c r="AH204" i="8"/>
  <c r="AC204" i="8"/>
  <c r="X204" i="8"/>
  <c r="S204" i="8"/>
  <c r="AW203" i="8"/>
  <c r="AR203" i="8"/>
  <c r="AM203" i="8"/>
  <c r="AH203" i="8"/>
  <c r="AC203" i="8"/>
  <c r="X203" i="8"/>
  <c r="S203" i="8"/>
  <c r="AW202" i="8"/>
  <c r="AR202" i="8"/>
  <c r="AM202" i="8"/>
  <c r="AH202" i="8"/>
  <c r="AC202" i="8"/>
  <c r="X202" i="8"/>
  <c r="S202" i="8"/>
  <c r="AW201" i="8"/>
  <c r="AR201" i="8"/>
  <c r="AM201" i="8"/>
  <c r="AH201" i="8"/>
  <c r="AC201" i="8"/>
  <c r="X201" i="8"/>
  <c r="S201" i="8"/>
  <c r="AW200" i="8"/>
  <c r="AR200" i="8"/>
  <c r="AM200" i="8"/>
  <c r="AH200" i="8"/>
  <c r="AC200" i="8"/>
  <c r="X200" i="8"/>
  <c r="S200" i="8"/>
  <c r="AW199" i="8"/>
  <c r="AR199" i="8"/>
  <c r="AM199" i="8"/>
  <c r="AH199" i="8"/>
  <c r="AC199" i="8"/>
  <c r="X199" i="8"/>
  <c r="S199" i="8"/>
  <c r="AW198" i="8"/>
  <c r="AR198" i="8"/>
  <c r="AM198" i="8"/>
  <c r="AH198" i="8"/>
  <c r="AC198" i="8"/>
  <c r="X198" i="8"/>
  <c r="S198" i="8"/>
  <c r="AW197" i="8"/>
  <c r="AR197" i="8"/>
  <c r="AM197" i="8"/>
  <c r="AH197" i="8"/>
  <c r="AC197" i="8"/>
  <c r="X197" i="8"/>
  <c r="S197" i="8"/>
  <c r="AW196" i="8"/>
  <c r="AR196" i="8"/>
  <c r="AM196" i="8"/>
  <c r="AH196" i="8"/>
  <c r="AC196" i="8"/>
  <c r="X196" i="8"/>
  <c r="S196" i="8"/>
  <c r="AW195" i="8"/>
  <c r="AR195" i="8"/>
  <c r="AM195" i="8"/>
  <c r="AH195" i="8"/>
  <c r="AC195" i="8"/>
  <c r="X195" i="8"/>
  <c r="S195" i="8"/>
  <c r="AW194" i="8"/>
  <c r="AR194" i="8"/>
  <c r="AM194" i="8"/>
  <c r="AH194" i="8"/>
  <c r="AC194" i="8"/>
  <c r="X194" i="8"/>
  <c r="S194" i="8"/>
  <c r="AW193" i="8"/>
  <c r="AR193" i="8"/>
  <c r="AM193" i="8"/>
  <c r="AH193" i="8"/>
  <c r="AC193" i="8"/>
  <c r="X193" i="8"/>
  <c r="S193" i="8"/>
  <c r="AW192" i="8"/>
  <c r="AR192" i="8"/>
  <c r="AM192" i="8"/>
  <c r="AH192" i="8"/>
  <c r="AC192" i="8"/>
  <c r="X192" i="8"/>
  <c r="S192" i="8"/>
  <c r="AW191" i="8"/>
  <c r="AR191" i="8"/>
  <c r="AM191" i="8"/>
  <c r="AH191" i="8"/>
  <c r="AC191" i="8"/>
  <c r="X191" i="8"/>
  <c r="S191" i="8"/>
  <c r="AW190" i="8"/>
  <c r="AR190" i="8"/>
  <c r="AM190" i="8"/>
  <c r="AH190" i="8"/>
  <c r="AC190" i="8"/>
  <c r="X190" i="8"/>
  <c r="S190" i="8"/>
  <c r="AW189" i="8"/>
  <c r="AR189" i="8"/>
  <c r="AM189" i="8"/>
  <c r="AH189" i="8"/>
  <c r="AC189" i="8"/>
  <c r="X189" i="8"/>
  <c r="S189" i="8"/>
  <c r="AW188" i="8"/>
  <c r="AR188" i="8"/>
  <c r="AM188" i="8"/>
  <c r="AH188" i="8"/>
  <c r="AC188" i="8"/>
  <c r="X188" i="8"/>
  <c r="S188" i="8"/>
  <c r="AW187" i="8"/>
  <c r="AR187" i="8"/>
  <c r="AM187" i="8"/>
  <c r="AH187" i="8"/>
  <c r="AC187" i="8"/>
  <c r="X187" i="8"/>
  <c r="S187" i="8"/>
  <c r="AW186" i="8"/>
  <c r="AR186" i="8"/>
  <c r="AM186" i="8"/>
  <c r="AH186" i="8"/>
  <c r="AC186" i="8"/>
  <c r="X186" i="8"/>
  <c r="S186" i="8"/>
  <c r="AW185" i="8"/>
  <c r="AR185" i="8"/>
  <c r="AM185" i="8"/>
  <c r="AH185" i="8"/>
  <c r="AC185" i="8"/>
  <c r="X185" i="8"/>
  <c r="S185" i="8"/>
  <c r="AW184" i="8"/>
  <c r="AR184" i="8"/>
  <c r="AM184" i="8"/>
  <c r="AH184" i="8"/>
  <c r="AC184" i="8"/>
  <c r="X184" i="8"/>
  <c r="S184" i="8"/>
  <c r="AW183" i="8"/>
  <c r="AR183" i="8"/>
  <c r="AM183" i="8"/>
  <c r="AH183" i="8"/>
  <c r="AC183" i="8"/>
  <c r="X183" i="8"/>
  <c r="S183" i="8"/>
  <c r="AX182" i="8"/>
  <c r="AW182" i="8"/>
  <c r="AS182" i="8"/>
  <c r="AR182" i="8"/>
  <c r="AN182" i="8"/>
  <c r="AM182" i="8"/>
  <c r="AI182" i="8"/>
  <c r="AH182" i="8"/>
  <c r="AD182" i="8"/>
  <c r="AC182" i="8"/>
  <c r="Y182" i="8"/>
  <c r="X182" i="8"/>
  <c r="T182" i="8"/>
  <c r="S182" i="8"/>
  <c r="L182" i="8"/>
  <c r="H182" i="8"/>
  <c r="M121" i="30" l="1"/>
  <c r="L107" i="30"/>
  <c r="M114" i="30"/>
  <c r="M118" i="30"/>
  <c r="M107" i="30"/>
  <c r="M115" i="30"/>
  <c r="M119" i="30"/>
  <c r="M116" i="30"/>
  <c r="M120" i="30"/>
  <c r="M117" i="30"/>
  <c r="M184" i="8"/>
  <c r="M186" i="8"/>
  <c r="M188" i="8"/>
  <c r="M190" i="8"/>
  <c r="M211" i="8"/>
  <c r="M183" i="8"/>
  <c r="M185" i="8"/>
  <c r="M187" i="8"/>
  <c r="M189" i="8"/>
  <c r="M191" i="8"/>
  <c r="M193" i="8"/>
  <c r="M195" i="8"/>
  <c r="M197" i="8"/>
  <c r="M199" i="8"/>
  <c r="M201" i="8"/>
  <c r="M192" i="8"/>
  <c r="M194" i="8"/>
  <c r="M196" i="8"/>
  <c r="M198" i="8"/>
  <c r="M200" i="8"/>
  <c r="M202" i="8"/>
  <c r="M182" i="8"/>
  <c r="M206" i="8"/>
  <c r="M210" i="8"/>
  <c r="M203" i="8"/>
  <c r="M207" i="8"/>
  <c r="M204" i="8"/>
  <c r="M208" i="8"/>
  <c r="M205" i="8"/>
  <c r="M209" i="8"/>
  <c r="O5" i="3" l="1"/>
  <c r="AW101" i="35" l="1"/>
  <c r="AR101" i="35"/>
  <c r="AM101" i="35"/>
  <c r="AH101" i="35"/>
  <c r="AC101" i="35"/>
  <c r="X101" i="35"/>
  <c r="AW100" i="35"/>
  <c r="AR100" i="35"/>
  <c r="AM100" i="35"/>
  <c r="AH100" i="35"/>
  <c r="AC100" i="35"/>
  <c r="X100" i="35"/>
  <c r="AW99" i="35"/>
  <c r="AR99" i="35"/>
  <c r="AM99" i="35"/>
  <c r="AH99" i="35"/>
  <c r="AC99" i="35"/>
  <c r="X99" i="35"/>
  <c r="AW98" i="35"/>
  <c r="AR98" i="35"/>
  <c r="AM98" i="35"/>
  <c r="AH98" i="35"/>
  <c r="AC98" i="35"/>
  <c r="X98" i="35"/>
  <c r="AW97" i="35"/>
  <c r="AR97" i="35"/>
  <c r="AM97" i="35"/>
  <c r="AH97" i="35"/>
  <c r="AC97" i="35"/>
  <c r="X97" i="35"/>
  <c r="AW96" i="35"/>
  <c r="AR96" i="35"/>
  <c r="AM96" i="35"/>
  <c r="AH96" i="35"/>
  <c r="AC96" i="35"/>
  <c r="X96" i="35"/>
  <c r="AW95" i="35"/>
  <c r="AR95" i="35"/>
  <c r="AM95" i="35"/>
  <c r="AH95" i="35"/>
  <c r="AC95" i="35"/>
  <c r="X95" i="35"/>
  <c r="AW94" i="35"/>
  <c r="AR94" i="35"/>
  <c r="AM94" i="35"/>
  <c r="AH94" i="35"/>
  <c r="AC94" i="35"/>
  <c r="X94" i="35"/>
  <c r="AW93" i="35"/>
  <c r="AR93" i="35"/>
  <c r="AM93" i="35"/>
  <c r="AH93" i="35"/>
  <c r="AC93" i="35"/>
  <c r="X93" i="35"/>
  <c r="AW92" i="35"/>
  <c r="AR92" i="35"/>
  <c r="AM92" i="35"/>
  <c r="AH92" i="35"/>
  <c r="AC92" i="35"/>
  <c r="X92" i="35"/>
  <c r="AW91" i="35"/>
  <c r="AR91" i="35"/>
  <c r="AM91" i="35"/>
  <c r="AH91" i="35"/>
  <c r="AC91" i="35"/>
  <c r="X91" i="35"/>
  <c r="AW90" i="35"/>
  <c r="AR90" i="35"/>
  <c r="AM90" i="35"/>
  <c r="AH90" i="35"/>
  <c r="AC90" i="35"/>
  <c r="X90" i="35"/>
  <c r="AW89" i="35"/>
  <c r="AR89" i="35"/>
  <c r="AM89" i="35"/>
  <c r="AH89" i="35"/>
  <c r="AC89" i="35"/>
  <c r="X89" i="35"/>
  <c r="AW88" i="35"/>
  <c r="AR88" i="35"/>
  <c r="AM88" i="35"/>
  <c r="AH88" i="35"/>
  <c r="AC88" i="35"/>
  <c r="X88" i="35"/>
  <c r="AX87" i="35"/>
  <c r="AW87" i="35"/>
  <c r="AS87" i="35"/>
  <c r="AR87" i="35"/>
  <c r="AN87" i="35"/>
  <c r="AM87" i="35"/>
  <c r="AI87" i="35"/>
  <c r="AH87" i="35"/>
  <c r="AD87" i="35"/>
  <c r="AC87" i="35"/>
  <c r="Y87" i="35"/>
  <c r="X87" i="35"/>
  <c r="AW101" i="36"/>
  <c r="AR101" i="36"/>
  <c r="AM101" i="36"/>
  <c r="AH101" i="36"/>
  <c r="AC101" i="36"/>
  <c r="X101" i="36"/>
  <c r="AW100" i="36"/>
  <c r="AR100" i="36"/>
  <c r="AM100" i="36"/>
  <c r="AH100" i="36"/>
  <c r="AC100" i="36"/>
  <c r="X100" i="36"/>
  <c r="AW99" i="36"/>
  <c r="AR99" i="36"/>
  <c r="AM99" i="36"/>
  <c r="AH99" i="36"/>
  <c r="AC99" i="36"/>
  <c r="X99" i="36"/>
  <c r="AW98" i="36"/>
  <c r="AR98" i="36"/>
  <c r="AM98" i="36"/>
  <c r="AH98" i="36"/>
  <c r="AC98" i="36"/>
  <c r="X98" i="36"/>
  <c r="AW97" i="36"/>
  <c r="AR97" i="36"/>
  <c r="AM97" i="36"/>
  <c r="AH97" i="36"/>
  <c r="AC97" i="36"/>
  <c r="X97" i="36"/>
  <c r="AW96" i="36"/>
  <c r="AR96" i="36"/>
  <c r="AM96" i="36"/>
  <c r="AH96" i="36"/>
  <c r="AC96" i="36"/>
  <c r="X96" i="36"/>
  <c r="AW95" i="36"/>
  <c r="AR95" i="36"/>
  <c r="AM95" i="36"/>
  <c r="AH95" i="36"/>
  <c r="AC95" i="36"/>
  <c r="X95" i="36"/>
  <c r="AW94" i="36"/>
  <c r="AR94" i="36"/>
  <c r="AM94" i="36"/>
  <c r="AH94" i="36"/>
  <c r="AC94" i="36"/>
  <c r="X94" i="36"/>
  <c r="AW93" i="36"/>
  <c r="AR93" i="36"/>
  <c r="AM93" i="36"/>
  <c r="AH93" i="36"/>
  <c r="AC93" i="36"/>
  <c r="X93" i="36"/>
  <c r="AW92" i="36"/>
  <c r="AR92" i="36"/>
  <c r="AM92" i="36"/>
  <c r="AH92" i="36"/>
  <c r="AC92" i="36"/>
  <c r="X92" i="36"/>
  <c r="AW91" i="36"/>
  <c r="AR91" i="36"/>
  <c r="AM91" i="36"/>
  <c r="AH91" i="36"/>
  <c r="AC91" i="36"/>
  <c r="X91" i="36"/>
  <c r="AW90" i="36"/>
  <c r="AR90" i="36"/>
  <c r="AM90" i="36"/>
  <c r="AH90" i="36"/>
  <c r="AC90" i="36"/>
  <c r="X90" i="36"/>
  <c r="AW89" i="36"/>
  <c r="AR89" i="36"/>
  <c r="AM89" i="36"/>
  <c r="AH89" i="36"/>
  <c r="AC89" i="36"/>
  <c r="X89" i="36"/>
  <c r="AW88" i="36"/>
  <c r="AR88" i="36"/>
  <c r="AM88" i="36"/>
  <c r="AH88" i="36"/>
  <c r="AC88" i="36"/>
  <c r="X88" i="36"/>
  <c r="AX87" i="36"/>
  <c r="AW87" i="36"/>
  <c r="AS87" i="36"/>
  <c r="AR87" i="36"/>
  <c r="AN87" i="36"/>
  <c r="AM87" i="36"/>
  <c r="AI87" i="36"/>
  <c r="AH87" i="36"/>
  <c r="AD87" i="36"/>
  <c r="AC87" i="36"/>
  <c r="Y87" i="36"/>
  <c r="X87" i="36"/>
  <c r="AW101" i="37"/>
  <c r="AR101" i="37"/>
  <c r="AM101" i="37"/>
  <c r="AH101" i="37"/>
  <c r="AC101" i="37"/>
  <c r="X101" i="37"/>
  <c r="AW100" i="37"/>
  <c r="AR100" i="37"/>
  <c r="AM100" i="37"/>
  <c r="AH100" i="37"/>
  <c r="AC100" i="37"/>
  <c r="X100" i="37"/>
  <c r="AW99" i="37"/>
  <c r="AR99" i="37"/>
  <c r="AM99" i="37"/>
  <c r="AH99" i="37"/>
  <c r="AC99" i="37"/>
  <c r="X99" i="37"/>
  <c r="AW98" i="37"/>
  <c r="AR98" i="37"/>
  <c r="AM98" i="37"/>
  <c r="AH98" i="37"/>
  <c r="AC98" i="37"/>
  <c r="X98" i="37"/>
  <c r="AW97" i="37"/>
  <c r="AR97" i="37"/>
  <c r="AM97" i="37"/>
  <c r="AH97" i="37"/>
  <c r="AC97" i="37"/>
  <c r="X97" i="37"/>
  <c r="AW96" i="37"/>
  <c r="AR96" i="37"/>
  <c r="AM96" i="37"/>
  <c r="AH96" i="37"/>
  <c r="AC96" i="37"/>
  <c r="X96" i="37"/>
  <c r="AW95" i="37"/>
  <c r="AR95" i="37"/>
  <c r="AM95" i="37"/>
  <c r="AH95" i="37"/>
  <c r="AC95" i="37"/>
  <c r="X95" i="37"/>
  <c r="AW94" i="37"/>
  <c r="AR94" i="37"/>
  <c r="AM94" i="37"/>
  <c r="AH94" i="37"/>
  <c r="AC94" i="37"/>
  <c r="X94" i="37"/>
  <c r="AW93" i="37"/>
  <c r="AR93" i="37"/>
  <c r="AM93" i="37"/>
  <c r="AH93" i="37"/>
  <c r="AC93" i="37"/>
  <c r="X93" i="37"/>
  <c r="AW92" i="37"/>
  <c r="AR92" i="37"/>
  <c r="AM92" i="37"/>
  <c r="AH92" i="37"/>
  <c r="AC92" i="37"/>
  <c r="X92" i="37"/>
  <c r="AW91" i="37"/>
  <c r="AR91" i="37"/>
  <c r="AM91" i="37"/>
  <c r="AH91" i="37"/>
  <c r="AC91" i="37"/>
  <c r="X91" i="37"/>
  <c r="AW90" i="37"/>
  <c r="AR90" i="37"/>
  <c r="AM90" i="37"/>
  <c r="AH90" i="37"/>
  <c r="AC90" i="37"/>
  <c r="X90" i="37"/>
  <c r="AW89" i="37"/>
  <c r="AR89" i="37"/>
  <c r="AM89" i="37"/>
  <c r="AH89" i="37"/>
  <c r="AC89" i="37"/>
  <c r="X89" i="37"/>
  <c r="AW88" i="37"/>
  <c r="AR88" i="37"/>
  <c r="AM88" i="37"/>
  <c r="AH88" i="37"/>
  <c r="AC88" i="37"/>
  <c r="X88" i="37"/>
  <c r="AX87" i="37"/>
  <c r="AW87" i="37"/>
  <c r="AS87" i="37"/>
  <c r="AR87" i="37"/>
  <c r="AN87" i="37"/>
  <c r="AM87" i="37"/>
  <c r="AI87" i="37"/>
  <c r="AH87" i="37"/>
  <c r="AD87" i="37"/>
  <c r="AC87" i="37"/>
  <c r="Y87" i="37"/>
  <c r="X87" i="37"/>
  <c r="AW101" i="34"/>
  <c r="AR101" i="34"/>
  <c r="AM101" i="34"/>
  <c r="AH101" i="34"/>
  <c r="AC101" i="34"/>
  <c r="X101" i="34"/>
  <c r="AW100" i="34"/>
  <c r="AR100" i="34"/>
  <c r="AM100" i="34"/>
  <c r="AH100" i="34"/>
  <c r="AC100" i="34"/>
  <c r="X100" i="34"/>
  <c r="AW99" i="34"/>
  <c r="AR99" i="34"/>
  <c r="AM99" i="34"/>
  <c r="AH99" i="34"/>
  <c r="AC99" i="34"/>
  <c r="X99" i="34"/>
  <c r="AW98" i="34"/>
  <c r="AR98" i="34"/>
  <c r="AM98" i="34"/>
  <c r="AH98" i="34"/>
  <c r="AC98" i="34"/>
  <c r="X98" i="34"/>
  <c r="AW97" i="34"/>
  <c r="AR97" i="34"/>
  <c r="AM97" i="34"/>
  <c r="AH97" i="34"/>
  <c r="AC97" i="34"/>
  <c r="X97" i="34"/>
  <c r="AW96" i="34"/>
  <c r="AR96" i="34"/>
  <c r="AM96" i="34"/>
  <c r="AH96" i="34"/>
  <c r="AC96" i="34"/>
  <c r="X96" i="34"/>
  <c r="AW95" i="34"/>
  <c r="AR95" i="34"/>
  <c r="AM95" i="34"/>
  <c r="AH95" i="34"/>
  <c r="AC95" i="34"/>
  <c r="X95" i="34"/>
  <c r="AW94" i="34"/>
  <c r="AR94" i="34"/>
  <c r="AM94" i="34"/>
  <c r="AH94" i="34"/>
  <c r="AC94" i="34"/>
  <c r="X94" i="34"/>
  <c r="AW93" i="34"/>
  <c r="AR93" i="34"/>
  <c r="AM93" i="34"/>
  <c r="AH93" i="34"/>
  <c r="AC93" i="34"/>
  <c r="X93" i="34"/>
  <c r="AW92" i="34"/>
  <c r="AR92" i="34"/>
  <c r="AM92" i="34"/>
  <c r="AH92" i="34"/>
  <c r="AC92" i="34"/>
  <c r="X92" i="34"/>
  <c r="AW91" i="34"/>
  <c r="AR91" i="34"/>
  <c r="AM91" i="34"/>
  <c r="AH91" i="34"/>
  <c r="AC91" i="34"/>
  <c r="X91" i="34"/>
  <c r="AW90" i="34"/>
  <c r="AR90" i="34"/>
  <c r="AM90" i="34"/>
  <c r="AH90" i="34"/>
  <c r="AC90" i="34"/>
  <c r="X90" i="34"/>
  <c r="AW89" i="34"/>
  <c r="AR89" i="34"/>
  <c r="AM89" i="34"/>
  <c r="AH89" i="34"/>
  <c r="AC89" i="34"/>
  <c r="X89" i="34"/>
  <c r="AW88" i="34"/>
  <c r="AR88" i="34"/>
  <c r="AM88" i="34"/>
  <c r="AH88" i="34"/>
  <c r="AC88" i="34"/>
  <c r="X88" i="34"/>
  <c r="AX87" i="34"/>
  <c r="AW87" i="34"/>
  <c r="AS87" i="34"/>
  <c r="AR87" i="34"/>
  <c r="AN87" i="34"/>
  <c r="AM87" i="34"/>
  <c r="AI87" i="34"/>
  <c r="AH87" i="34"/>
  <c r="AD87" i="34"/>
  <c r="AC87" i="34"/>
  <c r="Y87" i="34"/>
  <c r="X87" i="34"/>
  <c r="AW101" i="32"/>
  <c r="AR101" i="32"/>
  <c r="AM101" i="32"/>
  <c r="AH101" i="32"/>
  <c r="AC101" i="32"/>
  <c r="X101" i="32"/>
  <c r="AW100" i="32"/>
  <c r="AR100" i="32"/>
  <c r="AM100" i="32"/>
  <c r="AH100" i="32"/>
  <c r="AC100" i="32"/>
  <c r="X100" i="32"/>
  <c r="AW99" i="32"/>
  <c r="AR99" i="32"/>
  <c r="AM99" i="32"/>
  <c r="AH99" i="32"/>
  <c r="AC99" i="32"/>
  <c r="X99" i="32"/>
  <c r="AW98" i="32"/>
  <c r="AR98" i="32"/>
  <c r="AM98" i="32"/>
  <c r="AH98" i="32"/>
  <c r="AC98" i="32"/>
  <c r="X98" i="32"/>
  <c r="AW97" i="32"/>
  <c r="AR97" i="32"/>
  <c r="AM97" i="32"/>
  <c r="AH97" i="32"/>
  <c r="AC97" i="32"/>
  <c r="X97" i="32"/>
  <c r="AW96" i="32"/>
  <c r="AR96" i="32"/>
  <c r="AM96" i="32"/>
  <c r="AH96" i="32"/>
  <c r="AC96" i="32"/>
  <c r="X96" i="32"/>
  <c r="AW95" i="32"/>
  <c r="AR95" i="32"/>
  <c r="AM95" i="32"/>
  <c r="AH95" i="32"/>
  <c r="AC95" i="32"/>
  <c r="X95" i="32"/>
  <c r="AW94" i="32"/>
  <c r="AR94" i="32"/>
  <c r="AM94" i="32"/>
  <c r="AH94" i="32"/>
  <c r="AC94" i="32"/>
  <c r="X94" i="32"/>
  <c r="AW93" i="32"/>
  <c r="AR93" i="32"/>
  <c r="AM93" i="32"/>
  <c r="AH93" i="32"/>
  <c r="AC93" i="32"/>
  <c r="X93" i="32"/>
  <c r="AW92" i="32"/>
  <c r="AR92" i="32"/>
  <c r="AM92" i="32"/>
  <c r="AH92" i="32"/>
  <c r="AC92" i="32"/>
  <c r="X92" i="32"/>
  <c r="AW91" i="32"/>
  <c r="AR91" i="32"/>
  <c r="AM91" i="32"/>
  <c r="AH91" i="32"/>
  <c r="AC91" i="32"/>
  <c r="X91" i="32"/>
  <c r="AW90" i="32"/>
  <c r="AR90" i="32"/>
  <c r="AM90" i="32"/>
  <c r="AH90" i="32"/>
  <c r="AC90" i="32"/>
  <c r="X90" i="32"/>
  <c r="AW89" i="32"/>
  <c r="AR89" i="32"/>
  <c r="AM89" i="32"/>
  <c r="AH89" i="32"/>
  <c r="AC89" i="32"/>
  <c r="X89" i="32"/>
  <c r="AW88" i="32"/>
  <c r="AR88" i="32"/>
  <c r="AM88" i="32"/>
  <c r="AH88" i="32"/>
  <c r="AC88" i="32"/>
  <c r="X88" i="32"/>
  <c r="AX87" i="32"/>
  <c r="AW87" i="32"/>
  <c r="AS87" i="32"/>
  <c r="AR87" i="32"/>
  <c r="AN87" i="32"/>
  <c r="AM87" i="32"/>
  <c r="AI87" i="32"/>
  <c r="AH87" i="32"/>
  <c r="AD87" i="32"/>
  <c r="AC87" i="32"/>
  <c r="Y87" i="32"/>
  <c r="X87" i="32"/>
  <c r="AW101" i="31"/>
  <c r="AR101" i="31"/>
  <c r="AM101" i="31"/>
  <c r="AH101" i="31"/>
  <c r="AC101" i="31"/>
  <c r="X101" i="31"/>
  <c r="AW100" i="31"/>
  <c r="AR100" i="31"/>
  <c r="AM100" i="31"/>
  <c r="AH100" i="31"/>
  <c r="AC100" i="31"/>
  <c r="X100" i="31"/>
  <c r="AW99" i="31"/>
  <c r="AR99" i="31"/>
  <c r="AM99" i="31"/>
  <c r="AH99" i="31"/>
  <c r="AC99" i="31"/>
  <c r="X99" i="31"/>
  <c r="AW98" i="31"/>
  <c r="AR98" i="31"/>
  <c r="AM98" i="31"/>
  <c r="AH98" i="31"/>
  <c r="AC98" i="31"/>
  <c r="X98" i="31"/>
  <c r="AW97" i="31"/>
  <c r="AR97" i="31"/>
  <c r="AM97" i="31"/>
  <c r="AH97" i="31"/>
  <c r="AC97" i="31"/>
  <c r="X97" i="31"/>
  <c r="AW96" i="31"/>
  <c r="AR96" i="31"/>
  <c r="AM96" i="31"/>
  <c r="AH96" i="31"/>
  <c r="AC96" i="31"/>
  <c r="X96" i="31"/>
  <c r="AW95" i="31"/>
  <c r="AR95" i="31"/>
  <c r="AM95" i="31"/>
  <c r="AH95" i="31"/>
  <c r="AC95" i="31"/>
  <c r="X95" i="31"/>
  <c r="AW94" i="31"/>
  <c r="AR94" i="31"/>
  <c r="AM94" i="31"/>
  <c r="AH94" i="31"/>
  <c r="AC94" i="31"/>
  <c r="X94" i="31"/>
  <c r="AW93" i="31"/>
  <c r="AR93" i="31"/>
  <c r="AM93" i="31"/>
  <c r="AH93" i="31"/>
  <c r="AC93" i="31"/>
  <c r="X93" i="31"/>
  <c r="AW92" i="31"/>
  <c r="AR92" i="31"/>
  <c r="AM92" i="31"/>
  <c r="AH92" i="31"/>
  <c r="AC92" i="31"/>
  <c r="X92" i="31"/>
  <c r="AW91" i="31"/>
  <c r="AR91" i="31"/>
  <c r="AM91" i="31"/>
  <c r="AH91" i="31"/>
  <c r="AC91" i="31"/>
  <c r="X91" i="31"/>
  <c r="AW90" i="31"/>
  <c r="AR90" i="31"/>
  <c r="AM90" i="31"/>
  <c r="AH90" i="31"/>
  <c r="AC90" i="31"/>
  <c r="X90" i="31"/>
  <c r="AW89" i="31"/>
  <c r="AR89" i="31"/>
  <c r="AM89" i="31"/>
  <c r="AH89" i="31"/>
  <c r="AC89" i="31"/>
  <c r="X89" i="31"/>
  <c r="AW88" i="31"/>
  <c r="AR88" i="31"/>
  <c r="AM88" i="31"/>
  <c r="AH88" i="31"/>
  <c r="AC88" i="31"/>
  <c r="AX87" i="31"/>
  <c r="AW87" i="31"/>
  <c r="AS87" i="31"/>
  <c r="AR87" i="31"/>
  <c r="AN87" i="31"/>
  <c r="AM87" i="31"/>
  <c r="AI87" i="31"/>
  <c r="AH87" i="31"/>
  <c r="AD87" i="31"/>
  <c r="AC87" i="31"/>
  <c r="Y87" i="31"/>
  <c r="AW101" i="30"/>
  <c r="AR101" i="30"/>
  <c r="AM101" i="30"/>
  <c r="AH101" i="30"/>
  <c r="AC101" i="30"/>
  <c r="X101" i="30"/>
  <c r="AW100" i="30"/>
  <c r="AR100" i="30"/>
  <c r="AM100" i="30"/>
  <c r="AH100" i="30"/>
  <c r="AC100" i="30"/>
  <c r="X100" i="30"/>
  <c r="AW99" i="30"/>
  <c r="AR99" i="30"/>
  <c r="AM99" i="30"/>
  <c r="AH99" i="30"/>
  <c r="AC99" i="30"/>
  <c r="X99" i="30"/>
  <c r="AW98" i="30"/>
  <c r="AR98" i="30"/>
  <c r="AM98" i="30"/>
  <c r="AH98" i="30"/>
  <c r="AC98" i="30"/>
  <c r="X98" i="30"/>
  <c r="AW97" i="30"/>
  <c r="AR97" i="30"/>
  <c r="AM97" i="30"/>
  <c r="AH97" i="30"/>
  <c r="AC97" i="30"/>
  <c r="X97" i="30"/>
  <c r="AW96" i="30"/>
  <c r="AR96" i="30"/>
  <c r="AM96" i="30"/>
  <c r="AH96" i="30"/>
  <c r="AC96" i="30"/>
  <c r="X96" i="30"/>
  <c r="AW95" i="30"/>
  <c r="AR95" i="30"/>
  <c r="AM95" i="30"/>
  <c r="AH95" i="30"/>
  <c r="AC95" i="30"/>
  <c r="X95" i="30"/>
  <c r="AW94" i="30"/>
  <c r="AR94" i="30"/>
  <c r="AM94" i="30"/>
  <c r="AH94" i="30"/>
  <c r="AC94" i="30"/>
  <c r="X94" i="30"/>
  <c r="AW93" i="30"/>
  <c r="AR93" i="30"/>
  <c r="AM93" i="30"/>
  <c r="AH93" i="30"/>
  <c r="AC93" i="30"/>
  <c r="X93" i="30"/>
  <c r="AW92" i="30"/>
  <c r="AR92" i="30"/>
  <c r="AM92" i="30"/>
  <c r="AH92" i="30"/>
  <c r="AC92" i="30"/>
  <c r="X92" i="30"/>
  <c r="AW91" i="30"/>
  <c r="AR91" i="30"/>
  <c r="AM91" i="30"/>
  <c r="AH91" i="30"/>
  <c r="AC91" i="30"/>
  <c r="X91" i="30"/>
  <c r="AW90" i="30"/>
  <c r="AR90" i="30"/>
  <c r="AM90" i="30"/>
  <c r="AH90" i="30"/>
  <c r="AC90" i="30"/>
  <c r="X90" i="30"/>
  <c r="AW89" i="30"/>
  <c r="AR89" i="30"/>
  <c r="AM89" i="30"/>
  <c r="AH89" i="30"/>
  <c r="AC89" i="30"/>
  <c r="X89" i="30"/>
  <c r="AW88" i="30"/>
  <c r="AR88" i="30"/>
  <c r="AM88" i="30"/>
  <c r="AH88" i="30"/>
  <c r="AC88" i="30"/>
  <c r="X88" i="30"/>
  <c r="AX87" i="30"/>
  <c r="AW87" i="30"/>
  <c r="AS87" i="30"/>
  <c r="AR87" i="30"/>
  <c r="AN87" i="30"/>
  <c r="AM87" i="30"/>
  <c r="AI87" i="30"/>
  <c r="AH87" i="30"/>
  <c r="AD87" i="30"/>
  <c r="AC87" i="30"/>
  <c r="Y87" i="30"/>
  <c r="X87" i="30"/>
  <c r="AW176" i="8"/>
  <c r="AR176" i="8"/>
  <c r="AM176" i="8"/>
  <c r="AH176" i="8"/>
  <c r="AC176" i="8"/>
  <c r="X176" i="8"/>
  <c r="AW175" i="8"/>
  <c r="AR175" i="8"/>
  <c r="AM175" i="8"/>
  <c r="AH175" i="8"/>
  <c r="AC175" i="8"/>
  <c r="X175" i="8"/>
  <c r="AW174" i="8"/>
  <c r="AR174" i="8"/>
  <c r="AM174" i="8"/>
  <c r="AH174" i="8"/>
  <c r="AC174" i="8"/>
  <c r="X174" i="8"/>
  <c r="AW173" i="8"/>
  <c r="AR173" i="8"/>
  <c r="AM173" i="8"/>
  <c r="AH173" i="8"/>
  <c r="AC173" i="8"/>
  <c r="X173" i="8"/>
  <c r="AW172" i="8"/>
  <c r="AR172" i="8"/>
  <c r="AM172" i="8"/>
  <c r="AH172" i="8"/>
  <c r="AC172" i="8"/>
  <c r="X172" i="8"/>
  <c r="AW171" i="8"/>
  <c r="AR171" i="8"/>
  <c r="AM171" i="8"/>
  <c r="AH171" i="8"/>
  <c r="AC171" i="8"/>
  <c r="X171" i="8"/>
  <c r="AW170" i="8"/>
  <c r="AR170" i="8"/>
  <c r="AM170" i="8"/>
  <c r="AH170" i="8"/>
  <c r="AC170" i="8"/>
  <c r="X170" i="8"/>
  <c r="AW169" i="8"/>
  <c r="AR169" i="8"/>
  <c r="AM169" i="8"/>
  <c r="AH169" i="8"/>
  <c r="AC169" i="8"/>
  <c r="X169" i="8"/>
  <c r="AW168" i="8"/>
  <c r="AR168" i="8"/>
  <c r="AM168" i="8"/>
  <c r="AH168" i="8"/>
  <c r="AC168" i="8"/>
  <c r="X168" i="8"/>
  <c r="AW167" i="8"/>
  <c r="AR167" i="8"/>
  <c r="AM167" i="8"/>
  <c r="AH167" i="8"/>
  <c r="AC167" i="8"/>
  <c r="X167" i="8"/>
  <c r="AW166" i="8"/>
  <c r="AR166" i="8"/>
  <c r="AM166" i="8"/>
  <c r="AH166" i="8"/>
  <c r="AC166" i="8"/>
  <c r="X166" i="8"/>
  <c r="AW165" i="8"/>
  <c r="AR165" i="8"/>
  <c r="AM165" i="8"/>
  <c r="AH165" i="8"/>
  <c r="AC165" i="8"/>
  <c r="X165" i="8"/>
  <c r="AW164" i="8"/>
  <c r="AR164" i="8"/>
  <c r="AM164" i="8"/>
  <c r="AH164" i="8"/>
  <c r="AC164" i="8"/>
  <c r="X164" i="8"/>
  <c r="AW163" i="8"/>
  <c r="AR163" i="8"/>
  <c r="AM163" i="8"/>
  <c r="AH163" i="8"/>
  <c r="AC163" i="8"/>
  <c r="X163" i="8"/>
  <c r="AW162" i="8"/>
  <c r="AR162" i="8"/>
  <c r="AM162" i="8"/>
  <c r="AH162" i="8"/>
  <c r="AC162" i="8"/>
  <c r="X162" i="8"/>
  <c r="AW161" i="8"/>
  <c r="AR161" i="8"/>
  <c r="AM161" i="8"/>
  <c r="AH161" i="8"/>
  <c r="AC161" i="8"/>
  <c r="X161" i="8"/>
  <c r="AW160" i="8"/>
  <c r="AR160" i="8"/>
  <c r="AM160" i="8"/>
  <c r="AH160" i="8"/>
  <c r="AC160" i="8"/>
  <c r="X160" i="8"/>
  <c r="AW159" i="8"/>
  <c r="AR159" i="8"/>
  <c r="AM159" i="8"/>
  <c r="AH159" i="8"/>
  <c r="AC159" i="8"/>
  <c r="X159" i="8"/>
  <c r="AW158" i="8"/>
  <c r="AR158" i="8"/>
  <c r="AM158" i="8"/>
  <c r="AH158" i="8"/>
  <c r="AC158" i="8"/>
  <c r="X158" i="8"/>
  <c r="AW157" i="8"/>
  <c r="AR157" i="8"/>
  <c r="AM157" i="8"/>
  <c r="AH157" i="8"/>
  <c r="AC157" i="8"/>
  <c r="X157" i="8"/>
  <c r="AW156" i="8"/>
  <c r="AR156" i="8"/>
  <c r="AM156" i="8"/>
  <c r="AH156" i="8"/>
  <c r="AC156" i="8"/>
  <c r="X156" i="8"/>
  <c r="AW155" i="8"/>
  <c r="AR155" i="8"/>
  <c r="AM155" i="8"/>
  <c r="AH155" i="8"/>
  <c r="AC155" i="8"/>
  <c r="X155" i="8"/>
  <c r="AW154" i="8"/>
  <c r="AR154" i="8"/>
  <c r="AM154" i="8"/>
  <c r="AH154" i="8"/>
  <c r="AC154" i="8"/>
  <c r="X154" i="8"/>
  <c r="AW153" i="8"/>
  <c r="AR153" i="8"/>
  <c r="AM153" i="8"/>
  <c r="AH153" i="8"/>
  <c r="AC153" i="8"/>
  <c r="X153" i="8"/>
  <c r="AW152" i="8"/>
  <c r="AR152" i="8"/>
  <c r="AM152" i="8"/>
  <c r="AH152" i="8"/>
  <c r="AC152" i="8"/>
  <c r="X152" i="8"/>
  <c r="AW151" i="8"/>
  <c r="AR151" i="8"/>
  <c r="AM151" i="8"/>
  <c r="AH151" i="8"/>
  <c r="AC151" i="8"/>
  <c r="X151" i="8"/>
  <c r="AW150" i="8"/>
  <c r="AR150" i="8"/>
  <c r="AM150" i="8"/>
  <c r="AH150" i="8"/>
  <c r="AC150" i="8"/>
  <c r="X150" i="8"/>
  <c r="AW149" i="8"/>
  <c r="AR149" i="8"/>
  <c r="AM149" i="8"/>
  <c r="AH149" i="8"/>
  <c r="AC149" i="8"/>
  <c r="X149" i="8"/>
  <c r="AW148" i="8"/>
  <c r="AR148" i="8"/>
  <c r="AM148" i="8"/>
  <c r="AH148" i="8"/>
  <c r="AC148" i="8"/>
  <c r="X148" i="8"/>
  <c r="AX147" i="8"/>
  <c r="AW147" i="8"/>
  <c r="AS147" i="8"/>
  <c r="AR147" i="8"/>
  <c r="AN147" i="8"/>
  <c r="AM147" i="8"/>
  <c r="AI147" i="8"/>
  <c r="AH147" i="8"/>
  <c r="AD147" i="8"/>
  <c r="AC147" i="8"/>
  <c r="Y147" i="8"/>
  <c r="X147" i="8"/>
  <c r="AW141" i="8"/>
  <c r="AR141" i="8"/>
  <c r="AM141" i="8"/>
  <c r="AH141" i="8"/>
  <c r="AC141" i="8"/>
  <c r="X141" i="8"/>
  <c r="AW140" i="8"/>
  <c r="AR140" i="8"/>
  <c r="AM140" i="8"/>
  <c r="AH140" i="8"/>
  <c r="AC140" i="8"/>
  <c r="X140" i="8"/>
  <c r="AW139" i="8"/>
  <c r="AR139" i="8"/>
  <c r="AM139" i="8"/>
  <c r="AH139" i="8"/>
  <c r="AC139" i="8"/>
  <c r="X139" i="8"/>
  <c r="AW138" i="8"/>
  <c r="AR138" i="8"/>
  <c r="AM138" i="8"/>
  <c r="AH138" i="8"/>
  <c r="AC138" i="8"/>
  <c r="X138" i="8"/>
  <c r="AW137" i="8"/>
  <c r="AR137" i="8"/>
  <c r="AM137" i="8"/>
  <c r="AH137" i="8"/>
  <c r="AC137" i="8"/>
  <c r="X137" i="8"/>
  <c r="AW136" i="8"/>
  <c r="AR136" i="8"/>
  <c r="AM136" i="8"/>
  <c r="AH136" i="8"/>
  <c r="AC136" i="8"/>
  <c r="X136" i="8"/>
  <c r="AW135" i="8"/>
  <c r="AR135" i="8"/>
  <c r="AM135" i="8"/>
  <c r="AH135" i="8"/>
  <c r="AC135" i="8"/>
  <c r="X135" i="8"/>
  <c r="AW134" i="8"/>
  <c r="AR134" i="8"/>
  <c r="AM134" i="8"/>
  <c r="AH134" i="8"/>
  <c r="AC134" i="8"/>
  <c r="X134" i="8"/>
  <c r="AW133" i="8"/>
  <c r="AR133" i="8"/>
  <c r="AM133" i="8"/>
  <c r="AH133" i="8"/>
  <c r="AC133" i="8"/>
  <c r="X133" i="8"/>
  <c r="AW132" i="8"/>
  <c r="AR132" i="8"/>
  <c r="AM132" i="8"/>
  <c r="AH132" i="8"/>
  <c r="AC132" i="8"/>
  <c r="X132" i="8"/>
  <c r="AW131" i="8"/>
  <c r="AR131" i="8"/>
  <c r="AM131" i="8"/>
  <c r="AH131" i="8"/>
  <c r="AC131" i="8"/>
  <c r="X131" i="8"/>
  <c r="AW130" i="8"/>
  <c r="AR130" i="8"/>
  <c r="AM130" i="8"/>
  <c r="AH130" i="8"/>
  <c r="AC130" i="8"/>
  <c r="X130" i="8"/>
  <c r="AW129" i="8"/>
  <c r="AR129" i="8"/>
  <c r="AM129" i="8"/>
  <c r="AH129" i="8"/>
  <c r="AC129" i="8"/>
  <c r="X129" i="8"/>
  <c r="AW128" i="8"/>
  <c r="AR128" i="8"/>
  <c r="AM128" i="8"/>
  <c r="AH128" i="8"/>
  <c r="AC128" i="8"/>
  <c r="X128" i="8"/>
  <c r="AW127" i="8"/>
  <c r="AR127" i="8"/>
  <c r="AM127" i="8"/>
  <c r="AH127" i="8"/>
  <c r="AC127" i="8"/>
  <c r="X127" i="8"/>
  <c r="AW126" i="8"/>
  <c r="AR126" i="8"/>
  <c r="AM126" i="8"/>
  <c r="AH126" i="8"/>
  <c r="AC126" i="8"/>
  <c r="X126" i="8"/>
  <c r="AW125" i="8"/>
  <c r="AR125" i="8"/>
  <c r="AM125" i="8"/>
  <c r="AH125" i="8"/>
  <c r="AC125" i="8"/>
  <c r="X125" i="8"/>
  <c r="AW124" i="8"/>
  <c r="AR124" i="8"/>
  <c r="AM124" i="8"/>
  <c r="AH124" i="8"/>
  <c r="AC124" i="8"/>
  <c r="X124" i="8"/>
  <c r="AW123" i="8"/>
  <c r="AR123" i="8"/>
  <c r="AM123" i="8"/>
  <c r="AH123" i="8"/>
  <c r="AC123" i="8"/>
  <c r="X123" i="8"/>
  <c r="AW122" i="8"/>
  <c r="AR122" i="8"/>
  <c r="AM122" i="8"/>
  <c r="AH122" i="8"/>
  <c r="AC122" i="8"/>
  <c r="X122" i="8"/>
  <c r="AW121" i="8"/>
  <c r="AR121" i="8"/>
  <c r="AM121" i="8"/>
  <c r="AH121" i="8"/>
  <c r="AC121" i="8"/>
  <c r="X121" i="8"/>
  <c r="AW120" i="8"/>
  <c r="AR120" i="8"/>
  <c r="AM120" i="8"/>
  <c r="AH120" i="8"/>
  <c r="AC120" i="8"/>
  <c r="X120" i="8"/>
  <c r="AW119" i="8"/>
  <c r="AR119" i="8"/>
  <c r="AM119" i="8"/>
  <c r="AH119" i="8"/>
  <c r="AC119" i="8"/>
  <c r="X119" i="8"/>
  <c r="AW118" i="8"/>
  <c r="AR118" i="8"/>
  <c r="AM118" i="8"/>
  <c r="AH118" i="8"/>
  <c r="AC118" i="8"/>
  <c r="X118" i="8"/>
  <c r="AW117" i="8"/>
  <c r="AR117" i="8"/>
  <c r="AM117" i="8"/>
  <c r="AH117" i="8"/>
  <c r="AC117" i="8"/>
  <c r="X117" i="8"/>
  <c r="AW116" i="8"/>
  <c r="AR116" i="8"/>
  <c r="AM116" i="8"/>
  <c r="AH116" i="8"/>
  <c r="AC116" i="8"/>
  <c r="X116" i="8"/>
  <c r="AW115" i="8"/>
  <c r="AR115" i="8"/>
  <c r="AM115" i="8"/>
  <c r="AH115" i="8"/>
  <c r="AC115" i="8"/>
  <c r="X115" i="8"/>
  <c r="AW114" i="8"/>
  <c r="AR114" i="8"/>
  <c r="AM114" i="8"/>
  <c r="AH114" i="8"/>
  <c r="AC114" i="8"/>
  <c r="X114" i="8"/>
  <c r="AW113" i="8"/>
  <c r="AR113" i="8"/>
  <c r="AM113" i="8"/>
  <c r="AH113" i="8"/>
  <c r="AC113" i="8"/>
  <c r="X113" i="8"/>
  <c r="AX112" i="8"/>
  <c r="AW112" i="8"/>
  <c r="AS112" i="8"/>
  <c r="AR112" i="8"/>
  <c r="AN112" i="8"/>
  <c r="AM112" i="8"/>
  <c r="AI112" i="8"/>
  <c r="AH112" i="8"/>
  <c r="AD112" i="8"/>
  <c r="AC112" i="8"/>
  <c r="Y112" i="8"/>
  <c r="X112" i="8"/>
  <c r="AW106" i="8"/>
  <c r="AR106" i="8"/>
  <c r="AM106" i="8"/>
  <c r="AH106" i="8"/>
  <c r="AC106" i="8"/>
  <c r="X106" i="8"/>
  <c r="AW105" i="8"/>
  <c r="AR105" i="8"/>
  <c r="AM105" i="8"/>
  <c r="AH105" i="8"/>
  <c r="AC105" i="8"/>
  <c r="X105" i="8"/>
  <c r="AW104" i="8"/>
  <c r="AR104" i="8"/>
  <c r="AM104" i="8"/>
  <c r="AH104" i="8"/>
  <c r="AC104" i="8"/>
  <c r="X104" i="8"/>
  <c r="AW103" i="8"/>
  <c r="AR103" i="8"/>
  <c r="AM103" i="8"/>
  <c r="AH103" i="8"/>
  <c r="AC103" i="8"/>
  <c r="X103" i="8"/>
  <c r="AW102" i="8"/>
  <c r="AR102" i="8"/>
  <c r="AM102" i="8"/>
  <c r="AH102" i="8"/>
  <c r="AC102" i="8"/>
  <c r="X102" i="8"/>
  <c r="AW101" i="8"/>
  <c r="AR101" i="8"/>
  <c r="AM101" i="8"/>
  <c r="AH101" i="8"/>
  <c r="AC101" i="8"/>
  <c r="X101" i="8"/>
  <c r="AW100" i="8"/>
  <c r="AR100" i="8"/>
  <c r="AM100" i="8"/>
  <c r="AH100" i="8"/>
  <c r="AC100" i="8"/>
  <c r="X100" i="8"/>
  <c r="AW99" i="8"/>
  <c r="AR99" i="8"/>
  <c r="AM99" i="8"/>
  <c r="AH99" i="8"/>
  <c r="AC99" i="8"/>
  <c r="X99" i="8"/>
  <c r="AW98" i="8"/>
  <c r="AR98" i="8"/>
  <c r="AM98" i="8"/>
  <c r="AH98" i="8"/>
  <c r="AC98" i="8"/>
  <c r="X98" i="8"/>
  <c r="AW97" i="8"/>
  <c r="AR97" i="8"/>
  <c r="AM97" i="8"/>
  <c r="AH97" i="8"/>
  <c r="AC97" i="8"/>
  <c r="X97" i="8"/>
  <c r="AW96" i="8"/>
  <c r="AR96" i="8"/>
  <c r="AM96" i="8"/>
  <c r="AH96" i="8"/>
  <c r="AC96" i="8"/>
  <c r="X96" i="8"/>
  <c r="AW95" i="8"/>
  <c r="AR95" i="8"/>
  <c r="AM95" i="8"/>
  <c r="AH95" i="8"/>
  <c r="AC95" i="8"/>
  <c r="X95" i="8"/>
  <c r="AW94" i="8"/>
  <c r="AR94" i="8"/>
  <c r="AM94" i="8"/>
  <c r="AH94" i="8"/>
  <c r="AC94" i="8"/>
  <c r="X94" i="8"/>
  <c r="AW93" i="8"/>
  <c r="AR93" i="8"/>
  <c r="AM93" i="8"/>
  <c r="AH93" i="8"/>
  <c r="AC93" i="8"/>
  <c r="X93" i="8"/>
  <c r="AW92" i="8"/>
  <c r="AR92" i="8"/>
  <c r="AM92" i="8"/>
  <c r="AH92" i="8"/>
  <c r="AC92" i="8"/>
  <c r="X92" i="8"/>
  <c r="AW91" i="8"/>
  <c r="AR91" i="8"/>
  <c r="AM91" i="8"/>
  <c r="AH91" i="8"/>
  <c r="AC91" i="8"/>
  <c r="X91" i="8"/>
  <c r="AW90" i="8"/>
  <c r="AR90" i="8"/>
  <c r="AM90" i="8"/>
  <c r="AH90" i="8"/>
  <c r="AC90" i="8"/>
  <c r="X90" i="8"/>
  <c r="AW89" i="8"/>
  <c r="AR89" i="8"/>
  <c r="AM89" i="8"/>
  <c r="AH89" i="8"/>
  <c r="AC89" i="8"/>
  <c r="X89" i="8"/>
  <c r="AW88" i="8"/>
  <c r="AR88" i="8"/>
  <c r="AM88" i="8"/>
  <c r="AH88" i="8"/>
  <c r="AC88" i="8"/>
  <c r="X88" i="8"/>
  <c r="AW87" i="8"/>
  <c r="AR87" i="8"/>
  <c r="AM87" i="8"/>
  <c r="AH87" i="8"/>
  <c r="AC87" i="8"/>
  <c r="X87" i="8"/>
  <c r="AW86" i="8"/>
  <c r="AR86" i="8"/>
  <c r="AM86" i="8"/>
  <c r="AH86" i="8"/>
  <c r="AC86" i="8"/>
  <c r="X86" i="8"/>
  <c r="AW85" i="8"/>
  <c r="AR85" i="8"/>
  <c r="AM85" i="8"/>
  <c r="AH85" i="8"/>
  <c r="AC85" i="8"/>
  <c r="X85" i="8"/>
  <c r="AW84" i="8"/>
  <c r="AR84" i="8"/>
  <c r="AM84" i="8"/>
  <c r="AH84" i="8"/>
  <c r="AC84" i="8"/>
  <c r="X84" i="8"/>
  <c r="AW83" i="8"/>
  <c r="AR83" i="8"/>
  <c r="AM83" i="8"/>
  <c r="AH83" i="8"/>
  <c r="AC83" i="8"/>
  <c r="X83" i="8"/>
  <c r="AW82" i="8"/>
  <c r="AR82" i="8"/>
  <c r="AM82" i="8"/>
  <c r="AH82" i="8"/>
  <c r="AC82" i="8"/>
  <c r="X82" i="8"/>
  <c r="AW81" i="8"/>
  <c r="AR81" i="8"/>
  <c r="AM81" i="8"/>
  <c r="AH81" i="8"/>
  <c r="AC81" i="8"/>
  <c r="X81" i="8"/>
  <c r="AW80" i="8"/>
  <c r="AR80" i="8"/>
  <c r="AM80" i="8"/>
  <c r="AH80" i="8"/>
  <c r="AC80" i="8"/>
  <c r="X80" i="8"/>
  <c r="AW79" i="8"/>
  <c r="AR79" i="8"/>
  <c r="AM79" i="8"/>
  <c r="AH79" i="8"/>
  <c r="AC79" i="8"/>
  <c r="X79" i="8"/>
  <c r="AW78" i="8"/>
  <c r="AR78" i="8"/>
  <c r="AM78" i="8"/>
  <c r="AH78" i="8"/>
  <c r="AC78" i="8"/>
  <c r="X78" i="8"/>
  <c r="AX77" i="8"/>
  <c r="AW77" i="8"/>
  <c r="AS77" i="8"/>
  <c r="AR77" i="8"/>
  <c r="AN77" i="8"/>
  <c r="AM77" i="8"/>
  <c r="AI77" i="8"/>
  <c r="AH77" i="8"/>
  <c r="AD77" i="8"/>
  <c r="AC77" i="8"/>
  <c r="Y77" i="8"/>
  <c r="X77" i="8"/>
  <c r="AC43" i="6" l="1"/>
  <c r="S43" i="6"/>
  <c r="M43" i="6"/>
  <c r="AK46" i="6"/>
  <c r="AI46" i="6"/>
  <c r="AG46" i="6"/>
  <c r="AE46" i="6"/>
  <c r="AA46" i="6"/>
  <c r="Y46" i="6"/>
  <c r="W46" i="6"/>
  <c r="U46" i="6"/>
  <c r="Q46" i="6"/>
  <c r="O46" i="6"/>
  <c r="K46" i="6"/>
  <c r="I46" i="6"/>
  <c r="F43" i="6" l="1"/>
  <c r="AJ43" i="6" s="1"/>
  <c r="AK46" i="7"/>
  <c r="AI46" i="7"/>
  <c r="AG46" i="7"/>
  <c r="AE46" i="7"/>
  <c r="AA46" i="7"/>
  <c r="Y46" i="7"/>
  <c r="W46" i="7"/>
  <c r="U46" i="7"/>
  <c r="Q46" i="7"/>
  <c r="O46" i="7"/>
  <c r="K46" i="7"/>
  <c r="I46" i="7"/>
  <c r="I5" i="5"/>
  <c r="D11" i="3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AH43" i="6" l="1"/>
  <c r="Z43" i="6"/>
  <c r="L43" i="6"/>
  <c r="V43" i="6"/>
  <c r="T43" i="6"/>
  <c r="AL43" i="6"/>
  <c r="AB43" i="6"/>
  <c r="P43" i="6"/>
  <c r="N43" i="6"/>
  <c r="AD43" i="6"/>
  <c r="R43" i="6"/>
  <c r="J43" i="6"/>
  <c r="AF43" i="6"/>
  <c r="X43" i="6"/>
  <c r="F7" i="7"/>
  <c r="F7" i="6"/>
  <c r="AF7" i="6" l="1"/>
  <c r="Z7" i="6"/>
  <c r="AL7" i="6"/>
  <c r="AD7" i="6"/>
  <c r="X7" i="6"/>
  <c r="R7" i="6"/>
  <c r="L7" i="6"/>
  <c r="AJ7" i="6"/>
  <c r="V7" i="6"/>
  <c r="P7" i="6"/>
  <c r="J7" i="6"/>
  <c r="AH7" i="6"/>
  <c r="AB7" i="6"/>
  <c r="T7" i="6"/>
  <c r="N7" i="6"/>
  <c r="AF7" i="7"/>
  <c r="Z7" i="7"/>
  <c r="AL7" i="7"/>
  <c r="AD7" i="7"/>
  <c r="X7" i="7"/>
  <c r="R7" i="7"/>
  <c r="L7" i="7"/>
  <c r="AJ7" i="7"/>
  <c r="V7" i="7"/>
  <c r="P7" i="7"/>
  <c r="J7" i="7"/>
  <c r="AH7" i="7"/>
  <c r="AB7" i="7"/>
  <c r="T7" i="7"/>
  <c r="N7" i="7"/>
  <c r="B8" i="13" l="1"/>
  <c r="AI8" i="47" l="1"/>
  <c r="AH8" i="47"/>
  <c r="AG8" i="47"/>
  <c r="AF8" i="47"/>
  <c r="AE8" i="47"/>
  <c r="AD8" i="47"/>
  <c r="AC8" i="47"/>
  <c r="AB8" i="47"/>
  <c r="AI7" i="47"/>
  <c r="AH7" i="47"/>
  <c r="AG7" i="47"/>
  <c r="AF7" i="47"/>
  <c r="AE7" i="47"/>
  <c r="AD7" i="47"/>
  <c r="AC7" i="47"/>
  <c r="AB7" i="47"/>
  <c r="H7" i="31" l="1"/>
  <c r="AC14" i="6"/>
  <c r="S14" i="6"/>
  <c r="M14" i="6"/>
  <c r="AC13" i="6"/>
  <c r="S13" i="6"/>
  <c r="M13" i="6"/>
  <c r="AC12" i="6"/>
  <c r="S12" i="6"/>
  <c r="M12" i="6"/>
  <c r="AC11" i="6"/>
  <c r="S11" i="6"/>
  <c r="M11" i="6"/>
  <c r="AC10" i="6"/>
  <c r="S10" i="6"/>
  <c r="M10" i="6"/>
  <c r="AC9" i="6"/>
  <c r="S9" i="6"/>
  <c r="M9" i="6"/>
  <c r="AC14" i="7"/>
  <c r="S14" i="7"/>
  <c r="M14" i="7"/>
  <c r="AC13" i="7"/>
  <c r="S13" i="7"/>
  <c r="M13" i="7"/>
  <c r="AC12" i="7"/>
  <c r="S12" i="7"/>
  <c r="M12" i="7"/>
  <c r="AC11" i="7"/>
  <c r="S11" i="7"/>
  <c r="M11" i="7"/>
  <c r="AC10" i="7"/>
  <c r="S10" i="7"/>
  <c r="M10" i="7"/>
  <c r="AC9" i="7"/>
  <c r="S9" i="7"/>
  <c r="M9" i="7"/>
  <c r="B10" i="13"/>
  <c r="B7" i="13"/>
  <c r="B6" i="13"/>
  <c r="M8" i="31" l="1"/>
  <c r="M20" i="31"/>
  <c r="L7" i="31"/>
  <c r="M9" i="31"/>
  <c r="M13" i="31"/>
  <c r="M17" i="31"/>
  <c r="M21" i="31"/>
  <c r="M10" i="31"/>
  <c r="M14" i="31"/>
  <c r="M18" i="31"/>
  <c r="M7" i="31"/>
  <c r="M11" i="31"/>
  <c r="M15" i="31"/>
  <c r="M19" i="31"/>
  <c r="M12" i="31"/>
  <c r="M16" i="31"/>
  <c r="F41" i="48" l="1"/>
  <c r="H41" i="48"/>
  <c r="J41" i="48"/>
  <c r="D41" i="48"/>
  <c r="L41" i="48"/>
  <c r="J42" i="48"/>
  <c r="H42" i="48"/>
  <c r="L42" i="48"/>
  <c r="D42" i="48"/>
  <c r="H128" i="37" l="1"/>
  <c r="M15" i="6" l="1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AA7" i="47" l="1"/>
  <c r="AI8" i="46"/>
  <c r="AH8" i="46"/>
  <c r="AG8" i="46"/>
  <c r="AF8" i="46"/>
  <c r="AE8" i="46"/>
  <c r="AD8" i="46"/>
  <c r="AC8" i="46"/>
  <c r="AB8" i="46"/>
  <c r="AI7" i="46"/>
  <c r="AH7" i="46"/>
  <c r="AG7" i="46"/>
  <c r="AF7" i="46"/>
  <c r="AE7" i="46"/>
  <c r="AD7" i="46"/>
  <c r="AC7" i="46"/>
  <c r="AB7" i="46"/>
  <c r="AA7" i="46"/>
  <c r="E10" i="39" l="1"/>
  <c r="E8" i="39"/>
  <c r="E7" i="39"/>
  <c r="E6" i="39"/>
  <c r="K11" i="39"/>
  <c r="K9" i="39"/>
  <c r="K8" i="39"/>
  <c r="K6" i="39"/>
  <c r="Q10" i="3" l="1"/>
  <c r="W10" i="3"/>
  <c r="AT2" i="8"/>
  <c r="E9" i="39" l="1"/>
  <c r="B9" i="13"/>
  <c r="E11" i="39"/>
  <c r="B11" i="13"/>
  <c r="AW121" i="34"/>
  <c r="AW120" i="34"/>
  <c r="AW117" i="34"/>
  <c r="AW116" i="34"/>
  <c r="AW115" i="34"/>
  <c r="AW114" i="34"/>
  <c r="AW113" i="34"/>
  <c r="AW112" i="34"/>
  <c r="AW111" i="34"/>
  <c r="AW110" i="34"/>
  <c r="AW109" i="34"/>
  <c r="AW108" i="34"/>
  <c r="AW107" i="34"/>
  <c r="AW119" i="34"/>
  <c r="AR121" i="34"/>
  <c r="AR118" i="34"/>
  <c r="AR117" i="34"/>
  <c r="AR116" i="34"/>
  <c r="AR115" i="34"/>
  <c r="AR114" i="34"/>
  <c r="AR113" i="34"/>
  <c r="AR112" i="34"/>
  <c r="AR111" i="34"/>
  <c r="AR110" i="34"/>
  <c r="AR109" i="34"/>
  <c r="AR108" i="34"/>
  <c r="AR120" i="34"/>
  <c r="AM118" i="34"/>
  <c r="AM116" i="34"/>
  <c r="AM115" i="34"/>
  <c r="AM114" i="34"/>
  <c r="AM113" i="34"/>
  <c r="AM112" i="34"/>
  <c r="AM111" i="34"/>
  <c r="AM110" i="34"/>
  <c r="AM109" i="34"/>
  <c r="AM108" i="34"/>
  <c r="AM121" i="34"/>
  <c r="AH116" i="34"/>
  <c r="AH114" i="34"/>
  <c r="AH113" i="34"/>
  <c r="AH112" i="34"/>
  <c r="AH111" i="34"/>
  <c r="AH110" i="34"/>
  <c r="AH109" i="34"/>
  <c r="AH108" i="34"/>
  <c r="AH119" i="34"/>
  <c r="AC121" i="34"/>
  <c r="AC120" i="34"/>
  <c r="AC117" i="34"/>
  <c r="AC116" i="34"/>
  <c r="AC115" i="34"/>
  <c r="AC114" i="34"/>
  <c r="AC113" i="34"/>
  <c r="AC112" i="34"/>
  <c r="AC111" i="34"/>
  <c r="AC110" i="34"/>
  <c r="AC109" i="34"/>
  <c r="AC108" i="34"/>
  <c r="AC107" i="34"/>
  <c r="AC119" i="34"/>
  <c r="X121" i="34"/>
  <c r="X118" i="34"/>
  <c r="X117" i="34"/>
  <c r="X116" i="34"/>
  <c r="X115" i="34"/>
  <c r="X114" i="34"/>
  <c r="X113" i="34"/>
  <c r="X112" i="34"/>
  <c r="X111" i="34"/>
  <c r="X110" i="34"/>
  <c r="X109" i="34"/>
  <c r="X108" i="34"/>
  <c r="X120" i="34"/>
  <c r="S121" i="34"/>
  <c r="S120" i="34"/>
  <c r="S119" i="34"/>
  <c r="S118" i="34"/>
  <c r="S117" i="34"/>
  <c r="S116" i="34"/>
  <c r="S115" i="34"/>
  <c r="S114" i="34"/>
  <c r="S113" i="34"/>
  <c r="S112" i="34"/>
  <c r="S111" i="34"/>
  <c r="S110" i="34"/>
  <c r="S109" i="34"/>
  <c r="S108" i="34"/>
  <c r="S107" i="34"/>
  <c r="AW121" i="31"/>
  <c r="AW120" i="31"/>
  <c r="AW117" i="31"/>
  <c r="AW116" i="31"/>
  <c r="AW113" i="31"/>
  <c r="AW112" i="31"/>
  <c r="AW109" i="31"/>
  <c r="AW108" i="31"/>
  <c r="AW107" i="31"/>
  <c r="AW119" i="31"/>
  <c r="AR121" i="31"/>
  <c r="AR118" i="31"/>
  <c r="AR117" i="31"/>
  <c r="AR114" i="31"/>
  <c r="AR113" i="31"/>
  <c r="AR110" i="31"/>
  <c r="AR109" i="31"/>
  <c r="AR108" i="31"/>
  <c r="AR120" i="31"/>
  <c r="AM118" i="31"/>
  <c r="AM114" i="31"/>
  <c r="AM110" i="31"/>
  <c r="AM108" i="31"/>
  <c r="AM119" i="31"/>
  <c r="AH119" i="31"/>
  <c r="AC121" i="31"/>
  <c r="AC120" i="31"/>
  <c r="AC117" i="31"/>
  <c r="AC116" i="31"/>
  <c r="AC113" i="31"/>
  <c r="AC112" i="31"/>
  <c r="AC109" i="31"/>
  <c r="AC108" i="31"/>
  <c r="AC107" i="31"/>
  <c r="AC119" i="31"/>
  <c r="X121" i="31"/>
  <c r="X118" i="31"/>
  <c r="X117" i="31"/>
  <c r="X114" i="31"/>
  <c r="X113" i="31"/>
  <c r="X110" i="31"/>
  <c r="X109" i="31"/>
  <c r="X108" i="31"/>
  <c r="X120" i="31"/>
  <c r="S121" i="31"/>
  <c r="S120" i="31"/>
  <c r="S119" i="31"/>
  <c r="S118" i="31"/>
  <c r="S117" i="31"/>
  <c r="S116" i="31"/>
  <c r="S115" i="31"/>
  <c r="S114" i="31"/>
  <c r="S113" i="31"/>
  <c r="S112" i="31"/>
  <c r="S111" i="31"/>
  <c r="S110" i="31"/>
  <c r="S109" i="31"/>
  <c r="S108" i="31"/>
  <c r="S107" i="31"/>
  <c r="AH115" i="34" l="1"/>
  <c r="AM119" i="34"/>
  <c r="X119" i="34"/>
  <c r="AC118" i="34"/>
  <c r="AH117" i="34"/>
  <c r="AH121" i="34"/>
  <c r="AM107" i="34"/>
  <c r="AM120" i="34"/>
  <c r="AR119" i="34"/>
  <c r="AW118" i="34"/>
  <c r="AH107" i="34"/>
  <c r="AH120" i="34"/>
  <c r="X107" i="34"/>
  <c r="AH118" i="34"/>
  <c r="AM117" i="34"/>
  <c r="AR107" i="34"/>
  <c r="AH111" i="31"/>
  <c r="AH108" i="31"/>
  <c r="AH116" i="31"/>
  <c r="AM111" i="31"/>
  <c r="X111" i="31"/>
  <c r="X115" i="31"/>
  <c r="X119" i="31"/>
  <c r="AC110" i="31"/>
  <c r="AC114" i="31"/>
  <c r="AC118" i="31"/>
  <c r="AH109" i="31"/>
  <c r="AH113" i="31"/>
  <c r="AH117" i="31"/>
  <c r="AH121" i="31"/>
  <c r="AM107" i="31"/>
  <c r="AM112" i="31"/>
  <c r="AM116" i="31"/>
  <c r="AM120" i="31"/>
  <c r="AR111" i="31"/>
  <c r="AR115" i="31"/>
  <c r="AR119" i="31"/>
  <c r="AW110" i="31"/>
  <c r="AW114" i="31"/>
  <c r="AW118" i="31"/>
  <c r="AH107" i="31"/>
  <c r="AH112" i="31"/>
  <c r="AH120" i="31"/>
  <c r="AM115" i="31"/>
  <c r="X107" i="31"/>
  <c r="X112" i="31"/>
  <c r="X116" i="31"/>
  <c r="AC111" i="31"/>
  <c r="AC115" i="31"/>
  <c r="AH110" i="31"/>
  <c r="AH114" i="31"/>
  <c r="AH118" i="31"/>
  <c r="AM109" i="31"/>
  <c r="AM113" i="31"/>
  <c r="AM117" i="31"/>
  <c r="AM121" i="31"/>
  <c r="AR107" i="31"/>
  <c r="AR112" i="31"/>
  <c r="AR116" i="31"/>
  <c r="AW111" i="31"/>
  <c r="AW115" i="31"/>
  <c r="AH115" i="31"/>
  <c r="I40" i="5" l="1"/>
  <c r="I39" i="5"/>
  <c r="I38" i="5"/>
  <c r="I37" i="5"/>
  <c r="I36" i="5"/>
  <c r="K130" i="36" l="1"/>
  <c r="J130" i="36"/>
  <c r="I130" i="36"/>
  <c r="H128" i="36"/>
  <c r="H128" i="35"/>
  <c r="J137" i="35"/>
  <c r="I137" i="35"/>
  <c r="J136" i="35"/>
  <c r="I136" i="35"/>
  <c r="J131" i="35"/>
  <c r="I131" i="35"/>
  <c r="H128" i="34"/>
  <c r="J135" i="34"/>
  <c r="I135" i="34"/>
  <c r="AX107" i="34"/>
  <c r="AS107" i="34"/>
  <c r="AN107" i="34"/>
  <c r="AI107" i="34"/>
  <c r="AD107" i="34"/>
  <c r="Y107" i="34"/>
  <c r="T107" i="34"/>
  <c r="H107" i="34"/>
  <c r="H218" i="33"/>
  <c r="M205" i="33"/>
  <c r="M204" i="33"/>
  <c r="M203" i="33"/>
  <c r="M202" i="33"/>
  <c r="M201" i="33"/>
  <c r="M199" i="33"/>
  <c r="M198" i="33"/>
  <c r="M197" i="33"/>
  <c r="M195" i="33"/>
  <c r="M193" i="33"/>
  <c r="M191" i="33"/>
  <c r="M190" i="33"/>
  <c r="M189" i="33"/>
  <c r="M188" i="33"/>
  <c r="M187" i="33"/>
  <c r="M185" i="33"/>
  <c r="M183" i="33"/>
  <c r="AX182" i="33"/>
  <c r="AS182" i="33"/>
  <c r="AN182" i="33"/>
  <c r="AI182" i="33"/>
  <c r="AD182" i="33"/>
  <c r="Y182" i="33"/>
  <c r="T182" i="33"/>
  <c r="M182" i="33"/>
  <c r="H182" i="33"/>
  <c r="H128" i="31"/>
  <c r="M108" i="31"/>
  <c r="AX107" i="31"/>
  <c r="AS107" i="31"/>
  <c r="AN107" i="31"/>
  <c r="AI107" i="31"/>
  <c r="AD107" i="31"/>
  <c r="Y107" i="31"/>
  <c r="T107" i="31"/>
  <c r="M107" i="31"/>
  <c r="H107" i="31"/>
  <c r="H128" i="32"/>
  <c r="J138" i="32"/>
  <c r="I138" i="32"/>
  <c r="K132" i="30"/>
  <c r="J132" i="30"/>
  <c r="I132" i="30"/>
  <c r="K240" i="8"/>
  <c r="J240" i="8"/>
  <c r="I240" i="8"/>
  <c r="J239" i="8"/>
  <c r="I239" i="8"/>
  <c r="M109" i="34" l="1"/>
  <c r="M118" i="34"/>
  <c r="M121" i="34"/>
  <c r="M117" i="34"/>
  <c r="M120" i="34"/>
  <c r="M119" i="34"/>
  <c r="M107" i="34"/>
  <c r="M115" i="34"/>
  <c r="M116" i="34"/>
  <c r="M111" i="34"/>
  <c r="M108" i="34"/>
  <c r="M110" i="34"/>
  <c r="M112" i="34"/>
  <c r="M114" i="34"/>
  <c r="M113" i="34"/>
  <c r="K131" i="35"/>
  <c r="K137" i="35"/>
  <c r="K136" i="35"/>
  <c r="L107" i="34"/>
  <c r="K135" i="34"/>
  <c r="M194" i="33"/>
  <c r="M196" i="33"/>
  <c r="M186" i="33"/>
  <c r="L182" i="33"/>
  <c r="M184" i="33"/>
  <c r="M192" i="33"/>
  <c r="M200" i="33"/>
  <c r="K138" i="32"/>
  <c r="K239" i="8"/>
  <c r="H128" i="30"/>
  <c r="H218" i="8"/>
  <c r="L107" i="31"/>
  <c r="M130" i="36" l="1"/>
  <c r="I34" i="5"/>
  <c r="I33" i="5"/>
  <c r="I32" i="5"/>
  <c r="I31" i="5"/>
  <c r="I30" i="5"/>
  <c r="I29" i="5"/>
  <c r="I28" i="5"/>
  <c r="L20" i="21" l="1"/>
  <c r="L19" i="21"/>
  <c r="L18" i="21"/>
  <c r="L17" i="21"/>
  <c r="L16" i="21"/>
  <c r="L13" i="21"/>
  <c r="L12" i="21"/>
  <c r="L11" i="21"/>
  <c r="L10" i="21"/>
  <c r="L9" i="21"/>
  <c r="M15" i="40"/>
  <c r="K15" i="40"/>
  <c r="I15" i="40"/>
  <c r="G15" i="40"/>
  <c r="M14" i="40"/>
  <c r="K14" i="40"/>
  <c r="I14" i="40"/>
  <c r="G14" i="40"/>
  <c r="M10" i="40"/>
  <c r="K10" i="40"/>
  <c r="I10" i="40"/>
  <c r="G10" i="40"/>
  <c r="C10" i="40"/>
  <c r="M9" i="40"/>
  <c r="K9" i="40"/>
  <c r="I9" i="40"/>
  <c r="G9" i="40"/>
  <c r="C9" i="40"/>
  <c r="S101" i="37"/>
  <c r="S100" i="37"/>
  <c r="S99" i="37"/>
  <c r="S98" i="37"/>
  <c r="S97" i="37"/>
  <c r="S96" i="37"/>
  <c r="S95" i="37"/>
  <c r="S94" i="37"/>
  <c r="S93" i="37"/>
  <c r="S92" i="37"/>
  <c r="S91" i="37"/>
  <c r="S90" i="37"/>
  <c r="S89" i="37"/>
  <c r="S88" i="37"/>
  <c r="T87" i="37"/>
  <c r="S87" i="37"/>
  <c r="H87" i="37"/>
  <c r="H67" i="37"/>
  <c r="H47" i="37"/>
  <c r="J133" i="37"/>
  <c r="I133" i="37"/>
  <c r="J132" i="37"/>
  <c r="I132" i="37"/>
  <c r="K131" i="37"/>
  <c r="J131" i="37"/>
  <c r="I131" i="37"/>
  <c r="K130" i="37"/>
  <c r="J130" i="37"/>
  <c r="I130" i="37"/>
  <c r="J129" i="37"/>
  <c r="I129" i="37"/>
  <c r="J128" i="37"/>
  <c r="I128" i="37"/>
  <c r="H27" i="37"/>
  <c r="S101" i="36"/>
  <c r="S100" i="36"/>
  <c r="S99" i="36"/>
  <c r="S98" i="36"/>
  <c r="S97" i="36"/>
  <c r="S96" i="36"/>
  <c r="S95" i="36"/>
  <c r="S94" i="36"/>
  <c r="S93" i="36"/>
  <c r="S92" i="36"/>
  <c r="S91" i="36"/>
  <c r="S90" i="36"/>
  <c r="S89" i="36"/>
  <c r="S88" i="36"/>
  <c r="T87" i="36"/>
  <c r="S87" i="36"/>
  <c r="H87" i="36"/>
  <c r="H67" i="36"/>
  <c r="H47" i="36"/>
  <c r="K132" i="36"/>
  <c r="J132" i="36"/>
  <c r="I132" i="36"/>
  <c r="K131" i="36"/>
  <c r="J131" i="36"/>
  <c r="I131" i="36"/>
  <c r="J129" i="36"/>
  <c r="I129" i="36"/>
  <c r="J128" i="36"/>
  <c r="I128" i="36"/>
  <c r="H27" i="36"/>
  <c r="S101" i="35"/>
  <c r="S100" i="35"/>
  <c r="S99" i="35"/>
  <c r="S98" i="35"/>
  <c r="S97" i="35"/>
  <c r="S96" i="35"/>
  <c r="S95" i="35"/>
  <c r="S94" i="35"/>
  <c r="S93" i="35"/>
  <c r="S92" i="35"/>
  <c r="S91" i="35"/>
  <c r="S90" i="35"/>
  <c r="S89" i="35"/>
  <c r="S88" i="35"/>
  <c r="T87" i="35"/>
  <c r="S87" i="35"/>
  <c r="H87" i="35"/>
  <c r="H67" i="35"/>
  <c r="H47" i="35"/>
  <c r="K135" i="35"/>
  <c r="J135" i="35"/>
  <c r="I135" i="35"/>
  <c r="J134" i="35"/>
  <c r="I134" i="35"/>
  <c r="J133" i="35"/>
  <c r="I133" i="35"/>
  <c r="K132" i="35"/>
  <c r="J132" i="35"/>
  <c r="I132" i="35"/>
  <c r="K130" i="35"/>
  <c r="J130" i="35"/>
  <c r="I130" i="35"/>
  <c r="J129" i="35"/>
  <c r="I129" i="35"/>
  <c r="J128" i="35"/>
  <c r="I128" i="35"/>
  <c r="H27" i="35"/>
  <c r="S101" i="34"/>
  <c r="S100" i="34"/>
  <c r="S99" i="34"/>
  <c r="S98" i="34"/>
  <c r="S97" i="34"/>
  <c r="S96" i="34"/>
  <c r="S95" i="34"/>
  <c r="S94" i="34"/>
  <c r="S93" i="34"/>
  <c r="S92" i="34"/>
  <c r="S91" i="34"/>
  <c r="S90" i="34"/>
  <c r="S89" i="34"/>
  <c r="S88" i="34"/>
  <c r="T87" i="34"/>
  <c r="S87" i="34"/>
  <c r="H87" i="34"/>
  <c r="H67" i="34"/>
  <c r="H47" i="34"/>
  <c r="J134" i="34"/>
  <c r="I134" i="34"/>
  <c r="K133" i="34"/>
  <c r="J133" i="34"/>
  <c r="I133" i="34"/>
  <c r="J132" i="34"/>
  <c r="I132" i="34"/>
  <c r="K131" i="34"/>
  <c r="J131" i="34"/>
  <c r="I131" i="34"/>
  <c r="J130" i="34"/>
  <c r="I130" i="34"/>
  <c r="K129" i="34"/>
  <c r="J129" i="34"/>
  <c r="I129" i="34"/>
  <c r="J128" i="34"/>
  <c r="I128" i="34"/>
  <c r="H27" i="34"/>
  <c r="AW176" i="33"/>
  <c r="AR176" i="33"/>
  <c r="AM176" i="33"/>
  <c r="AH176" i="33"/>
  <c r="AC176" i="33"/>
  <c r="X176" i="33"/>
  <c r="S176" i="33"/>
  <c r="AW175" i="33"/>
  <c r="AR175" i="33"/>
  <c r="AM175" i="33"/>
  <c r="AH175" i="33"/>
  <c r="AC175" i="33"/>
  <c r="X175" i="33"/>
  <c r="S175" i="33"/>
  <c r="AW174" i="33"/>
  <c r="AR174" i="33"/>
  <c r="AM174" i="33"/>
  <c r="AH174" i="33"/>
  <c r="AC174" i="33"/>
  <c r="X174" i="33"/>
  <c r="S174" i="33"/>
  <c r="AW173" i="33"/>
  <c r="AR173" i="33"/>
  <c r="AM173" i="33"/>
  <c r="AH173" i="33"/>
  <c r="AC173" i="33"/>
  <c r="X173" i="33"/>
  <c r="S173" i="33"/>
  <c r="AW172" i="33"/>
  <c r="AR172" i="33"/>
  <c r="AM172" i="33"/>
  <c r="AH172" i="33"/>
  <c r="AC172" i="33"/>
  <c r="X172" i="33"/>
  <c r="S172" i="33"/>
  <c r="AW171" i="33"/>
  <c r="AR171" i="33"/>
  <c r="AM171" i="33"/>
  <c r="AH171" i="33"/>
  <c r="AC171" i="33"/>
  <c r="X171" i="33"/>
  <c r="S171" i="33"/>
  <c r="AW170" i="33"/>
  <c r="AR170" i="33"/>
  <c r="AM170" i="33"/>
  <c r="AH170" i="33"/>
  <c r="AC170" i="33"/>
  <c r="X170" i="33"/>
  <c r="S170" i="33"/>
  <c r="AW169" i="33"/>
  <c r="AR169" i="33"/>
  <c r="AM169" i="33"/>
  <c r="AH169" i="33"/>
  <c r="AC169" i="33"/>
  <c r="X169" i="33"/>
  <c r="S169" i="33"/>
  <c r="AW168" i="33"/>
  <c r="AR168" i="33"/>
  <c r="AM168" i="33"/>
  <c r="AH168" i="33"/>
  <c r="AC168" i="33"/>
  <c r="X168" i="33"/>
  <c r="S168" i="33"/>
  <c r="AW167" i="33"/>
  <c r="AR167" i="33"/>
  <c r="AM167" i="33"/>
  <c r="AH167" i="33"/>
  <c r="AC167" i="33"/>
  <c r="X167" i="33"/>
  <c r="S167" i="33"/>
  <c r="AW166" i="33"/>
  <c r="AR166" i="33"/>
  <c r="AM166" i="33"/>
  <c r="AH166" i="33"/>
  <c r="AC166" i="33"/>
  <c r="X166" i="33"/>
  <c r="S166" i="33"/>
  <c r="AW165" i="33"/>
  <c r="AR165" i="33"/>
  <c r="AM165" i="33"/>
  <c r="AH165" i="33"/>
  <c r="AC165" i="33"/>
  <c r="X165" i="33"/>
  <c r="S165" i="33"/>
  <c r="AW164" i="33"/>
  <c r="AR164" i="33"/>
  <c r="AM164" i="33"/>
  <c r="AH164" i="33"/>
  <c r="AC164" i="33"/>
  <c r="X164" i="33"/>
  <c r="S164" i="33"/>
  <c r="AW163" i="33"/>
  <c r="AR163" i="33"/>
  <c r="AM163" i="33"/>
  <c r="AH163" i="33"/>
  <c r="AC163" i="33"/>
  <c r="X163" i="33"/>
  <c r="S163" i="33"/>
  <c r="AW162" i="33"/>
  <c r="AR162" i="33"/>
  <c r="AM162" i="33"/>
  <c r="AH162" i="33"/>
  <c r="AC162" i="33"/>
  <c r="X162" i="33"/>
  <c r="S162" i="33"/>
  <c r="AW161" i="33"/>
  <c r="AR161" i="33"/>
  <c r="AM161" i="33"/>
  <c r="AH161" i="33"/>
  <c r="AC161" i="33"/>
  <c r="X161" i="33"/>
  <c r="S161" i="33"/>
  <c r="AW160" i="33"/>
  <c r="AR160" i="33"/>
  <c r="AM160" i="33"/>
  <c r="AH160" i="33"/>
  <c r="AC160" i="33"/>
  <c r="X160" i="33"/>
  <c r="S160" i="33"/>
  <c r="AW159" i="33"/>
  <c r="AR159" i="33"/>
  <c r="AM159" i="33"/>
  <c r="AH159" i="33"/>
  <c r="AC159" i="33"/>
  <c r="X159" i="33"/>
  <c r="S159" i="33"/>
  <c r="AW158" i="33"/>
  <c r="AR158" i="33"/>
  <c r="AM158" i="33"/>
  <c r="AH158" i="33"/>
  <c r="AC158" i="33"/>
  <c r="X158" i="33"/>
  <c r="S158" i="33"/>
  <c r="AW157" i="33"/>
  <c r="AR157" i="33"/>
  <c r="AM157" i="33"/>
  <c r="AH157" i="33"/>
  <c r="AC157" i="33"/>
  <c r="X157" i="33"/>
  <c r="S157" i="33"/>
  <c r="AW156" i="33"/>
  <c r="AR156" i="33"/>
  <c r="AM156" i="33"/>
  <c r="AH156" i="33"/>
  <c r="AC156" i="33"/>
  <c r="X156" i="33"/>
  <c r="S156" i="33"/>
  <c r="AW155" i="33"/>
  <c r="AR155" i="33"/>
  <c r="AM155" i="33"/>
  <c r="AH155" i="33"/>
  <c r="AC155" i="33"/>
  <c r="X155" i="33"/>
  <c r="S155" i="33"/>
  <c r="AW154" i="33"/>
  <c r="AR154" i="33"/>
  <c r="AM154" i="33"/>
  <c r="AH154" i="33"/>
  <c r="AC154" i="33"/>
  <c r="X154" i="33"/>
  <c r="S154" i="33"/>
  <c r="AW153" i="33"/>
  <c r="AR153" i="33"/>
  <c r="AM153" i="33"/>
  <c r="AH153" i="33"/>
  <c r="AC153" i="33"/>
  <c r="X153" i="33"/>
  <c r="S153" i="33"/>
  <c r="AW152" i="33"/>
  <c r="AR152" i="33"/>
  <c r="AM152" i="33"/>
  <c r="AH152" i="33"/>
  <c r="AC152" i="33"/>
  <c r="X152" i="33"/>
  <c r="S152" i="33"/>
  <c r="AW151" i="33"/>
  <c r="AR151" i="33"/>
  <c r="AM151" i="33"/>
  <c r="AH151" i="33"/>
  <c r="AC151" i="33"/>
  <c r="X151" i="33"/>
  <c r="S151" i="33"/>
  <c r="AW150" i="33"/>
  <c r="AR150" i="33"/>
  <c r="AM150" i="33"/>
  <c r="AH150" i="33"/>
  <c r="AC150" i="33"/>
  <c r="X150" i="33"/>
  <c r="S150" i="33"/>
  <c r="AW149" i="33"/>
  <c r="AR149" i="33"/>
  <c r="AM149" i="33"/>
  <c r="AH149" i="33"/>
  <c r="AC149" i="33"/>
  <c r="X149" i="33"/>
  <c r="S149" i="33"/>
  <c r="AW148" i="33"/>
  <c r="AR148" i="33"/>
  <c r="AM148" i="33"/>
  <c r="AH148" i="33"/>
  <c r="AC148" i="33"/>
  <c r="X148" i="33"/>
  <c r="S148" i="33"/>
  <c r="AX147" i="33"/>
  <c r="AW147" i="33"/>
  <c r="AS147" i="33"/>
  <c r="AR147" i="33"/>
  <c r="AN147" i="33"/>
  <c r="AM147" i="33"/>
  <c r="AI147" i="33"/>
  <c r="AH147" i="33"/>
  <c r="AD147" i="33"/>
  <c r="AC147" i="33"/>
  <c r="Y147" i="33"/>
  <c r="X147" i="33"/>
  <c r="T147" i="33"/>
  <c r="S147" i="33"/>
  <c r="H147" i="33"/>
  <c r="H112" i="33"/>
  <c r="H77" i="33"/>
  <c r="K239" i="33"/>
  <c r="I239" i="33"/>
  <c r="K227" i="33"/>
  <c r="I227" i="33"/>
  <c r="H42" i="33"/>
  <c r="J240" i="33"/>
  <c r="I240" i="33"/>
  <c r="K236" i="33"/>
  <c r="J236" i="33"/>
  <c r="I236" i="33"/>
  <c r="K235" i="33"/>
  <c r="I235" i="33"/>
  <c r="J234" i="33"/>
  <c r="K232" i="33"/>
  <c r="I232" i="33"/>
  <c r="K231" i="33"/>
  <c r="I231" i="33"/>
  <c r="J230" i="33"/>
  <c r="J228" i="33"/>
  <c r="I228" i="33"/>
  <c r="K224" i="33"/>
  <c r="J224" i="33"/>
  <c r="I224" i="33"/>
  <c r="K223" i="33"/>
  <c r="I223" i="33"/>
  <c r="J222" i="33"/>
  <c r="K220" i="33"/>
  <c r="I220" i="33"/>
  <c r="K219" i="33"/>
  <c r="I219" i="33"/>
  <c r="K218" i="33"/>
  <c r="P37" i="33"/>
  <c r="S101" i="31"/>
  <c r="S100" i="31"/>
  <c r="S99" i="31"/>
  <c r="S98" i="31"/>
  <c r="S97" i="31"/>
  <c r="S96" i="31"/>
  <c r="S95" i="31"/>
  <c r="S94" i="31"/>
  <c r="S93" i="31"/>
  <c r="S92" i="31"/>
  <c r="S91" i="31"/>
  <c r="S90" i="31"/>
  <c r="S89" i="31"/>
  <c r="S88" i="31"/>
  <c r="T87" i="31"/>
  <c r="S87" i="31"/>
  <c r="H87" i="31"/>
  <c r="M67" i="31"/>
  <c r="H67" i="31"/>
  <c r="H47" i="31"/>
  <c r="M27" i="31"/>
  <c r="H27" i="31"/>
  <c r="S101" i="32"/>
  <c r="S100" i="32"/>
  <c r="S99" i="32"/>
  <c r="S98" i="32"/>
  <c r="S97" i="32"/>
  <c r="S96" i="32"/>
  <c r="S95" i="32"/>
  <c r="S94" i="32"/>
  <c r="S93" i="32"/>
  <c r="S92" i="32"/>
  <c r="S91" i="32"/>
  <c r="S90" i="32"/>
  <c r="S89" i="32"/>
  <c r="S88" i="32"/>
  <c r="T87" i="32"/>
  <c r="S87" i="32"/>
  <c r="H87" i="32"/>
  <c r="H67" i="32"/>
  <c r="H47" i="32"/>
  <c r="H27" i="32"/>
  <c r="K137" i="32"/>
  <c r="I136" i="32"/>
  <c r="K135" i="32"/>
  <c r="I135" i="32"/>
  <c r="K134" i="32"/>
  <c r="J134" i="32"/>
  <c r="I134" i="32"/>
  <c r="I133" i="32"/>
  <c r="J132" i="32"/>
  <c r="K131" i="32"/>
  <c r="K130" i="32"/>
  <c r="J130" i="32"/>
  <c r="I130" i="32"/>
  <c r="K129" i="32"/>
  <c r="I129" i="32"/>
  <c r="S101" i="30"/>
  <c r="S100" i="30"/>
  <c r="S99" i="30"/>
  <c r="S98" i="30"/>
  <c r="S97" i="30"/>
  <c r="S96" i="30"/>
  <c r="S95" i="30"/>
  <c r="S94" i="30"/>
  <c r="S93" i="30"/>
  <c r="S92" i="30"/>
  <c r="S91" i="30"/>
  <c r="S90" i="30"/>
  <c r="S89" i="30"/>
  <c r="S88" i="30"/>
  <c r="T87" i="30"/>
  <c r="S87" i="30"/>
  <c r="H87" i="30"/>
  <c r="H47" i="30"/>
  <c r="K134" i="30"/>
  <c r="J134" i="30"/>
  <c r="I134" i="30"/>
  <c r="K133" i="30"/>
  <c r="J133" i="30"/>
  <c r="J131" i="30"/>
  <c r="K129" i="30"/>
  <c r="J129" i="30"/>
  <c r="I129" i="30"/>
  <c r="J128" i="30"/>
  <c r="I128" i="30"/>
  <c r="S176" i="8"/>
  <c r="S175" i="8"/>
  <c r="S174" i="8"/>
  <c r="S173" i="8"/>
  <c r="S172" i="8"/>
  <c r="S171" i="8"/>
  <c r="S170" i="8"/>
  <c r="S169" i="8"/>
  <c r="S168" i="8"/>
  <c r="S167" i="8"/>
  <c r="S166" i="8"/>
  <c r="S165" i="8"/>
  <c r="S164" i="8"/>
  <c r="S163" i="8"/>
  <c r="S162" i="8"/>
  <c r="S161" i="8"/>
  <c r="S160" i="8"/>
  <c r="S159" i="8"/>
  <c r="S158" i="8"/>
  <c r="S157" i="8"/>
  <c r="S156" i="8"/>
  <c r="S155" i="8"/>
  <c r="S154" i="8"/>
  <c r="S153" i="8"/>
  <c r="S152" i="8"/>
  <c r="S151" i="8"/>
  <c r="S150" i="8"/>
  <c r="S149" i="8"/>
  <c r="S148" i="8"/>
  <c r="T147" i="8"/>
  <c r="S147" i="8"/>
  <c r="H147" i="8"/>
  <c r="S141" i="8"/>
  <c r="S140" i="8"/>
  <c r="S139" i="8"/>
  <c r="S138" i="8"/>
  <c r="S137" i="8"/>
  <c r="S136" i="8"/>
  <c r="S135" i="8"/>
  <c r="S134" i="8"/>
  <c r="S133" i="8"/>
  <c r="S132" i="8"/>
  <c r="S131" i="8"/>
  <c r="S130" i="8"/>
  <c r="S129" i="8"/>
  <c r="S128" i="8"/>
  <c r="S127" i="8"/>
  <c r="S126" i="8"/>
  <c r="S125" i="8"/>
  <c r="S124" i="8"/>
  <c r="S123" i="8"/>
  <c r="S122" i="8"/>
  <c r="S121" i="8"/>
  <c r="S120" i="8"/>
  <c r="S119" i="8"/>
  <c r="S118" i="8"/>
  <c r="S117" i="8"/>
  <c r="S116" i="8"/>
  <c r="S115" i="8"/>
  <c r="S114" i="8"/>
  <c r="S113" i="8"/>
  <c r="T112" i="8"/>
  <c r="S112" i="8"/>
  <c r="H112" i="8"/>
  <c r="S106" i="8"/>
  <c r="S105" i="8"/>
  <c r="S104" i="8"/>
  <c r="S103" i="8"/>
  <c r="S102" i="8"/>
  <c r="S101" i="8"/>
  <c r="S100" i="8"/>
  <c r="S99" i="8"/>
  <c r="S98" i="8"/>
  <c r="S97" i="8"/>
  <c r="S96" i="8"/>
  <c r="S95" i="8"/>
  <c r="S94" i="8"/>
  <c r="S93" i="8"/>
  <c r="S92" i="8"/>
  <c r="S91" i="8"/>
  <c r="S90" i="8"/>
  <c r="S89" i="8"/>
  <c r="S88" i="8"/>
  <c r="S87" i="8"/>
  <c r="S86" i="8"/>
  <c r="S85" i="8"/>
  <c r="S84" i="8"/>
  <c r="S83" i="8"/>
  <c r="S82" i="8"/>
  <c r="S81" i="8"/>
  <c r="S80" i="8"/>
  <c r="S79" i="8"/>
  <c r="S78" i="8"/>
  <c r="T77" i="8"/>
  <c r="S77" i="8"/>
  <c r="H77" i="8"/>
  <c r="K236" i="8"/>
  <c r="K235" i="8"/>
  <c r="J235" i="8"/>
  <c r="I235" i="8"/>
  <c r="J234" i="8"/>
  <c r="K233" i="8"/>
  <c r="K232" i="8"/>
  <c r="I232" i="8"/>
  <c r="K229" i="8"/>
  <c r="I229" i="8"/>
  <c r="K226" i="8"/>
  <c r="I226" i="8"/>
  <c r="K225" i="8"/>
  <c r="J225" i="8"/>
  <c r="I225" i="8"/>
  <c r="J224" i="8"/>
  <c r="I224" i="8"/>
  <c r="K223" i="8"/>
  <c r="I223" i="8"/>
  <c r="K220" i="8"/>
  <c r="I220" i="8"/>
  <c r="H42" i="8"/>
  <c r="K234" i="8"/>
  <c r="I234" i="8"/>
  <c r="K238" i="8"/>
  <c r="J238" i="8"/>
  <c r="I238" i="8"/>
  <c r="K237" i="8"/>
  <c r="J237" i="8"/>
  <c r="I237" i="8"/>
  <c r="J236" i="8"/>
  <c r="I236" i="8"/>
  <c r="J233" i="8"/>
  <c r="I233" i="8"/>
  <c r="J232" i="8"/>
  <c r="K231" i="8"/>
  <c r="J231" i="8"/>
  <c r="I231" i="8"/>
  <c r="K230" i="8"/>
  <c r="J230" i="8"/>
  <c r="I230" i="8"/>
  <c r="J229" i="8"/>
  <c r="K228" i="8"/>
  <c r="J228" i="8"/>
  <c r="I228" i="8"/>
  <c r="K227" i="8"/>
  <c r="J227" i="8"/>
  <c r="I227" i="8"/>
  <c r="J226" i="8"/>
  <c r="K221" i="8"/>
  <c r="J221" i="8"/>
  <c r="I221" i="8"/>
  <c r="K222" i="8"/>
  <c r="J222" i="8"/>
  <c r="I222" i="8"/>
  <c r="J223" i="8"/>
  <c r="J220" i="8"/>
  <c r="K219" i="8"/>
  <c r="J219" i="8"/>
  <c r="I219" i="8"/>
  <c r="K218" i="8"/>
  <c r="J218" i="8"/>
  <c r="I218" i="8"/>
  <c r="AK47" i="6"/>
  <c r="AI47" i="6"/>
  <c r="AG47" i="6"/>
  <c r="H20" i="13"/>
  <c r="W47" i="6"/>
  <c r="U47" i="6"/>
  <c r="AC45" i="6"/>
  <c r="S45" i="6"/>
  <c r="M45" i="6"/>
  <c r="AC44" i="6"/>
  <c r="S44" i="6"/>
  <c r="M44" i="6"/>
  <c r="AC42" i="6"/>
  <c r="S42" i="6"/>
  <c r="M42" i="6"/>
  <c r="AC41" i="6"/>
  <c r="S41" i="6"/>
  <c r="M41" i="6"/>
  <c r="AC40" i="6"/>
  <c r="S40" i="6"/>
  <c r="M40" i="6"/>
  <c r="AC39" i="6"/>
  <c r="S39" i="6"/>
  <c r="M39" i="6"/>
  <c r="AC38" i="6"/>
  <c r="S38" i="6"/>
  <c r="M38" i="6"/>
  <c r="AC37" i="6"/>
  <c r="S37" i="6"/>
  <c r="M37" i="6"/>
  <c r="AC36" i="6"/>
  <c r="S36" i="6"/>
  <c r="M36" i="6"/>
  <c r="AC35" i="6"/>
  <c r="S35" i="6"/>
  <c r="M35" i="6"/>
  <c r="AC34" i="6"/>
  <c r="S34" i="6"/>
  <c r="M34" i="6"/>
  <c r="AC33" i="6"/>
  <c r="S33" i="6"/>
  <c r="M33" i="6"/>
  <c r="AC32" i="6"/>
  <c r="S32" i="6"/>
  <c r="M32" i="6"/>
  <c r="AC31" i="6"/>
  <c r="S31" i="6"/>
  <c r="M31" i="6"/>
  <c r="AC30" i="6"/>
  <c r="S30" i="6"/>
  <c r="M30" i="6"/>
  <c r="AC29" i="6"/>
  <c r="S29" i="6"/>
  <c r="M29" i="6"/>
  <c r="AC28" i="6"/>
  <c r="S28" i="6"/>
  <c r="AC27" i="6"/>
  <c r="S27" i="6"/>
  <c r="AC26" i="6"/>
  <c r="S26" i="6"/>
  <c r="AC25" i="6"/>
  <c r="S25" i="6"/>
  <c r="AC24" i="6"/>
  <c r="S24" i="6"/>
  <c r="AC23" i="6"/>
  <c r="S23" i="6"/>
  <c r="AC22" i="6"/>
  <c r="S22" i="6"/>
  <c r="AC21" i="6"/>
  <c r="S21" i="6"/>
  <c r="AC20" i="6"/>
  <c r="S20" i="6"/>
  <c r="AC19" i="6"/>
  <c r="S19" i="6"/>
  <c r="AC18" i="6"/>
  <c r="S18" i="6"/>
  <c r="AC17" i="6"/>
  <c r="S17" i="6"/>
  <c r="AC16" i="6"/>
  <c r="S16" i="6"/>
  <c r="AC15" i="6"/>
  <c r="S15" i="6"/>
  <c r="F14" i="6"/>
  <c r="F13" i="6"/>
  <c r="F12" i="6"/>
  <c r="F11" i="6"/>
  <c r="F10" i="6"/>
  <c r="F9" i="6"/>
  <c r="F8" i="6"/>
  <c r="AK47" i="7"/>
  <c r="AI47" i="7"/>
  <c r="AG47" i="7"/>
  <c r="AE47" i="7"/>
  <c r="W47" i="7"/>
  <c r="U47" i="7"/>
  <c r="AC45" i="7"/>
  <c r="S45" i="7"/>
  <c r="M45" i="7"/>
  <c r="AC44" i="7"/>
  <c r="S44" i="7"/>
  <c r="M44" i="7"/>
  <c r="AC43" i="7"/>
  <c r="S43" i="7"/>
  <c r="M43" i="7"/>
  <c r="AC42" i="7"/>
  <c r="S42" i="7"/>
  <c r="M42" i="7"/>
  <c r="AC41" i="7"/>
  <c r="S41" i="7"/>
  <c r="M41" i="7"/>
  <c r="AC40" i="7"/>
  <c r="S40" i="7"/>
  <c r="M40" i="7"/>
  <c r="AC39" i="7"/>
  <c r="S39" i="7"/>
  <c r="M39" i="7"/>
  <c r="AC38" i="7"/>
  <c r="S38" i="7"/>
  <c r="M38" i="7"/>
  <c r="AC37" i="7"/>
  <c r="S37" i="7"/>
  <c r="M37" i="7"/>
  <c r="AC36" i="7"/>
  <c r="S36" i="7"/>
  <c r="M36" i="7"/>
  <c r="AC35" i="7"/>
  <c r="S35" i="7"/>
  <c r="M35" i="7"/>
  <c r="AC34" i="7"/>
  <c r="S34" i="7"/>
  <c r="M34" i="7"/>
  <c r="AC33" i="7"/>
  <c r="S33" i="7"/>
  <c r="M33" i="7"/>
  <c r="AC32" i="7"/>
  <c r="S32" i="7"/>
  <c r="M32" i="7"/>
  <c r="AC31" i="7"/>
  <c r="S31" i="7"/>
  <c r="M31" i="7"/>
  <c r="AC30" i="7"/>
  <c r="S30" i="7"/>
  <c r="M30" i="7"/>
  <c r="AC29" i="7"/>
  <c r="S29" i="7"/>
  <c r="M29" i="7"/>
  <c r="AC28" i="7"/>
  <c r="S28" i="7"/>
  <c r="M28" i="7"/>
  <c r="AC27" i="7"/>
  <c r="S27" i="7"/>
  <c r="M27" i="7"/>
  <c r="AC26" i="7"/>
  <c r="S26" i="7"/>
  <c r="M26" i="7"/>
  <c r="AC25" i="7"/>
  <c r="S25" i="7"/>
  <c r="M25" i="7"/>
  <c r="AC24" i="7"/>
  <c r="S24" i="7"/>
  <c r="M24" i="7"/>
  <c r="AC23" i="7"/>
  <c r="S23" i="7"/>
  <c r="M23" i="7"/>
  <c r="AC22" i="7"/>
  <c r="S22" i="7"/>
  <c r="M22" i="7"/>
  <c r="AC21" i="7"/>
  <c r="S21" i="7"/>
  <c r="M21" i="7"/>
  <c r="AC20" i="7"/>
  <c r="S20" i="7"/>
  <c r="M20" i="7"/>
  <c r="AC19" i="7"/>
  <c r="S19" i="7"/>
  <c r="M19" i="7"/>
  <c r="AC18" i="7"/>
  <c r="S18" i="7"/>
  <c r="M18" i="7"/>
  <c r="AC17" i="7"/>
  <c r="S17" i="7"/>
  <c r="M17" i="7"/>
  <c r="AC16" i="7"/>
  <c r="S16" i="7"/>
  <c r="M16" i="7"/>
  <c r="AC15" i="7"/>
  <c r="S15" i="7"/>
  <c r="M15" i="7"/>
  <c r="F13" i="7"/>
  <c r="F11" i="7"/>
  <c r="F9" i="7"/>
  <c r="I27" i="5"/>
  <c r="I26" i="5"/>
  <c r="I25" i="5"/>
  <c r="J25" i="5" s="1"/>
  <c r="I7" i="39" s="1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10" i="13"/>
  <c r="K10" i="13" s="1"/>
  <c r="I6" i="5"/>
  <c r="U39" i="3"/>
  <c r="O39" i="3"/>
  <c r="U38" i="3"/>
  <c r="O38" i="3"/>
  <c r="U37" i="3"/>
  <c r="O37" i="3"/>
  <c r="U36" i="3"/>
  <c r="O36" i="3"/>
  <c r="I20" i="39"/>
  <c r="K20" i="39" s="1"/>
  <c r="U34" i="3"/>
  <c r="O34" i="3"/>
  <c r="U33" i="3"/>
  <c r="O33" i="3"/>
  <c r="U32" i="3"/>
  <c r="O32" i="3"/>
  <c r="U31" i="3"/>
  <c r="O31" i="3"/>
  <c r="U30" i="3"/>
  <c r="O30" i="3"/>
  <c r="U29" i="3"/>
  <c r="O29" i="3"/>
  <c r="U28" i="3"/>
  <c r="O28" i="3"/>
  <c r="U27" i="3"/>
  <c r="O27" i="3"/>
  <c r="U26" i="3"/>
  <c r="O26" i="3"/>
  <c r="U25" i="3"/>
  <c r="O25" i="3"/>
  <c r="U24" i="3"/>
  <c r="O24" i="3"/>
  <c r="U23" i="3"/>
  <c r="O23" i="3"/>
  <c r="U22" i="3"/>
  <c r="O22" i="3"/>
  <c r="U21" i="3"/>
  <c r="O21" i="3"/>
  <c r="U20" i="3"/>
  <c r="O20" i="3"/>
  <c r="U19" i="3"/>
  <c r="O19" i="3"/>
  <c r="U18" i="3"/>
  <c r="O18" i="3"/>
  <c r="U17" i="3"/>
  <c r="O17" i="3"/>
  <c r="U16" i="3"/>
  <c r="O16" i="3"/>
  <c r="U15" i="3"/>
  <c r="O15" i="3"/>
  <c r="U14" i="3"/>
  <c r="O14" i="3"/>
  <c r="U13" i="3"/>
  <c r="O13" i="3"/>
  <c r="U12" i="3"/>
  <c r="O12" i="3"/>
  <c r="U11" i="3"/>
  <c r="O11" i="3"/>
  <c r="U10" i="3"/>
  <c r="O10" i="3"/>
  <c r="U9" i="3"/>
  <c r="O9" i="3"/>
  <c r="U8" i="3"/>
  <c r="O8" i="3"/>
  <c r="U7" i="3"/>
  <c r="O7" i="3"/>
  <c r="U6" i="3"/>
  <c r="O6" i="3"/>
  <c r="J24" i="39"/>
  <c r="D24" i="39"/>
  <c r="I22" i="39"/>
  <c r="K22" i="39" s="1"/>
  <c r="I18" i="39"/>
  <c r="K18" i="39" s="1"/>
  <c r="D8" i="39"/>
  <c r="J24" i="13"/>
  <c r="D24" i="13"/>
  <c r="H18" i="13"/>
  <c r="E10" i="13"/>
  <c r="I9" i="13"/>
  <c r="K9" i="13" s="1"/>
  <c r="I8" i="13"/>
  <c r="K8" i="13" s="1"/>
  <c r="I6" i="13"/>
  <c r="K6" i="13" s="1"/>
  <c r="X55" i="1"/>
  <c r="X54" i="1"/>
  <c r="X53" i="1"/>
  <c r="X52" i="1"/>
  <c r="X47" i="1"/>
  <c r="X46" i="1"/>
  <c r="X45" i="1"/>
  <c r="X44" i="1"/>
  <c r="X43" i="1"/>
  <c r="X41" i="1"/>
  <c r="X40" i="1"/>
  <c r="X39" i="1"/>
  <c r="X38" i="1"/>
  <c r="X37" i="1"/>
  <c r="X33" i="1"/>
  <c r="X32" i="1"/>
  <c r="X31" i="1"/>
  <c r="X30" i="1"/>
  <c r="X29" i="1"/>
  <c r="X27" i="1"/>
  <c r="X26" i="1"/>
  <c r="X25" i="1"/>
  <c r="X24" i="1"/>
  <c r="X23" i="1"/>
  <c r="S19" i="1"/>
  <c r="Q19" i="1"/>
  <c r="O19" i="1"/>
  <c r="S18" i="1"/>
  <c r="Q18" i="1"/>
  <c r="O18" i="1"/>
  <c r="J18" i="1"/>
  <c r="E18" i="1"/>
  <c r="D18" i="1"/>
  <c r="J17" i="1"/>
  <c r="E17" i="1"/>
  <c r="D17" i="1"/>
  <c r="J16" i="1"/>
  <c r="E16" i="1"/>
  <c r="D16" i="1"/>
  <c r="J15" i="1"/>
  <c r="E15" i="1"/>
  <c r="D15" i="1"/>
  <c r="V14" i="1"/>
  <c r="P14" i="1"/>
  <c r="U13" i="1"/>
  <c r="W13" i="1" s="1"/>
  <c r="O13" i="1"/>
  <c r="Q13" i="1" s="1"/>
  <c r="U12" i="1"/>
  <c r="W12" i="1" s="1"/>
  <c r="O12" i="1"/>
  <c r="Q12" i="1" s="1"/>
  <c r="U11" i="1"/>
  <c r="W11" i="1" s="1"/>
  <c r="O11" i="1"/>
  <c r="C11" i="1"/>
  <c r="E11" i="1" s="1"/>
  <c r="B11" i="1"/>
  <c r="U10" i="1"/>
  <c r="W10" i="1" s="1"/>
  <c r="O10" i="1"/>
  <c r="Q10" i="1" s="1"/>
  <c r="E10" i="1"/>
  <c r="D10" i="1"/>
  <c r="U9" i="1"/>
  <c r="O9" i="1"/>
  <c r="Q9" i="1" s="1"/>
  <c r="C9" i="1"/>
  <c r="B9" i="1"/>
  <c r="E9" i="1" s="1"/>
  <c r="U8" i="1"/>
  <c r="W8" i="1" s="1"/>
  <c r="O8" i="1"/>
  <c r="Q8" i="1" s="1"/>
  <c r="E8" i="1"/>
  <c r="D8" i="1"/>
  <c r="U7" i="1"/>
  <c r="W7" i="1" s="1"/>
  <c r="O7" i="1"/>
  <c r="Q7" i="1" s="1"/>
  <c r="E7" i="1"/>
  <c r="D7" i="1"/>
  <c r="U6" i="1"/>
  <c r="W6" i="1" s="1"/>
  <c r="O6" i="1"/>
  <c r="Q6" i="1" s="1"/>
  <c r="E6" i="1"/>
  <c r="D6" i="1"/>
  <c r="J18" i="5" l="1"/>
  <c r="K10" i="5"/>
  <c r="K7" i="39" s="1"/>
  <c r="J11" i="5"/>
  <c r="X48" i="1"/>
  <c r="V48" i="1" s="1"/>
  <c r="X34" i="1"/>
  <c r="V34" i="1" s="1"/>
  <c r="X42" i="1"/>
  <c r="V42" i="1" s="1"/>
  <c r="AJ8" i="6"/>
  <c r="V8" i="6"/>
  <c r="P8" i="6"/>
  <c r="J8" i="6"/>
  <c r="AH8" i="6"/>
  <c r="AB8" i="6"/>
  <c r="T8" i="6"/>
  <c r="N8" i="6"/>
  <c r="AF8" i="6"/>
  <c r="Z8" i="6"/>
  <c r="AL8" i="6"/>
  <c r="AD8" i="6"/>
  <c r="X8" i="6"/>
  <c r="R8" i="6"/>
  <c r="L8" i="6"/>
  <c r="M121" i="37"/>
  <c r="D9" i="39"/>
  <c r="AB12" i="6"/>
  <c r="R12" i="6"/>
  <c r="R9" i="6"/>
  <c r="AB9" i="6"/>
  <c r="R13" i="6"/>
  <c r="AB13" i="6"/>
  <c r="R10" i="6"/>
  <c r="AB10" i="6"/>
  <c r="R14" i="6"/>
  <c r="AB14" i="6"/>
  <c r="AB11" i="6"/>
  <c r="R11" i="6"/>
  <c r="AC46" i="6"/>
  <c r="AC47" i="6" s="1"/>
  <c r="M121" i="36"/>
  <c r="M121" i="35"/>
  <c r="M120" i="35"/>
  <c r="M119" i="35"/>
  <c r="M118" i="35"/>
  <c r="M117" i="35"/>
  <c r="M116" i="35"/>
  <c r="M110" i="35"/>
  <c r="M112" i="35"/>
  <c r="M114" i="35"/>
  <c r="M111" i="35"/>
  <c r="M108" i="35"/>
  <c r="M113" i="35"/>
  <c r="M109" i="35"/>
  <c r="M115" i="35"/>
  <c r="M107" i="35"/>
  <c r="M120" i="36"/>
  <c r="M119" i="36"/>
  <c r="M118" i="36"/>
  <c r="M117" i="36"/>
  <c r="M116" i="36"/>
  <c r="M115" i="36"/>
  <c r="M114" i="36"/>
  <c r="M113" i="36"/>
  <c r="M112" i="36"/>
  <c r="M108" i="36"/>
  <c r="M110" i="36"/>
  <c r="M109" i="36"/>
  <c r="M111" i="36"/>
  <c r="M107" i="36"/>
  <c r="M120" i="37"/>
  <c r="M119" i="37"/>
  <c r="M118" i="37"/>
  <c r="M117" i="37"/>
  <c r="M116" i="37"/>
  <c r="M115" i="37"/>
  <c r="M112" i="37"/>
  <c r="M114" i="37"/>
  <c r="M109" i="37"/>
  <c r="M107" i="37"/>
  <c r="M111" i="37"/>
  <c r="M108" i="37"/>
  <c r="M110" i="37"/>
  <c r="M113" i="37"/>
  <c r="M118" i="32"/>
  <c r="M112" i="32"/>
  <c r="M110" i="32"/>
  <c r="M116" i="32"/>
  <c r="M108" i="32"/>
  <c r="M114" i="32"/>
  <c r="M121" i="32"/>
  <c r="M120" i="32"/>
  <c r="M119" i="32"/>
  <c r="M111" i="32"/>
  <c r="M113" i="32"/>
  <c r="M109" i="32"/>
  <c r="M115" i="32"/>
  <c r="M107" i="32"/>
  <c r="M117" i="32"/>
  <c r="F23" i="6"/>
  <c r="X23" i="6" s="1"/>
  <c r="S46" i="6"/>
  <c r="S47" i="6" s="1"/>
  <c r="H16" i="13" s="1"/>
  <c r="M46" i="6"/>
  <c r="M47" i="6" s="1"/>
  <c r="F26" i="6"/>
  <c r="Z26" i="6" s="1"/>
  <c r="F20" i="6"/>
  <c r="AJ20" i="6" s="1"/>
  <c r="M71" i="36"/>
  <c r="AH10" i="6"/>
  <c r="AL10" i="6"/>
  <c r="X10" i="6"/>
  <c r="L10" i="6"/>
  <c r="J10" i="6"/>
  <c r="AF10" i="6"/>
  <c r="Z10" i="6"/>
  <c r="AJ10" i="6"/>
  <c r="V10" i="6"/>
  <c r="P10" i="6"/>
  <c r="AD10" i="6"/>
  <c r="T10" i="6"/>
  <c r="N10" i="6"/>
  <c r="AH14" i="6"/>
  <c r="X14" i="6"/>
  <c r="L14" i="6"/>
  <c r="P14" i="6"/>
  <c r="AF14" i="6"/>
  <c r="Z14" i="6"/>
  <c r="AL14" i="6"/>
  <c r="AJ14" i="6"/>
  <c r="V14" i="6"/>
  <c r="J14" i="6"/>
  <c r="N14" i="6"/>
  <c r="AD14" i="6"/>
  <c r="T14" i="6"/>
  <c r="AL11" i="6"/>
  <c r="X11" i="6"/>
  <c r="L11" i="6"/>
  <c r="AH11" i="6"/>
  <c r="Z11" i="6"/>
  <c r="AJ11" i="6"/>
  <c r="V11" i="6"/>
  <c r="P11" i="6"/>
  <c r="J11" i="6"/>
  <c r="AF11" i="6"/>
  <c r="T11" i="6"/>
  <c r="N11" i="6"/>
  <c r="AD11" i="6"/>
  <c r="AH12" i="6"/>
  <c r="AJ12" i="6"/>
  <c r="V12" i="6"/>
  <c r="J12" i="6"/>
  <c r="AF12" i="6"/>
  <c r="Z12" i="6"/>
  <c r="AL12" i="6"/>
  <c r="X12" i="6"/>
  <c r="L12" i="6"/>
  <c r="P12" i="6"/>
  <c r="AD12" i="6"/>
  <c r="N12" i="6"/>
  <c r="T12" i="6"/>
  <c r="AL9" i="6"/>
  <c r="X9" i="6"/>
  <c r="L9" i="6"/>
  <c r="Z9" i="6"/>
  <c r="AJ9" i="6"/>
  <c r="V9" i="6"/>
  <c r="P9" i="6"/>
  <c r="J9" i="6"/>
  <c r="AH9" i="6"/>
  <c r="AF9" i="6"/>
  <c r="T9" i="6"/>
  <c r="N9" i="6"/>
  <c r="AD9" i="6"/>
  <c r="AL13" i="6"/>
  <c r="X13" i="6"/>
  <c r="L13" i="6"/>
  <c r="AF13" i="6"/>
  <c r="AJ13" i="6"/>
  <c r="V13" i="6"/>
  <c r="P13" i="6"/>
  <c r="J13" i="6"/>
  <c r="AH13" i="6"/>
  <c r="Z13" i="6"/>
  <c r="AD13" i="6"/>
  <c r="N13" i="6"/>
  <c r="T13" i="6"/>
  <c r="F23" i="7"/>
  <c r="AH11" i="7"/>
  <c r="AB11" i="7"/>
  <c r="AF11" i="7"/>
  <c r="Z11" i="7"/>
  <c r="AL11" i="7"/>
  <c r="X11" i="7"/>
  <c r="R11" i="7"/>
  <c r="L11" i="7"/>
  <c r="AJ11" i="7"/>
  <c r="V11" i="7"/>
  <c r="P11" i="7"/>
  <c r="J11" i="7"/>
  <c r="AD11" i="7"/>
  <c r="T11" i="7"/>
  <c r="N11" i="7"/>
  <c r="AH13" i="7"/>
  <c r="AB13" i="7"/>
  <c r="AF13" i="7"/>
  <c r="Z13" i="7"/>
  <c r="AL13" i="7"/>
  <c r="X13" i="7"/>
  <c r="R13" i="7"/>
  <c r="L13" i="7"/>
  <c r="AJ13" i="7"/>
  <c r="V13" i="7"/>
  <c r="P13" i="7"/>
  <c r="J13" i="7"/>
  <c r="AD13" i="7"/>
  <c r="T13" i="7"/>
  <c r="N13" i="7"/>
  <c r="AH9" i="7"/>
  <c r="AB9" i="7"/>
  <c r="AF9" i="7"/>
  <c r="Z9" i="7"/>
  <c r="AL9" i="7"/>
  <c r="X9" i="7"/>
  <c r="R9" i="7"/>
  <c r="L9" i="7"/>
  <c r="AJ9" i="7"/>
  <c r="V9" i="7"/>
  <c r="P9" i="7"/>
  <c r="J9" i="7"/>
  <c r="AD9" i="7"/>
  <c r="T9" i="7"/>
  <c r="N9" i="7"/>
  <c r="M71" i="37"/>
  <c r="M81" i="37"/>
  <c r="M72" i="37"/>
  <c r="M70" i="37"/>
  <c r="M69" i="37"/>
  <c r="M68" i="37"/>
  <c r="M67" i="36"/>
  <c r="M68" i="36"/>
  <c r="M70" i="36"/>
  <c r="M69" i="36"/>
  <c r="M67" i="35"/>
  <c r="M70" i="35"/>
  <c r="M68" i="35"/>
  <c r="M74" i="35"/>
  <c r="M73" i="35"/>
  <c r="M72" i="35"/>
  <c r="M71" i="35"/>
  <c r="M76" i="35"/>
  <c r="M69" i="35"/>
  <c r="M75" i="35"/>
  <c r="M81" i="34"/>
  <c r="M73" i="34"/>
  <c r="M71" i="34"/>
  <c r="M69" i="34"/>
  <c r="M74" i="34"/>
  <c r="M68" i="34"/>
  <c r="M72" i="34"/>
  <c r="M70" i="34"/>
  <c r="M73" i="32"/>
  <c r="M77" i="32"/>
  <c r="M67" i="32"/>
  <c r="M71" i="32"/>
  <c r="M70" i="32"/>
  <c r="M76" i="32"/>
  <c r="M69" i="32"/>
  <c r="M75" i="32"/>
  <c r="M72" i="32"/>
  <c r="M68" i="32"/>
  <c r="M74" i="32"/>
  <c r="M122" i="8"/>
  <c r="M134" i="8"/>
  <c r="M140" i="8"/>
  <c r="M121" i="8"/>
  <c r="M118" i="8"/>
  <c r="M130" i="8"/>
  <c r="M114" i="8"/>
  <c r="M127" i="8"/>
  <c r="M120" i="8"/>
  <c r="M133" i="8"/>
  <c r="M113" i="8"/>
  <c r="M126" i="8"/>
  <c r="M119" i="8"/>
  <c r="M132" i="8"/>
  <c r="M125" i="8"/>
  <c r="M131" i="8"/>
  <c r="M117" i="8"/>
  <c r="M124" i="8"/>
  <c r="M116" i="8"/>
  <c r="M123" i="8"/>
  <c r="M129" i="8"/>
  <c r="M112" i="8"/>
  <c r="M115" i="8"/>
  <c r="M128" i="8"/>
  <c r="M137" i="8"/>
  <c r="X28" i="1"/>
  <c r="V28" i="1" s="1"/>
  <c r="D11" i="1"/>
  <c r="O14" i="1"/>
  <c r="B23" i="13"/>
  <c r="C23" i="13" s="1"/>
  <c r="E23" i="13" s="1"/>
  <c r="F31" i="7"/>
  <c r="AH31" i="7" s="1"/>
  <c r="F28" i="6"/>
  <c r="T28" i="6" s="1"/>
  <c r="F31" i="6"/>
  <c r="U14" i="1"/>
  <c r="F35" i="6"/>
  <c r="M47" i="37"/>
  <c r="M49" i="37"/>
  <c r="M59" i="37"/>
  <c r="M48" i="37"/>
  <c r="M50" i="37"/>
  <c r="M52" i="37"/>
  <c r="M57" i="37"/>
  <c r="M51" i="37"/>
  <c r="M61" i="37"/>
  <c r="M51" i="36"/>
  <c r="M48" i="36"/>
  <c r="M50" i="36"/>
  <c r="M49" i="36"/>
  <c r="M61" i="36"/>
  <c r="M52" i="35"/>
  <c r="M53" i="35"/>
  <c r="M61" i="35"/>
  <c r="M49" i="35"/>
  <c r="M51" i="35"/>
  <c r="M48" i="35"/>
  <c r="M50" i="35"/>
  <c r="M49" i="34"/>
  <c r="M52" i="34"/>
  <c r="M47" i="34"/>
  <c r="M51" i="34"/>
  <c r="M48" i="34"/>
  <c r="M53" i="34"/>
  <c r="M50" i="34"/>
  <c r="M78" i="33"/>
  <c r="M92" i="33"/>
  <c r="M84" i="33"/>
  <c r="M100" i="33"/>
  <c r="M101" i="33"/>
  <c r="M79" i="33"/>
  <c r="M81" i="33"/>
  <c r="M83" i="33"/>
  <c r="M94" i="33"/>
  <c r="M96" i="33"/>
  <c r="M98" i="33"/>
  <c r="M77" i="33"/>
  <c r="M85" i="33"/>
  <c r="M87" i="33"/>
  <c r="M89" i="33"/>
  <c r="M91" i="33"/>
  <c r="M80" i="33"/>
  <c r="M82" i="33"/>
  <c r="M93" i="33"/>
  <c r="M95" i="33"/>
  <c r="M97" i="33"/>
  <c r="M99" i="33"/>
  <c r="M86" i="33"/>
  <c r="M88" i="33"/>
  <c r="M90" i="33"/>
  <c r="M47" i="32"/>
  <c r="M49" i="32"/>
  <c r="M54" i="32"/>
  <c r="M56" i="32"/>
  <c r="M48" i="32"/>
  <c r="M51" i="32"/>
  <c r="M53" i="32"/>
  <c r="M55" i="32"/>
  <c r="M50" i="32"/>
  <c r="M52" i="32"/>
  <c r="M61" i="30"/>
  <c r="M52" i="30"/>
  <c r="M49" i="30"/>
  <c r="M51" i="30"/>
  <c r="M53" i="30"/>
  <c r="M48" i="30"/>
  <c r="M50" i="30"/>
  <c r="L77" i="8"/>
  <c r="M83" i="8"/>
  <c r="M85" i="8"/>
  <c r="M91" i="8"/>
  <c r="M95" i="8"/>
  <c r="M80" i="8"/>
  <c r="M79" i="8"/>
  <c r="M84" i="8"/>
  <c r="M89" i="8"/>
  <c r="M94" i="8"/>
  <c r="M97" i="8"/>
  <c r="M77" i="8"/>
  <c r="M81" i="8"/>
  <c r="M86" i="8"/>
  <c r="M88" i="8"/>
  <c r="M78" i="8"/>
  <c r="M90" i="8"/>
  <c r="M93" i="8"/>
  <c r="M96" i="8"/>
  <c r="M98" i="8"/>
  <c r="M82" i="8"/>
  <c r="M87" i="8"/>
  <c r="M92" i="8"/>
  <c r="U37" i="33"/>
  <c r="Z37" i="33" s="1"/>
  <c r="AE37" i="33" s="1"/>
  <c r="AJ37" i="33" s="1"/>
  <c r="AO37" i="33" s="1"/>
  <c r="AT37" i="33" s="1"/>
  <c r="K228" i="33"/>
  <c r="H17" i="13"/>
  <c r="K133" i="32"/>
  <c r="I128" i="31"/>
  <c r="W9" i="1"/>
  <c r="Q11" i="1"/>
  <c r="F45" i="6"/>
  <c r="J220" i="33"/>
  <c r="J232" i="33"/>
  <c r="J227" i="33"/>
  <c r="J239" i="33"/>
  <c r="K128" i="30"/>
  <c r="M136" i="30" s="1"/>
  <c r="I221" i="33"/>
  <c r="I225" i="33"/>
  <c r="I233" i="33"/>
  <c r="I229" i="33"/>
  <c r="J131" i="32"/>
  <c r="J135" i="32"/>
  <c r="J221" i="33"/>
  <c r="J225" i="33"/>
  <c r="J229" i="33"/>
  <c r="J233" i="33"/>
  <c r="L67" i="34"/>
  <c r="B33" i="39" s="1"/>
  <c r="M47" i="36"/>
  <c r="J130" i="30"/>
  <c r="K221" i="33"/>
  <c r="K225" i="33"/>
  <c r="K229" i="33"/>
  <c r="K233" i="33"/>
  <c r="K237" i="33"/>
  <c r="M54" i="37"/>
  <c r="K240" i="33"/>
  <c r="F36" i="6"/>
  <c r="M136" i="8"/>
  <c r="M139" i="8"/>
  <c r="K130" i="30"/>
  <c r="I128" i="32"/>
  <c r="I132" i="32"/>
  <c r="I218" i="33"/>
  <c r="I222" i="33"/>
  <c r="I226" i="33"/>
  <c r="I230" i="33"/>
  <c r="I234" i="33"/>
  <c r="I238" i="33"/>
  <c r="J128" i="32"/>
  <c r="J218" i="33"/>
  <c r="J226" i="33"/>
  <c r="J238" i="33"/>
  <c r="M58" i="37"/>
  <c r="M67" i="37"/>
  <c r="F35" i="7"/>
  <c r="AH35" i="7" s="1"/>
  <c r="F25" i="7"/>
  <c r="AD25" i="7" s="1"/>
  <c r="F29" i="7"/>
  <c r="AD29" i="7" s="1"/>
  <c r="D9" i="1"/>
  <c r="F33" i="7"/>
  <c r="K128" i="32"/>
  <c r="K132" i="32"/>
  <c r="K222" i="33"/>
  <c r="K226" i="33"/>
  <c r="K230" i="33"/>
  <c r="K234" i="33"/>
  <c r="K238" i="33"/>
  <c r="I241" i="33"/>
  <c r="I137" i="32"/>
  <c r="J241" i="33"/>
  <c r="F19" i="7"/>
  <c r="I131" i="32"/>
  <c r="F45" i="7"/>
  <c r="AH45" i="7" s="1"/>
  <c r="F18" i="6"/>
  <c r="F24" i="6"/>
  <c r="F27" i="6"/>
  <c r="F41" i="6"/>
  <c r="M135" i="8"/>
  <c r="M138" i="8"/>
  <c r="M141" i="8"/>
  <c r="L47" i="30"/>
  <c r="J129" i="32"/>
  <c r="J133" i="32"/>
  <c r="J137" i="32"/>
  <c r="J219" i="33"/>
  <c r="J223" i="33"/>
  <c r="J231" i="33"/>
  <c r="M53" i="37"/>
  <c r="H21" i="13"/>
  <c r="K128" i="37"/>
  <c r="M30" i="37"/>
  <c r="M32" i="37"/>
  <c r="K133" i="37"/>
  <c r="M27" i="37"/>
  <c r="M29" i="37"/>
  <c r="M28" i="37"/>
  <c r="K129" i="37"/>
  <c r="M31" i="37"/>
  <c r="K132" i="37"/>
  <c r="M31" i="36"/>
  <c r="M28" i="36"/>
  <c r="K129" i="36"/>
  <c r="M41" i="36"/>
  <c r="K128" i="36"/>
  <c r="M30" i="36"/>
  <c r="M27" i="36"/>
  <c r="M29" i="36"/>
  <c r="M28" i="35"/>
  <c r="K129" i="35"/>
  <c r="M31" i="35"/>
  <c r="K133" i="35"/>
  <c r="M41" i="35"/>
  <c r="K128" i="35"/>
  <c r="M33" i="35"/>
  <c r="M30" i="35"/>
  <c r="M32" i="35"/>
  <c r="K134" i="35"/>
  <c r="M134" i="35" s="1"/>
  <c r="M27" i="35"/>
  <c r="M29" i="35"/>
  <c r="M27" i="34"/>
  <c r="M31" i="34"/>
  <c r="K132" i="34"/>
  <c r="M28" i="34"/>
  <c r="M33" i="34"/>
  <c r="K134" i="34"/>
  <c r="M41" i="34"/>
  <c r="K128" i="34"/>
  <c r="M30" i="34"/>
  <c r="M29" i="34"/>
  <c r="K130" i="34"/>
  <c r="M32" i="34"/>
  <c r="I237" i="33"/>
  <c r="J235" i="33"/>
  <c r="J237" i="33"/>
  <c r="M44" i="33"/>
  <c r="M43" i="33"/>
  <c r="M45" i="33"/>
  <c r="M47" i="33"/>
  <c r="M55" i="33"/>
  <c r="M52" i="33"/>
  <c r="M60" i="33"/>
  <c r="M71" i="33"/>
  <c r="M63" i="33"/>
  <c r="M46" i="33"/>
  <c r="M49" i="33"/>
  <c r="M54" i="33"/>
  <c r="M57" i="33"/>
  <c r="M62" i="33"/>
  <c r="M65" i="33"/>
  <c r="K241" i="33"/>
  <c r="M242" i="33" s="1"/>
  <c r="M51" i="33"/>
  <c r="M59" i="33"/>
  <c r="M48" i="33"/>
  <c r="M50" i="33"/>
  <c r="M53" i="33"/>
  <c r="M56" i="33"/>
  <c r="M58" i="33"/>
  <c r="M61" i="33"/>
  <c r="M64" i="33"/>
  <c r="K128" i="31"/>
  <c r="M135" i="31" s="1"/>
  <c r="J136" i="32"/>
  <c r="K136" i="32"/>
  <c r="M135" i="32" s="1"/>
  <c r="M28" i="32"/>
  <c r="M41" i="32"/>
  <c r="M30" i="32"/>
  <c r="M32" i="32"/>
  <c r="M34" i="32"/>
  <c r="M36" i="32"/>
  <c r="M35" i="32"/>
  <c r="M27" i="32"/>
  <c r="M29" i="32"/>
  <c r="M31" i="32"/>
  <c r="M33" i="32"/>
  <c r="I130" i="30"/>
  <c r="K131" i="30"/>
  <c r="I131" i="30"/>
  <c r="I133" i="30"/>
  <c r="M44" i="8"/>
  <c r="M46" i="8"/>
  <c r="M48" i="8"/>
  <c r="K224" i="8"/>
  <c r="M228" i="8" s="1"/>
  <c r="M50" i="8"/>
  <c r="M52" i="8"/>
  <c r="M54" i="8"/>
  <c r="M56" i="8"/>
  <c r="M58" i="8"/>
  <c r="M60" i="8"/>
  <c r="M59" i="8"/>
  <c r="B22" i="13"/>
  <c r="C22" i="13" s="1"/>
  <c r="E22" i="13" s="1"/>
  <c r="B21" i="13"/>
  <c r="C21" i="13" s="1"/>
  <c r="E21" i="13" s="1"/>
  <c r="B18" i="13"/>
  <c r="C18" i="13" s="1"/>
  <c r="E18" i="13" s="1"/>
  <c r="F17" i="7"/>
  <c r="AH17" i="7" s="1"/>
  <c r="F21" i="7"/>
  <c r="T21" i="7" s="1"/>
  <c r="F27" i="7"/>
  <c r="F16" i="6"/>
  <c r="F19" i="6"/>
  <c r="B17" i="13"/>
  <c r="C17" i="13" s="1"/>
  <c r="E17" i="13" s="1"/>
  <c r="F15" i="7"/>
  <c r="F10" i="7"/>
  <c r="F14" i="7"/>
  <c r="F8" i="7"/>
  <c r="F12" i="7"/>
  <c r="F16" i="7"/>
  <c r="F20" i="7"/>
  <c r="F24" i="7"/>
  <c r="N24" i="7" s="1"/>
  <c r="F28" i="7"/>
  <c r="N28" i="7" s="1"/>
  <c r="F32" i="7"/>
  <c r="AD32" i="7" s="1"/>
  <c r="F36" i="7"/>
  <c r="T36" i="7" s="1"/>
  <c r="F18" i="7"/>
  <c r="T18" i="7" s="1"/>
  <c r="F22" i="7"/>
  <c r="T22" i="7" s="1"/>
  <c r="F26" i="7"/>
  <c r="F30" i="7"/>
  <c r="F34" i="7"/>
  <c r="AD34" i="7" s="1"/>
  <c r="AC46" i="7"/>
  <c r="B19" i="13" s="1"/>
  <c r="C19" i="13" s="1"/>
  <c r="E19" i="13" s="1"/>
  <c r="F44" i="7"/>
  <c r="N44" i="7" s="1"/>
  <c r="H23" i="13"/>
  <c r="F22" i="6"/>
  <c r="F32" i="6"/>
  <c r="F21" i="6"/>
  <c r="T23" i="6"/>
  <c r="AL23" i="6"/>
  <c r="P23" i="6"/>
  <c r="F25" i="6"/>
  <c r="F15" i="6"/>
  <c r="J23" i="6"/>
  <c r="F30" i="6"/>
  <c r="F17" i="6"/>
  <c r="N45" i="6"/>
  <c r="AH45" i="6"/>
  <c r="F34" i="6"/>
  <c r="F44" i="6"/>
  <c r="J45" i="6"/>
  <c r="P45" i="6"/>
  <c r="V45" i="6"/>
  <c r="AJ45" i="6"/>
  <c r="F29" i="6"/>
  <c r="F33" i="6"/>
  <c r="L45" i="6"/>
  <c r="X45" i="6"/>
  <c r="AD45" i="6"/>
  <c r="AL45" i="6"/>
  <c r="Z45" i="6"/>
  <c r="L27" i="34"/>
  <c r="M34" i="35"/>
  <c r="M35" i="35"/>
  <c r="M36" i="35"/>
  <c r="M37" i="35"/>
  <c r="M38" i="35"/>
  <c r="M39" i="35"/>
  <c r="M40" i="35"/>
  <c r="L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34" i="34"/>
  <c r="M35" i="34"/>
  <c r="M36" i="34"/>
  <c r="M37" i="34"/>
  <c r="M38" i="34"/>
  <c r="M39" i="34"/>
  <c r="M40" i="34"/>
  <c r="M33" i="37"/>
  <c r="M34" i="37"/>
  <c r="M35" i="37"/>
  <c r="M36" i="37"/>
  <c r="M37" i="37"/>
  <c r="M38" i="37"/>
  <c r="M39" i="37"/>
  <c r="M40" i="37"/>
  <c r="M41" i="37"/>
  <c r="M37" i="32"/>
  <c r="M38" i="32"/>
  <c r="M39" i="32"/>
  <c r="M40" i="32"/>
  <c r="M32" i="36"/>
  <c r="M33" i="36"/>
  <c r="M34" i="36"/>
  <c r="M35" i="36"/>
  <c r="M36" i="36"/>
  <c r="M37" i="36"/>
  <c r="M38" i="36"/>
  <c r="M39" i="36"/>
  <c r="M40" i="36"/>
  <c r="M54" i="34"/>
  <c r="M55" i="34"/>
  <c r="M56" i="34"/>
  <c r="M57" i="34"/>
  <c r="M58" i="34"/>
  <c r="M59" i="34"/>
  <c r="M60" i="34"/>
  <c r="M61" i="34"/>
  <c r="M57" i="32"/>
  <c r="M58" i="32"/>
  <c r="M59" i="32"/>
  <c r="M60" i="32"/>
  <c r="M61" i="32"/>
  <c r="M47" i="30"/>
  <c r="L47" i="34"/>
  <c r="M47" i="35"/>
  <c r="M56" i="37"/>
  <c r="M60" i="37"/>
  <c r="M54" i="30"/>
  <c r="M55" i="30"/>
  <c r="M56" i="30"/>
  <c r="M57" i="30"/>
  <c r="M58" i="30"/>
  <c r="M59" i="30"/>
  <c r="M60" i="30"/>
  <c r="M54" i="35"/>
  <c r="M55" i="35"/>
  <c r="M56" i="35"/>
  <c r="M57" i="35"/>
  <c r="M58" i="35"/>
  <c r="M59" i="35"/>
  <c r="M60" i="35"/>
  <c r="M52" i="36"/>
  <c r="M53" i="36"/>
  <c r="M54" i="36"/>
  <c r="M55" i="36"/>
  <c r="M56" i="36"/>
  <c r="M57" i="36"/>
  <c r="M58" i="36"/>
  <c r="M59" i="36"/>
  <c r="M60" i="36"/>
  <c r="M55" i="37"/>
  <c r="M78" i="32"/>
  <c r="M79" i="32"/>
  <c r="M80" i="32"/>
  <c r="M81" i="32"/>
  <c r="M67" i="34"/>
  <c r="M75" i="34"/>
  <c r="M76" i="34"/>
  <c r="M77" i="34"/>
  <c r="M78" i="34"/>
  <c r="M79" i="34"/>
  <c r="M80" i="34"/>
  <c r="M77" i="35"/>
  <c r="M78" i="35"/>
  <c r="M79" i="35"/>
  <c r="M80" i="35"/>
  <c r="M81" i="35"/>
  <c r="M72" i="36"/>
  <c r="M73" i="36"/>
  <c r="M74" i="36"/>
  <c r="M75" i="36"/>
  <c r="M76" i="36"/>
  <c r="M77" i="36"/>
  <c r="M78" i="36"/>
  <c r="M79" i="36"/>
  <c r="M80" i="36"/>
  <c r="M81" i="36"/>
  <c r="L67" i="31"/>
  <c r="B31" i="39" s="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73" i="37"/>
  <c r="M74" i="37"/>
  <c r="M75" i="37"/>
  <c r="M76" i="37"/>
  <c r="M77" i="37"/>
  <c r="M78" i="37"/>
  <c r="M79" i="37"/>
  <c r="M80" i="37"/>
  <c r="M101" i="31"/>
  <c r="M118" i="31"/>
  <c r="M114" i="31"/>
  <c r="M110" i="31"/>
  <c r="M121" i="31"/>
  <c r="M117" i="31"/>
  <c r="M113" i="31"/>
  <c r="M109" i="31"/>
  <c r="M120" i="31"/>
  <c r="M116" i="31"/>
  <c r="M112" i="31"/>
  <c r="M119" i="31"/>
  <c r="M115" i="31"/>
  <c r="M111" i="31"/>
  <c r="P42" i="37"/>
  <c r="P42" i="36"/>
  <c r="P42" i="35"/>
  <c r="P42" i="34"/>
  <c r="P42" i="31"/>
  <c r="J128" i="31"/>
  <c r="P42" i="32"/>
  <c r="P42" i="30"/>
  <c r="M132" i="30"/>
  <c r="L42" i="33"/>
  <c r="M42" i="33"/>
  <c r="M66" i="33"/>
  <c r="M67" i="33"/>
  <c r="M68" i="33"/>
  <c r="M69" i="33"/>
  <c r="M70" i="33"/>
  <c r="L77" i="33"/>
  <c r="M102" i="33"/>
  <c r="M103" i="33"/>
  <c r="M104" i="33"/>
  <c r="M105" i="33"/>
  <c r="M106" i="33"/>
  <c r="M211" i="33"/>
  <c r="M210" i="33"/>
  <c r="M209" i="33"/>
  <c r="M208" i="33"/>
  <c r="M207" i="33"/>
  <c r="M206" i="33"/>
  <c r="L112" i="8"/>
  <c r="B28" i="39" s="1"/>
  <c r="M99" i="8"/>
  <c r="M100" i="8"/>
  <c r="M101" i="8"/>
  <c r="M102" i="8"/>
  <c r="M103" i="8"/>
  <c r="M104" i="8"/>
  <c r="M105" i="8"/>
  <c r="M106" i="8"/>
  <c r="M42" i="8"/>
  <c r="M45" i="8"/>
  <c r="M49" i="8"/>
  <c r="M53" i="8"/>
  <c r="M57" i="8"/>
  <c r="M61" i="8"/>
  <c r="M62" i="8"/>
  <c r="M63" i="8"/>
  <c r="M64" i="8"/>
  <c r="M65" i="8"/>
  <c r="M66" i="8"/>
  <c r="M67" i="8"/>
  <c r="M68" i="8"/>
  <c r="M69" i="8"/>
  <c r="M70" i="8"/>
  <c r="M71" i="8"/>
  <c r="M43" i="8"/>
  <c r="M47" i="8"/>
  <c r="M51" i="8"/>
  <c r="M55" i="8"/>
  <c r="L47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D10" i="39"/>
  <c r="I11" i="13"/>
  <c r="K11" i="13" s="1"/>
  <c r="F39" i="6"/>
  <c r="F38" i="6"/>
  <c r="F42" i="6"/>
  <c r="F40" i="6"/>
  <c r="F43" i="7"/>
  <c r="AH43" i="7" s="1"/>
  <c r="S46" i="7"/>
  <c r="S47" i="7" s="1"/>
  <c r="F39" i="7"/>
  <c r="AH39" i="7" s="1"/>
  <c r="F38" i="7"/>
  <c r="N38" i="7" s="1"/>
  <c r="F42" i="7"/>
  <c r="N42" i="7" s="1"/>
  <c r="M46" i="7"/>
  <c r="B15" i="13" s="1"/>
  <c r="C15" i="13" s="1"/>
  <c r="F41" i="7"/>
  <c r="F40" i="7"/>
  <c r="N40" i="7" s="1"/>
  <c r="I17" i="39"/>
  <c r="K17" i="39" s="1"/>
  <c r="I21" i="39"/>
  <c r="K21" i="39" s="1"/>
  <c r="D7" i="39"/>
  <c r="I15" i="39"/>
  <c r="I19" i="39"/>
  <c r="K19" i="39" s="1"/>
  <c r="I23" i="39"/>
  <c r="K23" i="39" s="1"/>
  <c r="I16" i="39"/>
  <c r="K16" i="39" s="1"/>
  <c r="H22" i="13"/>
  <c r="AE47" i="6"/>
  <c r="F37" i="6"/>
  <c r="B20" i="13"/>
  <c r="C20" i="13" s="1"/>
  <c r="E20" i="13" s="1"/>
  <c r="F37" i="7"/>
  <c r="AL37" i="7" s="1"/>
  <c r="D6" i="13"/>
  <c r="E6" i="13"/>
  <c r="P72" i="8"/>
  <c r="U37" i="8"/>
  <c r="Z37" i="8" s="1"/>
  <c r="AE37" i="8" s="1"/>
  <c r="AJ37" i="8" s="1"/>
  <c r="AO37" i="8" s="1"/>
  <c r="AT37" i="8" s="1"/>
  <c r="M113" i="33"/>
  <c r="M117" i="33"/>
  <c r="M135" i="33"/>
  <c r="M114" i="33"/>
  <c r="M118" i="33"/>
  <c r="M122" i="33"/>
  <c r="M126" i="33"/>
  <c r="M130" i="33"/>
  <c r="M134" i="33"/>
  <c r="M121" i="33"/>
  <c r="M125" i="33"/>
  <c r="M129" i="33"/>
  <c r="M133" i="33"/>
  <c r="M112" i="33"/>
  <c r="L112" i="33"/>
  <c r="B32" i="39" s="1"/>
  <c r="M116" i="33"/>
  <c r="M120" i="33"/>
  <c r="M124" i="33"/>
  <c r="M128" i="33"/>
  <c r="M132" i="33"/>
  <c r="M136" i="33"/>
  <c r="M137" i="33"/>
  <c r="M138" i="33"/>
  <c r="M139" i="33"/>
  <c r="M140" i="33"/>
  <c r="M141" i="33"/>
  <c r="M115" i="33"/>
  <c r="M119" i="33"/>
  <c r="M123" i="33"/>
  <c r="M127" i="33"/>
  <c r="M131" i="33"/>
  <c r="D10" i="13"/>
  <c r="M91" i="37"/>
  <c r="M88" i="37"/>
  <c r="M90" i="37"/>
  <c r="M92" i="37"/>
  <c r="M87" i="37"/>
  <c r="M89" i="37"/>
  <c r="M93" i="37"/>
  <c r="M94" i="37"/>
  <c r="M95" i="37"/>
  <c r="M96" i="37"/>
  <c r="M97" i="37"/>
  <c r="M98" i="37"/>
  <c r="M99" i="37"/>
  <c r="M100" i="37"/>
  <c r="M101" i="37"/>
  <c r="M101" i="36"/>
  <c r="M88" i="36"/>
  <c r="M89" i="36"/>
  <c r="M87" i="36"/>
  <c r="M91" i="36"/>
  <c r="M92" i="36"/>
  <c r="M93" i="36"/>
  <c r="M94" i="36"/>
  <c r="M95" i="36"/>
  <c r="M96" i="36"/>
  <c r="M97" i="36"/>
  <c r="M98" i="36"/>
  <c r="M99" i="36"/>
  <c r="M100" i="36"/>
  <c r="M90" i="36"/>
  <c r="M91" i="35"/>
  <c r="M88" i="35"/>
  <c r="M90" i="35"/>
  <c r="M92" i="35"/>
  <c r="M87" i="35"/>
  <c r="M89" i="35"/>
  <c r="M93" i="35"/>
  <c r="M94" i="35"/>
  <c r="M95" i="35"/>
  <c r="M96" i="35"/>
  <c r="M97" i="35"/>
  <c r="M98" i="35"/>
  <c r="M99" i="35"/>
  <c r="M100" i="35"/>
  <c r="M101" i="35"/>
  <c r="M88" i="34"/>
  <c r="M91" i="34"/>
  <c r="M101" i="34"/>
  <c r="M92" i="34"/>
  <c r="M89" i="34"/>
  <c r="M93" i="34"/>
  <c r="L87" i="34"/>
  <c r="M87" i="34"/>
  <c r="M90" i="34"/>
  <c r="M94" i="34"/>
  <c r="M95" i="34"/>
  <c r="M96" i="34"/>
  <c r="M97" i="34"/>
  <c r="M98" i="34"/>
  <c r="M99" i="34"/>
  <c r="M100" i="34"/>
  <c r="M151" i="33"/>
  <c r="M155" i="33"/>
  <c r="M159" i="33"/>
  <c r="M163" i="33"/>
  <c r="M167" i="33"/>
  <c r="M168" i="33"/>
  <c r="M150" i="33"/>
  <c r="M154" i="33"/>
  <c r="M158" i="33"/>
  <c r="M162" i="33"/>
  <c r="M166" i="33"/>
  <c r="M170" i="33"/>
  <c r="L147" i="33"/>
  <c r="M147" i="33"/>
  <c r="M171" i="33"/>
  <c r="M172" i="33"/>
  <c r="M173" i="33"/>
  <c r="M174" i="33"/>
  <c r="M175" i="33"/>
  <c r="M176" i="33"/>
  <c r="M149" i="33"/>
  <c r="M153" i="33"/>
  <c r="M157" i="33"/>
  <c r="M161" i="33"/>
  <c r="M165" i="33"/>
  <c r="M169" i="33"/>
  <c r="M148" i="33"/>
  <c r="M152" i="33"/>
  <c r="M156" i="33"/>
  <c r="M160" i="33"/>
  <c r="M164" i="33"/>
  <c r="M88" i="31"/>
  <c r="M89" i="31"/>
  <c r="M90" i="31"/>
  <c r="M91" i="31"/>
  <c r="M92" i="31"/>
  <c r="M93" i="31"/>
  <c r="M94" i="31"/>
  <c r="L87" i="31"/>
  <c r="M87" i="31"/>
  <c r="M95" i="31"/>
  <c r="M96" i="31"/>
  <c r="M97" i="31"/>
  <c r="M98" i="31"/>
  <c r="M99" i="31"/>
  <c r="M100" i="31"/>
  <c r="M95" i="32"/>
  <c r="M88" i="32"/>
  <c r="M90" i="32"/>
  <c r="M92" i="32"/>
  <c r="M94" i="32"/>
  <c r="M96" i="32"/>
  <c r="M87" i="32"/>
  <c r="M89" i="32"/>
  <c r="M93" i="32"/>
  <c r="M97" i="32"/>
  <c r="M98" i="32"/>
  <c r="M99" i="32"/>
  <c r="M100" i="32"/>
  <c r="M101" i="32"/>
  <c r="M91" i="32"/>
  <c r="M91" i="30"/>
  <c r="M87" i="30"/>
  <c r="M90" i="30"/>
  <c r="M89" i="30"/>
  <c r="M93" i="30"/>
  <c r="M94" i="30"/>
  <c r="M95" i="30"/>
  <c r="M96" i="30"/>
  <c r="M97" i="30"/>
  <c r="M98" i="30"/>
  <c r="M99" i="30"/>
  <c r="M100" i="30"/>
  <c r="M101" i="30"/>
  <c r="M88" i="30"/>
  <c r="M92" i="30"/>
  <c r="L87" i="30"/>
  <c r="M159" i="8"/>
  <c r="M163" i="8"/>
  <c r="M165" i="8"/>
  <c r="M148" i="8"/>
  <c r="M152" i="8"/>
  <c r="M156" i="8"/>
  <c r="M160" i="8"/>
  <c r="M164" i="8"/>
  <c r="L147" i="8"/>
  <c r="M151" i="8"/>
  <c r="M155" i="8"/>
  <c r="M147" i="8"/>
  <c r="M150" i="8"/>
  <c r="M154" i="8"/>
  <c r="M158" i="8"/>
  <c r="M162" i="8"/>
  <c r="M166" i="8"/>
  <c r="M167" i="8"/>
  <c r="M168" i="8"/>
  <c r="M169" i="8"/>
  <c r="M170" i="8"/>
  <c r="M171" i="8"/>
  <c r="M172" i="8"/>
  <c r="M173" i="8"/>
  <c r="M174" i="8"/>
  <c r="M175" i="8"/>
  <c r="M176" i="8"/>
  <c r="M149" i="8"/>
  <c r="M153" i="8"/>
  <c r="M157" i="8"/>
  <c r="M161" i="8"/>
  <c r="G27" i="6" l="1"/>
  <c r="AH27" i="7"/>
  <c r="G27" i="7"/>
  <c r="AJ23" i="6"/>
  <c r="AF23" i="6"/>
  <c r="H12" i="6"/>
  <c r="V20" i="6"/>
  <c r="G20" i="6"/>
  <c r="N20" i="7"/>
  <c r="G20" i="7"/>
  <c r="G13" i="6"/>
  <c r="G13" i="7"/>
  <c r="H12" i="7"/>
  <c r="AH46" i="7" s="1"/>
  <c r="N40" i="6"/>
  <c r="AB40" i="6"/>
  <c r="R40" i="6"/>
  <c r="R42" i="6"/>
  <c r="AB42" i="6"/>
  <c r="AB44" i="6"/>
  <c r="R44" i="6"/>
  <c r="AJ41" i="6"/>
  <c r="AB41" i="6"/>
  <c r="R41" i="6"/>
  <c r="AF45" i="6"/>
  <c r="AB45" i="6"/>
  <c r="R45" i="6"/>
  <c r="AD20" i="6"/>
  <c r="AJ8" i="7"/>
  <c r="V8" i="7"/>
  <c r="P8" i="7"/>
  <c r="J8" i="7"/>
  <c r="AH8" i="7"/>
  <c r="AB8" i="7"/>
  <c r="T8" i="7"/>
  <c r="N8" i="7"/>
  <c r="AF8" i="7"/>
  <c r="Z8" i="7"/>
  <c r="AL8" i="7"/>
  <c r="AD8" i="7"/>
  <c r="X8" i="7"/>
  <c r="R8" i="7"/>
  <c r="L8" i="7"/>
  <c r="AD30" i="7"/>
  <c r="AD23" i="6"/>
  <c r="AH23" i="7"/>
  <c r="V26" i="6"/>
  <c r="AH16" i="6"/>
  <c r="AB16" i="6"/>
  <c r="R16" i="6"/>
  <c r="AB15" i="6"/>
  <c r="R15" i="6"/>
  <c r="N17" i="6"/>
  <c r="R17" i="6"/>
  <c r="AB17" i="6"/>
  <c r="L18" i="6"/>
  <c r="R18" i="6"/>
  <c r="AB18" i="6"/>
  <c r="C1" i="30"/>
  <c r="AH39" i="6"/>
  <c r="R39" i="6"/>
  <c r="AB39" i="6"/>
  <c r="N38" i="6"/>
  <c r="R38" i="6"/>
  <c r="AB38" i="6"/>
  <c r="AB34" i="6"/>
  <c r="R34" i="6"/>
  <c r="AF36" i="6"/>
  <c r="AB36" i="6"/>
  <c r="R36" i="6"/>
  <c r="AL37" i="6"/>
  <c r="AB37" i="6"/>
  <c r="R37" i="6"/>
  <c r="N33" i="6"/>
  <c r="R33" i="6"/>
  <c r="AB33" i="6"/>
  <c r="AF35" i="6"/>
  <c r="AB35" i="6"/>
  <c r="R35" i="6"/>
  <c r="AD33" i="7"/>
  <c r="D11" i="39"/>
  <c r="AD26" i="7"/>
  <c r="L26" i="6"/>
  <c r="AF28" i="6"/>
  <c r="AD26" i="6"/>
  <c r="AF26" i="6"/>
  <c r="L28" i="6"/>
  <c r="J26" i="6"/>
  <c r="AB30" i="6"/>
  <c r="R30" i="6"/>
  <c r="AH28" i="6"/>
  <c r="AB28" i="6"/>
  <c r="R28" i="6"/>
  <c r="AH26" i="6"/>
  <c r="AB26" i="6"/>
  <c r="R26" i="6"/>
  <c r="N29" i="6"/>
  <c r="AB29" i="6"/>
  <c r="R29" i="6"/>
  <c r="N32" i="6"/>
  <c r="AB32" i="6"/>
  <c r="R32" i="6"/>
  <c r="AD27" i="6"/>
  <c r="AB27" i="6"/>
  <c r="R27" i="6"/>
  <c r="AF31" i="6"/>
  <c r="AB31" i="6"/>
  <c r="R31" i="6"/>
  <c r="L23" i="6"/>
  <c r="Z23" i="6"/>
  <c r="N23" i="6"/>
  <c r="T20" i="6"/>
  <c r="AF20" i="6"/>
  <c r="V23" i="6"/>
  <c r="N25" i="6"/>
  <c r="R25" i="6"/>
  <c r="AB25" i="6"/>
  <c r="L22" i="6"/>
  <c r="R22" i="6"/>
  <c r="AB22" i="6"/>
  <c r="R19" i="6"/>
  <c r="AB19" i="6"/>
  <c r="N21" i="6"/>
  <c r="R21" i="6"/>
  <c r="AB21" i="6"/>
  <c r="AH20" i="6"/>
  <c r="AB20" i="6"/>
  <c r="R20" i="6"/>
  <c r="AH23" i="6"/>
  <c r="R23" i="6"/>
  <c r="AB23" i="6"/>
  <c r="V24" i="6"/>
  <c r="AB24" i="6"/>
  <c r="R24" i="6"/>
  <c r="AL20" i="6"/>
  <c r="N20" i="6"/>
  <c r="P20" i="6"/>
  <c r="AH19" i="6"/>
  <c r="AB19" i="7"/>
  <c r="AL28" i="6"/>
  <c r="T45" i="6"/>
  <c r="N35" i="6"/>
  <c r="J27" i="6"/>
  <c r="P26" i="6"/>
  <c r="X26" i="6"/>
  <c r="N26" i="6"/>
  <c r="T26" i="6"/>
  <c r="AJ26" i="6"/>
  <c r="AL26" i="6"/>
  <c r="V23" i="7"/>
  <c r="Z20" i="6"/>
  <c r="L20" i="6"/>
  <c r="X20" i="6"/>
  <c r="J20" i="6"/>
  <c r="AF46" i="6"/>
  <c r="Z18" i="6"/>
  <c r="AL18" i="6"/>
  <c r="Z28" i="6"/>
  <c r="AJ28" i="6"/>
  <c r="T31" i="6"/>
  <c r="V28" i="6"/>
  <c r="AL41" i="6"/>
  <c r="N36" i="6"/>
  <c r="AD31" i="6"/>
  <c r="V31" i="6"/>
  <c r="AB23" i="7"/>
  <c r="J23" i="7"/>
  <c r="N23" i="7"/>
  <c r="Z23" i="7"/>
  <c r="AL23" i="7"/>
  <c r="P23" i="7"/>
  <c r="AF23" i="7"/>
  <c r="L23" i="7"/>
  <c r="R23" i="7"/>
  <c r="AJ23" i="7"/>
  <c r="X23" i="7"/>
  <c r="AD23" i="7"/>
  <c r="X24" i="6"/>
  <c r="AD24" i="6"/>
  <c r="AF24" i="6"/>
  <c r="P24" i="6"/>
  <c r="AH24" i="6"/>
  <c r="AJ24" i="6"/>
  <c r="X28" i="6"/>
  <c r="AD28" i="6"/>
  <c r="N28" i="6"/>
  <c r="J28" i="6"/>
  <c r="P28" i="6"/>
  <c r="P19" i="7"/>
  <c r="V19" i="7"/>
  <c r="AL19" i="7"/>
  <c r="Z19" i="7"/>
  <c r="AH19" i="7"/>
  <c r="AH15" i="7"/>
  <c r="J18" i="6"/>
  <c r="P18" i="6"/>
  <c r="X18" i="6"/>
  <c r="N15" i="6"/>
  <c r="Z31" i="6"/>
  <c r="X31" i="6"/>
  <c r="P31" i="6"/>
  <c r="N31" i="6"/>
  <c r="AJ27" i="6"/>
  <c r="L31" i="6"/>
  <c r="J31" i="6"/>
  <c r="Z27" i="6"/>
  <c r="AL31" i="6"/>
  <c r="AJ31" i="6"/>
  <c r="AH31" i="6"/>
  <c r="AF27" i="6"/>
  <c r="T19" i="7"/>
  <c r="R35" i="7"/>
  <c r="J19" i="7"/>
  <c r="T23" i="7"/>
  <c r="N19" i="7"/>
  <c r="AF19" i="7"/>
  <c r="R19" i="7"/>
  <c r="N31" i="7"/>
  <c r="X19" i="7"/>
  <c r="AD19" i="7"/>
  <c r="AJ19" i="7"/>
  <c r="L19" i="7"/>
  <c r="J35" i="7"/>
  <c r="AL14" i="7"/>
  <c r="X14" i="7"/>
  <c r="R14" i="7"/>
  <c r="L14" i="7"/>
  <c r="AJ14" i="7"/>
  <c r="V14" i="7"/>
  <c r="P14" i="7"/>
  <c r="J14" i="7"/>
  <c r="AH14" i="7"/>
  <c r="AB14" i="7"/>
  <c r="AF14" i="7"/>
  <c r="Z14" i="7"/>
  <c r="AD14" i="7"/>
  <c r="T14" i="7"/>
  <c r="N14" i="7"/>
  <c r="AL10" i="7"/>
  <c r="X10" i="7"/>
  <c r="R10" i="7"/>
  <c r="L10" i="7"/>
  <c r="AJ10" i="7"/>
  <c r="V10" i="7"/>
  <c r="P10" i="7"/>
  <c r="J10" i="7"/>
  <c r="AH10" i="7"/>
  <c r="AB10" i="7"/>
  <c r="AF10" i="7"/>
  <c r="Z10" i="7"/>
  <c r="N10" i="7"/>
  <c r="AD10" i="7"/>
  <c r="T10" i="7"/>
  <c r="AL12" i="7"/>
  <c r="X12" i="7"/>
  <c r="R12" i="7"/>
  <c r="L12" i="7"/>
  <c r="AJ12" i="7"/>
  <c r="V12" i="7"/>
  <c r="P12" i="7"/>
  <c r="J12" i="7"/>
  <c r="AH12" i="7"/>
  <c r="AB12" i="7"/>
  <c r="AF12" i="7"/>
  <c r="Z12" i="7"/>
  <c r="N12" i="7"/>
  <c r="AD12" i="7"/>
  <c r="T12" i="7"/>
  <c r="T36" i="6"/>
  <c r="AL35" i="7"/>
  <c r="J31" i="7"/>
  <c r="L31" i="7"/>
  <c r="X31" i="7"/>
  <c r="Z29" i="7"/>
  <c r="AB35" i="7"/>
  <c r="V35" i="7"/>
  <c r="AB31" i="7"/>
  <c r="L29" i="7"/>
  <c r="AL31" i="7"/>
  <c r="X29" i="7"/>
  <c r="R31" i="7"/>
  <c r="P31" i="7"/>
  <c r="V31" i="7"/>
  <c r="AJ31" i="7"/>
  <c r="Z31" i="7"/>
  <c r="L35" i="7"/>
  <c r="P35" i="7"/>
  <c r="AF31" i="7"/>
  <c r="X35" i="7"/>
  <c r="AH29" i="7"/>
  <c r="AF35" i="7"/>
  <c r="N35" i="7"/>
  <c r="AD35" i="7"/>
  <c r="N29" i="7"/>
  <c r="T35" i="7"/>
  <c r="T29" i="7"/>
  <c r="R33" i="7"/>
  <c r="AD31" i="7"/>
  <c r="T31" i="7"/>
  <c r="AL29" i="7"/>
  <c r="AB29" i="7"/>
  <c r="R29" i="7"/>
  <c r="L33" i="7"/>
  <c r="T33" i="7"/>
  <c r="AB33" i="7"/>
  <c r="Z33" i="7"/>
  <c r="AF29" i="7"/>
  <c r="AF33" i="7"/>
  <c r="J29" i="7"/>
  <c r="AH33" i="7"/>
  <c r="J33" i="7"/>
  <c r="P29" i="7"/>
  <c r="X33" i="7"/>
  <c r="P33" i="7"/>
  <c r="V29" i="7"/>
  <c r="N33" i="7"/>
  <c r="V33" i="7"/>
  <c r="AJ29" i="7"/>
  <c r="AD43" i="7"/>
  <c r="AH41" i="6"/>
  <c r="P27" i="6"/>
  <c r="X36" i="6"/>
  <c r="J36" i="6"/>
  <c r="R45" i="7"/>
  <c r="AF41" i="6"/>
  <c r="L27" i="6"/>
  <c r="L45" i="7"/>
  <c r="Z45" i="7"/>
  <c r="Z41" i="6"/>
  <c r="X27" i="6"/>
  <c r="V45" i="7"/>
  <c r="T32" i="7"/>
  <c r="AL27" i="6"/>
  <c r="L36" i="6"/>
  <c r="N27" i="6"/>
  <c r="P41" i="6"/>
  <c r="L41" i="6"/>
  <c r="Z36" i="6"/>
  <c r="AJ36" i="6"/>
  <c r="V41" i="6"/>
  <c r="X41" i="6"/>
  <c r="J41" i="6"/>
  <c r="AD41" i="6"/>
  <c r="AH36" i="6"/>
  <c r="V36" i="6"/>
  <c r="P36" i="6"/>
  <c r="T41" i="6"/>
  <c r="N41" i="6"/>
  <c r="V27" i="6"/>
  <c r="AL36" i="6"/>
  <c r="AH27" i="6"/>
  <c r="AB45" i="7"/>
  <c r="AJ35" i="7"/>
  <c r="Z32" i="6"/>
  <c r="AD35" i="6"/>
  <c r="P35" i="6"/>
  <c r="AJ35" i="6"/>
  <c r="Z35" i="6"/>
  <c r="L35" i="6"/>
  <c r="AH35" i="6"/>
  <c r="AL35" i="6"/>
  <c r="J35" i="6"/>
  <c r="X35" i="6"/>
  <c r="V35" i="6"/>
  <c r="T35" i="6"/>
  <c r="C1" i="37"/>
  <c r="B36" i="13" s="1"/>
  <c r="L128" i="30"/>
  <c r="X27" i="7"/>
  <c r="T25" i="7"/>
  <c r="X25" i="7"/>
  <c r="L25" i="7"/>
  <c r="AH25" i="7"/>
  <c r="N25" i="7"/>
  <c r="J27" i="7"/>
  <c r="AB25" i="7"/>
  <c r="R25" i="7"/>
  <c r="AL25" i="7"/>
  <c r="Z25" i="7"/>
  <c r="AF25" i="7"/>
  <c r="J25" i="7"/>
  <c r="P25" i="7"/>
  <c r="V25" i="7"/>
  <c r="AJ25" i="7"/>
  <c r="T32" i="6"/>
  <c r="L17" i="7"/>
  <c r="AH18" i="6"/>
  <c r="AD18" i="6"/>
  <c r="L24" i="6"/>
  <c r="AD44" i="7"/>
  <c r="AJ45" i="7"/>
  <c r="AB27" i="7"/>
  <c r="T27" i="7"/>
  <c r="N43" i="7"/>
  <c r="M140" i="30"/>
  <c r="M133" i="30"/>
  <c r="T24" i="6"/>
  <c r="Z24" i="6"/>
  <c r="N18" i="6"/>
  <c r="T27" i="6"/>
  <c r="AD32" i="6"/>
  <c r="V27" i="7"/>
  <c r="AL33" i="7"/>
  <c r="AB43" i="7"/>
  <c r="M134" i="30"/>
  <c r="T39" i="7"/>
  <c r="M138" i="30"/>
  <c r="M131" i="30"/>
  <c r="AF18" i="6"/>
  <c r="Z27" i="7"/>
  <c r="X45" i="7"/>
  <c r="M141" i="30"/>
  <c r="M142" i="30"/>
  <c r="M129" i="30"/>
  <c r="AF32" i="6"/>
  <c r="T18" i="6"/>
  <c r="N24" i="6"/>
  <c r="AL45" i="7"/>
  <c r="N45" i="7"/>
  <c r="X39" i="7"/>
  <c r="AD36" i="6"/>
  <c r="M128" i="30"/>
  <c r="M135" i="30"/>
  <c r="V18" i="6"/>
  <c r="J24" i="6"/>
  <c r="AF45" i="7"/>
  <c r="M139" i="30"/>
  <c r="M137" i="30"/>
  <c r="M130" i="30"/>
  <c r="AJ18" i="6"/>
  <c r="AL24" i="6"/>
  <c r="J45" i="7"/>
  <c r="AD45" i="7"/>
  <c r="C1" i="34"/>
  <c r="L27" i="7"/>
  <c r="P45" i="7"/>
  <c r="Z35" i="7"/>
  <c r="T45" i="7"/>
  <c r="AJ33" i="7"/>
  <c r="P107" i="33"/>
  <c r="K15" i="39"/>
  <c r="I24" i="39"/>
  <c r="L19" i="6"/>
  <c r="AF19" i="6"/>
  <c r="AJ19" i="6"/>
  <c r="X19" i="6"/>
  <c r="Z19" i="6"/>
  <c r="V22" i="6"/>
  <c r="T22" i="6"/>
  <c r="J16" i="6"/>
  <c r="AD22" i="6"/>
  <c r="N22" i="6"/>
  <c r="AH22" i="6"/>
  <c r="P22" i="6"/>
  <c r="X22" i="6"/>
  <c r="AF22" i="6"/>
  <c r="AJ22" i="6"/>
  <c r="AL22" i="6"/>
  <c r="Z22" i="6"/>
  <c r="J22" i="6"/>
  <c r="M130" i="37"/>
  <c r="M133" i="37"/>
  <c r="M129" i="37"/>
  <c r="M142" i="37"/>
  <c r="M134" i="37"/>
  <c r="M136" i="37"/>
  <c r="M140" i="37"/>
  <c r="M135" i="37"/>
  <c r="M137" i="37"/>
  <c r="M138" i="37"/>
  <c r="M139" i="37"/>
  <c r="L128" i="37"/>
  <c r="M128" i="37"/>
  <c r="M141" i="37"/>
  <c r="M132" i="37"/>
  <c r="M131" i="37"/>
  <c r="M131" i="36"/>
  <c r="M132" i="36"/>
  <c r="M129" i="36"/>
  <c r="M141" i="36"/>
  <c r="M138" i="36"/>
  <c r="M134" i="36"/>
  <c r="M137" i="36"/>
  <c r="M136" i="36"/>
  <c r="M133" i="36"/>
  <c r="M140" i="36"/>
  <c r="M139" i="36"/>
  <c r="M128" i="36"/>
  <c r="L128" i="36"/>
  <c r="M142" i="36"/>
  <c r="M135" i="36"/>
  <c r="M132" i="35"/>
  <c r="M133" i="35"/>
  <c r="M136" i="35"/>
  <c r="M140" i="35"/>
  <c r="M128" i="35"/>
  <c r="M142" i="35"/>
  <c r="M138" i="35"/>
  <c r="M141" i="35"/>
  <c r="M131" i="35"/>
  <c r="M137" i="35"/>
  <c r="M139" i="35"/>
  <c r="L128" i="35"/>
  <c r="M130" i="35"/>
  <c r="M129" i="35"/>
  <c r="M135" i="35"/>
  <c r="M134" i="34"/>
  <c r="M130" i="34"/>
  <c r="M133" i="34"/>
  <c r="M132" i="34"/>
  <c r="M141" i="34"/>
  <c r="M128" i="34"/>
  <c r="M135" i="34"/>
  <c r="M139" i="34"/>
  <c r="M142" i="34"/>
  <c r="M138" i="34"/>
  <c r="M140" i="34"/>
  <c r="M137" i="34"/>
  <c r="M136" i="34"/>
  <c r="L128" i="34"/>
  <c r="M131" i="34"/>
  <c r="M129" i="34"/>
  <c r="M236" i="33"/>
  <c r="M219" i="33"/>
  <c r="M227" i="33"/>
  <c r="M240" i="33"/>
  <c r="M234" i="33"/>
  <c r="M225" i="33"/>
  <c r="M229" i="33"/>
  <c r="M220" i="33"/>
  <c r="L218" i="33"/>
  <c r="M247" i="33"/>
  <c r="M228" i="33"/>
  <c r="M231" i="33"/>
  <c r="M246" i="33"/>
  <c r="M241" i="33"/>
  <c r="M238" i="33"/>
  <c r="M232" i="33"/>
  <c r="M223" i="33"/>
  <c r="M235" i="33"/>
  <c r="M226" i="33"/>
  <c r="M244" i="33"/>
  <c r="M243" i="33"/>
  <c r="M245" i="33"/>
  <c r="M222" i="33"/>
  <c r="M237" i="33"/>
  <c r="M230" i="33"/>
  <c r="M221" i="33"/>
  <c r="M233" i="33"/>
  <c r="M224" i="33"/>
  <c r="M218" i="33"/>
  <c r="M239" i="33"/>
  <c r="M138" i="31"/>
  <c r="M139" i="31"/>
  <c r="M136" i="31"/>
  <c r="M137" i="31"/>
  <c r="M140" i="31"/>
  <c r="M141" i="31"/>
  <c r="L128" i="31"/>
  <c r="M142" i="31"/>
  <c r="M128" i="31"/>
  <c r="M129" i="31"/>
  <c r="M130" i="31"/>
  <c r="M131" i="31"/>
  <c r="M132" i="31"/>
  <c r="M133" i="31"/>
  <c r="M134" i="31"/>
  <c r="M137" i="32"/>
  <c r="M128" i="32"/>
  <c r="M133" i="32"/>
  <c r="M140" i="32"/>
  <c r="M134" i="32"/>
  <c r="M142" i="32"/>
  <c r="M131" i="32"/>
  <c r="M132" i="32"/>
  <c r="L128" i="32"/>
  <c r="M139" i="32"/>
  <c r="M136" i="32"/>
  <c r="M129" i="32"/>
  <c r="M130" i="32"/>
  <c r="M138" i="32"/>
  <c r="M141" i="32"/>
  <c r="M233" i="8"/>
  <c r="M235" i="8"/>
  <c r="M224" i="8"/>
  <c r="M221" i="8"/>
  <c r="L218" i="8"/>
  <c r="M226" i="8"/>
  <c r="M247" i="8"/>
  <c r="M234" i="8"/>
  <c r="M231" i="8"/>
  <c r="M223" i="8"/>
  <c r="M246" i="8"/>
  <c r="M225" i="8"/>
  <c r="M243" i="8"/>
  <c r="M232" i="8"/>
  <c r="M222" i="8"/>
  <c r="M238" i="8"/>
  <c r="M229" i="8"/>
  <c r="M219" i="8"/>
  <c r="M240" i="8"/>
  <c r="M239" i="8"/>
  <c r="M244" i="8"/>
  <c r="M245" i="8"/>
  <c r="M230" i="8"/>
  <c r="M220" i="8"/>
  <c r="M236" i="8"/>
  <c r="M227" i="8"/>
  <c r="M241" i="8"/>
  <c r="M218" i="8"/>
  <c r="M242" i="8"/>
  <c r="M237" i="8"/>
  <c r="AB21" i="7"/>
  <c r="AB17" i="7"/>
  <c r="X17" i="7"/>
  <c r="AL17" i="7"/>
  <c r="AF17" i="7"/>
  <c r="X21" i="7"/>
  <c r="P17" i="7"/>
  <c r="AD15" i="7"/>
  <c r="AJ17" i="7"/>
  <c r="J21" i="7"/>
  <c r="AC47" i="7"/>
  <c r="L21" i="7"/>
  <c r="Z21" i="7"/>
  <c r="Z15" i="7"/>
  <c r="V21" i="7"/>
  <c r="AB15" i="7"/>
  <c r="N15" i="7"/>
  <c r="J15" i="7"/>
  <c r="AH21" i="7"/>
  <c r="R21" i="7"/>
  <c r="P21" i="7"/>
  <c r="AL15" i="7"/>
  <c r="P15" i="7"/>
  <c r="X15" i="7"/>
  <c r="AD21" i="7"/>
  <c r="N21" i="7"/>
  <c r="AL21" i="7"/>
  <c r="AF21" i="7"/>
  <c r="AJ21" i="7"/>
  <c r="T15" i="7"/>
  <c r="L15" i="7"/>
  <c r="R15" i="7"/>
  <c r="AF15" i="7"/>
  <c r="B16" i="13"/>
  <c r="C16" i="13" s="1"/>
  <c r="E16" i="13" s="1"/>
  <c r="R17" i="7"/>
  <c r="Z17" i="7"/>
  <c r="V17" i="7"/>
  <c r="N17" i="7"/>
  <c r="T17" i="7"/>
  <c r="AD17" i="7"/>
  <c r="J17" i="7"/>
  <c r="AL27" i="7"/>
  <c r="P27" i="7"/>
  <c r="AF27" i="7"/>
  <c r="AD27" i="7"/>
  <c r="R27" i="7"/>
  <c r="AJ27" i="7"/>
  <c r="T24" i="7"/>
  <c r="N27" i="7"/>
  <c r="V15" i="7"/>
  <c r="AJ15" i="7"/>
  <c r="V19" i="6"/>
  <c r="AD19" i="6"/>
  <c r="J19" i="6"/>
  <c r="P19" i="6"/>
  <c r="AL19" i="6"/>
  <c r="AF16" i="6"/>
  <c r="N16" i="6"/>
  <c r="P16" i="6"/>
  <c r="T16" i="6"/>
  <c r="X16" i="6"/>
  <c r="L16" i="6"/>
  <c r="AD16" i="6"/>
  <c r="Z16" i="6"/>
  <c r="V16" i="6"/>
  <c r="AL16" i="6"/>
  <c r="AJ16" i="6"/>
  <c r="H15" i="13"/>
  <c r="T19" i="6"/>
  <c r="N19" i="6"/>
  <c r="I7" i="13"/>
  <c r="K7" i="13" s="1"/>
  <c r="AD28" i="7"/>
  <c r="AD24" i="7"/>
  <c r="AD20" i="7"/>
  <c r="T28" i="7"/>
  <c r="N16" i="7"/>
  <c r="T20" i="7"/>
  <c r="M47" i="7"/>
  <c r="AH44" i="7"/>
  <c r="AB44" i="7"/>
  <c r="AL44" i="7"/>
  <c r="X44" i="7"/>
  <c r="R44" i="7"/>
  <c r="L44" i="7"/>
  <c r="P44" i="7"/>
  <c r="Z44" i="7"/>
  <c r="AJ44" i="7"/>
  <c r="V44" i="7"/>
  <c r="J44" i="7"/>
  <c r="AF44" i="7"/>
  <c r="T44" i="7"/>
  <c r="N32" i="7"/>
  <c r="AH24" i="7"/>
  <c r="AB24" i="7"/>
  <c r="AL24" i="7"/>
  <c r="X24" i="7"/>
  <c r="R24" i="7"/>
  <c r="L24" i="7"/>
  <c r="AJ24" i="7"/>
  <c r="V24" i="7"/>
  <c r="J24" i="7"/>
  <c r="AF24" i="7"/>
  <c r="P24" i="7"/>
  <c r="Z24" i="7"/>
  <c r="N18" i="7"/>
  <c r="AL34" i="7"/>
  <c r="X34" i="7"/>
  <c r="R34" i="7"/>
  <c r="L34" i="7"/>
  <c r="AH34" i="7"/>
  <c r="AB34" i="7"/>
  <c r="P34" i="7"/>
  <c r="Z34" i="7"/>
  <c r="AJ34" i="7"/>
  <c r="V34" i="7"/>
  <c r="J34" i="7"/>
  <c r="AF34" i="7"/>
  <c r="AL30" i="7"/>
  <c r="X30" i="7"/>
  <c r="R30" i="7"/>
  <c r="L30" i="7"/>
  <c r="AH30" i="7"/>
  <c r="AB30" i="7"/>
  <c r="P30" i="7"/>
  <c r="Z30" i="7"/>
  <c r="AJ30" i="7"/>
  <c r="V30" i="7"/>
  <c r="J30" i="7"/>
  <c r="AF30" i="7"/>
  <c r="AL26" i="7"/>
  <c r="X26" i="7"/>
  <c r="R26" i="7"/>
  <c r="L26" i="7"/>
  <c r="AH26" i="7"/>
  <c r="AB26" i="7"/>
  <c r="P26" i="7"/>
  <c r="Z26" i="7"/>
  <c r="AJ26" i="7"/>
  <c r="V26" i="7"/>
  <c r="J26" i="7"/>
  <c r="AF26" i="7"/>
  <c r="AL22" i="7"/>
  <c r="X22" i="7"/>
  <c r="R22" i="7"/>
  <c r="L22" i="7"/>
  <c r="AH22" i="7"/>
  <c r="AB22" i="7"/>
  <c r="P22" i="7"/>
  <c r="Z22" i="7"/>
  <c r="AJ22" i="7"/>
  <c r="V22" i="7"/>
  <c r="J22" i="7"/>
  <c r="AF22" i="7"/>
  <c r="AH36" i="7"/>
  <c r="AB36" i="7"/>
  <c r="AL36" i="7"/>
  <c r="X36" i="7"/>
  <c r="R36" i="7"/>
  <c r="L36" i="7"/>
  <c r="AJ36" i="7"/>
  <c r="V36" i="7"/>
  <c r="J36" i="7"/>
  <c r="AF36" i="7"/>
  <c r="P36" i="7"/>
  <c r="Z36" i="7"/>
  <c r="T34" i="7"/>
  <c r="AD22" i="7"/>
  <c r="N34" i="7"/>
  <c r="N30" i="7"/>
  <c r="N26" i="7"/>
  <c r="N22" i="7"/>
  <c r="AD36" i="7"/>
  <c r="N36" i="7"/>
  <c r="AH28" i="7"/>
  <c r="AB28" i="7"/>
  <c r="AL28" i="7"/>
  <c r="X28" i="7"/>
  <c r="R28" i="7"/>
  <c r="L28" i="7"/>
  <c r="AJ28" i="7"/>
  <c r="V28" i="7"/>
  <c r="J28" i="7"/>
  <c r="AF28" i="7"/>
  <c r="P28" i="7"/>
  <c r="Z28" i="7"/>
  <c r="T26" i="7"/>
  <c r="AH20" i="7"/>
  <c r="AB20" i="7"/>
  <c r="AL20" i="7"/>
  <c r="X20" i="7"/>
  <c r="R20" i="7"/>
  <c r="L20" i="7"/>
  <c r="AJ20" i="7"/>
  <c r="V20" i="7"/>
  <c r="J20" i="7"/>
  <c r="P20" i="7"/>
  <c r="Z20" i="7"/>
  <c r="AF20" i="7"/>
  <c r="AH16" i="7"/>
  <c r="AB16" i="7"/>
  <c r="AL16" i="7"/>
  <c r="X16" i="7"/>
  <c r="R16" i="7"/>
  <c r="L16" i="7"/>
  <c r="AJ16" i="7"/>
  <c r="Z16" i="7"/>
  <c r="V16" i="7"/>
  <c r="J16" i="7"/>
  <c r="AF16" i="7"/>
  <c r="P16" i="7"/>
  <c r="T16" i="7"/>
  <c r="AD16" i="7"/>
  <c r="AL18" i="7"/>
  <c r="X18" i="7"/>
  <c r="R18" i="7"/>
  <c r="L18" i="7"/>
  <c r="AH18" i="7"/>
  <c r="AB18" i="7"/>
  <c r="AF18" i="7"/>
  <c r="Z18" i="7"/>
  <c r="V18" i="7"/>
  <c r="J18" i="7"/>
  <c r="AJ18" i="7"/>
  <c r="P18" i="7"/>
  <c r="AH32" i="7"/>
  <c r="AB32" i="7"/>
  <c r="AL32" i="7"/>
  <c r="X32" i="7"/>
  <c r="R32" i="7"/>
  <c r="L32" i="7"/>
  <c r="AJ32" i="7"/>
  <c r="V32" i="7"/>
  <c r="J32" i="7"/>
  <c r="AF32" i="7"/>
  <c r="P32" i="7"/>
  <c r="Z32" i="7"/>
  <c r="T30" i="7"/>
  <c r="AD18" i="7"/>
  <c r="AH32" i="6"/>
  <c r="AL32" i="6"/>
  <c r="J32" i="6"/>
  <c r="L32" i="6"/>
  <c r="AJ32" i="6"/>
  <c r="X32" i="6"/>
  <c r="P32" i="6"/>
  <c r="V32" i="6"/>
  <c r="AJ17" i="6"/>
  <c r="V17" i="6"/>
  <c r="P17" i="6"/>
  <c r="J17" i="6"/>
  <c r="AH17" i="6"/>
  <c r="T17" i="6"/>
  <c r="AF17" i="6"/>
  <c r="Z17" i="6"/>
  <c r="AD17" i="6"/>
  <c r="X17" i="6"/>
  <c r="L17" i="6"/>
  <c r="AL17" i="6"/>
  <c r="AJ29" i="6"/>
  <c r="V29" i="6"/>
  <c r="P29" i="6"/>
  <c r="J29" i="6"/>
  <c r="AH29" i="6"/>
  <c r="T29" i="6"/>
  <c r="AF29" i="6"/>
  <c r="Z29" i="6"/>
  <c r="AL29" i="6"/>
  <c r="X29" i="6"/>
  <c r="L29" i="6"/>
  <c r="AD29" i="6"/>
  <c r="AF15" i="6"/>
  <c r="Z15" i="6"/>
  <c r="AL15" i="6"/>
  <c r="AD15" i="6"/>
  <c r="X15" i="6"/>
  <c r="AJ15" i="6"/>
  <c r="P15" i="6"/>
  <c r="J15" i="6"/>
  <c r="AH15" i="6"/>
  <c r="T15" i="6"/>
  <c r="L15" i="6"/>
  <c r="V15" i="6"/>
  <c r="AJ33" i="6"/>
  <c r="V33" i="6"/>
  <c r="P33" i="6"/>
  <c r="J33" i="6"/>
  <c r="AH33" i="6"/>
  <c r="T33" i="6"/>
  <c r="AF33" i="6"/>
  <c r="Z33" i="6"/>
  <c r="AL33" i="6"/>
  <c r="AD33" i="6"/>
  <c r="X33" i="6"/>
  <c r="L33" i="6"/>
  <c r="AL44" i="6"/>
  <c r="AD44" i="6"/>
  <c r="X44" i="6"/>
  <c r="L44" i="6"/>
  <c r="AJ44" i="6"/>
  <c r="V44" i="6"/>
  <c r="P44" i="6"/>
  <c r="J44" i="6"/>
  <c r="AH44" i="6"/>
  <c r="T44" i="6"/>
  <c r="AF44" i="6"/>
  <c r="Z44" i="6"/>
  <c r="AL30" i="6"/>
  <c r="AD30" i="6"/>
  <c r="X30" i="6"/>
  <c r="L30" i="6"/>
  <c r="AJ30" i="6"/>
  <c r="V30" i="6"/>
  <c r="P30" i="6"/>
  <c r="J30" i="6"/>
  <c r="AH30" i="6"/>
  <c r="T30" i="6"/>
  <c r="AF30" i="6"/>
  <c r="Z30" i="6"/>
  <c r="N44" i="6"/>
  <c r="AJ25" i="6"/>
  <c r="V25" i="6"/>
  <c r="P25" i="6"/>
  <c r="J25" i="6"/>
  <c r="AH25" i="6"/>
  <c r="T25" i="6"/>
  <c r="AL25" i="6"/>
  <c r="AF25" i="6"/>
  <c r="Z25" i="6"/>
  <c r="AD25" i="6"/>
  <c r="X25" i="6"/>
  <c r="L25" i="6"/>
  <c r="AL34" i="6"/>
  <c r="AD34" i="6"/>
  <c r="X34" i="6"/>
  <c r="L34" i="6"/>
  <c r="AJ34" i="6"/>
  <c r="V34" i="6"/>
  <c r="P34" i="6"/>
  <c r="J34" i="6"/>
  <c r="AH34" i="6"/>
  <c r="T34" i="6"/>
  <c r="AF34" i="6"/>
  <c r="Z34" i="6"/>
  <c r="N30" i="6"/>
  <c r="N34" i="6"/>
  <c r="AJ21" i="6"/>
  <c r="V21" i="6"/>
  <c r="P21" i="6"/>
  <c r="J21" i="6"/>
  <c r="AH21" i="6"/>
  <c r="T21" i="6"/>
  <c r="AD21" i="6"/>
  <c r="X21" i="6"/>
  <c r="L21" i="6"/>
  <c r="AL21" i="6"/>
  <c r="AF21" i="6"/>
  <c r="Z21" i="6"/>
  <c r="H19" i="13"/>
  <c r="C1" i="32"/>
  <c r="C1" i="36"/>
  <c r="D34" i="39"/>
  <c r="C1" i="35"/>
  <c r="E34" i="39" s="1"/>
  <c r="C1" i="31"/>
  <c r="P62" i="37"/>
  <c r="U42" i="37"/>
  <c r="Z42" i="37" s="1"/>
  <c r="AE42" i="37" s="1"/>
  <c r="AJ42" i="37" s="1"/>
  <c r="AO42" i="37" s="1"/>
  <c r="AT42" i="37" s="1"/>
  <c r="P62" i="36"/>
  <c r="U42" i="36"/>
  <c r="Z42" i="36" s="1"/>
  <c r="AE42" i="36" s="1"/>
  <c r="AJ42" i="36" s="1"/>
  <c r="AO42" i="36" s="1"/>
  <c r="AT42" i="36" s="1"/>
  <c r="P62" i="35"/>
  <c r="U42" i="35"/>
  <c r="Z42" i="35" s="1"/>
  <c r="AE42" i="35" s="1"/>
  <c r="AJ42" i="35" s="1"/>
  <c r="AO42" i="35" s="1"/>
  <c r="AT42" i="35" s="1"/>
  <c r="P62" i="34"/>
  <c r="U42" i="34"/>
  <c r="Z42" i="34" s="1"/>
  <c r="AE42" i="34" s="1"/>
  <c r="AJ42" i="34" s="1"/>
  <c r="AO42" i="34" s="1"/>
  <c r="AT42" i="34" s="1"/>
  <c r="P62" i="31"/>
  <c r="U42" i="31"/>
  <c r="Z42" i="31" s="1"/>
  <c r="AE42" i="31" s="1"/>
  <c r="AJ42" i="31" s="1"/>
  <c r="AO42" i="31" s="1"/>
  <c r="AT42" i="31" s="1"/>
  <c r="U42" i="32"/>
  <c r="Z42" i="32" s="1"/>
  <c r="AE42" i="32" s="1"/>
  <c r="AJ42" i="32" s="1"/>
  <c r="AO42" i="32" s="1"/>
  <c r="AT42" i="32" s="1"/>
  <c r="P62" i="32"/>
  <c r="P62" i="30"/>
  <c r="U42" i="30"/>
  <c r="Z42" i="30" s="1"/>
  <c r="AE42" i="30" s="1"/>
  <c r="AJ42" i="30" s="1"/>
  <c r="AO42" i="30" s="1"/>
  <c r="AT42" i="30" s="1"/>
  <c r="C1" i="33"/>
  <c r="C1" i="8"/>
  <c r="AD39" i="6"/>
  <c r="T39" i="6"/>
  <c r="AF39" i="6"/>
  <c r="L39" i="6"/>
  <c r="AJ39" i="6"/>
  <c r="P39" i="6"/>
  <c r="X39" i="6"/>
  <c r="J39" i="6"/>
  <c r="N39" i="6"/>
  <c r="Z39" i="6"/>
  <c r="AL39" i="6"/>
  <c r="V39" i="6"/>
  <c r="AF38" i="6"/>
  <c r="Z38" i="6"/>
  <c r="AL38" i="6"/>
  <c r="AD38" i="6"/>
  <c r="X38" i="6"/>
  <c r="L38" i="6"/>
  <c r="AJ38" i="6"/>
  <c r="V38" i="6"/>
  <c r="P38" i="6"/>
  <c r="J38" i="6"/>
  <c r="AH38" i="6"/>
  <c r="T38" i="6"/>
  <c r="AF42" i="6"/>
  <c r="Z42" i="6"/>
  <c r="AL42" i="6"/>
  <c r="AD42" i="6"/>
  <c r="X42" i="6"/>
  <c r="L42" i="6"/>
  <c r="AJ42" i="6"/>
  <c r="V42" i="6"/>
  <c r="P42" i="6"/>
  <c r="J42" i="6"/>
  <c r="AH42" i="6"/>
  <c r="T42" i="6"/>
  <c r="N42" i="6"/>
  <c r="AJ40" i="6"/>
  <c r="V40" i="6"/>
  <c r="P40" i="6"/>
  <c r="J40" i="6"/>
  <c r="AH40" i="6"/>
  <c r="T40" i="6"/>
  <c r="AF40" i="6"/>
  <c r="Z40" i="6"/>
  <c r="AL40" i="6"/>
  <c r="AD40" i="6"/>
  <c r="X40" i="6"/>
  <c r="L40" i="6"/>
  <c r="Z39" i="7"/>
  <c r="Z43" i="7"/>
  <c r="R43" i="7"/>
  <c r="AJ43" i="7"/>
  <c r="AB39" i="7"/>
  <c r="X43" i="7"/>
  <c r="T43" i="7"/>
  <c r="AF43" i="7"/>
  <c r="AL43" i="7"/>
  <c r="V43" i="7"/>
  <c r="R39" i="7"/>
  <c r="P43" i="7"/>
  <c r="L43" i="7"/>
  <c r="J43" i="7"/>
  <c r="AJ39" i="7"/>
  <c r="AD39" i="7"/>
  <c r="P39" i="7"/>
  <c r="N39" i="7"/>
  <c r="AF39" i="7"/>
  <c r="AL39" i="7"/>
  <c r="L39" i="7"/>
  <c r="V39" i="7"/>
  <c r="J39" i="7"/>
  <c r="AF42" i="7"/>
  <c r="Z42" i="7"/>
  <c r="AL42" i="7"/>
  <c r="AD42" i="7"/>
  <c r="X42" i="7"/>
  <c r="R42" i="7"/>
  <c r="L42" i="7"/>
  <c r="AJ42" i="7"/>
  <c r="V42" i="7"/>
  <c r="P42" i="7"/>
  <c r="J42" i="7"/>
  <c r="AH42" i="7"/>
  <c r="AB42" i="7"/>
  <c r="T42" i="7"/>
  <c r="AJ40" i="7"/>
  <c r="V40" i="7"/>
  <c r="P40" i="7"/>
  <c r="J40" i="7"/>
  <c r="AH40" i="7"/>
  <c r="AB40" i="7"/>
  <c r="T40" i="7"/>
  <c r="AF40" i="7"/>
  <c r="Z40" i="7"/>
  <c r="AL40" i="7"/>
  <c r="AD40" i="7"/>
  <c r="X40" i="7"/>
  <c r="R40" i="7"/>
  <c r="L40" i="7"/>
  <c r="AL41" i="7"/>
  <c r="AD41" i="7"/>
  <c r="X41" i="7"/>
  <c r="R41" i="7"/>
  <c r="L41" i="7"/>
  <c r="AJ41" i="7"/>
  <c r="V41" i="7"/>
  <c r="P41" i="7"/>
  <c r="J41" i="7"/>
  <c r="AH41" i="7"/>
  <c r="AB41" i="7"/>
  <c r="T41" i="7"/>
  <c r="AF41" i="7"/>
  <c r="Z41" i="7"/>
  <c r="AF38" i="7"/>
  <c r="Z38" i="7"/>
  <c r="AL38" i="7"/>
  <c r="AD38" i="7"/>
  <c r="X38" i="7"/>
  <c r="R38" i="7"/>
  <c r="L38" i="7"/>
  <c r="AJ38" i="7"/>
  <c r="V38" i="7"/>
  <c r="P38" i="7"/>
  <c r="J38" i="7"/>
  <c r="AH38" i="7"/>
  <c r="AB38" i="7"/>
  <c r="T38" i="7"/>
  <c r="N41" i="7"/>
  <c r="C22" i="39"/>
  <c r="E22" i="39" s="1"/>
  <c r="C20" i="39"/>
  <c r="E20" i="39" s="1"/>
  <c r="C18" i="39"/>
  <c r="E18" i="39" s="1"/>
  <c r="C16" i="39"/>
  <c r="E16" i="39" s="1"/>
  <c r="D6" i="39"/>
  <c r="C23" i="39"/>
  <c r="E23" i="39" s="1"/>
  <c r="C21" i="39"/>
  <c r="E21" i="39" s="1"/>
  <c r="C19" i="39"/>
  <c r="E19" i="39" s="1"/>
  <c r="C17" i="39"/>
  <c r="E17" i="39" s="1"/>
  <c r="C15" i="39"/>
  <c r="AJ37" i="6"/>
  <c r="X37" i="6"/>
  <c r="N37" i="6"/>
  <c r="J37" i="6"/>
  <c r="AD37" i="6"/>
  <c r="Z37" i="6"/>
  <c r="T37" i="6"/>
  <c r="L37" i="6"/>
  <c r="P37" i="6"/>
  <c r="AF37" i="6"/>
  <c r="AH37" i="6"/>
  <c r="V37" i="6"/>
  <c r="E9" i="13"/>
  <c r="J37" i="7"/>
  <c r="AD37" i="7"/>
  <c r="R37" i="7"/>
  <c r="V37" i="7"/>
  <c r="AB37" i="7"/>
  <c r="Z37" i="7"/>
  <c r="L37" i="7"/>
  <c r="P37" i="7"/>
  <c r="T37" i="7"/>
  <c r="X37" i="7"/>
  <c r="AJ37" i="7"/>
  <c r="AH37" i="7"/>
  <c r="AF37" i="7"/>
  <c r="N37" i="7"/>
  <c r="E15" i="13"/>
  <c r="D8" i="13"/>
  <c r="E8" i="13"/>
  <c r="P107" i="8"/>
  <c r="U72" i="8"/>
  <c r="Z72" i="8" s="1"/>
  <c r="AE72" i="8" s="1"/>
  <c r="AJ72" i="8" s="1"/>
  <c r="AO72" i="8" s="1"/>
  <c r="AT72" i="8" s="1"/>
  <c r="D11" i="13"/>
  <c r="E11" i="13"/>
  <c r="D36" i="39"/>
  <c r="D35" i="39"/>
  <c r="D33" i="39"/>
  <c r="D32" i="39"/>
  <c r="D31" i="39"/>
  <c r="D30" i="39"/>
  <c r="D29" i="39"/>
  <c r="D28" i="39"/>
  <c r="AD46" i="6" l="1"/>
  <c r="T46" i="6"/>
  <c r="N46" i="6"/>
  <c r="AH46" i="6"/>
  <c r="P46" i="6"/>
  <c r="V46" i="6"/>
  <c r="L46" i="6"/>
  <c r="Z46" i="6"/>
  <c r="AB46" i="6"/>
  <c r="AJ46" i="6"/>
  <c r="R46" i="6"/>
  <c r="AL46" i="6"/>
  <c r="X46" i="6"/>
  <c r="J46" i="6"/>
  <c r="R46" i="7"/>
  <c r="AJ46" i="7"/>
  <c r="L46" i="7"/>
  <c r="P46" i="7"/>
  <c r="V46" i="7"/>
  <c r="X46" i="7"/>
  <c r="AF46" i="7"/>
  <c r="AB46" i="7"/>
  <c r="J46" i="7"/>
  <c r="Z46" i="7"/>
  <c r="AL46" i="7"/>
  <c r="C24" i="13"/>
  <c r="E36" i="39"/>
  <c r="P142" i="33"/>
  <c r="U107" i="33"/>
  <c r="Z107" i="33" s="1"/>
  <c r="AE107" i="33" s="1"/>
  <c r="AJ107" i="33" s="1"/>
  <c r="AO107" i="33" s="1"/>
  <c r="AT107" i="33" s="1"/>
  <c r="I15" i="13"/>
  <c r="K15" i="13" s="1"/>
  <c r="D9" i="13"/>
  <c r="B34" i="13"/>
  <c r="D34" i="13" s="1"/>
  <c r="U62" i="37"/>
  <c r="Z62" i="37" s="1"/>
  <c r="AE62" i="37" s="1"/>
  <c r="AJ62" i="37" s="1"/>
  <c r="AO62" i="37" s="1"/>
  <c r="AT62" i="37" s="1"/>
  <c r="P82" i="37"/>
  <c r="P82" i="36"/>
  <c r="U62" i="36"/>
  <c r="Z62" i="36" s="1"/>
  <c r="AE62" i="36" s="1"/>
  <c r="AJ62" i="36" s="1"/>
  <c r="AO62" i="36" s="1"/>
  <c r="AT62" i="36" s="1"/>
  <c r="P82" i="35"/>
  <c r="U62" i="35"/>
  <c r="Z62" i="35" s="1"/>
  <c r="AE62" i="35" s="1"/>
  <c r="AJ62" i="35" s="1"/>
  <c r="AO62" i="35" s="1"/>
  <c r="AT62" i="35" s="1"/>
  <c r="U62" i="34"/>
  <c r="Z62" i="34" s="1"/>
  <c r="AE62" i="34" s="1"/>
  <c r="AJ62" i="34" s="1"/>
  <c r="AO62" i="34" s="1"/>
  <c r="AT62" i="34" s="1"/>
  <c r="P82" i="34"/>
  <c r="P82" i="31"/>
  <c r="U62" i="31"/>
  <c r="Z62" i="31" s="1"/>
  <c r="AE62" i="31" s="1"/>
  <c r="AJ62" i="31" s="1"/>
  <c r="AO62" i="31" s="1"/>
  <c r="AT62" i="31" s="1"/>
  <c r="P82" i="32"/>
  <c r="U62" i="32"/>
  <c r="Z62" i="32" s="1"/>
  <c r="AE62" i="32" s="1"/>
  <c r="AJ62" i="32" s="1"/>
  <c r="AO62" i="32" s="1"/>
  <c r="AT62" i="32" s="1"/>
  <c r="P82" i="30"/>
  <c r="U62" i="30"/>
  <c r="Z62" i="30" s="1"/>
  <c r="AE62" i="30" s="1"/>
  <c r="AJ62" i="30" s="1"/>
  <c r="AO62" i="30" s="1"/>
  <c r="AT62" i="30" s="1"/>
  <c r="E15" i="39"/>
  <c r="C24" i="39"/>
  <c r="I19" i="13"/>
  <c r="K19" i="13" s="1"/>
  <c r="I23" i="13"/>
  <c r="K23" i="13" s="1"/>
  <c r="I22" i="13"/>
  <c r="K22" i="13" s="1"/>
  <c r="I21" i="13"/>
  <c r="K21" i="13" s="1"/>
  <c r="I20" i="13"/>
  <c r="K20" i="13" s="1"/>
  <c r="I17" i="13"/>
  <c r="K17" i="13" s="1"/>
  <c r="E7" i="13"/>
  <c r="I18" i="13"/>
  <c r="K18" i="13" s="1"/>
  <c r="I16" i="13"/>
  <c r="K16" i="13" s="1"/>
  <c r="D7" i="13"/>
  <c r="N46" i="7"/>
  <c r="AD46" i="7"/>
  <c r="T46" i="7"/>
  <c r="P142" i="8"/>
  <c r="U107" i="8"/>
  <c r="Z107" i="8" s="1"/>
  <c r="AE107" i="8" s="1"/>
  <c r="AJ107" i="8" s="1"/>
  <c r="AO107" i="8" s="1"/>
  <c r="AT107" i="8" s="1"/>
  <c r="N36" i="13"/>
  <c r="R36" i="13" s="1"/>
  <c r="E36" i="13" s="1"/>
  <c r="D36" i="13"/>
  <c r="E35" i="39"/>
  <c r="B35" i="13"/>
  <c r="E33" i="39"/>
  <c r="B33" i="13"/>
  <c r="B32" i="13"/>
  <c r="E32" i="39"/>
  <c r="E31" i="39"/>
  <c r="B31" i="13"/>
  <c r="B30" i="13"/>
  <c r="E30" i="39"/>
  <c r="B29" i="13"/>
  <c r="E29" i="39"/>
  <c r="E28" i="39"/>
  <c r="B28" i="13"/>
  <c r="P177" i="33" l="1"/>
  <c r="U177" i="33" s="1"/>
  <c r="Z177" i="33" s="1"/>
  <c r="AE177" i="33" s="1"/>
  <c r="AJ177" i="33" s="1"/>
  <c r="AO177" i="33" s="1"/>
  <c r="AT177" i="33" s="1"/>
  <c r="U142" i="33"/>
  <c r="Z142" i="33" s="1"/>
  <c r="AE142" i="33" s="1"/>
  <c r="AJ142" i="33" s="1"/>
  <c r="AO142" i="33" s="1"/>
  <c r="AT142" i="33" s="1"/>
  <c r="N34" i="13"/>
  <c r="R34" i="13" s="1"/>
  <c r="E34" i="13" s="1"/>
  <c r="P102" i="37"/>
  <c r="U102" i="37" s="1"/>
  <c r="Z102" i="37" s="1"/>
  <c r="AE102" i="37" s="1"/>
  <c r="AJ102" i="37" s="1"/>
  <c r="AO102" i="37" s="1"/>
  <c r="AT102" i="37" s="1"/>
  <c r="U82" i="37"/>
  <c r="Z82" i="37" s="1"/>
  <c r="AE82" i="37" s="1"/>
  <c r="AJ82" i="37" s="1"/>
  <c r="AO82" i="37" s="1"/>
  <c r="AT82" i="37" s="1"/>
  <c r="P102" i="36"/>
  <c r="U102" i="36" s="1"/>
  <c r="Z102" i="36" s="1"/>
  <c r="AE102" i="36" s="1"/>
  <c r="AJ102" i="36" s="1"/>
  <c r="AO102" i="36" s="1"/>
  <c r="AT102" i="36" s="1"/>
  <c r="U82" i="36"/>
  <c r="Z82" i="36" s="1"/>
  <c r="AE82" i="36" s="1"/>
  <c r="AJ82" i="36" s="1"/>
  <c r="AO82" i="36" s="1"/>
  <c r="AT82" i="36" s="1"/>
  <c r="P102" i="35"/>
  <c r="U102" i="35" s="1"/>
  <c r="Z102" i="35" s="1"/>
  <c r="AE102" i="35" s="1"/>
  <c r="AJ102" i="35" s="1"/>
  <c r="AO102" i="35" s="1"/>
  <c r="AT102" i="35" s="1"/>
  <c r="U82" i="35"/>
  <c r="Z82" i="35" s="1"/>
  <c r="AE82" i="35" s="1"/>
  <c r="AJ82" i="35" s="1"/>
  <c r="AO82" i="35" s="1"/>
  <c r="AT82" i="35" s="1"/>
  <c r="P102" i="34"/>
  <c r="U102" i="34" s="1"/>
  <c r="Z102" i="34" s="1"/>
  <c r="AE102" i="34" s="1"/>
  <c r="AJ102" i="34" s="1"/>
  <c r="AO102" i="34" s="1"/>
  <c r="AT102" i="34" s="1"/>
  <c r="U82" i="34"/>
  <c r="Z82" i="34" s="1"/>
  <c r="AE82" i="34" s="1"/>
  <c r="AJ82" i="34" s="1"/>
  <c r="AO82" i="34" s="1"/>
  <c r="AT82" i="34" s="1"/>
  <c r="P102" i="31"/>
  <c r="U102" i="31" s="1"/>
  <c r="Z102" i="31" s="1"/>
  <c r="AE102" i="31" s="1"/>
  <c r="AJ102" i="31" s="1"/>
  <c r="AO102" i="31" s="1"/>
  <c r="AT102" i="31" s="1"/>
  <c r="U82" i="31"/>
  <c r="Z82" i="31" s="1"/>
  <c r="AE82" i="31" s="1"/>
  <c r="AJ82" i="31" s="1"/>
  <c r="AO82" i="31" s="1"/>
  <c r="AT82" i="31" s="1"/>
  <c r="P102" i="32"/>
  <c r="U102" i="32" s="1"/>
  <c r="Z102" i="32" s="1"/>
  <c r="AE102" i="32" s="1"/>
  <c r="AJ102" i="32" s="1"/>
  <c r="AO102" i="32" s="1"/>
  <c r="AT102" i="32" s="1"/>
  <c r="U82" i="32"/>
  <c r="Z82" i="32" s="1"/>
  <c r="AE82" i="32" s="1"/>
  <c r="AJ82" i="32" s="1"/>
  <c r="AO82" i="32" s="1"/>
  <c r="AT82" i="32" s="1"/>
  <c r="P102" i="30"/>
  <c r="U102" i="30" s="1"/>
  <c r="Z102" i="30" s="1"/>
  <c r="AE102" i="30" s="1"/>
  <c r="AJ102" i="30" s="1"/>
  <c r="AO102" i="30" s="1"/>
  <c r="AT102" i="30" s="1"/>
  <c r="U82" i="30"/>
  <c r="Z82" i="30" s="1"/>
  <c r="AE82" i="30" s="1"/>
  <c r="AJ82" i="30" s="1"/>
  <c r="AO82" i="30" s="1"/>
  <c r="AT82" i="30" s="1"/>
  <c r="U142" i="8"/>
  <c r="Z142" i="8" s="1"/>
  <c r="AE142" i="8" s="1"/>
  <c r="AJ142" i="8" s="1"/>
  <c r="AO142" i="8" s="1"/>
  <c r="AT142" i="8" s="1"/>
  <c r="P177" i="8"/>
  <c r="U177" i="8" s="1"/>
  <c r="Z177" i="8" s="1"/>
  <c r="AE177" i="8" s="1"/>
  <c r="AJ177" i="8" s="1"/>
  <c r="AO177" i="8" s="1"/>
  <c r="AT177" i="8" s="1"/>
  <c r="I24" i="13"/>
  <c r="D35" i="13"/>
  <c r="N35" i="13"/>
  <c r="R35" i="13" s="1"/>
  <c r="E35" i="13" s="1"/>
  <c r="N33" i="13"/>
  <c r="R33" i="13" s="1"/>
  <c r="E33" i="13" s="1"/>
  <c r="D33" i="13"/>
  <c r="N32" i="13"/>
  <c r="R32" i="13" s="1"/>
  <c r="E32" i="13" s="1"/>
  <c r="D32" i="13"/>
  <c r="N31" i="13"/>
  <c r="R31" i="13" s="1"/>
  <c r="E31" i="13" s="1"/>
  <c r="D31" i="13"/>
  <c r="N30" i="13"/>
  <c r="R30" i="13" s="1"/>
  <c r="E30" i="13" s="1"/>
  <c r="D30" i="13"/>
  <c r="D29" i="13"/>
  <c r="N29" i="13"/>
  <c r="R29" i="13" s="1"/>
  <c r="E29" i="13" s="1"/>
  <c r="N28" i="13"/>
  <c r="R28" i="13" s="1"/>
  <c r="E28" i="13" s="1"/>
  <c r="D28" i="13"/>
</calcChain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10"/>
            <color rgb="FF000000"/>
            <rFont val="Arial"/>
            <family val="2"/>
            <scheme val="minor"/>
          </rPr>
          <t>@m-inoue547@family.co.jp 
工場名の記載欄があるとよいです。
収支はTFM側と相談が良いです。（企業秘密なのでどこまで開示されるか？があるので）
	-中川昇</t>
        </r>
      </text>
    </comment>
  </commentList>
</comments>
</file>

<file path=xl/sharedStrings.xml><?xml version="1.0" encoding="utf-8"?>
<sst xmlns="http://schemas.openxmlformats.org/spreadsheetml/2006/main" count="11192" uniqueCount="939">
  <si>
    <t>・・・・・・・・</t>
  </si>
  <si>
    <t>前月</t>
  </si>
  <si>
    <t>差異</t>
  </si>
  <si>
    <t>累計</t>
  </si>
  <si>
    <t>達成率</t>
  </si>
  <si>
    <t>材料費</t>
  </si>
  <si>
    <t>材料費率</t>
  </si>
  <si>
    <t>導入率</t>
  </si>
  <si>
    <t>-</t>
  </si>
  <si>
    <t>-%</t>
  </si>
  <si>
    <t>合計</t>
  </si>
  <si>
    <t>金額</t>
  </si>
  <si>
    <t>商品名</t>
  </si>
  <si>
    <t>前月比</t>
  </si>
  <si>
    <t>手巻明太子</t>
  </si>
  <si>
    <t>6/30新商品</t>
  </si>
  <si>
    <t>海老炒飯</t>
  </si>
  <si>
    <t>（９）歩留</t>
  </si>
  <si>
    <t>No.</t>
  </si>
  <si>
    <t>規格</t>
  </si>
  <si>
    <t>工廠</t>
    <phoneticPr fontId="8"/>
  </si>
  <si>
    <t>（１）收支狀況</t>
    <phoneticPr fontId="8"/>
  </si>
  <si>
    <t>當月</t>
    <phoneticPr fontId="8"/>
  </si>
  <si>
    <t>※單位：千元</t>
    <phoneticPr fontId="8"/>
  </si>
  <si>
    <t>業績金額</t>
    <phoneticPr fontId="8"/>
  </si>
  <si>
    <t>訂單數量</t>
    <phoneticPr fontId="8"/>
  </si>
  <si>
    <t>半成品報廢</t>
    <phoneticPr fontId="8"/>
  </si>
  <si>
    <t>半成品超用</t>
    <phoneticPr fontId="8"/>
  </si>
  <si>
    <t>固定產線</t>
    <phoneticPr fontId="8"/>
  </si>
  <si>
    <t>教育訓練</t>
    <phoneticPr fontId="8"/>
  </si>
  <si>
    <r>
      <rPr>
        <sz val="10"/>
        <color theme="1"/>
        <rFont val="Arial"/>
        <family val="3"/>
        <charset val="136"/>
        <scheme val="minor"/>
      </rPr>
      <t>人時生產性</t>
    </r>
    <r>
      <rPr>
        <sz val="10"/>
        <color theme="1"/>
        <rFont val="Arial"/>
        <family val="2"/>
        <scheme val="minor"/>
      </rPr>
      <t xml:space="preserve">1 </t>
    </r>
    <phoneticPr fontId="8"/>
  </si>
  <si>
    <r>
      <rPr>
        <sz val="10"/>
        <color theme="1"/>
        <rFont val="Arial"/>
        <family val="3"/>
        <charset val="136"/>
        <scheme val="minor"/>
      </rPr>
      <t>人時生產性</t>
    </r>
    <r>
      <rPr>
        <sz val="10"/>
        <color theme="1"/>
        <rFont val="Arial"/>
        <family val="2"/>
        <scheme val="minor"/>
      </rPr>
      <t>2</t>
    </r>
    <phoneticPr fontId="8"/>
  </si>
  <si>
    <t>（３）業績構成比</t>
    <phoneticPr fontId="8"/>
  </si>
  <si>
    <t>（４）訂單數量構成比</t>
    <phoneticPr fontId="8"/>
  </si>
  <si>
    <t>飯糰</t>
    <phoneticPr fontId="8"/>
  </si>
  <si>
    <t>大口飯糰</t>
    <phoneticPr fontId="8"/>
  </si>
  <si>
    <t>便當</t>
    <phoneticPr fontId="8"/>
  </si>
  <si>
    <t>調理麵包</t>
    <phoneticPr fontId="8"/>
  </si>
  <si>
    <t>袋裝調理麵包</t>
    <phoneticPr fontId="8"/>
  </si>
  <si>
    <t>義大利麵</t>
    <phoneticPr fontId="8"/>
  </si>
  <si>
    <t>調理包</t>
    <phoneticPr fontId="8"/>
  </si>
  <si>
    <t>比例</t>
    <phoneticPr fontId="8"/>
  </si>
  <si>
    <t>作業原因</t>
    <phoneticPr fontId="8"/>
  </si>
  <si>
    <t>規格原因</t>
    <phoneticPr fontId="8"/>
  </si>
  <si>
    <t>調理麵</t>
    <phoneticPr fontId="8"/>
  </si>
  <si>
    <t>（６）人時生產性前幾名品項</t>
    <phoneticPr fontId="8"/>
  </si>
  <si>
    <t>人數</t>
    <phoneticPr fontId="8"/>
  </si>
  <si>
    <t>排名</t>
    <phoneticPr fontId="8"/>
  </si>
  <si>
    <t>產能</t>
    <phoneticPr fontId="8"/>
  </si>
  <si>
    <t>人時生產性</t>
    <phoneticPr fontId="8"/>
  </si>
  <si>
    <t>主要原因&amp;對策</t>
  </si>
  <si>
    <t>主要原因&amp;對策</t>
    <phoneticPr fontId="8"/>
  </si>
  <si>
    <t>（８）報廢原因別前幾名品項</t>
    <phoneticPr fontId="8"/>
  </si>
  <si>
    <t>半成品名</t>
    <phoneticPr fontId="8"/>
  </si>
  <si>
    <t>單價</t>
    <phoneticPr fontId="8"/>
  </si>
  <si>
    <t>報廢率</t>
    <phoneticPr fontId="8"/>
  </si>
  <si>
    <t>數量</t>
    <phoneticPr fontId="8"/>
  </si>
  <si>
    <t>實績</t>
    <phoneticPr fontId="8"/>
  </si>
  <si>
    <t>前幾名合計比例</t>
    <phoneticPr fontId="8"/>
  </si>
  <si>
    <t>前幾名合計金額</t>
    <phoneticPr fontId="8"/>
  </si>
  <si>
    <t>※補充</t>
    <phoneticPr fontId="8"/>
  </si>
  <si>
    <r>
      <rPr>
        <sz val="11"/>
        <color theme="1"/>
        <rFont val="Arial"/>
        <family val="3"/>
        <charset val="136"/>
        <scheme val="minor"/>
      </rPr>
      <t>個／</t>
    </r>
    <r>
      <rPr>
        <sz val="11"/>
        <color theme="1"/>
        <rFont val="Arial"/>
        <family val="2"/>
        <scheme val="minor"/>
      </rPr>
      <t>MH</t>
    </r>
    <phoneticPr fontId="8"/>
  </si>
  <si>
    <t>實施率</t>
    <phoneticPr fontId="8"/>
  </si>
  <si>
    <t>（５）品群別人時生產性</t>
    <phoneticPr fontId="8"/>
  </si>
  <si>
    <t>勞務成本</t>
    <phoneticPr fontId="8"/>
  </si>
  <si>
    <t>勞務費率</t>
    <phoneticPr fontId="8"/>
  </si>
  <si>
    <t>比例</t>
    <phoneticPr fontId="8"/>
  </si>
  <si>
    <t>前月</t>
    <phoneticPr fontId="8"/>
  </si>
  <si>
    <t>差異</t>
    <phoneticPr fontId="8"/>
  </si>
  <si>
    <t>KPI</t>
    <phoneticPr fontId="8"/>
  </si>
  <si>
    <t>當月</t>
    <phoneticPr fontId="8"/>
  </si>
  <si>
    <t>（２）ＫＰＩ達成進度</t>
    <phoneticPr fontId="8"/>
  </si>
  <si>
    <t>（７）原因別分析</t>
    <phoneticPr fontId="8"/>
  </si>
  <si>
    <t>月別</t>
    <phoneticPr fontId="8"/>
  </si>
  <si>
    <t>工廠名</t>
    <phoneticPr fontId="8"/>
  </si>
  <si>
    <t>手巻卵黄雞絞肉</t>
    <phoneticPr fontId="8"/>
  </si>
  <si>
    <t>減少暫時停止生產,人時UP</t>
    <phoneticPr fontId="8"/>
  </si>
  <si>
    <t>因組裝2食材,人員增加,產速減少</t>
    <phoneticPr fontId="8"/>
  </si>
  <si>
    <t>透由調整速度提升。</t>
    <phoneticPr fontId="8"/>
  </si>
  <si>
    <t>直巻明太子美奶茲</t>
    <phoneticPr fontId="8"/>
  </si>
  <si>
    <t>大口飯糰燒肉美奶滋</t>
    <phoneticPr fontId="8"/>
  </si>
  <si>
    <t>因摺疊增員。實施教育訓練。</t>
    <phoneticPr fontId="8"/>
  </si>
  <si>
    <t>明太子海苔便當</t>
    <phoneticPr fontId="8"/>
  </si>
  <si>
    <t>指導鋪開炒柴魚片</t>
    <phoneticPr fontId="8"/>
  </si>
  <si>
    <t>肉狀態不良，已連動開發</t>
    <phoneticPr fontId="8"/>
  </si>
  <si>
    <t>油炸白身魚</t>
    <phoneticPr fontId="8"/>
  </si>
  <si>
    <t>油調過多報廢。變更條件。</t>
    <phoneticPr fontId="8"/>
  </si>
  <si>
    <t>川燙蝦子拌醬</t>
    <phoneticPr fontId="8"/>
  </si>
  <si>
    <t>蝦子入數不足</t>
    <phoneticPr fontId="8"/>
  </si>
  <si>
    <t>特製醬汁炙燒牛五花便當</t>
    <phoneticPr fontId="8"/>
  </si>
  <si>
    <t>牛五花醬汁</t>
    <phoneticPr fontId="8"/>
  </si>
  <si>
    <t>難度有差異。調理指導。</t>
    <phoneticPr fontId="8"/>
  </si>
  <si>
    <t>因原料變更。</t>
    <phoneticPr fontId="8"/>
  </si>
  <si>
    <t>牛五花燒成</t>
    <phoneticPr fontId="8"/>
  </si>
  <si>
    <t>大口飯糰三種起司午餐肉</t>
    <phoneticPr fontId="8"/>
  </si>
  <si>
    <t>３種起司燒成</t>
    <phoneticPr fontId="8"/>
  </si>
  <si>
    <t>與燒成範本不同。</t>
    <phoneticPr fontId="8"/>
  </si>
  <si>
    <t>燒成過多，調整調理條件。</t>
    <phoneticPr fontId="8"/>
  </si>
  <si>
    <t>超用率</t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</si>
  <si>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4</t>
    </r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</si>
  <si>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3</t>
    </r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</si>
  <si>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1</t>
    </r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</si>
  <si>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2</t>
    </r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</si>
  <si>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5</t>
    </r>
    <phoneticPr fontId="8"/>
  </si>
  <si>
    <t>超用率</t>
    <phoneticPr fontId="8"/>
  </si>
  <si>
    <t>日期</t>
    <phoneticPr fontId="11" type="noConversion"/>
  </si>
  <si>
    <t xml:space="preserve">半成品超用(%) </t>
  </si>
  <si>
    <t xml:space="preserve">人時生產性(個/人) </t>
  </si>
  <si>
    <t xml:space="preserve">人時生產性達成率(%) </t>
  </si>
  <si>
    <t>固定產線-導入率(固定產線數/總產線數)</t>
  </si>
  <si>
    <t>教育訓練-實施率(進度/計畫)</t>
  </si>
  <si>
    <t>品類業績</t>
    <phoneticPr fontId="11" type="noConversion"/>
  </si>
  <si>
    <t>業績(元)</t>
    <phoneticPr fontId="11" type="noConversion"/>
  </si>
  <si>
    <t>比例(%)</t>
    <phoneticPr fontId="11" type="noConversion"/>
  </si>
  <si>
    <t>三</t>
    <phoneticPr fontId="11" type="noConversion"/>
  </si>
  <si>
    <t>日</t>
    <phoneticPr fontId="11" type="noConversion"/>
  </si>
  <si>
    <r>
      <t>月</t>
    </r>
    <r>
      <rPr>
        <sz val="11"/>
        <color rgb="FF000000"/>
        <rFont val="Arial"/>
        <family val="3"/>
        <charset val="136"/>
      </rPr>
      <t>份</t>
    </r>
    <phoneticPr fontId="11" type="noConversion"/>
  </si>
  <si>
    <t>週累積</t>
    <phoneticPr fontId="11" type="noConversion"/>
  </si>
  <si>
    <t>月累積</t>
    <phoneticPr fontId="11" type="noConversion"/>
  </si>
  <si>
    <t>訂單數量(個)</t>
    <phoneticPr fontId="11" type="noConversion"/>
  </si>
  <si>
    <t>材料費(元)</t>
    <phoneticPr fontId="11" type="noConversion"/>
  </si>
  <si>
    <r>
      <t>（１）收支</t>
    </r>
    <r>
      <rPr>
        <b/>
        <sz val="22"/>
        <color rgb="FF000000"/>
        <rFont val="細明體"/>
        <family val="3"/>
        <charset val="136"/>
      </rPr>
      <t>狀</t>
    </r>
    <r>
      <rPr>
        <b/>
        <sz val="22"/>
        <color rgb="FF000000"/>
        <rFont val="Meiryo UI"/>
        <family val="2"/>
      </rPr>
      <t>況</t>
    </r>
    <phoneticPr fontId="11" type="noConversion"/>
  </si>
  <si>
    <t>材料費率（材料費／營業額）</t>
    <phoneticPr fontId="11" type="noConversion"/>
  </si>
  <si>
    <t>勞務成本（全廠人事成本）</t>
    <phoneticPr fontId="11" type="noConversion"/>
  </si>
  <si>
    <t>勞務費率（勞務成本／營業額）</t>
    <phoneticPr fontId="11" type="noConversion"/>
  </si>
  <si>
    <t>（２）ＫＰＩ達成進度</t>
    <phoneticPr fontId="8"/>
  </si>
  <si>
    <t>（２）ＫＰＩ達成進度</t>
    <phoneticPr fontId="11" type="noConversion"/>
  </si>
  <si>
    <t>週平均</t>
    <phoneticPr fontId="11" type="noConversion"/>
  </si>
  <si>
    <t>月平均</t>
    <phoneticPr fontId="11" type="noConversion"/>
  </si>
  <si>
    <t>一配</t>
    <phoneticPr fontId="11" type="noConversion"/>
  </si>
  <si>
    <t>二配</t>
    <phoneticPr fontId="11" type="noConversion"/>
  </si>
  <si>
    <t>便當</t>
  </si>
  <si>
    <t>便當</t>
    <phoneticPr fontId="11" type="noConversion"/>
  </si>
  <si>
    <t>主食</t>
  </si>
  <si>
    <t>主食</t>
    <phoneticPr fontId="11" type="noConversion"/>
  </si>
  <si>
    <t>熱食義麵</t>
  </si>
  <si>
    <t>季節調理麵</t>
  </si>
  <si>
    <t>微波小吃</t>
  </si>
  <si>
    <t>微波小吃</t>
    <phoneticPr fontId="11" type="noConversion"/>
  </si>
  <si>
    <r>
      <t>月</t>
    </r>
    <r>
      <rPr>
        <sz val="12"/>
        <color rgb="FF000000"/>
        <rFont val="Arial"/>
        <family val="3"/>
        <charset val="136"/>
      </rPr>
      <t>份</t>
    </r>
    <phoneticPr fontId="11" type="noConversion"/>
  </si>
  <si>
    <r>
      <t>18℃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飯</t>
    </r>
    <r>
      <rPr>
        <b/>
        <sz val="14"/>
        <color rgb="FF000000"/>
        <rFont val="細明體"/>
        <family val="3"/>
        <charset val="136"/>
      </rPr>
      <t>糰</t>
    </r>
    <phoneticPr fontId="11" type="noConversion"/>
  </si>
  <si>
    <r>
      <t>18℃</t>
    </r>
    <r>
      <rPr>
        <b/>
        <sz val="11.9"/>
        <color rgb="FF000000"/>
        <rFont val="Meiryo UI"/>
        <family val="2"/>
      </rPr>
      <t>-壽司手卷</t>
    </r>
    <phoneticPr fontId="11" type="noConversion"/>
  </si>
  <si>
    <r>
      <t>4℃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飯</t>
    </r>
    <r>
      <rPr>
        <b/>
        <sz val="14"/>
        <color rgb="FF000000"/>
        <rFont val="細明體"/>
        <family val="3"/>
        <charset val="136"/>
      </rPr>
      <t>糰</t>
    </r>
    <phoneticPr fontId="11" type="noConversion"/>
  </si>
  <si>
    <r>
      <t>4℃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壽司手卷</t>
    </r>
    <phoneticPr fontId="11" type="noConversion"/>
  </si>
  <si>
    <r>
      <t>熱食義</t>
    </r>
    <r>
      <rPr>
        <b/>
        <sz val="14"/>
        <color rgb="FF000000"/>
        <rFont val="細明體"/>
        <family val="3"/>
        <charset val="136"/>
      </rPr>
      <t>麵</t>
    </r>
    <phoneticPr fontId="11" type="noConversion"/>
  </si>
  <si>
    <r>
      <t>季節調理</t>
    </r>
    <r>
      <rPr>
        <b/>
        <sz val="14"/>
        <color rgb="FF000000"/>
        <rFont val="細明體"/>
        <family val="3"/>
        <charset val="136"/>
      </rPr>
      <t>麵</t>
    </r>
    <phoneticPr fontId="11" type="noConversion"/>
  </si>
  <si>
    <t>合計</t>
    <phoneticPr fontId="11" type="noConversion"/>
  </si>
  <si>
    <t>（４）訂單數量構成比</t>
    <phoneticPr fontId="8"/>
  </si>
  <si>
    <t>訂單量</t>
    <phoneticPr fontId="11" type="noConversion"/>
  </si>
  <si>
    <t>訂單數</t>
    <phoneticPr fontId="11" type="noConversion"/>
  </si>
  <si>
    <t>18℃-飯糰</t>
  </si>
  <si>
    <t>18℃-壽司手卷</t>
  </si>
  <si>
    <t>4℃-飯糰</t>
  </si>
  <si>
    <t>4℃-壽司手卷</t>
  </si>
  <si>
    <t>品群</t>
    <phoneticPr fontId="11" type="noConversion"/>
  </si>
  <si>
    <t>日期</t>
    <phoneticPr fontId="11" type="noConversion"/>
  </si>
  <si>
    <t>資料繳交</t>
    <phoneticPr fontId="11" type="noConversion"/>
  </si>
  <si>
    <t>五</t>
    <phoneticPr fontId="11" type="noConversion"/>
  </si>
  <si>
    <t>二</t>
    <phoneticPr fontId="11" type="noConversion"/>
  </si>
  <si>
    <t>四</t>
    <phoneticPr fontId="11" type="noConversion"/>
  </si>
  <si>
    <t>六</t>
    <phoneticPr fontId="11" type="noConversion"/>
  </si>
  <si>
    <t>日</t>
    <phoneticPr fontId="11" type="noConversion"/>
  </si>
  <si>
    <t>一</t>
    <phoneticPr fontId="11" type="noConversion"/>
  </si>
  <si>
    <t>產線配置圖－每週更新</t>
    <phoneticPr fontId="11" type="noConversion"/>
  </si>
  <si>
    <t>製程不穩</t>
    <phoneticPr fontId="8"/>
  </si>
  <si>
    <t>研發設定</t>
    <phoneticPr fontId="8"/>
  </si>
  <si>
    <t>報廢</t>
  </si>
  <si>
    <t>排序</t>
  </si>
  <si>
    <t>明細展開</t>
  </si>
  <si>
    <t>類別</t>
  </si>
  <si>
    <t>備註-商品名稱</t>
  </si>
  <si>
    <t>半成品</t>
  </si>
  <si>
    <t>組合端</t>
  </si>
  <si>
    <t>名稱</t>
  </si>
  <si>
    <t>超用</t>
  </si>
  <si>
    <t>訂單需求
(kg)</t>
  </si>
  <si>
    <t>補單
(kg)</t>
  </si>
  <si>
    <t>單價
(元)</t>
  </si>
  <si>
    <t>差異
(元)</t>
  </si>
  <si>
    <t>kg</t>
  </si>
  <si>
    <t>占比</t>
  </si>
  <si>
    <t>金額
(元)</t>
  </si>
  <si>
    <r>
      <t>生</t>
    </r>
    <r>
      <rPr>
        <sz val="12"/>
        <color theme="1"/>
        <rFont val="微軟正黑體"/>
        <family val="2"/>
        <charset val="136"/>
      </rPr>
      <t>產</t>
    </r>
    <r>
      <rPr>
        <sz val="12"/>
        <color theme="1"/>
        <rFont val="Meiryo UI"/>
        <family val="2"/>
      </rPr>
      <t>資訊</t>
    </r>
  </si>
  <si>
    <r>
      <t>生</t>
    </r>
    <r>
      <rPr>
        <sz val="12"/>
        <color theme="1"/>
        <rFont val="微軟正黑體"/>
        <family val="2"/>
        <charset val="136"/>
      </rPr>
      <t>產</t>
    </r>
    <r>
      <rPr>
        <sz val="12"/>
        <color theme="1"/>
        <rFont val="Meiryo UI"/>
        <family val="2"/>
      </rPr>
      <t>端</t>
    </r>
  </si>
  <si>
    <r>
      <rPr>
        <sz val="12"/>
        <rFont val="微軟正黑體"/>
        <family val="2"/>
        <charset val="136"/>
      </rPr>
      <t>產</t>
    </r>
    <r>
      <rPr>
        <sz val="12"/>
        <rFont val="Meiryo UI"/>
        <family val="2"/>
      </rPr>
      <t>出量</t>
    </r>
  </si>
  <si>
    <r>
      <t>實際生</t>
    </r>
    <r>
      <rPr>
        <sz val="12"/>
        <color theme="1"/>
        <rFont val="微軟正黑體"/>
        <family val="2"/>
        <charset val="136"/>
      </rPr>
      <t xml:space="preserve">產
</t>
    </r>
    <r>
      <rPr>
        <sz val="12"/>
        <color theme="1"/>
        <rFont val="Meiryo UI"/>
        <family val="2"/>
      </rPr>
      <t>(對比訂單需求)</t>
    </r>
  </si>
  <si>
    <t>品群</t>
    <phoneticPr fontId="8"/>
  </si>
  <si>
    <t>品群</t>
    <phoneticPr fontId="8"/>
  </si>
  <si>
    <t>原物料規格</t>
    <phoneticPr fontId="8"/>
  </si>
  <si>
    <t>其他原因</t>
    <phoneticPr fontId="8"/>
  </si>
  <si>
    <t>類型</t>
    <phoneticPr fontId="11" type="noConversion"/>
  </si>
  <si>
    <t>作業原因</t>
    <phoneticPr fontId="8"/>
  </si>
  <si>
    <t>類型</t>
    <phoneticPr fontId="11" type="noConversion"/>
  </si>
  <si>
    <t>原料原因</t>
    <phoneticPr fontId="8"/>
  </si>
  <si>
    <t>個／MH</t>
    <phoneticPr fontId="8"/>
  </si>
  <si>
    <r>
      <t>（１）收支</t>
    </r>
    <r>
      <rPr>
        <b/>
        <sz val="12"/>
        <color theme="1"/>
        <rFont val="Arial"/>
        <family val="3"/>
        <charset val="136"/>
      </rPr>
      <t>狀</t>
    </r>
    <r>
      <rPr>
        <b/>
        <sz val="12"/>
        <color theme="1"/>
        <rFont val="Meiryo UI"/>
        <family val="2"/>
      </rPr>
      <t>況</t>
    </r>
    <phoneticPr fontId="8"/>
  </si>
  <si>
    <r>
      <t>（５）品群別人時生</t>
    </r>
    <r>
      <rPr>
        <b/>
        <sz val="12"/>
        <color theme="1"/>
        <rFont val="Arial"/>
        <family val="3"/>
        <charset val="136"/>
      </rPr>
      <t>產</t>
    </r>
    <r>
      <rPr>
        <b/>
        <sz val="12"/>
        <color theme="1"/>
        <rFont val="Meiryo UI"/>
        <family val="2"/>
      </rPr>
      <t>性</t>
    </r>
    <phoneticPr fontId="8"/>
  </si>
  <si>
    <t>項目</t>
    <phoneticPr fontId="11" type="noConversion"/>
  </si>
  <si>
    <r>
      <t>人時性(</t>
    </r>
    <r>
      <rPr>
        <sz val="10"/>
        <color theme="1"/>
        <rFont val="細明體"/>
        <family val="3"/>
        <charset val="136"/>
      </rPr>
      <t>個</t>
    </r>
    <r>
      <rPr>
        <sz val="10"/>
        <color theme="1"/>
        <rFont val="Meiryo UI"/>
        <family val="2"/>
      </rPr>
      <t>/</t>
    </r>
    <r>
      <rPr>
        <sz val="10"/>
        <color theme="1"/>
        <rFont val="細明體"/>
        <family val="3"/>
        <charset val="136"/>
      </rPr>
      <t>月均)</t>
    </r>
    <r>
      <rPr>
        <sz val="10"/>
        <color theme="1"/>
        <rFont val="Meiryo UI"/>
        <family val="2"/>
      </rPr>
      <t xml:space="preserve"> </t>
    </r>
    <phoneticPr fontId="8"/>
  </si>
  <si>
    <r>
      <t>人時</t>
    </r>
    <r>
      <rPr>
        <sz val="10"/>
        <color theme="1"/>
        <rFont val="細明體"/>
        <family val="3"/>
        <charset val="136"/>
      </rPr>
      <t>達成率</t>
    </r>
    <r>
      <rPr>
        <sz val="10"/>
        <color theme="1"/>
        <rFont val="Meiryo UI"/>
        <family val="2"/>
      </rPr>
      <t>(%/</t>
    </r>
    <r>
      <rPr>
        <sz val="10"/>
        <color theme="1"/>
        <rFont val="細明體"/>
        <family val="3"/>
        <charset val="136"/>
      </rPr>
      <t>月均)</t>
    </r>
    <r>
      <rPr>
        <sz val="10"/>
        <color theme="1"/>
        <rFont val="Meiryo UI"/>
        <family val="2"/>
      </rPr>
      <t xml:space="preserve"> </t>
    </r>
    <phoneticPr fontId="8"/>
  </si>
  <si>
    <t>半成品-報廢(%)</t>
    <phoneticPr fontId="8"/>
  </si>
  <si>
    <t>半成品-超用(%)</t>
    <phoneticPr fontId="8"/>
  </si>
  <si>
    <r>
      <t>固定</t>
    </r>
    <r>
      <rPr>
        <sz val="10"/>
        <color theme="1"/>
        <rFont val="細明體"/>
        <family val="3"/>
        <charset val="136"/>
      </rPr>
      <t>產</t>
    </r>
    <r>
      <rPr>
        <sz val="10"/>
        <color theme="1"/>
        <rFont val="Meiryo UI"/>
        <family val="2"/>
      </rPr>
      <t>線-</t>
    </r>
    <r>
      <rPr>
        <sz val="10"/>
        <color theme="1"/>
        <rFont val="細明體"/>
        <family val="3"/>
        <charset val="136"/>
      </rPr>
      <t>導入率(%)</t>
    </r>
    <phoneticPr fontId="8"/>
  </si>
  <si>
    <r>
      <t>教育訓練-</t>
    </r>
    <r>
      <rPr>
        <sz val="10"/>
        <color theme="1"/>
        <rFont val="細明體"/>
        <family val="3"/>
        <charset val="136"/>
      </rPr>
      <t>實施率(%)</t>
    </r>
    <phoneticPr fontId="8"/>
  </si>
  <si>
    <r>
      <t>生</t>
    </r>
    <r>
      <rPr>
        <b/>
        <sz val="20"/>
        <color rgb="FF000000"/>
        <rFont val="細明體"/>
        <family val="3"/>
        <charset val="136"/>
      </rPr>
      <t>產</t>
    </r>
    <r>
      <rPr>
        <b/>
        <sz val="20"/>
        <color rgb="FF000000"/>
        <rFont val="Meiryo UI"/>
        <family val="2"/>
      </rPr>
      <t>管理報表</t>
    </r>
    <phoneticPr fontId="11" type="noConversion"/>
  </si>
  <si>
    <r>
      <t>（６）人時生</t>
    </r>
    <r>
      <rPr>
        <b/>
        <sz val="12"/>
        <color rgb="FF000000"/>
        <rFont val="Arial"/>
        <family val="3"/>
        <charset val="136"/>
      </rPr>
      <t>產</t>
    </r>
    <r>
      <rPr>
        <b/>
        <sz val="12"/>
        <color rgb="FF000000"/>
        <rFont val="Meiryo UI"/>
        <family val="2"/>
      </rPr>
      <t>性前幾名品項</t>
    </r>
    <phoneticPr fontId="11" type="noConversion"/>
  </si>
  <si>
    <r>
      <t>18℃-飯</t>
    </r>
    <r>
      <rPr>
        <sz val="11"/>
        <color theme="1"/>
        <rFont val="Arial"/>
        <family val="2"/>
      </rPr>
      <t>糰</t>
    </r>
  </si>
  <si>
    <r>
      <t>4℃-飯</t>
    </r>
    <r>
      <rPr>
        <sz val="11"/>
        <color theme="1"/>
        <rFont val="Arial"/>
        <family val="3"/>
        <charset val="136"/>
      </rPr>
      <t>糰</t>
    </r>
  </si>
  <si>
    <r>
      <t>熱食義</t>
    </r>
    <r>
      <rPr>
        <sz val="11"/>
        <color theme="1"/>
        <rFont val="Arial"/>
        <family val="2"/>
      </rPr>
      <t>麵</t>
    </r>
  </si>
  <si>
    <r>
      <t>季節調理</t>
    </r>
    <r>
      <rPr>
        <sz val="10"/>
        <color rgb="FF000000"/>
        <rFont val="Arial"/>
        <family val="2"/>
      </rPr>
      <t>麵</t>
    </r>
  </si>
  <si>
    <t>（８）報廢原因別前幾名品項</t>
    <phoneticPr fontId="11" type="noConversion"/>
  </si>
  <si>
    <r>
      <t>調理多</t>
    </r>
    <r>
      <rPr>
        <sz val="11"/>
        <color theme="1"/>
        <rFont val="Arial"/>
        <family val="3"/>
        <charset val="136"/>
      </rPr>
      <t>產</t>
    </r>
    <phoneticPr fontId="8"/>
  </si>
  <si>
    <t>原物料規格</t>
  </si>
  <si>
    <t>研發設定</t>
  </si>
  <si>
    <r>
      <rPr>
        <sz val="11"/>
        <color theme="1"/>
        <rFont val="細明體"/>
        <family val="3"/>
        <charset val="136"/>
      </rPr>
      <t>步</t>
    </r>
    <r>
      <rPr>
        <sz val="11"/>
        <color theme="1"/>
        <rFont val="Meiryo UI"/>
        <family val="2"/>
      </rPr>
      <t>留因素</t>
    </r>
    <phoneticPr fontId="8"/>
  </si>
  <si>
    <r>
      <t>（9）</t>
    </r>
    <r>
      <rPr>
        <b/>
        <sz val="12"/>
        <color rgb="FF000000"/>
        <rFont val="細明體"/>
        <family val="3"/>
        <charset val="136"/>
      </rPr>
      <t>步</t>
    </r>
    <r>
      <rPr>
        <b/>
        <sz val="12"/>
        <color rgb="FF000000"/>
        <rFont val="Meiryo UI"/>
        <family val="2"/>
      </rPr>
      <t>留因素</t>
    </r>
    <phoneticPr fontId="11" type="noConversion"/>
  </si>
  <si>
    <r>
      <t>調理多</t>
    </r>
    <r>
      <rPr>
        <sz val="11"/>
        <color theme="1"/>
        <rFont val="Arial"/>
        <family val="3"/>
        <charset val="136"/>
      </rPr>
      <t>產</t>
    </r>
    <phoneticPr fontId="8"/>
  </si>
  <si>
    <r>
      <rPr>
        <sz val="11"/>
        <color theme="1"/>
        <rFont val="細明體"/>
        <family val="3"/>
        <charset val="136"/>
      </rPr>
      <t>步</t>
    </r>
    <r>
      <rPr>
        <sz val="11"/>
        <color theme="1"/>
        <rFont val="Meiryo UI"/>
        <family val="2"/>
      </rPr>
      <t>留因素</t>
    </r>
    <phoneticPr fontId="8"/>
  </si>
  <si>
    <r>
      <t>4℃-飯</t>
    </r>
    <r>
      <rPr>
        <sz val="10"/>
        <color theme="1"/>
        <rFont val="細明體"/>
        <family val="3"/>
        <charset val="136"/>
      </rPr>
      <t>糰</t>
    </r>
    <r>
      <rPr>
        <sz val="10"/>
        <color theme="1"/>
        <rFont val="Meiryo UI"/>
        <family val="2"/>
      </rPr>
      <t>(065)</t>
    </r>
    <phoneticPr fontId="11" type="noConversion"/>
  </si>
  <si>
    <t>4℃-壽司手卷(077)</t>
  </si>
  <si>
    <t>4℃-壽司手卷(077)</t>
    <phoneticPr fontId="11" type="noConversion"/>
  </si>
  <si>
    <t>18℃-壽司手卷(071,072,075,076)</t>
  </si>
  <si>
    <t>18℃-壽司手卷(071,072,075,076)</t>
    <phoneticPr fontId="11" type="noConversion"/>
  </si>
  <si>
    <t>主食(091,092,093,094,095)</t>
  </si>
  <si>
    <t>主食(091,092,093,094,095)</t>
    <phoneticPr fontId="11" type="noConversion"/>
  </si>
  <si>
    <t>便當(083)</t>
  </si>
  <si>
    <t>便當(083)</t>
    <phoneticPr fontId="11" type="noConversion"/>
  </si>
  <si>
    <r>
      <t>18℃-飯A15:A23</t>
    </r>
    <r>
      <rPr>
        <sz val="10"/>
        <color theme="1"/>
        <rFont val="細明體"/>
        <family val="3"/>
        <charset val="136"/>
      </rPr>
      <t>糰</t>
    </r>
    <r>
      <rPr>
        <sz val="10"/>
        <color theme="1"/>
        <rFont val="Meiryo UI"/>
        <family val="2"/>
      </rPr>
      <t>(061,063)</t>
    </r>
    <phoneticPr fontId="11" type="noConversion"/>
  </si>
  <si>
    <r>
      <t>熱食義</t>
    </r>
    <r>
      <rPr>
        <sz val="10"/>
        <color theme="1"/>
        <rFont val="細明體"/>
        <family val="3"/>
        <charset val="136"/>
      </rPr>
      <t>麵</t>
    </r>
    <r>
      <rPr>
        <sz val="10"/>
        <color theme="1"/>
        <rFont val="Meiryo UI"/>
        <family val="2"/>
      </rPr>
      <t>(122,123,124,126)</t>
    </r>
    <phoneticPr fontId="11" type="noConversion"/>
  </si>
  <si>
    <r>
      <t>季節調理</t>
    </r>
    <r>
      <rPr>
        <sz val="10"/>
        <color theme="1"/>
        <rFont val="細明體"/>
        <family val="3"/>
        <charset val="136"/>
      </rPr>
      <t>麵</t>
    </r>
    <r>
      <rPr>
        <sz val="10"/>
        <color theme="1"/>
        <rFont val="Meiryo UI"/>
        <family val="2"/>
      </rPr>
      <t>(111,112)</t>
    </r>
    <phoneticPr fontId="11" type="noConversion"/>
  </si>
  <si>
    <t>微波小吃(153,154,155)</t>
  </si>
  <si>
    <t>微波小吃(153,154,155)</t>
    <phoneticPr fontId="11" type="noConversion"/>
  </si>
  <si>
    <t>18℃-飯A15:A23糰(061,063)</t>
  </si>
  <si>
    <t>4℃-飯糰(065)</t>
  </si>
  <si>
    <t>熱食義麵(122,123,124,126)</t>
  </si>
  <si>
    <t>季節調理麵(111,112)</t>
  </si>
  <si>
    <r>
      <t>生</t>
    </r>
    <r>
      <rPr>
        <b/>
        <sz val="20"/>
        <color rgb="FF000000"/>
        <rFont val="細明體"/>
        <family val="3"/>
        <charset val="136"/>
      </rPr>
      <t>產</t>
    </r>
    <r>
      <rPr>
        <b/>
        <sz val="20"/>
        <color rgb="FF000000"/>
        <rFont val="Meiryo UI"/>
        <family val="2"/>
      </rPr>
      <t>管理報表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</si>
  <si>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</t>
    </r>
    <phoneticPr fontId="11" type="noConversion"/>
  </si>
  <si>
    <t>業績金額</t>
    <phoneticPr fontId="11" type="noConversion"/>
  </si>
  <si>
    <t>項目</t>
    <phoneticPr fontId="11" type="noConversion"/>
  </si>
  <si>
    <r>
      <t>調理多</t>
    </r>
    <r>
      <rPr>
        <b/>
        <sz val="14"/>
        <color theme="1"/>
        <rFont val="Arial"/>
        <family val="3"/>
        <charset val="136"/>
      </rPr>
      <t>產</t>
    </r>
    <phoneticPr fontId="8"/>
  </si>
  <si>
    <t>製程不穩</t>
    <phoneticPr fontId="8"/>
  </si>
  <si>
    <t>抓樣不穩</t>
    <phoneticPr fontId="8"/>
  </si>
  <si>
    <t>比例</t>
    <phoneticPr fontId="8"/>
  </si>
  <si>
    <t>報廢</t>
    <phoneticPr fontId="8"/>
  </si>
  <si>
    <t>超用</t>
    <phoneticPr fontId="8"/>
  </si>
  <si>
    <t>原物料規格</t>
    <phoneticPr fontId="8"/>
  </si>
  <si>
    <t>研發設定</t>
    <phoneticPr fontId="8"/>
  </si>
  <si>
    <t>其他原因</t>
    <phoneticPr fontId="8"/>
  </si>
  <si>
    <r>
      <rPr>
        <b/>
        <sz val="14"/>
        <color rgb="FF000000"/>
        <rFont val="Arial"/>
        <family val="3"/>
        <charset val="136"/>
      </rPr>
      <t>步</t>
    </r>
    <r>
      <rPr>
        <b/>
        <sz val="14"/>
        <color rgb="FF000000"/>
        <rFont val="Meiryo UI"/>
        <family val="2"/>
      </rPr>
      <t>留不足</t>
    </r>
    <phoneticPr fontId="11" type="noConversion"/>
  </si>
  <si>
    <t>展開量高於１０5％</t>
    <phoneticPr fontId="8"/>
  </si>
  <si>
    <t>18℃-壽司手卷(071,072,075,076)</t>
    <phoneticPr fontId="11" type="noConversion"/>
  </si>
  <si>
    <t>鮮食品群番</t>
    <phoneticPr fontId="11" type="noConversion"/>
  </si>
  <si>
    <t>06</t>
  </si>
  <si>
    <t>飯糰</t>
  </si>
  <si>
    <t>10</t>
  </si>
  <si>
    <t>三明治</t>
  </si>
  <si>
    <t>061</t>
  </si>
  <si>
    <t>飯糰一配</t>
  </si>
  <si>
    <t>106</t>
  </si>
  <si>
    <t>三明治４度Ｃ</t>
  </si>
  <si>
    <t>063</t>
  </si>
  <si>
    <t>飯糰二配</t>
  </si>
  <si>
    <t>107</t>
  </si>
  <si>
    <t>調理麵包４度Ｃ</t>
  </si>
  <si>
    <t>065</t>
  </si>
  <si>
    <t>飯糰４度Ｃ</t>
  </si>
  <si>
    <t>11</t>
  </si>
  <si>
    <t>07</t>
  </si>
  <si>
    <t>壽司、手卷</t>
  </si>
  <si>
    <t>111</t>
  </si>
  <si>
    <t>涼麵</t>
  </si>
  <si>
    <t>071</t>
  </si>
  <si>
    <t>壽司一配</t>
  </si>
  <si>
    <t>112</t>
  </si>
  <si>
    <t>熱湯麵</t>
  </si>
  <si>
    <t>072</t>
  </si>
  <si>
    <t>手卷一配</t>
  </si>
  <si>
    <t>12</t>
  </si>
  <si>
    <t>075</t>
  </si>
  <si>
    <t>壽司二配</t>
  </si>
  <si>
    <t>122</t>
  </si>
  <si>
    <t>熱食麵</t>
  </si>
  <si>
    <t>076</t>
  </si>
  <si>
    <t>手卷２配</t>
  </si>
  <si>
    <t>123</t>
  </si>
  <si>
    <t>077</t>
  </si>
  <si>
    <t>４℃壽司手卷</t>
  </si>
  <si>
    <t>124</t>
  </si>
  <si>
    <t>義大利麵</t>
  </si>
  <si>
    <t>08</t>
  </si>
  <si>
    <t>126</t>
  </si>
  <si>
    <t>冷凍調理麵</t>
  </si>
  <si>
    <t>083</t>
  </si>
  <si>
    <t>便當４℃</t>
  </si>
  <si>
    <t>14</t>
  </si>
  <si>
    <t>沙拉</t>
  </si>
  <si>
    <t>09</t>
  </si>
  <si>
    <t>微波主食</t>
  </si>
  <si>
    <t>141</t>
  </si>
  <si>
    <t>091</t>
  </si>
  <si>
    <t>中式主食二配</t>
  </si>
  <si>
    <t>15</t>
  </si>
  <si>
    <t>小菜、微波</t>
  </si>
  <si>
    <t>092</t>
  </si>
  <si>
    <t>西式主食二配</t>
  </si>
  <si>
    <t>153</t>
  </si>
  <si>
    <t>湯品</t>
  </si>
  <si>
    <t>093</t>
  </si>
  <si>
    <t>日式主食</t>
  </si>
  <si>
    <t>154</t>
  </si>
  <si>
    <t>滷味</t>
  </si>
  <si>
    <t>094</t>
  </si>
  <si>
    <t>粥品</t>
  </si>
  <si>
    <t>155</t>
  </si>
  <si>
    <t>特色小吃</t>
  </si>
  <si>
    <t>095</t>
  </si>
  <si>
    <t>其他飯類</t>
  </si>
  <si>
    <t>品類訂單量</t>
    <phoneticPr fontId="11" type="noConversion"/>
  </si>
  <si>
    <t>（3）業績構成比</t>
    <phoneticPr fontId="11" type="noConversion"/>
  </si>
  <si>
    <t>（4）訂單數量構成比</t>
    <phoneticPr fontId="11" type="noConversion"/>
  </si>
  <si>
    <t>展開量高於１０5％</t>
    <phoneticPr fontId="8"/>
  </si>
  <si>
    <t>展開量高於１０5％</t>
    <phoneticPr fontId="8"/>
  </si>
  <si>
    <t>展開量高於１０5％</t>
    <phoneticPr fontId="8"/>
  </si>
  <si>
    <t xml:space="preserve">半成品報廢(%) </t>
    <phoneticPr fontId="11" type="noConversion"/>
  </si>
  <si>
    <t>月別</t>
    <phoneticPr fontId="8"/>
  </si>
  <si>
    <t>週別</t>
    <phoneticPr fontId="11" type="noConversion"/>
  </si>
  <si>
    <t>當週</t>
  </si>
  <si>
    <t>當週</t>
    <phoneticPr fontId="8"/>
  </si>
  <si>
    <t>前週</t>
  </si>
  <si>
    <t>前週</t>
    <phoneticPr fontId="11" type="noConversion"/>
  </si>
  <si>
    <t>前週</t>
    <phoneticPr fontId="8"/>
  </si>
  <si>
    <t>月平均人時性</t>
  </si>
  <si>
    <t>月平均人時性</t>
    <phoneticPr fontId="11" type="noConversion"/>
  </si>
  <si>
    <t>KPI</t>
    <phoneticPr fontId="11" type="noConversion"/>
  </si>
  <si>
    <t>18℃-飯糰(061,063)</t>
  </si>
  <si>
    <t>二</t>
    <phoneticPr fontId="11" type="noConversion"/>
  </si>
  <si>
    <t>三</t>
    <phoneticPr fontId="11" type="noConversion"/>
  </si>
  <si>
    <t>四</t>
    <phoneticPr fontId="11" type="noConversion"/>
  </si>
  <si>
    <t>五</t>
    <phoneticPr fontId="11" type="noConversion"/>
  </si>
  <si>
    <t>六</t>
    <phoneticPr fontId="11" type="noConversion"/>
  </si>
  <si>
    <t>日</t>
    <phoneticPr fontId="11" type="noConversion"/>
  </si>
  <si>
    <t>一</t>
    <phoneticPr fontId="11" type="noConversion"/>
  </si>
  <si>
    <r>
      <t>4℃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飯</t>
    </r>
    <r>
      <rPr>
        <b/>
        <sz val="14"/>
        <color rgb="FF000000"/>
        <rFont val="細明體"/>
        <family val="3"/>
        <charset val="136"/>
      </rPr>
      <t>糰</t>
    </r>
    <phoneticPr fontId="11" type="noConversion"/>
  </si>
  <si>
    <t>生產課</t>
  </si>
  <si>
    <t>二配香拌海鮮醬肉絲蛋炒飯</t>
  </si>
  <si>
    <t>其他</t>
  </si>
  <si>
    <t>二配金咖哩果香甘口咖哩飯</t>
  </si>
  <si>
    <t>北海道秋鮭親子飯糰</t>
  </si>
  <si>
    <t>香辣醬粉絲煲</t>
  </si>
  <si>
    <t>調配課</t>
  </si>
  <si>
    <t>調理多產</t>
  </si>
  <si>
    <t>共用類</t>
  </si>
  <si>
    <t>極上炙烤親子丼</t>
  </si>
  <si>
    <t>切-炙燒炭火燒肉片</t>
  </si>
  <si>
    <t>二配港式香滑嫩蛋牛肉燴飯</t>
  </si>
  <si>
    <t>營業額(元)</t>
    <phoneticPr fontId="11" type="noConversion"/>
  </si>
  <si>
    <t>營業額</t>
    <phoneticPr fontId="11" type="noConversion"/>
  </si>
  <si>
    <t>經典肉鬆飯糰</t>
  </si>
  <si>
    <t>蔬食鮪魚飯糰</t>
  </si>
  <si>
    <t>鮪魚飯糰</t>
  </si>
  <si>
    <t>壹號醬炙烤牛飯糰</t>
  </si>
  <si>
    <t>明太子龍蝦風味沙拉飯糰</t>
  </si>
  <si>
    <t>鹽蔥燒肉飯糰</t>
  </si>
  <si>
    <t>雞肉飯飯糰</t>
  </si>
  <si>
    <t>二配油蔥G絲飯糰</t>
  </si>
  <si>
    <t>海饌雙手卷</t>
  </si>
  <si>
    <t>優質池上飯</t>
  </si>
  <si>
    <t>二配哞哞培根奶香海陸焗飯</t>
  </si>
  <si>
    <t>鐵板滑蛋炸豬排丼</t>
  </si>
  <si>
    <t>二配川味麻婆燒豆腐燴飯</t>
  </si>
  <si>
    <t>嘉義劉里長雞肉飯</t>
  </si>
  <si>
    <t>嫩烤香料雞胸排蔬滿盒</t>
  </si>
  <si>
    <t>新招牌腿排便當</t>
  </si>
  <si>
    <t>美式雞丁餐盒</t>
  </si>
  <si>
    <t>健身G肉餐盒</t>
  </si>
  <si>
    <t>烤蛋白餐盒</t>
  </si>
  <si>
    <t>椒麻香蔥雞涼拌麵</t>
  </si>
  <si>
    <t>台式麻醬涼麵</t>
  </si>
  <si>
    <t>大滿足香辣涼麵</t>
  </si>
  <si>
    <t>大滿足麻醬涼麵</t>
  </si>
  <si>
    <t>糖燻豬耳絲</t>
  </si>
  <si>
    <t>韓式蒜味炸雞</t>
  </si>
  <si>
    <t>古早味炒炊粉</t>
  </si>
  <si>
    <t>麻油雞飯糰</t>
  </si>
  <si>
    <t>淡麗清酒蒸蛤蜊烤飯糰</t>
  </si>
  <si>
    <t>大口日式塔塔醬蝦排飯糰</t>
  </si>
  <si>
    <t>大口蒜味香腸燒肉雙拼飯糰</t>
  </si>
  <si>
    <t>大口義式香草雞腿排飯糰</t>
  </si>
  <si>
    <t>晉欣廠</t>
    <phoneticPr fontId="11" type="noConversion"/>
  </si>
  <si>
    <r>
      <t>生</t>
    </r>
    <r>
      <rPr>
        <b/>
        <sz val="20"/>
        <color rgb="FF000000"/>
        <rFont val="微軟正黑體"/>
        <family val="2"/>
        <charset val="136"/>
      </rPr>
      <t>產</t>
    </r>
    <r>
      <rPr>
        <b/>
        <sz val="20"/>
        <color rgb="FF000000"/>
        <rFont val="Meiryo UI"/>
        <family val="2"/>
        <charset val="128"/>
      </rPr>
      <t>管理報表</t>
    </r>
    <phoneticPr fontId="11" type="noConversion"/>
  </si>
  <si>
    <t>累計</t>
    <phoneticPr fontId="11" type="noConversion"/>
  </si>
  <si>
    <t>製程不穩</t>
  </si>
  <si>
    <t>切烤雞胸肉</t>
  </si>
  <si>
    <t>準備課</t>
  </si>
  <si>
    <t>平均人時性</t>
    <phoneticPr fontId="11" type="noConversion"/>
  </si>
  <si>
    <t>排名</t>
    <phoneticPr fontId="11" type="noConversion"/>
  </si>
  <si>
    <t>實際</t>
    <phoneticPr fontId="11" type="noConversion"/>
  </si>
  <si>
    <t>品群</t>
    <phoneticPr fontId="11" type="noConversion"/>
  </si>
  <si>
    <t>計畫</t>
    <phoneticPr fontId="11" type="noConversion"/>
  </si>
  <si>
    <t>實績</t>
    <phoneticPr fontId="11" type="noConversion"/>
  </si>
  <si>
    <t>日報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</si>
  <si>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</si>
  <si>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</si>
  <si>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</si>
  <si>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</si>
  <si>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</si>
  <si>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r>
      <t>4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飯糰</t>
    </r>
    <phoneticPr fontId="11" type="noConversion"/>
  </si>
  <si>
    <t>商品名稱</t>
    <phoneticPr fontId="11" type="noConversion"/>
  </si>
  <si>
    <r>
      <rPr>
        <sz val="10"/>
        <color rgb="FF000000"/>
        <rFont val="Arial"/>
        <family val="3"/>
        <charset val="136"/>
        <scheme val="minor"/>
      </rPr>
      <t>4℃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</si>
  <si>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熱食義麵</t>
    <phoneticPr fontId="11" type="noConversion"/>
  </si>
  <si>
    <r>
      <t>人時生</t>
    </r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性</t>
    </r>
    <phoneticPr fontId="8"/>
  </si>
  <si>
    <t>前週比</t>
    <phoneticPr fontId="11" type="noConversion"/>
  </si>
  <si>
    <t>主要原因&amp;對策</t>
    <phoneticPr fontId="8"/>
  </si>
  <si>
    <t>排名</t>
    <phoneticPr fontId="8"/>
  </si>
  <si>
    <t>▼1</t>
    <phoneticPr fontId="8"/>
  </si>
  <si>
    <t>▼2</t>
    <phoneticPr fontId="8"/>
  </si>
  <si>
    <t>▼3</t>
    <phoneticPr fontId="8"/>
  </si>
  <si>
    <t>▼4</t>
    <phoneticPr fontId="8"/>
  </si>
  <si>
    <t>▼5</t>
    <phoneticPr fontId="8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</si>
  <si>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</si>
  <si>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便當</t>
    <phoneticPr fontId="11" type="noConversion"/>
  </si>
  <si>
    <t>燻之味-糖燻雞胗</t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</si>
  <si>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</si>
  <si>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</si>
  <si>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</si>
  <si>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</si>
  <si>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</si>
  <si>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</si>
  <si>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日報</t>
    <phoneticPr fontId="11" type="noConversion"/>
  </si>
  <si>
    <t>實際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</si>
  <si>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</si>
  <si>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</si>
  <si>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</si>
  <si>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</si>
  <si>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</si>
  <si>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</si>
  <si>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r>
      <t>4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飯糰</t>
    </r>
    <phoneticPr fontId="11" type="noConversion"/>
  </si>
  <si>
    <r>
      <rPr>
        <sz val="10"/>
        <color rgb="FF000000"/>
        <rFont val="Arial"/>
        <family val="3"/>
        <charset val="136"/>
        <scheme val="minor"/>
      </rPr>
      <t>4℃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</si>
  <si>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便當</t>
    <phoneticPr fontId="11" type="noConversion"/>
  </si>
  <si>
    <t>熱食義麵</t>
    <phoneticPr fontId="11" type="noConversion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</si>
  <si>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</si>
  <si>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</si>
  <si>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</si>
  <si>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</si>
  <si>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</si>
  <si>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</si>
  <si>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日報</t>
    <phoneticPr fontId="11" type="noConversion"/>
  </si>
  <si>
    <t>實際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</si>
  <si>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</si>
  <si>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</si>
  <si>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</si>
  <si>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</si>
  <si>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</si>
  <si>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t>主食</t>
    <phoneticPr fontId="11" type="noConversion"/>
  </si>
  <si>
    <t>微波小吃</t>
    <phoneticPr fontId="11" type="noConversion"/>
  </si>
  <si>
    <t>▼3</t>
    <phoneticPr fontId="8"/>
  </si>
  <si>
    <t>▼5</t>
    <phoneticPr fontId="8"/>
  </si>
  <si>
    <t>季節調理麵</t>
    <phoneticPr fontId="11" type="noConversion"/>
  </si>
  <si>
    <r>
      <t>8</t>
    </r>
    <r>
      <rPr>
        <sz val="10"/>
        <color rgb="FF000000"/>
        <rFont val="細明體"/>
        <family val="3"/>
        <charset val="136"/>
      </rPr>
      <t>月</t>
    </r>
    <phoneticPr fontId="11" type="noConversion"/>
  </si>
  <si>
    <r>
      <t>9</t>
    </r>
    <r>
      <rPr>
        <sz val="10"/>
        <color rgb="FF000000"/>
        <rFont val="細明體"/>
        <family val="3"/>
        <charset val="136"/>
      </rPr>
      <t>月</t>
    </r>
    <phoneticPr fontId="11" type="noConversion"/>
  </si>
  <si>
    <r>
      <t>10月</t>
    </r>
    <r>
      <rPr>
        <sz val="10"/>
        <color rgb="FF000000"/>
        <rFont val="細明體"/>
        <family val="3"/>
        <charset val="136"/>
      </rPr>
      <t/>
    </r>
  </si>
  <si>
    <r>
      <t>11月</t>
    </r>
    <r>
      <rPr>
        <sz val="10"/>
        <color rgb="FF000000"/>
        <rFont val="細明體"/>
        <family val="3"/>
        <charset val="136"/>
      </rPr>
      <t/>
    </r>
  </si>
  <si>
    <r>
      <t>12月</t>
    </r>
    <r>
      <rPr>
        <sz val="10"/>
        <color rgb="FF000000"/>
        <rFont val="細明體"/>
        <family val="3"/>
        <charset val="136"/>
      </rPr>
      <t/>
    </r>
  </si>
  <si>
    <t>糖燻野郎起司炙燒牛烤飯糰</t>
  </si>
  <si>
    <t>品群</t>
    <phoneticPr fontId="11" type="noConversion"/>
  </si>
  <si>
    <t>商品名稱</t>
    <phoneticPr fontId="11" type="noConversion"/>
  </si>
  <si>
    <t>計畫</t>
    <phoneticPr fontId="11" type="noConversion"/>
  </si>
  <si>
    <t>日報</t>
    <phoneticPr fontId="11" type="noConversion"/>
  </si>
  <si>
    <t>實際</t>
    <phoneticPr fontId="11" type="noConversion"/>
  </si>
  <si>
    <t>平均人時性</t>
    <phoneticPr fontId="11" type="noConversion"/>
  </si>
  <si>
    <t>生產實績</t>
    <phoneticPr fontId="11" type="noConversion"/>
  </si>
  <si>
    <t>人時性</t>
    <phoneticPr fontId="11" type="noConversion"/>
  </si>
  <si>
    <t>產能／時</t>
    <phoneticPr fontId="11" type="noConversion"/>
  </si>
  <si>
    <t>排名</t>
    <phoneticPr fontId="11" type="noConversion"/>
  </si>
  <si>
    <t>人數</t>
    <phoneticPr fontId="11" type="noConversion"/>
  </si>
  <si>
    <t>生產實績</t>
    <phoneticPr fontId="11" type="noConversion"/>
  </si>
  <si>
    <t>排名</t>
    <phoneticPr fontId="11" type="noConversion"/>
  </si>
  <si>
    <t>人數</t>
    <phoneticPr fontId="11" type="noConversion"/>
  </si>
  <si>
    <t>人數</t>
    <phoneticPr fontId="11" type="noConversion"/>
  </si>
  <si>
    <t>產能／時</t>
    <phoneticPr fontId="11" type="noConversion"/>
  </si>
  <si>
    <t>計畫</t>
    <phoneticPr fontId="11" type="noConversion"/>
  </si>
  <si>
    <t>實績</t>
    <phoneticPr fontId="11" type="noConversion"/>
  </si>
  <si>
    <t>日報</t>
    <phoneticPr fontId="11" type="noConversion"/>
  </si>
  <si>
    <t>實際</t>
    <phoneticPr fontId="11" type="noConversion"/>
  </si>
  <si>
    <t>平均人時性</t>
    <phoneticPr fontId="11" type="noConversion"/>
  </si>
  <si>
    <t>平均人時性</t>
    <phoneticPr fontId="11" type="noConversion"/>
  </si>
  <si>
    <t>實際</t>
    <phoneticPr fontId="11" type="noConversion"/>
  </si>
  <si>
    <t>產線配置圖</t>
    <phoneticPr fontId="11" type="noConversion"/>
  </si>
  <si>
    <t>產線配置圖</t>
    <phoneticPr fontId="11" type="noConversion"/>
  </si>
  <si>
    <t>生產實績</t>
    <phoneticPr fontId="11" type="noConversion"/>
  </si>
  <si>
    <t>生產實績</t>
    <phoneticPr fontId="11" type="noConversion"/>
  </si>
  <si>
    <t>人數</t>
    <phoneticPr fontId="11" type="noConversion"/>
  </si>
  <si>
    <t>人時性</t>
    <phoneticPr fontId="11" type="noConversion"/>
  </si>
  <si>
    <t>人數</t>
    <phoneticPr fontId="11" type="noConversion"/>
  </si>
  <si>
    <t>人時性</t>
    <phoneticPr fontId="11" type="noConversion"/>
  </si>
  <si>
    <t>排名</t>
    <phoneticPr fontId="11" type="noConversion"/>
  </si>
  <si>
    <t>產能／時</t>
    <phoneticPr fontId="11" type="noConversion"/>
  </si>
  <si>
    <t>排名</t>
    <phoneticPr fontId="11" type="noConversion"/>
  </si>
  <si>
    <t>人數</t>
    <phoneticPr fontId="11" type="noConversion"/>
  </si>
  <si>
    <t>產能／時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</si>
  <si>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</si>
  <si>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</si>
  <si>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</si>
  <si>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實際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</si>
  <si>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</si>
  <si>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</si>
  <si>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</si>
  <si>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</si>
  <si>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</si>
  <si>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t>產能／時</t>
    <phoneticPr fontId="11" type="noConversion"/>
  </si>
  <si>
    <t>排名</t>
    <phoneticPr fontId="11" type="noConversion"/>
  </si>
  <si>
    <t>季節調理麵</t>
    <phoneticPr fontId="11" type="noConversion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</si>
  <si>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</si>
  <si>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</si>
  <si>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</si>
  <si>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排名</t>
    <phoneticPr fontId="11" type="noConversion"/>
  </si>
  <si>
    <t>日報</t>
    <phoneticPr fontId="11" type="noConversion"/>
  </si>
  <si>
    <t>產能／時</t>
    <phoneticPr fontId="11" type="noConversion"/>
  </si>
  <si>
    <t>微波小吃</t>
    <phoneticPr fontId="11" type="noConversion"/>
  </si>
  <si>
    <t>增加線上抽秤頻率</t>
  </si>
  <si>
    <r>
      <t>（５）品群別人時生</t>
    </r>
    <r>
      <rPr>
        <b/>
        <sz val="12"/>
        <color theme="1"/>
        <rFont val="細明體"/>
        <family val="3"/>
        <charset val="136"/>
      </rPr>
      <t>產</t>
    </r>
    <r>
      <rPr>
        <b/>
        <sz val="12"/>
        <color theme="1"/>
        <rFont val="Meiryo UI"/>
        <family val="2"/>
      </rPr>
      <t>性</t>
    </r>
    <phoneticPr fontId="8"/>
  </si>
  <si>
    <t>一</t>
  </si>
  <si>
    <t>二</t>
  </si>
  <si>
    <t>三</t>
  </si>
  <si>
    <t>四</t>
  </si>
  <si>
    <t>五</t>
  </si>
  <si>
    <t>六</t>
  </si>
  <si>
    <t>日</t>
  </si>
  <si>
    <r>
      <t>月</t>
    </r>
    <r>
      <rPr>
        <sz val="11"/>
        <color rgb="FFFF0000"/>
        <rFont val="細明體"/>
        <family val="3"/>
        <charset val="136"/>
      </rPr>
      <t>平均</t>
    </r>
    <phoneticPr fontId="11" type="noConversion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</si>
  <si>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</si>
  <si>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</si>
  <si>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</si>
  <si>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</si>
  <si>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</si>
  <si>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</si>
  <si>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日報</t>
    <phoneticPr fontId="11" type="noConversion"/>
  </si>
  <si>
    <t>實際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</si>
  <si>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</si>
  <si>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</si>
  <si>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</si>
  <si>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</si>
  <si>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</si>
  <si>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r>
      <rPr>
        <sz val="10"/>
        <color rgb="FF000000"/>
        <rFont val="Arial"/>
        <family val="3"/>
        <charset val="136"/>
        <scheme val="minor"/>
      </rPr>
      <t>4℃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</si>
  <si>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便當</t>
    <phoneticPr fontId="11" type="noConversion"/>
  </si>
  <si>
    <t>季節調理麵</t>
    <phoneticPr fontId="11" type="noConversion"/>
  </si>
  <si>
    <t>微波小吃</t>
    <phoneticPr fontId="11" type="noConversion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</si>
  <si>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</si>
  <si>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</si>
  <si>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</si>
  <si>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</si>
  <si>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</si>
  <si>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</si>
  <si>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日報</t>
    <phoneticPr fontId="11" type="noConversion"/>
  </si>
  <si>
    <t>產線配置圖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</si>
  <si>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</si>
  <si>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</si>
  <si>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</si>
  <si>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</si>
  <si>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產線配置圖－月表</t>
    <phoneticPr fontId="11" type="noConversion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</si>
  <si>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</si>
  <si>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</si>
  <si>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</si>
  <si>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</si>
  <si>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</si>
  <si>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</si>
  <si>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產線配置圖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</si>
  <si>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</si>
  <si>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</si>
  <si>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</si>
  <si>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飯糰</t>
    </r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</si>
  <si>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</si>
  <si>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產線配置圖－月表</t>
    <phoneticPr fontId="11" type="noConversion"/>
  </si>
  <si>
    <r>
      <rPr>
        <sz val="10"/>
        <color rgb="FF000000"/>
        <rFont val="Arial"/>
        <family val="3"/>
        <charset val="136"/>
        <scheme val="minor"/>
      </rPr>
      <t>4℃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</si>
  <si>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主食</t>
    <phoneticPr fontId="11" type="noConversion"/>
  </si>
  <si>
    <t>便當</t>
    <phoneticPr fontId="11" type="noConversion"/>
  </si>
  <si>
    <t>季節調理麵</t>
    <phoneticPr fontId="11" type="noConversion"/>
  </si>
  <si>
    <t>微波小吃</t>
    <phoneticPr fontId="11" type="noConversion"/>
  </si>
  <si>
    <t>海陸雙拼肉肉餐盒</t>
  </si>
  <si>
    <t>經典鮪魚沙拉細卷</t>
  </si>
  <si>
    <t>取樣不穩</t>
  </si>
  <si>
    <t>蔬活腿排補力餐盒</t>
  </si>
  <si>
    <t>類型</t>
    <phoneticPr fontId="11" type="noConversion"/>
  </si>
  <si>
    <t>展開量高於１０5％</t>
    <phoneticPr fontId="11" type="noConversion"/>
  </si>
  <si>
    <t>反應調配課級，追蹤三天備料狀況</t>
  </si>
  <si>
    <t>製程不穩</t>
    <phoneticPr fontId="11" type="noConversion"/>
  </si>
  <si>
    <t>其他原因</t>
    <phoneticPr fontId="11" type="noConversion"/>
  </si>
  <si>
    <r>
      <t>生</t>
    </r>
    <r>
      <rPr>
        <b/>
        <sz val="20"/>
        <color rgb="FF000000"/>
        <rFont val="細明體"/>
        <family val="3"/>
        <charset val="136"/>
      </rPr>
      <t>產</t>
    </r>
    <r>
      <rPr>
        <b/>
        <sz val="20"/>
        <color rgb="FF000000"/>
        <rFont val="Meiryo UI"/>
        <family val="2"/>
      </rPr>
      <t>管理報表</t>
    </r>
    <phoneticPr fontId="11" type="noConversion"/>
  </si>
  <si>
    <t>（８）超用原因別前幾名品項</t>
    <phoneticPr fontId="11" type="noConversion"/>
  </si>
  <si>
    <t>展開量高於１０5％</t>
    <phoneticPr fontId="8"/>
  </si>
  <si>
    <r>
      <t>調理多</t>
    </r>
    <r>
      <rPr>
        <sz val="11"/>
        <color theme="1"/>
        <rFont val="Arial"/>
        <family val="3"/>
        <charset val="136"/>
      </rPr>
      <t>產</t>
    </r>
    <phoneticPr fontId="8"/>
  </si>
  <si>
    <t>製程不穩</t>
    <phoneticPr fontId="8"/>
  </si>
  <si>
    <t>取樣不穩</t>
    <phoneticPr fontId="8"/>
  </si>
  <si>
    <t>原物料規格</t>
    <phoneticPr fontId="8"/>
  </si>
  <si>
    <t>研發設定</t>
    <phoneticPr fontId="8"/>
  </si>
  <si>
    <t>其他原因</t>
    <phoneticPr fontId="8"/>
  </si>
  <si>
    <r>
      <rPr>
        <sz val="11"/>
        <color theme="1"/>
        <rFont val="細明體"/>
        <family val="3"/>
        <charset val="136"/>
      </rPr>
      <t>步</t>
    </r>
    <r>
      <rPr>
        <sz val="11"/>
        <color theme="1"/>
        <rFont val="Meiryo UI"/>
        <family val="2"/>
      </rPr>
      <t>留因素</t>
    </r>
    <phoneticPr fontId="8"/>
  </si>
  <si>
    <t>原物料大小、厚薄差異</t>
  </si>
  <si>
    <r>
      <t>報廢前</t>
    </r>
    <r>
      <rPr>
        <b/>
        <sz val="16"/>
        <color rgb="FF000000"/>
        <rFont val="細明體"/>
        <family val="3"/>
        <charset val="136"/>
      </rPr>
      <t>二</t>
    </r>
    <r>
      <rPr>
        <b/>
        <sz val="16"/>
        <color rgb="FF000000"/>
        <rFont val="Meiryo UI"/>
        <family val="2"/>
        <charset val="128"/>
      </rPr>
      <t>十名紀</t>
    </r>
    <r>
      <rPr>
        <b/>
        <sz val="16"/>
        <color rgb="FF000000"/>
        <rFont val="細明體"/>
        <family val="3"/>
        <charset val="136"/>
      </rPr>
      <t>錄</t>
    </r>
    <r>
      <rPr>
        <b/>
        <sz val="16"/>
        <color rgb="FF000000"/>
        <rFont val="Meiryo UI"/>
        <family val="2"/>
      </rPr>
      <t>表</t>
    </r>
    <phoneticPr fontId="11" type="noConversion"/>
  </si>
  <si>
    <t>月別</t>
    <phoneticPr fontId="11" type="noConversion"/>
  </si>
  <si>
    <t>分析原因</t>
    <phoneticPr fontId="11" type="noConversion"/>
  </si>
  <si>
    <r>
      <t>原因</t>
    </r>
    <r>
      <rPr>
        <sz val="12"/>
        <color theme="1"/>
        <rFont val="細明體"/>
        <family val="3"/>
        <charset val="136"/>
      </rPr>
      <t>說</t>
    </r>
    <r>
      <rPr>
        <sz val="12"/>
        <color theme="1"/>
        <rFont val="Meiryo UI"/>
        <family val="2"/>
        <charset val="128"/>
      </rPr>
      <t>明</t>
    </r>
    <phoneticPr fontId="11" type="noConversion"/>
  </si>
  <si>
    <t>後續對策</t>
    <phoneticPr fontId="11" type="noConversion"/>
  </si>
  <si>
    <t>次數</t>
    <phoneticPr fontId="11" type="noConversion"/>
  </si>
  <si>
    <t>分析原因（件）</t>
    <phoneticPr fontId="11" type="noConversion"/>
  </si>
  <si>
    <t>報廢金額</t>
    <phoneticPr fontId="11" type="noConversion"/>
  </si>
  <si>
    <r>
      <t>實際</t>
    </r>
    <r>
      <rPr>
        <sz val="12"/>
        <color theme="1"/>
        <rFont val="微軟正黑體"/>
        <family val="2"/>
        <charset val="136"/>
      </rPr>
      <t>產</t>
    </r>
    <r>
      <rPr>
        <sz val="12"/>
        <color theme="1"/>
        <rFont val="Meiryo UI"/>
        <family val="2"/>
      </rPr>
      <t>出
(kg)</t>
    </r>
    <phoneticPr fontId="11" type="noConversion"/>
  </si>
  <si>
    <r>
      <t>實際</t>
    </r>
    <r>
      <rPr>
        <sz val="12"/>
        <color theme="1"/>
        <rFont val="細明體"/>
        <family val="3"/>
        <charset val="136"/>
      </rPr>
      <t>產</t>
    </r>
    <r>
      <rPr>
        <sz val="12"/>
        <color theme="1"/>
        <rFont val="Meiryo UI"/>
        <family val="2"/>
      </rPr>
      <t>出占比</t>
    </r>
    <phoneticPr fontId="11" type="noConversion"/>
  </si>
  <si>
    <t>補單占比</t>
    <phoneticPr fontId="11" type="noConversion"/>
  </si>
  <si>
    <t>總件數</t>
    <phoneticPr fontId="11" type="noConversion"/>
  </si>
  <si>
    <t>展開量高於１０5％</t>
    <phoneticPr fontId="11" type="noConversion"/>
  </si>
  <si>
    <r>
      <t>調理多</t>
    </r>
    <r>
      <rPr>
        <sz val="12"/>
        <color theme="1"/>
        <rFont val="細明體"/>
        <family val="3"/>
        <charset val="136"/>
      </rPr>
      <t>產</t>
    </r>
    <phoneticPr fontId="11" type="noConversion"/>
  </si>
  <si>
    <t>製程不穩</t>
    <phoneticPr fontId="11" type="noConversion"/>
  </si>
  <si>
    <t>取樣不穩</t>
    <phoneticPr fontId="11" type="noConversion"/>
  </si>
  <si>
    <t>原物料規格</t>
    <phoneticPr fontId="11" type="noConversion"/>
  </si>
  <si>
    <t>研發設定</t>
    <phoneticPr fontId="11" type="noConversion"/>
  </si>
  <si>
    <t>其他原因</t>
    <phoneticPr fontId="11" type="noConversion"/>
  </si>
  <si>
    <r>
      <rPr>
        <sz val="12"/>
        <color theme="1"/>
        <rFont val="細明體"/>
        <family val="3"/>
        <charset val="136"/>
      </rPr>
      <t>步</t>
    </r>
    <r>
      <rPr>
        <sz val="12"/>
        <color theme="1"/>
        <rFont val="Meiryo UI"/>
        <family val="2"/>
      </rPr>
      <t>留</t>
    </r>
    <r>
      <rPr>
        <sz val="12"/>
        <color theme="1"/>
        <rFont val="細明體"/>
        <family val="3"/>
        <charset val="136"/>
      </rPr>
      <t>因素</t>
    </r>
    <phoneticPr fontId="11" type="noConversion"/>
  </si>
  <si>
    <t>月前二十</t>
    <phoneticPr fontId="11" type="noConversion"/>
  </si>
  <si>
    <r>
      <rPr>
        <sz val="12"/>
        <color rgb="FF000000"/>
        <rFont val="細明體"/>
        <family val="3"/>
        <charset val="136"/>
      </rPr>
      <t>取樣</t>
    </r>
    <r>
      <rPr>
        <sz val="12"/>
        <color rgb="FF000000"/>
        <rFont val="Meiryo UI"/>
        <family val="2"/>
      </rPr>
      <t>不穩</t>
    </r>
    <phoneticPr fontId="11" type="noConversion"/>
  </si>
  <si>
    <t>其他原因</t>
  </si>
  <si>
    <t>步留因素</t>
    <phoneticPr fontId="11" type="noConversion"/>
  </si>
  <si>
    <t>占比</t>
    <phoneticPr fontId="11" type="noConversion"/>
  </si>
  <si>
    <t>金額</t>
    <phoneticPr fontId="11" type="noConversion"/>
  </si>
  <si>
    <r>
      <rPr>
        <b/>
        <sz val="16"/>
        <color rgb="FF000000"/>
        <rFont val="細明體"/>
        <family val="3"/>
        <charset val="136"/>
      </rPr>
      <t>超用</t>
    </r>
    <r>
      <rPr>
        <b/>
        <sz val="16"/>
        <color rgb="FF000000"/>
        <rFont val="Meiryo UI"/>
        <family val="2"/>
        <charset val="128"/>
      </rPr>
      <t>前</t>
    </r>
    <r>
      <rPr>
        <b/>
        <sz val="16"/>
        <color rgb="FF000000"/>
        <rFont val="細明體"/>
        <family val="3"/>
        <charset val="136"/>
      </rPr>
      <t>二</t>
    </r>
    <r>
      <rPr>
        <b/>
        <sz val="16"/>
        <color rgb="FF000000"/>
        <rFont val="Meiryo UI"/>
        <family val="2"/>
        <charset val="128"/>
      </rPr>
      <t>十名紀</t>
    </r>
    <r>
      <rPr>
        <b/>
        <sz val="16"/>
        <color rgb="FF000000"/>
        <rFont val="細明體"/>
        <family val="3"/>
        <charset val="136"/>
      </rPr>
      <t>錄</t>
    </r>
    <r>
      <rPr>
        <b/>
        <sz val="16"/>
        <color rgb="FF000000"/>
        <rFont val="Meiryo UI"/>
        <family val="2"/>
      </rPr>
      <t>表</t>
    </r>
    <phoneticPr fontId="11" type="noConversion"/>
  </si>
  <si>
    <t>原因說明</t>
    <phoneticPr fontId="11" type="noConversion"/>
  </si>
  <si>
    <t>次數</t>
    <phoneticPr fontId="11" type="noConversion"/>
  </si>
  <si>
    <t>分析原因（件）</t>
    <phoneticPr fontId="11" type="noConversion"/>
  </si>
  <si>
    <r>
      <t>實際</t>
    </r>
    <r>
      <rPr>
        <sz val="12"/>
        <color theme="1"/>
        <rFont val="微軟正黑體"/>
        <family val="2"/>
        <charset val="136"/>
      </rPr>
      <t>產</t>
    </r>
    <r>
      <rPr>
        <sz val="12"/>
        <color theme="1"/>
        <rFont val="Meiryo UI"/>
        <family val="2"/>
      </rPr>
      <t>出
(kg)</t>
    </r>
    <phoneticPr fontId="11" type="noConversion"/>
  </si>
  <si>
    <r>
      <t>實際</t>
    </r>
    <r>
      <rPr>
        <sz val="12"/>
        <color theme="1"/>
        <rFont val="細明體"/>
        <family val="3"/>
        <charset val="136"/>
      </rPr>
      <t>產</t>
    </r>
    <r>
      <rPr>
        <sz val="12"/>
        <color theme="1"/>
        <rFont val="Meiryo UI"/>
        <family val="2"/>
      </rPr>
      <t>出占比</t>
    </r>
    <phoneticPr fontId="11" type="noConversion"/>
  </si>
  <si>
    <t>補單占比</t>
    <phoneticPr fontId="11" type="noConversion"/>
  </si>
  <si>
    <t>總件數</t>
    <phoneticPr fontId="11" type="noConversion"/>
  </si>
  <si>
    <r>
      <t>調理多</t>
    </r>
    <r>
      <rPr>
        <sz val="12"/>
        <color theme="1"/>
        <rFont val="細明體"/>
        <family val="3"/>
        <charset val="136"/>
      </rPr>
      <t>產</t>
    </r>
    <phoneticPr fontId="11" type="noConversion"/>
  </si>
  <si>
    <t>取樣不穩</t>
    <phoneticPr fontId="11" type="noConversion"/>
  </si>
  <si>
    <t>原物料規格</t>
    <phoneticPr fontId="11" type="noConversion"/>
  </si>
  <si>
    <t>研發設定</t>
    <phoneticPr fontId="11" type="noConversion"/>
  </si>
  <si>
    <r>
      <rPr>
        <sz val="12"/>
        <color theme="1"/>
        <rFont val="細明體"/>
        <family val="3"/>
        <charset val="136"/>
      </rPr>
      <t>步</t>
    </r>
    <r>
      <rPr>
        <sz val="12"/>
        <color theme="1"/>
        <rFont val="Meiryo UI"/>
        <family val="2"/>
      </rPr>
      <t>留</t>
    </r>
    <r>
      <rPr>
        <sz val="12"/>
        <color theme="1"/>
        <rFont val="細明體"/>
        <family val="3"/>
        <charset val="136"/>
      </rPr>
      <t>因素</t>
    </r>
    <phoneticPr fontId="11" type="noConversion"/>
  </si>
  <si>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能</t>
    </r>
    <phoneticPr fontId="8"/>
  </si>
  <si>
    <t>雙鬆細卷</t>
  </si>
  <si>
    <t>蕃茄起司手工千層麵(區2)</t>
  </si>
  <si>
    <r>
      <rPr>
        <sz val="12"/>
        <color theme="1"/>
        <rFont val="細明體"/>
        <family val="3"/>
        <charset val="136"/>
      </rPr>
      <t>超用</t>
    </r>
    <r>
      <rPr>
        <sz val="12"/>
        <color theme="1"/>
        <rFont val="Meiryo UI"/>
        <family val="2"/>
      </rPr>
      <t>金額</t>
    </r>
    <phoneticPr fontId="11" type="noConversion"/>
  </si>
  <si>
    <t>兩粒飯糰(鮪魚.焦糖鮭魚)</t>
  </si>
  <si>
    <t>二配泰式綠咖哩雞</t>
  </si>
  <si>
    <t>香腸腿排雙拼便當</t>
  </si>
  <si>
    <t>日式蕎麥沾麵</t>
  </si>
  <si>
    <t>晉欣廠半成品管理日別總表</t>
    <phoneticPr fontId="11" type="noConversion"/>
  </si>
  <si>
    <t>日期</t>
    <phoneticPr fontId="89" type="noConversion"/>
  </si>
  <si>
    <t>營業額</t>
    <phoneticPr fontId="11" type="noConversion"/>
  </si>
  <si>
    <t>報廢額</t>
    <phoneticPr fontId="89" type="noConversion"/>
  </si>
  <si>
    <r>
      <t xml:space="preserve">報廢率
KPI </t>
    </r>
    <r>
      <rPr>
        <b/>
        <sz val="14"/>
        <color rgb="FFFF0000"/>
        <rFont val="微軟正黑體"/>
        <family val="2"/>
        <charset val="136"/>
      </rPr>
      <t>0.25%</t>
    </r>
    <phoneticPr fontId="11" type="noConversion"/>
  </si>
  <si>
    <t>超用額</t>
    <phoneticPr fontId="89" type="noConversion"/>
  </si>
  <si>
    <t>超用率</t>
    <phoneticPr fontId="11" type="noConversion"/>
  </si>
  <si>
    <t>廢棄前10名</t>
    <phoneticPr fontId="11" type="noConversion"/>
  </si>
  <si>
    <t>超用前10名</t>
    <phoneticPr fontId="11" type="noConversion"/>
  </si>
  <si>
    <t>共用類廢棄</t>
    <phoneticPr fontId="11" type="noConversion"/>
  </si>
  <si>
    <t>週累積</t>
    <phoneticPr fontId="11" type="noConversion"/>
  </si>
  <si>
    <t>金額總計</t>
    <phoneticPr fontId="11" type="noConversion"/>
  </si>
  <si>
    <t>構成比</t>
    <phoneticPr fontId="11" type="noConversion"/>
  </si>
  <si>
    <t>金額總計</t>
    <phoneticPr fontId="89" type="noConversion"/>
  </si>
  <si>
    <r>
      <t xml:space="preserve">構成比
KPI </t>
    </r>
    <r>
      <rPr>
        <b/>
        <sz val="14"/>
        <color rgb="FFFF0000"/>
        <rFont val="微軟正黑體"/>
        <family val="2"/>
        <charset val="136"/>
      </rPr>
      <t>15%</t>
    </r>
    <phoneticPr fontId="89" type="noConversion"/>
  </si>
  <si>
    <t>營業額</t>
    <phoneticPr fontId="11" type="noConversion"/>
  </si>
  <si>
    <t>週報廢</t>
    <phoneticPr fontId="11" type="noConversion"/>
  </si>
  <si>
    <t>週超用</t>
    <phoneticPr fontId="11" type="noConversion"/>
  </si>
  <si>
    <t>平均</t>
    <phoneticPr fontId="89" type="noConversion"/>
  </si>
  <si>
    <t>合計</t>
    <phoneticPr fontId="89" type="noConversion"/>
  </si>
  <si>
    <t>二配金咖哩濃厚辛口咖哩飯</t>
  </si>
  <si>
    <t>二配厚香料咖哩雞排飯</t>
  </si>
  <si>
    <t>川燙青花菜</t>
  </si>
  <si>
    <t>二配起司控培根白醬焗烤飯</t>
  </si>
  <si>
    <t>確認備料量是否正確，調整出料率</t>
  </si>
  <si>
    <t>生產前及生產中確認設定及實際出料狀況</t>
  </si>
  <si>
    <t>回饋研發，後續開發列入考量，設定放料量範圍。</t>
  </si>
  <si>
    <t>蒜炒紅K高麗菜(111年)</t>
  </si>
  <si>
    <t>增加線上抽秤頻率，維持人員放料手感</t>
  </si>
  <si>
    <t>大口起司熔岩白醬炸魚飯糰</t>
  </si>
  <si>
    <t>愛恨椒芝麵</t>
  </si>
  <si>
    <t>二配蒙古風味烤肉飯</t>
  </si>
  <si>
    <t>二配大飯糰滷肉飯加蛋</t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</si>
  <si>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</si>
  <si>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</si>
  <si>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</si>
  <si>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</si>
  <si>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</si>
  <si>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</si>
  <si>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日報</t>
    <phoneticPr fontId="11" type="noConversion"/>
  </si>
  <si>
    <t>實際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</si>
  <si>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</si>
  <si>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</si>
  <si>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</si>
  <si>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</si>
  <si>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</si>
  <si>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</si>
  <si>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r>
      <t>4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飯糰</t>
    </r>
    <phoneticPr fontId="11" type="noConversion"/>
  </si>
  <si>
    <t>品群</t>
  </si>
  <si>
    <t>商品名稱</t>
  </si>
  <si>
    <t>計畫</t>
  </si>
  <si>
    <t>平均人時性</t>
  </si>
  <si>
    <t>實績</t>
  </si>
  <si>
    <t>排名</t>
  </si>
  <si>
    <t>日報</t>
  </si>
  <si>
    <t>產線配置圖</t>
  </si>
  <si>
    <t>人數</t>
  </si>
  <si>
    <t>產能／時</t>
  </si>
  <si>
    <t>人時性</t>
  </si>
  <si>
    <t>品群</t>
    <phoneticPr fontId="8"/>
  </si>
  <si>
    <t>排名</t>
    <phoneticPr fontId="8"/>
  </si>
  <si>
    <t>▼1</t>
    <phoneticPr fontId="8"/>
  </si>
  <si>
    <t>▼2</t>
    <phoneticPr fontId="8"/>
  </si>
  <si>
    <t>▼3</t>
    <phoneticPr fontId="8"/>
  </si>
  <si>
    <t>▼4</t>
    <phoneticPr fontId="8"/>
  </si>
  <si>
    <t>▼5</t>
    <phoneticPr fontId="8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</si>
  <si>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</si>
  <si>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</si>
  <si>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</si>
  <si>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</si>
  <si>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</si>
  <si>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</si>
  <si>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日報</t>
    <phoneticPr fontId="11" type="noConversion"/>
  </si>
  <si>
    <t>實際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</si>
  <si>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</si>
  <si>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</si>
  <si>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</si>
  <si>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</si>
  <si>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</si>
  <si>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</si>
  <si>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</si>
  <si>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</si>
  <si>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</si>
  <si>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</si>
  <si>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</si>
  <si>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</si>
  <si>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日報</t>
    <phoneticPr fontId="11" type="noConversion"/>
  </si>
  <si>
    <t>實際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</si>
  <si>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</si>
  <si>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</si>
  <si>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</si>
  <si>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</si>
  <si>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</si>
  <si>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</si>
  <si>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明太子奶油炸飯糰</t>
  </si>
  <si>
    <t>明太子泡菜牛飯卷</t>
  </si>
  <si>
    <t>壹號醬雞豚雙拼</t>
  </si>
  <si>
    <t>好多蒜燒豚飯</t>
  </si>
  <si>
    <t>二配歐姆蛋(111年版)</t>
  </si>
  <si>
    <t>烤飯糰1</t>
    <phoneticPr fontId="11" type="noConversion"/>
  </si>
  <si>
    <t>烤飯糰2</t>
    <phoneticPr fontId="11" type="noConversion"/>
  </si>
  <si>
    <t>二配川燙醃嫩化淨零碳排牛肉片</t>
  </si>
  <si>
    <t>人數</t>
    <phoneticPr fontId="8"/>
  </si>
  <si>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能</t>
    </r>
    <phoneticPr fontId="8"/>
  </si>
  <si>
    <r>
      <t>人時生</t>
    </r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性</t>
    </r>
    <phoneticPr fontId="8"/>
  </si>
  <si>
    <t>前週比</t>
    <phoneticPr fontId="11" type="noConversion"/>
  </si>
  <si>
    <t>主要原因&amp;對策</t>
    <phoneticPr fontId="8"/>
  </si>
  <si>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能</t>
    </r>
    <phoneticPr fontId="8"/>
  </si>
  <si>
    <r>
      <t>人時生</t>
    </r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性</t>
    </r>
    <phoneticPr fontId="8"/>
  </si>
  <si>
    <t>前週比</t>
    <phoneticPr fontId="11" type="noConversion"/>
  </si>
  <si>
    <t>實際</t>
    <phoneticPr fontId="11" type="noConversion"/>
  </si>
  <si>
    <t>平均人時性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</si>
  <si>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</si>
  <si>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</si>
  <si>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</si>
  <si>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</si>
  <si>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t>排名</t>
    <phoneticPr fontId="11" type="noConversion"/>
  </si>
  <si>
    <t>半成品結凍強度影響擠醬機出料量</t>
  </si>
  <si>
    <t>菜梗、葉差異及均勻度，影響人員放料手感</t>
  </si>
  <si>
    <t>好吃雞肉便當</t>
  </si>
  <si>
    <t>媽媽煮藝-鹹酥雞</t>
  </si>
  <si>
    <t>二配炒解凍11N培根片</t>
  </si>
  <si>
    <t>蟹味可樂餅風炸飯糰</t>
  </si>
  <si>
    <t>二配北海道秋鮭親子飯糰</t>
  </si>
  <si>
    <t>二配解凍-醬油漬鮭魚卵</t>
  </si>
  <si>
    <t>贅沢鮭魚肚飯糰</t>
  </si>
  <si>
    <t>熟成紅鮭飯糰</t>
  </si>
  <si>
    <t>碳烤燒肉飯飯糰(區)</t>
  </si>
  <si>
    <t>二配芝麻香鬆飯糰</t>
  </si>
  <si>
    <t>二配三杯醬爆菇菇飯糰</t>
  </si>
  <si>
    <t>二配大飯糰韓式蒜烤豬五花</t>
  </si>
  <si>
    <t>鮭魚奶油醬油飯糰</t>
  </si>
  <si>
    <t>二配大飯糰鮪魚昆布</t>
  </si>
  <si>
    <t>煙燻培根飯糰(區)</t>
  </si>
  <si>
    <t>長野稻荷壽司</t>
  </si>
  <si>
    <t>雙饗雙手卷</t>
  </si>
  <si>
    <t>日式鮪魚美乃滋脆卷</t>
  </si>
  <si>
    <t>大口歐風焙煎咖哩漢堡排飯糰</t>
  </si>
  <si>
    <t>二配香辣醬蒜味香腸蛋炒飯</t>
  </si>
  <si>
    <t>二配粗飽系雞排炒飯</t>
  </si>
  <si>
    <t>二配里肌豬排可可咖哩歐姆蛋飯</t>
  </si>
  <si>
    <t>二配黃金雞排蘑菇白醬歐姆蛋飯</t>
  </si>
  <si>
    <t>二配美味蟹煲</t>
  </si>
  <si>
    <t>二配失控起司薯餅焗飯</t>
  </si>
  <si>
    <t>二配鮭魚蛋炒飯</t>
  </si>
  <si>
    <t>二配鐵板豆腐燴蛋蓋飯</t>
  </si>
  <si>
    <t>日式中濃醬炭火漢堡排飯</t>
  </si>
  <si>
    <t>辣腐乳麻醬拌麵</t>
  </si>
  <si>
    <t>賣相要求</t>
  </si>
  <si>
    <t>媽媽煮藝-香滷牛肚絲</t>
  </si>
  <si>
    <t>二配蒸海鮮醬(料)</t>
  </si>
  <si>
    <t>蒸-醬香雞肉絲CL(全)</t>
  </si>
  <si>
    <t>1.農產品原物料大小重量差異，造成放料差。2.原物料個體重量差異造成放料重量的差異，有多一個超用，少一個不足重的狀況。未降低因半成品不足的補單工時而有提高展開量。</t>
  </si>
  <si>
    <t>1.反應研發單位半成品狀況。2.協調研發單位下次有同類型商品放料量設定使用範圍值。</t>
  </si>
  <si>
    <t>二配鮮蝦旬彩炊飯飯糰</t>
  </si>
  <si>
    <t>銀鮭美乃滋脆卷</t>
  </si>
  <si>
    <t>壹號醬壽喜燒牛丼</t>
  </si>
  <si>
    <t>炒壽喜燒牛五花</t>
  </si>
  <si>
    <t>二配鹽蔥燒肉飯糰</t>
  </si>
  <si>
    <t>二配雞肉飯飯糰</t>
  </si>
  <si>
    <t>原物料的大小、長短差異導致取樣易有不穩定的狀況</t>
  </si>
  <si>
    <t>原物料的大小長短、油花分布不同導致相同賣相的需求下用量不一樣。</t>
  </si>
  <si>
    <t>韓式泡菜豬肉豆腐丼飯</t>
  </si>
  <si>
    <t>炒韓式燒肉(115年)</t>
  </si>
  <si>
    <t>半成品糾結，影響放料手感</t>
  </si>
  <si>
    <t>生產前先行將半成品撥散</t>
  </si>
  <si>
    <t>二配溏心蛋五目飯糰</t>
  </si>
  <si>
    <t>人數</t>
    <phoneticPr fontId="8"/>
  </si>
  <si>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能</t>
    </r>
    <phoneticPr fontId="8"/>
  </si>
  <si>
    <r>
      <t>人時生</t>
    </r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性</t>
    </r>
    <phoneticPr fontId="8"/>
  </si>
  <si>
    <t>前週比</t>
    <phoneticPr fontId="11" type="noConversion"/>
  </si>
  <si>
    <t>主要原因&amp;對策</t>
    <phoneticPr fontId="8"/>
  </si>
  <si>
    <t>香檸奶油魚排蔬滿盒</t>
  </si>
  <si>
    <t>二配蒸果香甘口咖哩腿丁</t>
  </si>
  <si>
    <t>原物料的大小、長短差異導致取樣有不穩定的狀況</t>
  </si>
  <si>
    <t>冰杓放料，冰杓滿度差異、半成品均勻度影響放料量</t>
  </si>
  <si>
    <t>半成品使用前先攪拌均勻。生產前及生產中確認設定及實際放料狀況</t>
  </si>
  <si>
    <t/>
  </si>
  <si>
    <t>雙倍德腸飯卷</t>
  </si>
  <si>
    <t>Q彈燕麥飯</t>
  </si>
  <si>
    <t>二配鹽水G絲飯糰</t>
  </si>
  <si>
    <t>烤冷凍蒜丁</t>
  </si>
  <si>
    <t>切-究極燒肉片</t>
  </si>
  <si>
    <t>賣相設定</t>
  </si>
  <si>
    <t>炒炸醬炒泡麵</t>
  </si>
  <si>
    <t>炸醬炒泡麵</t>
  </si>
  <si>
    <t>煮奶油薯泥</t>
  </si>
  <si>
    <t>鐵道滷排便當</t>
  </si>
  <si>
    <t>單價高</t>
  </si>
  <si>
    <t>韓式黑嚕嚕炸醬麵</t>
  </si>
  <si>
    <t>煮黑嚕嚕炸醬</t>
  </si>
  <si>
    <t>柚檸海灣貝飯糰</t>
  </si>
  <si>
    <t>解凍海灣貝</t>
  </si>
  <si>
    <t>解凍-醬油漬鮭魚卵</t>
  </si>
  <si>
    <t>二配蒸鼎泰豐香辣醬</t>
  </si>
  <si>
    <t>山葵生鮪魚泥脆卷</t>
  </si>
  <si>
    <t>粉絲煲湯凍</t>
  </si>
  <si>
    <t>炒泡麵豬肉片</t>
  </si>
  <si>
    <t>鹽蔥生鮭飯糰</t>
  </si>
  <si>
    <t>鮭鮪海饌雙手卷</t>
  </si>
  <si>
    <t>經典人氣雙手卷</t>
  </si>
  <si>
    <t>和風涓絲冷麵</t>
  </si>
  <si>
    <t>－</t>
    <phoneticPr fontId="11" type="noConversion"/>
  </si>
  <si>
    <t>▲</t>
    <phoneticPr fontId="11" type="noConversion"/>
  </si>
  <si>
    <t>主要原因&amp;對策</t>
    <phoneticPr fontId="8"/>
  </si>
  <si>
    <t>▼</t>
    <phoneticPr fontId="11" type="noConversion"/>
  </si>
  <si>
    <t>W4</t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</si>
  <si>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原因別分析(4/21-4/27)</t>
    </r>
    <phoneticPr fontId="11" type="noConversion"/>
  </si>
  <si>
    <t>類型</t>
    <phoneticPr fontId="11" type="noConversion"/>
  </si>
  <si>
    <t>排名</t>
    <phoneticPr fontId="8"/>
  </si>
  <si>
    <t>半成品名</t>
    <phoneticPr fontId="8"/>
  </si>
  <si>
    <t>單價</t>
    <phoneticPr fontId="8"/>
  </si>
  <si>
    <t>報廢率</t>
    <phoneticPr fontId="8"/>
  </si>
  <si>
    <t>數量</t>
    <phoneticPr fontId="8"/>
  </si>
  <si>
    <t>前月比</t>
    <phoneticPr fontId="11" type="noConversion"/>
  </si>
  <si>
    <t>主要原因&amp;對策</t>
    <phoneticPr fontId="8"/>
  </si>
  <si>
    <t>展開量高於１０5％</t>
    <phoneticPr fontId="11" type="noConversion"/>
  </si>
  <si>
    <t>前幾名合計比例</t>
    <phoneticPr fontId="8"/>
  </si>
  <si>
    <t>前幾名合計金額</t>
    <phoneticPr fontId="8"/>
  </si>
  <si>
    <r>
      <t>調理多</t>
    </r>
    <r>
      <rPr>
        <sz val="10"/>
        <color rgb="FF000000"/>
        <rFont val="Arial"/>
        <family val="3"/>
        <charset val="136"/>
      </rPr>
      <t>產</t>
    </r>
    <phoneticPr fontId="11" type="noConversion"/>
  </si>
  <si>
    <t>二配川燙辣椒圓片</t>
  </si>
  <si>
    <t>製程不穩</t>
    <phoneticPr fontId="11" type="noConversion"/>
  </si>
  <si>
    <t>確認備料量是否正確，調整出料率</t>
    <phoneticPr fontId="11" type="noConversion"/>
  </si>
  <si>
    <t>炒泡麵炒蛋</t>
  </si>
  <si>
    <t>二配蔥爆牛肉燴飯</t>
  </si>
  <si>
    <t>二配炒蔥爆牛肉</t>
  </si>
  <si>
    <t>增加放料抽秤頻率</t>
    <phoneticPr fontId="11" type="noConversion"/>
  </si>
  <si>
    <t>蔥蔥玉子拌麵</t>
  </si>
  <si>
    <t>煮無敵家日式肉燥</t>
  </si>
  <si>
    <t>二配蒸-全熟雞肉絲CL(升)</t>
  </si>
  <si>
    <t>二配炒綠咖哩腿肉片</t>
  </si>
  <si>
    <t>其他原因</t>
    <phoneticPr fontId="11" type="noConversion"/>
  </si>
  <si>
    <t>二配烤鹹蛋黃碎</t>
  </si>
  <si>
    <t>單價高</t>
    <phoneticPr fontId="11" type="noConversion"/>
  </si>
  <si>
    <t>超用率</t>
    <phoneticPr fontId="8"/>
  </si>
  <si>
    <t>炒扁魚紅K白菜</t>
  </si>
  <si>
    <t>二配112年拌鹽烤豬肉片</t>
  </si>
  <si>
    <t>賣相設定</t>
    <phoneticPr fontId="11" type="noConversion"/>
  </si>
  <si>
    <t>煌輝洋蔥絲</t>
  </si>
  <si>
    <t>山葵章魚飯糰</t>
  </si>
  <si>
    <t>拌芥末章魚</t>
  </si>
  <si>
    <t>放料時麵體纏繞不易拉開，為避免拉扯時斷裂，所以放料會變多。故有微增加出料。</t>
    <phoneticPr fontId="11" type="noConversion"/>
  </si>
  <si>
    <t>調理配合生產時程進行拌麵，降低糾結纏繞狀況</t>
    <phoneticPr fontId="11" type="noConversion"/>
  </si>
  <si>
    <t>煮無敵家拌麵醬</t>
  </si>
  <si>
    <t>冰杓放料，冰杓滿度差異影響放料量</t>
  </si>
  <si>
    <t>增加線上抽秤頻率，維持人員舀料手感</t>
  </si>
  <si>
    <t>清洗紫洋蔥丁</t>
  </si>
  <si>
    <t>紫洋蔥大小顆，造成去尾去皮後的步留率不同</t>
    <phoneticPr fontId="11" type="noConversion"/>
  </si>
  <si>
    <t>放料時麵體纏繞不易拉開，為避免拉扯時斷裂，所以放料會變多。故有微增加出料。</t>
  </si>
  <si>
    <t>調理配合生產時程進行拌麵，降低糾結纏繞狀況</t>
  </si>
  <si>
    <t>備料異常</t>
  </si>
  <si>
    <t>反應調理課級，連續抽秤備料量是Z否</t>
  </si>
  <si>
    <t>需求量少，因單價高，少量報廢即產生大量報廢金額</t>
    <phoneticPr fontId="11" type="noConversion"/>
  </si>
  <si>
    <t>協調生產課調整用量</t>
    <phoneticPr fontId="11" type="noConversion"/>
  </si>
  <si>
    <t>114年拌鮭魚沙拉</t>
  </si>
  <si>
    <t>半成品殘袋</t>
    <phoneticPr fontId="11" type="noConversion"/>
  </si>
  <si>
    <t>確認換籃手法是否有刮除殘袋沙拉</t>
    <phoneticPr fontId="11" type="noConversion"/>
  </si>
  <si>
    <t>需求量少，因單價高，少量報廢即產生大量報廢金額</t>
  </si>
  <si>
    <t>協調生產課調整用量</t>
  </si>
  <si>
    <t>蒜炒洋菇片(115年)</t>
  </si>
  <si>
    <t>拌紅蔥手撕雞</t>
  </si>
  <si>
    <t>單位需求量少，因單價高少量超用即產生較大的超用金額</t>
    <phoneticPr fontId="11" type="noConversion"/>
  </si>
  <si>
    <t>單位需求量少，因單價高少量超用即產生較大的超用金額</t>
  </si>
  <si>
    <t>醬油生鮭脆捲</t>
  </si>
  <si>
    <t>二配打拋風味豆腐飯</t>
  </si>
  <si>
    <t>蔬食鮪魚飯糰</t>
    <phoneticPr fontId="11" type="noConversion"/>
  </si>
  <si>
    <t>▲</t>
    <phoneticPr fontId="11" type="noConversion"/>
  </si>
  <si>
    <t>產能及人時生產性對比上週差異小</t>
    <phoneticPr fontId="11" type="noConversion"/>
  </si>
  <si>
    <t>－</t>
    <phoneticPr fontId="11" type="noConversion"/>
  </si>
  <si>
    <t>產能及人時生產性對比上週差異小</t>
    <phoneticPr fontId="11" type="noConversion"/>
  </si>
  <si>
    <t>人時性較上週提升</t>
    <phoneticPr fontId="11" type="noConversion"/>
  </si>
  <si>
    <t>▼</t>
    <phoneticPr fontId="11" type="noConversion"/>
  </si>
  <si>
    <t>人數</t>
    <phoneticPr fontId="8"/>
  </si>
  <si>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能</t>
    </r>
    <phoneticPr fontId="8"/>
  </si>
  <si>
    <r>
      <t>人時生</t>
    </r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性</t>
    </r>
    <phoneticPr fontId="8"/>
  </si>
  <si>
    <t>前週比</t>
    <phoneticPr fontId="11" type="noConversion"/>
  </si>
  <si>
    <t>主要原因&amp;對策</t>
    <phoneticPr fontId="8"/>
  </si>
  <si>
    <r>
      <t>4/21</t>
    </r>
    <r>
      <rPr>
        <sz val="10"/>
        <color theme="1"/>
        <rFont val="細明體"/>
        <family val="3"/>
        <charset val="136"/>
      </rPr>
      <t>上市新品，脆捲商品為手工包裝，產能與人時生產性較低。</t>
    </r>
    <phoneticPr fontId="11" type="noConversion"/>
  </si>
  <si>
    <t>▲</t>
    <phoneticPr fontId="11" type="noConversion"/>
  </si>
  <si>
    <t>機台產能，人時性差異不大</t>
    <phoneticPr fontId="11" type="noConversion"/>
  </si>
  <si>
    <t>▼</t>
    <phoneticPr fontId="11" type="noConversion"/>
  </si>
  <si>
    <t>產能較上週增加</t>
    <phoneticPr fontId="11" type="noConversion"/>
  </si>
  <si>
    <t>－</t>
    <phoneticPr fontId="11" type="noConversion"/>
  </si>
  <si>
    <t>人數</t>
    <phoneticPr fontId="8"/>
  </si>
  <si>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能</t>
    </r>
    <phoneticPr fontId="8"/>
  </si>
  <si>
    <r>
      <t>人時生</t>
    </r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性</t>
    </r>
    <phoneticPr fontId="8"/>
  </si>
  <si>
    <t>前週比</t>
    <phoneticPr fontId="11" type="noConversion"/>
  </si>
  <si>
    <t>主要原因&amp;對策</t>
    <phoneticPr fontId="8"/>
  </si>
  <si>
    <r>
      <t>全區商品，需分區生</t>
    </r>
    <r>
      <rPr>
        <sz val="10"/>
        <color theme="1"/>
        <rFont val="細明體"/>
        <family val="3"/>
        <charset val="136"/>
      </rPr>
      <t>產</t>
    </r>
    <r>
      <rPr>
        <sz val="10"/>
        <color theme="1"/>
        <rFont val="Meiryo UI"/>
        <family val="2"/>
      </rPr>
      <t>，影響</t>
    </r>
    <r>
      <rPr>
        <sz val="10"/>
        <color theme="1"/>
        <rFont val="細明體"/>
        <family val="3"/>
        <charset val="136"/>
      </rPr>
      <t>產</t>
    </r>
    <r>
      <rPr>
        <sz val="10"/>
        <color theme="1"/>
        <rFont val="Meiryo UI"/>
        <family val="2"/>
      </rPr>
      <t>能</t>
    </r>
    <phoneticPr fontId="11" type="noConversion"/>
  </si>
  <si>
    <t>當週該組新進人員一名，產能及人時生產性對比上週下降</t>
    <phoneticPr fontId="11" type="noConversion"/>
  </si>
  <si>
    <t>本週新品，人員熟悉中</t>
    <phoneticPr fontId="11" type="noConversion"/>
  </si>
  <si>
    <r>
      <rPr>
        <sz val="11"/>
        <color theme="1"/>
        <rFont val="細明體"/>
        <family val="3"/>
        <charset val="136"/>
      </rPr>
      <t>上</t>
    </r>
    <r>
      <rPr>
        <sz val="11"/>
        <color theme="1"/>
        <rFont val="Meiryo UI"/>
        <family val="2"/>
      </rPr>
      <t>週新品，配菜少，人時性高</t>
    </r>
    <phoneticPr fontId="11" type="noConversion"/>
  </si>
  <si>
    <t>轉地區生產，訂單量減少</t>
    <phoneticPr fontId="11" type="noConversion"/>
  </si>
  <si>
    <t>品項皆為八爪機作業，產能平均，產能及人時生產性差異小。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</si>
</sst>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4">
    <numFmt numFmtId="42" formatCode="_-&quot;$&quot;* #,##0_-;\-&quot;$&quot;* #,##0_-;_-&quot;$&quot;* &quot;-&quot;_-;_-@_-"/>
    <numFmt numFmtId="44" formatCode="_-&quot;$&quot;* #,##0.00_-;\-&quot;$&quot;* #,##0.00_-;_-&quot;$&quot;* &quot;-&quot;??_-;_-@_-"/>
    <numFmt numFmtId="43" formatCode="_-* #,##0.00_-;\-* #,##0.00_-;_-* &quot;-&quot;??_-;_-@_-"/>
    <numFmt numFmtId="176" formatCode="&quot;NT$&quot;#,##0.0"/>
    <numFmt numFmtId="177" formatCode="0&quot;個&quot;"/>
    <numFmt numFmtId="178" formatCode="&quot;NT$&quot;#,##0.0_);[Red]\(&quot;NT$&quot;#,##0.0\)"/>
    <numFmt numFmtId="179" formatCode="m&quot;月&quot;d&quot;日&quot;"/>
    <numFmt numFmtId="180" formatCode="0.0&quot;個&quot;"/>
    <numFmt numFmtId="181" formatCode="0.0_);[Red]\(0.0\)"/>
    <numFmt numFmtId="182" formatCode="&quot;NT$&quot;#,##0.00_);[Red]\(&quot;NT$&quot;#,##0.00\)"/>
    <numFmt numFmtId="183" formatCode="0.0"/>
    <numFmt numFmtId="184" formatCode="0,000"/>
    <numFmt numFmtId="185" formatCode="0.0%"/>
    <numFmt numFmtId="186" formatCode="&quot;NT$&quot;#,##0_);[Red]\(&quot;NT$&quot;#,##0\)"/>
    <numFmt numFmtId="187" formatCode="&quot;NT$&quot;#,##0"/>
    <numFmt numFmtId="188" formatCode="_-* #,##0_-;\-* #,##0_-;_-* &quot;-&quot;??_-;_-@_-"/>
    <numFmt numFmtId="189" formatCode="0.000%"/>
    <numFmt numFmtId="190" formatCode="_-* #,##0.0_-;\-* #,##0.0_-;_-* &quot;-&quot;??_-;_-@_-"/>
    <numFmt numFmtId="191" formatCode="#,##0.0"/>
    <numFmt numFmtId="192" formatCode="#,##0.0_ "/>
    <numFmt numFmtId="193" formatCode="m/d\ aaaa"/>
    <numFmt numFmtId="194" formatCode="0,000&quot;元&quot;"/>
    <numFmt numFmtId="195" formatCode="000&quot;元&quot;"/>
    <numFmt numFmtId="196" formatCode="0.00_)"/>
  </numFmts>
  <fonts count="110">
    <font>
      <sz val="10"/>
      <color rgb="FF000000"/>
      <name val="Arial"/>
      <scheme val="minor"/>
    </font>
    <font>
      <sz val="12"/>
      <color theme="1"/>
      <name val="Arial"/>
      <family val="2"/>
      <charset val="136"/>
      <scheme val="minor"/>
    </font>
    <font>
      <sz val="12"/>
      <color theme="1"/>
      <name val="Arial"/>
      <family val="2"/>
      <charset val="136"/>
      <scheme val="minor"/>
    </font>
    <font>
      <sz val="12"/>
      <color theme="1"/>
      <name val="Arial"/>
      <family val="2"/>
      <charset val="136"/>
      <scheme val="minor"/>
    </font>
    <font>
      <sz val="12"/>
      <color theme="1"/>
      <name val="Arial"/>
      <family val="2"/>
      <charset val="136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name val="Arial"/>
      <family val="2"/>
    </font>
    <font>
      <sz val="6"/>
      <name val="Arial"/>
      <family val="3"/>
      <charset val="128"/>
      <scheme val="minor"/>
    </font>
    <font>
      <sz val="11"/>
      <color theme="1"/>
      <name val="Arial"/>
      <family val="3"/>
      <charset val="136"/>
      <scheme val="minor"/>
    </font>
    <font>
      <sz val="10"/>
      <color theme="1"/>
      <name val="Arial"/>
      <family val="3"/>
      <charset val="136"/>
      <scheme val="minor"/>
    </font>
    <font>
      <sz val="9"/>
      <name val="Arial"/>
      <family val="3"/>
      <charset val="136"/>
      <scheme val="minor"/>
    </font>
    <font>
      <sz val="10"/>
      <color rgb="FF000000"/>
      <name val="Meiryo UI"/>
      <family val="2"/>
      <charset val="128"/>
    </font>
    <font>
      <sz val="11"/>
      <color rgb="FF000000"/>
      <name val="Meiryo UI"/>
      <family val="2"/>
      <charset val="128"/>
    </font>
    <font>
      <sz val="11"/>
      <color rgb="FF000000"/>
      <name val="Arial"/>
      <family val="3"/>
      <charset val="136"/>
    </font>
    <font>
      <sz val="11"/>
      <color rgb="FF000000"/>
      <name val="細明體"/>
      <family val="3"/>
      <charset val="136"/>
    </font>
    <font>
      <sz val="18"/>
      <color rgb="FF000000"/>
      <name val="Meiryo UI"/>
      <family val="2"/>
      <charset val="128"/>
    </font>
    <font>
      <b/>
      <sz val="22"/>
      <color rgb="FF000000"/>
      <name val="Meiryo UI"/>
      <family val="2"/>
      <charset val="128"/>
    </font>
    <font>
      <b/>
      <sz val="22"/>
      <color rgb="FF000000"/>
      <name val="細明體"/>
      <family val="3"/>
      <charset val="136"/>
    </font>
    <font>
      <sz val="12"/>
      <color rgb="FF000000"/>
      <name val="Arial"/>
      <family val="3"/>
      <charset val="136"/>
    </font>
    <font>
      <sz val="11"/>
      <color theme="1"/>
      <name val="細明體"/>
      <family val="3"/>
      <charset val="136"/>
    </font>
    <font>
      <b/>
      <sz val="14"/>
      <color rgb="FF000000"/>
      <name val="細明體"/>
      <family val="3"/>
      <charset val="136"/>
    </font>
    <font>
      <sz val="10"/>
      <color rgb="FF000000"/>
      <name val="Arial"/>
      <family val="2"/>
      <scheme val="minor"/>
    </font>
    <font>
      <b/>
      <sz val="22"/>
      <color rgb="FF000000"/>
      <name val="Meiryo UI"/>
      <family val="2"/>
    </font>
    <font>
      <sz val="10"/>
      <color rgb="FF000000"/>
      <name val="Meiryo UI"/>
      <family val="2"/>
    </font>
    <font>
      <sz val="11"/>
      <color rgb="FF000000"/>
      <name val="Meiryo UI"/>
      <family val="2"/>
    </font>
    <font>
      <sz val="11"/>
      <color theme="1"/>
      <name val="Meiryo UI"/>
      <family val="2"/>
    </font>
    <font>
      <sz val="12"/>
      <color rgb="FF000000"/>
      <name val="Meiryo UI"/>
      <family val="2"/>
    </font>
    <font>
      <b/>
      <sz val="14"/>
      <color rgb="FF000000"/>
      <name val="Meiryo UI"/>
      <family val="2"/>
    </font>
    <font>
      <b/>
      <sz val="11.9"/>
      <color rgb="FF000000"/>
      <name val="Meiryo UI"/>
      <family val="2"/>
    </font>
    <font>
      <b/>
      <sz val="16"/>
      <color rgb="FF000000"/>
      <name val="Meiryo UI"/>
      <family val="2"/>
    </font>
    <font>
      <sz val="10"/>
      <color rgb="FF000000"/>
      <name val="Arial"/>
      <family val="3"/>
      <charset val="136"/>
      <scheme val="minor"/>
    </font>
    <font>
      <b/>
      <sz val="12"/>
      <color rgb="FF000000"/>
      <name val="Arial"/>
      <family val="3"/>
      <charset val="136"/>
      <scheme val="minor"/>
    </font>
    <font>
      <b/>
      <sz val="12"/>
      <color rgb="FF000000"/>
      <name val="Arial"/>
      <family val="2"/>
      <scheme val="minor"/>
    </font>
    <font>
      <sz val="12"/>
      <color theme="1"/>
      <name val="Meiryo UI"/>
      <family val="2"/>
    </font>
    <font>
      <sz val="12"/>
      <color theme="1"/>
      <name val="微軟正黑體"/>
      <family val="2"/>
      <charset val="136"/>
    </font>
    <font>
      <sz val="12"/>
      <name val="Meiryo UI"/>
      <family val="2"/>
    </font>
    <font>
      <sz val="12"/>
      <name val="微軟正黑體"/>
      <family val="2"/>
      <charset val="136"/>
    </font>
    <font>
      <b/>
      <sz val="16"/>
      <color rgb="FF000000"/>
      <name val="Meiryo UI"/>
      <family val="2"/>
      <charset val="128"/>
    </font>
    <font>
      <sz val="10"/>
      <color rgb="FF000000"/>
      <name val="Arial"/>
      <family val="3"/>
      <charset val="136"/>
    </font>
    <font>
      <b/>
      <sz val="14"/>
      <color rgb="FF000000"/>
      <name val="Arial"/>
      <family val="3"/>
      <charset val="136"/>
    </font>
    <font>
      <b/>
      <sz val="20"/>
      <color rgb="FF000000"/>
      <name val="Meiryo UI"/>
      <family val="2"/>
      <charset val="128"/>
    </font>
    <font>
      <b/>
      <sz val="20"/>
      <color rgb="FF000000"/>
      <name val="細明體"/>
      <family val="3"/>
      <charset val="136"/>
    </font>
    <font>
      <b/>
      <sz val="20"/>
      <color rgb="FF000000"/>
      <name val="Meiryo UI"/>
      <family val="2"/>
    </font>
    <font>
      <sz val="10"/>
      <color theme="1"/>
      <name val="Meiryo UI"/>
      <family val="2"/>
    </font>
    <font>
      <sz val="11"/>
      <color rgb="FFFF0000"/>
      <name val="Meiryo UI"/>
      <family val="2"/>
    </font>
    <font>
      <sz val="11"/>
      <color theme="1"/>
      <name val="Arial"/>
      <family val="3"/>
      <charset val="136"/>
    </font>
    <font>
      <sz val="10"/>
      <color theme="1"/>
      <name val="Arial"/>
      <family val="3"/>
      <charset val="136"/>
    </font>
    <font>
      <b/>
      <sz val="12"/>
      <color theme="1"/>
      <name val="Meiryo UI"/>
      <family val="2"/>
    </font>
    <font>
      <b/>
      <sz val="12"/>
      <color theme="1"/>
      <name val="Arial"/>
      <family val="3"/>
      <charset val="136"/>
    </font>
    <font>
      <b/>
      <sz val="12"/>
      <color theme="1"/>
      <name val="Meiryo UI"/>
      <family val="2"/>
      <charset val="128"/>
    </font>
    <font>
      <sz val="14"/>
      <color theme="1"/>
      <name val="Meiryo UI"/>
      <family val="2"/>
    </font>
    <font>
      <sz val="10"/>
      <color theme="1"/>
      <name val="細明體"/>
      <family val="3"/>
      <charset val="136"/>
    </font>
    <font>
      <b/>
      <sz val="12"/>
      <color rgb="FF000000"/>
      <name val="Meiryo UI"/>
      <family val="2"/>
      <charset val="128"/>
    </font>
    <font>
      <b/>
      <sz val="12"/>
      <color rgb="FF000000"/>
      <name val="Meiryo UI"/>
      <family val="2"/>
    </font>
    <font>
      <sz val="10"/>
      <name val="Meiryo UI"/>
      <family val="2"/>
    </font>
    <font>
      <b/>
      <sz val="12"/>
      <color rgb="FF000000"/>
      <name val="Arial"/>
      <family val="3"/>
      <charset val="136"/>
    </font>
    <font>
      <sz val="11"/>
      <color theme="1"/>
      <name val="Arial"/>
      <family val="2"/>
    </font>
    <font>
      <sz val="10"/>
      <color rgb="FF000000"/>
      <name val="Arial"/>
      <family val="2"/>
    </font>
    <font>
      <b/>
      <sz val="12"/>
      <color rgb="FF000000"/>
      <name val="細明體"/>
      <family val="3"/>
      <charset val="136"/>
    </font>
    <font>
      <b/>
      <sz val="14"/>
      <color theme="1"/>
      <name val="Meiryo UI"/>
      <family val="2"/>
    </font>
    <font>
      <b/>
      <sz val="14"/>
      <color theme="1"/>
      <name val="Arial"/>
      <family val="3"/>
      <charset val="136"/>
    </font>
    <font>
      <sz val="11"/>
      <color theme="1"/>
      <name val="Meiryo UI"/>
      <family val="2"/>
      <charset val="128"/>
    </font>
    <font>
      <sz val="10"/>
      <color rgb="FFFF0000"/>
      <name val="Meiryo UI"/>
      <family val="2"/>
    </font>
    <font>
      <b/>
      <sz val="16"/>
      <color rgb="FF000000"/>
      <name val="細明體"/>
      <family val="3"/>
      <charset val="136"/>
    </font>
    <font>
      <sz val="12"/>
      <color theme="1"/>
      <name val="細明體"/>
      <family val="3"/>
      <charset val="136"/>
    </font>
    <font>
      <sz val="12"/>
      <color rgb="FFFF0000"/>
      <name val="Meiryo UI"/>
      <family val="2"/>
    </font>
    <font>
      <b/>
      <sz val="20"/>
      <color rgb="FF000000"/>
      <name val="微軟正黑體"/>
      <family val="2"/>
      <charset val="136"/>
    </font>
    <font>
      <sz val="11"/>
      <color theme="1"/>
      <name val="微軟正黑體"/>
      <family val="2"/>
      <charset val="136"/>
    </font>
    <font>
      <sz val="14"/>
      <color theme="1"/>
      <name val="細明體"/>
      <family val="3"/>
      <charset val="136"/>
    </font>
    <font>
      <sz val="10"/>
      <color rgb="FFFF0000"/>
      <name val="Arial"/>
      <family val="3"/>
      <charset val="136"/>
      <scheme val="minor"/>
    </font>
    <font>
      <sz val="12"/>
      <color rgb="FF000000"/>
      <name val="細明體"/>
      <family val="3"/>
      <charset val="136"/>
    </font>
    <font>
      <sz val="10"/>
      <color theme="4"/>
      <name val="Arial"/>
      <family val="3"/>
      <charset val="136"/>
      <scheme val="minor"/>
    </font>
    <font>
      <sz val="6"/>
      <color rgb="FF000000"/>
      <name val="Meiryo UI"/>
      <family val="2"/>
    </font>
    <font>
      <sz val="9"/>
      <color rgb="FF000000"/>
      <name val="Meiryo UI"/>
      <family val="2"/>
    </font>
    <font>
      <sz val="10"/>
      <color rgb="FF000000"/>
      <name val="Arial"/>
      <family val="2"/>
      <scheme val="minor"/>
    </font>
    <font>
      <sz val="11"/>
      <color rgb="FF0070C0"/>
      <name val="新細明體"/>
      <family val="1"/>
      <charset val="136"/>
    </font>
    <font>
      <sz val="11"/>
      <color rgb="FF92D050"/>
      <name val="細明體"/>
      <family val="3"/>
      <charset val="136"/>
    </font>
    <font>
      <sz val="11"/>
      <color rgb="FFFF0000"/>
      <name val="新細明體"/>
      <family val="1"/>
      <charset val="136"/>
    </font>
    <font>
      <sz val="7"/>
      <color rgb="FF000000"/>
      <name val="Meiryo UI"/>
      <family val="2"/>
    </font>
    <font>
      <sz val="10"/>
      <color rgb="FF000000"/>
      <name val="細明體"/>
      <family val="3"/>
      <charset val="136"/>
    </font>
    <font>
      <b/>
      <sz val="12"/>
      <color theme="1"/>
      <name val="細明體"/>
      <family val="3"/>
      <charset val="136"/>
    </font>
    <font>
      <sz val="11"/>
      <color rgb="FFFF0000"/>
      <name val="細明體"/>
      <family val="3"/>
      <charset val="136"/>
    </font>
    <font>
      <sz val="12"/>
      <color theme="1"/>
      <name val="Meiryo UI"/>
      <family val="2"/>
      <charset val="128"/>
    </font>
    <font>
      <sz val="12"/>
      <color rgb="FF000000"/>
      <name val="細明體"/>
      <family val="2"/>
      <charset val="136"/>
    </font>
    <font>
      <sz val="12"/>
      <color theme="1"/>
      <name val="細明體"/>
      <family val="2"/>
      <charset val="136"/>
    </font>
    <font>
      <sz val="12"/>
      <color theme="1"/>
      <name val="Microsoft JhengHei"/>
      <family val="2"/>
    </font>
    <font>
      <b/>
      <sz val="20"/>
      <color theme="1"/>
      <name val="微軟正黑體"/>
      <family val="2"/>
      <charset val="136"/>
    </font>
    <font>
      <b/>
      <sz val="14"/>
      <color theme="1"/>
      <name val="微軟正黑體"/>
      <family val="2"/>
      <charset val="136"/>
    </font>
    <font>
      <sz val="9"/>
      <name val="Arial"/>
      <family val="2"/>
      <charset val="136"/>
      <scheme val="minor"/>
    </font>
    <font>
      <b/>
      <sz val="14"/>
      <color rgb="FFFF0000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sz val="12"/>
      <name val="新細明體"/>
      <family val="1"/>
      <charset val="136"/>
    </font>
    <font>
      <sz val="12"/>
      <name val="Times New Roman"/>
      <family val="1"/>
    </font>
    <font>
      <b/>
      <i/>
      <sz val="16"/>
      <name val="Helv"/>
      <family val="2"/>
    </font>
    <font>
      <sz val="12"/>
      <color theme="1"/>
      <name val="Arial"/>
      <family val="1"/>
      <charset val="136"/>
      <scheme val="minor"/>
    </font>
    <font>
      <u/>
      <sz val="12"/>
      <color indexed="12"/>
      <name val="新細明體"/>
      <family val="1"/>
      <charset val="136"/>
    </font>
    <font>
      <sz val="10"/>
      <color indexed="8"/>
      <name val="ARIAL"/>
      <family val="2"/>
    </font>
    <font>
      <sz val="12"/>
      <color theme="1"/>
      <name val="Arial"/>
      <family val="2"/>
      <scheme val="minor"/>
    </font>
    <font>
      <sz val="12"/>
      <color indexed="8"/>
      <name val="新細明體"/>
      <family val="1"/>
      <charset val="136"/>
    </font>
    <font>
      <sz val="12"/>
      <color indexed="17"/>
      <name val="新細明體"/>
      <family val="1"/>
      <charset val="136"/>
    </font>
    <font>
      <sz val="16"/>
      <color indexed="17"/>
      <name val="新細明體"/>
      <family val="1"/>
      <charset val="136"/>
    </font>
    <font>
      <sz val="11"/>
      <name val="ＭＳ Ｐゴシック"/>
      <family val="2"/>
      <charset val="128"/>
    </font>
    <font>
      <sz val="12"/>
      <color indexed="20"/>
      <name val="新細明體"/>
      <family val="1"/>
      <charset val="136"/>
    </font>
    <font>
      <sz val="20"/>
      <color indexed="20"/>
      <name val="新細明體"/>
      <family val="1"/>
      <charset val="136"/>
    </font>
    <font>
      <sz val="10"/>
      <color rgb="FFFF0000"/>
      <name val="Meiryo UI"/>
      <family val="2"/>
      <charset val="128"/>
    </font>
    <font>
      <sz val="14"/>
      <color rgb="FF0070C0"/>
      <name val="新細明體"/>
      <family val="1"/>
      <charset val="136"/>
    </font>
  </fonts>
  <fills count="1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42"/>
      </patternFill>
    </fill>
    <fill>
      <patternFill patternType="solid">
        <fgColor indexed="45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rgb="FF000000"/>
      </right>
      <top/>
      <bottom/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ouble">
        <color rgb="FF000000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577">
    <xf numFmtId="0" fontId="0" fillId="0" borderId="0"/>
    <xf numFmtId="0" fontId="4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5" fillId="0" borderId="0"/>
    <xf numFmtId="0" fontId="4" fillId="0" borderId="0">
      <alignment vertical="center"/>
    </xf>
    <xf numFmtId="0" fontId="4" fillId="0" borderId="0">
      <alignment vertical="center"/>
    </xf>
    <xf numFmtId="9" fontId="7" fillId="0" borderId="0" applyFont="0" applyFill="0" applyBorder="0" applyAlignment="0" applyProtection="0">
      <alignment vertical="center"/>
    </xf>
    <xf numFmtId="0" fontId="7" fillId="0" borderId="0"/>
    <xf numFmtId="9" fontId="7" fillId="0" borderId="0" applyFont="0" applyFill="0" applyBorder="0" applyAlignment="0" applyProtection="0"/>
    <xf numFmtId="0" fontId="22" fillId="0" borderId="0"/>
    <xf numFmtId="0" fontId="3" fillId="0" borderId="0">
      <alignment vertical="center"/>
    </xf>
    <xf numFmtId="9" fontId="22" fillId="0" borderId="0" applyFont="0" applyFill="0" applyBorder="0" applyAlignment="0" applyProtection="0">
      <alignment vertical="center"/>
    </xf>
    <xf numFmtId="43" fontId="7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2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95" fillId="0" borderId="0"/>
    <xf numFmtId="9" fontId="95" fillId="0" borderId="0" applyFont="0" applyFill="0" applyBorder="0" applyAlignment="0" applyProtection="0"/>
    <xf numFmtId="0" fontId="96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7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196" fontId="97" fillId="0" borderId="0"/>
    <xf numFmtId="0" fontId="7" fillId="0" borderId="0"/>
    <xf numFmtId="0" fontId="95" fillId="0" borderId="0">
      <alignment vertical="center"/>
    </xf>
    <xf numFmtId="0" fontId="98" fillId="0" borderId="0"/>
    <xf numFmtId="42" fontId="96" fillId="0" borderId="0" applyFont="0" applyFill="0" applyBorder="0" applyAlignment="0" applyProtection="0"/>
    <xf numFmtId="0" fontId="99" fillId="0" borderId="0" applyNumberFormat="0" applyFill="0" applyBorder="0" applyAlignment="0" applyProtection="0">
      <alignment vertical="top"/>
      <protection locked="0"/>
    </xf>
    <xf numFmtId="0" fontId="100" fillId="0" borderId="0">
      <alignment vertical="top"/>
    </xf>
    <xf numFmtId="0" fontId="7" fillId="0" borderId="0"/>
    <xf numFmtId="0" fontId="98" fillId="0" borderId="0">
      <alignment vertical="center"/>
    </xf>
    <xf numFmtId="0" fontId="95" fillId="0" borderId="0"/>
    <xf numFmtId="0" fontId="95" fillId="0" borderId="0"/>
    <xf numFmtId="0" fontId="95" fillId="0" borderId="0"/>
    <xf numFmtId="0" fontId="98" fillId="0" borderId="0">
      <alignment vertical="center"/>
    </xf>
    <xf numFmtId="0" fontId="95" fillId="0" borderId="0"/>
    <xf numFmtId="0" fontId="95" fillId="0" borderId="0"/>
    <xf numFmtId="0" fontId="98" fillId="0" borderId="0">
      <alignment vertical="center"/>
    </xf>
    <xf numFmtId="0" fontId="98" fillId="0" borderId="0">
      <alignment vertical="center"/>
    </xf>
    <xf numFmtId="0" fontId="95" fillId="0" borderId="0"/>
    <xf numFmtId="0" fontId="98" fillId="0" borderId="0">
      <alignment vertical="center"/>
    </xf>
    <xf numFmtId="0" fontId="95" fillId="0" borderId="0"/>
    <xf numFmtId="0" fontId="98" fillId="0" borderId="0">
      <alignment vertical="center"/>
    </xf>
    <xf numFmtId="0" fontId="95" fillId="0" borderId="0"/>
    <xf numFmtId="0" fontId="95" fillId="0" borderId="0"/>
    <xf numFmtId="0" fontId="95" fillId="0" borderId="0"/>
    <xf numFmtId="0" fontId="101" fillId="0" borderId="0"/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0" borderId="0">
      <alignment vertical="center"/>
    </xf>
    <xf numFmtId="0" fontId="95" fillId="0" borderId="0"/>
    <xf numFmtId="0" fontId="95" fillId="0" borderId="0"/>
    <xf numFmtId="0" fontId="101" fillId="0" borderId="0"/>
    <xf numFmtId="0" fontId="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98" fillId="0" borderId="0"/>
    <xf numFmtId="0" fontId="95" fillId="0" borderId="0"/>
    <xf numFmtId="0" fontId="1" fillId="0" borderId="0">
      <alignment vertical="center"/>
    </xf>
    <xf numFmtId="0" fontId="98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98" fillId="0" borderId="0">
      <alignment vertical="center"/>
    </xf>
    <xf numFmtId="0" fontId="95" fillId="0" borderId="0"/>
    <xf numFmtId="0" fontId="98" fillId="0" borderId="0">
      <alignment vertical="center"/>
    </xf>
    <xf numFmtId="0" fontId="98" fillId="0" borderId="0">
      <alignment vertical="center"/>
    </xf>
    <xf numFmtId="0" fontId="95" fillId="0" borderId="0"/>
    <xf numFmtId="0" fontId="98" fillId="0" borderId="0">
      <alignment vertical="center"/>
    </xf>
    <xf numFmtId="0" fontId="98" fillId="0" borderId="0">
      <alignment vertical="center"/>
    </xf>
    <xf numFmtId="0" fontId="1" fillId="0" borderId="0">
      <alignment vertical="center"/>
    </xf>
    <xf numFmtId="0" fontId="95" fillId="0" borderId="0"/>
    <xf numFmtId="0" fontId="98" fillId="0" borderId="0">
      <alignment vertical="center"/>
    </xf>
    <xf numFmtId="0" fontId="95" fillId="0" borderId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8" fillId="0" borderId="0" applyFont="0" applyFill="0" applyBorder="0" applyAlignment="0" applyProtection="0">
      <alignment vertical="center"/>
    </xf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0" fontId="103" fillId="16" borderId="0" applyNumberFormat="0" applyBorder="0" applyAlignment="0" applyProtection="0">
      <alignment vertical="center"/>
    </xf>
    <xf numFmtId="0" fontId="103" fillId="16" borderId="0" applyNumberFormat="0" applyBorder="0" applyAlignment="0" applyProtection="0">
      <alignment vertical="center"/>
    </xf>
    <xf numFmtId="0" fontId="104" fillId="16" borderId="0" applyNumberFormat="0" applyBorder="0" applyAlignment="0" applyProtection="0">
      <alignment vertical="center"/>
    </xf>
    <xf numFmtId="0" fontId="103" fillId="16" borderId="0" applyNumberFormat="0" applyBorder="0" applyAlignment="0" applyProtection="0">
      <alignment vertical="center"/>
    </xf>
    <xf numFmtId="0" fontId="103" fillId="16" borderId="0" applyNumberFormat="0" applyBorder="0" applyAlignment="0" applyProtection="0">
      <alignment vertical="center"/>
    </xf>
    <xf numFmtId="0" fontId="103" fillId="16" borderId="0" applyNumberFormat="0" applyBorder="0" applyAlignment="0" applyProtection="0">
      <alignment vertical="center"/>
    </xf>
    <xf numFmtId="0" fontId="103" fillId="16" borderId="0" applyNumberFormat="0" applyBorder="0" applyAlignment="0" applyProtection="0">
      <alignment vertical="center"/>
    </xf>
    <xf numFmtId="0" fontId="103" fillId="16" borderId="0" applyNumberFormat="0" applyBorder="0" applyAlignment="0" applyProtection="0">
      <alignment vertical="center"/>
    </xf>
    <xf numFmtId="0" fontId="103" fillId="16" borderId="0" applyNumberFormat="0" applyBorder="0" applyAlignment="0" applyProtection="0">
      <alignment vertical="center"/>
    </xf>
    <xf numFmtId="0" fontId="103" fillId="16" borderId="0" applyNumberFormat="0" applyBorder="0" applyAlignment="0" applyProtection="0">
      <alignment vertical="center"/>
    </xf>
    <xf numFmtId="0" fontId="103" fillId="16" borderId="0" applyNumberFormat="0" applyBorder="0" applyAlignment="0" applyProtection="0">
      <alignment vertical="center"/>
    </xf>
    <xf numFmtId="0" fontId="104" fillId="16" borderId="0" applyNumberFormat="0" applyBorder="0" applyAlignment="0" applyProtection="0">
      <alignment vertical="center"/>
    </xf>
    <xf numFmtId="9" fontId="102" fillId="0" borderId="0" applyFont="0" applyFill="0" applyBorder="0" applyAlignment="0" applyProtection="0">
      <alignment vertical="center"/>
    </xf>
    <xf numFmtId="9" fontId="102" fillId="0" borderId="0" applyFont="0" applyFill="0" applyBorder="0" applyAlignment="0" applyProtection="0">
      <alignment vertical="center"/>
    </xf>
    <xf numFmtId="9" fontId="102" fillId="0" borderId="0" applyFont="0" applyFill="0" applyBorder="0" applyAlignment="0" applyProtection="0">
      <alignment vertical="center"/>
    </xf>
    <xf numFmtId="9" fontId="95" fillId="0" borderId="0" applyFont="0" applyFill="0" applyBorder="0" applyAlignment="0" applyProtection="0"/>
    <xf numFmtId="9" fontId="95" fillId="0" borderId="0" applyFont="0" applyFill="0" applyBorder="0" applyAlignment="0" applyProtection="0"/>
    <xf numFmtId="9" fontId="102" fillId="0" borderId="0" applyFont="0" applyFill="0" applyBorder="0" applyAlignment="0" applyProtection="0">
      <alignment vertical="center"/>
    </xf>
    <xf numFmtId="9" fontId="98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02" fillId="0" borderId="0" applyFont="0" applyFill="0" applyBorder="0" applyAlignment="0" applyProtection="0">
      <alignment vertical="center"/>
    </xf>
    <xf numFmtId="9" fontId="10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02" fillId="0" borderId="0" applyFont="0" applyFill="0" applyBorder="0" applyAlignment="0" applyProtection="0">
      <alignment vertical="center"/>
    </xf>
    <xf numFmtId="9" fontId="95" fillId="0" borderId="0" applyFont="0" applyFill="0" applyBorder="0" applyAlignment="0" applyProtection="0"/>
    <xf numFmtId="9" fontId="102" fillId="0" borderId="0" applyFont="0" applyFill="0" applyBorder="0" applyAlignment="0" applyProtection="0">
      <alignment vertical="center"/>
    </xf>
    <xf numFmtId="9" fontId="102" fillId="0" borderId="0" applyFont="0" applyFill="0" applyBorder="0" applyAlignment="0" applyProtection="0">
      <alignment vertical="center"/>
    </xf>
    <xf numFmtId="9" fontId="95" fillId="0" borderId="0" applyFont="0" applyFill="0" applyBorder="0" applyAlignment="0" applyProtection="0"/>
    <xf numFmtId="9" fontId="95" fillId="0" borderId="0" applyFont="0" applyFill="0" applyBorder="0" applyAlignment="0" applyProtection="0"/>
    <xf numFmtId="44" fontId="101" fillId="0" borderId="0" applyFont="0" applyFill="0" applyBorder="0" applyAlignment="0" applyProtection="0">
      <alignment vertical="center"/>
    </xf>
    <xf numFmtId="0" fontId="105" fillId="0" borderId="0">
      <alignment vertical="center"/>
    </xf>
    <xf numFmtId="0" fontId="106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7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7" fillId="17" borderId="0" applyNumberFormat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</cellStyleXfs>
  <cellXfs count="878">
    <xf numFmtId="0" fontId="0" fillId="0" borderId="0" xfId="0" applyFont="1" applyAlignment="1"/>
    <xf numFmtId="0" fontId="5" fillId="0" borderId="0" xfId="0" applyFont="1" applyAlignment="1">
      <alignment shrinkToFit="1"/>
    </xf>
    <xf numFmtId="0" fontId="0" fillId="0" borderId="0" xfId="0" applyFont="1" applyAlignment="1">
      <alignment shrinkToFit="1"/>
    </xf>
    <xf numFmtId="0" fontId="5" fillId="0" borderId="1" xfId="0" applyFont="1" applyBorder="1" applyAlignment="1">
      <alignment horizontal="right" shrinkToFit="1"/>
    </xf>
    <xf numFmtId="0" fontId="5" fillId="0" borderId="1" xfId="0" applyFont="1" applyBorder="1" applyAlignment="1">
      <alignment shrinkToFit="1"/>
    </xf>
    <xf numFmtId="0" fontId="5" fillId="0" borderId="2" xfId="0" applyFont="1" applyBorder="1" applyAlignment="1">
      <alignment shrinkToFit="1"/>
    </xf>
    <xf numFmtId="0" fontId="6" fillId="0" borderId="3" xfId="0" applyFont="1" applyBorder="1" applyAlignment="1">
      <alignment shrinkToFit="1"/>
    </xf>
    <xf numFmtId="0" fontId="6" fillId="2" borderId="1" xfId="0" applyFont="1" applyFill="1" applyBorder="1" applyAlignment="1">
      <alignment shrinkToFit="1"/>
    </xf>
    <xf numFmtId="0" fontId="5" fillId="2" borderId="1" xfId="0" applyFont="1" applyFill="1" applyBorder="1" applyAlignment="1">
      <alignment shrinkToFit="1"/>
    </xf>
    <xf numFmtId="3" fontId="5" fillId="0" borderId="1" xfId="0" applyNumberFormat="1" applyFont="1" applyBorder="1" applyAlignment="1">
      <alignment shrinkToFit="1"/>
    </xf>
    <xf numFmtId="3" fontId="5" fillId="3" borderId="1" xfId="0" applyNumberFormat="1" applyFont="1" applyFill="1" applyBorder="1" applyAlignment="1">
      <alignment shrinkToFit="1"/>
    </xf>
    <xf numFmtId="4" fontId="5" fillId="0" borderId="1" xfId="0" applyNumberFormat="1" applyFont="1" applyBorder="1" applyAlignment="1">
      <alignment horizontal="right" shrinkToFit="1"/>
    </xf>
    <xf numFmtId="10" fontId="5" fillId="2" borderId="1" xfId="0" applyNumberFormat="1" applyFont="1" applyFill="1" applyBorder="1" applyAlignment="1">
      <alignment horizontal="right" shrinkToFit="1"/>
    </xf>
    <xf numFmtId="10" fontId="5" fillId="3" borderId="1" xfId="0" applyNumberFormat="1" applyFont="1" applyFill="1" applyBorder="1" applyAlignment="1">
      <alignment shrinkToFit="1"/>
    </xf>
    <xf numFmtId="10" fontId="5" fillId="0" borderId="1" xfId="0" applyNumberFormat="1" applyFont="1" applyBorder="1" applyAlignment="1">
      <alignment shrinkToFit="1"/>
    </xf>
    <xf numFmtId="10" fontId="6" fillId="0" borderId="0" xfId="0" applyNumberFormat="1" applyFont="1" applyAlignment="1">
      <alignment shrinkToFit="1"/>
    </xf>
    <xf numFmtId="0" fontId="5" fillId="3" borderId="1" xfId="0" applyFont="1" applyFill="1" applyBorder="1" applyAlignment="1">
      <alignment shrinkToFit="1"/>
    </xf>
    <xf numFmtId="4" fontId="5" fillId="0" borderId="1" xfId="0" applyNumberFormat="1" applyFont="1" applyBorder="1" applyAlignment="1">
      <alignment shrinkToFit="1"/>
    </xf>
    <xf numFmtId="0" fontId="6" fillId="2" borderId="5" xfId="0" applyFont="1" applyFill="1" applyBorder="1" applyAlignment="1">
      <alignment shrinkToFit="1"/>
    </xf>
    <xf numFmtId="0" fontId="6" fillId="2" borderId="3" xfId="0" applyFont="1" applyFill="1" applyBorder="1" applyAlignment="1">
      <alignment shrinkToFit="1"/>
    </xf>
    <xf numFmtId="0" fontId="6" fillId="2" borderId="6" xfId="0" applyFont="1" applyFill="1" applyBorder="1" applyAlignment="1">
      <alignment shrinkToFit="1"/>
    </xf>
    <xf numFmtId="0" fontId="5" fillId="2" borderId="3" xfId="0" applyFont="1" applyFill="1" applyBorder="1" applyAlignment="1">
      <alignment shrinkToFit="1"/>
    </xf>
    <xf numFmtId="0" fontId="5" fillId="2" borderId="6" xfId="0" applyFont="1" applyFill="1" applyBorder="1" applyAlignment="1">
      <alignment shrinkToFit="1"/>
    </xf>
    <xf numFmtId="0" fontId="6" fillId="2" borderId="7" xfId="0" applyFont="1" applyFill="1" applyBorder="1" applyAlignment="1">
      <alignment shrinkToFit="1"/>
    </xf>
    <xf numFmtId="0" fontId="5" fillId="0" borderId="3" xfId="0" applyFont="1" applyBorder="1" applyAlignment="1">
      <alignment shrinkToFit="1"/>
    </xf>
    <xf numFmtId="0" fontId="5" fillId="2" borderId="7" xfId="0" applyFont="1" applyFill="1" applyBorder="1" applyAlignment="1">
      <alignment shrinkToFit="1"/>
    </xf>
    <xf numFmtId="0" fontId="6" fillId="0" borderId="8" xfId="0" applyFont="1" applyBorder="1" applyAlignment="1">
      <alignment shrinkToFit="1"/>
    </xf>
    <xf numFmtId="0" fontId="5" fillId="0" borderId="5" xfId="0" applyFont="1" applyBorder="1" applyAlignment="1">
      <alignment shrinkToFit="1"/>
    </xf>
    <xf numFmtId="0" fontId="5" fillId="0" borderId="14" xfId="0" applyFont="1" applyBorder="1" applyAlignment="1">
      <alignment shrinkToFit="1"/>
    </xf>
    <xf numFmtId="0" fontId="5" fillId="0" borderId="8" xfId="0" applyFont="1" applyBorder="1" applyAlignment="1">
      <alignment shrinkToFit="1"/>
    </xf>
    <xf numFmtId="10" fontId="5" fillId="0" borderId="5" xfId="0" applyNumberFormat="1" applyFont="1" applyBorder="1" applyAlignment="1">
      <alignment shrinkToFit="1"/>
    </xf>
    <xf numFmtId="0" fontId="5" fillId="3" borderId="5" xfId="0" applyFont="1" applyFill="1" applyBorder="1" applyAlignment="1">
      <alignment shrinkToFit="1"/>
    </xf>
    <xf numFmtId="0" fontId="5" fillId="2" borderId="15" xfId="0" applyFont="1" applyFill="1" applyBorder="1" applyAlignment="1">
      <alignment shrinkToFit="1"/>
    </xf>
    <xf numFmtId="10" fontId="5" fillId="3" borderId="17" xfId="0" applyNumberFormat="1" applyFont="1" applyFill="1" applyBorder="1" applyAlignment="1">
      <alignment shrinkToFit="1"/>
    </xf>
    <xf numFmtId="0" fontId="5" fillId="3" borderId="18" xfId="0" applyFont="1" applyFill="1" applyBorder="1" applyAlignment="1">
      <alignment shrinkToFit="1"/>
    </xf>
    <xf numFmtId="0" fontId="5" fillId="0" borderId="6" xfId="0" applyFont="1" applyBorder="1" applyAlignment="1">
      <alignment shrinkToFit="1"/>
    </xf>
    <xf numFmtId="10" fontId="5" fillId="0" borderId="6" xfId="0" applyNumberFormat="1" applyFont="1" applyBorder="1" applyAlignment="1">
      <alignment shrinkToFit="1"/>
    </xf>
    <xf numFmtId="0" fontId="5" fillId="3" borderId="6" xfId="0" applyFont="1" applyFill="1" applyBorder="1" applyAlignment="1">
      <alignment shrinkToFit="1"/>
    </xf>
    <xf numFmtId="10" fontId="5" fillId="0" borderId="0" xfId="0" applyNumberFormat="1" applyFont="1" applyAlignment="1">
      <alignment shrinkToFit="1"/>
    </xf>
    <xf numFmtId="10" fontId="5" fillId="2" borderId="1" xfId="0" applyNumberFormat="1" applyFont="1" applyFill="1" applyBorder="1" applyAlignment="1">
      <alignment shrinkToFit="1"/>
    </xf>
    <xf numFmtId="0" fontId="5" fillId="3" borderId="7" xfId="0" applyFont="1" applyFill="1" applyBorder="1" applyAlignment="1">
      <alignment shrinkToFit="1"/>
    </xf>
    <xf numFmtId="10" fontId="5" fillId="3" borderId="5" xfId="0" applyNumberFormat="1" applyFont="1" applyFill="1" applyBorder="1" applyAlignment="1">
      <alignment shrinkToFit="1"/>
    </xf>
    <xf numFmtId="0" fontId="5" fillId="0" borderId="11" xfId="0" applyFont="1" applyBorder="1" applyAlignment="1">
      <alignment shrinkToFit="1"/>
    </xf>
    <xf numFmtId="10" fontId="5" fillId="0" borderId="14" xfId="0" applyNumberFormat="1" applyFont="1" applyBorder="1" applyAlignment="1">
      <alignment shrinkToFit="1"/>
    </xf>
    <xf numFmtId="10" fontId="5" fillId="3" borderId="14" xfId="0" applyNumberFormat="1" applyFont="1" applyFill="1" applyBorder="1" applyAlignment="1">
      <alignment shrinkToFit="1"/>
    </xf>
    <xf numFmtId="0" fontId="5" fillId="2" borderId="2" xfId="0" applyFont="1" applyFill="1" applyBorder="1" applyAlignment="1">
      <alignment shrinkToFit="1"/>
    </xf>
    <xf numFmtId="0" fontId="5" fillId="2" borderId="4" xfId="0" applyFont="1" applyFill="1" applyBorder="1" applyAlignment="1">
      <alignment shrinkToFit="1"/>
    </xf>
    <xf numFmtId="0" fontId="0" fillId="0" borderId="0" xfId="0" applyFont="1" applyAlignment="1">
      <alignment shrinkToFit="1"/>
    </xf>
    <xf numFmtId="0" fontId="9" fillId="0" borderId="1" xfId="0" applyFont="1" applyBorder="1" applyAlignment="1">
      <alignment shrinkToFit="1"/>
    </xf>
    <xf numFmtId="0" fontId="9" fillId="2" borderId="1" xfId="0" applyFont="1" applyFill="1" applyBorder="1" applyAlignment="1">
      <alignment horizontal="left" shrinkToFit="1"/>
    </xf>
    <xf numFmtId="0" fontId="10" fillId="2" borderId="1" xfId="0" applyFont="1" applyFill="1" applyBorder="1" applyAlignment="1">
      <alignment shrinkToFit="1"/>
    </xf>
    <xf numFmtId="0" fontId="9" fillId="2" borderId="6" xfId="0" applyFont="1" applyFill="1" applyBorder="1" applyAlignment="1">
      <alignment shrinkToFit="1"/>
    </xf>
    <xf numFmtId="0" fontId="9" fillId="2" borderId="2" xfId="0" applyFont="1" applyFill="1" applyBorder="1" applyAlignment="1">
      <alignment shrinkToFit="1"/>
    </xf>
    <xf numFmtId="0" fontId="10" fillId="2" borderId="5" xfId="0" applyFont="1" applyFill="1" applyBorder="1" applyAlignment="1">
      <alignment shrinkToFit="1"/>
    </xf>
    <xf numFmtId="0" fontId="10" fillId="2" borderId="4" xfId="0" applyFont="1" applyFill="1" applyBorder="1" applyAlignment="1">
      <alignment shrinkToFit="1"/>
    </xf>
    <xf numFmtId="0" fontId="5" fillId="2" borderId="22" xfId="0" applyFont="1" applyFill="1" applyBorder="1" applyAlignment="1">
      <alignment shrinkToFit="1"/>
    </xf>
    <xf numFmtId="0" fontId="5" fillId="2" borderId="23" xfId="0" applyFont="1" applyFill="1" applyBorder="1" applyAlignment="1">
      <alignment shrinkToFit="1"/>
    </xf>
    <xf numFmtId="0" fontId="9" fillId="2" borderId="22" xfId="0" applyFont="1" applyFill="1" applyBorder="1" applyAlignment="1">
      <alignment shrinkToFit="1"/>
    </xf>
    <xf numFmtId="0" fontId="9" fillId="2" borderId="1" xfId="0" applyFont="1" applyFill="1" applyBorder="1" applyAlignment="1">
      <alignment shrinkToFit="1"/>
    </xf>
    <xf numFmtId="0" fontId="9" fillId="2" borderId="4" xfId="0" applyFont="1" applyFill="1" applyBorder="1" applyAlignment="1">
      <alignment shrinkToFit="1"/>
    </xf>
    <xf numFmtId="0" fontId="9" fillId="2" borderId="16" xfId="0" applyFont="1" applyFill="1" applyBorder="1" applyAlignment="1">
      <alignment shrinkToFit="1"/>
    </xf>
    <xf numFmtId="0" fontId="9" fillId="4" borderId="0" xfId="0" applyFont="1" applyFill="1" applyAlignment="1"/>
    <xf numFmtId="0" fontId="10" fillId="4" borderId="0" xfId="0" applyFont="1" applyFill="1" applyAlignment="1">
      <alignment shrinkToFit="1"/>
    </xf>
    <xf numFmtId="0" fontId="9" fillId="4" borderId="0" xfId="0" applyFont="1" applyFill="1" applyAlignment="1">
      <alignment shrinkToFit="1"/>
    </xf>
    <xf numFmtId="0" fontId="6" fillId="4" borderId="0" xfId="0" applyFont="1" applyFill="1" applyAlignment="1">
      <alignment shrinkToFit="1"/>
    </xf>
    <xf numFmtId="0" fontId="5" fillId="4" borderId="0" xfId="0" applyFont="1" applyFill="1" applyAlignment="1"/>
    <xf numFmtId="10" fontId="5" fillId="4" borderId="0" xfId="0" applyNumberFormat="1" applyFont="1" applyFill="1" applyAlignment="1">
      <alignment shrinkToFit="1"/>
    </xf>
    <xf numFmtId="0" fontId="5" fillId="4" borderId="0" xfId="0" applyFont="1" applyFill="1" applyAlignment="1">
      <alignment shrinkToFit="1"/>
    </xf>
    <xf numFmtId="0" fontId="0" fillId="4" borderId="0" xfId="0" applyFont="1" applyFill="1" applyAlignment="1">
      <alignment shrinkToFit="1"/>
    </xf>
    <xf numFmtId="0" fontId="5" fillId="2" borderId="24" xfId="0" applyFont="1" applyFill="1" applyBorder="1" applyAlignment="1">
      <alignment shrinkToFit="1"/>
    </xf>
    <xf numFmtId="0" fontId="10" fillId="0" borderId="11" xfId="0" applyFont="1" applyBorder="1" applyAlignment="1">
      <alignment horizontal="right" shrinkToFit="1"/>
    </xf>
    <xf numFmtId="0" fontId="10" fillId="0" borderId="3" xfId="0" applyFont="1" applyBorder="1" applyAlignment="1">
      <alignment horizontal="right" shrinkToFit="1"/>
    </xf>
    <xf numFmtId="0" fontId="12" fillId="0" borderId="0" xfId="0" applyFont="1" applyAlignment="1">
      <alignment horizontal="center"/>
    </xf>
    <xf numFmtId="10" fontId="12" fillId="0" borderId="0" xfId="0" applyNumberFormat="1" applyFont="1" applyAlignment="1"/>
    <xf numFmtId="0" fontId="12" fillId="0" borderId="0" xfId="0" applyFont="1" applyAlignment="1"/>
    <xf numFmtId="0" fontId="16" fillId="0" borderId="0" xfId="0" applyFont="1" applyAlignment="1">
      <alignment horizontal="left" vertical="center"/>
    </xf>
    <xf numFmtId="0" fontId="0" fillId="0" borderId="0" xfId="0" applyFont="1" applyAlignment="1">
      <alignment shrinkToFit="1"/>
    </xf>
    <xf numFmtId="0" fontId="24" fillId="0" borderId="0" xfId="0" applyFont="1" applyAlignment="1"/>
    <xf numFmtId="176" fontId="25" fillId="5" borderId="0" xfId="0" applyNumberFormat="1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/>
    </xf>
    <xf numFmtId="0" fontId="24" fillId="0" borderId="0" xfId="0" applyFont="1" applyAlignment="1">
      <alignment vertical="center"/>
    </xf>
    <xf numFmtId="0" fontId="12" fillId="0" borderId="0" xfId="0" applyFont="1" applyFill="1" applyAlignment="1">
      <alignment vertical="center"/>
    </xf>
    <xf numFmtId="0" fontId="24" fillId="0" borderId="0" xfId="0" applyFont="1" applyFill="1" applyAlignment="1"/>
    <xf numFmtId="0" fontId="24" fillId="0" borderId="0" xfId="0" applyFont="1" applyFill="1" applyAlignment="1">
      <alignment horizontal="center"/>
    </xf>
    <xf numFmtId="176" fontId="25" fillId="0" borderId="0" xfId="0" applyNumberFormat="1" applyFont="1" applyFill="1" applyAlignment="1">
      <alignment horizontal="center" vertical="center"/>
    </xf>
    <xf numFmtId="179" fontId="24" fillId="0" borderId="0" xfId="0" applyNumberFormat="1" applyFont="1" applyFill="1" applyAlignment="1">
      <alignment horizontal="center"/>
    </xf>
    <xf numFmtId="176" fontId="24" fillId="0" borderId="0" xfId="0" applyNumberFormat="1" applyFont="1" applyFill="1" applyAlignment="1"/>
    <xf numFmtId="177" fontId="24" fillId="0" borderId="0" xfId="0" applyNumberFormat="1" applyFont="1" applyFill="1" applyAlignment="1"/>
    <xf numFmtId="178" fontId="24" fillId="0" borderId="0" xfId="0" applyNumberFormat="1" applyFont="1" applyFill="1" applyAlignment="1"/>
    <xf numFmtId="10" fontId="24" fillId="0" borderId="0" xfId="0" applyNumberFormat="1" applyFont="1" applyFill="1" applyAlignment="1"/>
    <xf numFmtId="176" fontId="25" fillId="6" borderId="0" xfId="0" applyNumberFormat="1" applyFont="1" applyFill="1" applyAlignment="1">
      <alignment horizontal="center" vertical="center"/>
    </xf>
    <xf numFmtId="176" fontId="25" fillId="7" borderId="0" xfId="0" applyNumberFormat="1" applyFont="1" applyFill="1" applyAlignment="1">
      <alignment horizontal="center" vertical="center"/>
    </xf>
    <xf numFmtId="180" fontId="24" fillId="0" borderId="0" xfId="0" applyNumberFormat="1" applyFont="1" applyFill="1" applyAlignment="1"/>
    <xf numFmtId="180" fontId="12" fillId="0" borderId="0" xfId="0" applyNumberFormat="1" applyFont="1" applyAlignment="1"/>
    <xf numFmtId="176" fontId="15" fillId="0" borderId="0" xfId="0" applyNumberFormat="1" applyFont="1" applyFill="1" applyAlignment="1">
      <alignment horizontal="center" vertical="center"/>
    </xf>
    <xf numFmtId="180" fontId="15" fillId="0" borderId="0" xfId="0" applyNumberFormat="1" applyFont="1" applyFill="1" applyAlignment="1">
      <alignment horizontal="center" vertical="center"/>
    </xf>
    <xf numFmtId="182" fontId="24" fillId="0" borderId="0" xfId="0" applyNumberFormat="1" applyFont="1" applyFill="1" applyAlignment="1"/>
    <xf numFmtId="0" fontId="24" fillId="0" borderId="0" xfId="0" applyFont="1" applyFill="1" applyAlignment="1">
      <alignment vertical="center"/>
    </xf>
    <xf numFmtId="182" fontId="25" fillId="0" borderId="22" xfId="0" applyNumberFormat="1" applyFont="1" applyFill="1" applyBorder="1" applyAlignment="1">
      <alignment horizontal="center" vertical="center"/>
    </xf>
    <xf numFmtId="10" fontId="25" fillId="0" borderId="22" xfId="0" applyNumberFormat="1" applyFont="1" applyFill="1" applyBorder="1" applyAlignment="1">
      <alignment horizontal="center" vertical="center"/>
    </xf>
    <xf numFmtId="10" fontId="24" fillId="0" borderId="22" xfId="0" applyNumberFormat="1" applyFont="1" applyFill="1" applyBorder="1" applyAlignment="1"/>
    <xf numFmtId="182" fontId="24" fillId="0" borderId="0" xfId="0" applyNumberFormat="1" applyFont="1" applyFill="1" applyAlignment="1">
      <alignment horizontal="center"/>
    </xf>
    <xf numFmtId="0" fontId="27" fillId="0" borderId="0" xfId="0" applyFont="1" applyFill="1" applyAlignment="1"/>
    <xf numFmtId="177" fontId="24" fillId="0" borderId="0" xfId="0" applyNumberFormat="1" applyFont="1" applyFill="1" applyAlignment="1">
      <alignment horizontal="center"/>
    </xf>
    <xf numFmtId="177" fontId="15" fillId="0" borderId="22" xfId="0" applyNumberFormat="1" applyFont="1" applyFill="1" applyBorder="1" applyAlignment="1">
      <alignment horizontal="center" vertical="center"/>
    </xf>
    <xf numFmtId="177" fontId="24" fillId="0" borderId="22" xfId="0" applyNumberFormat="1" applyFont="1" applyFill="1" applyBorder="1" applyAlignment="1"/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vertical="center"/>
    </xf>
    <xf numFmtId="0" fontId="0" fillId="0" borderId="0" xfId="0" applyFont="1" applyAlignment="1">
      <alignment vertical="center" shrinkToFit="1"/>
    </xf>
    <xf numFmtId="0" fontId="0" fillId="0" borderId="0" xfId="0" applyFont="1" applyAlignment="1">
      <alignment horizontal="center" vertical="center" shrinkToFit="1"/>
    </xf>
    <xf numFmtId="0" fontId="0" fillId="0" borderId="0" xfId="0" applyFont="1" applyAlignment="1">
      <alignment wrapText="1" shrinkToFit="1"/>
    </xf>
    <xf numFmtId="0" fontId="5" fillId="0" borderId="3" xfId="0" applyFont="1" applyBorder="1" applyAlignment="1">
      <alignment vertical="center" shrinkToFit="1"/>
    </xf>
    <xf numFmtId="0" fontId="5" fillId="0" borderId="8" xfId="0" applyFont="1" applyBorder="1" applyAlignment="1">
      <alignment vertical="center" shrinkToFit="1"/>
    </xf>
    <xf numFmtId="0" fontId="9" fillId="2" borderId="1" xfId="0" applyFont="1" applyFill="1" applyBorder="1" applyAlignment="1">
      <alignment horizontal="center" vertical="center" shrinkToFit="1"/>
    </xf>
    <xf numFmtId="0" fontId="9" fillId="2" borderId="4" xfId="0" applyFont="1" applyFill="1" applyBorder="1" applyAlignment="1">
      <alignment horizontal="center" vertical="center" shrinkToFit="1"/>
    </xf>
    <xf numFmtId="0" fontId="9" fillId="2" borderId="2" xfId="0" applyFont="1" applyFill="1" applyBorder="1" applyAlignment="1">
      <alignment horizontal="center" vertical="center" shrinkToFit="1"/>
    </xf>
    <xf numFmtId="0" fontId="9" fillId="2" borderId="3" xfId="0" applyFont="1" applyFill="1" applyBorder="1" applyAlignment="1">
      <alignment horizontal="center" vertical="center" shrinkToFit="1"/>
    </xf>
    <xf numFmtId="0" fontId="5" fillId="2" borderId="1" xfId="0" applyFont="1" applyFill="1" applyBorder="1" applyAlignment="1">
      <alignment horizontal="center" vertical="center" shrinkToFit="1"/>
    </xf>
    <xf numFmtId="0" fontId="9" fillId="2" borderId="16" xfId="0" applyFont="1" applyFill="1" applyBorder="1" applyAlignment="1">
      <alignment horizontal="center" shrinkToFit="1"/>
    </xf>
    <xf numFmtId="0" fontId="24" fillId="0" borderId="0" xfId="0" applyFont="1" applyAlignment="1">
      <alignment shrinkToFit="1"/>
    </xf>
    <xf numFmtId="0" fontId="24" fillId="4" borderId="0" xfId="0" applyFont="1" applyFill="1" applyAlignment="1">
      <alignment shrinkToFit="1"/>
    </xf>
    <xf numFmtId="0" fontId="24" fillId="0" borderId="0" xfId="0" applyFont="1" applyFill="1" applyAlignment="1">
      <alignment shrinkToFit="1"/>
    </xf>
    <xf numFmtId="0" fontId="26" fillId="0" borderId="0" xfId="0" applyFont="1" applyFill="1" applyAlignment="1">
      <alignment shrinkToFit="1"/>
    </xf>
    <xf numFmtId="0" fontId="44" fillId="0" borderId="0" xfId="0" applyFont="1" applyFill="1" applyBorder="1" applyAlignment="1">
      <alignment shrinkToFit="1"/>
    </xf>
    <xf numFmtId="0" fontId="24" fillId="0" borderId="22" xfId="0" applyFont="1" applyFill="1" applyBorder="1" applyAlignment="1">
      <alignment shrinkToFit="1"/>
    </xf>
    <xf numFmtId="0" fontId="24" fillId="0" borderId="0" xfId="0" applyFont="1" applyFill="1" applyAlignment="1">
      <alignment horizontal="center" shrinkToFit="1"/>
    </xf>
    <xf numFmtId="0" fontId="26" fillId="0" borderId="0" xfId="0" applyFont="1" applyFill="1" applyAlignment="1">
      <alignment horizontal="center" shrinkToFit="1"/>
    </xf>
    <xf numFmtId="0" fontId="24" fillId="0" borderId="0" xfId="0" applyFont="1" applyFill="1" applyAlignment="1">
      <alignment horizontal="center" vertical="center" shrinkToFit="1"/>
    </xf>
    <xf numFmtId="0" fontId="44" fillId="0" borderId="22" xfId="0" applyFont="1" applyFill="1" applyBorder="1" applyAlignment="1">
      <alignment shrinkToFit="1"/>
    </xf>
    <xf numFmtId="4" fontId="26" fillId="0" borderId="22" xfId="0" applyNumberFormat="1" applyFont="1" applyFill="1" applyBorder="1" applyAlignment="1">
      <alignment shrinkToFit="1"/>
    </xf>
    <xf numFmtId="0" fontId="24" fillId="4" borderId="0" xfId="0" applyFont="1" applyFill="1" applyBorder="1" applyAlignment="1">
      <alignment shrinkToFit="1"/>
    </xf>
    <xf numFmtId="0" fontId="26" fillId="4" borderId="0" xfId="0" applyFont="1" applyFill="1" applyBorder="1" applyAlignment="1">
      <alignment shrinkToFit="1"/>
    </xf>
    <xf numFmtId="0" fontId="48" fillId="0" borderId="0" xfId="0" applyFont="1" applyFill="1" applyBorder="1" applyAlignment="1"/>
    <xf numFmtId="0" fontId="24" fillId="0" borderId="0" xfId="0" applyFont="1" applyFill="1" applyBorder="1" applyAlignment="1">
      <alignment shrinkToFit="1"/>
    </xf>
    <xf numFmtId="0" fontId="50" fillId="0" borderId="0" xfId="0" applyFont="1" applyFill="1" applyBorder="1" applyAlignment="1"/>
    <xf numFmtId="0" fontId="24" fillId="0" borderId="0" xfId="0" applyFont="1" applyFill="1" applyBorder="1" applyAlignment="1">
      <alignment horizontal="center" shrinkToFit="1"/>
    </xf>
    <xf numFmtId="0" fontId="24" fillId="0" borderId="0" xfId="0" applyFont="1" applyFill="1" applyBorder="1" applyAlignment="1">
      <alignment horizontal="center" vertical="center" shrinkToFit="1"/>
    </xf>
    <xf numFmtId="10" fontId="44" fillId="0" borderId="0" xfId="0" applyNumberFormat="1" applyFont="1" applyFill="1" applyBorder="1" applyAlignment="1">
      <alignment shrinkToFit="1"/>
    </xf>
    <xf numFmtId="0" fontId="45" fillId="0" borderId="0" xfId="0" applyFont="1" applyFill="1" applyBorder="1" applyAlignment="1"/>
    <xf numFmtId="0" fontId="51" fillId="0" borderId="22" xfId="0" applyFont="1" applyFill="1" applyBorder="1" applyAlignment="1">
      <alignment horizontal="center" vertical="center" shrinkToFit="1"/>
    </xf>
    <xf numFmtId="0" fontId="51" fillId="8" borderId="22" xfId="0" applyFont="1" applyFill="1" applyBorder="1" applyAlignment="1">
      <alignment horizontal="center" vertical="center" shrinkToFit="1"/>
    </xf>
    <xf numFmtId="0" fontId="44" fillId="0" borderId="22" xfId="0" applyFont="1" applyFill="1" applyBorder="1" applyAlignment="1">
      <alignment horizontal="center" shrinkToFit="1"/>
    </xf>
    <xf numFmtId="3" fontId="26" fillId="0" borderId="22" xfId="0" applyNumberFormat="1" applyFont="1" applyFill="1" applyBorder="1" applyAlignment="1">
      <alignment shrinkToFit="1"/>
    </xf>
    <xf numFmtId="10" fontId="26" fillId="0" borderId="22" xfId="0" applyNumberFormat="1" applyFont="1" applyFill="1" applyBorder="1" applyAlignment="1">
      <alignment shrinkToFit="1"/>
    </xf>
    <xf numFmtId="4" fontId="26" fillId="0" borderId="22" xfId="0" applyNumberFormat="1" applyFont="1" applyFill="1" applyBorder="1" applyAlignment="1">
      <alignment horizontal="right" shrinkToFit="1"/>
    </xf>
    <xf numFmtId="0" fontId="44" fillId="0" borderId="22" xfId="0" applyFont="1" applyFill="1" applyBorder="1" applyAlignment="1">
      <alignment horizontal="center" vertical="center" shrinkToFit="1"/>
    </xf>
    <xf numFmtId="0" fontId="52" fillId="0" borderId="22" xfId="0" applyFont="1" applyFill="1" applyBorder="1" applyAlignment="1">
      <alignment horizontal="center" shrinkToFit="1"/>
    </xf>
    <xf numFmtId="0" fontId="5" fillId="0" borderId="0" xfId="0" applyFont="1" applyBorder="1" applyAlignment="1">
      <alignment horizontal="center" vertical="center" shrinkToFit="1"/>
    </xf>
    <xf numFmtId="0" fontId="5" fillId="0" borderId="0" xfId="0" applyFont="1" applyBorder="1" applyAlignment="1">
      <alignment horizontal="right" shrinkToFit="1"/>
    </xf>
    <xf numFmtId="0" fontId="9" fillId="0" borderId="0" xfId="0" applyFont="1" applyBorder="1" applyAlignment="1">
      <alignment shrinkToFit="1"/>
    </xf>
    <xf numFmtId="0" fontId="5" fillId="0" borderId="0" xfId="0" applyFont="1" applyBorder="1" applyAlignment="1">
      <alignment shrinkToFit="1"/>
    </xf>
    <xf numFmtId="0" fontId="24" fillId="0" borderId="0" xfId="0" applyFont="1" applyBorder="1" applyAlignment="1">
      <alignment shrinkToFit="1"/>
    </xf>
    <xf numFmtId="0" fontId="24" fillId="4" borderId="0" xfId="0" applyFont="1" applyFill="1" applyBorder="1" applyAlignment="1">
      <alignment horizontal="center" vertical="center" shrinkToFit="1"/>
    </xf>
    <xf numFmtId="0" fontId="24" fillId="0" borderId="0" xfId="0" applyFont="1" applyAlignment="1">
      <alignment horizontal="center" vertical="center" shrinkToFit="1"/>
    </xf>
    <xf numFmtId="0" fontId="24" fillId="4" borderId="0" xfId="0" applyFont="1" applyFill="1" applyBorder="1" applyAlignment="1">
      <alignment horizontal="center" shrinkToFit="1"/>
    </xf>
    <xf numFmtId="0" fontId="26" fillId="0" borderId="22" xfId="0" applyFont="1" applyBorder="1" applyAlignment="1">
      <alignment horizontal="center" vertical="center" shrinkToFit="1"/>
    </xf>
    <xf numFmtId="0" fontId="26" fillId="0" borderId="22" xfId="0" applyFont="1" applyBorder="1" applyAlignment="1">
      <alignment horizontal="center" shrinkToFit="1"/>
    </xf>
    <xf numFmtId="0" fontId="44" fillId="0" borderId="22" xfId="0" applyFont="1" applyBorder="1" applyAlignment="1">
      <alignment horizontal="center" shrinkToFit="1"/>
    </xf>
    <xf numFmtId="0" fontId="24" fillId="4" borderId="22" xfId="0" applyFont="1" applyFill="1" applyBorder="1" applyAlignment="1">
      <alignment horizontal="center" shrinkToFit="1"/>
    </xf>
    <xf numFmtId="0" fontId="26" fillId="4" borderId="22" xfId="0" applyFont="1" applyFill="1" applyBorder="1" applyAlignment="1">
      <alignment horizontal="center" shrinkToFit="1"/>
    </xf>
    <xf numFmtId="0" fontId="24" fillId="0" borderId="0" xfId="0" applyFont="1" applyAlignment="1">
      <alignment vertical="center" shrinkToFit="1"/>
    </xf>
    <xf numFmtId="0" fontId="24" fillId="0" borderId="0" xfId="0" applyFont="1" applyAlignment="1">
      <alignment horizontal="center" shrinkToFit="1"/>
    </xf>
    <xf numFmtId="0" fontId="26" fillId="2" borderId="22" xfId="0" applyFont="1" applyFill="1" applyBorder="1" applyAlignment="1">
      <alignment horizontal="center" vertical="center" shrinkToFit="1"/>
    </xf>
    <xf numFmtId="0" fontId="26" fillId="0" borderId="22" xfId="0" applyFont="1" applyBorder="1" applyAlignment="1">
      <alignment shrinkToFit="1"/>
    </xf>
    <xf numFmtId="0" fontId="44" fillId="0" borderId="22" xfId="0" applyFont="1" applyBorder="1" applyAlignment="1">
      <alignment horizontal="right" shrinkToFit="1"/>
    </xf>
    <xf numFmtId="0" fontId="26" fillId="5" borderId="22" xfId="0" applyFont="1" applyFill="1" applyBorder="1" applyAlignment="1">
      <alignment horizontal="center" vertical="center" shrinkToFit="1"/>
    </xf>
    <xf numFmtId="0" fontId="26" fillId="5" borderId="22" xfId="0" applyFont="1" applyFill="1" applyBorder="1" applyAlignment="1">
      <alignment horizontal="center" shrinkToFit="1"/>
    </xf>
    <xf numFmtId="0" fontId="44" fillId="5" borderId="22" xfId="0" applyFont="1" applyFill="1" applyBorder="1" applyAlignment="1">
      <alignment horizontal="center" shrinkToFit="1"/>
    </xf>
    <xf numFmtId="0" fontId="24" fillId="5" borderId="22" xfId="0" applyFont="1" applyFill="1" applyBorder="1" applyAlignment="1">
      <alignment horizontal="center" shrinkToFit="1"/>
    </xf>
    <xf numFmtId="0" fontId="26" fillId="2" borderId="1" xfId="0" applyFont="1" applyFill="1" applyBorder="1" applyAlignment="1">
      <alignment horizontal="center" vertical="center" shrinkToFit="1"/>
    </xf>
    <xf numFmtId="0" fontId="26" fillId="0" borderId="3" xfId="0" applyFont="1" applyBorder="1" applyAlignment="1">
      <alignment vertical="center" shrinkToFit="1"/>
    </xf>
    <xf numFmtId="0" fontId="26" fillId="0" borderId="1" xfId="0" applyFont="1" applyBorder="1" applyAlignment="1">
      <alignment shrinkToFit="1"/>
    </xf>
    <xf numFmtId="0" fontId="26" fillId="0" borderId="8" xfId="0" applyFont="1" applyBorder="1" applyAlignment="1">
      <alignment vertical="center" shrinkToFit="1"/>
    </xf>
    <xf numFmtId="0" fontId="26" fillId="0" borderId="5" xfId="0" applyFont="1" applyBorder="1" applyAlignment="1">
      <alignment shrinkToFit="1"/>
    </xf>
    <xf numFmtId="0" fontId="24" fillId="0" borderId="0" xfId="0" applyFont="1" applyAlignment="1">
      <alignment wrapText="1" shrinkToFit="1"/>
    </xf>
    <xf numFmtId="0" fontId="24" fillId="0" borderId="0" xfId="0" applyFont="1" applyAlignment="1">
      <alignment horizontal="center" vertical="center" wrapText="1" shrinkToFit="1"/>
    </xf>
    <xf numFmtId="10" fontId="26" fillId="2" borderId="22" xfId="0" applyNumberFormat="1" applyFont="1" applyFill="1" applyBorder="1" applyAlignment="1">
      <alignment horizontal="center" vertical="center" shrinkToFit="1"/>
    </xf>
    <xf numFmtId="10" fontId="26" fillId="0" borderId="22" xfId="0" applyNumberFormat="1" applyFont="1" applyBorder="1" applyAlignment="1">
      <alignment shrinkToFit="1"/>
    </xf>
    <xf numFmtId="10" fontId="26" fillId="3" borderId="22" xfId="0" applyNumberFormat="1" applyFont="1" applyFill="1" applyBorder="1" applyAlignment="1">
      <alignment shrinkToFit="1"/>
    </xf>
    <xf numFmtId="0" fontId="26" fillId="2" borderId="23" xfId="0" applyFont="1" applyFill="1" applyBorder="1" applyAlignment="1">
      <alignment horizontal="center" vertical="center" shrinkToFit="1"/>
    </xf>
    <xf numFmtId="10" fontId="26" fillId="2" borderId="23" xfId="0" applyNumberFormat="1" applyFont="1" applyFill="1" applyBorder="1" applyAlignment="1">
      <alignment horizontal="center" vertical="center" shrinkToFit="1"/>
    </xf>
    <xf numFmtId="1" fontId="0" fillId="0" borderId="22" xfId="0" applyNumberFormat="1" applyFont="1" applyBorder="1" applyAlignment="1">
      <alignment horizontal="center" vertical="center"/>
    </xf>
    <xf numFmtId="0" fontId="24" fillId="0" borderId="0" xfId="11" applyFont="1" applyAlignment="1">
      <alignment shrinkToFit="1"/>
    </xf>
    <xf numFmtId="0" fontId="24" fillId="4" borderId="0" xfId="11" applyFont="1" applyFill="1" applyAlignment="1">
      <alignment shrinkToFit="1"/>
    </xf>
    <xf numFmtId="0" fontId="24" fillId="0" borderId="0" xfId="11" applyFont="1" applyBorder="1" applyAlignment="1">
      <alignment shrinkToFit="1"/>
    </xf>
    <xf numFmtId="0" fontId="24" fillId="4" borderId="0" xfId="11" applyFont="1" applyFill="1" applyBorder="1" applyAlignment="1">
      <alignment shrinkToFit="1"/>
    </xf>
    <xf numFmtId="0" fontId="45" fillId="0" borderId="0" xfId="11" applyFont="1" applyAlignment="1">
      <alignment shrinkToFit="1"/>
    </xf>
    <xf numFmtId="184" fontId="63" fillId="0" borderId="0" xfId="11" applyNumberFormat="1" applyFont="1" applyAlignment="1">
      <alignment shrinkToFit="1"/>
    </xf>
    <xf numFmtId="0" fontId="44" fillId="0" borderId="6" xfId="11" applyFont="1" applyFill="1" applyBorder="1" applyAlignment="1">
      <alignment horizontal="center" shrinkToFit="1"/>
    </xf>
    <xf numFmtId="3" fontId="34" fillId="0" borderId="6" xfId="11" applyNumberFormat="1" applyFont="1" applyFill="1" applyBorder="1" applyAlignment="1">
      <alignment shrinkToFit="1"/>
    </xf>
    <xf numFmtId="10" fontId="34" fillId="0" borderId="6" xfId="11" applyNumberFormat="1" applyFont="1" applyFill="1" applyBorder="1" applyAlignment="1">
      <alignment shrinkToFit="1"/>
    </xf>
    <xf numFmtId="3" fontId="26" fillId="0" borderId="22" xfId="11" applyNumberFormat="1" applyFont="1" applyFill="1" applyBorder="1" applyAlignment="1">
      <alignment shrinkToFit="1"/>
    </xf>
    <xf numFmtId="10" fontId="26" fillId="0" borderId="22" xfId="11" applyNumberFormat="1" applyFont="1" applyFill="1" applyBorder="1" applyAlignment="1">
      <alignment shrinkToFit="1"/>
    </xf>
    <xf numFmtId="0" fontId="24" fillId="0" borderId="0" xfId="11" applyFont="1" applyFill="1" applyAlignment="1">
      <alignment shrinkToFit="1"/>
    </xf>
    <xf numFmtId="0" fontId="44" fillId="0" borderId="1" xfId="11" applyFont="1" applyFill="1" applyBorder="1" applyAlignment="1">
      <alignment horizontal="center" shrinkToFit="1"/>
    </xf>
    <xf numFmtId="3" fontId="34" fillId="0" borderId="1" xfId="11" applyNumberFormat="1" applyFont="1" applyFill="1" applyBorder="1" applyAlignment="1">
      <alignment shrinkToFit="1"/>
    </xf>
    <xf numFmtId="0" fontId="33" fillId="0" borderId="34" xfId="0" applyFont="1" applyBorder="1" applyAlignment="1">
      <alignment horizontal="left" vertical="center"/>
    </xf>
    <xf numFmtId="0" fontId="33" fillId="0" borderId="36" xfId="0" applyFont="1" applyBorder="1" applyAlignment="1">
      <alignment horizontal="left" vertical="center"/>
    </xf>
    <xf numFmtId="1" fontId="0" fillId="0" borderId="22" xfId="0" applyNumberFormat="1" applyFont="1" applyFill="1" applyBorder="1" applyAlignment="1">
      <alignment horizontal="center" vertical="center"/>
    </xf>
    <xf numFmtId="183" fontId="0" fillId="0" borderId="22" xfId="0" applyNumberFormat="1" applyFont="1" applyFill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0" fontId="0" fillId="0" borderId="22" xfId="0" applyFont="1" applyFill="1" applyBorder="1" applyAlignment="1">
      <alignment horizontal="center" vertical="center"/>
    </xf>
    <xf numFmtId="0" fontId="33" fillId="0" borderId="0" xfId="0" applyFont="1" applyFill="1" applyBorder="1" applyAlignment="1">
      <alignment horizontal="left" vertical="center"/>
    </xf>
    <xf numFmtId="0" fontId="33" fillId="0" borderId="34" xfId="0" applyFont="1" applyFill="1" applyBorder="1" applyAlignment="1">
      <alignment horizontal="left" vertical="center"/>
    </xf>
    <xf numFmtId="0" fontId="33" fillId="0" borderId="26" xfId="0" applyFont="1" applyFill="1" applyBorder="1" applyAlignment="1">
      <alignment horizontal="left" vertical="center"/>
    </xf>
    <xf numFmtId="0" fontId="33" fillId="0" borderId="36" xfId="0" applyFont="1" applyFill="1" applyBorder="1" applyAlignment="1">
      <alignment horizontal="left" vertical="center"/>
    </xf>
    <xf numFmtId="0" fontId="33" fillId="0" borderId="32" xfId="0" applyFont="1" applyFill="1" applyBorder="1" applyAlignment="1">
      <alignment horizontal="left" vertical="center"/>
    </xf>
    <xf numFmtId="0" fontId="33" fillId="0" borderId="37" xfId="0" applyFont="1" applyFill="1" applyBorder="1" applyAlignment="1">
      <alignment horizontal="left" vertical="center"/>
    </xf>
    <xf numFmtId="0" fontId="5" fillId="0" borderId="0" xfId="5"/>
    <xf numFmtId="0" fontId="68" fillId="8" borderId="30" xfId="5" applyFont="1" applyFill="1" applyBorder="1"/>
    <xf numFmtId="0" fontId="68" fillId="0" borderId="0" xfId="5" applyFont="1"/>
    <xf numFmtId="0" fontId="68" fillId="0" borderId="22" xfId="5" applyFont="1" applyBorder="1"/>
    <xf numFmtId="0" fontId="68" fillId="8" borderId="22" xfId="5" applyFont="1" applyFill="1" applyBorder="1"/>
    <xf numFmtId="185" fontId="24" fillId="0" borderId="0" xfId="0" applyNumberFormat="1" applyFont="1" applyFill="1" applyAlignment="1"/>
    <xf numFmtId="0" fontId="51" fillId="8" borderId="22" xfId="0" applyFont="1" applyFill="1" applyBorder="1" applyAlignment="1">
      <alignment horizontal="center" vertical="center" shrinkToFit="1"/>
    </xf>
    <xf numFmtId="0" fontId="26" fillId="0" borderId="22" xfId="11" applyFont="1" applyFill="1" applyBorder="1" applyAlignment="1">
      <alignment horizontal="center" vertical="center" shrinkToFit="1"/>
    </xf>
    <xf numFmtId="0" fontId="69" fillId="0" borderId="22" xfId="0" applyFont="1" applyFill="1" applyBorder="1" applyAlignment="1">
      <alignment horizontal="center" vertical="center" shrinkToFit="1"/>
    </xf>
    <xf numFmtId="0" fontId="52" fillId="0" borderId="22" xfId="0" applyFont="1" applyFill="1" applyBorder="1" applyAlignment="1">
      <alignment horizontal="center" vertical="center" shrinkToFit="1"/>
    </xf>
    <xf numFmtId="0" fontId="52" fillId="0" borderId="22" xfId="0" applyFont="1" applyFill="1" applyBorder="1" applyAlignment="1">
      <alignment shrinkToFit="1"/>
    </xf>
    <xf numFmtId="183" fontId="0" fillId="0" borderId="0" xfId="0" applyNumberFormat="1" applyFont="1" applyAlignment="1">
      <alignment horizontal="center" vertical="center"/>
    </xf>
    <xf numFmtId="0" fontId="70" fillId="0" borderId="0" xfId="0" applyFont="1" applyAlignment="1">
      <alignment vertical="center"/>
    </xf>
    <xf numFmtId="0" fontId="62" fillId="2" borderId="22" xfId="0" applyFont="1" applyFill="1" applyBorder="1" applyAlignment="1">
      <alignment horizontal="center" vertical="center" shrinkToFit="1"/>
    </xf>
    <xf numFmtId="0" fontId="27" fillId="5" borderId="23" xfId="11" applyFont="1" applyFill="1" applyBorder="1" applyAlignment="1">
      <alignment horizontal="center" vertical="center"/>
    </xf>
    <xf numFmtId="3" fontId="26" fillId="5" borderId="22" xfId="0" applyNumberFormat="1" applyFont="1" applyFill="1" applyBorder="1" applyAlignment="1">
      <alignment shrinkToFit="1"/>
    </xf>
    <xf numFmtId="10" fontId="26" fillId="5" borderId="22" xfId="0" applyNumberFormat="1" applyFont="1" applyFill="1" applyBorder="1" applyAlignment="1">
      <alignment shrinkToFit="1"/>
    </xf>
    <xf numFmtId="0" fontId="0" fillId="5" borderId="22" xfId="0" applyFont="1" applyFill="1" applyBorder="1" applyAlignment="1">
      <alignment horizontal="center" vertical="center"/>
    </xf>
    <xf numFmtId="186" fontId="73" fillId="0" borderId="22" xfId="0" applyNumberFormat="1" applyFont="1" applyFill="1" applyBorder="1" applyAlignment="1"/>
    <xf numFmtId="186" fontId="24" fillId="0" borderId="0" xfId="0" applyNumberFormat="1" applyFont="1" applyFill="1" applyAlignment="1"/>
    <xf numFmtId="180" fontId="24" fillId="9" borderId="0" xfId="0" applyNumberFormat="1" applyFont="1" applyFill="1" applyAlignment="1"/>
    <xf numFmtId="187" fontId="24" fillId="9" borderId="0" xfId="0" applyNumberFormat="1" applyFont="1" applyFill="1" applyAlignment="1"/>
    <xf numFmtId="177" fontId="24" fillId="9" borderId="0" xfId="0" applyNumberFormat="1" applyFont="1" applyFill="1" applyAlignment="1"/>
    <xf numFmtId="186" fontId="24" fillId="9" borderId="0" xfId="0" applyNumberFormat="1" applyFont="1" applyFill="1" applyAlignment="1"/>
    <xf numFmtId="185" fontId="24" fillId="9" borderId="0" xfId="0" applyNumberFormat="1" applyFont="1" applyFill="1" applyAlignment="1"/>
    <xf numFmtId="186" fontId="73" fillId="9" borderId="22" xfId="0" applyNumberFormat="1" applyFont="1" applyFill="1" applyBorder="1" applyAlignment="1"/>
    <xf numFmtId="177" fontId="24" fillId="9" borderId="22" xfId="0" applyNumberFormat="1" applyFont="1" applyFill="1" applyBorder="1" applyAlignment="1"/>
    <xf numFmtId="188" fontId="26" fillId="0" borderId="22" xfId="14" applyNumberFormat="1" applyFont="1" applyFill="1" applyBorder="1" applyAlignment="1">
      <alignment shrinkToFit="1"/>
    </xf>
    <xf numFmtId="189" fontId="26" fillId="5" borderId="22" xfId="0" applyNumberFormat="1" applyFont="1" applyFill="1" applyBorder="1" applyAlignment="1">
      <alignment shrinkToFit="1"/>
    </xf>
    <xf numFmtId="3" fontId="26" fillId="5" borderId="22" xfId="0" applyNumberFormat="1" applyFont="1" applyFill="1" applyBorder="1" applyAlignment="1">
      <alignment horizontal="right" shrinkToFit="1"/>
    </xf>
    <xf numFmtId="188" fontId="26" fillId="5" borderId="22" xfId="14" applyNumberFormat="1" applyFont="1" applyFill="1" applyBorder="1" applyAlignment="1">
      <alignment shrinkToFit="1"/>
    </xf>
    <xf numFmtId="0" fontId="76" fillId="0" borderId="22" xfId="0" applyFont="1" applyBorder="1" applyAlignment="1">
      <alignment horizontal="center" vertical="center" shrinkToFit="1"/>
    </xf>
    <xf numFmtId="0" fontId="77" fillId="0" borderId="22" xfId="0" applyFont="1" applyBorder="1" applyAlignment="1">
      <alignment horizontal="center" vertical="center" shrinkToFit="1"/>
    </xf>
    <xf numFmtId="0" fontId="78" fillId="0" borderId="22" xfId="0" applyFont="1" applyBorder="1" applyAlignment="1">
      <alignment horizontal="center" vertical="center" shrinkToFit="1"/>
    </xf>
    <xf numFmtId="190" fontId="26" fillId="5" borderId="22" xfId="14" applyNumberFormat="1" applyFont="1" applyFill="1" applyBorder="1" applyAlignment="1">
      <alignment shrinkToFit="1"/>
    </xf>
    <xf numFmtId="191" fontId="26" fillId="0" borderId="22" xfId="0" applyNumberFormat="1" applyFont="1" applyFill="1" applyBorder="1" applyAlignment="1">
      <alignment shrinkToFit="1"/>
    </xf>
    <xf numFmtId="10" fontId="26" fillId="3" borderId="22" xfId="0" applyNumberFormat="1" applyFont="1" applyFill="1" applyBorder="1" applyAlignment="1">
      <alignment horizontal="center" shrinkToFit="1"/>
    </xf>
    <xf numFmtId="0" fontId="9" fillId="2" borderId="22" xfId="0" applyFont="1" applyFill="1" applyBorder="1" applyAlignment="1">
      <alignment horizontal="center" shrinkToFit="1"/>
    </xf>
    <xf numFmtId="183" fontId="26" fillId="3" borderId="18" xfId="0" applyNumberFormat="1" applyFont="1" applyFill="1" applyBorder="1" applyAlignment="1">
      <alignment shrinkToFit="1"/>
    </xf>
    <xf numFmtId="189" fontId="24" fillId="9" borderId="0" xfId="0" applyNumberFormat="1" applyFont="1" applyFill="1" applyAlignment="1"/>
    <xf numFmtId="189" fontId="26" fillId="0" borderId="22" xfId="0" applyNumberFormat="1" applyFont="1" applyFill="1" applyBorder="1" applyAlignment="1">
      <alignment shrinkToFit="1"/>
    </xf>
    <xf numFmtId="185" fontId="26" fillId="5" borderId="22" xfId="0" applyNumberFormat="1" applyFont="1" applyFill="1" applyBorder="1" applyAlignment="1">
      <alignment shrinkToFit="1"/>
    </xf>
    <xf numFmtId="185" fontId="26" fillId="0" borderId="22" xfId="0" applyNumberFormat="1" applyFont="1" applyFill="1" applyBorder="1" applyAlignment="1">
      <alignment shrinkToFit="1"/>
    </xf>
    <xf numFmtId="183" fontId="24" fillId="0" borderId="0" xfId="0" applyNumberFormat="1" applyFont="1" applyAlignment="1">
      <alignment shrinkToFit="1"/>
    </xf>
    <xf numFmtId="9" fontId="26" fillId="5" borderId="22" xfId="0" applyNumberFormat="1" applyFont="1" applyFill="1" applyBorder="1" applyAlignment="1">
      <alignment shrinkToFit="1"/>
    </xf>
    <xf numFmtId="9" fontId="26" fillId="0" borderId="22" xfId="0" applyNumberFormat="1" applyFont="1" applyFill="1" applyBorder="1" applyAlignment="1">
      <alignment shrinkToFit="1"/>
    </xf>
    <xf numFmtId="3" fontId="45" fillId="5" borderId="22" xfId="0" applyNumberFormat="1" applyFont="1" applyFill="1" applyBorder="1" applyAlignment="1">
      <alignment shrinkToFit="1"/>
    </xf>
    <xf numFmtId="10" fontId="45" fillId="5" borderId="22" xfId="0" applyNumberFormat="1" applyFont="1" applyFill="1" applyBorder="1" applyAlignment="1">
      <alignment shrinkToFit="1"/>
    </xf>
    <xf numFmtId="189" fontId="45" fillId="5" borderId="22" xfId="0" applyNumberFormat="1" applyFont="1" applyFill="1" applyBorder="1" applyAlignment="1">
      <alignment shrinkToFit="1"/>
    </xf>
    <xf numFmtId="185" fontId="45" fillId="5" borderId="22" xfId="0" applyNumberFormat="1" applyFont="1" applyFill="1" applyBorder="1" applyAlignment="1">
      <alignment shrinkToFit="1"/>
    </xf>
    <xf numFmtId="190" fontId="45" fillId="5" borderId="22" xfId="14" applyNumberFormat="1" applyFont="1" applyFill="1" applyBorder="1" applyAlignment="1">
      <alignment shrinkToFit="1"/>
    </xf>
    <xf numFmtId="191" fontId="26" fillId="0" borderId="22" xfId="0" applyNumberFormat="1" applyFont="1" applyFill="1" applyBorder="1" applyAlignment="1">
      <alignment horizontal="right" shrinkToFit="1"/>
    </xf>
    <xf numFmtId="191" fontId="45" fillId="5" borderId="22" xfId="0" applyNumberFormat="1" applyFont="1" applyFill="1" applyBorder="1" applyAlignment="1">
      <alignment horizontal="right" shrinkToFit="1"/>
    </xf>
    <xf numFmtId="190" fontId="26" fillId="0" borderId="22" xfId="14" applyNumberFormat="1" applyFont="1" applyFill="1" applyBorder="1" applyAlignment="1">
      <alignment horizontal="right" shrinkToFit="1"/>
    </xf>
    <xf numFmtId="0" fontId="0" fillId="0" borderId="0" xfId="0" applyFont="1" applyAlignment="1">
      <alignment shrinkToFit="1"/>
    </xf>
    <xf numFmtId="0" fontId="45" fillId="0" borderId="45" xfId="11" applyFont="1" applyBorder="1" applyAlignment="1">
      <alignment shrinkToFit="1"/>
    </xf>
    <xf numFmtId="0" fontId="24" fillId="0" borderId="46" xfId="11" applyFont="1" applyBorder="1" applyAlignment="1">
      <alignment shrinkToFit="1"/>
    </xf>
    <xf numFmtId="0" fontId="26" fillId="0" borderId="48" xfId="11" applyFont="1" applyFill="1" applyBorder="1" applyAlignment="1">
      <alignment horizontal="center" vertical="center" shrinkToFit="1"/>
    </xf>
    <xf numFmtId="0" fontId="44" fillId="0" borderId="49" xfId="11" applyFont="1" applyFill="1" applyBorder="1" applyAlignment="1">
      <alignment horizontal="center" shrinkToFit="1"/>
    </xf>
    <xf numFmtId="3" fontId="34" fillId="7" borderId="6" xfId="11" applyNumberFormat="1" applyFont="1" applyFill="1" applyBorder="1" applyAlignment="1">
      <alignment shrinkToFit="1"/>
    </xf>
    <xf numFmtId="3" fontId="26" fillId="7" borderId="22" xfId="11" applyNumberFormat="1" applyFont="1" applyFill="1" applyBorder="1" applyAlignment="1">
      <alignment shrinkToFit="1"/>
    </xf>
    <xf numFmtId="10" fontId="26" fillId="0" borderId="48" xfId="11" applyNumberFormat="1" applyFont="1" applyFill="1" applyBorder="1" applyAlignment="1">
      <alignment shrinkToFit="1"/>
    </xf>
    <xf numFmtId="0" fontId="44" fillId="0" borderId="50" xfId="11" applyFont="1" applyFill="1" applyBorder="1" applyAlignment="1">
      <alignment horizontal="center" shrinkToFit="1"/>
    </xf>
    <xf numFmtId="3" fontId="34" fillId="7" borderId="1" xfId="11" applyNumberFormat="1" applyFont="1" applyFill="1" applyBorder="1" applyAlignment="1">
      <alignment shrinkToFit="1"/>
    </xf>
    <xf numFmtId="0" fontId="24" fillId="0" borderId="45" xfId="11" applyFont="1" applyBorder="1" applyAlignment="1">
      <alignment shrinkToFit="1"/>
    </xf>
    <xf numFmtId="0" fontId="24" fillId="0" borderId="45" xfId="11" applyFont="1" applyFill="1" applyBorder="1" applyAlignment="1">
      <alignment shrinkToFit="1"/>
    </xf>
    <xf numFmtId="0" fontId="24" fillId="0" borderId="0" xfId="11" applyFont="1" applyFill="1" applyBorder="1" applyAlignment="1">
      <alignment shrinkToFit="1"/>
    </xf>
    <xf numFmtId="0" fontId="24" fillId="0" borderId="51" xfId="11" applyFont="1" applyFill="1" applyBorder="1" applyAlignment="1">
      <alignment shrinkToFit="1"/>
    </xf>
    <xf numFmtId="0" fontId="24" fillId="0" borderId="52" xfId="11" applyFont="1" applyFill="1" applyBorder="1" applyAlignment="1">
      <alignment shrinkToFit="1"/>
    </xf>
    <xf numFmtId="0" fontId="44" fillId="0" borderId="53" xfId="11" applyFont="1" applyFill="1" applyBorder="1" applyAlignment="1">
      <alignment horizontal="center" shrinkToFit="1"/>
    </xf>
    <xf numFmtId="3" fontId="26" fillId="7" borderId="54" xfId="11" applyNumberFormat="1" applyFont="1" applyFill="1" applyBorder="1" applyAlignment="1">
      <alignment shrinkToFit="1"/>
    </xf>
    <xf numFmtId="10" fontId="26" fillId="0" borderId="54" xfId="11" applyNumberFormat="1" applyFont="1" applyFill="1" applyBorder="1" applyAlignment="1">
      <alignment shrinkToFit="1"/>
    </xf>
    <xf numFmtId="10" fontId="26" fillId="0" borderId="55" xfId="11" applyNumberFormat="1" applyFont="1" applyFill="1" applyBorder="1" applyAlignment="1">
      <alignment shrinkToFit="1"/>
    </xf>
    <xf numFmtId="0" fontId="26" fillId="0" borderId="22" xfId="0" applyFont="1" applyBorder="1" applyAlignment="1">
      <alignment shrinkToFit="1"/>
    </xf>
    <xf numFmtId="0" fontId="44" fillId="0" borderId="22" xfId="0" applyFont="1" applyBorder="1" applyAlignment="1">
      <alignment shrinkToFit="1"/>
    </xf>
    <xf numFmtId="0" fontId="44" fillId="2" borderId="22" xfId="0" applyFont="1" applyFill="1" applyBorder="1" applyAlignment="1">
      <alignment horizontal="center" shrinkToFit="1"/>
    </xf>
    <xf numFmtId="10" fontId="24" fillId="11" borderId="22" xfId="0" applyNumberFormat="1" applyFont="1" applyFill="1" applyBorder="1" applyAlignment="1"/>
    <xf numFmtId="177" fontId="74" fillId="11" borderId="0" xfId="0" applyNumberFormat="1" applyFont="1" applyFill="1" applyAlignment="1"/>
    <xf numFmtId="177" fontId="74" fillId="0" borderId="0" xfId="0" applyNumberFormat="1" applyFont="1" applyFill="1" applyAlignment="1"/>
    <xf numFmtId="10" fontId="79" fillId="11" borderId="22" xfId="0" applyNumberFormat="1" applyFont="1" applyFill="1" applyBorder="1" applyAlignment="1"/>
    <xf numFmtId="177" fontId="79" fillId="0" borderId="0" xfId="0" applyNumberFormat="1" applyFont="1" applyFill="1" applyAlignment="1"/>
    <xf numFmtId="10" fontId="79" fillId="0" borderId="0" xfId="0" applyNumberFormat="1" applyFont="1" applyFill="1" applyAlignment="1"/>
    <xf numFmtId="3" fontId="79" fillId="0" borderId="0" xfId="0" applyNumberFormat="1" applyFont="1" applyFill="1" applyAlignment="1"/>
    <xf numFmtId="186" fontId="73" fillId="11" borderId="22" xfId="0" applyNumberFormat="1" applyFont="1" applyFill="1" applyBorder="1" applyAlignment="1"/>
    <xf numFmtId="3" fontId="26" fillId="12" borderId="22" xfId="0" applyNumberFormat="1" applyFont="1" applyFill="1" applyBorder="1" applyAlignment="1">
      <alignment shrinkToFit="1"/>
    </xf>
    <xf numFmtId="10" fontId="26" fillId="12" borderId="22" xfId="0" applyNumberFormat="1" applyFont="1" applyFill="1" applyBorder="1" applyAlignment="1">
      <alignment shrinkToFit="1"/>
    </xf>
    <xf numFmtId="183" fontId="26" fillId="0" borderId="22" xfId="0" applyNumberFormat="1" applyFont="1" applyFill="1" applyBorder="1" applyAlignment="1">
      <alignment shrinkToFit="1"/>
    </xf>
    <xf numFmtId="3" fontId="26" fillId="0" borderId="22" xfId="0" applyNumberFormat="1" applyFont="1" applyFill="1" applyBorder="1" applyAlignment="1">
      <alignment horizontal="right" shrinkToFit="1"/>
    </xf>
    <xf numFmtId="0" fontId="0" fillId="0" borderId="22" xfId="0" applyFon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31" fillId="0" borderId="22" xfId="0" applyFont="1" applyFill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31" fillId="0" borderId="22" xfId="0" applyFont="1" applyFill="1" applyBorder="1" applyAlignment="1">
      <alignment horizontal="center" vertical="center"/>
    </xf>
    <xf numFmtId="0" fontId="31" fillId="0" borderId="22" xfId="0" applyFont="1" applyFill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33" fillId="0" borderId="0" xfId="0" applyFont="1" applyBorder="1" applyAlignment="1">
      <alignment horizontal="left" vertical="center"/>
    </xf>
    <xf numFmtId="0" fontId="33" fillId="0" borderId="26" xfId="0" applyFont="1" applyBorder="1" applyAlignment="1">
      <alignment horizontal="left" vertical="center"/>
    </xf>
    <xf numFmtId="180" fontId="24" fillId="10" borderId="0" xfId="0" applyNumberFormat="1" applyFont="1" applyFill="1" applyAlignment="1"/>
    <xf numFmtId="4" fontId="26" fillId="12" borderId="22" xfId="0" applyNumberFormat="1" applyFont="1" applyFill="1" applyBorder="1" applyAlignment="1">
      <alignment horizontal="right" shrinkToFit="1"/>
    </xf>
    <xf numFmtId="189" fontId="26" fillId="12" borderId="22" xfId="0" applyNumberFormat="1" applyFont="1" applyFill="1" applyBorder="1" applyAlignment="1">
      <alignment shrinkToFit="1"/>
    </xf>
    <xf numFmtId="185" fontId="26" fillId="12" borderId="22" xfId="0" applyNumberFormat="1" applyFont="1" applyFill="1" applyBorder="1" applyAlignment="1">
      <alignment shrinkToFit="1"/>
    </xf>
    <xf numFmtId="183" fontId="5" fillId="0" borderId="0" xfId="0" applyNumberFormat="1" applyFont="1" applyBorder="1" applyAlignment="1">
      <alignment horizontal="right" vertical="center" shrinkToFit="1"/>
    </xf>
    <xf numFmtId="185" fontId="24" fillId="10" borderId="0" xfId="0" applyNumberFormat="1" applyFont="1" applyFill="1" applyAlignment="1"/>
    <xf numFmtId="189" fontId="24" fillId="10" borderId="0" xfId="0" applyNumberFormat="1" applyFont="1" applyFill="1" applyAlignment="1"/>
    <xf numFmtId="0" fontId="31" fillId="0" borderId="22" xfId="0" applyFont="1" applyFill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31" fillId="0" borderId="22" xfId="0" applyFont="1" applyFill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91" fontId="24" fillId="0" borderId="0" xfId="0" applyNumberFormat="1" applyFont="1" applyFill="1" applyAlignment="1">
      <alignment shrinkToFit="1"/>
    </xf>
    <xf numFmtId="187" fontId="24" fillId="0" borderId="0" xfId="0" applyNumberFormat="1" applyFont="1" applyFill="1" applyAlignment="1"/>
    <xf numFmtId="189" fontId="24" fillId="0" borderId="0" xfId="0" applyNumberFormat="1" applyFont="1" applyFill="1" applyAlignment="1"/>
    <xf numFmtId="179" fontId="63" fillId="0" borderId="0" xfId="0" applyNumberFormat="1" applyFont="1" applyFill="1" applyAlignment="1">
      <alignment horizontal="center"/>
    </xf>
    <xf numFmtId="176" fontId="45" fillId="0" borderId="0" xfId="0" applyNumberFormat="1" applyFont="1" applyFill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31" fillId="0" borderId="22" xfId="0" applyFont="1" applyFill="1" applyBorder="1" applyAlignment="1">
      <alignment horizontal="center" vertical="center"/>
    </xf>
    <xf numFmtId="183" fontId="5" fillId="3" borderId="1" xfId="0" applyNumberFormat="1" applyFont="1" applyFill="1" applyBorder="1" applyAlignment="1">
      <alignment shrinkToFit="1"/>
    </xf>
    <xf numFmtId="0" fontId="0" fillId="0" borderId="22" xfId="0" applyFont="1" applyBorder="1" applyAlignment="1">
      <alignment horizontal="center" vertical="center"/>
    </xf>
    <xf numFmtId="177" fontId="24" fillId="0" borderId="0" xfId="0" applyNumberFormat="1" applyFont="1" applyFill="1" applyAlignment="1">
      <alignment horizontal="right"/>
    </xf>
    <xf numFmtId="183" fontId="26" fillId="12" borderId="22" xfId="0" applyNumberFormat="1" applyFont="1" applyFill="1" applyBorder="1" applyAlignment="1">
      <alignment shrinkToFit="1"/>
    </xf>
    <xf numFmtId="0" fontId="0" fillId="0" borderId="22" xfId="0" applyFon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31" fillId="0" borderId="22" xfId="0" applyFont="1" applyFill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0" fontId="33" fillId="13" borderId="37" xfId="0" applyFont="1" applyFill="1" applyBorder="1" applyAlignment="1">
      <alignment horizontal="left" vertical="center"/>
    </xf>
    <xf numFmtId="0" fontId="33" fillId="13" borderId="32" xfId="0" applyFont="1" applyFill="1" applyBorder="1" applyAlignment="1">
      <alignment horizontal="left" vertical="center"/>
    </xf>
    <xf numFmtId="0" fontId="33" fillId="13" borderId="26" xfId="0" applyFont="1" applyFill="1" applyBorder="1" applyAlignment="1">
      <alignment horizontal="left" vertical="center"/>
    </xf>
    <xf numFmtId="0" fontId="33" fillId="13" borderId="36" xfId="0" applyFont="1" applyFill="1" applyBorder="1" applyAlignment="1">
      <alignment horizontal="left" vertical="center"/>
    </xf>
    <xf numFmtId="1" fontId="31" fillId="0" borderId="22" xfId="0" applyNumberFormat="1" applyFont="1" applyFill="1" applyBorder="1" applyAlignment="1">
      <alignment horizontal="center" vertical="center"/>
    </xf>
    <xf numFmtId="0" fontId="31" fillId="5" borderId="22" xfId="0" applyFont="1" applyFill="1" applyBorder="1" applyAlignment="1">
      <alignment horizontal="center" vertical="center"/>
    </xf>
    <xf numFmtId="184" fontId="63" fillId="14" borderId="0" xfId="11" applyNumberFormat="1" applyFont="1" applyFill="1" applyBorder="1" applyAlignment="1">
      <alignment shrinkToFit="1"/>
    </xf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77" fontId="24" fillId="0" borderId="0" xfId="0" applyNumberFormat="1" applyFont="1" applyFill="1" applyBorder="1" applyAlignment="1"/>
    <xf numFmtId="186" fontId="74" fillId="0" borderId="34" xfId="0" applyNumberFormat="1" applyFont="1" applyFill="1" applyBorder="1" applyAlignment="1">
      <alignment vertical="center"/>
    </xf>
    <xf numFmtId="10" fontId="24" fillId="0" borderId="0" xfId="0" applyNumberFormat="1" applyFont="1" applyFill="1" applyAlignment="1">
      <alignment vertical="center"/>
    </xf>
    <xf numFmtId="187" fontId="24" fillId="0" borderId="0" xfId="0" applyNumberFormat="1" applyFont="1" applyFill="1" applyAlignment="1">
      <alignment vertical="center"/>
    </xf>
    <xf numFmtId="177" fontId="24" fillId="0" borderId="0" xfId="0" applyNumberFormat="1" applyFont="1" applyFill="1" applyAlignment="1">
      <alignment vertical="center"/>
    </xf>
    <xf numFmtId="0" fontId="26" fillId="2" borderId="22" xfId="0" applyFont="1" applyFill="1" applyBorder="1" applyAlignment="1">
      <alignment horizontal="center" shrinkToFit="1"/>
    </xf>
    <xf numFmtId="0" fontId="34" fillId="5" borderId="23" xfId="5" applyFont="1" applyFill="1" applyBorder="1" applyAlignment="1">
      <alignment horizontal="center" vertical="center"/>
    </xf>
    <xf numFmtId="0" fontId="62" fillId="2" borderId="1" xfId="0" applyFont="1" applyFill="1" applyBorder="1" applyAlignment="1">
      <alignment horizontal="center" vertical="center" shrinkToFit="1"/>
    </xf>
    <xf numFmtId="183" fontId="5" fillId="0" borderId="1" xfId="0" applyNumberFormat="1" applyFont="1" applyBorder="1" applyAlignment="1">
      <alignment shrinkToFit="1"/>
    </xf>
    <xf numFmtId="0" fontId="24" fillId="0" borderId="0" xfId="11" applyFont="1" applyAlignment="1">
      <alignment horizontal="center" vertical="center" shrinkToFit="1"/>
    </xf>
    <xf numFmtId="0" fontId="24" fillId="0" borderId="0" xfId="11" applyFont="1" applyAlignment="1">
      <alignment wrapText="1" shrinkToFit="1"/>
    </xf>
    <xf numFmtId="0" fontId="24" fillId="0" borderId="0" xfId="11" applyFont="1" applyAlignment="1">
      <alignment vertical="center" shrinkToFit="1"/>
    </xf>
    <xf numFmtId="0" fontId="22" fillId="0" borderId="0" xfId="11" applyFont="1" applyAlignment="1">
      <alignment horizontal="center" vertical="center" shrinkToFit="1"/>
    </xf>
    <xf numFmtId="0" fontId="22" fillId="0" borderId="0" xfId="11" applyFont="1" applyAlignment="1">
      <alignment shrinkToFit="1"/>
    </xf>
    <xf numFmtId="0" fontId="22" fillId="0" borderId="0" xfId="11" applyFont="1" applyAlignment="1">
      <alignment wrapText="1" shrinkToFit="1"/>
    </xf>
    <xf numFmtId="0" fontId="22" fillId="0" borderId="0" xfId="11" applyFont="1" applyAlignment="1">
      <alignment vertical="center" shrinkToFit="1"/>
    </xf>
    <xf numFmtId="0" fontId="27" fillId="0" borderId="0" xfId="11" applyFont="1"/>
    <xf numFmtId="0" fontId="27" fillId="0" borderId="0" xfId="11" applyFont="1" applyAlignment="1">
      <alignment vertical="center"/>
    </xf>
    <xf numFmtId="0" fontId="34" fillId="5" borderId="22" xfId="15" applyFont="1" applyFill="1" applyBorder="1" applyAlignment="1">
      <alignment horizontal="center" vertical="center" wrapText="1"/>
    </xf>
    <xf numFmtId="0" fontId="34" fillId="5" borderId="22" xfId="15" applyFont="1" applyFill="1" applyBorder="1" applyAlignment="1">
      <alignment horizontal="center" vertical="center"/>
    </xf>
    <xf numFmtId="0" fontId="27" fillId="0" borderId="22" xfId="11" applyFont="1" applyBorder="1" applyAlignment="1">
      <alignment horizontal="center" vertical="center"/>
    </xf>
    <xf numFmtId="0" fontId="27" fillId="0" borderId="22" xfId="11" applyFont="1" applyBorder="1" applyAlignment="1">
      <alignment horizontal="left" vertical="center"/>
    </xf>
    <xf numFmtId="192" fontId="34" fillId="0" borderId="22" xfId="11" applyNumberFormat="1" applyFont="1" applyBorder="1" applyAlignment="1">
      <alignment horizontal="center" vertical="center"/>
    </xf>
    <xf numFmtId="185" fontId="34" fillId="8" borderId="22" xfId="13" applyNumberFormat="1" applyFont="1" applyFill="1" applyBorder="1" applyAlignment="1">
      <alignment horizontal="center" vertical="center"/>
    </xf>
    <xf numFmtId="192" fontId="34" fillId="0" borderId="22" xfId="19" applyNumberFormat="1" applyFont="1" applyBorder="1" applyAlignment="1">
      <alignment horizontal="center" vertical="center"/>
    </xf>
    <xf numFmtId="192" fontId="34" fillId="8" borderId="22" xfId="11" applyNumberFormat="1" applyFont="1" applyFill="1" applyBorder="1" applyAlignment="1">
      <alignment horizontal="center" vertical="center"/>
    </xf>
    <xf numFmtId="0" fontId="85" fillId="0" borderId="22" xfId="11" applyFont="1" applyBorder="1" applyAlignment="1">
      <alignment horizontal="center" vertical="center"/>
    </xf>
    <xf numFmtId="0" fontId="34" fillId="0" borderId="22" xfId="11" applyFont="1" applyBorder="1" applyAlignment="1">
      <alignment horizontal="center" vertical="center"/>
    </xf>
    <xf numFmtId="0" fontId="83" fillId="0" borderId="22" xfId="11" applyFont="1" applyBorder="1" applyAlignment="1">
      <alignment horizontal="left" vertical="center"/>
    </xf>
    <xf numFmtId="0" fontId="71" fillId="0" borderId="0" xfId="11" applyFont="1" applyAlignment="1">
      <alignment horizontal="center" vertical="center"/>
    </xf>
    <xf numFmtId="1" fontId="27" fillId="0" borderId="41" xfId="11" applyNumberFormat="1" applyFont="1" applyBorder="1" applyAlignment="1">
      <alignment horizontal="center" vertical="center"/>
    </xf>
    <xf numFmtId="0" fontId="27" fillId="0" borderId="41" xfId="11" applyFont="1" applyBorder="1" applyAlignment="1">
      <alignment horizontal="center" vertical="center"/>
    </xf>
    <xf numFmtId="0" fontId="27" fillId="0" borderId="0" xfId="11" applyFont="1" applyAlignment="1">
      <alignment horizontal="center" vertical="center"/>
    </xf>
    <xf numFmtId="0" fontId="86" fillId="0" borderId="22" xfId="11" applyFont="1" applyBorder="1" applyAlignment="1">
      <alignment horizontal="center" vertical="center"/>
    </xf>
    <xf numFmtId="1" fontId="66" fillId="0" borderId="41" xfId="11" applyNumberFormat="1" applyFont="1" applyBorder="1" applyAlignment="1">
      <alignment horizontal="center" vertical="center"/>
    </xf>
    <xf numFmtId="0" fontId="27" fillId="0" borderId="0" xfId="11" applyFont="1" applyAlignment="1">
      <alignment horizontal="left" vertical="center"/>
    </xf>
    <xf numFmtId="0" fontId="71" fillId="0" borderId="0" xfId="11" applyFont="1" applyAlignment="1">
      <alignment horizontal="left" vertical="center"/>
    </xf>
    <xf numFmtId="0" fontId="86" fillId="0" borderId="0" xfId="11" applyFont="1" applyAlignment="1">
      <alignment horizontal="center" vertical="center"/>
    </xf>
    <xf numFmtId="0" fontId="85" fillId="0" borderId="0" xfId="11" applyFont="1" applyAlignment="1">
      <alignment horizontal="center" vertical="center"/>
    </xf>
    <xf numFmtId="0" fontId="27" fillId="0" borderId="0" xfId="11" applyFont="1" applyAlignment="1">
      <alignment horizontal="center"/>
    </xf>
    <xf numFmtId="0" fontId="2" fillId="0" borderId="0" xfId="15">
      <alignment vertical="center"/>
    </xf>
    <xf numFmtId="0" fontId="91" fillId="15" borderId="22" xfId="15" applyFont="1" applyFill="1" applyBorder="1" applyAlignment="1">
      <alignment horizontal="center" vertical="center"/>
    </xf>
    <xf numFmtId="194" fontId="92" fillId="8" borderId="22" xfId="15" applyNumberFormat="1" applyFont="1" applyFill="1" applyBorder="1" applyAlignment="1">
      <alignment horizontal="center" vertical="center"/>
    </xf>
    <xf numFmtId="189" fontId="92" fillId="0" borderId="22" xfId="15" applyNumberFormat="1" applyFont="1" applyBorder="1" applyAlignment="1">
      <alignment horizontal="center" vertical="center"/>
    </xf>
    <xf numFmtId="194" fontId="92" fillId="8" borderId="22" xfId="18" applyNumberFormat="1" applyFont="1" applyFill="1" applyBorder="1" applyAlignment="1">
      <alignment horizontal="center" vertical="center"/>
    </xf>
    <xf numFmtId="189" fontId="92" fillId="0" borderId="22" xfId="3" applyNumberFormat="1" applyFont="1" applyBorder="1" applyAlignment="1">
      <alignment horizontal="center" vertical="center"/>
    </xf>
    <xf numFmtId="10" fontId="92" fillId="0" borderId="22" xfId="3" applyNumberFormat="1" applyFont="1" applyBorder="1" applyAlignment="1">
      <alignment horizontal="center" vertical="center"/>
    </xf>
    <xf numFmtId="194" fontId="92" fillId="8" borderId="22" xfId="3" applyNumberFormat="1" applyFont="1" applyFill="1" applyBorder="1" applyAlignment="1">
      <alignment horizontal="center" vertical="center"/>
    </xf>
    <xf numFmtId="195" fontId="92" fillId="8" borderId="22" xfId="15" applyNumberFormat="1" applyFont="1" applyFill="1" applyBorder="1" applyAlignment="1">
      <alignment horizontal="center" vertical="center"/>
    </xf>
    <xf numFmtId="10" fontId="92" fillId="0" borderId="22" xfId="15" applyNumberFormat="1" applyFont="1" applyBorder="1" applyAlignment="1">
      <alignment horizontal="center" vertical="center"/>
    </xf>
    <xf numFmtId="193" fontId="93" fillId="0" borderId="22" xfId="5" applyNumberFormat="1" applyFont="1" applyBorder="1" applyAlignment="1">
      <alignment horizontal="center" vertical="center"/>
    </xf>
    <xf numFmtId="3" fontId="2" fillId="0" borderId="0" xfId="15" applyNumberFormat="1">
      <alignment vertical="center"/>
    </xf>
    <xf numFmtId="189" fontId="2" fillId="0" borderId="0" xfId="3" applyNumberFormat="1" applyFont="1">
      <alignment vertical="center"/>
    </xf>
    <xf numFmtId="0" fontId="2" fillId="0" borderId="22" xfId="15" applyBorder="1" applyAlignment="1">
      <alignment vertical="center"/>
    </xf>
    <xf numFmtId="0" fontId="2" fillId="0" borderId="22" xfId="15" applyBorder="1">
      <alignment vertical="center"/>
    </xf>
    <xf numFmtId="189" fontId="94" fillId="0" borderId="22" xfId="20" applyNumberFormat="1" applyFont="1" applyBorder="1" applyAlignment="1">
      <alignment horizontal="center" vertical="center"/>
    </xf>
    <xf numFmtId="10" fontId="92" fillId="0" borderId="22" xfId="20" applyNumberFormat="1" applyFont="1" applyBorder="1" applyAlignment="1">
      <alignment horizontal="center" vertical="center"/>
    </xf>
    <xf numFmtId="0" fontId="92" fillId="0" borderId="0" xfId="15" applyFont="1">
      <alignment vertical="center"/>
    </xf>
    <xf numFmtId="1" fontId="22" fillId="0" borderId="22" xfId="0" applyNumberFormat="1" applyFont="1" applyBorder="1" applyAlignment="1">
      <alignment horizontal="center" vertical="center"/>
    </xf>
    <xf numFmtId="0" fontId="65" fillId="0" borderId="22" xfId="11" applyFont="1" applyBorder="1" applyAlignment="1">
      <alignment horizontal="center" vertical="center"/>
    </xf>
    <xf numFmtId="0" fontId="65" fillId="0" borderId="22" xfId="11" applyFont="1" applyBorder="1" applyAlignment="1">
      <alignment horizontal="center" vertical="center" shrinkToFit="1"/>
    </xf>
    <xf numFmtId="194" fontId="92" fillId="8" borderId="22" xfId="4" applyNumberFormat="1" applyFont="1" applyFill="1" applyBorder="1" applyAlignment="1">
      <alignment horizontal="center" vertical="center"/>
    </xf>
    <xf numFmtId="194" fontId="92" fillId="8" borderId="22" xfId="6" applyNumberFormat="1" applyFont="1" applyFill="1" applyBorder="1" applyAlignment="1">
      <alignment horizontal="center" vertical="center"/>
    </xf>
    <xf numFmtId="195" fontId="92" fillId="8" borderId="22" xfId="4" applyNumberFormat="1" applyFont="1" applyFill="1" applyBorder="1" applyAlignment="1">
      <alignment horizontal="center" vertical="center"/>
    </xf>
    <xf numFmtId="10" fontId="92" fillId="0" borderId="22" xfId="4" applyNumberFormat="1" applyFont="1" applyBorder="1" applyAlignment="1">
      <alignment horizontal="center" vertical="center"/>
    </xf>
    <xf numFmtId="0" fontId="55" fillId="0" borderId="0" xfId="0" applyFont="1" applyFill="1" applyAlignment="1">
      <alignment vertical="center"/>
    </xf>
    <xf numFmtId="0" fontId="55" fillId="0" borderId="0" xfId="0" applyFont="1" applyFill="1" applyAlignment="1"/>
    <xf numFmtId="177" fontId="55" fillId="0" borderId="0" xfId="0" applyNumberFormat="1" applyFont="1" applyFill="1" applyAlignment="1"/>
    <xf numFmtId="177" fontId="55" fillId="0" borderId="0" xfId="0" applyNumberFormat="1" applyFont="1" applyFill="1" applyAlignment="1">
      <alignment horizontal="right"/>
    </xf>
    <xf numFmtId="177" fontId="55" fillId="9" borderId="22" xfId="0" applyNumberFormat="1" applyFont="1" applyFill="1" applyBorder="1" applyAlignment="1"/>
    <xf numFmtId="10" fontId="55" fillId="0" borderId="22" xfId="0" applyNumberFormat="1" applyFont="1" applyFill="1" applyBorder="1" applyAlignment="1"/>
    <xf numFmtId="177" fontId="55" fillId="0" borderId="22" xfId="0" applyNumberFormat="1" applyFont="1" applyFill="1" applyBorder="1" applyAlignment="1"/>
    <xf numFmtId="0" fontId="55" fillId="0" borderId="0" xfId="0" applyFont="1" applyAlignment="1"/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31" fillId="0" borderId="22" xfId="0" applyFont="1" applyFill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0" fontId="88" fillId="15" borderId="22" xfId="15" applyFont="1" applyFill="1" applyBorder="1" applyAlignment="1">
      <alignment horizontal="center" vertical="center" wrapText="1"/>
    </xf>
    <xf numFmtId="0" fontId="24" fillId="0" borderId="37" xfId="0" applyFont="1" applyFill="1" applyBorder="1" applyAlignment="1">
      <alignment vertical="center"/>
    </xf>
    <xf numFmtId="177" fontId="24" fillId="0" borderId="34" xfId="0" applyNumberFormat="1" applyFont="1" applyFill="1" applyBorder="1" applyAlignment="1">
      <alignment vertical="center"/>
    </xf>
    <xf numFmtId="194" fontId="92" fillId="8" borderId="22" xfId="20" applyNumberFormat="1" applyFont="1" applyFill="1" applyBorder="1" applyAlignment="1">
      <alignment horizontal="center" vertical="center"/>
    </xf>
    <xf numFmtId="189" fontId="92" fillId="0" borderId="54" xfId="3" applyNumberFormat="1" applyFont="1" applyBorder="1" applyAlignment="1">
      <alignment horizontal="center" vertical="center"/>
    </xf>
    <xf numFmtId="10" fontId="92" fillId="0" borderId="54" xfId="3" applyNumberFormat="1" applyFont="1" applyBorder="1" applyAlignment="1">
      <alignment horizontal="center" vertical="center"/>
    </xf>
    <xf numFmtId="194" fontId="92" fillId="8" borderId="54" xfId="3" applyNumberFormat="1" applyFont="1" applyFill="1" applyBorder="1" applyAlignment="1">
      <alignment horizontal="center" vertical="center"/>
    </xf>
    <xf numFmtId="189" fontId="92" fillId="0" borderId="22" xfId="4" applyNumberFormat="1" applyFont="1" applyBorder="1" applyAlignment="1">
      <alignment horizontal="center" vertical="center"/>
    </xf>
    <xf numFmtId="194" fontId="92" fillId="8" borderId="54" xfId="4" applyNumberFormat="1" applyFont="1" applyFill="1" applyBorder="1" applyAlignment="1">
      <alignment horizontal="center" vertical="center"/>
    </xf>
    <xf numFmtId="189" fontId="92" fillId="0" borderId="54" xfId="4" applyNumberFormat="1" applyFont="1" applyBorder="1" applyAlignment="1">
      <alignment horizontal="center" vertical="center"/>
    </xf>
    <xf numFmtId="194" fontId="92" fillId="8" borderId="54" xfId="6" applyNumberFormat="1" applyFont="1" applyFill="1" applyBorder="1" applyAlignment="1">
      <alignment horizontal="center" vertical="center"/>
    </xf>
    <xf numFmtId="195" fontId="92" fillId="8" borderId="54" xfId="4" applyNumberFormat="1" applyFont="1" applyFill="1" applyBorder="1" applyAlignment="1">
      <alignment horizontal="center" vertical="center"/>
    </xf>
    <xf numFmtId="10" fontId="92" fillId="0" borderId="54" xfId="4" applyNumberFormat="1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0" fontId="0" fillId="0" borderId="27" xfId="0" applyBorder="1" applyAlignment="1">
      <alignment vertical="center"/>
    </xf>
    <xf numFmtId="0" fontId="0" fillId="0" borderId="28" xfId="0" applyBorder="1" applyAlignment="1">
      <alignment vertical="center"/>
    </xf>
    <xf numFmtId="0" fontId="0" fillId="0" borderId="25" xfId="0" applyBorder="1" applyAlignment="1">
      <alignment vertical="center"/>
    </xf>
    <xf numFmtId="0" fontId="31" fillId="0" borderId="22" xfId="0" applyFont="1" applyBorder="1" applyAlignment="1">
      <alignment horizontal="center" vertical="center"/>
    </xf>
    <xf numFmtId="0" fontId="44" fillId="2" borderId="22" xfId="0" applyFont="1" applyFill="1" applyBorder="1" applyAlignment="1">
      <alignment horizontal="center" vertical="center" shrinkToFit="1"/>
    </xf>
    <xf numFmtId="0" fontId="44" fillId="0" borderId="22" xfId="0" applyFont="1" applyBorder="1" applyAlignment="1">
      <alignment shrinkToFit="1"/>
    </xf>
    <xf numFmtId="0" fontId="44" fillId="2" borderId="22" xfId="0" applyFont="1" applyFill="1" applyBorder="1" applyAlignment="1">
      <alignment horizontal="center" shrinkToFit="1"/>
    </xf>
    <xf numFmtId="0" fontId="31" fillId="4" borderId="22" xfId="0" applyFont="1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5" borderId="22" xfId="0" applyFill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71" fillId="0" borderId="22" xfId="11" applyFont="1" applyBorder="1" applyAlignment="1">
      <alignment horizontal="center" vertical="center"/>
    </xf>
    <xf numFmtId="193" fontId="94" fillId="0" borderId="22" xfId="5" applyNumberFormat="1" applyFon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31" fillId="0" borderId="22" xfId="0" applyFont="1" applyFill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179" fontId="55" fillId="0" borderId="0" xfId="0" applyNumberFormat="1" applyFont="1" applyFill="1" applyAlignment="1">
      <alignment horizontal="center"/>
    </xf>
    <xf numFmtId="0" fontId="31" fillId="0" borderId="22" xfId="0" applyFont="1" applyFill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0" fontId="0" fillId="0" borderId="27" xfId="0" applyBorder="1" applyAlignment="1">
      <alignment horizontal="left" vertical="center"/>
    </xf>
    <xf numFmtId="1" fontId="26" fillId="0" borderId="22" xfId="0" applyNumberFormat="1" applyFont="1" applyBorder="1" applyAlignment="1">
      <alignment shrinkToFit="1"/>
    </xf>
    <xf numFmtId="0" fontId="31" fillId="0" borderId="27" xfId="0" applyFont="1" applyBorder="1" applyAlignment="1">
      <alignment vertical="center"/>
    </xf>
    <xf numFmtId="0" fontId="31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44" fillId="2" borderId="22" xfId="0" applyFont="1" applyFill="1" applyBorder="1" applyAlignment="1">
      <alignment horizontal="center" vertical="center" shrinkToFit="1"/>
    </xf>
    <xf numFmtId="0" fontId="0" fillId="0" borderId="22" xfId="0" applyFont="1" applyBorder="1" applyAlignment="1">
      <alignment horizontal="center" vertical="center"/>
    </xf>
    <xf numFmtId="0" fontId="31" fillId="0" borderId="27" xfId="0" applyFont="1" applyBorder="1" applyAlignment="1">
      <alignment horizontal="left" vertical="center"/>
    </xf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31" fillId="0" borderId="22" xfId="0" applyFont="1" applyFill="1" applyBorder="1" applyAlignment="1">
      <alignment horizontal="center" vertical="center"/>
    </xf>
    <xf numFmtId="0" fontId="88" fillId="15" borderId="22" xfId="15" applyFont="1" applyFill="1" applyBorder="1" applyAlignment="1">
      <alignment horizontal="center" vertical="center" wrapText="1"/>
    </xf>
    <xf numFmtId="179" fontId="108" fillId="0" borderId="0" xfId="0" applyNumberFormat="1" applyFont="1" applyFill="1" applyAlignment="1">
      <alignment horizontal="center"/>
    </xf>
    <xf numFmtId="194" fontId="92" fillId="0" borderId="29" xfId="15" applyNumberFormat="1" applyFont="1" applyBorder="1" applyAlignment="1">
      <alignment horizontal="right" vertical="center"/>
    </xf>
    <xf numFmtId="194" fontId="35" fillId="0" borderId="29" xfId="15" applyNumberFormat="1" applyFont="1" applyBorder="1" applyAlignment="1">
      <alignment horizontal="right" vertical="center"/>
    </xf>
    <xf numFmtId="194" fontId="92" fillId="0" borderId="30" xfId="15" applyNumberFormat="1" applyFont="1" applyBorder="1" applyAlignment="1">
      <alignment horizontal="right" vertical="center"/>
    </xf>
    <xf numFmtId="194" fontId="35" fillId="0" borderId="30" xfId="15" applyNumberFormat="1" applyFont="1" applyBorder="1" applyAlignment="1">
      <alignment horizontal="right" vertical="center"/>
    </xf>
    <xf numFmtId="0" fontId="31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31" fillId="4" borderId="22" xfId="0" applyFont="1" applyFill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31" fillId="4" borderId="22" xfId="0" applyFont="1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0" fontId="26" fillId="0" borderId="22" xfId="0" applyFont="1" applyBorder="1" applyAlignment="1">
      <alignment shrinkToFit="1"/>
    </xf>
    <xf numFmtId="0" fontId="44" fillId="2" borderId="22" xfId="0" applyFont="1" applyFill="1" applyBorder="1" applyAlignment="1">
      <alignment horizontal="center" shrinkToFit="1"/>
    </xf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31" fillId="4" borderId="22" xfId="0" applyFont="1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0" fontId="31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183" fontId="34" fillId="0" borderId="22" xfId="13" applyNumberFormat="1" applyFont="1" applyFill="1" applyBorder="1" applyAlignment="1">
      <alignment horizontal="center" vertical="center"/>
    </xf>
    <xf numFmtId="0" fontId="22" fillId="0" borderId="27" xfId="0" applyFont="1" applyBorder="1" applyAlignment="1">
      <alignment vertical="center"/>
    </xf>
    <xf numFmtId="0" fontId="0" fillId="0" borderId="22" xfId="0" applyFon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31" fillId="4" borderId="22" xfId="0" applyFont="1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2" xfId="0" applyNumberFormat="1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2" xfId="0" applyNumberFormat="1" applyFont="1" applyBorder="1" applyAlignment="1">
      <alignment horizontal="center" vertical="center"/>
    </xf>
    <xf numFmtId="0" fontId="109" fillId="0" borderId="22" xfId="0" applyFont="1" applyBorder="1" applyAlignment="1">
      <alignment horizontal="center" vertical="center" shrinkToFit="1"/>
    </xf>
    <xf numFmtId="0" fontId="0" fillId="0" borderId="0" xfId="0" applyFont="1" applyAlignment="1">
      <alignment shrinkToFit="1"/>
    </xf>
    <xf numFmtId="0" fontId="0" fillId="0" borderId="22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2" xfId="0" applyNumberFormat="1" applyFont="1" applyBorder="1" applyAlignment="1">
      <alignment horizontal="center" vertical="center"/>
    </xf>
    <xf numFmtId="0" fontId="26" fillId="2" borderId="4" xfId="0" applyFont="1" applyFill="1" applyBorder="1" applyAlignment="1">
      <alignment horizontal="center" vertical="center" shrinkToFit="1"/>
    </xf>
    <xf numFmtId="0" fontId="26" fillId="2" borderId="2" xfId="0" applyFont="1" applyFill="1" applyBorder="1" applyAlignment="1">
      <alignment horizontal="center" vertical="center" shrinkToFit="1"/>
    </xf>
    <xf numFmtId="0" fontId="26" fillId="2" borderId="3" xfId="0" applyFont="1" applyFill="1" applyBorder="1" applyAlignment="1">
      <alignment horizontal="center" vertical="center" shrinkToFit="1"/>
    </xf>
    <xf numFmtId="0" fontId="44" fillId="2" borderId="22" xfId="0" applyFont="1" applyFill="1" applyBorder="1" applyAlignment="1">
      <alignment horizontal="center" shrinkToFit="1"/>
    </xf>
    <xf numFmtId="0" fontId="26" fillId="0" borderId="22" xfId="0" applyFont="1" applyBorder="1" applyAlignment="1">
      <alignment shrinkToFit="1"/>
    </xf>
    <xf numFmtId="0" fontId="6" fillId="0" borderId="4" xfId="0" applyFont="1" applyBorder="1" applyAlignment="1">
      <alignment shrinkToFit="1"/>
    </xf>
    <xf numFmtId="0" fontId="7" fillId="0" borderId="2" xfId="0" applyFont="1" applyBorder="1" applyAlignment="1">
      <alignment shrinkToFit="1"/>
    </xf>
    <xf numFmtId="0" fontId="7" fillId="0" borderId="3" xfId="0" applyFont="1" applyBorder="1" applyAlignment="1">
      <alignment shrinkToFit="1"/>
    </xf>
    <xf numFmtId="0" fontId="6" fillId="2" borderId="4" xfId="0" applyFont="1" applyFill="1" applyBorder="1" applyAlignment="1">
      <alignment shrinkToFit="1"/>
    </xf>
    <xf numFmtId="0" fontId="9" fillId="0" borderId="4" xfId="0" applyFont="1" applyBorder="1" applyAlignment="1">
      <alignment shrinkToFit="1"/>
    </xf>
    <xf numFmtId="0" fontId="5" fillId="0" borderId="4" xfId="0" applyFont="1" applyBorder="1" applyAlignment="1">
      <alignment shrinkToFit="1"/>
    </xf>
    <xf numFmtId="0" fontId="5" fillId="0" borderId="9" xfId="0" applyFont="1" applyBorder="1" applyAlignment="1">
      <alignment shrinkToFit="1"/>
    </xf>
    <xf numFmtId="0" fontId="7" fillId="0" borderId="8" xfId="0" applyFont="1" applyBorder="1" applyAlignment="1">
      <alignment shrinkToFit="1"/>
    </xf>
    <xf numFmtId="0" fontId="9" fillId="0" borderId="12" xfId="0" applyFont="1" applyBorder="1" applyAlignment="1">
      <alignment shrinkToFit="1"/>
    </xf>
    <xf numFmtId="0" fontId="7" fillId="0" borderId="11" xfId="0" applyFont="1" applyBorder="1" applyAlignment="1">
      <alignment shrinkToFit="1"/>
    </xf>
    <xf numFmtId="0" fontId="7" fillId="0" borderId="10" xfId="0" applyFont="1" applyBorder="1" applyAlignment="1">
      <alignment shrinkToFit="1"/>
    </xf>
    <xf numFmtId="0" fontId="5" fillId="2" borderId="4" xfId="0" applyFont="1" applyFill="1" applyBorder="1" applyAlignment="1">
      <alignment shrinkToFit="1"/>
    </xf>
    <xf numFmtId="0" fontId="5" fillId="2" borderId="2" xfId="0" applyFont="1" applyFill="1" applyBorder="1" applyAlignment="1">
      <alignment shrinkToFit="1"/>
    </xf>
    <xf numFmtId="0" fontId="5" fillId="2" borderId="3" xfId="0" applyFont="1" applyFill="1" applyBorder="1" applyAlignment="1">
      <alignment shrinkToFit="1"/>
    </xf>
    <xf numFmtId="0" fontId="6" fillId="0" borderId="9" xfId="0" applyFont="1" applyBorder="1" applyAlignment="1">
      <alignment shrinkToFit="1"/>
    </xf>
    <xf numFmtId="0" fontId="7" fillId="0" borderId="13" xfId="0" applyFont="1" applyBorder="1" applyAlignment="1">
      <alignment shrinkToFit="1"/>
    </xf>
    <xf numFmtId="0" fontId="10" fillId="2" borderId="4" xfId="0" applyFont="1" applyFill="1" applyBorder="1" applyAlignment="1">
      <alignment shrinkToFit="1"/>
    </xf>
    <xf numFmtId="0" fontId="9" fillId="2" borderId="4" xfId="0" applyFont="1" applyFill="1" applyBorder="1" applyAlignment="1">
      <alignment shrinkToFit="1"/>
    </xf>
    <xf numFmtId="0" fontId="9" fillId="2" borderId="2" xfId="0" applyFont="1" applyFill="1" applyBorder="1" applyAlignment="1">
      <alignment shrinkToFit="1"/>
    </xf>
    <xf numFmtId="0" fontId="9" fillId="2" borderId="3" xfId="0" applyFont="1" applyFill="1" applyBorder="1" applyAlignment="1">
      <alignment shrinkToFit="1"/>
    </xf>
    <xf numFmtId="0" fontId="9" fillId="0" borderId="19" xfId="0" applyFont="1" applyBorder="1" applyAlignment="1">
      <alignment shrinkToFit="1"/>
    </xf>
    <xf numFmtId="0" fontId="7" fillId="0" borderId="20" xfId="0" applyFont="1" applyBorder="1" applyAlignment="1">
      <alignment shrinkToFit="1"/>
    </xf>
    <xf numFmtId="0" fontId="7" fillId="0" borderId="21" xfId="0" applyFont="1" applyBorder="1" applyAlignment="1">
      <alignment shrinkToFit="1"/>
    </xf>
    <xf numFmtId="0" fontId="5" fillId="0" borderId="0" xfId="0" applyFont="1" applyAlignment="1">
      <alignment shrinkToFit="1"/>
    </xf>
    <xf numFmtId="0" fontId="0" fillId="0" borderId="0" xfId="0" applyFont="1" applyAlignment="1">
      <alignment shrinkToFit="1"/>
    </xf>
    <xf numFmtId="0" fontId="5" fillId="0" borderId="19" xfId="0" applyFont="1" applyBorder="1" applyAlignment="1">
      <alignment shrinkToFit="1"/>
    </xf>
    <xf numFmtId="0" fontId="10" fillId="2" borderId="3" xfId="0" applyFont="1" applyFill="1" applyBorder="1" applyAlignment="1">
      <alignment shrinkToFit="1"/>
    </xf>
    <xf numFmtId="0" fontId="41" fillId="0" borderId="0" xfId="0" applyFont="1" applyBorder="1" applyAlignment="1">
      <alignment horizontal="center" vertical="center" shrinkToFit="1"/>
    </xf>
    <xf numFmtId="0" fontId="51" fillId="8" borderId="22" xfId="0" applyFont="1" applyFill="1" applyBorder="1" applyAlignment="1">
      <alignment horizontal="center" vertical="center" shrinkToFit="1"/>
    </xf>
    <xf numFmtId="10" fontId="25" fillId="0" borderId="0" xfId="0" applyNumberFormat="1" applyFont="1" applyFill="1" applyAlignment="1">
      <alignment horizontal="center" vertical="center"/>
    </xf>
    <xf numFmtId="0" fontId="17" fillId="0" borderId="0" xfId="0" applyFont="1" applyFill="1" applyAlignment="1">
      <alignment horizontal="center" vertical="center"/>
    </xf>
    <xf numFmtId="177" fontId="25" fillId="7" borderId="0" xfId="0" applyNumberFormat="1" applyFont="1" applyFill="1" applyAlignment="1">
      <alignment horizontal="center" vertical="center"/>
    </xf>
    <xf numFmtId="178" fontId="25" fillId="6" borderId="0" xfId="0" applyNumberFormat="1" applyFont="1" applyFill="1" applyAlignment="1">
      <alignment horizontal="center" vertical="center"/>
    </xf>
    <xf numFmtId="176" fontId="25" fillId="5" borderId="0" xfId="0" applyNumberFormat="1" applyFont="1" applyFill="1" applyAlignment="1">
      <alignment horizontal="center" vertical="center"/>
    </xf>
    <xf numFmtId="0" fontId="25" fillId="0" borderId="0" xfId="0" applyFont="1" applyFill="1" applyAlignment="1">
      <alignment horizontal="center" vertical="center"/>
    </xf>
    <xf numFmtId="0" fontId="26" fillId="0" borderId="0" xfId="0" applyFont="1" applyFill="1" applyBorder="1" applyAlignment="1">
      <alignment horizontal="center" vertical="center" shrinkToFit="1"/>
    </xf>
    <xf numFmtId="178" fontId="25" fillId="0" borderId="0" xfId="0" applyNumberFormat="1" applyFont="1" applyFill="1" applyAlignment="1">
      <alignment horizontal="center" vertical="center"/>
    </xf>
    <xf numFmtId="0" fontId="23" fillId="0" borderId="0" xfId="0" applyFont="1" applyFill="1" applyAlignment="1">
      <alignment horizontal="center" vertical="center"/>
    </xf>
    <xf numFmtId="181" fontId="13" fillId="0" borderId="0" xfId="0" applyNumberFormat="1" applyFont="1" applyFill="1" applyAlignment="1">
      <alignment horizontal="center" vertical="center"/>
    </xf>
    <xf numFmtId="10" fontId="13" fillId="5" borderId="0" xfId="0" applyNumberFormat="1" applyFont="1" applyFill="1" applyAlignment="1">
      <alignment horizontal="center" vertical="center"/>
    </xf>
    <xf numFmtId="10" fontId="13" fillId="0" borderId="0" xfId="0" applyNumberFormat="1" applyFont="1" applyFill="1" applyAlignment="1">
      <alignment horizontal="center" vertical="center"/>
    </xf>
    <xf numFmtId="0" fontId="28" fillId="0" borderId="22" xfId="0" applyFont="1" applyFill="1" applyBorder="1" applyAlignment="1">
      <alignment horizontal="center" vertical="center"/>
    </xf>
    <xf numFmtId="0" fontId="17" fillId="0" borderId="0" xfId="0" applyFont="1" applyFill="1" applyBorder="1" applyAlignment="1">
      <alignment horizontal="center" vertical="center"/>
    </xf>
    <xf numFmtId="0" fontId="27" fillId="0" borderId="22" xfId="0" applyFont="1" applyFill="1" applyBorder="1" applyAlignment="1">
      <alignment horizontal="center" vertical="center"/>
    </xf>
    <xf numFmtId="0" fontId="26" fillId="0" borderId="22" xfId="0" applyFont="1" applyFill="1" applyBorder="1" applyAlignment="1">
      <alignment horizontal="center" vertical="center" shrinkToFit="1"/>
    </xf>
    <xf numFmtId="182" fontId="26" fillId="0" borderId="22" xfId="0" applyNumberFormat="1" applyFont="1" applyFill="1" applyBorder="1" applyAlignment="1">
      <alignment horizontal="center" vertical="center" shrinkToFit="1"/>
    </xf>
    <xf numFmtId="0" fontId="16" fillId="0" borderId="22" xfId="0" applyFont="1" applyFill="1" applyBorder="1" applyAlignment="1">
      <alignment horizontal="center" vertical="center"/>
    </xf>
    <xf numFmtId="0" fontId="21" fillId="0" borderId="22" xfId="0" applyFont="1" applyFill="1" applyBorder="1" applyAlignment="1">
      <alignment horizontal="center" vertical="center"/>
    </xf>
    <xf numFmtId="182" fontId="25" fillId="0" borderId="22" xfId="0" applyNumberFormat="1" applyFont="1" applyFill="1" applyBorder="1" applyAlignment="1">
      <alignment horizontal="center" vertical="center"/>
    </xf>
    <xf numFmtId="177" fontId="25" fillId="0" borderId="22" xfId="0" applyNumberFormat="1" applyFont="1" applyFill="1" applyBorder="1" applyAlignment="1">
      <alignment horizontal="center" vertical="center"/>
    </xf>
    <xf numFmtId="177" fontId="16" fillId="0" borderId="22" xfId="0" applyNumberFormat="1" applyFont="1" applyFill="1" applyBorder="1" applyAlignment="1">
      <alignment horizontal="center" vertical="center"/>
    </xf>
    <xf numFmtId="177" fontId="28" fillId="0" borderId="22" xfId="0" applyNumberFormat="1" applyFont="1" applyFill="1" applyBorder="1" applyAlignment="1">
      <alignment horizontal="center" vertical="center"/>
    </xf>
    <xf numFmtId="177" fontId="20" fillId="0" borderId="22" xfId="0" applyNumberFormat="1" applyFont="1" applyFill="1" applyBorder="1" applyAlignment="1">
      <alignment horizontal="center" vertical="center" shrinkToFit="1"/>
    </xf>
    <xf numFmtId="177" fontId="26" fillId="0" borderId="22" xfId="0" applyNumberFormat="1" applyFont="1" applyFill="1" applyBorder="1" applyAlignment="1">
      <alignment horizontal="center" vertical="center" shrinkToFit="1"/>
    </xf>
    <xf numFmtId="177" fontId="21" fillId="0" borderId="22" xfId="0" applyNumberFormat="1" applyFont="1" applyFill="1" applyBorder="1" applyAlignment="1">
      <alignment horizontal="center" vertical="center"/>
    </xf>
    <xf numFmtId="183" fontId="0" fillId="0" borderId="23" xfId="0" applyNumberFormat="1" applyFont="1" applyBorder="1" applyAlignment="1">
      <alignment horizontal="center" vertical="center"/>
    </xf>
    <xf numFmtId="183" fontId="0" fillId="0" borderId="29" xfId="0" applyNumberFormat="1" applyFont="1" applyBorder="1" applyAlignment="1">
      <alignment horizontal="center" vertical="center"/>
    </xf>
    <xf numFmtId="183" fontId="0" fillId="0" borderId="30" xfId="0" applyNumberFormat="1" applyFont="1" applyBorder="1" applyAlignment="1">
      <alignment horizontal="center" vertical="center"/>
    </xf>
    <xf numFmtId="0" fontId="31" fillId="4" borderId="22" xfId="0" applyFont="1" applyFill="1" applyBorder="1" applyAlignment="1">
      <alignment horizontal="center" vertical="center"/>
    </xf>
    <xf numFmtId="183" fontId="0" fillId="4" borderId="22" xfId="0" applyNumberFormat="1" applyFill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0" fontId="31" fillId="0" borderId="23" xfId="0" applyFont="1" applyBorder="1" applyAlignment="1">
      <alignment horizontal="center" vertical="center"/>
    </xf>
    <xf numFmtId="0" fontId="31" fillId="0" borderId="29" xfId="0" applyFont="1" applyBorder="1" applyAlignment="1">
      <alignment horizontal="center" vertical="center"/>
    </xf>
    <xf numFmtId="0" fontId="31" fillId="0" borderId="30" xfId="0" applyFont="1" applyBorder="1" applyAlignment="1">
      <alignment horizontal="center" vertical="center"/>
    </xf>
    <xf numFmtId="0" fontId="22" fillId="0" borderId="22" xfId="0" applyFont="1" applyBorder="1" applyAlignment="1">
      <alignment horizontal="center" vertical="center" wrapText="1"/>
    </xf>
    <xf numFmtId="0" fontId="0" fillId="0" borderId="22" xfId="0" applyFon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0" fontId="32" fillId="13" borderId="0" xfId="0" applyFont="1" applyFill="1" applyAlignment="1">
      <alignment horizontal="left" vertical="center"/>
    </xf>
    <xf numFmtId="0" fontId="33" fillId="13" borderId="0" xfId="0" applyFont="1" applyFill="1" applyAlignment="1">
      <alignment horizontal="left" vertical="center"/>
    </xf>
    <xf numFmtId="0" fontId="33" fillId="13" borderId="0" xfId="0" applyFont="1" applyFill="1" applyBorder="1" applyAlignment="1">
      <alignment horizontal="left" vertical="center"/>
    </xf>
    <xf numFmtId="0" fontId="33" fillId="13" borderId="26" xfId="0" applyFont="1" applyFill="1" applyBorder="1" applyAlignment="1">
      <alignment horizontal="left" vertical="center"/>
    </xf>
    <xf numFmtId="1" fontId="31" fillId="0" borderId="22" xfId="0" applyNumberFormat="1" applyFont="1" applyFill="1" applyBorder="1" applyAlignment="1">
      <alignment horizontal="center" vertical="center"/>
    </xf>
    <xf numFmtId="183" fontId="0" fillId="0" borderId="31" xfId="0" applyNumberFormat="1" applyBorder="1" applyAlignment="1">
      <alignment horizontal="center" vertical="center"/>
    </xf>
    <xf numFmtId="183" fontId="0" fillId="0" borderId="33" xfId="0" applyNumberFormat="1" applyBorder="1" applyAlignment="1">
      <alignment horizontal="center" vertical="center"/>
    </xf>
    <xf numFmtId="183" fontId="0" fillId="0" borderId="31" xfId="0" applyNumberFormat="1" applyFont="1" applyFill="1" applyBorder="1" applyAlignment="1">
      <alignment horizontal="center" vertical="center"/>
    </xf>
    <xf numFmtId="183" fontId="0" fillId="0" borderId="33" xfId="0" applyNumberFormat="1" applyFont="1" applyFill="1" applyBorder="1" applyAlignment="1">
      <alignment horizontal="center" vertical="center"/>
    </xf>
    <xf numFmtId="183" fontId="0" fillId="0" borderId="35" xfId="0" applyNumberFormat="1" applyFont="1" applyFill="1" applyBorder="1" applyAlignment="1">
      <alignment horizontal="center" vertical="center"/>
    </xf>
    <xf numFmtId="0" fontId="31" fillId="0" borderId="27" xfId="0" applyFont="1" applyBorder="1" applyAlignment="1">
      <alignment horizontal="center" vertical="center"/>
    </xf>
    <xf numFmtId="0" fontId="31" fillId="0" borderId="28" xfId="0" applyFont="1" applyBorder="1" applyAlignment="1">
      <alignment horizontal="center" vertical="center"/>
    </xf>
    <xf numFmtId="0" fontId="31" fillId="0" borderId="25" xfId="0" applyFont="1" applyBorder="1" applyAlignment="1">
      <alignment horizontal="center" vertical="center"/>
    </xf>
    <xf numFmtId="0" fontId="31" fillId="4" borderId="27" xfId="0" applyFont="1" applyFill="1" applyBorder="1" applyAlignment="1">
      <alignment horizontal="center" vertical="center"/>
    </xf>
    <xf numFmtId="0" fontId="31" fillId="4" borderId="28" xfId="0" applyFont="1" applyFill="1" applyBorder="1" applyAlignment="1">
      <alignment horizontal="center" vertical="center"/>
    </xf>
    <xf numFmtId="0" fontId="31" fillId="4" borderId="25" xfId="0" applyFont="1" applyFill="1" applyBorder="1" applyAlignment="1">
      <alignment horizontal="center" vertical="center"/>
    </xf>
    <xf numFmtId="179" fontId="31" fillId="0" borderId="27" xfId="0" applyNumberFormat="1" applyFont="1" applyBorder="1" applyAlignment="1">
      <alignment horizontal="center" vertical="center"/>
    </xf>
    <xf numFmtId="179" fontId="31" fillId="0" borderId="28" xfId="0" applyNumberFormat="1" applyFont="1" applyBorder="1" applyAlignment="1">
      <alignment horizontal="center" vertical="center"/>
    </xf>
    <xf numFmtId="179" fontId="31" fillId="0" borderId="25" xfId="0" applyNumberFormat="1" applyFont="1" applyBorder="1" applyAlignment="1">
      <alignment horizontal="center" vertical="center"/>
    </xf>
    <xf numFmtId="179" fontId="31" fillId="0" borderId="22" xfId="0" applyNumberFormat="1" applyFont="1" applyBorder="1" applyAlignment="1">
      <alignment horizontal="center" vertical="center"/>
    </xf>
    <xf numFmtId="0" fontId="32" fillId="0" borderId="0" xfId="0" applyFont="1" applyAlignment="1">
      <alignment horizontal="left" vertical="center"/>
    </xf>
    <xf numFmtId="0" fontId="33" fillId="0" borderId="0" xfId="0" applyFont="1" applyAlignment="1">
      <alignment horizontal="left" vertical="center"/>
    </xf>
    <xf numFmtId="0" fontId="33" fillId="0" borderId="0" xfId="0" applyFont="1" applyBorder="1" applyAlignment="1">
      <alignment horizontal="left" vertical="center"/>
    </xf>
    <xf numFmtId="0" fontId="33" fillId="0" borderId="26" xfId="0" applyFont="1" applyBorder="1" applyAlignment="1">
      <alignment horizontal="left" vertical="center"/>
    </xf>
    <xf numFmtId="0" fontId="31" fillId="0" borderId="31" xfId="0" applyFont="1" applyBorder="1" applyAlignment="1">
      <alignment horizontal="center" vertical="center"/>
    </xf>
    <xf numFmtId="0" fontId="31" fillId="0" borderId="33" xfId="0" applyFont="1" applyBorder="1" applyAlignment="1">
      <alignment horizontal="center" vertical="center"/>
    </xf>
    <xf numFmtId="0" fontId="31" fillId="0" borderId="35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32" fillId="0" borderId="26" xfId="0" applyFont="1" applyBorder="1" applyAlignment="1">
      <alignment horizontal="left" vertical="center"/>
    </xf>
    <xf numFmtId="0" fontId="31" fillId="0" borderId="23" xfId="0" applyFont="1" applyFill="1" applyBorder="1" applyAlignment="1">
      <alignment horizontal="center" vertical="center"/>
    </xf>
    <xf numFmtId="0" fontId="31" fillId="0" borderId="29" xfId="0" applyFont="1" applyFill="1" applyBorder="1" applyAlignment="1">
      <alignment horizontal="center" vertical="center"/>
    </xf>
    <xf numFmtId="0" fontId="31" fillId="0" borderId="30" xfId="0" applyFont="1" applyFill="1" applyBorder="1" applyAlignment="1">
      <alignment horizontal="center" vertical="center"/>
    </xf>
    <xf numFmtId="179" fontId="72" fillId="5" borderId="27" xfId="0" applyNumberFormat="1" applyFont="1" applyFill="1" applyBorder="1" applyAlignment="1">
      <alignment horizontal="center" vertical="center"/>
    </xf>
    <xf numFmtId="179" fontId="72" fillId="5" borderId="28" xfId="0" applyNumberFormat="1" applyFont="1" applyFill="1" applyBorder="1" applyAlignment="1">
      <alignment horizontal="center" vertical="center"/>
    </xf>
    <xf numFmtId="179" fontId="72" fillId="5" borderId="25" xfId="0" applyNumberFormat="1" applyFont="1" applyFill="1" applyBorder="1" applyAlignment="1">
      <alignment horizontal="center" vertical="center"/>
    </xf>
    <xf numFmtId="0" fontId="32" fillId="0" borderId="37" xfId="0" applyFont="1" applyBorder="1" applyAlignment="1">
      <alignment horizontal="left" vertical="center"/>
    </xf>
    <xf numFmtId="0" fontId="33" fillId="0" borderId="37" xfId="0" applyFont="1" applyBorder="1" applyAlignment="1">
      <alignment horizontal="left" vertical="center"/>
    </xf>
    <xf numFmtId="0" fontId="0" fillId="0" borderId="23" xfId="0" applyFont="1" applyBorder="1" applyAlignment="1">
      <alignment horizontal="center" vertical="center"/>
    </xf>
    <xf numFmtId="0" fontId="0" fillId="0" borderId="29" xfId="0" applyFont="1" applyBorder="1" applyAlignment="1">
      <alignment horizontal="center" vertical="center"/>
    </xf>
    <xf numFmtId="0" fontId="0" fillId="0" borderId="30" xfId="0" applyFont="1" applyBorder="1" applyAlignment="1">
      <alignment horizontal="center" vertical="center"/>
    </xf>
    <xf numFmtId="0" fontId="31" fillId="0" borderId="32" xfId="0" applyFont="1" applyBorder="1" applyAlignment="1">
      <alignment horizontal="center" vertical="center"/>
    </xf>
    <xf numFmtId="0" fontId="31" fillId="0" borderId="34" xfId="0" applyFont="1" applyBorder="1" applyAlignment="1">
      <alignment horizontal="center" vertical="center"/>
    </xf>
    <xf numFmtId="0" fontId="31" fillId="0" borderId="36" xfId="0" applyFont="1" applyBorder="1" applyAlignment="1">
      <alignment horizontal="center" vertical="center"/>
    </xf>
    <xf numFmtId="0" fontId="31" fillId="0" borderId="22" xfId="0" applyFont="1" applyFill="1" applyBorder="1" applyAlignment="1">
      <alignment horizontal="center" vertical="center"/>
    </xf>
    <xf numFmtId="0" fontId="31" fillId="0" borderId="31" xfId="0" applyFont="1" applyFill="1" applyBorder="1" applyAlignment="1">
      <alignment horizontal="center" vertical="center"/>
    </xf>
    <xf numFmtId="0" fontId="31" fillId="0" borderId="33" xfId="0" applyFont="1" applyFill="1" applyBorder="1" applyAlignment="1">
      <alignment horizontal="center" vertical="center"/>
    </xf>
    <xf numFmtId="0" fontId="31" fillId="0" borderId="35" xfId="0" applyFont="1" applyFill="1" applyBorder="1" applyAlignment="1">
      <alignment horizontal="center" vertical="center"/>
    </xf>
    <xf numFmtId="0" fontId="31" fillId="0" borderId="27" xfId="0" applyFont="1" applyFill="1" applyBorder="1" applyAlignment="1">
      <alignment horizontal="center" vertical="center"/>
    </xf>
    <xf numFmtId="0" fontId="31" fillId="0" borderId="28" xfId="0" applyFont="1" applyFill="1" applyBorder="1" applyAlignment="1">
      <alignment horizontal="center" vertical="center"/>
    </xf>
    <xf numFmtId="0" fontId="31" fillId="0" borderId="25" xfId="0" applyFont="1" applyFill="1" applyBorder="1" applyAlignment="1">
      <alignment horizontal="center" vertical="center"/>
    </xf>
    <xf numFmtId="183" fontId="0" fillId="0" borderId="23" xfId="0" applyNumberFormat="1" applyFont="1" applyFill="1" applyBorder="1" applyAlignment="1">
      <alignment horizontal="center" vertical="center"/>
    </xf>
    <xf numFmtId="183" fontId="0" fillId="0" borderId="29" xfId="0" applyNumberFormat="1" applyFont="1" applyFill="1" applyBorder="1" applyAlignment="1">
      <alignment horizontal="center" vertical="center"/>
    </xf>
    <xf numFmtId="183" fontId="0" fillId="0" borderId="30" xfId="0" applyNumberFormat="1" applyFont="1" applyFill="1" applyBorder="1" applyAlignment="1">
      <alignment horizontal="center" vertical="center"/>
    </xf>
    <xf numFmtId="0" fontId="22" fillId="0" borderId="22" xfId="0" applyFont="1" applyBorder="1" applyAlignment="1">
      <alignment horizontal="center" vertical="center"/>
    </xf>
    <xf numFmtId="183" fontId="0" fillId="0" borderId="31" xfId="0" applyNumberFormat="1" applyFont="1" applyBorder="1" applyAlignment="1">
      <alignment horizontal="center" vertical="center"/>
    </xf>
    <xf numFmtId="183" fontId="0" fillId="0" borderId="33" xfId="0" applyNumberFormat="1" applyFont="1" applyBorder="1" applyAlignment="1">
      <alignment horizontal="center" vertical="center"/>
    </xf>
    <xf numFmtId="183" fontId="0" fillId="0" borderId="35" xfId="0" applyNumberFormat="1" applyFont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1" fontId="0" fillId="0" borderId="33" xfId="0" applyNumberFormat="1" applyFont="1" applyFill="1" applyBorder="1" applyAlignment="1">
      <alignment horizontal="center" vertical="center"/>
    </xf>
    <xf numFmtId="1" fontId="0" fillId="0" borderId="35" xfId="0" applyNumberFormat="1" applyFont="1" applyFill="1" applyBorder="1" applyAlignment="1">
      <alignment horizontal="center" vertical="center"/>
    </xf>
    <xf numFmtId="1" fontId="31" fillId="0" borderId="31" xfId="0" applyNumberFormat="1" applyFont="1" applyFill="1" applyBorder="1" applyAlignment="1">
      <alignment horizontal="center" vertical="center"/>
    </xf>
    <xf numFmtId="1" fontId="31" fillId="0" borderId="33" xfId="0" applyNumberFormat="1" applyFont="1" applyFill="1" applyBorder="1" applyAlignment="1">
      <alignment horizontal="center" vertical="center"/>
    </xf>
    <xf numFmtId="1" fontId="31" fillId="0" borderId="35" xfId="0" applyNumberFormat="1" applyFont="1" applyFill="1" applyBorder="1" applyAlignment="1">
      <alignment horizontal="center" vertical="center"/>
    </xf>
    <xf numFmtId="1" fontId="31" fillId="0" borderId="23" xfId="0" applyNumberFormat="1" applyFont="1" applyFill="1" applyBorder="1" applyAlignment="1">
      <alignment horizontal="center" vertical="center"/>
    </xf>
    <xf numFmtId="1" fontId="31" fillId="0" borderId="29" xfId="0" applyNumberFormat="1" applyFont="1" applyFill="1" applyBorder="1" applyAlignment="1">
      <alignment horizontal="center" vertical="center"/>
    </xf>
    <xf numFmtId="1" fontId="31" fillId="0" borderId="30" xfId="0" applyNumberFormat="1" applyFont="1" applyFill="1" applyBorder="1" applyAlignment="1">
      <alignment horizontal="center" vertical="center"/>
    </xf>
    <xf numFmtId="183" fontId="0" fillId="0" borderId="35" xfId="0" applyNumberFormat="1" applyBorder="1" applyAlignment="1">
      <alignment horizontal="center" vertical="center"/>
    </xf>
    <xf numFmtId="0" fontId="0" fillId="0" borderId="31" xfId="0" applyFont="1" applyBorder="1" applyAlignment="1">
      <alignment horizontal="center" vertical="center"/>
    </xf>
    <xf numFmtId="0" fontId="0" fillId="0" borderId="33" xfId="0" applyFont="1" applyBorder="1" applyAlignment="1">
      <alignment horizontal="center" vertical="center"/>
    </xf>
    <xf numFmtId="0" fontId="0" fillId="0" borderId="35" xfId="0" applyFont="1" applyBorder="1" applyAlignment="1">
      <alignment horizontal="center" vertical="center"/>
    </xf>
    <xf numFmtId="179" fontId="70" fillId="5" borderId="27" xfId="0" applyNumberFormat="1" applyFont="1" applyFill="1" applyBorder="1" applyAlignment="1">
      <alignment horizontal="center" vertical="center"/>
    </xf>
    <xf numFmtId="179" fontId="70" fillId="5" borderId="28" xfId="0" applyNumberFormat="1" applyFont="1" applyFill="1" applyBorder="1" applyAlignment="1">
      <alignment horizontal="center" vertical="center"/>
    </xf>
    <xf numFmtId="179" fontId="70" fillId="5" borderId="25" xfId="0" applyNumberFormat="1" applyFont="1" applyFill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1" fontId="0" fillId="0" borderId="22" xfId="0" applyNumberFormat="1" applyFont="1" applyBorder="1" applyAlignment="1">
      <alignment horizontal="center" vertical="center"/>
    </xf>
    <xf numFmtId="1" fontId="0" fillId="0" borderId="23" xfId="0" applyNumberFormat="1" applyBorder="1" applyAlignment="1">
      <alignment horizontal="center" vertical="center"/>
    </xf>
    <xf numFmtId="1" fontId="0" fillId="0" borderId="29" xfId="0" applyNumberFormat="1" applyBorder="1" applyAlignment="1">
      <alignment horizontal="center" vertical="center"/>
    </xf>
    <xf numFmtId="1" fontId="0" fillId="0" borderId="30" xfId="0" applyNumberForma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24" fillId="0" borderId="22" xfId="0" applyFont="1" applyBorder="1" applyAlignment="1">
      <alignment horizontal="center" vertical="center" shrinkToFit="1"/>
    </xf>
    <xf numFmtId="0" fontId="44" fillId="2" borderId="22" xfId="0" applyFont="1" applyFill="1" applyBorder="1" applyAlignment="1">
      <alignment horizontal="center" vertical="center" shrinkToFit="1"/>
    </xf>
    <xf numFmtId="0" fontId="55" fillId="0" borderId="22" xfId="0" applyFont="1" applyBorder="1" applyAlignment="1">
      <alignment horizontal="center" vertical="center" shrinkToFit="1"/>
    </xf>
    <xf numFmtId="0" fontId="53" fillId="0" borderId="0" xfId="0" applyFont="1" applyBorder="1" applyAlignment="1">
      <alignment horizontal="left" vertical="center" shrinkToFit="1"/>
    </xf>
    <xf numFmtId="0" fontId="54" fillId="0" borderId="0" xfId="0" applyFont="1" applyBorder="1" applyAlignment="1">
      <alignment horizontal="left" vertical="center" shrinkToFit="1"/>
    </xf>
    <xf numFmtId="0" fontId="20" fillId="0" borderId="22" xfId="0" applyFont="1" applyBorder="1" applyAlignment="1">
      <alignment horizontal="center" vertical="center" shrinkToFit="1"/>
    </xf>
    <xf numFmtId="0" fontId="80" fillId="0" borderId="22" xfId="0" applyFont="1" applyBorder="1" applyAlignment="1">
      <alignment horizontal="center" shrinkToFit="1"/>
    </xf>
    <xf numFmtId="0" fontId="20" fillId="0" borderId="31" xfId="0" applyFont="1" applyBorder="1" applyAlignment="1">
      <alignment horizontal="center" vertical="center" wrapText="1" shrinkToFit="1"/>
    </xf>
    <xf numFmtId="0" fontId="20" fillId="0" borderId="32" xfId="0" applyFont="1" applyBorder="1" applyAlignment="1">
      <alignment horizontal="center" vertical="center" wrapText="1" shrinkToFit="1"/>
    </xf>
    <xf numFmtId="0" fontId="20" fillId="0" borderId="33" xfId="0" applyFont="1" applyBorder="1" applyAlignment="1">
      <alignment horizontal="center" vertical="center" wrapText="1" shrinkToFit="1"/>
    </xf>
    <xf numFmtId="0" fontId="20" fillId="0" borderId="34" xfId="0" applyFont="1" applyBorder="1" applyAlignment="1">
      <alignment horizontal="center" vertical="center" wrapText="1" shrinkToFit="1"/>
    </xf>
    <xf numFmtId="0" fontId="20" fillId="0" borderId="35" xfId="0" applyFont="1" applyBorder="1" applyAlignment="1">
      <alignment horizontal="center" vertical="center" wrapText="1" shrinkToFit="1"/>
    </xf>
    <xf numFmtId="0" fontId="20" fillId="0" borderId="36" xfId="0" applyFont="1" applyBorder="1" applyAlignment="1">
      <alignment horizontal="center" vertical="center" wrapText="1" shrinkToFit="1"/>
    </xf>
    <xf numFmtId="0" fontId="44" fillId="0" borderId="22" xfId="0" applyFont="1" applyBorder="1" applyAlignment="1">
      <alignment shrinkToFit="1"/>
    </xf>
    <xf numFmtId="0" fontId="55" fillId="0" borderId="22" xfId="0" applyFont="1" applyBorder="1" applyAlignment="1">
      <alignment shrinkToFit="1"/>
    </xf>
    <xf numFmtId="0" fontId="44" fillId="2" borderId="22" xfId="0" applyFont="1" applyFill="1" applyBorder="1" applyAlignment="1">
      <alignment horizontal="center" shrinkToFit="1"/>
    </xf>
    <xf numFmtId="0" fontId="55" fillId="0" borderId="22" xfId="0" applyFont="1" applyBorder="1" applyAlignment="1">
      <alignment horizontal="center" shrinkToFit="1"/>
    </xf>
    <xf numFmtId="0" fontId="52" fillId="0" borderId="22" xfId="0" applyFont="1" applyBorder="1" applyAlignment="1">
      <alignment shrinkToFit="1"/>
    </xf>
    <xf numFmtId="0" fontId="26" fillId="0" borderId="22" xfId="0" applyFont="1" applyBorder="1" applyAlignment="1">
      <alignment horizontal="center" shrinkToFit="1"/>
    </xf>
    <xf numFmtId="0" fontId="20" fillId="0" borderId="22" xfId="0" applyFont="1" applyBorder="1" applyAlignment="1">
      <alignment horizontal="center" shrinkToFit="1"/>
    </xf>
    <xf numFmtId="0" fontId="26" fillId="0" borderId="22" xfId="0" applyFont="1" applyBorder="1" applyAlignment="1">
      <alignment shrinkToFit="1"/>
    </xf>
    <xf numFmtId="0" fontId="20" fillId="0" borderId="22" xfId="0" applyFont="1" applyBorder="1" applyAlignment="1">
      <alignment shrinkToFit="1"/>
    </xf>
    <xf numFmtId="0" fontId="52" fillId="0" borderId="31" xfId="0" applyFont="1" applyBorder="1" applyAlignment="1">
      <alignment horizontal="center" vertical="center" shrinkToFit="1"/>
    </xf>
    <xf numFmtId="0" fontId="44" fillId="0" borderId="32" xfId="0" applyFont="1" applyBorder="1" applyAlignment="1">
      <alignment horizontal="center" vertical="center" shrinkToFit="1"/>
    </xf>
    <xf numFmtId="0" fontId="44" fillId="0" borderId="35" xfId="0" applyFont="1" applyBorder="1" applyAlignment="1">
      <alignment horizontal="center" vertical="center" shrinkToFit="1"/>
    </xf>
    <xf numFmtId="0" fontId="44" fillId="0" borderId="36" xfId="0" applyFont="1" applyBorder="1" applyAlignment="1">
      <alignment horizontal="center" vertical="center" shrinkToFit="1"/>
    </xf>
    <xf numFmtId="0" fontId="52" fillId="0" borderId="22" xfId="0" applyFont="1" applyBorder="1" applyAlignment="1">
      <alignment horizontal="center" vertical="center" shrinkToFit="1"/>
    </xf>
    <xf numFmtId="0" fontId="44" fillId="0" borderId="22" xfId="0" applyFont="1" applyBorder="1" applyAlignment="1">
      <alignment horizontal="center" vertical="center" shrinkToFit="1"/>
    </xf>
    <xf numFmtId="0" fontId="52" fillId="0" borderId="32" xfId="0" applyFont="1" applyBorder="1" applyAlignment="1">
      <alignment horizontal="center" vertical="center" shrinkToFit="1"/>
    </xf>
    <xf numFmtId="0" fontId="52" fillId="0" borderId="35" xfId="0" applyFont="1" applyBorder="1" applyAlignment="1">
      <alignment horizontal="center" vertical="center" shrinkToFit="1"/>
    </xf>
    <xf numFmtId="0" fontId="52" fillId="0" borderId="36" xfId="0" applyFont="1" applyBorder="1" applyAlignment="1">
      <alignment horizontal="center" vertical="center" shrinkToFit="1"/>
    </xf>
    <xf numFmtId="0" fontId="24" fillId="0" borderId="23" xfId="0" applyFont="1" applyBorder="1" applyAlignment="1">
      <alignment horizontal="center" vertical="center" shrinkToFit="1"/>
    </xf>
    <xf numFmtId="0" fontId="24" fillId="0" borderId="29" xfId="0" applyFont="1" applyBorder="1" applyAlignment="1">
      <alignment horizontal="center" vertical="center" shrinkToFit="1"/>
    </xf>
    <xf numFmtId="0" fontId="24" fillId="0" borderId="30" xfId="0" applyFont="1" applyBorder="1" applyAlignment="1">
      <alignment horizontal="center" vertical="center" shrinkToFit="1"/>
    </xf>
    <xf numFmtId="0" fontId="44" fillId="2" borderId="23" xfId="0" applyFont="1" applyFill="1" applyBorder="1" applyAlignment="1">
      <alignment horizontal="center" vertical="center" shrinkToFit="1"/>
    </xf>
    <xf numFmtId="0" fontId="44" fillId="2" borderId="29" xfId="0" applyFont="1" applyFill="1" applyBorder="1" applyAlignment="1">
      <alignment horizontal="center" vertical="center" shrinkToFit="1"/>
    </xf>
    <xf numFmtId="0" fontId="44" fillId="2" borderId="30" xfId="0" applyFont="1" applyFill="1" applyBorder="1" applyAlignment="1">
      <alignment horizontal="center" vertical="center" shrinkToFit="1"/>
    </xf>
    <xf numFmtId="0" fontId="44" fillId="0" borderId="27" xfId="0" applyFont="1" applyBorder="1" applyAlignment="1">
      <alignment vertical="center" shrinkToFit="1"/>
    </xf>
    <xf numFmtId="0" fontId="44" fillId="0" borderId="25" xfId="0" applyFont="1" applyBorder="1" applyAlignment="1">
      <alignment vertical="center" shrinkToFit="1"/>
    </xf>
    <xf numFmtId="0" fontId="20" fillId="0" borderId="27" xfId="0" applyFont="1" applyBorder="1" applyAlignment="1">
      <alignment vertical="center" shrinkToFit="1"/>
    </xf>
    <xf numFmtId="0" fontId="26" fillId="0" borderId="25" xfId="0" applyFont="1" applyBorder="1" applyAlignment="1">
      <alignment vertical="center" shrinkToFit="1"/>
    </xf>
    <xf numFmtId="0" fontId="26" fillId="0" borderId="27" xfId="0" applyFont="1" applyBorder="1" applyAlignment="1">
      <alignment vertical="center" shrinkToFit="1"/>
    </xf>
    <xf numFmtId="0" fontId="52" fillId="0" borderId="27" xfId="0" applyFont="1" applyBorder="1" applyAlignment="1">
      <alignment horizontal="center" vertical="center" shrinkToFit="1"/>
    </xf>
    <xf numFmtId="0" fontId="44" fillId="0" borderId="25" xfId="0" applyFont="1" applyBorder="1" applyAlignment="1">
      <alignment horizontal="center" vertical="center" shrinkToFit="1"/>
    </xf>
    <xf numFmtId="0" fontId="44" fillId="2" borderId="27" xfId="0" applyFont="1" applyFill="1" applyBorder="1" applyAlignment="1">
      <alignment horizontal="center" shrinkToFit="1"/>
    </xf>
    <xf numFmtId="0" fontId="44" fillId="2" borderId="25" xfId="0" applyFont="1" applyFill="1" applyBorder="1" applyAlignment="1">
      <alignment horizontal="center" shrinkToFit="1"/>
    </xf>
    <xf numFmtId="0" fontId="44" fillId="2" borderId="28" xfId="0" applyFont="1" applyFill="1" applyBorder="1" applyAlignment="1">
      <alignment horizontal="center" shrinkToFit="1"/>
    </xf>
    <xf numFmtId="0" fontId="26" fillId="0" borderId="27" xfId="0" applyFont="1" applyBorder="1" applyAlignment="1">
      <alignment horizontal="center" vertical="center" shrinkToFit="1"/>
    </xf>
    <xf numFmtId="0" fontId="26" fillId="0" borderId="25" xfId="0" applyFont="1" applyBorder="1" applyAlignment="1">
      <alignment horizontal="center" vertical="center" shrinkToFit="1"/>
    </xf>
    <xf numFmtId="0" fontId="44" fillId="2" borderId="27" xfId="0" applyFont="1" applyFill="1" applyBorder="1" applyAlignment="1">
      <alignment horizontal="center" vertical="center" shrinkToFit="1"/>
    </xf>
    <xf numFmtId="0" fontId="44" fillId="2" borderId="25" xfId="0" applyFont="1" applyFill="1" applyBorder="1" applyAlignment="1">
      <alignment horizontal="center" vertical="center" shrinkToFit="1"/>
    </xf>
    <xf numFmtId="0" fontId="44" fillId="2" borderId="28" xfId="0" applyFont="1" applyFill="1" applyBorder="1" applyAlignment="1">
      <alignment horizontal="center" vertical="center" shrinkToFit="1"/>
    </xf>
    <xf numFmtId="0" fontId="44" fillId="0" borderId="27" xfId="0" applyFont="1" applyBorder="1" applyAlignment="1">
      <alignment horizontal="center" vertical="center" shrinkToFit="1"/>
    </xf>
    <xf numFmtId="0" fontId="44" fillId="0" borderId="27" xfId="0" applyFont="1" applyBorder="1" applyAlignment="1">
      <alignment shrinkToFit="1"/>
    </xf>
    <xf numFmtId="0" fontId="44" fillId="0" borderId="25" xfId="0" applyFont="1" applyBorder="1" applyAlignment="1">
      <alignment shrinkToFit="1"/>
    </xf>
    <xf numFmtId="0" fontId="44" fillId="0" borderId="28" xfId="0" applyFont="1" applyBorder="1" applyAlignment="1">
      <alignment shrinkToFit="1"/>
    </xf>
    <xf numFmtId="0" fontId="26" fillId="0" borderId="27" xfId="0" applyFont="1" applyBorder="1" applyAlignment="1">
      <alignment shrinkToFit="1"/>
    </xf>
    <xf numFmtId="0" fontId="26" fillId="0" borderId="25" xfId="0" applyFont="1" applyBorder="1" applyAlignment="1">
      <alignment shrinkToFit="1"/>
    </xf>
    <xf numFmtId="0" fontId="26" fillId="0" borderId="28" xfId="0" applyFont="1" applyBorder="1" applyAlignment="1">
      <alignment shrinkToFit="1"/>
    </xf>
    <xf numFmtId="0" fontId="20" fillId="0" borderId="22" xfId="0" applyFont="1" applyBorder="1" applyAlignment="1">
      <alignment horizontal="center" vertical="center" wrapText="1" shrinkToFit="1"/>
    </xf>
    <xf numFmtId="0" fontId="41" fillId="0" borderId="0" xfId="11" applyFont="1" applyBorder="1" applyAlignment="1">
      <alignment horizontal="center" vertical="center" shrinkToFit="1"/>
    </xf>
    <xf numFmtId="0" fontId="53" fillId="0" borderId="0" xfId="11" applyFont="1" applyBorder="1" applyAlignment="1">
      <alignment horizontal="left" vertical="center" shrinkToFit="1"/>
    </xf>
    <xf numFmtId="0" fontId="45" fillId="0" borderId="22" xfId="11" applyFont="1" applyFill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0" fontId="26" fillId="0" borderId="37" xfId="11" applyFont="1" applyFill="1" applyBorder="1" applyAlignment="1">
      <alignment horizontal="center" vertical="center" shrinkToFit="1"/>
    </xf>
    <xf numFmtId="0" fontId="26" fillId="0" borderId="0" xfId="11" applyFont="1" applyFill="1" applyBorder="1" applyAlignment="1">
      <alignment horizontal="center" vertical="center" shrinkToFit="1"/>
    </xf>
    <xf numFmtId="0" fontId="24" fillId="0" borderId="22" xfId="11" applyFont="1" applyFill="1" applyBorder="1" applyAlignment="1">
      <alignment horizontal="center" vertical="center" shrinkToFit="1"/>
    </xf>
    <xf numFmtId="0" fontId="24" fillId="0" borderId="22" xfId="11" applyFont="1" applyBorder="1" applyAlignment="1">
      <alignment horizontal="center" shrinkToFit="1"/>
    </xf>
    <xf numFmtId="0" fontId="60" fillId="0" borderId="22" xfId="11" applyFont="1" applyFill="1" applyBorder="1" applyAlignment="1">
      <alignment horizontal="center" vertical="center" shrinkToFit="1"/>
    </xf>
    <xf numFmtId="0" fontId="28" fillId="0" borderId="22" xfId="11" applyFont="1" applyBorder="1" applyAlignment="1">
      <alignment horizontal="center" vertical="center" shrinkToFit="1"/>
    </xf>
    <xf numFmtId="0" fontId="24" fillId="0" borderId="27" xfId="11" applyFont="1" applyFill="1" applyBorder="1" applyAlignment="1">
      <alignment horizontal="center" vertical="center" shrinkToFit="1"/>
    </xf>
    <xf numFmtId="0" fontId="24" fillId="0" borderId="25" xfId="11" applyFont="1" applyFill="1" applyBorder="1" applyAlignment="1">
      <alignment horizontal="center" vertical="center" shrinkToFit="1"/>
    </xf>
    <xf numFmtId="0" fontId="24" fillId="0" borderId="27" xfId="11" applyFont="1" applyBorder="1" applyAlignment="1">
      <alignment horizontal="center" shrinkToFit="1"/>
    </xf>
    <xf numFmtId="0" fontId="24" fillId="0" borderId="58" xfId="11" applyFont="1" applyBorder="1" applyAlignment="1">
      <alignment horizontal="center" shrinkToFit="1"/>
    </xf>
    <xf numFmtId="0" fontId="60" fillId="0" borderId="27" xfId="11" applyFont="1" applyFill="1" applyBorder="1" applyAlignment="1">
      <alignment horizontal="center" vertical="center" shrinkToFit="1"/>
    </xf>
    <xf numFmtId="0" fontId="60" fillId="0" borderId="25" xfId="11" applyFont="1" applyFill="1" applyBorder="1" applyAlignment="1">
      <alignment horizontal="center" vertical="center" shrinkToFit="1"/>
    </xf>
    <xf numFmtId="0" fontId="28" fillId="0" borderId="27" xfId="11" applyFont="1" applyBorder="1" applyAlignment="1">
      <alignment horizontal="center" vertical="center" shrinkToFit="1"/>
    </xf>
    <xf numFmtId="0" fontId="28" fillId="0" borderId="58" xfId="11" applyFont="1" applyBorder="1" applyAlignment="1">
      <alignment horizontal="center" vertical="center" shrinkToFit="1"/>
    </xf>
    <xf numFmtId="0" fontId="53" fillId="0" borderId="42" xfId="11" applyFont="1" applyBorder="1" applyAlignment="1">
      <alignment horizontal="left" vertical="center" shrinkToFit="1"/>
    </xf>
    <xf numFmtId="0" fontId="53" fillId="0" borderId="43" xfId="11" applyFont="1" applyBorder="1" applyAlignment="1">
      <alignment horizontal="left" vertical="center" shrinkToFit="1"/>
    </xf>
    <xf numFmtId="0" fontId="53" fillId="0" borderId="44" xfId="11" applyFont="1" applyBorder="1" applyAlignment="1">
      <alignment horizontal="left" vertical="center" shrinkToFit="1"/>
    </xf>
    <xf numFmtId="0" fontId="53" fillId="0" borderId="45" xfId="11" applyFont="1" applyBorder="1" applyAlignment="1">
      <alignment horizontal="left" vertical="center" shrinkToFit="1"/>
    </xf>
    <xf numFmtId="0" fontId="53" fillId="0" borderId="46" xfId="11" applyFont="1" applyBorder="1" applyAlignment="1">
      <alignment horizontal="left" vertical="center" shrinkToFit="1"/>
    </xf>
    <xf numFmtId="0" fontId="45" fillId="0" borderId="47" xfId="11" applyFont="1" applyFill="1" applyBorder="1" applyAlignment="1">
      <alignment horizontal="center" vertical="center"/>
    </xf>
    <xf numFmtId="0" fontId="26" fillId="0" borderId="52" xfId="11" applyFont="1" applyFill="1" applyBorder="1" applyAlignment="1">
      <alignment horizontal="center" vertical="center" shrinkToFit="1"/>
    </xf>
    <xf numFmtId="0" fontId="24" fillId="0" borderId="48" xfId="11" applyFont="1" applyFill="1" applyBorder="1" applyAlignment="1">
      <alignment horizontal="center" vertical="center" shrinkToFit="1"/>
    </xf>
    <xf numFmtId="0" fontId="60" fillId="0" borderId="48" xfId="11" applyFont="1" applyFill="1" applyBorder="1" applyAlignment="1">
      <alignment horizontal="center" vertical="center" shrinkToFit="1"/>
    </xf>
    <xf numFmtId="0" fontId="9" fillId="0" borderId="4" xfId="0" applyFont="1" applyBorder="1" applyAlignment="1">
      <alignment horizontal="center" shrinkToFit="1"/>
    </xf>
    <xf numFmtId="0" fontId="9" fillId="0" borderId="3" xfId="0" applyFont="1" applyBorder="1" applyAlignment="1">
      <alignment horizontal="center" shrinkToFit="1"/>
    </xf>
    <xf numFmtId="0" fontId="24" fillId="0" borderId="22" xfId="0" applyFont="1" applyFill="1" applyBorder="1" applyAlignment="1">
      <alignment horizontal="center" vertical="center" shrinkToFit="1"/>
    </xf>
    <xf numFmtId="0" fontId="62" fillId="0" borderId="22" xfId="0" applyFont="1" applyFill="1" applyBorder="1" applyAlignment="1">
      <alignment horizontal="center" vertical="center" shrinkToFit="1"/>
    </xf>
    <xf numFmtId="0" fontId="24" fillId="8" borderId="22" xfId="0" applyFont="1" applyFill="1" applyBorder="1" applyAlignment="1">
      <alignment horizontal="center" vertical="center" shrinkToFit="1"/>
    </xf>
    <xf numFmtId="0" fontId="26" fillId="8" borderId="22" xfId="0" applyFont="1" applyFill="1" applyBorder="1" applyAlignment="1">
      <alignment horizontal="center" vertical="center" shrinkToFit="1"/>
    </xf>
    <xf numFmtId="0" fontId="26" fillId="2" borderId="27" xfId="0" applyFont="1" applyFill="1" applyBorder="1" applyAlignment="1">
      <alignment horizontal="center" shrinkToFit="1"/>
    </xf>
    <xf numFmtId="0" fontId="26" fillId="2" borderId="28" xfId="0" applyFont="1" applyFill="1" applyBorder="1" applyAlignment="1">
      <alignment horizontal="center" shrinkToFit="1"/>
    </xf>
    <xf numFmtId="0" fontId="26" fillId="2" borderId="25" xfId="0" applyFont="1" applyFill="1" applyBorder="1" applyAlignment="1">
      <alignment horizontal="center" shrinkToFit="1"/>
    </xf>
    <xf numFmtId="0" fontId="5" fillId="0" borderId="56" xfId="0" applyFont="1" applyBorder="1" applyAlignment="1">
      <alignment shrinkToFit="1"/>
    </xf>
    <xf numFmtId="0" fontId="5" fillId="0" borderId="59" xfId="0" applyFont="1" applyBorder="1" applyAlignment="1">
      <alignment shrinkToFit="1"/>
    </xf>
    <xf numFmtId="0" fontId="5" fillId="0" borderId="57" xfId="0" applyFont="1" applyBorder="1" applyAlignment="1">
      <alignment shrinkToFit="1"/>
    </xf>
    <xf numFmtId="0" fontId="5" fillId="0" borderId="2" xfId="0" applyFont="1" applyBorder="1" applyAlignment="1">
      <alignment shrinkToFit="1"/>
    </xf>
    <xf numFmtId="0" fontId="5" fillId="0" borderId="3" xfId="0" applyFont="1" applyBorder="1" applyAlignment="1">
      <alignment shrinkToFit="1"/>
    </xf>
    <xf numFmtId="0" fontId="44" fillId="2" borderId="4" xfId="0" applyFont="1" applyFill="1" applyBorder="1" applyAlignment="1">
      <alignment horizontal="center" vertical="center" shrinkToFit="1"/>
    </xf>
    <xf numFmtId="0" fontId="44" fillId="2" borderId="3" xfId="0" applyFont="1" applyFill="1" applyBorder="1" applyAlignment="1">
      <alignment horizontal="center" vertical="center" shrinkToFit="1"/>
    </xf>
    <xf numFmtId="0" fontId="9" fillId="0" borderId="56" xfId="0" applyFont="1" applyBorder="1" applyAlignment="1">
      <alignment horizontal="center" shrinkToFit="1"/>
    </xf>
    <xf numFmtId="0" fontId="9" fillId="0" borderId="57" xfId="0" applyFont="1" applyBorder="1" applyAlignment="1">
      <alignment horizontal="center" shrinkToFit="1"/>
    </xf>
    <xf numFmtId="0" fontId="24" fillId="0" borderId="27" xfId="0" applyFont="1" applyBorder="1" applyAlignment="1">
      <alignment horizontal="center" vertical="center" shrinkToFit="1"/>
    </xf>
    <xf numFmtId="0" fontId="24" fillId="0" borderId="25" xfId="0" applyFont="1" applyBorder="1" applyAlignment="1">
      <alignment horizontal="center" vertical="center" shrinkToFit="1"/>
    </xf>
    <xf numFmtId="0" fontId="24" fillId="0" borderId="23" xfId="0" applyFont="1" applyBorder="1" applyAlignment="1">
      <alignment horizontal="center" vertical="center" wrapText="1" shrinkToFit="1"/>
    </xf>
    <xf numFmtId="0" fontId="24" fillId="0" borderId="29" xfId="0" applyFont="1" applyBorder="1" applyAlignment="1">
      <alignment horizontal="center" vertical="center" wrapText="1" shrinkToFit="1"/>
    </xf>
    <xf numFmtId="0" fontId="24" fillId="0" borderId="30" xfId="0" applyFont="1" applyBorder="1" applyAlignment="1">
      <alignment horizontal="center" vertical="center" wrapText="1" shrinkToFit="1"/>
    </xf>
    <xf numFmtId="0" fontId="26" fillId="2" borderId="4" xfId="0" applyFont="1" applyFill="1" applyBorder="1" applyAlignment="1">
      <alignment horizontal="center" vertical="center" shrinkToFit="1"/>
    </xf>
    <xf numFmtId="0" fontId="26" fillId="2" borderId="2" xfId="0" applyFont="1" applyFill="1" applyBorder="1" applyAlignment="1">
      <alignment horizontal="center" vertical="center" shrinkToFit="1"/>
    </xf>
    <xf numFmtId="0" fontId="26" fillId="2" borderId="3" xfId="0" applyFont="1" applyFill="1" applyBorder="1" applyAlignment="1">
      <alignment horizontal="center" vertical="center" shrinkToFit="1"/>
    </xf>
    <xf numFmtId="0" fontId="26" fillId="2" borderId="27" xfId="0" applyFont="1" applyFill="1" applyBorder="1" applyAlignment="1">
      <alignment horizontal="center" vertical="center" shrinkToFit="1"/>
    </xf>
    <xf numFmtId="0" fontId="26" fillId="2" borderId="28" xfId="0" applyFont="1" applyFill="1" applyBorder="1" applyAlignment="1">
      <alignment horizontal="center" vertical="center" shrinkToFit="1"/>
    </xf>
    <xf numFmtId="0" fontId="26" fillId="2" borderId="25" xfId="0" applyFont="1" applyFill="1" applyBorder="1" applyAlignment="1">
      <alignment horizontal="center" vertical="center" shrinkToFit="1"/>
    </xf>
    <xf numFmtId="0" fontId="26" fillId="2" borderId="35" xfId="0" applyFont="1" applyFill="1" applyBorder="1" applyAlignment="1">
      <alignment horizontal="center" vertical="center" shrinkToFit="1"/>
    </xf>
    <xf numFmtId="0" fontId="26" fillId="2" borderId="26" xfId="0" applyFont="1" applyFill="1" applyBorder="1" applyAlignment="1">
      <alignment horizontal="center" vertical="center" shrinkToFit="1"/>
    </xf>
    <xf numFmtId="0" fontId="26" fillId="2" borderId="36" xfId="0" applyFont="1" applyFill="1" applyBorder="1" applyAlignment="1">
      <alignment horizontal="center" vertical="center" shrinkToFit="1"/>
    </xf>
    <xf numFmtId="0" fontId="5" fillId="0" borderId="3" xfId="0" applyFont="1" applyBorder="1" applyAlignment="1">
      <alignment horizontal="center" shrinkToFit="1"/>
    </xf>
    <xf numFmtId="0" fontId="31" fillId="0" borderId="22" xfId="0" applyFont="1" applyBorder="1" applyAlignment="1">
      <alignment horizontal="center" vertical="center" shrinkToFit="1"/>
    </xf>
    <xf numFmtId="0" fontId="0" fillId="0" borderId="22" xfId="0" applyFont="1" applyBorder="1" applyAlignment="1">
      <alignment horizontal="center" vertical="center" shrinkToFit="1"/>
    </xf>
    <xf numFmtId="0" fontId="5" fillId="2" borderId="4" xfId="0" applyFont="1" applyFill="1" applyBorder="1" applyAlignment="1">
      <alignment horizontal="center" vertical="center" shrinkToFit="1"/>
    </xf>
    <xf numFmtId="0" fontId="5" fillId="2" borderId="2" xfId="0" applyFont="1" applyFill="1" applyBorder="1" applyAlignment="1">
      <alignment horizontal="center" vertical="center" shrinkToFit="1"/>
    </xf>
    <xf numFmtId="0" fontId="5" fillId="2" borderId="3" xfId="0" applyFont="1" applyFill="1" applyBorder="1" applyAlignment="1">
      <alignment horizontal="center" vertical="center" shrinkToFit="1"/>
    </xf>
    <xf numFmtId="0" fontId="10" fillId="2" borderId="4" xfId="0" applyFont="1" applyFill="1" applyBorder="1" applyAlignment="1">
      <alignment horizontal="center" vertical="center" shrinkToFit="1"/>
    </xf>
    <xf numFmtId="0" fontId="10" fillId="2" borderId="3" xfId="0" applyFont="1" applyFill="1" applyBorder="1" applyAlignment="1">
      <alignment horizontal="center" vertical="center" shrinkToFit="1"/>
    </xf>
    <xf numFmtId="0" fontId="0" fillId="0" borderId="22" xfId="0" applyFont="1" applyBorder="1" applyAlignment="1">
      <alignment horizontal="center" vertical="center" wrapText="1" shrinkToFit="1"/>
    </xf>
    <xf numFmtId="0" fontId="5" fillId="2" borderId="22" xfId="0" applyFont="1" applyFill="1" applyBorder="1" applyAlignment="1">
      <alignment horizontal="center" shrinkToFit="1"/>
    </xf>
    <xf numFmtId="0" fontId="5" fillId="2" borderId="22" xfId="0" applyFont="1" applyFill="1" applyBorder="1" applyAlignment="1">
      <alignment horizontal="center" vertical="center" shrinkToFit="1"/>
    </xf>
    <xf numFmtId="0" fontId="31" fillId="0" borderId="22" xfId="0" applyFont="1" applyBorder="1" applyAlignment="1">
      <alignment horizontal="center" vertical="center" wrapText="1" shrinkToFit="1"/>
    </xf>
    <xf numFmtId="0" fontId="5" fillId="2" borderId="39" xfId="0" applyFont="1" applyFill="1" applyBorder="1" applyAlignment="1">
      <alignment horizontal="center" shrinkToFit="1"/>
    </xf>
    <xf numFmtId="0" fontId="5" fillId="2" borderId="2" xfId="0" applyFont="1" applyFill="1" applyBorder="1" applyAlignment="1">
      <alignment horizontal="center" shrinkToFit="1"/>
    </xf>
    <xf numFmtId="0" fontId="5" fillId="2" borderId="3" xfId="0" applyFont="1" applyFill="1" applyBorder="1" applyAlignment="1">
      <alignment horizontal="center" shrinkToFit="1"/>
    </xf>
    <xf numFmtId="0" fontId="5" fillId="2" borderId="0" xfId="0" applyFont="1" applyFill="1" applyBorder="1" applyAlignment="1">
      <alignment horizontal="center" vertical="center" shrinkToFit="1"/>
    </xf>
    <xf numFmtId="0" fontId="5" fillId="2" borderId="40" xfId="0" applyFont="1" applyFill="1" applyBorder="1" applyAlignment="1">
      <alignment horizontal="center" vertical="center" shrinkToFit="1"/>
    </xf>
    <xf numFmtId="0" fontId="24" fillId="8" borderId="22" xfId="11" applyFont="1" applyFill="1" applyBorder="1" applyAlignment="1">
      <alignment horizontal="center" vertical="center" shrinkToFit="1"/>
    </xf>
    <xf numFmtId="0" fontId="26" fillId="8" borderId="22" xfId="11" applyFont="1" applyFill="1" applyBorder="1" applyAlignment="1">
      <alignment horizontal="center" vertical="center" shrinkToFit="1"/>
    </xf>
    <xf numFmtId="0" fontId="62" fillId="0" borderId="22" xfId="11" applyFont="1" applyFill="1" applyBorder="1" applyAlignment="1">
      <alignment horizontal="center" vertical="center" shrinkToFit="1"/>
    </xf>
    <xf numFmtId="0" fontId="62" fillId="8" borderId="22" xfId="11" applyFont="1" applyFill="1" applyBorder="1" applyAlignment="1">
      <alignment horizontal="center" vertical="center" shrinkToFit="1"/>
    </xf>
    <xf numFmtId="0" fontId="26" fillId="2" borderId="22" xfId="0" applyFont="1" applyFill="1" applyBorder="1" applyAlignment="1">
      <alignment horizontal="center" vertical="center" shrinkToFit="1"/>
    </xf>
    <xf numFmtId="0" fontId="53" fillId="0" borderId="26" xfId="0" applyFont="1" applyBorder="1" applyAlignment="1">
      <alignment horizontal="left" vertical="center" shrinkToFit="1"/>
    </xf>
    <xf numFmtId="0" fontId="26" fillId="2" borderId="23" xfId="0" applyFont="1" applyFill="1" applyBorder="1" applyAlignment="1">
      <alignment horizontal="center" vertical="center" shrinkToFit="1"/>
    </xf>
    <xf numFmtId="0" fontId="26" fillId="2" borderId="33" xfId="0" applyFont="1" applyFill="1" applyBorder="1" applyAlignment="1">
      <alignment horizontal="center" vertical="center" shrinkToFit="1"/>
    </xf>
    <xf numFmtId="0" fontId="26" fillId="2" borderId="0" xfId="0" applyFont="1" applyFill="1" applyBorder="1" applyAlignment="1">
      <alignment horizontal="center" vertical="center" shrinkToFit="1"/>
    </xf>
    <xf numFmtId="0" fontId="26" fillId="0" borderId="0" xfId="0" applyFont="1" applyFill="1" applyBorder="1" applyAlignment="1">
      <alignment horizontal="center" shrinkToFit="1"/>
    </xf>
    <xf numFmtId="0" fontId="26" fillId="0" borderId="38" xfId="0" applyFont="1" applyFill="1" applyBorder="1" applyAlignment="1">
      <alignment horizontal="center" shrinkToFit="1"/>
    </xf>
    <xf numFmtId="0" fontId="26" fillId="2" borderId="29" xfId="0" applyFont="1" applyFill="1" applyBorder="1" applyAlignment="1">
      <alignment horizontal="center" vertical="center" shrinkToFit="1"/>
    </xf>
    <xf numFmtId="0" fontId="38" fillId="0" borderId="26" xfId="11" applyFont="1" applyBorder="1" applyAlignment="1">
      <alignment horizontal="center" vertical="center"/>
    </xf>
    <xf numFmtId="0" fontId="30" fillId="0" borderId="26" xfId="11" applyFont="1" applyBorder="1" applyAlignment="1">
      <alignment horizontal="center" vertical="center"/>
    </xf>
    <xf numFmtId="0" fontId="71" fillId="5" borderId="31" xfId="11" applyFont="1" applyFill="1" applyBorder="1" applyAlignment="1">
      <alignment horizontal="center" vertical="center"/>
    </xf>
    <xf numFmtId="0" fontId="27" fillId="5" borderId="32" xfId="11" applyFont="1" applyFill="1" applyBorder="1" applyAlignment="1">
      <alignment horizontal="center" vertical="center"/>
    </xf>
    <xf numFmtId="0" fontId="27" fillId="5" borderId="33" xfId="11" applyFont="1" applyFill="1" applyBorder="1" applyAlignment="1">
      <alignment horizontal="center" vertical="center"/>
    </xf>
    <xf numFmtId="0" fontId="27" fillId="5" borderId="34" xfId="11" applyFont="1" applyFill="1" applyBorder="1" applyAlignment="1">
      <alignment horizontal="center" vertical="center"/>
    </xf>
    <xf numFmtId="0" fontId="27" fillId="5" borderId="35" xfId="11" applyFont="1" applyFill="1" applyBorder="1" applyAlignment="1">
      <alignment horizontal="center" vertical="center"/>
    </xf>
    <xf numFmtId="0" fontId="27" fillId="5" borderId="36" xfId="11" applyFont="1" applyFill="1" applyBorder="1" applyAlignment="1">
      <alignment horizontal="center" vertical="center"/>
    </xf>
    <xf numFmtId="0" fontId="34" fillId="5" borderId="22" xfId="5" applyFont="1" applyFill="1" applyBorder="1" applyAlignment="1">
      <alignment horizontal="center" vertical="center"/>
    </xf>
    <xf numFmtId="0" fontId="34" fillId="5" borderId="31" xfId="5" applyFont="1" applyFill="1" applyBorder="1" applyAlignment="1">
      <alignment horizontal="center" vertical="center"/>
    </xf>
    <xf numFmtId="0" fontId="34" fillId="5" borderId="33" xfId="5" applyFont="1" applyFill="1" applyBorder="1" applyAlignment="1">
      <alignment horizontal="center" vertical="center"/>
    </xf>
    <xf numFmtId="0" fontId="34" fillId="5" borderId="35" xfId="5" applyFont="1" applyFill="1" applyBorder="1" applyAlignment="1">
      <alignment horizontal="center" vertical="center"/>
    </xf>
    <xf numFmtId="0" fontId="83" fillId="5" borderId="23" xfId="5" applyFont="1" applyFill="1" applyBorder="1" applyAlignment="1">
      <alignment horizontal="center" vertical="center"/>
    </xf>
    <xf numFmtId="0" fontId="83" fillId="5" borderId="29" xfId="5" applyFont="1" applyFill="1" applyBorder="1" applyAlignment="1">
      <alignment horizontal="center" vertical="center"/>
    </xf>
    <xf numFmtId="0" fontId="83" fillId="5" borderId="30" xfId="5" applyFont="1" applyFill="1" applyBorder="1" applyAlignment="1">
      <alignment horizontal="center" vertical="center"/>
    </xf>
    <xf numFmtId="0" fontId="34" fillId="5" borderId="23" xfId="5" applyFont="1" applyFill="1" applyBorder="1" applyAlignment="1">
      <alignment horizontal="center" vertical="center"/>
    </xf>
    <xf numFmtId="0" fontId="34" fillId="5" borderId="29" xfId="5" applyFont="1" applyFill="1" applyBorder="1" applyAlignment="1">
      <alignment horizontal="center" vertical="center"/>
    </xf>
    <xf numFmtId="0" fontId="34" fillId="5" borderId="30" xfId="5" applyFont="1" applyFill="1" applyBorder="1" applyAlignment="1">
      <alignment horizontal="center" vertical="center"/>
    </xf>
    <xf numFmtId="0" fontId="34" fillId="5" borderId="22" xfId="15" applyFont="1" applyFill="1" applyBorder="1" applyAlignment="1">
      <alignment horizontal="center" vertical="center" wrapText="1"/>
    </xf>
    <xf numFmtId="0" fontId="84" fillId="0" borderId="31" xfId="11" applyFont="1" applyBorder="1" applyAlignment="1">
      <alignment horizontal="center" vertical="center"/>
    </xf>
    <xf numFmtId="0" fontId="84" fillId="0" borderId="32" xfId="11" applyFont="1" applyBorder="1" applyAlignment="1">
      <alignment horizontal="center" vertical="center"/>
    </xf>
    <xf numFmtId="0" fontId="84" fillId="0" borderId="33" xfId="11" applyFont="1" applyBorder="1" applyAlignment="1">
      <alignment horizontal="center" vertical="center"/>
    </xf>
    <xf numFmtId="0" fontId="84" fillId="0" borderId="34" xfId="11" applyFont="1" applyBorder="1" applyAlignment="1">
      <alignment horizontal="center" vertical="center"/>
    </xf>
    <xf numFmtId="0" fontId="84" fillId="0" borderId="35" xfId="11" applyFont="1" applyBorder="1" applyAlignment="1">
      <alignment horizontal="center" vertical="center"/>
    </xf>
    <xf numFmtId="0" fontId="84" fillId="0" borderId="36" xfId="11" applyFont="1" applyBorder="1" applyAlignment="1">
      <alignment horizontal="center" vertical="center"/>
    </xf>
    <xf numFmtId="0" fontId="27" fillId="0" borderId="0" xfId="11" applyFont="1" applyAlignment="1">
      <alignment horizontal="center" vertical="center"/>
    </xf>
    <xf numFmtId="0" fontId="34" fillId="5" borderId="22" xfId="15" applyFont="1" applyFill="1" applyBorder="1" applyAlignment="1">
      <alignment horizontal="center" vertical="center"/>
    </xf>
    <xf numFmtId="0" fontId="36" fillId="5" borderId="22" xfId="15" applyFont="1" applyFill="1" applyBorder="1" applyAlignment="1">
      <alignment horizontal="center"/>
    </xf>
    <xf numFmtId="0" fontId="65" fillId="5" borderId="23" xfId="5" applyFont="1" applyFill="1" applyBorder="1" applyAlignment="1">
      <alignment horizontal="center" vertical="center"/>
    </xf>
    <xf numFmtId="0" fontId="65" fillId="5" borderId="29" xfId="5" applyFont="1" applyFill="1" applyBorder="1" applyAlignment="1">
      <alignment horizontal="center" vertical="center"/>
    </xf>
    <xf numFmtId="0" fontId="65" fillId="5" borderId="30" xfId="5" applyFont="1" applyFill="1" applyBorder="1" applyAlignment="1">
      <alignment horizontal="center" vertical="center"/>
    </xf>
    <xf numFmtId="0" fontId="87" fillId="5" borderId="22" xfId="15" applyFont="1" applyFill="1" applyBorder="1" applyAlignment="1">
      <alignment horizontal="center" vertical="center"/>
    </xf>
    <xf numFmtId="0" fontId="88" fillId="15" borderId="22" xfId="15" applyFont="1" applyFill="1" applyBorder="1" applyAlignment="1">
      <alignment horizontal="center" vertical="center" wrapText="1"/>
    </xf>
    <xf numFmtId="0" fontId="91" fillId="15" borderId="22" xfId="15" applyFont="1" applyFill="1" applyBorder="1" applyAlignment="1">
      <alignment horizontal="center" vertical="center"/>
    </xf>
    <xf numFmtId="0" fontId="35" fillId="5" borderId="22" xfId="5" applyFont="1" applyFill="1" applyBorder="1" applyAlignment="1">
      <alignment horizontal="center"/>
    </xf>
  </cellXfs>
  <cellStyles count="577">
    <cellStyle name="??_x000c_鞜_x0007__x000d_槉U_x0001_??_x0007__x0001__x0001_" xfId="25"/>
    <cellStyle name="_98-春節暫停營業明細-ToDC" xfId="26"/>
    <cellStyle name="_98-春節暫停營業明細-ToDC_1-晉欣鮮食廠-2012年春節作業體制" xfId="27"/>
    <cellStyle name="_excel報告書" xfId="28"/>
    <cellStyle name="_excel報告書_1-晉欣鮮食廠-2012年春節作業體制" xfId="29"/>
    <cellStyle name="_excel報告書_96年月餅預購競賽獎勵案" xfId="30"/>
    <cellStyle name="_excel報告書_96年月餅預購競賽獎勵案_1-晉欣鮮食廠-2012年春節作業體制" xfId="31"/>
    <cellStyle name="_excel報告書_96年月餅預購競賽獎勵案_97年春節保全回收報告書" xfId="32"/>
    <cellStyle name="_excel報告書_96年月餅預購競賽獎勵案_97年春節保全回收報告書_1-晉欣鮮食廠-2012年春節作業體制" xfId="33"/>
    <cellStyle name="_excel報告書_96年月餅預購競賽獎勵案_97年春節保全回收報告書_Book1" xfId="34"/>
    <cellStyle name="_excel報告書_96年月餅預購競賽獎勵案_97年春節保全回收報告書_Book1_1-晉欣鮮食廠-2012年春節作業體制" xfId="35"/>
    <cellStyle name="_excel報告書_96年月餅預購競賽獎勵案_97年春節保全回收報告書_春節作業手冊-981217" xfId="36"/>
    <cellStyle name="_excel報告書_96年月餅預購競賽獎勵案_97年春節保全回收報告書_春節作業手冊-981217_1-晉欣鮮食廠-2012年春節作業體制" xfId="37"/>
    <cellStyle name="_excel報告書_96年月餅預購競賽獎勵案_97年營業競賽提案報告書" xfId="38"/>
    <cellStyle name="_excel報告書_96年月餅預購競賽獎勵案_97年營業競賽提案報告書_1-晉欣鮮食廠-2012年春節作業體制" xfId="39"/>
    <cellStyle name="_excel報告書_96年月餅預購競賽獎勵案_97年營業競賽提案報告書_97年春節保全回收報告書" xfId="40"/>
    <cellStyle name="_excel報告書_96年月餅預購競賽獎勵案_97年營業競賽提案報告書_97年春節保全回收報告書_1-晉欣鮮食廠-2012年春節作業體制" xfId="41"/>
    <cellStyle name="_excel報告書_96年月餅預購競賽獎勵案_97年營業競賽提案報告書_97年春節保全回收報告書_Book1" xfId="42"/>
    <cellStyle name="_excel報告書_96年月餅預購競賽獎勵案_97年營業競賽提案報告書_97年春節保全回收報告書_Book1_1-晉欣鮮食廠-2012年春節作業體制" xfId="43"/>
    <cellStyle name="_excel報告書_96年月餅預購競賽獎勵案_97年營業競賽提案報告書_97年春節保全回收報告書_春節作業手冊-981217" xfId="44"/>
    <cellStyle name="_excel報告書_96年月餅預購競賽獎勵案_97年營業競賽提案報告書_97年春節保全回收報告書_春節作業手冊-981217_1-晉欣鮮食廠-2012年春節作業體制" xfId="45"/>
    <cellStyle name="_excel報告書_96年月餅預購競賽獎勵案_97年營業競賽提案報告書_97年營業競賽提案報告書" xfId="46"/>
    <cellStyle name="_excel報告書_96年月餅預購競賽獎勵案_97年營業競賽提案報告書_97年營業競賽提案報告書_1-晉欣鮮食廠-2012年春節作業體制" xfId="47"/>
    <cellStyle name="_excel報告書_96年月餅預購競賽獎勵案_97年營業競賽提案報告書_97年營業競賽提案報告書_97年春節保全回收報告書" xfId="48"/>
    <cellStyle name="_excel報告書_96年月餅預購競賽獎勵案_97年營業競賽提案報告書_97年營業競賽提案報告書_97年春節保全回收報告書_1-晉欣鮮食廠-2012年春節作業體制" xfId="49"/>
    <cellStyle name="_excel報告書_96年月餅預購競賽獎勵案_97年營業競賽提案報告書_97年營業競賽提案報告書_97年春節保全回收報告書_Book1" xfId="50"/>
    <cellStyle name="_excel報告書_96年月餅預購競賽獎勵案_97年營業競賽提案報告書_97年營業競賽提案報告書_97年春節保全回收報告書_Book1_1-晉欣鮮食廠-2012年春節作業體制" xfId="51"/>
    <cellStyle name="_excel報告書_96年月餅預購競賽獎勵案_97年營業競賽提案報告書_97年營業競賽提案報告書_97年春節保全回收報告書_春節作業手冊-981217" xfId="52"/>
    <cellStyle name="_excel報告書_96年月餅預購競賽獎勵案_97年營業競賽提案報告書_97年營業競賽提案報告書_97年春節保全回收報告書_春節作業手冊-981217_1-晉欣鮮食廠-2012年春節作業體制" xfId="53"/>
    <cellStyle name="_excel報告書_96年月餅預購競賽獎勵案_97年營業競賽提案報告書_97年營業競賽提案報告書_97年營業競賽提案報告書" xfId="54"/>
    <cellStyle name="_excel報告書_96年月餅預購競賽獎勵案_97年營業競賽提案報告書_97年營業競賽提案報告書_97年營業競賽提案報告書_1-晉欣鮮食廠-2012年春節作業體制" xfId="55"/>
    <cellStyle name="_excel報告書_96年月餅預購競賽獎勵案_97年營業競賽提案報告書_97年營業競賽提案報告書_97年營業競賽提案報告書_97年春節保全回收報告書" xfId="56"/>
    <cellStyle name="_excel報告書_96年月餅預購競賽獎勵案_97年營業競賽提案報告書_97年營業競賽提案報告書_97年營業競賽提案報告書_97年春節保全回收報告書_1-晉欣鮮食廠-2012年春節作業體制" xfId="57"/>
    <cellStyle name="_excel報告書_96年月餅預購競賽獎勵案_97年營業競賽提案報告書_97年營業競賽提案報告書_97年營業競賽提案報告書_97年春節保全回收報告書_Book1" xfId="58"/>
    <cellStyle name="_excel報告書_96年月餅預購競賽獎勵案_97年營業競賽提案報告書_97年營業競賽提案報告書_97年營業競賽提案報告書_97年春節保全回收報告書_Book1_1-晉欣鮮食廠-2012年春節作業體制" xfId="59"/>
    <cellStyle name="_excel報告書_96年月餅預購競賽獎勵案_97年營業競賽提案報告書_97年營業競賽提案報告書_97年營業競賽提案報告書_97年春節保全回收報告書_春節作業手冊-981217" xfId="60"/>
    <cellStyle name="_excel報告書_96年月餅預購競賽獎勵案_97年營業競賽提案報告書_97年營業競賽提案報告書_97年營業競賽提案報告書_97年春節保全回收報告書_春節作業手冊-981217_1-晉欣鮮食廠-2012年春節作業體制" xfId="61"/>
    <cellStyle name="_excel報告書_96年月餅預購競賽獎勵案_97年營業競賽提案報告書_97年營業競賽提案報告書_97年營業競賽提案報告書_Book1" xfId="62"/>
    <cellStyle name="_excel報告書_96年月餅預購競賽獎勵案_97年營業競賽提案報告書_97年營業競賽提案報告書_97年營業競賽提案報告書_Book1_1-晉欣鮮食廠-2012年春節作業體制" xfId="63"/>
    <cellStyle name="_excel報告書_96年月餅預購競賽獎勵案_97年營業競賽提案報告書_97年營業競賽提案報告書_97年營業競賽提案報告書_春節作業手冊-981217" xfId="64"/>
    <cellStyle name="_excel報告書_96年月餅預購競賽獎勵案_97年營業競賽提案報告書_97年營業競賽提案報告書_97年營業競賽提案報告書_春節作業手冊-981217_1-晉欣鮮食廠-2012年春節作業體制" xfId="65"/>
    <cellStyle name="_excel報告書_96年月餅預購競賽獎勵案_97年營業競賽提案報告書_97年營業競賽提案報告書_Book1" xfId="66"/>
    <cellStyle name="_excel報告書_96年月餅預購競賽獎勵案_97年營業競賽提案報告書_97年營業競賽提案報告書_Book1_1-晉欣鮮食廠-2012年春節作業體制" xfId="67"/>
    <cellStyle name="_excel報告書_96年月餅預購競賽獎勵案_97年營業競賽提案報告書_97年營業競賽提案報告書_春節作業手冊-981217" xfId="68"/>
    <cellStyle name="_excel報告書_96年月餅預購競賽獎勵案_97年營業競賽提案報告書_97年營業競賽提案報告書_春節作業手冊-981217_1-晉欣鮮食廠-2012年春節作業體制" xfId="69"/>
    <cellStyle name="_excel報告書_96年月餅預購競賽獎勵案_97年營業競賽提案報告書_Book1" xfId="70"/>
    <cellStyle name="_excel報告書_96年月餅預購競賽獎勵案_97年營業競賽提案報告書_Book1_1-晉欣鮮食廠-2012年春節作業體制" xfId="71"/>
    <cellStyle name="_excel報告書_96年月餅預購競賽獎勵案_97年營業競賽提案報告書_春節作業手冊-981217" xfId="72"/>
    <cellStyle name="_excel報告書_96年月餅預購競賽獎勵案_97年營業競賽提案報告書_春節作業手冊-981217_1-晉欣鮮食廠-2012年春節作業體制" xfId="73"/>
    <cellStyle name="_excel報告書_96年月餅預購競賽獎勵案_Book1" xfId="74"/>
    <cellStyle name="_excel報告書_96年月餅預購競賽獎勵案_Book1_1-晉欣鮮食廠-2012年春節作業體制" xfId="75"/>
    <cellStyle name="_excel報告書_96年月餅預購競賽獎勵案_春節作業手冊-981217" xfId="76"/>
    <cellStyle name="_excel報告書_96年月餅預購競賽獎勵案_春節作業手冊-981217_1-晉欣鮮食廠-2012年春節作業體制" xfId="77"/>
    <cellStyle name="_excel報告書_97年春節保全回收報告書" xfId="78"/>
    <cellStyle name="_excel報告書_97年春節保全回收報告書_1-晉欣鮮食廠-2012年春節作業體制" xfId="79"/>
    <cellStyle name="_excel報告書_97年春節保全回收報告書_Book1" xfId="80"/>
    <cellStyle name="_excel報告書_97年春節保全回收報告書_Book1_1-晉欣鮮食廠-2012年春節作業體制" xfId="81"/>
    <cellStyle name="_excel報告書_97年春節保全回收報告書_春節作業手冊-981217" xfId="82"/>
    <cellStyle name="_excel報告書_97年春節保全回收報告書_春節作業手冊-981217_1-晉欣鮮食廠-2012年春節作業體制" xfId="83"/>
    <cellStyle name="_excel報告書_97年營業競賽提案報告書" xfId="84"/>
    <cellStyle name="_excel報告書_97年營業競賽提案報告書_1-晉欣鮮食廠-2012年春節作業體制" xfId="85"/>
    <cellStyle name="_excel報告書_97年營業競賽提案報告書_97年春節保全回收報告書" xfId="86"/>
    <cellStyle name="_excel報告書_97年營業競賽提案報告書_97年春節保全回收報告書_1-晉欣鮮食廠-2012年春節作業體制" xfId="87"/>
    <cellStyle name="_excel報告書_97年營業競賽提案報告書_97年春節保全回收報告書_Book1" xfId="88"/>
    <cellStyle name="_excel報告書_97年營業競賽提案報告書_97年春節保全回收報告書_Book1_1-晉欣鮮食廠-2012年春節作業體制" xfId="89"/>
    <cellStyle name="_excel報告書_97年營業競賽提案報告書_97年春節保全回收報告書_春節作業手冊-981217" xfId="90"/>
    <cellStyle name="_excel報告書_97年營業競賽提案報告書_97年春節保全回收報告書_春節作業手冊-981217_1-晉欣鮮食廠-2012年春節作業體制" xfId="91"/>
    <cellStyle name="_excel報告書_97年營業競賽提案報告書_97年營業競賽提案報告書" xfId="92"/>
    <cellStyle name="_excel報告書_97年營業競賽提案報告書_97年營業競賽提案報告書_1-晉欣鮮食廠-2012年春節作業體制" xfId="93"/>
    <cellStyle name="_excel報告書_97年營業競賽提案報告書_97年營業競賽提案報告書_97年春節保全回收報告書" xfId="94"/>
    <cellStyle name="_excel報告書_97年營業競賽提案報告書_97年營業競賽提案報告書_97年春節保全回收報告書_1-晉欣鮮食廠-2012年春節作業體制" xfId="95"/>
    <cellStyle name="_excel報告書_97年營業競賽提案報告書_97年營業競賽提案報告書_97年春節保全回收報告書_Book1" xfId="96"/>
    <cellStyle name="_excel報告書_97年營業競賽提案報告書_97年營業競賽提案報告書_97年春節保全回收報告書_Book1_1-晉欣鮮食廠-2012年春節作業體制" xfId="97"/>
    <cellStyle name="_excel報告書_97年營業競賽提案報告書_97年營業競賽提案報告書_97年春節保全回收報告書_春節作業手冊-981217" xfId="98"/>
    <cellStyle name="_excel報告書_97年營業競賽提案報告書_97年營業競賽提案報告書_97年春節保全回收報告書_春節作業手冊-981217_1-晉欣鮮食廠-2012年春節作業體制" xfId="99"/>
    <cellStyle name="_excel報告書_97年營業競賽提案報告書_97年營業競賽提案報告書_97年營業競賽提案報告書" xfId="100"/>
    <cellStyle name="_excel報告書_97年營業競賽提案報告書_97年營業競賽提案報告書_97年營業競賽提案報告書_1-晉欣鮮食廠-2012年春節作業體制" xfId="101"/>
    <cellStyle name="_excel報告書_97年營業競賽提案報告書_97年營業競賽提案報告書_97年營業競賽提案報告書_97年春節保全回收報告書" xfId="102"/>
    <cellStyle name="_excel報告書_97年營業競賽提案報告書_97年營業競賽提案報告書_97年營業競賽提案報告書_97年春節保全回收報告書_1-晉欣鮮食廠-2012年春節作業體制" xfId="103"/>
    <cellStyle name="_excel報告書_97年營業競賽提案報告書_97年營業競賽提案報告書_97年營業競賽提案報告書_97年春節保全回收報告書_Book1" xfId="104"/>
    <cellStyle name="_excel報告書_97年營業競賽提案報告書_97年營業競賽提案報告書_97年營業競賽提案報告書_97年春節保全回收報告書_Book1_1-晉欣鮮食廠-2012年春節作業體制" xfId="105"/>
    <cellStyle name="_excel報告書_97年營業競賽提案報告書_97年營業競賽提案報告書_97年營業競賽提案報告書_97年春節保全回收報告書_春節作業手冊-981217" xfId="106"/>
    <cellStyle name="_excel報告書_97年營業競賽提案報告書_97年營業競賽提案報告書_97年營業競賽提案報告書_97年春節保全回收報告書_春節作業手冊-981217_1-晉欣鮮食廠-2012年春節作業體制" xfId="107"/>
    <cellStyle name="_excel報告書_97年營業競賽提案報告書_97年營業競賽提案報告書_97年營業競賽提案報告書_Book1" xfId="108"/>
    <cellStyle name="_excel報告書_97年營業競賽提案報告書_97年營業競賽提案報告書_97年營業競賽提案報告書_Book1_1-晉欣鮮食廠-2012年春節作業體制" xfId="109"/>
    <cellStyle name="_excel報告書_97年營業競賽提案報告書_97年營業競賽提案報告書_97年營業競賽提案報告書_春節作業手冊-981217" xfId="110"/>
    <cellStyle name="_excel報告書_97年營業競賽提案報告書_97年營業競賽提案報告書_97年營業競賽提案報告書_春節作業手冊-981217_1-晉欣鮮食廠-2012年春節作業體制" xfId="111"/>
    <cellStyle name="_excel報告書_97年營業競賽提案報告書_97年營業競賽提案報告書_Book1" xfId="112"/>
    <cellStyle name="_excel報告書_97年營業競賽提案報告書_97年營業競賽提案報告書_Book1_1-晉欣鮮食廠-2012年春節作業體制" xfId="113"/>
    <cellStyle name="_excel報告書_97年營業競賽提案報告書_97年營業競賽提案報告書_春節作業手冊-981217" xfId="114"/>
    <cellStyle name="_excel報告書_97年營業競賽提案報告書_97年營業競賽提案報告書_春節作業手冊-981217_1-晉欣鮮食廠-2012年春節作業體制" xfId="115"/>
    <cellStyle name="_excel報告書_97年營業競賽提案報告書_Book1" xfId="116"/>
    <cellStyle name="_excel報告書_97年營業競賽提案報告書_Book1_1-晉欣鮮食廠-2012年春節作業體制" xfId="117"/>
    <cellStyle name="_excel報告書_97年營業競賽提案報告書_春節作業手冊-981217" xfId="118"/>
    <cellStyle name="_excel報告書_97年營業競賽提案報告書_春節作業手冊-981217_1-晉欣鮮食廠-2012年春節作業體制" xfId="119"/>
    <cellStyle name="_excel報告書_Book1" xfId="120"/>
    <cellStyle name="_excel報告書_Book1_1-晉欣鮮食廠-2012年春節作業體制" xfId="121"/>
    <cellStyle name="_excel報告書_春節作業手冊-981217" xfId="122"/>
    <cellStyle name="_excel報告書_春節作業手冊-981217_1-晉欣鮮食廠-2012年春節作業體制" xfId="123"/>
    <cellStyle name="_日翊98年春節作業-To毓琦" xfId="124"/>
    <cellStyle name="_封閉型商圈日商" xfId="125"/>
    <cellStyle name="_封閉型商圈日商_1-晉欣鮮食廠-2012年春節作業體制" xfId="126"/>
    <cellStyle name="_封閉型商圈日商_97年春節保全回收報告書" xfId="127"/>
    <cellStyle name="_封閉型商圈日商_97年春節保全回收報告書_1-晉欣鮮食廠-2012年春節作業體制" xfId="128"/>
    <cellStyle name="_封閉型商圈日商_97年春節保全回收報告書_Book1" xfId="129"/>
    <cellStyle name="_封閉型商圈日商_97年春節保全回收報告書_Book1_1-晉欣鮮食廠-2012年春節作業體制" xfId="130"/>
    <cellStyle name="_封閉型商圈日商_97年春節保全回收報告書_春節作業手冊-981217" xfId="131"/>
    <cellStyle name="_封閉型商圈日商_97年春節保全回收報告書_春節作業手冊-981217_1-晉欣鮮食廠-2012年春節作業體制" xfId="132"/>
    <cellStyle name="_封閉型商圈日商_97年營業競賽提案報告書" xfId="133"/>
    <cellStyle name="_封閉型商圈日商_97年營業競賽提案報告書_1-晉欣鮮食廠-2012年春節作業體制" xfId="134"/>
    <cellStyle name="_封閉型商圈日商_97年營業競賽提案報告書_97年春節保全回收報告書" xfId="135"/>
    <cellStyle name="_封閉型商圈日商_97年營業競賽提案報告書_97年春節保全回收報告書_1-晉欣鮮食廠-2012年春節作業體制" xfId="136"/>
    <cellStyle name="_封閉型商圈日商_97年營業競賽提案報告書_97年春節保全回收報告書_Book1" xfId="137"/>
    <cellStyle name="_封閉型商圈日商_97年營業競賽提案報告書_97年春節保全回收報告書_Book1_1-晉欣鮮食廠-2012年春節作業體制" xfId="138"/>
    <cellStyle name="_封閉型商圈日商_97年營業競賽提案報告書_97年春節保全回收報告書_春節作業手冊-981217" xfId="139"/>
    <cellStyle name="_封閉型商圈日商_97年營業競賽提案報告書_97年春節保全回收報告書_春節作業手冊-981217_1-晉欣鮮食廠-2012年春節作業體制" xfId="140"/>
    <cellStyle name="_封閉型商圈日商_97年營業競賽提案報告書_97年營業競賽提案報告書" xfId="141"/>
    <cellStyle name="_封閉型商圈日商_97年營業競賽提案報告書_97年營業競賽提案報告書_1-晉欣鮮食廠-2012年春節作業體制" xfId="142"/>
    <cellStyle name="_封閉型商圈日商_97年營業競賽提案報告書_97年營業競賽提案報告書_97年春節保全回收報告書" xfId="143"/>
    <cellStyle name="_封閉型商圈日商_97年營業競賽提案報告書_97年營業競賽提案報告書_97年春節保全回收報告書_1-晉欣鮮食廠-2012年春節作業體制" xfId="144"/>
    <cellStyle name="_封閉型商圈日商_97年營業競賽提案報告書_97年營業競賽提案報告書_97年春節保全回收報告書_Book1" xfId="145"/>
    <cellStyle name="_封閉型商圈日商_97年營業競賽提案報告書_97年營業競賽提案報告書_97年春節保全回收報告書_Book1_1-晉欣鮮食廠-2012年春節作業體制" xfId="146"/>
    <cellStyle name="_封閉型商圈日商_97年營業競賽提案報告書_97年營業競賽提案報告書_97年春節保全回收報告書_春節作業手冊-981217" xfId="147"/>
    <cellStyle name="_封閉型商圈日商_97年營業競賽提案報告書_97年營業競賽提案報告書_97年春節保全回收報告書_春節作業手冊-981217_1-晉欣鮮食廠-2012年春節作業體制" xfId="148"/>
    <cellStyle name="_封閉型商圈日商_97年營業競賽提案報告書_97年營業競賽提案報告書_97年營業競賽提案報告書" xfId="149"/>
    <cellStyle name="_封閉型商圈日商_97年營業競賽提案報告書_97年營業競賽提案報告書_97年營業競賽提案報告書_1-晉欣鮮食廠-2012年春節作業體制" xfId="150"/>
    <cellStyle name="_封閉型商圈日商_97年營業競賽提案報告書_97年營業競賽提案報告書_97年營業競賽提案報告書_97年春節保全回收報告書" xfId="151"/>
    <cellStyle name="_封閉型商圈日商_97年營業競賽提案報告書_97年營業競賽提案報告書_97年營業競賽提案報告書_97年春節保全回收報告書_1-晉欣鮮食廠-2012年春節作業體制" xfId="152"/>
    <cellStyle name="_封閉型商圈日商_97年營業競賽提案報告書_97年營業競賽提案報告書_97年營業競賽提案報告書_97年春節保全回收報告書_Book1" xfId="153"/>
    <cellStyle name="_封閉型商圈日商_97年營業競賽提案報告書_97年營業競賽提案報告書_97年營業競賽提案報告書_97年春節保全回收報告書_Book1_1-晉欣鮮食廠-2012年春節作業體制" xfId="154"/>
    <cellStyle name="_封閉型商圈日商_97年營業競賽提案報告書_97年營業競賽提案報告書_97年營業競賽提案報告書_97年春節保全回收報告書_春節作業手冊-981217" xfId="155"/>
    <cellStyle name="_封閉型商圈日商_97年營業競賽提案報告書_97年營業競賽提案報告書_97年營業競賽提案報告書_97年春節保全回收報告書_春節作業手冊-981217_1-晉欣鮮食廠-2012年春節作業體制" xfId="156"/>
    <cellStyle name="_封閉型商圈日商_97年營業競賽提案報告書_97年營業競賽提案報告書_97年營業競賽提案報告書_Book1" xfId="157"/>
    <cellStyle name="_封閉型商圈日商_97年營業競賽提案報告書_97年營業競賽提案報告書_97年營業競賽提案報告書_Book1_1-晉欣鮮食廠-2012年春節作業體制" xfId="158"/>
    <cellStyle name="_封閉型商圈日商_97年營業競賽提案報告書_97年營業競賽提案報告書_97年營業競賽提案報告書_春節作業手冊-981217" xfId="159"/>
    <cellStyle name="_封閉型商圈日商_97年營業競賽提案報告書_97年營業競賽提案報告書_97年營業競賽提案報告書_春節作業手冊-981217_1-晉欣鮮食廠-2012年春節作業體制" xfId="160"/>
    <cellStyle name="_封閉型商圈日商_97年營業競賽提案報告書_97年營業競賽提案報告書_Book1" xfId="161"/>
    <cellStyle name="_封閉型商圈日商_97年營業競賽提案報告書_97年營業競賽提案報告書_Book1_1-晉欣鮮食廠-2012年春節作業體制" xfId="162"/>
    <cellStyle name="_封閉型商圈日商_97年營業競賽提案報告書_97年營業競賽提案報告書_春節作業手冊-981217" xfId="163"/>
    <cellStyle name="_封閉型商圈日商_97年營業競賽提案報告書_97年營業競賽提案報告書_春節作業手冊-981217_1-晉欣鮮食廠-2012年春節作業體制" xfId="164"/>
    <cellStyle name="_封閉型商圈日商_97年營業競賽提案報告書_Book1" xfId="165"/>
    <cellStyle name="_封閉型商圈日商_97年營業競賽提案報告書_Book1_1-晉欣鮮食廠-2012年春節作業體制" xfId="166"/>
    <cellStyle name="_封閉型商圈日商_97年營業競賽提案報告書_春節作業手冊-981217" xfId="167"/>
    <cellStyle name="_封閉型商圈日商_97年營業競賽提案報告書_春節作業手冊-981217_1-晉欣鮮食廠-2012年春節作業體制" xfId="168"/>
    <cellStyle name="_封閉型商圈日商_Book1" xfId="169"/>
    <cellStyle name="_封閉型商圈日商_Book1_1-晉欣鮮食廠-2012年春節作業體制" xfId="170"/>
    <cellStyle name="_封閉型商圈日商_春節作業手冊-981217" xfId="171"/>
    <cellStyle name="_封閉型商圈日商_春節作業手冊-981217_1-晉欣鮮食廠-2012年春節作業體制" xfId="172"/>
    <cellStyle name="_封閉型商圈日商-1" xfId="173"/>
    <cellStyle name="_封閉型商圈日商-1_1-晉欣鮮食廠-2012年春節作業體制" xfId="174"/>
    <cellStyle name="_封閉型商圈日商-1_97年春節保全回收報告書" xfId="175"/>
    <cellStyle name="_封閉型商圈日商-1_97年春節保全回收報告書_1-晉欣鮮食廠-2012年春節作業體制" xfId="176"/>
    <cellStyle name="_封閉型商圈日商-1_97年春節保全回收報告書_Book1" xfId="177"/>
    <cellStyle name="_封閉型商圈日商-1_97年春節保全回收報告書_Book1_1-晉欣鮮食廠-2012年春節作業體制" xfId="178"/>
    <cellStyle name="_封閉型商圈日商-1_97年春節保全回收報告書_春節作業手冊-981217" xfId="179"/>
    <cellStyle name="_封閉型商圈日商-1_97年春節保全回收報告書_春節作業手冊-981217_1-晉欣鮮食廠-2012年春節作業體制" xfId="180"/>
    <cellStyle name="_封閉型商圈日商-1_97年營業競賽提案報告書" xfId="181"/>
    <cellStyle name="_封閉型商圈日商-1_97年營業競賽提案報告書_1-晉欣鮮食廠-2012年春節作業體制" xfId="182"/>
    <cellStyle name="_封閉型商圈日商-1_97年營業競賽提案報告書_97年春節保全回收報告書" xfId="183"/>
    <cellStyle name="_封閉型商圈日商-1_97年營業競賽提案報告書_97年春節保全回收報告書_1-晉欣鮮食廠-2012年春節作業體制" xfId="184"/>
    <cellStyle name="_封閉型商圈日商-1_97年營業競賽提案報告書_97年春節保全回收報告書_Book1" xfId="185"/>
    <cellStyle name="_封閉型商圈日商-1_97年營業競賽提案報告書_97年春節保全回收報告書_Book1_1-晉欣鮮食廠-2012年春節作業體制" xfId="186"/>
    <cellStyle name="_封閉型商圈日商-1_97年營業競賽提案報告書_97年春節保全回收報告書_春節作業手冊-981217" xfId="187"/>
    <cellStyle name="_封閉型商圈日商-1_97年營業競賽提案報告書_97年春節保全回收報告書_春節作業手冊-981217_1-晉欣鮮食廠-2012年春節作業體制" xfId="188"/>
    <cellStyle name="_封閉型商圈日商-1_97年營業競賽提案報告書_97年營業競賽提案報告書" xfId="189"/>
    <cellStyle name="_封閉型商圈日商-1_97年營業競賽提案報告書_97年營業競賽提案報告書_1-晉欣鮮食廠-2012年春節作業體制" xfId="190"/>
    <cellStyle name="_封閉型商圈日商-1_97年營業競賽提案報告書_97年營業競賽提案報告書_97年春節保全回收報告書" xfId="191"/>
    <cellStyle name="_封閉型商圈日商-1_97年營業競賽提案報告書_97年營業競賽提案報告書_97年春節保全回收報告書_1-晉欣鮮食廠-2012年春節作業體制" xfId="192"/>
    <cellStyle name="_封閉型商圈日商-1_97年營業競賽提案報告書_97年營業競賽提案報告書_97年春節保全回收報告書_Book1" xfId="193"/>
    <cellStyle name="_封閉型商圈日商-1_97年營業競賽提案報告書_97年營業競賽提案報告書_97年春節保全回收報告書_Book1_1-晉欣鮮食廠-2012年春節作業體制" xfId="194"/>
    <cellStyle name="_封閉型商圈日商-1_97年營業競賽提案報告書_97年營業競賽提案報告書_97年春節保全回收報告書_春節作業手冊-981217" xfId="195"/>
    <cellStyle name="_封閉型商圈日商-1_97年營業競賽提案報告書_97年營業競賽提案報告書_97年春節保全回收報告書_春節作業手冊-981217_1-晉欣鮮食廠-2012年春節作業體制" xfId="196"/>
    <cellStyle name="_封閉型商圈日商-1_97年營業競賽提案報告書_97年營業競賽提案報告書_97年營業競賽提案報告書" xfId="197"/>
    <cellStyle name="_封閉型商圈日商-1_97年營業競賽提案報告書_97年營業競賽提案報告書_97年營業競賽提案報告書_1-晉欣鮮食廠-2012年春節作業體制" xfId="198"/>
    <cellStyle name="_封閉型商圈日商-1_97年營業競賽提案報告書_97年營業競賽提案報告書_97年營業競賽提案報告書_97年春節保全回收報告書" xfId="199"/>
    <cellStyle name="_封閉型商圈日商-1_97年營業競賽提案報告書_97年營業競賽提案報告書_97年營業競賽提案報告書_97年春節保全回收報告書_1-晉欣鮮食廠-2012年春節作業體制" xfId="200"/>
    <cellStyle name="_封閉型商圈日商-1_97年營業競賽提案報告書_97年營業競賽提案報告書_97年營業競賽提案報告書_97年春節保全回收報告書_Book1" xfId="201"/>
    <cellStyle name="_封閉型商圈日商-1_97年營業競賽提案報告書_97年營業競賽提案報告書_97年營業競賽提案報告書_97年春節保全回收報告書_Book1_1-晉欣鮮食廠-2012年春節作業體制" xfId="202"/>
    <cellStyle name="_封閉型商圈日商-1_97年營業競賽提案報告書_97年營業競賽提案報告書_97年營業競賽提案報告書_97年春節保全回收報告書_春節作業手冊-981217" xfId="203"/>
    <cellStyle name="_封閉型商圈日商-1_97年營業競賽提案報告書_97年營業競賽提案報告書_97年營業競賽提案報告書_97年春節保全回收報告書_春節作業手冊-981217_1-晉欣鮮食廠-2012年春節作業體制" xfId="204"/>
    <cellStyle name="_封閉型商圈日商-1_97年營業競賽提案報告書_97年營業競賽提案報告書_97年營業競賽提案報告書_Book1" xfId="205"/>
    <cellStyle name="_封閉型商圈日商-1_97年營業競賽提案報告書_97年營業競賽提案報告書_97年營業競賽提案報告書_Book1_1-晉欣鮮食廠-2012年春節作業體制" xfId="206"/>
    <cellStyle name="_封閉型商圈日商-1_97年營業競賽提案報告書_97年營業競賽提案報告書_97年營業競賽提案報告書_春節作業手冊-981217" xfId="207"/>
    <cellStyle name="_封閉型商圈日商-1_97年營業競賽提案報告書_97年營業競賽提案報告書_97年營業競賽提案報告書_春節作業手冊-981217_1-晉欣鮮食廠-2012年春節作業體制" xfId="208"/>
    <cellStyle name="_封閉型商圈日商-1_97年營業競賽提案報告書_97年營業競賽提案報告書_Book1" xfId="209"/>
    <cellStyle name="_封閉型商圈日商-1_97年營業競賽提案報告書_97年營業競賽提案報告書_Book1_1-晉欣鮮食廠-2012年春節作業體制" xfId="210"/>
    <cellStyle name="_封閉型商圈日商-1_97年營業競賽提案報告書_97年營業競賽提案報告書_春節作業手冊-981217" xfId="211"/>
    <cellStyle name="_封閉型商圈日商-1_97年營業競賽提案報告書_97年營業競賽提案報告書_春節作業手冊-981217_1-晉欣鮮食廠-2012年春節作業體制" xfId="212"/>
    <cellStyle name="_封閉型商圈日商-1_97年營業競賽提案報告書_Book1" xfId="213"/>
    <cellStyle name="_封閉型商圈日商-1_97年營業競賽提案報告書_Book1_1-晉欣鮮食廠-2012年春節作業體制" xfId="214"/>
    <cellStyle name="_封閉型商圈日商-1_97年營業競賽提案報告書_春節作業手冊-981217" xfId="215"/>
    <cellStyle name="_封閉型商圈日商-1_97年營業競賽提案報告書_春節作業手冊-981217_1-晉欣鮮食廠-2012年春節作業體制" xfId="216"/>
    <cellStyle name="_封閉型商圈日商-1_Book1" xfId="217"/>
    <cellStyle name="_封閉型商圈日商-1_Book1_1-晉欣鮮食廠-2012年春節作業體制" xfId="218"/>
    <cellStyle name="_封閉型商圈日商-1_春節作業手冊-981217" xfId="219"/>
    <cellStyle name="_封閉型商圈日商-1_春節作業手冊-981217_1-晉欣鮮食廠-2012年春節作業體制" xfId="220"/>
    <cellStyle name="_封閉型商圈店舖明細" xfId="221"/>
    <cellStyle name="_封閉型商圈店舖明細_1-晉欣鮮食廠-2012年春節作業體制" xfId="222"/>
    <cellStyle name="_封閉型商圈店舖明細_97年春節保全回收報告書" xfId="223"/>
    <cellStyle name="_封閉型商圈店舖明細_97年春節保全回收報告書_1-晉欣鮮食廠-2012年春節作業體制" xfId="224"/>
    <cellStyle name="_封閉型商圈店舖明細_97年春節保全回收報告書_Book1" xfId="225"/>
    <cellStyle name="_封閉型商圈店舖明細_97年春節保全回收報告書_Book1_1-晉欣鮮食廠-2012年春節作業體制" xfId="226"/>
    <cellStyle name="_封閉型商圈店舖明細_97年春節保全回收報告書_春節作業手冊-981217" xfId="227"/>
    <cellStyle name="_封閉型商圈店舖明細_97年春節保全回收報告書_春節作業手冊-981217_1-晉欣鮮食廠-2012年春節作業體制" xfId="228"/>
    <cellStyle name="_封閉型商圈店舖明細_97年營業競賽提案報告書" xfId="229"/>
    <cellStyle name="_封閉型商圈店舖明細_97年營業競賽提案報告書_1-晉欣鮮食廠-2012年春節作業體制" xfId="230"/>
    <cellStyle name="_封閉型商圈店舖明細_97年營業競賽提案報告書_97年春節保全回收報告書" xfId="231"/>
    <cellStyle name="_封閉型商圈店舖明細_97年營業競賽提案報告書_97年春節保全回收報告書_1-晉欣鮮食廠-2012年春節作業體制" xfId="232"/>
    <cellStyle name="_封閉型商圈店舖明細_97年營業競賽提案報告書_97年春節保全回收報告書_Book1" xfId="233"/>
    <cellStyle name="_封閉型商圈店舖明細_97年營業競賽提案報告書_97年春節保全回收報告書_Book1_1-晉欣鮮食廠-2012年春節作業體制" xfId="234"/>
    <cellStyle name="_封閉型商圈店舖明細_97年營業競賽提案報告書_97年春節保全回收報告書_春節作業手冊-981217" xfId="235"/>
    <cellStyle name="_封閉型商圈店舖明細_97年營業競賽提案報告書_97年春節保全回收報告書_春節作業手冊-981217_1-晉欣鮮食廠-2012年春節作業體制" xfId="236"/>
    <cellStyle name="_封閉型商圈店舖明細_97年營業競賽提案報告書_97年營業競賽提案報告書" xfId="237"/>
    <cellStyle name="_封閉型商圈店舖明細_97年營業競賽提案報告書_97年營業競賽提案報告書_1-晉欣鮮食廠-2012年春節作業體制" xfId="238"/>
    <cellStyle name="_封閉型商圈店舖明細_97年營業競賽提案報告書_97年營業競賽提案報告書_97年春節保全回收報告書" xfId="239"/>
    <cellStyle name="_封閉型商圈店舖明細_97年營業競賽提案報告書_97年營業競賽提案報告書_97年春節保全回收報告書_1-晉欣鮮食廠-2012年春節作業體制" xfId="240"/>
    <cellStyle name="_封閉型商圈店舖明細_97年營業競賽提案報告書_97年營業競賽提案報告書_97年春節保全回收報告書_Book1" xfId="241"/>
    <cellStyle name="_封閉型商圈店舖明細_97年營業競賽提案報告書_97年營業競賽提案報告書_97年春節保全回收報告書_Book1_1-晉欣鮮食廠-2012年春節作業體制" xfId="242"/>
    <cellStyle name="_封閉型商圈店舖明細_97年營業競賽提案報告書_97年營業競賽提案報告書_97年春節保全回收報告書_春節作業手冊-981217" xfId="243"/>
    <cellStyle name="_封閉型商圈店舖明細_97年營業競賽提案報告書_97年營業競賽提案報告書_97年春節保全回收報告書_春節作業手冊-981217_1-晉欣鮮食廠-2012年春節作業體制" xfId="244"/>
    <cellStyle name="_封閉型商圈店舖明細_97年營業競賽提案報告書_97年營業競賽提案報告書_97年營業競賽提案報告書" xfId="245"/>
    <cellStyle name="_封閉型商圈店舖明細_97年營業競賽提案報告書_97年營業競賽提案報告書_97年營業競賽提案報告書_1-晉欣鮮食廠-2012年春節作業體制" xfId="246"/>
    <cellStyle name="_封閉型商圈店舖明細_97年營業競賽提案報告書_97年營業競賽提案報告書_97年營業競賽提案報告書_97年春節保全回收報告書" xfId="247"/>
    <cellStyle name="_封閉型商圈店舖明細_97年營業競賽提案報告書_97年營業競賽提案報告書_97年營業競賽提案報告書_97年春節保全回收報告書_1-晉欣鮮食廠-2012年春節作業體制" xfId="248"/>
    <cellStyle name="_封閉型商圈店舖明細_97年營業競賽提案報告書_97年營業競賽提案報告書_97年營業競賽提案報告書_97年春節保全回收報告書_Book1" xfId="249"/>
    <cellStyle name="_封閉型商圈店舖明細_97年營業競賽提案報告書_97年營業競賽提案報告書_97年營業競賽提案報告書_97年春節保全回收報告書_Book1_1-晉欣鮮食廠-2012年春節作業體制" xfId="250"/>
    <cellStyle name="_封閉型商圈店舖明細_97年營業競賽提案報告書_97年營業競賽提案報告書_97年營業競賽提案報告書_97年春節保全回收報告書_春節作業手冊-981217" xfId="251"/>
    <cellStyle name="_封閉型商圈店舖明細_97年營業競賽提案報告書_97年營業競賽提案報告書_97年營業競賽提案報告書_97年春節保全回收報告書_春節作業手冊-981217_1-晉欣鮮食廠-2012年春節作業體制" xfId="252"/>
    <cellStyle name="_封閉型商圈店舖明細_97年營業競賽提案報告書_97年營業競賽提案報告書_97年營業競賽提案報告書_Book1" xfId="253"/>
    <cellStyle name="_封閉型商圈店舖明細_97年營業競賽提案報告書_97年營業競賽提案報告書_97年營業競賽提案報告書_Book1_1-晉欣鮮食廠-2012年春節作業體制" xfId="254"/>
    <cellStyle name="_封閉型商圈店舖明細_97年營業競賽提案報告書_97年營業競賽提案報告書_97年營業競賽提案報告書_春節作業手冊-981217" xfId="255"/>
    <cellStyle name="_封閉型商圈店舖明細_97年營業競賽提案報告書_97年營業競賽提案報告書_97年營業競賽提案報告書_春節作業手冊-981217_1-晉欣鮮食廠-2012年春節作業體制" xfId="256"/>
    <cellStyle name="_封閉型商圈店舖明細_97年營業競賽提案報告書_97年營業競賽提案報告書_Book1" xfId="257"/>
    <cellStyle name="_封閉型商圈店舖明細_97年營業競賽提案報告書_97年營業競賽提案報告書_Book1_1-晉欣鮮食廠-2012年春節作業體制" xfId="258"/>
    <cellStyle name="_封閉型商圈店舖明細_97年營業競賽提案報告書_97年營業競賽提案報告書_春節作業手冊-981217" xfId="259"/>
    <cellStyle name="_封閉型商圈店舖明細_97年營業競賽提案報告書_97年營業競賽提案報告書_春節作業手冊-981217_1-晉欣鮮食廠-2012年春節作業體制" xfId="260"/>
    <cellStyle name="_封閉型商圈店舖明細_97年營業競賽提案報告書_Book1" xfId="261"/>
    <cellStyle name="_封閉型商圈店舖明細_97年營業競賽提案報告書_Book1_1-晉欣鮮食廠-2012年春節作業體制" xfId="262"/>
    <cellStyle name="_封閉型商圈店舖明細_97年營業競賽提案報告書_春節作業手冊-981217" xfId="263"/>
    <cellStyle name="_封閉型商圈店舖明細_97年營業競賽提案報告書_春節作業手冊-981217_1-晉欣鮮食廠-2012年春節作業體制" xfId="264"/>
    <cellStyle name="_封閉型商圈店舖明細_Book1" xfId="265"/>
    <cellStyle name="_封閉型商圈店舖明細_Book1_1-晉欣鮮食廠-2012年春節作業體制" xfId="266"/>
    <cellStyle name="_封閉型商圈店舖明細_春節作業手冊-981217" xfId="267"/>
    <cellStyle name="_封閉型商圈店舖明細_春節作業手冊-981217_1-晉欣鮮食廠-2012年春節作業體制" xfId="268"/>
    <cellStyle name="_封閉型商圈建議台整品項" xfId="269"/>
    <cellStyle name="_封閉型商圈建議台整品項_1-晉欣鮮食廠-2012年春節作業體制" xfId="270"/>
    <cellStyle name="_封閉型商圈建議台整品項_97年春節保全回收報告書" xfId="271"/>
    <cellStyle name="_封閉型商圈建議台整品項_97年春節保全回收報告書_1-晉欣鮮食廠-2012年春節作業體制" xfId="272"/>
    <cellStyle name="_封閉型商圈建議台整品項_97年春節保全回收報告書_Book1" xfId="273"/>
    <cellStyle name="_封閉型商圈建議台整品項_97年春節保全回收報告書_Book1_1-晉欣鮮食廠-2012年春節作業體制" xfId="274"/>
    <cellStyle name="_封閉型商圈建議台整品項_97年春節保全回收報告書_春節作業手冊-981217" xfId="275"/>
    <cellStyle name="_封閉型商圈建議台整品項_97年春節保全回收報告書_春節作業手冊-981217_1-晉欣鮮食廠-2012年春節作業體制" xfId="276"/>
    <cellStyle name="_封閉型商圈建議台整品項_97年營業競賽提案報告書" xfId="277"/>
    <cellStyle name="_封閉型商圈建議台整品項_97年營業競賽提案報告書_1-晉欣鮮食廠-2012年春節作業體制" xfId="278"/>
    <cellStyle name="_封閉型商圈建議台整品項_97年營業競賽提案報告書_97年春節保全回收報告書" xfId="279"/>
    <cellStyle name="_封閉型商圈建議台整品項_97年營業競賽提案報告書_97年春節保全回收報告書_1-晉欣鮮食廠-2012年春節作業體制" xfId="280"/>
    <cellStyle name="_封閉型商圈建議台整品項_97年營業競賽提案報告書_97年春節保全回收報告書_Book1" xfId="281"/>
    <cellStyle name="_封閉型商圈建議台整品項_97年營業競賽提案報告書_97年春節保全回收報告書_Book1_1-晉欣鮮食廠-2012年春節作業體制" xfId="282"/>
    <cellStyle name="_封閉型商圈建議台整品項_97年營業競賽提案報告書_97年春節保全回收報告書_春節作業手冊-981217" xfId="283"/>
    <cellStyle name="_封閉型商圈建議台整品項_97年營業競賽提案報告書_97年春節保全回收報告書_春節作業手冊-981217_1-晉欣鮮食廠-2012年春節作業體制" xfId="284"/>
    <cellStyle name="_封閉型商圈建議台整品項_97年營業競賽提案報告書_97年營業競賽提案報告書" xfId="285"/>
    <cellStyle name="_封閉型商圈建議台整品項_97年營業競賽提案報告書_97年營業競賽提案報告書_1-晉欣鮮食廠-2012年春節作業體制" xfId="286"/>
    <cellStyle name="_封閉型商圈建議台整品項_97年營業競賽提案報告書_97年營業競賽提案報告書_97年春節保全回收報告書" xfId="287"/>
    <cellStyle name="_封閉型商圈建議台整品項_97年營業競賽提案報告書_97年營業競賽提案報告書_97年春節保全回收報告書_1-晉欣鮮食廠-2012年春節作業體制" xfId="288"/>
    <cellStyle name="_封閉型商圈建議台整品項_97年營業競賽提案報告書_97年營業競賽提案報告書_97年春節保全回收報告書_Book1" xfId="289"/>
    <cellStyle name="_封閉型商圈建議台整品項_97年營業競賽提案報告書_97年營業競賽提案報告書_97年春節保全回收報告書_Book1_1-晉欣鮮食廠-2012年春節作業體制" xfId="290"/>
    <cellStyle name="_封閉型商圈建議台整品項_97年營業競賽提案報告書_97年營業競賽提案報告書_97年春節保全回收報告書_春節作業手冊-981217" xfId="291"/>
    <cellStyle name="_封閉型商圈建議台整品項_97年營業競賽提案報告書_97年營業競賽提案報告書_97年春節保全回收報告書_春節作業手冊-981217_1-晉欣鮮食廠-2012年春節作業體制" xfId="292"/>
    <cellStyle name="_封閉型商圈建議台整品項_97年營業競賽提案報告書_97年營業競賽提案報告書_97年營業競賽提案報告書" xfId="293"/>
    <cellStyle name="_封閉型商圈建議台整品項_97年營業競賽提案報告書_97年營業競賽提案報告書_97年營業競賽提案報告書_1-晉欣鮮食廠-2012年春節作業體制" xfId="294"/>
    <cellStyle name="_封閉型商圈建議台整品項_97年營業競賽提案報告書_97年營業競賽提案報告書_97年營業競賽提案報告書_97年春節保全回收報告書" xfId="295"/>
    <cellStyle name="_封閉型商圈建議台整品項_97年營業競賽提案報告書_97年營業競賽提案報告書_97年營業競賽提案報告書_97年春節保全回收報告書_1-晉欣鮮食廠-2012年春節作業體制" xfId="296"/>
    <cellStyle name="_封閉型商圈建議台整品項_97年營業競賽提案報告書_97年營業競賽提案報告書_97年營業競賽提案報告書_97年春節保全回收報告書_Book1" xfId="297"/>
    <cellStyle name="_封閉型商圈建議台整品項_97年營業競賽提案報告書_97年營業競賽提案報告書_97年營業競賽提案報告書_97年春節保全回收報告書_Book1_1-晉欣鮮食廠-2012年春節作業體制" xfId="298"/>
    <cellStyle name="_封閉型商圈建議台整品項_97年營業競賽提案報告書_97年營業競賽提案報告書_97年營業競賽提案報告書_97年春節保全回收報告書_春節作業手冊-981217" xfId="299"/>
    <cellStyle name="_封閉型商圈建議台整品項_97年營業競賽提案報告書_97年營業競賽提案報告書_97年營業競賽提案報告書_97年春節保全回收報告書_春節作業手冊-981217_1-晉欣鮮食廠-2012年春節作業體制" xfId="300"/>
    <cellStyle name="_封閉型商圈建議台整品項_97年營業競賽提案報告書_97年營業競賽提案報告書_97年營業競賽提案報告書_Book1" xfId="301"/>
    <cellStyle name="_封閉型商圈建議台整品項_97年營業競賽提案報告書_97年營業競賽提案報告書_97年營業競賽提案報告書_Book1_1-晉欣鮮食廠-2012年春節作業體制" xfId="302"/>
    <cellStyle name="_封閉型商圈建議台整品項_97年營業競賽提案報告書_97年營業競賽提案報告書_97年營業競賽提案報告書_春節作業手冊-981217" xfId="303"/>
    <cellStyle name="_封閉型商圈建議台整品項_97年營業競賽提案報告書_97年營業競賽提案報告書_97年營業競賽提案報告書_春節作業手冊-981217_1-晉欣鮮食廠-2012年春節作業體制" xfId="304"/>
    <cellStyle name="_封閉型商圈建議台整品項_97年營業競賽提案報告書_97年營業競賽提案報告書_Book1" xfId="305"/>
    <cellStyle name="_封閉型商圈建議台整品項_97年營業競賽提案報告書_97年營業競賽提案報告書_Book1_1-晉欣鮮食廠-2012年春節作業體制" xfId="306"/>
    <cellStyle name="_封閉型商圈建議台整品項_97年營業競賽提案報告書_97年營業競賽提案報告書_春節作業手冊-981217" xfId="307"/>
    <cellStyle name="_封閉型商圈建議台整品項_97年營業競賽提案報告書_97年營業競賽提案報告書_春節作業手冊-981217_1-晉欣鮮食廠-2012年春節作業體制" xfId="308"/>
    <cellStyle name="_封閉型商圈建議台整品項_97年營業競賽提案報告書_Book1" xfId="309"/>
    <cellStyle name="_封閉型商圈建議台整品項_97年營業競賽提案報告書_Book1_1-晉欣鮮食廠-2012年春節作業體制" xfId="310"/>
    <cellStyle name="_封閉型商圈建議台整品項_97年營業競賽提案報告書_春節作業手冊-981217" xfId="311"/>
    <cellStyle name="_封閉型商圈建議台整品項_97年營業競賽提案報告書_春節作業手冊-981217_1-晉欣鮮食廠-2012年春節作業體制" xfId="312"/>
    <cellStyle name="_封閉型商圈建議台整品項_Book1" xfId="313"/>
    <cellStyle name="_封閉型商圈建議台整品項_Book1_1-晉欣鮮食廠-2012年春節作業體制" xfId="314"/>
    <cellStyle name="_封閉型商圈建議台整品項_春節作業手冊-981217" xfId="315"/>
    <cellStyle name="_封閉型商圈建議台整品項_春節作業手冊-981217_1-晉欣鮮食廠-2012年春節作業體制" xfId="316"/>
    <cellStyle name="_樂清9507租賃用品申請" xfId="317"/>
    <cellStyle name="_樂清9507租賃用品申請_1-晉欣鮮食廠-2012年春節作業體制" xfId="318"/>
    <cellStyle name="_樂清9507租賃用品申請_96年月餅預購競賽獎勵案" xfId="319"/>
    <cellStyle name="_樂清9507租賃用品申請_96年月餅預購競賽獎勵案_1-晉欣鮮食廠-2012年春節作業體制" xfId="320"/>
    <cellStyle name="_樂清9507租賃用品申請_96年月餅預購競賽獎勵案_96年月餅預購競賽獎勵案" xfId="321"/>
    <cellStyle name="_樂清9507租賃用品申請_96年月餅預購競賽獎勵案_96年月餅預購競賽獎勵案_1-晉欣鮮食廠-2012年春節作業體制" xfId="322"/>
    <cellStyle name="_樂清9507租賃用品申請_96年月餅預購競賽獎勵案_96年月餅預購競賽獎勵案_97年春節保全回收報告書" xfId="323"/>
    <cellStyle name="_樂清9507租賃用品申請_96年月餅預購競賽獎勵案_96年月餅預購競賽獎勵案_97年春節保全回收報告書_1-晉欣鮮食廠-2012年春節作業體制" xfId="324"/>
    <cellStyle name="_樂清9507租賃用品申請_96年月餅預購競賽獎勵案_96年月餅預購競賽獎勵案_97年春節保全回收報告書_Book1" xfId="325"/>
    <cellStyle name="_樂清9507租賃用品申請_96年月餅預購競賽獎勵案_96年月餅預購競賽獎勵案_97年春節保全回收報告書_Book1_1-晉欣鮮食廠-2012年春節作業體制" xfId="326"/>
    <cellStyle name="_樂清9507租賃用品申請_96年月餅預購競賽獎勵案_96年月餅預購競賽獎勵案_97年春節保全回收報告書_春節作業手冊-981217" xfId="327"/>
    <cellStyle name="_樂清9507租賃用品申請_96年月餅預購競賽獎勵案_96年月餅預購競賽獎勵案_97年春節保全回收報告書_春節作業手冊-981217_1-晉欣鮮食廠-2012年春節作業體制" xfId="328"/>
    <cellStyle name="_樂清9507租賃用品申請_96年月餅預購競賽獎勵案_96年月餅預購競賽獎勵案_97年營業競賽提案報告書" xfId="329"/>
    <cellStyle name="_樂清9507租賃用品申請_96年月餅預購競賽獎勵案_96年月餅預購競賽獎勵案_97年營業競賽提案報告書_1-晉欣鮮食廠-2012年春節作業體制" xfId="330"/>
    <cellStyle name="_樂清9507租賃用品申請_96年月餅預購競賽獎勵案_96年月餅預購競賽獎勵案_97年營業競賽提案報告書_97年春節保全回收報告書" xfId="331"/>
    <cellStyle name="_樂清9507租賃用品申請_96年月餅預購競賽獎勵案_96年月餅預購競賽獎勵案_97年營業競賽提案報告書_97年春節保全回收報告書_1-晉欣鮮食廠-2012年春節作業體制" xfId="332"/>
    <cellStyle name="_樂清9507租賃用品申請_96年月餅預購競賽獎勵案_96年月餅預購競賽獎勵案_97年營業競賽提案報告書_97年春節保全回收報告書_Book1" xfId="333"/>
    <cellStyle name="_樂清9507租賃用品申請_96年月餅預購競賽獎勵案_96年月餅預購競賽獎勵案_97年營業競賽提案報告書_97年春節保全回收報告書_Book1_1-晉欣鮮食廠-2012年春節作業體制" xfId="334"/>
    <cellStyle name="_樂清9507租賃用品申請_96年月餅預購競賽獎勵案_96年月餅預購競賽獎勵案_97年營業競賽提案報告書_97年春節保全回收報告書_春節作業手冊-981217" xfId="335"/>
    <cellStyle name="_樂清9507租賃用品申請_96年月餅預購競賽獎勵案_96年月餅預購競賽獎勵案_97年營業競賽提案報告書_97年春節保全回收報告書_春節作業手冊-981217_1-晉欣鮮食廠-2012年春節作業體制" xfId="336"/>
    <cellStyle name="_樂清9507租賃用品申請_96年月餅預購競賽獎勵案_96年月餅預購競賽獎勵案_97年營業競賽提案報告書_97年營業競賽提案報告書" xfId="337"/>
    <cellStyle name="_樂清9507租賃用品申請_96年月餅預購競賽獎勵案_96年月餅預購競賽獎勵案_97年營業競賽提案報告書_97年營業競賽提案報告書_1-晉欣鮮食廠-2012年春節作業體制" xfId="338"/>
    <cellStyle name="_樂清9507租賃用品申請_96年月餅預購競賽獎勵案_96年月餅預購競賽獎勵案_97年營業競賽提案報告書_97年營業競賽提案報告書_97年春節保全回收報告書" xfId="339"/>
    <cellStyle name="_樂清9507租賃用品申請_96年月餅預購競賽獎勵案_96年月餅預購競賽獎勵案_97年營業競賽提案報告書_97年營業競賽提案報告書_97年春節保全回收報告書_1-晉欣鮮食廠-2012年春節作業體制" xfId="340"/>
    <cellStyle name="_樂清9507租賃用品申請_96年月餅預購競賽獎勵案_96年月餅預購競賽獎勵案_97年營業競賽提案報告書_97年營業競賽提案報告書_97年春節保全回收報告書_Book1" xfId="341"/>
    <cellStyle name="_樂清9507租賃用品申請_96年月餅預購競賽獎勵案_96年月餅預購競賽獎勵案_97年營業競賽提案報告書_97年營業競賽提案報告書_97年春節保全回收報告書_Book1_1-晉欣鮮食廠-2012年春節作業體制" xfId="342"/>
    <cellStyle name="_樂清9507租賃用品申請_96年月餅預購競賽獎勵案_96年月餅預購競賽獎勵案_97年營業競賽提案報告書_97年營業競賽提案報告書_97年春節保全回收報告書_春節作業手冊-981217" xfId="343"/>
    <cellStyle name="_樂清9507租賃用品申請_96年月餅預購競賽獎勵案_96年月餅預購競賽獎勵案_97年營業競賽提案報告書_97年營業競賽提案報告書_97年春節保全回收報告書_春節作業手冊-981217_1-晉欣鮮食廠-2012年春節作業體制" xfId="344"/>
    <cellStyle name="_樂清9507租賃用品申請_96年月餅預購競賽獎勵案_96年月餅預購競賽獎勵案_97年營業競賽提案報告書_97年營業競賽提案報告書_97年營業競賽提案報告書" xfId="345"/>
    <cellStyle name="_樂清9507租賃用品申請_96年月餅預購競賽獎勵案_96年月餅預購競賽獎勵案_97年營業競賽提案報告書_97年營業競賽提案報告書_97年營業競賽提案報告書_1-晉欣鮮食廠-2012年春節作業體制" xfId="346"/>
    <cellStyle name="_樂清9507租賃用品申請_96年月餅預購競賽獎勵案_96年月餅預購競賽獎勵案_97年營業競賽提案報告書_97年營業競賽提案報告書_97年營業競賽提案報告書_97年春節保全回收報告書" xfId="347"/>
    <cellStyle name="_樂清9507租賃用品申請_96年月餅預購競賽獎勵案_96年月餅預購競賽獎勵案_97年營業競賽提案報告書_97年營業競賽提案報告書_97年營業競賽提案報告書_97年春節保全回收報告書_1-晉欣鮮食廠-2012年春節作業體制" xfId="348"/>
    <cellStyle name="_樂清9507租賃用品申請_96年月餅預購競賽獎勵案_96年月餅預購競賽獎勵案_97年營業競賽提案報告書_97年營業競賽提案報告書_97年營業競賽提案報告書_97年春節保全回收報告書_Book1" xfId="349"/>
    <cellStyle name="_樂清9507租賃用品申請_96年月餅預購競賽獎勵案_96年月餅預購競賽獎勵案_97年營業競賽提案報告書_97年營業競賽提案報告書_97年營業競賽提案報告書_97年春節保全回收報告書_Book1_1-晉欣鮮食廠-2012年春節作業體制" xfId="350"/>
    <cellStyle name="_樂清9507租賃用品申請_96年月餅預購競賽獎勵案_96年月餅預購競賽獎勵案_97年營業競賽提案報告書_97年營業競賽提案報告書_97年營業競賽提案報告書_97年春節保全回收報告書_春節作業手冊-981217" xfId="351"/>
    <cellStyle name="_樂清9507租賃用品申請_96年月餅預購競賽獎勵案_96年月餅預購競賽獎勵案_97年營業競賽提案報告書_97年營業競賽提案報告書_97年營業競賽提案報告書_97年春節保全回收報告書_春節作業手冊-981217_1-晉欣鮮食廠-2012年春節作業體制" xfId="352"/>
    <cellStyle name="_樂清9507租賃用品申請_96年月餅預購競賽獎勵案_96年月餅預購競賽獎勵案_97年營業競賽提案報告書_97年營業競賽提案報告書_97年營業競賽提案報告書_Book1" xfId="353"/>
    <cellStyle name="_樂清9507租賃用品申請_96年月餅預購競賽獎勵案_96年月餅預購競賽獎勵案_97年營業競賽提案報告書_97年營業競賽提案報告書_97年營業競賽提案報告書_Book1_1-晉欣鮮食廠-2012年春節作業體制" xfId="354"/>
    <cellStyle name="_樂清9507租賃用品申請_96年月餅預購競賽獎勵案_96年月餅預購競賽獎勵案_97年營業競賽提案報告書_97年營業競賽提案報告書_97年營業競賽提案報告書_春節作業手冊-981217" xfId="355"/>
    <cellStyle name="_樂清9507租賃用品申請_96年月餅預購競賽獎勵案_96年月餅預購競賽獎勵案_97年營業競賽提案報告書_97年營業競賽提案報告書_97年營業競賽提案報告書_春節作業手冊-981217_1-晉欣鮮食廠-2012年春節作業體制" xfId="356"/>
    <cellStyle name="_樂清9507租賃用品申請_96年月餅預購競賽獎勵案_96年月餅預購競賽獎勵案_97年營業競賽提案報告書_97年營業競賽提案報告書_Book1" xfId="357"/>
    <cellStyle name="_樂清9507租賃用品申請_96年月餅預購競賽獎勵案_96年月餅預購競賽獎勵案_97年營業競賽提案報告書_97年營業競賽提案報告書_Book1_1-晉欣鮮食廠-2012年春節作業體制" xfId="358"/>
    <cellStyle name="_樂清9507租賃用品申請_96年月餅預購競賽獎勵案_96年月餅預購競賽獎勵案_97年營業競賽提案報告書_97年營業競賽提案報告書_春節作業手冊-981217" xfId="359"/>
    <cellStyle name="_樂清9507租賃用品申請_96年月餅預購競賽獎勵案_96年月餅預購競賽獎勵案_97年營業競賽提案報告書_97年營業競賽提案報告書_春節作業手冊-981217_1-晉欣鮮食廠-2012年春節作業體制" xfId="360"/>
    <cellStyle name="_樂清9507租賃用品申請_96年月餅預購競賽獎勵案_96年月餅預購競賽獎勵案_97年營業競賽提案報告書_Book1" xfId="361"/>
    <cellStyle name="_樂清9507租賃用品申請_96年月餅預購競賽獎勵案_96年月餅預購競賽獎勵案_97年營業競賽提案報告書_Book1_1-晉欣鮮食廠-2012年春節作業體制" xfId="362"/>
    <cellStyle name="_樂清9507租賃用品申請_96年月餅預購競賽獎勵案_96年月餅預購競賽獎勵案_97年營業競賽提案報告書_春節作業手冊-981217" xfId="363"/>
    <cellStyle name="_樂清9507租賃用品申請_96年月餅預購競賽獎勵案_96年月餅預購競賽獎勵案_97年營業競賽提案報告書_春節作業手冊-981217_1-晉欣鮮食廠-2012年春節作業體制" xfId="364"/>
    <cellStyle name="_樂清9507租賃用品申請_96年月餅預購競賽獎勵案_96年月餅預購競賽獎勵案_Book1" xfId="365"/>
    <cellStyle name="_樂清9507租賃用品申請_96年月餅預購競賽獎勵案_96年月餅預購競賽獎勵案_Book1_1-晉欣鮮食廠-2012年春節作業體制" xfId="366"/>
    <cellStyle name="_樂清9507租賃用品申請_96年月餅預購競賽獎勵案_96年月餅預購競賽獎勵案_春節作業手冊-981217" xfId="367"/>
    <cellStyle name="_樂清9507租賃用品申請_96年月餅預購競賽獎勵案_96年月餅預購競賽獎勵案_春節作業手冊-981217_1-晉欣鮮食廠-2012年春節作業體制" xfId="368"/>
    <cellStyle name="_樂清9507租賃用品申請_96年月餅預購競賽獎勵案_97年春節保全回收報告書" xfId="369"/>
    <cellStyle name="_樂清9507租賃用品申請_96年月餅預購競賽獎勵案_97年春節保全回收報告書_1-晉欣鮮食廠-2012年春節作業體制" xfId="370"/>
    <cellStyle name="_樂清9507租賃用品申請_96年月餅預購競賽獎勵案_97年春節保全回收報告書_Book1" xfId="371"/>
    <cellStyle name="_樂清9507租賃用品申請_96年月餅預購競賽獎勵案_97年春節保全回收報告書_Book1_1-晉欣鮮食廠-2012年春節作業體制" xfId="372"/>
    <cellStyle name="_樂清9507租賃用品申請_96年月餅預購競賽獎勵案_97年春節保全回收報告書_春節作業手冊-981217" xfId="373"/>
    <cellStyle name="_樂清9507租賃用品申請_96年月餅預購競賽獎勵案_97年春節保全回收報告書_春節作業手冊-981217_1-晉欣鮮食廠-2012年春節作業體制" xfId="374"/>
    <cellStyle name="_樂清9507租賃用品申請_96年月餅預購競賽獎勵案_97年營業競賽提案報告書" xfId="375"/>
    <cellStyle name="_樂清9507租賃用品申請_96年月餅預購競賽獎勵案_97年營業競賽提案報告書_1-晉欣鮮食廠-2012年春節作業體制" xfId="376"/>
    <cellStyle name="_樂清9507租賃用品申請_96年月餅預購競賽獎勵案_97年營業競賽提案報告書_97年春節保全回收報告書" xfId="377"/>
    <cellStyle name="_樂清9507租賃用品申請_96年月餅預購競賽獎勵案_97年營業競賽提案報告書_97年春節保全回收報告書_1-晉欣鮮食廠-2012年春節作業體制" xfId="378"/>
    <cellStyle name="_樂清9507租賃用品申請_96年月餅預購競賽獎勵案_97年營業競賽提案報告書_97年春節保全回收報告書_Book1" xfId="379"/>
    <cellStyle name="_樂清9507租賃用品申請_96年月餅預購競賽獎勵案_97年營業競賽提案報告書_97年春節保全回收報告書_Book1_1-晉欣鮮食廠-2012年春節作業體制" xfId="380"/>
    <cellStyle name="_樂清9507租賃用品申請_96年月餅預購競賽獎勵案_97年營業競賽提案報告書_97年春節保全回收報告書_春節作業手冊-981217" xfId="381"/>
    <cellStyle name="_樂清9507租賃用品申請_96年月餅預購競賽獎勵案_97年營業競賽提案報告書_97年春節保全回收報告書_春節作業手冊-981217_1-晉欣鮮食廠-2012年春節作業體制" xfId="382"/>
    <cellStyle name="_樂清9507租賃用品申請_96年月餅預購競賽獎勵案_97年營業競賽提案報告書_97年營業競賽提案報告書" xfId="383"/>
    <cellStyle name="_樂清9507租賃用品申請_96年月餅預購競賽獎勵案_97年營業競賽提案報告書_97年營業競賽提案報告書_1-晉欣鮮食廠-2012年春節作業體制" xfId="384"/>
    <cellStyle name="_樂清9507租賃用品申請_96年月餅預購競賽獎勵案_97年營業競賽提案報告書_97年營業競賽提案報告書_97年春節保全回收報告書" xfId="385"/>
    <cellStyle name="_樂清9507租賃用品申請_96年月餅預購競賽獎勵案_97年營業競賽提案報告書_97年營業競賽提案報告書_97年春節保全回收報告書_1-晉欣鮮食廠-2012年春節作業體制" xfId="386"/>
    <cellStyle name="_樂清9507租賃用品申請_96年月餅預購競賽獎勵案_97年營業競賽提案報告書_97年營業競賽提案報告書_97年春節保全回收報告書_Book1" xfId="387"/>
    <cellStyle name="_樂清9507租賃用品申請_96年月餅預購競賽獎勵案_97年營業競賽提案報告書_97年營業競賽提案報告書_97年春節保全回收報告書_Book1_1-晉欣鮮食廠-2012年春節作業體制" xfId="388"/>
    <cellStyle name="_樂清9507租賃用品申請_96年月餅預購競賽獎勵案_97年營業競賽提案報告書_97年營業競賽提案報告書_97年春節保全回收報告書_春節作業手冊-981217" xfId="389"/>
    <cellStyle name="_樂清9507租賃用品申請_96年月餅預購競賽獎勵案_97年營業競賽提案報告書_97年營業競賽提案報告書_97年春節保全回收報告書_春節作業手冊-981217_1-晉欣鮮食廠-2012年春節作業體制" xfId="390"/>
    <cellStyle name="_樂清9507租賃用品申請_96年月餅預購競賽獎勵案_97年營業競賽提案報告書_97年營業競賽提案報告書_97年營業競賽提案報告書" xfId="391"/>
    <cellStyle name="_樂清9507租賃用品申請_96年月餅預購競賽獎勵案_97年營業競賽提案報告書_97年營業競賽提案報告書_97年營業競賽提案報告書_1-晉欣鮮食廠-2012年春節作業體制" xfId="392"/>
    <cellStyle name="_樂清9507租賃用品申請_96年月餅預購競賽獎勵案_97年營業競賽提案報告書_97年營業競賽提案報告書_97年營業競賽提案報告書_97年春節保全回收報告書" xfId="393"/>
    <cellStyle name="_樂清9507租賃用品申請_96年月餅預購競賽獎勵案_97年營業競賽提案報告書_97年營業競賽提案報告書_97年營業競賽提案報告書_97年春節保全回收報告書_1-晉欣鮮食廠-2012年春節作業體制" xfId="394"/>
    <cellStyle name="_樂清9507租賃用品申請_96年月餅預購競賽獎勵案_97年營業競賽提案報告書_97年營業競賽提案報告書_97年營業競賽提案報告書_97年春節保全回收報告書_Book1" xfId="395"/>
    <cellStyle name="_樂清9507租賃用品申請_96年月餅預購競賽獎勵案_97年營業競賽提案報告書_97年營業競賽提案報告書_97年營業競賽提案報告書_97年春節保全回收報告書_Book1_1-晉欣鮮食廠-2012年春節作業體制" xfId="396"/>
    <cellStyle name="_樂清9507租賃用品申請_96年月餅預購競賽獎勵案_97年營業競賽提案報告書_97年營業競賽提案報告書_97年營業競賽提案報告書_97年春節保全回收報告書_春節作業手冊-981217" xfId="397"/>
    <cellStyle name="_樂清9507租賃用品申請_96年月餅預購競賽獎勵案_97年營業競賽提案報告書_97年營業競賽提案報告書_97年營業競賽提案報告書_97年春節保全回收報告書_春節作業手冊-981217_1-晉欣鮮食廠-2012年春節作業體制" xfId="398"/>
    <cellStyle name="_樂清9507租賃用品申請_96年月餅預購競賽獎勵案_97年營業競賽提案報告書_97年營業競賽提案報告書_97年營業競賽提案報告書_Book1" xfId="399"/>
    <cellStyle name="_樂清9507租賃用品申請_96年月餅預購競賽獎勵案_97年營業競賽提案報告書_97年營業競賽提案報告書_97年營業競賽提案報告書_Book1_1-晉欣鮮食廠-2012年春節作業體制" xfId="400"/>
    <cellStyle name="_樂清9507租賃用品申請_96年月餅預購競賽獎勵案_97年營業競賽提案報告書_97年營業競賽提案報告書_97年營業競賽提案報告書_春節作業手冊-981217" xfId="401"/>
    <cellStyle name="_樂清9507租賃用品申請_96年月餅預購競賽獎勵案_97年營業競賽提案報告書_97年營業競賽提案報告書_97年營業競賽提案報告書_春節作業手冊-981217_1-晉欣鮮食廠-2012年春節作業體制" xfId="402"/>
    <cellStyle name="_樂清9507租賃用品申請_96年月餅預購競賽獎勵案_97年營業競賽提案報告書_97年營業競賽提案報告書_Book1" xfId="403"/>
    <cellStyle name="_樂清9507租賃用品申請_96年月餅預購競賽獎勵案_97年營業競賽提案報告書_97年營業競賽提案報告書_Book1_1-晉欣鮮食廠-2012年春節作業體制" xfId="404"/>
    <cellStyle name="_樂清9507租賃用品申請_96年月餅預購競賽獎勵案_97年營業競賽提案報告書_97年營業競賽提案報告書_春節作業手冊-981217" xfId="405"/>
    <cellStyle name="_樂清9507租賃用品申請_96年月餅預購競賽獎勵案_97年營業競賽提案報告書_97年營業競賽提案報告書_春節作業手冊-981217_1-晉欣鮮食廠-2012年春節作業體制" xfId="406"/>
    <cellStyle name="_樂清9507租賃用品申請_96年月餅預購競賽獎勵案_97年營業競賽提案報告書_Book1" xfId="407"/>
    <cellStyle name="_樂清9507租賃用品申請_96年月餅預購競賽獎勵案_97年營業競賽提案報告書_Book1_1-晉欣鮮食廠-2012年春節作業體制" xfId="408"/>
    <cellStyle name="_樂清9507租賃用品申請_96年月餅預購競賽獎勵案_97年營業競賽提案報告書_春節作業手冊-981217" xfId="409"/>
    <cellStyle name="_樂清9507租賃用品申請_96年月餅預購競賽獎勵案_97年營業競賽提案報告書_春節作業手冊-981217_1-晉欣鮮食廠-2012年春節作業體制" xfId="410"/>
    <cellStyle name="_樂清9507租賃用品申請_96年月餅預購競賽獎勵案_Book1" xfId="411"/>
    <cellStyle name="_樂清9507租賃用品申請_96年月餅預購競賽獎勵案_Book1_1-晉欣鮮食廠-2012年春節作業體制" xfId="412"/>
    <cellStyle name="_樂清9507租賃用品申請_96年月餅預購競賽獎勵案_春節作業手冊-981217" xfId="413"/>
    <cellStyle name="_樂清9507租賃用品申請_96年月餅預購競賽獎勵案_春節作業手冊-981217_1-晉欣鮮食廠-2012年春節作業體制" xfId="414"/>
    <cellStyle name="_樂清9507租賃用品申請_97年春節保全回收報告書" xfId="415"/>
    <cellStyle name="_樂清9507租賃用品申請_97年春節保全回收報告書_1-晉欣鮮食廠-2012年春節作業體制" xfId="416"/>
    <cellStyle name="_樂清9507租賃用品申請_97年春節保全回收報告書_Book1" xfId="417"/>
    <cellStyle name="_樂清9507租賃用品申請_97年春節保全回收報告書_Book1_1-晉欣鮮食廠-2012年春節作業體制" xfId="418"/>
    <cellStyle name="_樂清9507租賃用品申請_97年春節保全回收報告書_春節作業手冊-981217" xfId="419"/>
    <cellStyle name="_樂清9507租賃用品申請_97年春節保全回收報告書_春節作業手冊-981217_1-晉欣鮮食廠-2012年春節作業體制" xfId="420"/>
    <cellStyle name="_樂清9507租賃用品申請_97年營業競賽提案報告書" xfId="421"/>
    <cellStyle name="_樂清9507租賃用品申請_97年營業競賽提案報告書_1-晉欣鮮食廠-2012年春節作業體制" xfId="422"/>
    <cellStyle name="_樂清9507租賃用品申請_97年營業競賽提案報告書_97年春節保全回收報告書" xfId="423"/>
    <cellStyle name="_樂清9507租賃用品申請_97年營業競賽提案報告書_97年春節保全回收報告書_1-晉欣鮮食廠-2012年春節作業體制" xfId="424"/>
    <cellStyle name="_樂清9507租賃用品申請_97年營業競賽提案報告書_97年春節保全回收報告書_Book1" xfId="425"/>
    <cellStyle name="_樂清9507租賃用品申請_97年營業競賽提案報告書_97年春節保全回收報告書_Book1_1-晉欣鮮食廠-2012年春節作業體制" xfId="426"/>
    <cellStyle name="_樂清9507租賃用品申請_97年營業競賽提案報告書_97年春節保全回收報告書_春節作業手冊-981217" xfId="427"/>
    <cellStyle name="_樂清9507租賃用品申請_97年營業競賽提案報告書_97年春節保全回收報告書_春節作業手冊-981217_1-晉欣鮮食廠-2012年春節作業體制" xfId="428"/>
    <cellStyle name="_樂清9507租賃用品申請_97年營業競賽提案報告書_97年營業競賽提案報告書" xfId="429"/>
    <cellStyle name="_樂清9507租賃用品申請_97年營業競賽提案報告書_97年營業競賽提案報告書_1-晉欣鮮食廠-2012年春節作業體制" xfId="430"/>
    <cellStyle name="_樂清9507租賃用品申請_97年營業競賽提案報告書_97年營業競賽提案報告書_97年春節保全回收報告書" xfId="431"/>
    <cellStyle name="_樂清9507租賃用品申請_97年營業競賽提案報告書_97年營業競賽提案報告書_97年春節保全回收報告書_1-晉欣鮮食廠-2012年春節作業體制" xfId="432"/>
    <cellStyle name="_樂清9507租賃用品申請_97年營業競賽提案報告書_97年營業競賽提案報告書_97年春節保全回收報告書_Book1" xfId="433"/>
    <cellStyle name="_樂清9507租賃用品申請_97年營業競賽提案報告書_97年營業競賽提案報告書_97年春節保全回收報告書_Book1_1-晉欣鮮食廠-2012年春節作業體制" xfId="434"/>
    <cellStyle name="_樂清9507租賃用品申請_97年營業競賽提案報告書_97年營業競賽提案報告書_97年春節保全回收報告書_春節作業手冊-981217" xfId="435"/>
    <cellStyle name="_樂清9507租賃用品申請_97年營業競賽提案報告書_97年營業競賽提案報告書_97年春節保全回收報告書_春節作業手冊-981217_1-晉欣鮮食廠-2012年春節作業體制" xfId="436"/>
    <cellStyle name="_樂清9507租賃用品申請_97年營業競賽提案報告書_97年營業競賽提案報告書_97年營業競賽提案報告書" xfId="437"/>
    <cellStyle name="_樂清9507租賃用品申請_97年營業競賽提案報告書_97年營業競賽提案報告書_97年營業競賽提案報告書_1-晉欣鮮食廠-2012年春節作業體制" xfId="438"/>
    <cellStyle name="_樂清9507租賃用品申請_97年營業競賽提案報告書_97年營業競賽提案報告書_97年營業競賽提案報告書_97年春節保全回收報告書" xfId="439"/>
    <cellStyle name="_樂清9507租賃用品申請_97年營業競賽提案報告書_97年營業競賽提案報告書_97年營業競賽提案報告書_97年春節保全回收報告書_1-晉欣鮮食廠-2012年春節作業體制" xfId="440"/>
    <cellStyle name="_樂清9507租賃用品申請_97年營業競賽提案報告書_97年營業競賽提案報告書_97年營業競賽提案報告書_97年春節保全回收報告書_Book1" xfId="441"/>
    <cellStyle name="_樂清9507租賃用品申請_97年營業競賽提案報告書_97年營業競賽提案報告書_97年營業競賽提案報告書_97年春節保全回收報告書_Book1_1-晉欣鮮食廠-2012年春節作業體制" xfId="442"/>
    <cellStyle name="_樂清9507租賃用品申請_97年營業競賽提案報告書_97年營業競賽提案報告書_97年營業競賽提案報告書_97年春節保全回收報告書_春節作業手冊-981217" xfId="443"/>
    <cellStyle name="_樂清9507租賃用品申請_97年營業競賽提案報告書_97年營業競賽提案報告書_97年營業競賽提案報告書_97年春節保全回收報告書_春節作業手冊-981217_1-晉欣鮮食廠-2012年春節作業體制" xfId="444"/>
    <cellStyle name="_樂清9507租賃用品申請_97年營業競賽提案報告書_97年營業競賽提案報告書_97年營業競賽提案報告書_Book1" xfId="445"/>
    <cellStyle name="_樂清9507租賃用品申請_97年營業競賽提案報告書_97年營業競賽提案報告書_97年營業競賽提案報告書_Book1_1-晉欣鮮食廠-2012年春節作業體制" xfId="446"/>
    <cellStyle name="_樂清9507租賃用品申請_97年營業競賽提案報告書_97年營業競賽提案報告書_97年營業競賽提案報告書_春節作業手冊-981217" xfId="447"/>
    <cellStyle name="_樂清9507租賃用品申請_97年營業競賽提案報告書_97年營業競賽提案報告書_97年營業競賽提案報告書_春節作業手冊-981217_1-晉欣鮮食廠-2012年春節作業體制" xfId="448"/>
    <cellStyle name="_樂清9507租賃用品申請_97年營業競賽提案報告書_97年營業競賽提案報告書_Book1" xfId="449"/>
    <cellStyle name="_樂清9507租賃用品申請_97年營業競賽提案報告書_97年營業競賽提案報告書_Book1_1-晉欣鮮食廠-2012年春節作業體制" xfId="450"/>
    <cellStyle name="_樂清9507租賃用品申請_97年營業競賽提案報告書_97年營業競賽提案報告書_春節作業手冊-981217" xfId="451"/>
    <cellStyle name="_樂清9507租賃用品申請_97年營業競賽提案報告書_97年營業競賽提案報告書_春節作業手冊-981217_1-晉欣鮮食廠-2012年春節作業體制" xfId="452"/>
    <cellStyle name="_樂清9507租賃用品申請_97年營業競賽提案報告書_Book1" xfId="453"/>
    <cellStyle name="_樂清9507租賃用品申請_97年營業競賽提案報告書_Book1_1-晉欣鮮食廠-2012年春節作業體制" xfId="454"/>
    <cellStyle name="_樂清9507租賃用品申請_97年營業競賽提案報告書_春節作業手冊-981217" xfId="455"/>
    <cellStyle name="_樂清9507租賃用品申請_97年營業競賽提案報告書_春節作業手冊-981217_1-晉欣鮮食廠-2012年春節作業體制" xfId="456"/>
    <cellStyle name="_樂清9507租賃用品申請_Book1" xfId="457"/>
    <cellStyle name="_樂清9507租賃用品申請_Book1_1-晉欣鮮食廠-2012年春節作業體制" xfId="458"/>
    <cellStyle name="_樂清9507租賃用品申請_春節作業手冊-981217" xfId="459"/>
    <cellStyle name="_樂清9507租賃用品申請_春節作業手冊-981217_1-晉欣鮮食廠-2012年春節作業體制" xfId="460"/>
    <cellStyle name="Normal - Style1" xfId="461"/>
    <cellStyle name="Normal_Co-wide Monthly" xfId="462"/>
    <cellStyle name="一般" xfId="0" builtinId="0"/>
    <cellStyle name="一般 10" xfId="469"/>
    <cellStyle name="一般 10 2" xfId="470"/>
    <cellStyle name="一般 11" xfId="471"/>
    <cellStyle name="一般 12" xfId="472"/>
    <cellStyle name="一般 13" xfId="473"/>
    <cellStyle name="一般 14" xfId="474"/>
    <cellStyle name="一般 15" xfId="475"/>
    <cellStyle name="一般 15 2" xfId="476"/>
    <cellStyle name="一般 16" xfId="477"/>
    <cellStyle name="一般 17" xfId="478"/>
    <cellStyle name="一般 18" xfId="479"/>
    <cellStyle name="一般 19" xfId="480"/>
    <cellStyle name="一般 2" xfId="1"/>
    <cellStyle name="一般 2 2" xfId="481"/>
    <cellStyle name="一般 2 2 2" xfId="9"/>
    <cellStyle name="一般 2 2 2 2" xfId="482"/>
    <cellStyle name="一般 2 2 3" xfId="483"/>
    <cellStyle name="一般 2 2 30 2 2 30 2" xfId="4"/>
    <cellStyle name="一般 2 2 30 2 2 30 2 2" xfId="12"/>
    <cellStyle name="一般 2 2 30 2 2 30 2 2 2" xfId="15"/>
    <cellStyle name="一般 2 2 30 2 2 30 2 2 3" xfId="16"/>
    <cellStyle name="一般 2 2 30 2 2 30 2 2 4" xfId="17"/>
    <cellStyle name="一般 2 2 30 2 3 2" xfId="6"/>
    <cellStyle name="一般 2 2 30 2 3 2 2 2" xfId="18"/>
    <cellStyle name="一般 2 2 30 3 30" xfId="7"/>
    <cellStyle name="一般 2 3" xfId="484"/>
    <cellStyle name="一般 2 4" xfId="485"/>
    <cellStyle name="一般 2 5" xfId="486"/>
    <cellStyle name="一般 2 6" xfId="487"/>
    <cellStyle name="一般 2 7" xfId="488"/>
    <cellStyle name="一般 2 8" xfId="489"/>
    <cellStyle name="一般 2 9" xfId="23"/>
    <cellStyle name="一般 20" xfId="490"/>
    <cellStyle name="一般 21" xfId="491"/>
    <cellStyle name="一般 22" xfId="492"/>
    <cellStyle name="一般 23" xfId="493"/>
    <cellStyle name="一般 24" xfId="21"/>
    <cellStyle name="一般 3" xfId="11"/>
    <cellStyle name="一般 3 2" xfId="494"/>
    <cellStyle name="一般 3 2 2" xfId="495"/>
    <cellStyle name="一般 3 3" xfId="496"/>
    <cellStyle name="一般 3 4" xfId="497"/>
    <cellStyle name="一般 3 5" xfId="498"/>
    <cellStyle name="一般 3 5 2" xfId="499"/>
    <cellStyle name="一般 3 6" xfId="500"/>
    <cellStyle name="一般 3 7" xfId="501"/>
    <cellStyle name="一般 3 8" xfId="463"/>
    <cellStyle name="一般 4" xfId="5"/>
    <cellStyle name="一般 4 2" xfId="502"/>
    <cellStyle name="一般 4 3" xfId="503"/>
    <cellStyle name="一般 4 4" xfId="464"/>
    <cellStyle name="一般 5" xfId="504"/>
    <cellStyle name="一般 5 2" xfId="505"/>
    <cellStyle name="一般 6" xfId="506"/>
    <cellStyle name="一般 6 2" xfId="507"/>
    <cellStyle name="一般 7" xfId="508"/>
    <cellStyle name="一般 8" xfId="509"/>
    <cellStyle name="一般 8 2" xfId="510"/>
    <cellStyle name="一般 9" xfId="511"/>
    <cellStyle name="一般 9 2" xfId="512"/>
    <cellStyle name="千分位" xfId="14" builtinId="3"/>
    <cellStyle name="千分位 2" xfId="2"/>
    <cellStyle name="千分位 2 2" xfId="514"/>
    <cellStyle name="千分位 2 3" xfId="515"/>
    <cellStyle name="千分位 2 4" xfId="516"/>
    <cellStyle name="千分位 2 5" xfId="517"/>
    <cellStyle name="千分位 2 6" xfId="518"/>
    <cellStyle name="千分位 2 7" xfId="519"/>
    <cellStyle name="千分位 2 8" xfId="513"/>
    <cellStyle name="千分位 3" xfId="19"/>
    <cellStyle name="千分位 3 2" xfId="520"/>
    <cellStyle name="千分位 4" xfId="521"/>
    <cellStyle name="千分位 5" xfId="522"/>
    <cellStyle name="千分位 5 2" xfId="523"/>
    <cellStyle name="千分位 6" xfId="524"/>
    <cellStyle name="千分位 7" xfId="525"/>
    <cellStyle name="千分位 8" xfId="526"/>
    <cellStyle name="千分位 9" xfId="576"/>
    <cellStyle name="好_1001024-晉欣重要管制流程 (3)" xfId="527"/>
    <cellStyle name="好_Sheet1" xfId="528"/>
    <cellStyle name="好_工作日報表---" xfId="529"/>
    <cellStyle name="好_晉欣重要管制流程-油炸作業" xfId="530"/>
    <cellStyle name="好_晉欣重要管制流程-原物料驗收" xfId="531"/>
    <cellStyle name="好_晉欣重要管制流程-烤箱作業" xfId="532"/>
    <cellStyle name="好_晉欣重要管制流程-理貨作業" xfId="533"/>
    <cellStyle name="好_晉欣重要管制流程-煮麵作業" xfId="534"/>
    <cellStyle name="好_晉欣重要管制流程-飯糰機操作&amp;丼飯作業&amp;三明治&amp;標籤&amp;炊飯&amp;美生菜" xfId="535"/>
    <cellStyle name="好_晉欣重要管制流程-準備室作業" xfId="536"/>
    <cellStyle name="好_晉欣重要管制流程-補料作業" xfId="537"/>
    <cellStyle name="好_配料相關一、二--------" xfId="538"/>
    <cellStyle name="百分比 2" xfId="8"/>
    <cellStyle name="百分比 2 2" xfId="10"/>
    <cellStyle name="百分比 2 2 2" xfId="20"/>
    <cellStyle name="百分比 2 2 2 2" xfId="540"/>
    <cellStyle name="百分比 2 2 3" xfId="539"/>
    <cellStyle name="百分比 2 3" xfId="541"/>
    <cellStyle name="百分比 2 4" xfId="542"/>
    <cellStyle name="百分比 2 5" xfId="24"/>
    <cellStyle name="百分比 3" xfId="3"/>
    <cellStyle name="百分比 3 2" xfId="544"/>
    <cellStyle name="百分比 3 3" xfId="545"/>
    <cellStyle name="百分比 3 4" xfId="543"/>
    <cellStyle name="百分比 4" xfId="13"/>
    <cellStyle name="百分比 4 2" xfId="547"/>
    <cellStyle name="百分比 4 2 2" xfId="548"/>
    <cellStyle name="百分比 4 2 2 2" xfId="549"/>
    <cellStyle name="百分比 4 2 3" xfId="550"/>
    <cellStyle name="百分比 4 3" xfId="551"/>
    <cellStyle name="百分比 4 3 2" xfId="552"/>
    <cellStyle name="百分比 4 3 2 2" xfId="553"/>
    <cellStyle name="百分比 4 3 2 2 2" xfId="554"/>
    <cellStyle name="百分比 4 3 2 2 2 2" xfId="555"/>
    <cellStyle name="百分比 4 3 2 2 2 2 2" xfId="556"/>
    <cellStyle name="百分比 4 4" xfId="557"/>
    <cellStyle name="百分比 4 5" xfId="546"/>
    <cellStyle name="百分比 5" xfId="558"/>
    <cellStyle name="百分比 5 2" xfId="559"/>
    <cellStyle name="百分比 5 3" xfId="560"/>
    <cellStyle name="百分比 6" xfId="561"/>
    <cellStyle name="百分比 7" xfId="22"/>
    <cellStyle name="貨幣 2" xfId="562"/>
    <cellStyle name="貨幣[0]_ AUDIT" xfId="465"/>
    <cellStyle name="超連結 2" xfId="466"/>
    <cellStyle name="標準 2_關所SOP" xfId="563"/>
    <cellStyle name="樣式 1" xfId="467"/>
    <cellStyle name="樣式 2" xfId="468"/>
    <cellStyle name="壞_1001024-晉欣重要管制流程 (3)" xfId="564"/>
    <cellStyle name="壞_Sheet1" xfId="565"/>
    <cellStyle name="壞_工作日報表---" xfId="566"/>
    <cellStyle name="壞_晉欣重要管制流程-油炸作業" xfId="567"/>
    <cellStyle name="壞_晉欣重要管制流程-原物料驗收" xfId="568"/>
    <cellStyle name="壞_晉欣重要管制流程-烤箱作業" xfId="569"/>
    <cellStyle name="壞_晉欣重要管制流程-理貨作業" xfId="570"/>
    <cellStyle name="壞_晉欣重要管制流程-煮麵作業" xfId="571"/>
    <cellStyle name="壞_晉欣重要管制流程-飯糰機操作&amp;丼飯作業&amp;三明治&amp;標籤&amp;炊飯&amp;美生菜" xfId="572"/>
    <cellStyle name="壞_晉欣重要管制流程-準備室作業" xfId="573"/>
    <cellStyle name="壞_晉欣重要管制流程-補料作業" xfId="574"/>
    <cellStyle name="壞_配料相關一、二--------" xfId="575"/>
  </cellStyles>
  <dxfs count="51"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66259</xdr:colOff>
      <xdr:row>15</xdr:row>
      <xdr:rowOff>74543</xdr:rowOff>
    </xdr:from>
    <xdr:to>
      <xdr:col>12</xdr:col>
      <xdr:colOff>627283</xdr:colOff>
      <xdr:row>29</xdr:row>
      <xdr:rowOff>132521</xdr:rowOff>
    </xdr:to>
    <xdr:pic>
      <xdr:nvPicPr>
        <xdr:cNvPr id="2" name="圖片 1">
          <a:extLst>
            <a:ext uri="{FF2B5EF4-FFF2-40B4-BE49-F238E27FC236}">
              <a16:creationId xmlns="" xmlns:a16="http://schemas.microsoft.com/office/drawing/2014/main" id="{00000000-0008-0000-1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259" y="3602934"/>
          <a:ext cx="8934741" cy="2840935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A1:AA55"/>
  <sheetViews>
    <sheetView zoomScaleNormal="100" workbookViewId="0">
      <selection activeCell="E17" sqref="E17"/>
    </sheetView>
  </sheetViews>
  <sheetFormatPr defaultColWidth="12.5703125" defaultRowHeight="15.75" customHeight="1"/>
  <cols>
    <col min="1" max="2" width="12.5703125" style="2" customWidth="1"/>
    <col min="3" max="16384" width="12.5703125" style="2"/>
  </cols>
  <sheetData>
    <row r="1" spans="1:23" ht="15.75" customHeight="1">
      <c r="A1" s="1"/>
      <c r="G1" s="1"/>
      <c r="M1" s="1"/>
      <c r="S1" s="1"/>
    </row>
    <row r="2" spans="1:23" ht="15.75" customHeight="1">
      <c r="A2" s="3">
        <v>7</v>
      </c>
      <c r="B2" s="49" t="s">
        <v>73</v>
      </c>
      <c r="C2" s="48" t="s">
        <v>74</v>
      </c>
      <c r="D2" s="5" t="s">
        <v>0</v>
      </c>
      <c r="E2" s="6"/>
      <c r="G2" s="1"/>
      <c r="M2" s="1"/>
      <c r="S2" s="1"/>
    </row>
    <row r="3" spans="1:23" ht="15.75" customHeight="1">
      <c r="A3" s="1"/>
      <c r="G3" s="1"/>
      <c r="M3" s="1"/>
      <c r="S3" s="1"/>
    </row>
    <row r="4" spans="1:23" ht="15.75" customHeight="1">
      <c r="A4" s="61" t="s">
        <v>21</v>
      </c>
      <c r="B4" s="68"/>
      <c r="C4" s="68"/>
      <c r="D4" s="68"/>
      <c r="E4" s="62" t="s">
        <v>23</v>
      </c>
      <c r="G4" s="61" t="s">
        <v>71</v>
      </c>
      <c r="H4" s="68"/>
      <c r="I4" s="68"/>
      <c r="J4" s="68"/>
      <c r="K4" s="68"/>
      <c r="M4" s="61" t="s">
        <v>32</v>
      </c>
      <c r="N4" s="68"/>
      <c r="O4" s="68"/>
      <c r="P4" s="68"/>
      <c r="Q4" s="68"/>
      <c r="R4" s="68"/>
      <c r="S4" s="61" t="s">
        <v>33</v>
      </c>
      <c r="T4" s="68"/>
      <c r="U4" s="68"/>
      <c r="V4" s="68"/>
      <c r="W4" s="68"/>
    </row>
    <row r="5" spans="1:23" ht="15.75" customHeight="1">
      <c r="A5" s="7"/>
      <c r="B5" s="50" t="s">
        <v>22</v>
      </c>
      <c r="C5" s="7" t="s">
        <v>1</v>
      </c>
      <c r="D5" s="7" t="s">
        <v>2</v>
      </c>
      <c r="E5" s="7" t="s">
        <v>3</v>
      </c>
      <c r="G5" s="7"/>
      <c r="H5" s="50" t="s">
        <v>69</v>
      </c>
      <c r="I5" s="50" t="s">
        <v>70</v>
      </c>
      <c r="J5" s="50" t="s">
        <v>67</v>
      </c>
      <c r="K5" s="7" t="s">
        <v>3</v>
      </c>
      <c r="L5" s="63" t="s">
        <v>60</v>
      </c>
      <c r="M5" s="7"/>
      <c r="N5" s="50" t="s">
        <v>22</v>
      </c>
      <c r="O5" s="50" t="s">
        <v>66</v>
      </c>
      <c r="P5" s="50" t="s">
        <v>67</v>
      </c>
      <c r="Q5" s="50" t="s">
        <v>68</v>
      </c>
      <c r="R5" s="68"/>
      <c r="S5" s="7"/>
      <c r="T5" s="50" t="s">
        <v>22</v>
      </c>
      <c r="U5" s="50" t="s">
        <v>66</v>
      </c>
      <c r="V5" s="50" t="s">
        <v>67</v>
      </c>
      <c r="W5" s="50" t="s">
        <v>68</v>
      </c>
    </row>
    <row r="6" spans="1:23" ht="15.75" customHeight="1">
      <c r="A6" s="50" t="s">
        <v>24</v>
      </c>
      <c r="B6" s="9">
        <v>500000</v>
      </c>
      <c r="C6" s="9">
        <v>510000</v>
      </c>
      <c r="D6" s="10">
        <f t="shared" ref="D6:D11" si="0">B6-C6</f>
        <v>-10000</v>
      </c>
      <c r="E6" s="9">
        <f>B6+C6</f>
        <v>1010000</v>
      </c>
      <c r="G6" s="50" t="s">
        <v>30</v>
      </c>
      <c r="H6" s="11">
        <v>110</v>
      </c>
      <c r="I6" s="11">
        <v>100</v>
      </c>
      <c r="J6" s="11">
        <v>90</v>
      </c>
      <c r="K6" s="12"/>
      <c r="L6" s="63" t="s">
        <v>61</v>
      </c>
      <c r="M6" s="50" t="s">
        <v>34</v>
      </c>
      <c r="N6" s="9">
        <v>150000</v>
      </c>
      <c r="O6" s="13">
        <f t="shared" ref="O6:O13" si="1">IFERROR(N6/$B$6,"")</f>
        <v>0.3</v>
      </c>
      <c r="P6" s="14">
        <v>0.4</v>
      </c>
      <c r="Q6" s="13">
        <f t="shared" ref="Q6:Q13" si="2">IFERROR(O6-P6,"")</f>
        <v>-0.10000000000000003</v>
      </c>
      <c r="S6" s="50" t="s">
        <v>34</v>
      </c>
      <c r="T6" s="9">
        <v>35000</v>
      </c>
      <c r="U6" s="13">
        <f t="shared" ref="U6:U13" si="3">IFERROR(T6/$B$7,"")</f>
        <v>0.35</v>
      </c>
      <c r="V6" s="14">
        <v>0.3</v>
      </c>
      <c r="W6" s="13">
        <f t="shared" ref="W6:W13" si="4">IFERROR(U6-V6,"")</f>
        <v>4.9999999999999989E-2</v>
      </c>
    </row>
    <row r="7" spans="1:23" ht="15.75" customHeight="1">
      <c r="A7" s="50" t="s">
        <v>25</v>
      </c>
      <c r="B7" s="9">
        <v>100000</v>
      </c>
      <c r="C7" s="9">
        <v>110000</v>
      </c>
      <c r="D7" s="10">
        <f t="shared" si="0"/>
        <v>-10000</v>
      </c>
      <c r="E7" s="9">
        <f>B7+C7</f>
        <v>210000</v>
      </c>
      <c r="G7" s="54" t="s">
        <v>31</v>
      </c>
      <c r="H7" s="14">
        <v>0.8</v>
      </c>
      <c r="I7" s="14">
        <v>0.85</v>
      </c>
      <c r="J7" s="14">
        <v>0.81</v>
      </c>
      <c r="K7" s="14">
        <v>0.84</v>
      </c>
      <c r="L7" s="67" t="s">
        <v>4</v>
      </c>
      <c r="M7" s="50" t="s">
        <v>35</v>
      </c>
      <c r="N7" s="9">
        <v>100000</v>
      </c>
      <c r="O7" s="13">
        <f t="shared" si="1"/>
        <v>0.2</v>
      </c>
      <c r="P7" s="14">
        <v>0.15</v>
      </c>
      <c r="Q7" s="13">
        <f t="shared" si="2"/>
        <v>5.0000000000000017E-2</v>
      </c>
      <c r="S7" s="50" t="s">
        <v>35</v>
      </c>
      <c r="T7" s="9">
        <v>30000</v>
      </c>
      <c r="U7" s="13">
        <f t="shared" si="3"/>
        <v>0.3</v>
      </c>
      <c r="V7" s="14">
        <v>0.15</v>
      </c>
      <c r="W7" s="13">
        <f t="shared" si="4"/>
        <v>0.15</v>
      </c>
    </row>
    <row r="8" spans="1:23" ht="15.75" customHeight="1">
      <c r="A8" s="7" t="s">
        <v>5</v>
      </c>
      <c r="B8" s="9">
        <v>250000</v>
      </c>
      <c r="C8" s="9">
        <v>260000</v>
      </c>
      <c r="D8" s="10">
        <f t="shared" si="0"/>
        <v>-10000</v>
      </c>
      <c r="E8" s="9">
        <f>B8+C8</f>
        <v>510000</v>
      </c>
      <c r="G8" s="50" t="s">
        <v>26</v>
      </c>
      <c r="H8" s="14">
        <v>2.5000000000000001E-3</v>
      </c>
      <c r="I8" s="14">
        <v>2.3999999999999998E-3</v>
      </c>
      <c r="J8" s="14">
        <v>2.3E-3</v>
      </c>
      <c r="K8" s="14">
        <v>2.3500000000000001E-3</v>
      </c>
      <c r="L8" s="63" t="s">
        <v>55</v>
      </c>
      <c r="M8" s="50" t="s">
        <v>36</v>
      </c>
      <c r="N8" s="9">
        <v>160000</v>
      </c>
      <c r="O8" s="13">
        <f t="shared" si="1"/>
        <v>0.32</v>
      </c>
      <c r="P8" s="14">
        <v>0.28000000000000003</v>
      </c>
      <c r="Q8" s="13">
        <f t="shared" si="2"/>
        <v>3.999999999999998E-2</v>
      </c>
      <c r="S8" s="50" t="s">
        <v>36</v>
      </c>
      <c r="T8" s="9">
        <v>20000</v>
      </c>
      <c r="U8" s="13">
        <f t="shared" si="3"/>
        <v>0.2</v>
      </c>
      <c r="V8" s="14">
        <v>0.28000000000000003</v>
      </c>
      <c r="W8" s="13">
        <f t="shared" si="4"/>
        <v>-8.0000000000000016E-2</v>
      </c>
    </row>
    <row r="9" spans="1:23" ht="15.75" customHeight="1">
      <c r="A9" s="7" t="s">
        <v>6</v>
      </c>
      <c r="B9" s="14">
        <f>B8/B6</f>
        <v>0.5</v>
      </c>
      <c r="C9" s="14">
        <f>C8/C6</f>
        <v>0.50980392156862742</v>
      </c>
      <c r="D9" s="13">
        <f t="shared" si="0"/>
        <v>-9.8039215686274161E-3</v>
      </c>
      <c r="E9" s="14">
        <f>(B9+C9)/2</f>
        <v>0.50490196078431371</v>
      </c>
      <c r="G9" s="50" t="s">
        <v>27</v>
      </c>
      <c r="H9" s="14">
        <v>6.0000000000000001E-3</v>
      </c>
      <c r="I9" s="14">
        <v>8.9999999999999993E-3</v>
      </c>
      <c r="J9" s="14">
        <v>9.4999999999999998E-3</v>
      </c>
      <c r="K9" s="14">
        <v>9.1999999999999998E-3</v>
      </c>
      <c r="L9" s="63" t="s">
        <v>104</v>
      </c>
      <c r="M9" s="50" t="s">
        <v>44</v>
      </c>
      <c r="N9" s="9">
        <v>90000</v>
      </c>
      <c r="O9" s="13">
        <f t="shared" si="1"/>
        <v>0.18</v>
      </c>
      <c r="P9" s="14">
        <v>0.17</v>
      </c>
      <c r="Q9" s="13">
        <f t="shared" si="2"/>
        <v>9.9999999999999811E-3</v>
      </c>
      <c r="S9" s="50" t="s">
        <v>44</v>
      </c>
      <c r="T9" s="9">
        <v>15000</v>
      </c>
      <c r="U9" s="13">
        <f t="shared" si="3"/>
        <v>0.15</v>
      </c>
      <c r="V9" s="14">
        <v>0.27</v>
      </c>
      <c r="W9" s="13">
        <f t="shared" si="4"/>
        <v>-0.12000000000000002</v>
      </c>
    </row>
    <row r="10" spans="1:23" ht="15.75" customHeight="1">
      <c r="A10" s="50" t="s">
        <v>64</v>
      </c>
      <c r="B10" s="9">
        <v>100000</v>
      </c>
      <c r="C10" s="9">
        <v>105000</v>
      </c>
      <c r="D10" s="10">
        <f t="shared" si="0"/>
        <v>-5000</v>
      </c>
      <c r="E10" s="9">
        <f>B10+C10</f>
        <v>205000</v>
      </c>
      <c r="G10" s="50" t="s">
        <v>28</v>
      </c>
      <c r="H10" s="14">
        <v>0.95</v>
      </c>
      <c r="I10" s="14">
        <v>0.9</v>
      </c>
      <c r="J10" s="14">
        <v>0.92</v>
      </c>
      <c r="K10" s="14">
        <v>0.91</v>
      </c>
      <c r="L10" s="67" t="s">
        <v>7</v>
      </c>
      <c r="M10" s="50" t="s">
        <v>37</v>
      </c>
      <c r="N10" s="9" t="s">
        <v>8</v>
      </c>
      <c r="O10" s="13" t="str">
        <f t="shared" si="1"/>
        <v/>
      </c>
      <c r="P10" s="4" t="s">
        <v>9</v>
      </c>
      <c r="Q10" s="13" t="str">
        <f t="shared" si="2"/>
        <v/>
      </c>
      <c r="S10" s="50" t="s">
        <v>37</v>
      </c>
      <c r="T10" s="9" t="s">
        <v>8</v>
      </c>
      <c r="U10" s="13" t="str">
        <f t="shared" si="3"/>
        <v/>
      </c>
      <c r="V10" s="4" t="s">
        <v>9</v>
      </c>
      <c r="W10" s="13" t="str">
        <f t="shared" si="4"/>
        <v/>
      </c>
    </row>
    <row r="11" spans="1:23" ht="15.75" customHeight="1">
      <c r="A11" s="50" t="s">
        <v>65</v>
      </c>
      <c r="B11" s="14">
        <f>B10/B6</f>
        <v>0.2</v>
      </c>
      <c r="C11" s="14">
        <f>C10/C6</f>
        <v>0.20588235294117646</v>
      </c>
      <c r="D11" s="13">
        <f t="shared" si="0"/>
        <v>-5.8823529411764497E-3</v>
      </c>
      <c r="E11" s="14">
        <f>(B11+C11)/2</f>
        <v>0.20294117647058824</v>
      </c>
      <c r="G11" s="50" t="s">
        <v>29</v>
      </c>
      <c r="H11" s="14">
        <v>0.8</v>
      </c>
      <c r="I11" s="14">
        <v>0.85</v>
      </c>
      <c r="J11" s="14">
        <v>1</v>
      </c>
      <c r="K11" s="14">
        <v>0.92</v>
      </c>
      <c r="L11" s="63" t="s">
        <v>62</v>
      </c>
      <c r="M11" s="50" t="s">
        <v>38</v>
      </c>
      <c r="N11" s="9" t="s">
        <v>8</v>
      </c>
      <c r="O11" s="13" t="str">
        <f t="shared" si="1"/>
        <v/>
      </c>
      <c r="P11" s="4" t="s">
        <v>9</v>
      </c>
      <c r="Q11" s="13" t="str">
        <f t="shared" si="2"/>
        <v/>
      </c>
      <c r="S11" s="50" t="s">
        <v>38</v>
      </c>
      <c r="T11" s="9" t="s">
        <v>8</v>
      </c>
      <c r="U11" s="13" t="str">
        <f t="shared" si="3"/>
        <v/>
      </c>
      <c r="V11" s="4" t="s">
        <v>9</v>
      </c>
      <c r="W11" s="13" t="str">
        <f t="shared" si="4"/>
        <v/>
      </c>
    </row>
    <row r="12" spans="1:23" ht="15.75" customHeight="1">
      <c r="M12" s="50" t="s">
        <v>39</v>
      </c>
      <c r="N12" s="9" t="s">
        <v>8</v>
      </c>
      <c r="O12" s="13" t="str">
        <f t="shared" si="1"/>
        <v/>
      </c>
      <c r="P12" s="4" t="s">
        <v>9</v>
      </c>
      <c r="Q12" s="13" t="str">
        <f t="shared" si="2"/>
        <v/>
      </c>
      <c r="S12" s="50" t="s">
        <v>39</v>
      </c>
      <c r="T12" s="9" t="s">
        <v>8</v>
      </c>
      <c r="U12" s="13" t="str">
        <f t="shared" si="3"/>
        <v/>
      </c>
      <c r="V12" s="4" t="s">
        <v>9</v>
      </c>
      <c r="W12" s="13" t="str">
        <f t="shared" si="4"/>
        <v/>
      </c>
    </row>
    <row r="13" spans="1:23" ht="15.75" customHeight="1">
      <c r="A13" s="61" t="s">
        <v>63</v>
      </c>
      <c r="B13" s="68"/>
      <c r="C13" s="68"/>
      <c r="D13" s="68"/>
      <c r="E13" s="68"/>
      <c r="F13" s="68"/>
      <c r="G13" s="47"/>
      <c r="H13" s="47"/>
      <c r="I13" s="47"/>
      <c r="J13" s="47"/>
      <c r="K13" s="47"/>
      <c r="M13" s="50" t="s">
        <v>40</v>
      </c>
      <c r="N13" s="9" t="s">
        <v>8</v>
      </c>
      <c r="O13" s="13" t="str">
        <f t="shared" si="1"/>
        <v/>
      </c>
      <c r="P13" s="4" t="s">
        <v>9</v>
      </c>
      <c r="Q13" s="13" t="str">
        <f t="shared" si="2"/>
        <v/>
      </c>
      <c r="S13" s="50" t="s">
        <v>40</v>
      </c>
      <c r="T13" s="9" t="s">
        <v>8</v>
      </c>
      <c r="U13" s="13" t="str">
        <f t="shared" si="3"/>
        <v/>
      </c>
      <c r="V13" s="4" t="s">
        <v>9</v>
      </c>
      <c r="W13" s="13" t="str">
        <f t="shared" si="4"/>
        <v/>
      </c>
    </row>
    <row r="14" spans="1:23" ht="12.75">
      <c r="A14" s="7"/>
      <c r="B14" s="50" t="s">
        <v>22</v>
      </c>
      <c r="C14" s="7" t="s">
        <v>1</v>
      </c>
      <c r="D14" s="7" t="s">
        <v>2</v>
      </c>
      <c r="E14" s="7" t="s">
        <v>3</v>
      </c>
      <c r="F14" s="68"/>
      <c r="G14" s="7"/>
      <c r="H14" s="50" t="s">
        <v>22</v>
      </c>
      <c r="I14" s="7" t="s">
        <v>1</v>
      </c>
      <c r="J14" s="7" t="s">
        <v>2</v>
      </c>
      <c r="K14" s="7" t="s">
        <v>3</v>
      </c>
      <c r="O14" s="15">
        <f>SUM(O6:O13)</f>
        <v>1</v>
      </c>
      <c r="P14" s="15">
        <f>SUM(P6:P13)</f>
        <v>1</v>
      </c>
      <c r="U14" s="15">
        <f>SUM(U6:U13)</f>
        <v>0.99999999999999989</v>
      </c>
      <c r="V14" s="15">
        <f>SUM(V6:V13)</f>
        <v>1</v>
      </c>
    </row>
    <row r="15" spans="1:23" ht="15.75" customHeight="1">
      <c r="A15" s="50" t="s">
        <v>34</v>
      </c>
      <c r="B15" s="4">
        <v>600</v>
      </c>
      <c r="C15" s="4">
        <v>660</v>
      </c>
      <c r="D15" s="16">
        <f>B15-C15</f>
        <v>-60</v>
      </c>
      <c r="E15" s="17">
        <f>(B15+C15)/2</f>
        <v>630</v>
      </c>
      <c r="G15" s="50" t="s">
        <v>37</v>
      </c>
      <c r="H15" s="4"/>
      <c r="I15" s="4"/>
      <c r="J15" s="16">
        <f>H15-I15</f>
        <v>0</v>
      </c>
      <c r="K15" s="17"/>
      <c r="M15" s="61" t="s">
        <v>72</v>
      </c>
      <c r="N15" s="68"/>
      <c r="O15" s="68"/>
      <c r="P15" s="68"/>
      <c r="Q15" s="68"/>
      <c r="R15" s="68"/>
      <c r="S15" s="68"/>
    </row>
    <row r="16" spans="1:23" ht="15.75" customHeight="1">
      <c r="A16" s="50" t="s">
        <v>35</v>
      </c>
      <c r="B16" s="4">
        <v>800</v>
      </c>
      <c r="C16" s="4">
        <v>780</v>
      </c>
      <c r="D16" s="16">
        <f>B16-C16</f>
        <v>20</v>
      </c>
      <c r="E16" s="17">
        <f>(B16+C16)/2</f>
        <v>790</v>
      </c>
      <c r="G16" s="50" t="s">
        <v>38</v>
      </c>
      <c r="H16" s="4"/>
      <c r="I16" s="4"/>
      <c r="J16" s="16">
        <f>H16-I16</f>
        <v>0</v>
      </c>
      <c r="K16" s="17"/>
      <c r="M16" s="18"/>
      <c r="N16" s="46" t="s">
        <v>10</v>
      </c>
      <c r="O16" s="19"/>
      <c r="P16" s="59" t="s">
        <v>42</v>
      </c>
      <c r="Q16" s="19"/>
      <c r="R16" s="52" t="s">
        <v>43</v>
      </c>
      <c r="S16" s="19"/>
    </row>
    <row r="17" spans="1:27" ht="15.75" customHeight="1">
      <c r="A17" s="50" t="s">
        <v>36</v>
      </c>
      <c r="B17" s="4">
        <v>130</v>
      </c>
      <c r="C17" s="4">
        <v>111</v>
      </c>
      <c r="D17" s="16">
        <f>B17-C17</f>
        <v>19</v>
      </c>
      <c r="E17" s="17">
        <f>(B17+C17)/2</f>
        <v>120.5</v>
      </c>
      <c r="G17" s="50" t="s">
        <v>39</v>
      </c>
      <c r="H17" s="4"/>
      <c r="I17" s="4"/>
      <c r="J17" s="16">
        <f>H17-I17</f>
        <v>0</v>
      </c>
      <c r="K17" s="17"/>
      <c r="M17" s="20"/>
      <c r="N17" s="21" t="s">
        <v>11</v>
      </c>
      <c r="O17" s="51" t="s">
        <v>41</v>
      </c>
      <c r="P17" s="8" t="s">
        <v>11</v>
      </c>
      <c r="Q17" s="51" t="s">
        <v>41</v>
      </c>
      <c r="R17" s="8" t="s">
        <v>11</v>
      </c>
      <c r="S17" s="51" t="s">
        <v>41</v>
      </c>
    </row>
    <row r="18" spans="1:27" ht="15.75" customHeight="1">
      <c r="A18" s="50" t="s">
        <v>44</v>
      </c>
      <c r="B18" s="4">
        <v>140</v>
      </c>
      <c r="C18" s="4">
        <v>165</v>
      </c>
      <c r="D18" s="16">
        <f>B18-C18</f>
        <v>-25</v>
      </c>
      <c r="E18" s="17">
        <f>(B18+C18)/2</f>
        <v>152.5</v>
      </c>
      <c r="G18" s="50" t="s">
        <v>40</v>
      </c>
      <c r="H18" s="4"/>
      <c r="I18" s="4"/>
      <c r="J18" s="16">
        <f>H18-I18</f>
        <v>0</v>
      </c>
      <c r="K18" s="17"/>
      <c r="M18" s="50" t="s">
        <v>26</v>
      </c>
      <c r="N18" s="9">
        <v>1200</v>
      </c>
      <c r="O18" s="13">
        <f>N18/$B$6</f>
        <v>2.3999999999999998E-3</v>
      </c>
      <c r="P18" s="9">
        <v>900</v>
      </c>
      <c r="Q18" s="13">
        <f>IFERROR(P18/$B$6,"")</f>
        <v>1.8E-3</v>
      </c>
      <c r="R18" s="9">
        <v>300</v>
      </c>
      <c r="S18" s="13">
        <f>IFERROR(R18/$B$6,"")</f>
        <v>5.9999999999999995E-4</v>
      </c>
    </row>
    <row r="19" spans="1:27" ht="15.75" customHeight="1">
      <c r="M19" s="50" t="s">
        <v>27</v>
      </c>
      <c r="N19" s="9">
        <v>4500</v>
      </c>
      <c r="O19" s="13">
        <f>N19/$B$6</f>
        <v>8.9999999999999993E-3</v>
      </c>
      <c r="P19" s="9">
        <v>3500</v>
      </c>
      <c r="Q19" s="13">
        <f>IFERROR(P19/$B$6,"")</f>
        <v>7.0000000000000001E-3</v>
      </c>
      <c r="R19" s="9">
        <v>1000</v>
      </c>
      <c r="S19" s="13">
        <f>IFERROR(R19/$B$6,"")</f>
        <v>2E-3</v>
      </c>
    </row>
    <row r="20" spans="1:27" ht="15.75" customHeight="1">
      <c r="A20" s="61" t="s">
        <v>45</v>
      </c>
      <c r="B20" s="68"/>
      <c r="C20" s="64"/>
      <c r="D20" s="68"/>
      <c r="E20" s="68"/>
      <c r="F20" s="64"/>
      <c r="G20" s="64"/>
      <c r="H20" s="64"/>
      <c r="I20" s="64"/>
      <c r="J20" s="68"/>
      <c r="K20" s="68"/>
    </row>
    <row r="21" spans="1:27" ht="15.75" customHeight="1">
      <c r="A21" s="18"/>
      <c r="B21" s="50" t="s">
        <v>47</v>
      </c>
      <c r="C21" s="547" t="s">
        <v>12</v>
      </c>
      <c r="D21" s="545"/>
      <c r="E21" s="546"/>
      <c r="F21" s="50" t="s">
        <v>46</v>
      </c>
      <c r="G21" s="50" t="s">
        <v>48</v>
      </c>
      <c r="H21" s="50" t="s">
        <v>49</v>
      </c>
      <c r="I21" s="8" t="s">
        <v>13</v>
      </c>
      <c r="J21" s="560" t="s">
        <v>51</v>
      </c>
      <c r="K21" s="546"/>
      <c r="M21" s="61" t="s">
        <v>52</v>
      </c>
      <c r="N21" s="68"/>
      <c r="O21" s="64"/>
      <c r="P21" s="68"/>
      <c r="Q21" s="68"/>
      <c r="R21" s="64"/>
      <c r="S21" s="64"/>
      <c r="T21" s="64"/>
      <c r="U21" s="64"/>
      <c r="V21" s="64"/>
      <c r="W21" s="64"/>
      <c r="X21" s="64"/>
      <c r="Y21" s="64"/>
      <c r="Z21" s="68"/>
      <c r="AA21" s="68"/>
    </row>
    <row r="22" spans="1:27" ht="15.75" customHeight="1">
      <c r="A22" s="53" t="s">
        <v>34</v>
      </c>
      <c r="B22" s="6">
        <v>1</v>
      </c>
      <c r="C22" s="549" t="s">
        <v>14</v>
      </c>
      <c r="D22" s="545"/>
      <c r="E22" s="546"/>
      <c r="F22" s="4">
        <v>3</v>
      </c>
      <c r="G22" s="4">
        <v>3000</v>
      </c>
      <c r="H22" s="4">
        <v>1000</v>
      </c>
      <c r="I22" s="4">
        <v>10</v>
      </c>
      <c r="J22" s="548" t="s">
        <v>76</v>
      </c>
      <c r="K22" s="546"/>
      <c r="M22" s="53" t="s">
        <v>26</v>
      </c>
      <c r="N22" s="58" t="s">
        <v>47</v>
      </c>
      <c r="O22" s="555" t="s">
        <v>12</v>
      </c>
      <c r="P22" s="545"/>
      <c r="Q22" s="546"/>
      <c r="R22" s="561" t="s">
        <v>53</v>
      </c>
      <c r="S22" s="545"/>
      <c r="T22" s="546"/>
      <c r="U22" s="58" t="s">
        <v>54</v>
      </c>
      <c r="V22" s="58" t="s">
        <v>55</v>
      </c>
      <c r="W22" s="58" t="s">
        <v>56</v>
      </c>
      <c r="X22" s="8" t="s">
        <v>11</v>
      </c>
      <c r="Y22" s="8" t="s">
        <v>13</v>
      </c>
      <c r="Z22" s="560" t="s">
        <v>51</v>
      </c>
      <c r="AA22" s="546"/>
    </row>
    <row r="23" spans="1:27" ht="15.75" customHeight="1">
      <c r="A23" s="23"/>
      <c r="B23" s="6">
        <v>2</v>
      </c>
      <c r="C23" s="544"/>
      <c r="D23" s="545"/>
      <c r="E23" s="546"/>
      <c r="F23" s="4"/>
      <c r="G23" s="4"/>
      <c r="H23" s="4"/>
      <c r="I23" s="4"/>
      <c r="J23" s="544"/>
      <c r="K23" s="546"/>
      <c r="M23" s="57" t="s">
        <v>42</v>
      </c>
      <c r="N23" s="24">
        <v>1</v>
      </c>
      <c r="O23" s="548" t="s">
        <v>82</v>
      </c>
      <c r="P23" s="545"/>
      <c r="Q23" s="546"/>
      <c r="R23" s="548" t="s">
        <v>85</v>
      </c>
      <c r="S23" s="545"/>
      <c r="T23" s="546"/>
      <c r="U23" s="4">
        <v>10</v>
      </c>
      <c r="V23" s="14">
        <v>0.15</v>
      </c>
      <c r="W23" s="4">
        <v>10</v>
      </c>
      <c r="X23" s="16">
        <f>W23*U23</f>
        <v>100</v>
      </c>
      <c r="Y23" s="4">
        <v>80</v>
      </c>
      <c r="Z23" s="548" t="s">
        <v>86</v>
      </c>
      <c r="AA23" s="546"/>
    </row>
    <row r="24" spans="1:27" ht="15.75" customHeight="1">
      <c r="A24" s="23"/>
      <c r="B24" s="6">
        <v>3</v>
      </c>
      <c r="C24" s="544"/>
      <c r="D24" s="545"/>
      <c r="E24" s="546"/>
      <c r="F24" s="4"/>
      <c r="G24" s="4"/>
      <c r="H24" s="4"/>
      <c r="I24" s="4"/>
      <c r="J24" s="544"/>
      <c r="K24" s="546"/>
      <c r="M24" s="25"/>
      <c r="N24" s="24">
        <v>2</v>
      </c>
      <c r="O24" s="549"/>
      <c r="P24" s="545"/>
      <c r="Q24" s="546"/>
      <c r="R24" s="549"/>
      <c r="S24" s="545"/>
      <c r="T24" s="546"/>
      <c r="U24" s="4"/>
      <c r="V24" s="14"/>
      <c r="W24" s="4"/>
      <c r="X24" s="16">
        <f>W24*U24</f>
        <v>0</v>
      </c>
      <c r="Y24" s="4"/>
      <c r="Z24" s="549"/>
      <c r="AA24" s="546"/>
    </row>
    <row r="25" spans="1:27" ht="15.75" customHeight="1">
      <c r="A25" s="23"/>
      <c r="B25" s="6">
        <v>4</v>
      </c>
      <c r="C25" s="544"/>
      <c r="D25" s="545"/>
      <c r="E25" s="546"/>
      <c r="F25" s="4"/>
      <c r="G25" s="4"/>
      <c r="H25" s="4"/>
      <c r="I25" s="4"/>
      <c r="J25" s="544"/>
      <c r="K25" s="546"/>
      <c r="M25" s="25"/>
      <c r="N25" s="24">
        <v>3</v>
      </c>
      <c r="O25" s="549"/>
      <c r="P25" s="545"/>
      <c r="Q25" s="546"/>
      <c r="R25" s="549"/>
      <c r="S25" s="545"/>
      <c r="T25" s="546"/>
      <c r="U25" s="4"/>
      <c r="V25" s="14"/>
      <c r="W25" s="4"/>
      <c r="X25" s="16">
        <f>W25*U25</f>
        <v>0</v>
      </c>
      <c r="Y25" s="4"/>
      <c r="Z25" s="549"/>
      <c r="AA25" s="546"/>
    </row>
    <row r="26" spans="1:27" ht="15.75" customHeight="1">
      <c r="A26" s="23"/>
      <c r="B26" s="26">
        <v>5</v>
      </c>
      <c r="C26" s="558"/>
      <c r="D26" s="554"/>
      <c r="E26" s="551"/>
      <c r="F26" s="27"/>
      <c r="G26" s="27"/>
      <c r="H26" s="27"/>
      <c r="I26" s="27"/>
      <c r="J26" s="558"/>
      <c r="K26" s="551"/>
      <c r="M26" s="25"/>
      <c r="N26" s="24">
        <v>4</v>
      </c>
      <c r="O26" s="549"/>
      <c r="P26" s="545"/>
      <c r="Q26" s="546"/>
      <c r="R26" s="549"/>
      <c r="S26" s="545"/>
      <c r="T26" s="546"/>
      <c r="U26" s="4"/>
      <c r="V26" s="14"/>
      <c r="W26" s="4"/>
      <c r="X26" s="16">
        <f>W26*U26</f>
        <v>0</v>
      </c>
      <c r="Y26" s="4"/>
      <c r="Z26" s="549"/>
      <c r="AA26" s="546"/>
    </row>
    <row r="27" spans="1:27" ht="15.75" customHeight="1">
      <c r="A27" s="23"/>
      <c r="B27" s="70" t="s">
        <v>101</v>
      </c>
      <c r="C27" s="552" t="s">
        <v>75</v>
      </c>
      <c r="D27" s="559"/>
      <c r="E27" s="553"/>
      <c r="F27" s="28">
        <v>4</v>
      </c>
      <c r="G27" s="28">
        <v>2800</v>
      </c>
      <c r="H27" s="28">
        <v>700</v>
      </c>
      <c r="I27" s="28" t="s">
        <v>15</v>
      </c>
      <c r="J27" s="552" t="s">
        <v>77</v>
      </c>
      <c r="K27" s="553"/>
      <c r="M27" s="25"/>
      <c r="N27" s="29">
        <v>5</v>
      </c>
      <c r="O27" s="550"/>
      <c r="P27" s="554"/>
      <c r="Q27" s="551"/>
      <c r="R27" s="550"/>
      <c r="S27" s="554"/>
      <c r="T27" s="551"/>
      <c r="U27" s="27"/>
      <c r="V27" s="30"/>
      <c r="W27" s="27"/>
      <c r="X27" s="31">
        <f>W27*U27</f>
        <v>0</v>
      </c>
      <c r="Y27" s="4"/>
      <c r="Z27" s="550"/>
      <c r="AA27" s="551"/>
    </row>
    <row r="28" spans="1:27" ht="15.75" customHeight="1">
      <c r="A28" s="23"/>
      <c r="B28" s="71" t="s">
        <v>102</v>
      </c>
      <c r="C28" s="544"/>
      <c r="D28" s="545"/>
      <c r="E28" s="546"/>
      <c r="F28" s="4"/>
      <c r="G28" s="4"/>
      <c r="H28" s="4"/>
      <c r="I28" s="4"/>
      <c r="J28" s="544"/>
      <c r="K28" s="546"/>
      <c r="M28" s="32"/>
      <c r="N28" s="56"/>
      <c r="O28" s="556"/>
      <c r="P28" s="545"/>
      <c r="Q28" s="545"/>
      <c r="R28" s="556"/>
      <c r="S28" s="545"/>
      <c r="T28" s="545"/>
      <c r="U28" s="60" t="s">
        <v>58</v>
      </c>
      <c r="V28" s="33">
        <f>X28/N18</f>
        <v>8.3333333333333329E-2</v>
      </c>
      <c r="W28" s="60" t="s">
        <v>59</v>
      </c>
      <c r="X28" s="34">
        <f>SUM(X23:X27)</f>
        <v>100</v>
      </c>
      <c r="Y28" s="45"/>
      <c r="Z28" s="556"/>
      <c r="AA28" s="546"/>
    </row>
    <row r="29" spans="1:27" ht="15.75" customHeight="1">
      <c r="A29" s="23"/>
      <c r="B29" s="71" t="s">
        <v>100</v>
      </c>
      <c r="C29" s="544"/>
      <c r="D29" s="545"/>
      <c r="E29" s="546"/>
      <c r="F29" s="4"/>
      <c r="G29" s="4"/>
      <c r="H29" s="4"/>
      <c r="I29" s="4"/>
      <c r="J29" s="544"/>
      <c r="K29" s="546"/>
      <c r="M29" s="57" t="s">
        <v>43</v>
      </c>
      <c r="N29" s="24">
        <v>1</v>
      </c>
      <c r="O29" s="569" t="s">
        <v>16</v>
      </c>
      <c r="P29" s="565"/>
      <c r="Q29" s="566"/>
      <c r="R29" s="564" t="s">
        <v>87</v>
      </c>
      <c r="S29" s="565"/>
      <c r="T29" s="566"/>
      <c r="U29" s="35">
        <v>5.55</v>
      </c>
      <c r="V29" s="36">
        <v>0.21</v>
      </c>
      <c r="W29" s="35">
        <v>50</v>
      </c>
      <c r="X29" s="37">
        <f>W29*U29</f>
        <v>277.5</v>
      </c>
      <c r="Y29" s="4">
        <v>35</v>
      </c>
      <c r="Z29" s="564" t="s">
        <v>88</v>
      </c>
      <c r="AA29" s="566"/>
    </row>
    <row r="30" spans="1:27" ht="15.75" customHeight="1">
      <c r="A30" s="23"/>
      <c r="B30" s="71" t="s">
        <v>99</v>
      </c>
      <c r="C30" s="544"/>
      <c r="D30" s="545"/>
      <c r="E30" s="546"/>
      <c r="F30" s="4"/>
      <c r="G30" s="4"/>
      <c r="H30" s="4"/>
      <c r="I30" s="4"/>
      <c r="J30" s="544"/>
      <c r="K30" s="546"/>
      <c r="M30" s="25"/>
      <c r="N30" s="24">
        <v>2</v>
      </c>
      <c r="O30" s="549"/>
      <c r="P30" s="545"/>
      <c r="Q30" s="546"/>
      <c r="R30" s="549"/>
      <c r="S30" s="545"/>
      <c r="T30" s="546"/>
      <c r="U30" s="4"/>
      <c r="V30" s="14"/>
      <c r="W30" s="4"/>
      <c r="X30" s="16">
        <f>W30*U30</f>
        <v>0</v>
      </c>
      <c r="Y30" s="4"/>
      <c r="Z30" s="549"/>
      <c r="AA30" s="546"/>
    </row>
    <row r="31" spans="1:27" ht="15.75" customHeight="1">
      <c r="A31" s="20"/>
      <c r="B31" s="71" t="s">
        <v>103</v>
      </c>
      <c r="C31" s="544"/>
      <c r="D31" s="545"/>
      <c r="E31" s="546"/>
      <c r="F31" s="4"/>
      <c r="G31" s="4"/>
      <c r="H31" s="4"/>
      <c r="I31" s="4"/>
      <c r="J31" s="544"/>
      <c r="K31" s="546"/>
      <c r="M31" s="25"/>
      <c r="N31" s="24">
        <v>3</v>
      </c>
      <c r="O31" s="549"/>
      <c r="P31" s="545"/>
      <c r="Q31" s="546"/>
      <c r="R31" s="549"/>
      <c r="S31" s="545"/>
      <c r="T31" s="546"/>
      <c r="U31" s="4"/>
      <c r="V31" s="14"/>
      <c r="W31" s="4"/>
      <c r="X31" s="16">
        <f>W31*U31</f>
        <v>0</v>
      </c>
      <c r="Y31" s="4"/>
      <c r="Z31" s="549"/>
      <c r="AA31" s="546"/>
    </row>
    <row r="32" spans="1:27" ht="15.75" customHeight="1">
      <c r="A32" s="68"/>
      <c r="M32" s="25"/>
      <c r="N32" s="24">
        <v>4</v>
      </c>
      <c r="O32" s="549"/>
      <c r="P32" s="545"/>
      <c r="Q32" s="546"/>
      <c r="R32" s="549"/>
      <c r="S32" s="545"/>
      <c r="T32" s="546"/>
      <c r="U32" s="4"/>
      <c r="V32" s="14"/>
      <c r="W32" s="4"/>
      <c r="X32" s="16">
        <f>W32*U32</f>
        <v>0</v>
      </c>
      <c r="Y32" s="4"/>
      <c r="Z32" s="549"/>
      <c r="AA32" s="546"/>
    </row>
    <row r="33" spans="1:27" ht="15.75" customHeight="1">
      <c r="A33" s="18"/>
      <c r="B33" s="50" t="s">
        <v>47</v>
      </c>
      <c r="C33" s="547" t="s">
        <v>12</v>
      </c>
      <c r="D33" s="545"/>
      <c r="E33" s="546"/>
      <c r="F33" s="50" t="s">
        <v>46</v>
      </c>
      <c r="G33" s="50" t="s">
        <v>48</v>
      </c>
      <c r="H33" s="50" t="s">
        <v>49</v>
      </c>
      <c r="I33" s="8" t="s">
        <v>13</v>
      </c>
      <c r="J33" s="560" t="s">
        <v>51</v>
      </c>
      <c r="K33" s="546"/>
      <c r="M33" s="25"/>
      <c r="N33" s="29">
        <v>5</v>
      </c>
      <c r="O33" s="549"/>
      <c r="P33" s="545"/>
      <c r="Q33" s="546"/>
      <c r="R33" s="549"/>
      <c r="S33" s="545"/>
      <c r="T33" s="546"/>
      <c r="U33" s="27"/>
      <c r="V33" s="30"/>
      <c r="W33" s="27"/>
      <c r="X33" s="31">
        <f>W33*U33</f>
        <v>0</v>
      </c>
      <c r="Y33" s="4"/>
      <c r="Z33" s="549"/>
      <c r="AA33" s="546"/>
    </row>
    <row r="34" spans="1:27" ht="15.75" customHeight="1">
      <c r="A34" s="53" t="s">
        <v>35</v>
      </c>
      <c r="B34" s="6">
        <v>1</v>
      </c>
      <c r="C34" s="548" t="s">
        <v>79</v>
      </c>
      <c r="D34" s="545"/>
      <c r="E34" s="546"/>
      <c r="F34" s="4">
        <v>3</v>
      </c>
      <c r="G34" s="4">
        <v>2500</v>
      </c>
      <c r="H34" s="4">
        <v>833.33</v>
      </c>
      <c r="I34" s="4">
        <v>20</v>
      </c>
      <c r="J34" s="548" t="s">
        <v>78</v>
      </c>
      <c r="K34" s="546"/>
      <c r="M34" s="69"/>
      <c r="N34" s="45"/>
      <c r="O34" s="556"/>
      <c r="P34" s="545"/>
      <c r="Q34" s="545"/>
      <c r="R34" s="556"/>
      <c r="S34" s="545"/>
      <c r="T34" s="545"/>
      <c r="U34" s="60" t="s">
        <v>58</v>
      </c>
      <c r="V34" s="33">
        <f>X34/N18</f>
        <v>0.23125000000000001</v>
      </c>
      <c r="W34" s="60" t="s">
        <v>59</v>
      </c>
      <c r="X34" s="34">
        <f>SUM(X29:X33)</f>
        <v>277.5</v>
      </c>
      <c r="Y34" s="45"/>
      <c r="Z34" s="556"/>
      <c r="AA34" s="546"/>
    </row>
    <row r="35" spans="1:27" ht="15.75" customHeight="1">
      <c r="A35" s="23"/>
      <c r="B35" s="6">
        <v>2</v>
      </c>
      <c r="C35" s="549"/>
      <c r="D35" s="545"/>
      <c r="E35" s="546"/>
      <c r="F35" s="4"/>
      <c r="G35" s="4"/>
      <c r="H35" s="4"/>
      <c r="I35" s="4"/>
      <c r="J35" s="549"/>
      <c r="K35" s="546"/>
      <c r="M35" s="1"/>
      <c r="N35" s="1"/>
      <c r="O35" s="567"/>
      <c r="P35" s="568"/>
      <c r="Q35" s="568"/>
      <c r="R35" s="567"/>
      <c r="S35" s="568"/>
      <c r="T35" s="568"/>
      <c r="U35" s="1"/>
      <c r="V35" s="38"/>
      <c r="W35" s="1"/>
      <c r="X35" s="1"/>
      <c r="Y35" s="567"/>
      <c r="Z35" s="568"/>
      <c r="AA35" s="568"/>
    </row>
    <row r="36" spans="1:27" ht="15.75" customHeight="1">
      <c r="A36" s="23"/>
      <c r="B36" s="6">
        <v>3</v>
      </c>
      <c r="C36" s="549"/>
      <c r="D36" s="545"/>
      <c r="E36" s="546"/>
      <c r="F36" s="4"/>
      <c r="G36" s="4"/>
      <c r="H36" s="4"/>
      <c r="I36" s="4"/>
      <c r="J36" s="549"/>
      <c r="K36" s="546"/>
      <c r="M36" s="53" t="s">
        <v>27</v>
      </c>
      <c r="N36" s="58" t="s">
        <v>47</v>
      </c>
      <c r="O36" s="555" t="s">
        <v>12</v>
      </c>
      <c r="P36" s="556"/>
      <c r="Q36" s="557"/>
      <c r="R36" s="561" t="s">
        <v>53</v>
      </c>
      <c r="S36" s="562"/>
      <c r="T36" s="563"/>
      <c r="U36" s="58" t="s">
        <v>54</v>
      </c>
      <c r="V36" s="58" t="s">
        <v>55</v>
      </c>
      <c r="W36" s="58" t="s">
        <v>56</v>
      </c>
      <c r="X36" s="8" t="s">
        <v>11</v>
      </c>
      <c r="Y36" s="8" t="s">
        <v>13</v>
      </c>
      <c r="Z36" s="560" t="s">
        <v>51</v>
      </c>
      <c r="AA36" s="570"/>
    </row>
    <row r="37" spans="1:27" ht="15.75" customHeight="1">
      <c r="A37" s="23"/>
      <c r="B37" s="6">
        <v>4</v>
      </c>
      <c r="C37" s="549"/>
      <c r="D37" s="545"/>
      <c r="E37" s="546"/>
      <c r="F37" s="4"/>
      <c r="G37" s="4"/>
      <c r="H37" s="4"/>
      <c r="I37" s="4"/>
      <c r="J37" s="549"/>
      <c r="K37" s="546"/>
      <c r="M37" s="57" t="s">
        <v>42</v>
      </c>
      <c r="N37" s="24">
        <v>1</v>
      </c>
      <c r="O37" s="548" t="s">
        <v>89</v>
      </c>
      <c r="P37" s="545"/>
      <c r="Q37" s="546"/>
      <c r="R37" s="548" t="s">
        <v>90</v>
      </c>
      <c r="S37" s="545"/>
      <c r="T37" s="546"/>
      <c r="U37" s="4">
        <v>25</v>
      </c>
      <c r="V37" s="14">
        <v>0.25</v>
      </c>
      <c r="W37" s="4">
        <v>10</v>
      </c>
      <c r="X37" s="16">
        <f>W37*U37</f>
        <v>250</v>
      </c>
      <c r="Y37" s="4">
        <v>150</v>
      </c>
      <c r="Z37" s="548" t="s">
        <v>91</v>
      </c>
      <c r="AA37" s="546"/>
    </row>
    <row r="38" spans="1:27" ht="15.75" customHeight="1">
      <c r="A38" s="23"/>
      <c r="B38" s="26">
        <v>5</v>
      </c>
      <c r="C38" s="550"/>
      <c r="D38" s="554"/>
      <c r="E38" s="551"/>
      <c r="F38" s="27"/>
      <c r="G38" s="27"/>
      <c r="H38" s="27"/>
      <c r="I38" s="27"/>
      <c r="J38" s="550"/>
      <c r="K38" s="551"/>
      <c r="M38" s="25"/>
      <c r="N38" s="24">
        <v>2</v>
      </c>
      <c r="O38" s="549"/>
      <c r="P38" s="545"/>
      <c r="Q38" s="546"/>
      <c r="R38" s="549"/>
      <c r="S38" s="545"/>
      <c r="T38" s="546"/>
      <c r="U38" s="4"/>
      <c r="V38" s="14"/>
      <c r="W38" s="4"/>
      <c r="X38" s="16">
        <f>W38*U38</f>
        <v>0</v>
      </c>
      <c r="Y38" s="4"/>
      <c r="Z38" s="549"/>
      <c r="AA38" s="546"/>
    </row>
    <row r="39" spans="1:27" ht="14.25">
      <c r="A39" s="23"/>
      <c r="B39" s="70" t="s">
        <v>101</v>
      </c>
      <c r="C39" s="552" t="s">
        <v>80</v>
      </c>
      <c r="D39" s="559"/>
      <c r="E39" s="553"/>
      <c r="F39" s="28">
        <v>7</v>
      </c>
      <c r="G39" s="28">
        <v>2200</v>
      </c>
      <c r="H39" s="28">
        <v>314.29000000000002</v>
      </c>
      <c r="I39" s="28">
        <v>-15</v>
      </c>
      <c r="J39" s="552" t="s">
        <v>81</v>
      </c>
      <c r="K39" s="553"/>
      <c r="M39" s="25"/>
      <c r="N39" s="24">
        <v>3</v>
      </c>
      <c r="O39" s="549"/>
      <c r="P39" s="545"/>
      <c r="Q39" s="546"/>
      <c r="R39" s="549"/>
      <c r="S39" s="545"/>
      <c r="T39" s="546"/>
      <c r="U39" s="4"/>
      <c r="V39" s="14"/>
      <c r="W39" s="4"/>
      <c r="X39" s="16">
        <f>W39*U39</f>
        <v>0</v>
      </c>
      <c r="Y39" s="4"/>
      <c r="Z39" s="549"/>
      <c r="AA39" s="546"/>
    </row>
    <row r="40" spans="1:27" ht="14.25">
      <c r="A40" s="23"/>
      <c r="B40" s="71" t="s">
        <v>102</v>
      </c>
      <c r="C40" s="549"/>
      <c r="D40" s="545"/>
      <c r="E40" s="546"/>
      <c r="F40" s="4"/>
      <c r="G40" s="4"/>
      <c r="H40" s="4"/>
      <c r="I40" s="4"/>
      <c r="J40" s="549"/>
      <c r="K40" s="546"/>
      <c r="M40" s="25"/>
      <c r="N40" s="24">
        <v>4</v>
      </c>
      <c r="O40" s="549"/>
      <c r="P40" s="545"/>
      <c r="Q40" s="546"/>
      <c r="R40" s="549"/>
      <c r="S40" s="545"/>
      <c r="T40" s="546"/>
      <c r="U40" s="4"/>
      <c r="V40" s="14"/>
      <c r="W40" s="4"/>
      <c r="X40" s="16">
        <f>W40*U40</f>
        <v>0</v>
      </c>
      <c r="Y40" s="4"/>
      <c r="Z40" s="549"/>
      <c r="AA40" s="546"/>
    </row>
    <row r="41" spans="1:27" ht="14.25">
      <c r="A41" s="23"/>
      <c r="B41" s="71" t="s">
        <v>100</v>
      </c>
      <c r="C41" s="549"/>
      <c r="D41" s="545"/>
      <c r="E41" s="546"/>
      <c r="F41" s="4"/>
      <c r="G41" s="4"/>
      <c r="H41" s="4"/>
      <c r="I41" s="4"/>
      <c r="J41" s="549"/>
      <c r="K41" s="546"/>
      <c r="M41" s="25"/>
      <c r="N41" s="29">
        <v>5</v>
      </c>
      <c r="O41" s="550"/>
      <c r="P41" s="554"/>
      <c r="Q41" s="551"/>
      <c r="R41" s="550"/>
      <c r="S41" s="554"/>
      <c r="T41" s="551"/>
      <c r="U41" s="27"/>
      <c r="V41" s="30"/>
      <c r="W41" s="27"/>
      <c r="X41" s="31">
        <f>W41*U41</f>
        <v>0</v>
      </c>
      <c r="Y41" s="4"/>
      <c r="Z41" s="549"/>
      <c r="AA41" s="546"/>
    </row>
    <row r="42" spans="1:27" ht="14.25">
      <c r="A42" s="23"/>
      <c r="B42" s="71" t="s">
        <v>99</v>
      </c>
      <c r="C42" s="549"/>
      <c r="D42" s="545"/>
      <c r="E42" s="546"/>
      <c r="F42" s="4"/>
      <c r="G42" s="4"/>
      <c r="H42" s="4"/>
      <c r="I42" s="4"/>
      <c r="J42" s="549"/>
      <c r="K42" s="546"/>
      <c r="M42" s="32"/>
      <c r="N42" s="55"/>
      <c r="O42" s="556"/>
      <c r="P42" s="545"/>
      <c r="Q42" s="545"/>
      <c r="R42" s="556"/>
      <c r="S42" s="545"/>
      <c r="T42" s="545"/>
      <c r="U42" s="60" t="s">
        <v>58</v>
      </c>
      <c r="V42" s="33">
        <f>X42/N19</f>
        <v>5.5555555555555552E-2</v>
      </c>
      <c r="W42" s="60" t="s">
        <v>59</v>
      </c>
      <c r="X42" s="34">
        <f>SUM(X37:X41)</f>
        <v>250</v>
      </c>
      <c r="Y42" s="45"/>
      <c r="Z42" s="556"/>
      <c r="AA42" s="546"/>
    </row>
    <row r="43" spans="1:27" ht="14.25">
      <c r="A43" s="20"/>
      <c r="B43" s="71" t="s">
        <v>103</v>
      </c>
      <c r="C43" s="549"/>
      <c r="D43" s="545"/>
      <c r="E43" s="546"/>
      <c r="F43" s="4"/>
      <c r="G43" s="4"/>
      <c r="H43" s="4"/>
      <c r="I43" s="4"/>
      <c r="J43" s="549"/>
      <c r="K43" s="546"/>
      <c r="M43" s="57" t="s">
        <v>43</v>
      </c>
      <c r="N43" s="24">
        <v>1</v>
      </c>
      <c r="O43" s="548" t="s">
        <v>89</v>
      </c>
      <c r="P43" s="545"/>
      <c r="Q43" s="546"/>
      <c r="R43" s="564" t="s">
        <v>93</v>
      </c>
      <c r="S43" s="565"/>
      <c r="T43" s="566"/>
      <c r="U43" s="35">
        <v>30</v>
      </c>
      <c r="V43" s="36">
        <v>0.1</v>
      </c>
      <c r="W43" s="35">
        <v>20</v>
      </c>
      <c r="X43" s="37">
        <f>W43*U43</f>
        <v>600</v>
      </c>
      <c r="Y43" s="4">
        <v>400</v>
      </c>
      <c r="Z43" s="548" t="s">
        <v>92</v>
      </c>
      <c r="AA43" s="546"/>
    </row>
    <row r="44" spans="1:27" ht="14.25">
      <c r="A44" s="68"/>
      <c r="M44" s="25"/>
      <c r="N44" s="24">
        <v>2</v>
      </c>
      <c r="O44" s="549"/>
      <c r="P44" s="545"/>
      <c r="Q44" s="546"/>
      <c r="R44" s="549"/>
      <c r="S44" s="545"/>
      <c r="T44" s="546"/>
      <c r="U44" s="4"/>
      <c r="V44" s="14"/>
      <c r="W44" s="4"/>
      <c r="X44" s="37">
        <f>W44*U44</f>
        <v>0</v>
      </c>
      <c r="Y44" s="4"/>
      <c r="Z44" s="549"/>
      <c r="AA44" s="546"/>
    </row>
    <row r="45" spans="1:27" ht="14.25">
      <c r="A45" s="18"/>
      <c r="B45" s="50" t="s">
        <v>47</v>
      </c>
      <c r="C45" s="547" t="s">
        <v>12</v>
      </c>
      <c r="D45" s="545"/>
      <c r="E45" s="546"/>
      <c r="F45" s="50" t="s">
        <v>46</v>
      </c>
      <c r="G45" s="50" t="s">
        <v>48</v>
      </c>
      <c r="H45" s="50" t="s">
        <v>49</v>
      </c>
      <c r="I45" s="8" t="s">
        <v>13</v>
      </c>
      <c r="J45" s="560" t="s">
        <v>51</v>
      </c>
      <c r="K45" s="546"/>
      <c r="M45" s="25"/>
      <c r="N45" s="24">
        <v>3</v>
      </c>
      <c r="O45" s="549"/>
      <c r="P45" s="545"/>
      <c r="Q45" s="546"/>
      <c r="R45" s="549"/>
      <c r="S45" s="545"/>
      <c r="T45" s="546"/>
      <c r="U45" s="4"/>
      <c r="V45" s="14"/>
      <c r="W45" s="4"/>
      <c r="X45" s="37">
        <f>W45*U45</f>
        <v>0</v>
      </c>
      <c r="Y45" s="4"/>
      <c r="Z45" s="549"/>
      <c r="AA45" s="546"/>
    </row>
    <row r="46" spans="1:27" ht="14.25">
      <c r="A46" s="53" t="s">
        <v>36</v>
      </c>
      <c r="B46" s="6">
        <v>1</v>
      </c>
      <c r="C46" s="548" t="s">
        <v>82</v>
      </c>
      <c r="D46" s="545"/>
      <c r="E46" s="546"/>
      <c r="F46" s="4">
        <v>15</v>
      </c>
      <c r="G46" s="4">
        <v>1200</v>
      </c>
      <c r="H46" s="4">
        <v>80</v>
      </c>
      <c r="I46" s="4">
        <v>5</v>
      </c>
      <c r="J46" s="548" t="s">
        <v>83</v>
      </c>
      <c r="K46" s="546"/>
      <c r="M46" s="25"/>
      <c r="N46" s="24">
        <v>4</v>
      </c>
      <c r="O46" s="549"/>
      <c r="P46" s="545"/>
      <c r="Q46" s="546"/>
      <c r="R46" s="549"/>
      <c r="S46" s="545"/>
      <c r="T46" s="546"/>
      <c r="U46" s="4"/>
      <c r="V46" s="14"/>
      <c r="W46" s="4"/>
      <c r="X46" s="37">
        <f>W46*U46</f>
        <v>0</v>
      </c>
      <c r="Y46" s="4"/>
      <c r="Z46" s="549"/>
      <c r="AA46" s="546"/>
    </row>
    <row r="47" spans="1:27" ht="14.25">
      <c r="A47" s="23"/>
      <c r="B47" s="6">
        <v>2</v>
      </c>
      <c r="C47" s="549"/>
      <c r="D47" s="545"/>
      <c r="E47" s="546"/>
      <c r="F47" s="4"/>
      <c r="G47" s="4"/>
      <c r="H47" s="4"/>
      <c r="I47" s="4"/>
      <c r="J47" s="549"/>
      <c r="K47" s="546"/>
      <c r="M47" s="25"/>
      <c r="N47" s="29">
        <v>5</v>
      </c>
      <c r="O47" s="549"/>
      <c r="P47" s="545"/>
      <c r="Q47" s="546"/>
      <c r="R47" s="549"/>
      <c r="S47" s="545"/>
      <c r="T47" s="546"/>
      <c r="U47" s="27"/>
      <c r="V47" s="30"/>
      <c r="W47" s="27"/>
      <c r="X47" s="40">
        <f>W47*U47</f>
        <v>0</v>
      </c>
      <c r="Y47" s="4"/>
      <c r="Z47" s="549"/>
      <c r="AA47" s="546"/>
    </row>
    <row r="48" spans="1:27" ht="14.25">
      <c r="A48" s="23"/>
      <c r="B48" s="6">
        <v>3</v>
      </c>
      <c r="C48" s="549"/>
      <c r="D48" s="545"/>
      <c r="E48" s="546"/>
      <c r="F48" s="4"/>
      <c r="G48" s="4"/>
      <c r="H48" s="4"/>
      <c r="I48" s="4"/>
      <c r="J48" s="549"/>
      <c r="K48" s="546"/>
      <c r="M48" s="69"/>
      <c r="N48" s="45"/>
      <c r="O48" s="556"/>
      <c r="P48" s="545"/>
      <c r="Q48" s="545"/>
      <c r="R48" s="556"/>
      <c r="S48" s="545"/>
      <c r="T48" s="545"/>
      <c r="U48" s="60" t="s">
        <v>58</v>
      </c>
      <c r="V48" s="33">
        <f>X48/N19</f>
        <v>0.13333333333333333</v>
      </c>
      <c r="W48" s="60" t="s">
        <v>59</v>
      </c>
      <c r="X48" s="34">
        <f>SUM(X43:X47)</f>
        <v>600</v>
      </c>
      <c r="Y48" s="45"/>
      <c r="Z48" s="556"/>
      <c r="AA48" s="546"/>
    </row>
    <row r="49" spans="1:27" ht="14.25">
      <c r="A49" s="23"/>
      <c r="B49" s="6">
        <v>4</v>
      </c>
      <c r="C49" s="549"/>
      <c r="D49" s="545"/>
      <c r="E49" s="546"/>
      <c r="F49" s="4"/>
      <c r="G49" s="4"/>
      <c r="H49" s="4"/>
      <c r="I49" s="4"/>
      <c r="J49" s="549"/>
      <c r="K49" s="546"/>
      <c r="M49" s="1"/>
      <c r="N49" s="1"/>
      <c r="O49" s="1"/>
      <c r="P49" s="1"/>
      <c r="Q49" s="1"/>
      <c r="R49" s="1"/>
      <c r="S49" s="1"/>
      <c r="T49" s="1"/>
      <c r="U49" s="1"/>
      <c r="V49" s="38"/>
      <c r="W49" s="1"/>
      <c r="X49" s="1"/>
      <c r="Y49" s="1"/>
      <c r="Z49" s="1"/>
      <c r="AA49" s="1"/>
    </row>
    <row r="50" spans="1:27" ht="14.25">
      <c r="A50" s="23"/>
      <c r="B50" s="26">
        <v>5</v>
      </c>
      <c r="C50" s="550"/>
      <c r="D50" s="554"/>
      <c r="E50" s="551"/>
      <c r="F50" s="27"/>
      <c r="G50" s="27"/>
      <c r="H50" s="27"/>
      <c r="I50" s="27"/>
      <c r="J50" s="550"/>
      <c r="K50" s="551"/>
      <c r="M50" s="65" t="s">
        <v>17</v>
      </c>
      <c r="N50" s="67"/>
      <c r="O50" s="67"/>
      <c r="P50" s="67"/>
      <c r="Q50" s="67"/>
      <c r="R50" s="67"/>
      <c r="S50" s="67"/>
      <c r="T50" s="67"/>
      <c r="U50" s="67"/>
      <c r="V50" s="66"/>
      <c r="W50" s="67"/>
      <c r="X50" s="67"/>
      <c r="Y50" s="67"/>
      <c r="Z50" s="67"/>
      <c r="AA50" s="67"/>
    </row>
    <row r="51" spans="1:27" ht="14.25">
      <c r="A51" s="23"/>
      <c r="B51" s="70" t="s">
        <v>101</v>
      </c>
      <c r="C51" s="552" t="s">
        <v>89</v>
      </c>
      <c r="D51" s="559"/>
      <c r="E51" s="553"/>
      <c r="F51" s="28">
        <v>18</v>
      </c>
      <c r="G51" s="28">
        <v>800</v>
      </c>
      <c r="H51" s="28">
        <v>44.44</v>
      </c>
      <c r="I51" s="28">
        <v>-15</v>
      </c>
      <c r="J51" s="552" t="s">
        <v>84</v>
      </c>
      <c r="K51" s="553"/>
      <c r="M51" s="8"/>
      <c r="N51" s="8" t="s">
        <v>18</v>
      </c>
      <c r="O51" s="555" t="s">
        <v>12</v>
      </c>
      <c r="P51" s="556"/>
      <c r="Q51" s="557"/>
      <c r="R51" s="561" t="s">
        <v>53</v>
      </c>
      <c r="S51" s="562"/>
      <c r="T51" s="563"/>
      <c r="U51" s="58" t="s">
        <v>54</v>
      </c>
      <c r="V51" s="39" t="s">
        <v>19</v>
      </c>
      <c r="W51" s="58" t="s">
        <v>57</v>
      </c>
      <c r="X51" s="8" t="s">
        <v>2</v>
      </c>
      <c r="Y51" s="555" t="s">
        <v>50</v>
      </c>
      <c r="Z51" s="556"/>
      <c r="AA51" s="557"/>
    </row>
    <row r="52" spans="1:27" ht="14.25">
      <c r="A52" s="23"/>
      <c r="B52" s="71" t="s">
        <v>102</v>
      </c>
      <c r="C52" s="549"/>
      <c r="D52" s="545"/>
      <c r="E52" s="546"/>
      <c r="F52" s="4"/>
      <c r="G52" s="4"/>
      <c r="H52" s="4"/>
      <c r="I52" s="4"/>
      <c r="J52" s="549"/>
      <c r="K52" s="546"/>
      <c r="M52" s="57" t="s">
        <v>42</v>
      </c>
      <c r="N52" s="24">
        <v>1</v>
      </c>
      <c r="O52" s="548" t="s">
        <v>89</v>
      </c>
      <c r="P52" s="545"/>
      <c r="Q52" s="546"/>
      <c r="R52" s="564" t="s">
        <v>93</v>
      </c>
      <c r="S52" s="565"/>
      <c r="T52" s="566"/>
      <c r="U52" s="4">
        <v>30</v>
      </c>
      <c r="V52" s="14">
        <v>0.62</v>
      </c>
      <c r="W52" s="14">
        <v>0.57999999999999996</v>
      </c>
      <c r="X52" s="13">
        <f>W52-V52</f>
        <v>-4.0000000000000036E-2</v>
      </c>
      <c r="Y52" s="548" t="s">
        <v>97</v>
      </c>
      <c r="Z52" s="545"/>
      <c r="AA52" s="546"/>
    </row>
    <row r="53" spans="1:27" ht="14.25">
      <c r="A53" s="23"/>
      <c r="B53" s="71" t="s">
        <v>100</v>
      </c>
      <c r="C53" s="549"/>
      <c r="D53" s="545"/>
      <c r="E53" s="546"/>
      <c r="F53" s="4"/>
      <c r="G53" s="4"/>
      <c r="H53" s="4"/>
      <c r="I53" s="4"/>
      <c r="J53" s="549"/>
      <c r="K53" s="546"/>
      <c r="M53" s="25"/>
      <c r="N53" s="29">
        <v>2</v>
      </c>
      <c r="O53" s="550"/>
      <c r="P53" s="554"/>
      <c r="Q53" s="551"/>
      <c r="R53" s="550"/>
      <c r="S53" s="554"/>
      <c r="T53" s="551"/>
      <c r="U53" s="27"/>
      <c r="V53" s="30"/>
      <c r="W53" s="30"/>
      <c r="X53" s="41">
        <f>W53-V53</f>
        <v>0</v>
      </c>
      <c r="Y53" s="550"/>
      <c r="Z53" s="554"/>
      <c r="AA53" s="551"/>
    </row>
    <row r="54" spans="1:27" ht="14.25">
      <c r="A54" s="23"/>
      <c r="B54" s="71" t="s">
        <v>99</v>
      </c>
      <c r="C54" s="549"/>
      <c r="D54" s="545"/>
      <c r="E54" s="546"/>
      <c r="F54" s="4"/>
      <c r="G54" s="4"/>
      <c r="H54" s="4"/>
      <c r="I54" s="4"/>
      <c r="J54" s="549"/>
      <c r="K54" s="546"/>
      <c r="M54" s="57" t="s">
        <v>43</v>
      </c>
      <c r="N54" s="42">
        <v>1</v>
      </c>
      <c r="O54" s="552" t="s">
        <v>94</v>
      </c>
      <c r="P54" s="559"/>
      <c r="Q54" s="553"/>
      <c r="R54" s="552" t="s">
        <v>95</v>
      </c>
      <c r="S54" s="559"/>
      <c r="T54" s="553"/>
      <c r="U54" s="28">
        <v>20</v>
      </c>
      <c r="V54" s="43">
        <v>0.9</v>
      </c>
      <c r="W54" s="43">
        <v>0.82</v>
      </c>
      <c r="X54" s="44">
        <f>W54-V54</f>
        <v>-8.0000000000000071E-2</v>
      </c>
      <c r="Y54" s="552" t="s">
        <v>96</v>
      </c>
      <c r="Z54" s="559"/>
      <c r="AA54" s="553"/>
    </row>
    <row r="55" spans="1:27" ht="14.25">
      <c r="A55" s="20"/>
      <c r="B55" s="71" t="s">
        <v>103</v>
      </c>
      <c r="C55" s="549"/>
      <c r="D55" s="545"/>
      <c r="E55" s="546"/>
      <c r="F55" s="4"/>
      <c r="G55" s="4"/>
      <c r="H55" s="4"/>
      <c r="I55" s="4"/>
      <c r="J55" s="549"/>
      <c r="K55" s="546"/>
      <c r="M55" s="22"/>
      <c r="N55" s="24">
        <v>2</v>
      </c>
      <c r="O55" s="549"/>
      <c r="P55" s="545"/>
      <c r="Q55" s="546"/>
      <c r="R55" s="549"/>
      <c r="S55" s="545"/>
      <c r="T55" s="546"/>
      <c r="U55" s="4"/>
      <c r="V55" s="14"/>
      <c r="W55" s="14"/>
      <c r="X55" s="13">
        <f>W55-V55</f>
        <v>0</v>
      </c>
      <c r="Y55" s="549"/>
      <c r="Z55" s="545"/>
      <c r="AA55" s="546"/>
    </row>
  </sheetData>
  <mergeCells count="162">
    <mergeCell ref="Z26:AA26"/>
    <mergeCell ref="Z27:AA27"/>
    <mergeCell ref="Z28:AA28"/>
    <mergeCell ref="Z29:AA29"/>
    <mergeCell ref="Z30:AA30"/>
    <mergeCell ref="Z31:AA31"/>
    <mergeCell ref="Z32:AA32"/>
    <mergeCell ref="Y52:AA52"/>
    <mergeCell ref="Y53:AA53"/>
    <mergeCell ref="Y54:AA54"/>
    <mergeCell ref="Y55:AA55"/>
    <mergeCell ref="Z33:AA33"/>
    <mergeCell ref="Z34:AA34"/>
    <mergeCell ref="Z45:AA45"/>
    <mergeCell ref="Z46:AA46"/>
    <mergeCell ref="Z47:AA47"/>
    <mergeCell ref="Z48:AA48"/>
    <mergeCell ref="Y51:AA51"/>
    <mergeCell ref="Y35:AA35"/>
    <mergeCell ref="Z36:AA36"/>
    <mergeCell ref="Z42:AA42"/>
    <mergeCell ref="Z43:AA43"/>
    <mergeCell ref="Z44:AA44"/>
    <mergeCell ref="O35:Q35"/>
    <mergeCell ref="R35:T35"/>
    <mergeCell ref="R36:T36"/>
    <mergeCell ref="J35:K35"/>
    <mergeCell ref="J36:K36"/>
    <mergeCell ref="J27:K27"/>
    <mergeCell ref="J28:K28"/>
    <mergeCell ref="J29:K29"/>
    <mergeCell ref="J30:K30"/>
    <mergeCell ref="J31:K31"/>
    <mergeCell ref="J33:K33"/>
    <mergeCell ref="J34:K34"/>
    <mergeCell ref="O32:Q32"/>
    <mergeCell ref="O33:Q33"/>
    <mergeCell ref="O29:Q29"/>
    <mergeCell ref="R29:T29"/>
    <mergeCell ref="O30:Q30"/>
    <mergeCell ref="R30:T30"/>
    <mergeCell ref="O31:Q31"/>
    <mergeCell ref="R31:T31"/>
    <mergeCell ref="R32:T32"/>
    <mergeCell ref="R33:T33"/>
    <mergeCell ref="C52:E52"/>
    <mergeCell ref="C53:E53"/>
    <mergeCell ref="C54:E54"/>
    <mergeCell ref="C34:E34"/>
    <mergeCell ref="C35:E35"/>
    <mergeCell ref="C36:E36"/>
    <mergeCell ref="C37:E37"/>
    <mergeCell ref="J37:K37"/>
    <mergeCell ref="C38:E38"/>
    <mergeCell ref="C39:E39"/>
    <mergeCell ref="C40:E40"/>
    <mergeCell ref="J40:K40"/>
    <mergeCell ref="J49:K49"/>
    <mergeCell ref="J50:K50"/>
    <mergeCell ref="J51:K51"/>
    <mergeCell ref="C41:E41"/>
    <mergeCell ref="J41:K41"/>
    <mergeCell ref="C42:E42"/>
    <mergeCell ref="J42:K42"/>
    <mergeCell ref="J43:K43"/>
    <mergeCell ref="C51:E51"/>
    <mergeCell ref="O42:Q42"/>
    <mergeCell ref="R42:T42"/>
    <mergeCell ref="O43:Q43"/>
    <mergeCell ref="R43:T43"/>
    <mergeCell ref="O44:Q44"/>
    <mergeCell ref="R44:T44"/>
    <mergeCell ref="O45:Q45"/>
    <mergeCell ref="R45:T45"/>
    <mergeCell ref="C55:E55"/>
    <mergeCell ref="C43:E43"/>
    <mergeCell ref="C45:E45"/>
    <mergeCell ref="C46:E46"/>
    <mergeCell ref="C47:E47"/>
    <mergeCell ref="C48:E48"/>
    <mergeCell ref="C49:E49"/>
    <mergeCell ref="C50:E50"/>
    <mergeCell ref="J52:K52"/>
    <mergeCell ref="J53:K53"/>
    <mergeCell ref="J54:K54"/>
    <mergeCell ref="J55:K55"/>
    <mergeCell ref="J45:K45"/>
    <mergeCell ref="J46:K46"/>
    <mergeCell ref="J47:K47"/>
    <mergeCell ref="J48:K48"/>
    <mergeCell ref="O46:Q46"/>
    <mergeCell ref="R46:T46"/>
    <mergeCell ref="O47:Q47"/>
    <mergeCell ref="R47:T47"/>
    <mergeCell ref="R48:T48"/>
    <mergeCell ref="O54:Q54"/>
    <mergeCell ref="R54:T54"/>
    <mergeCell ref="O55:Q55"/>
    <mergeCell ref="R55:T55"/>
    <mergeCell ref="O48:Q48"/>
    <mergeCell ref="O51:Q51"/>
    <mergeCell ref="R51:T51"/>
    <mergeCell ref="O52:Q52"/>
    <mergeCell ref="R52:T52"/>
    <mergeCell ref="O53:Q53"/>
    <mergeCell ref="R53:T53"/>
    <mergeCell ref="C21:E21"/>
    <mergeCell ref="J21:K21"/>
    <mergeCell ref="C22:E22"/>
    <mergeCell ref="O22:Q22"/>
    <mergeCell ref="R22:T22"/>
    <mergeCell ref="Z22:AA22"/>
    <mergeCell ref="C23:E23"/>
    <mergeCell ref="Z23:AA23"/>
    <mergeCell ref="O23:Q23"/>
    <mergeCell ref="R23:T23"/>
    <mergeCell ref="O24:Q24"/>
    <mergeCell ref="R24:T24"/>
    <mergeCell ref="Z24:AA24"/>
    <mergeCell ref="R25:T25"/>
    <mergeCell ref="Z25:AA25"/>
    <mergeCell ref="J22:K22"/>
    <mergeCell ref="J23:K23"/>
    <mergeCell ref="C24:E24"/>
    <mergeCell ref="J24:K24"/>
    <mergeCell ref="C25:E25"/>
    <mergeCell ref="J25:K25"/>
    <mergeCell ref="J26:K26"/>
    <mergeCell ref="O25:Q25"/>
    <mergeCell ref="O26:Q26"/>
    <mergeCell ref="R26:T26"/>
    <mergeCell ref="O27:Q27"/>
    <mergeCell ref="R27:T27"/>
    <mergeCell ref="O28:Q28"/>
    <mergeCell ref="R28:T28"/>
    <mergeCell ref="C26:E26"/>
    <mergeCell ref="C27:E27"/>
    <mergeCell ref="C28:E28"/>
    <mergeCell ref="C29:E29"/>
    <mergeCell ref="C30:E30"/>
    <mergeCell ref="C31:E31"/>
    <mergeCell ref="C33:E33"/>
    <mergeCell ref="Z37:AA37"/>
    <mergeCell ref="Z38:AA38"/>
    <mergeCell ref="Z39:AA39"/>
    <mergeCell ref="Z40:AA40"/>
    <mergeCell ref="Z41:AA41"/>
    <mergeCell ref="J38:K38"/>
    <mergeCell ref="J39:K39"/>
    <mergeCell ref="O39:Q39"/>
    <mergeCell ref="R39:T39"/>
    <mergeCell ref="O40:Q40"/>
    <mergeCell ref="R40:T40"/>
    <mergeCell ref="R41:T41"/>
    <mergeCell ref="O41:Q41"/>
    <mergeCell ref="O36:Q36"/>
    <mergeCell ref="O37:Q37"/>
    <mergeCell ref="R37:T37"/>
    <mergeCell ref="O38:Q38"/>
    <mergeCell ref="R38:T38"/>
    <mergeCell ref="O34:Q34"/>
    <mergeCell ref="R34:T34"/>
  </mergeCells>
  <phoneticPr fontId="8"/>
  <printOptions horizontalCentered="1" gridLines="1"/>
  <pageMargins left="0.7" right="0.7" top="0.75" bottom="0.75" header="0" footer="0"/>
  <pageSetup paperSize="9" fitToHeight="0" pageOrder="overThenDown" orientation="landscape" cellComments="atEnd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outlinePr summaryBelow="0" summaryRight="0"/>
  </sheetPr>
  <dimension ref="A1:R38"/>
  <sheetViews>
    <sheetView zoomScale="90" zoomScaleNormal="90" zoomScaleSheetLayoutView="115" workbookViewId="0">
      <selection activeCell="B6" sqref="B6:B11"/>
    </sheetView>
  </sheetViews>
  <sheetFormatPr defaultColWidth="12.5703125" defaultRowHeight="15.75" customHeight="1"/>
  <cols>
    <col min="1" max="1" width="27.42578125" style="120" bestFit="1" customWidth="1"/>
    <col min="2" max="2" width="12.5703125" style="120" customWidth="1"/>
    <col min="3" max="4" width="12.5703125" style="120"/>
    <col min="5" max="5" width="16.42578125" style="120" customWidth="1"/>
    <col min="6" max="6" width="2.42578125" style="120" customWidth="1"/>
    <col min="7" max="7" width="24.85546875" style="120" bestFit="1" customWidth="1"/>
    <col min="8" max="10" width="12.5703125" style="120"/>
    <col min="11" max="11" width="16.42578125" style="120" customWidth="1"/>
    <col min="12" max="12" width="12.5703125" style="121"/>
    <col min="13" max="16384" width="12.5703125" style="120"/>
  </cols>
  <sheetData>
    <row r="1" spans="1:12" ht="15.75" customHeight="1">
      <c r="A1" s="571" t="s">
        <v>390</v>
      </c>
      <c r="B1" s="571"/>
      <c r="C1" s="571"/>
      <c r="D1" s="571"/>
      <c r="E1" s="571"/>
      <c r="F1" s="571"/>
      <c r="G1" s="571"/>
      <c r="H1" s="571"/>
      <c r="I1" s="571"/>
      <c r="J1" s="571"/>
      <c r="K1" s="571"/>
      <c r="L1" s="120"/>
    </row>
    <row r="2" spans="1:12" s="121" customFormat="1" ht="15.75" customHeight="1">
      <c r="A2" s="571"/>
      <c r="B2" s="571"/>
      <c r="C2" s="571"/>
      <c r="D2" s="571"/>
      <c r="E2" s="571"/>
      <c r="F2" s="571"/>
      <c r="G2" s="571"/>
      <c r="H2" s="571"/>
      <c r="I2" s="571"/>
      <c r="J2" s="571"/>
      <c r="K2" s="571"/>
    </row>
    <row r="3" spans="1:12" ht="21.6" customHeight="1">
      <c r="A3" s="140" t="s">
        <v>325</v>
      </c>
      <c r="B3" s="141">
        <v>10</v>
      </c>
      <c r="C3" s="140" t="s">
        <v>20</v>
      </c>
      <c r="D3" s="572" t="s">
        <v>389</v>
      </c>
      <c r="E3" s="572"/>
      <c r="F3" s="131"/>
      <c r="G3" s="132"/>
      <c r="H3" s="131"/>
      <c r="I3" s="131"/>
      <c r="J3" s="131"/>
      <c r="K3" s="131"/>
    </row>
    <row r="4" spans="1:12" s="122" customFormat="1" ht="15.75" customHeight="1">
      <c r="A4" s="133" t="s">
        <v>195</v>
      </c>
      <c r="B4" s="134"/>
      <c r="C4" s="134"/>
      <c r="D4" s="134"/>
      <c r="E4" s="124" t="s">
        <v>23</v>
      </c>
      <c r="F4" s="134"/>
      <c r="G4" s="135" t="s">
        <v>125</v>
      </c>
      <c r="H4" s="134"/>
      <c r="I4" s="134"/>
      <c r="J4" s="134"/>
      <c r="K4" s="134"/>
    </row>
    <row r="5" spans="1:12" s="126" customFormat="1" ht="15.75" customHeight="1">
      <c r="A5" s="147" t="s">
        <v>197</v>
      </c>
      <c r="B5" s="142" t="s">
        <v>22</v>
      </c>
      <c r="C5" s="142" t="s">
        <v>1</v>
      </c>
      <c r="D5" s="142" t="s">
        <v>2</v>
      </c>
      <c r="E5" s="142" t="s">
        <v>3</v>
      </c>
      <c r="F5" s="136"/>
      <c r="G5" s="147" t="s">
        <v>197</v>
      </c>
      <c r="H5" s="142" t="s">
        <v>69</v>
      </c>
      <c r="I5" s="142" t="s">
        <v>22</v>
      </c>
      <c r="J5" s="142" t="s">
        <v>67</v>
      </c>
      <c r="K5" s="142" t="s">
        <v>3</v>
      </c>
      <c r="L5" s="127" t="s">
        <v>60</v>
      </c>
    </row>
    <row r="6" spans="1:12" s="122" customFormat="1" ht="18" customHeight="1">
      <c r="A6" s="129" t="s">
        <v>24</v>
      </c>
      <c r="B6" s="143">
        <f>'（１）收支狀況'!H10/1000</f>
        <v>229748.16500000001</v>
      </c>
      <c r="C6" s="293">
        <v>224463.48699999999</v>
      </c>
      <c r="D6" s="143">
        <f t="shared" ref="D6:D11" si="0">B6-C6</f>
        <v>5284.6780000000144</v>
      </c>
      <c r="E6" s="143">
        <f t="shared" ref="E6:E11" si="1">B6</f>
        <v>229748.16500000001</v>
      </c>
      <c r="F6" s="134"/>
      <c r="G6" s="129" t="s">
        <v>198</v>
      </c>
      <c r="H6" s="296">
        <v>266</v>
      </c>
      <c r="I6" s="145">
        <f>'（２）ＫＰＩ達成進度'!H6</f>
        <v>0</v>
      </c>
      <c r="J6" s="309">
        <v>330.21457859125206</v>
      </c>
      <c r="K6" s="145">
        <f t="shared" ref="K6:K11" si="2">I6</f>
        <v>0</v>
      </c>
      <c r="L6" s="123" t="s">
        <v>194</v>
      </c>
    </row>
    <row r="7" spans="1:12" s="122" customFormat="1" ht="18" customHeight="1">
      <c r="A7" s="129" t="s">
        <v>25</v>
      </c>
      <c r="B7" s="143">
        <f>'（１）收支狀況'!K10</f>
        <v>6932373</v>
      </c>
      <c r="C7" s="293">
        <v>6964636</v>
      </c>
      <c r="D7" s="143">
        <f t="shared" si="0"/>
        <v>-32263</v>
      </c>
      <c r="E7" s="143">
        <f t="shared" si="1"/>
        <v>6932373</v>
      </c>
      <c r="F7" s="134"/>
      <c r="G7" s="129" t="s">
        <v>199</v>
      </c>
      <c r="H7" s="254">
        <v>0.8</v>
      </c>
      <c r="I7" s="144">
        <f>'（２）ＫＰＩ達成進度'!K6</f>
        <v>0</v>
      </c>
      <c r="J7" s="294">
        <v>0.90222562456626254</v>
      </c>
      <c r="K7" s="144">
        <f t="shared" si="2"/>
        <v>0</v>
      </c>
      <c r="L7" s="123" t="s">
        <v>4</v>
      </c>
    </row>
    <row r="8" spans="1:12" s="122" customFormat="1" ht="18" customHeight="1">
      <c r="A8" s="129" t="s">
        <v>5</v>
      </c>
      <c r="B8" s="143">
        <f>'（１）收支狀況'!N10/1000</f>
        <v>153124.13099999999</v>
      </c>
      <c r="C8" s="293">
        <v>150244.29199999999</v>
      </c>
      <c r="D8" s="143">
        <f>B8-C8</f>
        <v>2879.8390000000072</v>
      </c>
      <c r="E8" s="143">
        <f t="shared" si="1"/>
        <v>153124.13099999999</v>
      </c>
      <c r="F8" s="134"/>
      <c r="G8" s="129" t="s">
        <v>200</v>
      </c>
      <c r="H8" s="249">
        <v>2.5000000000000001E-3</v>
      </c>
      <c r="I8" s="249">
        <f>'（２）ＫＰＩ達成進度'!N6</f>
        <v>0</v>
      </c>
      <c r="J8" s="310">
        <v>2.4646256819628254E-3</v>
      </c>
      <c r="K8" s="249">
        <f t="shared" si="2"/>
        <v>0</v>
      </c>
      <c r="L8" s="123" t="s">
        <v>55</v>
      </c>
    </row>
    <row r="9" spans="1:12" s="122" customFormat="1" ht="18" customHeight="1">
      <c r="A9" s="129" t="s">
        <v>6</v>
      </c>
      <c r="B9" s="144">
        <f>'（１）收支狀況'!Q10</f>
        <v>0.66648685093959292</v>
      </c>
      <c r="C9" s="294">
        <v>0.66934847180735457</v>
      </c>
      <c r="D9" s="144">
        <f t="shared" si="0"/>
        <v>-2.8616208677616495E-3</v>
      </c>
      <c r="E9" s="144">
        <f t="shared" si="1"/>
        <v>0.66648685093959292</v>
      </c>
      <c r="F9" s="134"/>
      <c r="G9" s="129" t="s">
        <v>201</v>
      </c>
      <c r="H9" s="249">
        <v>2.5999999999999999E-3</v>
      </c>
      <c r="I9" s="249">
        <f>'（２）ＫＰＩ達成進度'!Q6</f>
        <v>0</v>
      </c>
      <c r="J9" s="310">
        <v>2.3405370745029669E-3</v>
      </c>
      <c r="K9" s="249">
        <f t="shared" si="2"/>
        <v>0</v>
      </c>
      <c r="L9" s="123" t="s">
        <v>98</v>
      </c>
    </row>
    <row r="10" spans="1:12" s="122" customFormat="1" ht="18" customHeight="1">
      <c r="A10" s="129" t="s">
        <v>64</v>
      </c>
      <c r="B10" s="143">
        <f>'（１）收支狀況'!T10/1000</f>
        <v>29971.581039138822</v>
      </c>
      <c r="C10" s="293">
        <v>32105.786706827967</v>
      </c>
      <c r="D10" s="143">
        <f t="shared" si="0"/>
        <v>-2134.2056676891443</v>
      </c>
      <c r="E10" s="143">
        <f t="shared" si="1"/>
        <v>29971.581039138822</v>
      </c>
      <c r="F10" s="134"/>
      <c r="G10" s="129" t="s">
        <v>202</v>
      </c>
      <c r="H10" s="251">
        <v>0.8</v>
      </c>
      <c r="I10" s="251">
        <f>'（２）ＫＰＩ達成進度'!T6</f>
        <v>0</v>
      </c>
      <c r="J10" s="311">
        <v>0.91666666666666707</v>
      </c>
      <c r="K10" s="251">
        <f t="shared" si="2"/>
        <v>0</v>
      </c>
      <c r="L10" s="123" t="s">
        <v>7</v>
      </c>
    </row>
    <row r="11" spans="1:12" s="122" customFormat="1" ht="18" customHeight="1">
      <c r="A11" s="129" t="s">
        <v>65</v>
      </c>
      <c r="B11" s="144">
        <f>'（１）收支狀況'!W10</f>
        <v>0.13045406059778028</v>
      </c>
      <c r="C11" s="294">
        <v>0.14303344894053066</v>
      </c>
      <c r="D11" s="144">
        <f t="shared" si="0"/>
        <v>-1.2579388342750381E-2</v>
      </c>
      <c r="E11" s="144">
        <f t="shared" si="1"/>
        <v>0.13045406059778028</v>
      </c>
      <c r="F11" s="134"/>
      <c r="G11" s="129" t="s">
        <v>203</v>
      </c>
      <c r="H11" s="251">
        <v>1</v>
      </c>
      <c r="I11" s="144">
        <f>'（２）ＫＰＩ達成進度'!W6</f>
        <v>0</v>
      </c>
      <c r="J11" s="294">
        <v>0.84941935483870945</v>
      </c>
      <c r="K11" s="144">
        <f t="shared" si="2"/>
        <v>0</v>
      </c>
      <c r="L11" s="123" t="s">
        <v>62</v>
      </c>
    </row>
    <row r="12" spans="1:12" s="122" customFormat="1" ht="9.6" customHeight="1">
      <c r="A12" s="134"/>
      <c r="B12" s="134"/>
      <c r="C12" s="134"/>
      <c r="D12" s="134"/>
      <c r="E12" s="134"/>
      <c r="F12" s="134"/>
      <c r="G12" s="134"/>
      <c r="H12" s="134"/>
      <c r="I12" s="134"/>
      <c r="J12" s="134"/>
      <c r="K12" s="134"/>
    </row>
    <row r="13" spans="1:12" s="122" customFormat="1" ht="15.75" customHeight="1">
      <c r="A13" s="133" t="s">
        <v>32</v>
      </c>
      <c r="B13" s="134"/>
      <c r="C13" s="134"/>
      <c r="D13" s="134"/>
      <c r="E13" s="134"/>
      <c r="F13" s="134"/>
      <c r="G13" s="133" t="s">
        <v>147</v>
      </c>
      <c r="H13" s="134"/>
      <c r="I13" s="134"/>
      <c r="J13" s="134"/>
      <c r="K13" s="134"/>
    </row>
    <row r="14" spans="1:12" s="128" customFormat="1" ht="14.25">
      <c r="A14" s="146"/>
      <c r="B14" s="146" t="s">
        <v>22</v>
      </c>
      <c r="C14" s="146" t="s">
        <v>66</v>
      </c>
      <c r="D14" s="146" t="s">
        <v>67</v>
      </c>
      <c r="E14" s="146" t="s">
        <v>68</v>
      </c>
      <c r="F14" s="137"/>
      <c r="G14" s="146"/>
      <c r="H14" s="146" t="s">
        <v>22</v>
      </c>
      <c r="I14" s="146" t="s">
        <v>66</v>
      </c>
      <c r="J14" s="146" t="s">
        <v>67</v>
      </c>
      <c r="K14" s="146" t="s">
        <v>68</v>
      </c>
    </row>
    <row r="15" spans="1:12" s="122" customFormat="1" ht="18" customHeight="1">
      <c r="A15" s="129" t="s">
        <v>227</v>
      </c>
      <c r="B15" s="143">
        <f>'（３）業績構成比'!M46/1000</f>
        <v>38726.486336604314</v>
      </c>
      <c r="C15" s="144">
        <f>IFERROR(B15/$B$6,"")</f>
        <v>0.16856059040386379</v>
      </c>
      <c r="D15" s="294">
        <v>0.19061185820038584</v>
      </c>
      <c r="E15" s="144">
        <f>IFERROR(C15-D15,"")</f>
        <v>-2.2051267796522056E-2</v>
      </c>
      <c r="F15" s="134"/>
      <c r="G15" s="129" t="s">
        <v>232</v>
      </c>
      <c r="H15" s="143">
        <f>'（４）訂單數量構成比'!M46</f>
        <v>2058509</v>
      </c>
      <c r="I15" s="144">
        <f t="shared" ref="I15:I23" si="3">IFERROR(H15/$B$7,"")</f>
        <v>0.2969414657866794</v>
      </c>
      <c r="J15" s="294">
        <v>0.33067557299476957</v>
      </c>
      <c r="K15" s="144">
        <f t="shared" ref="K15:K23" si="4">IFERROR(I15-J15,"")</f>
        <v>-3.3734107208090169E-2</v>
      </c>
    </row>
    <row r="16" spans="1:12" s="122" customFormat="1" ht="18" customHeight="1">
      <c r="A16" s="129" t="s">
        <v>222</v>
      </c>
      <c r="B16" s="143">
        <f>'（３）業績構成比'!S46/1000</f>
        <v>6364.7996109263831</v>
      </c>
      <c r="C16" s="144">
        <f t="shared" ref="C16:C23" si="5">IFERROR(B16/$B$6,"")</f>
        <v>2.7703375175711992E-2</v>
      </c>
      <c r="D16" s="294">
        <v>4.2789233591899609E-2</v>
      </c>
      <c r="E16" s="144">
        <f t="shared" ref="E16:E23" si="6">IFERROR(C16-D16,"")</f>
        <v>-1.5085858416187616E-2</v>
      </c>
      <c r="F16" s="134"/>
      <c r="G16" s="129" t="s">
        <v>251</v>
      </c>
      <c r="H16" s="143">
        <f>'（４）訂單數量構成比'!S47</f>
        <v>263519</v>
      </c>
      <c r="I16" s="144">
        <f t="shared" si="3"/>
        <v>3.8012813217061459E-2</v>
      </c>
      <c r="J16" s="294">
        <v>6.1681041191528174E-2</v>
      </c>
      <c r="K16" s="144">
        <f t="shared" si="4"/>
        <v>-2.3668227974466716E-2</v>
      </c>
    </row>
    <row r="17" spans="1:18" s="122" customFormat="1" ht="18" customHeight="1">
      <c r="A17" s="129" t="s">
        <v>218</v>
      </c>
      <c r="B17" s="143">
        <f>'（３）業績構成比'!U46/1000</f>
        <v>27662.200507548809</v>
      </c>
      <c r="C17" s="144">
        <f t="shared" si="5"/>
        <v>0.12040226962225709</v>
      </c>
      <c r="D17" s="294">
        <v>8.6938303169141445E-2</v>
      </c>
      <c r="E17" s="144">
        <f t="shared" si="6"/>
        <v>3.346396645311564E-2</v>
      </c>
      <c r="F17" s="134"/>
      <c r="G17" s="129" t="s">
        <v>233</v>
      </c>
      <c r="H17" s="143">
        <f>'（４）訂單數量構成比'!U46</f>
        <v>835460</v>
      </c>
      <c r="I17" s="144">
        <f t="shared" si="3"/>
        <v>0.12051573104909387</v>
      </c>
      <c r="J17" s="294">
        <v>8.2530228428305513E-2</v>
      </c>
      <c r="K17" s="144">
        <f t="shared" si="4"/>
        <v>3.7985502620788356E-2</v>
      </c>
    </row>
    <row r="18" spans="1:18" s="122" customFormat="1" ht="18" customHeight="1">
      <c r="A18" s="129" t="s">
        <v>220</v>
      </c>
      <c r="B18" s="143">
        <f>'（３）業績構成比'!W46/1000</f>
        <v>2169.5303093711041</v>
      </c>
      <c r="C18" s="144">
        <f t="shared" si="5"/>
        <v>9.4430800323088721E-3</v>
      </c>
      <c r="D18" s="294">
        <v>1.4659145993880142E-2</v>
      </c>
      <c r="E18" s="144">
        <f t="shared" si="6"/>
        <v>-5.2160659615712694E-3</v>
      </c>
      <c r="F18" s="134"/>
      <c r="G18" s="129" t="s">
        <v>219</v>
      </c>
      <c r="H18" s="143">
        <f>'（４）訂單數量構成比'!W46</f>
        <v>74195</v>
      </c>
      <c r="I18" s="144">
        <f t="shared" si="3"/>
        <v>1.0702684347769515E-2</v>
      </c>
      <c r="J18" s="294">
        <v>1.6773740939224964E-2</v>
      </c>
      <c r="K18" s="144">
        <f t="shared" si="4"/>
        <v>-6.0710565914554489E-3</v>
      </c>
    </row>
    <row r="19" spans="1:18" s="122" customFormat="1" ht="18" customHeight="1">
      <c r="A19" s="129" t="s">
        <v>224</v>
      </c>
      <c r="B19" s="143">
        <f>'（３）業績構成比'!AC46/1000</f>
        <v>50729.291380905088</v>
      </c>
      <c r="C19" s="144">
        <f t="shared" si="5"/>
        <v>0.22080390231149435</v>
      </c>
      <c r="D19" s="294">
        <v>0.24409177848792188</v>
      </c>
      <c r="E19" s="144">
        <f t="shared" si="6"/>
        <v>-2.3287876176427524E-2</v>
      </c>
      <c r="F19" s="134"/>
      <c r="G19" s="129" t="s">
        <v>223</v>
      </c>
      <c r="H19" s="143">
        <f>'（４）訂單數量構成比'!AC46</f>
        <v>1303118</v>
      </c>
      <c r="I19" s="144">
        <f t="shared" si="3"/>
        <v>0.18797574798701686</v>
      </c>
      <c r="J19" s="294">
        <v>0.19673059726308739</v>
      </c>
      <c r="K19" s="144">
        <f t="shared" si="4"/>
        <v>-8.7548492760705365E-3</v>
      </c>
    </row>
    <row r="20" spans="1:18" s="122" customFormat="1" ht="18" customHeight="1">
      <c r="A20" s="129" t="s">
        <v>226</v>
      </c>
      <c r="B20" s="143">
        <f>'（３）業績構成比'!AE46/1000</f>
        <v>39044.541577620548</v>
      </c>
      <c r="C20" s="144">
        <f t="shared" si="5"/>
        <v>0.16994495506686874</v>
      </c>
      <c r="D20" s="294">
        <v>0.1397972381723295</v>
      </c>
      <c r="E20" s="144">
        <f t="shared" si="6"/>
        <v>3.0147716894539239E-2</v>
      </c>
      <c r="F20" s="134"/>
      <c r="G20" s="129" t="s">
        <v>225</v>
      </c>
      <c r="H20" s="143">
        <f>'（４）訂單數量構成比'!AE46</f>
        <v>684711</v>
      </c>
      <c r="I20" s="144">
        <f t="shared" si="3"/>
        <v>9.8770074835846253E-2</v>
      </c>
      <c r="J20" s="294">
        <v>7.9797709456746913E-2</v>
      </c>
      <c r="K20" s="144">
        <f t="shared" si="4"/>
        <v>1.897236537909934E-2</v>
      </c>
    </row>
    <row r="21" spans="1:18" s="122" customFormat="1" ht="18" customHeight="1">
      <c r="A21" s="129" t="s">
        <v>228</v>
      </c>
      <c r="B21" s="143">
        <f>'（３）業績構成比'!AG46/1000</f>
        <v>15966.908826043909</v>
      </c>
      <c r="C21" s="144">
        <f>IFERROR(B21/$B$6,"")</f>
        <v>6.9497437883971391E-2</v>
      </c>
      <c r="D21" s="294">
        <v>0.13619626613806221</v>
      </c>
      <c r="E21" s="144">
        <f>IFERROR(C21-D21,"")</f>
        <v>-6.669882825409082E-2</v>
      </c>
      <c r="F21" s="134"/>
      <c r="G21" s="129" t="s">
        <v>234</v>
      </c>
      <c r="H21" s="143">
        <f>'（４）訂單數量構成比'!AG46</f>
        <v>333107</v>
      </c>
      <c r="I21" s="144">
        <f>IFERROR(H21/$B$7,"")</f>
        <v>4.805093436259128E-2</v>
      </c>
      <c r="J21" s="294">
        <v>9.0009011239065476E-2</v>
      </c>
      <c r="K21" s="144">
        <f>IFERROR(I21-J21,"")</f>
        <v>-4.1958076876474196E-2</v>
      </c>
    </row>
    <row r="22" spans="1:18" s="122" customFormat="1" ht="18" customHeight="1">
      <c r="A22" s="129" t="s">
        <v>229</v>
      </c>
      <c r="B22" s="143">
        <f>'（３）業績構成比'!AI46/1000</f>
        <v>29153.110610337728</v>
      </c>
      <c r="C22" s="144">
        <f t="shared" si="5"/>
        <v>0.12689159284618323</v>
      </c>
      <c r="D22" s="294">
        <v>6.8175373790099608E-2</v>
      </c>
      <c r="E22" s="144">
        <f t="shared" si="6"/>
        <v>5.8716219056083624E-2</v>
      </c>
      <c r="F22" s="134"/>
      <c r="G22" s="129" t="s">
        <v>235</v>
      </c>
      <c r="H22" s="143">
        <f>'（４）訂單數量構成比'!AI46</f>
        <v>800606</v>
      </c>
      <c r="I22" s="144">
        <f t="shared" si="3"/>
        <v>0.11548801543136816</v>
      </c>
      <c r="J22" s="294">
        <v>5.972113976954431E-2</v>
      </c>
      <c r="K22" s="144">
        <f t="shared" si="4"/>
        <v>5.5766875661823853E-2</v>
      </c>
    </row>
    <row r="23" spans="1:18" s="122" customFormat="1" ht="18" customHeight="1">
      <c r="A23" s="129" t="s">
        <v>231</v>
      </c>
      <c r="B23" s="143">
        <f>'（３）業績構成比'!AK46/1000</f>
        <v>16497.614511597763</v>
      </c>
      <c r="C23" s="144">
        <f t="shared" si="5"/>
        <v>7.1807383147533571E-2</v>
      </c>
      <c r="D23" s="294">
        <v>7.674080245627983E-2</v>
      </c>
      <c r="E23" s="144">
        <f t="shared" si="6"/>
        <v>-4.9334193087462591E-3</v>
      </c>
      <c r="F23" s="134"/>
      <c r="G23" s="129" t="s">
        <v>230</v>
      </c>
      <c r="H23" s="143">
        <f>'（４）訂單數量構成比'!AK46</f>
        <v>579148</v>
      </c>
      <c r="I23" s="144">
        <f t="shared" si="3"/>
        <v>8.3542532982573206E-2</v>
      </c>
      <c r="J23" s="294">
        <v>8.2080958717727678E-2</v>
      </c>
      <c r="K23" s="144">
        <f t="shared" si="4"/>
        <v>1.4615742648455277E-3</v>
      </c>
    </row>
    <row r="24" spans="1:18" s="122" customFormat="1" ht="15.75" customHeight="1">
      <c r="A24" s="134"/>
      <c r="B24" s="134"/>
      <c r="C24" s="138">
        <f>SUM(C15:C23)</f>
        <v>0.98505458649019317</v>
      </c>
      <c r="D24" s="138">
        <f>SUM(D15:D23)</f>
        <v>1.0000000000000002</v>
      </c>
      <c r="E24" s="134"/>
      <c r="F24" s="134"/>
      <c r="G24" s="134"/>
      <c r="H24" s="134"/>
      <c r="I24" s="138">
        <f>SUM(I15:I23)</f>
        <v>1</v>
      </c>
      <c r="J24" s="138">
        <f>SUM(J15:J23)</f>
        <v>1</v>
      </c>
      <c r="K24" s="134"/>
    </row>
    <row r="25" spans="1:18" s="122" customFormat="1" ht="9.6" customHeight="1">
      <c r="A25" s="139"/>
      <c r="B25" s="134"/>
      <c r="C25" s="134"/>
      <c r="D25" s="134"/>
      <c r="E25" s="134"/>
      <c r="F25" s="134"/>
      <c r="G25" s="134"/>
      <c r="H25" s="134"/>
      <c r="I25" s="134"/>
      <c r="J25" s="134"/>
      <c r="K25" s="134"/>
    </row>
    <row r="26" spans="1:18" s="122" customFormat="1" ht="15.75" customHeight="1">
      <c r="A26" s="133" t="s">
        <v>196</v>
      </c>
      <c r="B26" s="134"/>
      <c r="C26" s="134"/>
      <c r="D26" s="134"/>
      <c r="E26" s="134"/>
      <c r="F26" s="134"/>
      <c r="G26" s="134"/>
      <c r="H26" s="134"/>
      <c r="I26" s="134"/>
      <c r="J26" s="134"/>
      <c r="K26" s="134"/>
      <c r="L26" s="134"/>
      <c r="M26" s="134"/>
      <c r="N26" s="134"/>
      <c r="O26" s="134"/>
      <c r="P26" s="134"/>
      <c r="Q26" s="134"/>
      <c r="R26" s="134"/>
    </row>
    <row r="27" spans="1:18" s="122" customFormat="1" ht="15.75" customHeight="1">
      <c r="A27" s="129" t="s">
        <v>186</v>
      </c>
      <c r="B27" s="129" t="s">
        <v>22</v>
      </c>
      <c r="C27" s="129" t="s">
        <v>1</v>
      </c>
      <c r="D27" s="129" t="s">
        <v>2</v>
      </c>
      <c r="E27" s="129" t="s">
        <v>3</v>
      </c>
      <c r="F27" s="134"/>
      <c r="G27" s="134"/>
      <c r="H27" s="134"/>
      <c r="I27" s="134"/>
      <c r="M27" s="136" t="s">
        <v>459</v>
      </c>
      <c r="N27" s="136" t="s">
        <v>460</v>
      </c>
      <c r="O27" s="136" t="s">
        <v>461</v>
      </c>
      <c r="P27" s="136" t="s">
        <v>462</v>
      </c>
      <c r="Q27" s="136" t="s">
        <v>463</v>
      </c>
      <c r="R27" s="134"/>
    </row>
    <row r="28" spans="1:18" s="122" customFormat="1" ht="18" customHeight="1">
      <c r="A28" s="129" t="s">
        <v>232</v>
      </c>
      <c r="B28" s="295">
        <f>'（５-1）品群別人時生產性（18℃-飯糰）'!$C$1</f>
        <v>760.65674171357432</v>
      </c>
      <c r="C28" s="332">
        <v>756.20246993670457</v>
      </c>
      <c r="D28" s="244">
        <f t="shared" ref="D28:D36" si="7">B28-C28</f>
        <v>4.4542717768697457</v>
      </c>
      <c r="E28" s="295">
        <f>R28</f>
        <v>739.09213832076694</v>
      </c>
      <c r="F28" s="134"/>
      <c r="G28" s="148"/>
      <c r="H28" s="148"/>
      <c r="I28" s="148"/>
      <c r="M28" s="295">
        <v>717.52753492795955</v>
      </c>
      <c r="N28" s="295">
        <f>B28</f>
        <v>760.65674171357432</v>
      </c>
      <c r="O28" s="295"/>
      <c r="P28" s="295"/>
      <c r="Q28" s="295"/>
      <c r="R28" s="312">
        <f>AVERAGE(M28:Q28)</f>
        <v>739.09213832076694</v>
      </c>
    </row>
    <row r="29" spans="1:18" s="122" customFormat="1" ht="18" customHeight="1">
      <c r="A29" s="129" t="s">
        <v>221</v>
      </c>
      <c r="B29" s="295">
        <f>'（５-2）品群別人時生產性（18-壽司手卷)'!$C$1</f>
        <v>182.50487018249518</v>
      </c>
      <c r="C29" s="332">
        <v>198.82982221081653</v>
      </c>
      <c r="D29" s="244">
        <f t="shared" si="7"/>
        <v>-16.324952028321349</v>
      </c>
      <c r="E29" s="295">
        <f t="shared" ref="E29:E36" si="8">R29</f>
        <v>190.06879353440164</v>
      </c>
      <c r="F29" s="134"/>
      <c r="G29" s="149"/>
      <c r="H29" s="149"/>
      <c r="I29" s="149"/>
      <c r="M29" s="295">
        <v>197.63271688630809</v>
      </c>
      <c r="N29" s="295">
        <f t="shared" ref="N29:N36" si="9">B29</f>
        <v>182.50487018249518</v>
      </c>
      <c r="O29" s="295"/>
      <c r="P29" s="295"/>
      <c r="Q29" s="295"/>
      <c r="R29" s="312">
        <f t="shared" ref="R29:R36" si="10">AVERAGE(M29:Q29)</f>
        <v>190.06879353440164</v>
      </c>
    </row>
    <row r="30" spans="1:18" s="122" customFormat="1" ht="18" customHeight="1">
      <c r="A30" s="129" t="s">
        <v>233</v>
      </c>
      <c r="B30" s="295">
        <f>'（５-3）品群別人時生產性（4℃-飯糰)'!$C$1</f>
        <v>250.02528842620799</v>
      </c>
      <c r="C30" s="332">
        <v>253.36933201602551</v>
      </c>
      <c r="D30" s="244">
        <f t="shared" si="7"/>
        <v>-3.3440435898175167</v>
      </c>
      <c r="E30" s="295">
        <f t="shared" si="8"/>
        <v>245.24192990225561</v>
      </c>
      <c r="F30" s="134"/>
      <c r="G30" s="134"/>
      <c r="H30" s="134"/>
      <c r="I30" s="134"/>
      <c r="M30" s="295">
        <v>240.45857137830325</v>
      </c>
      <c r="N30" s="295">
        <f t="shared" si="9"/>
        <v>250.02528842620799</v>
      </c>
      <c r="O30" s="295"/>
      <c r="P30" s="295"/>
      <c r="Q30" s="295"/>
      <c r="R30" s="312">
        <f t="shared" si="10"/>
        <v>245.24192990225561</v>
      </c>
    </row>
    <row r="31" spans="1:18" s="122" customFormat="1" ht="18" customHeight="1">
      <c r="A31" s="129" t="s">
        <v>219</v>
      </c>
      <c r="B31" s="295">
        <f>'（５-4）品群別人時生產性（4℃-壽司手卷)'!$C$1</f>
        <v>108.45014748013439</v>
      </c>
      <c r="C31" s="332">
        <v>112.99131142028241</v>
      </c>
      <c r="D31" s="244">
        <f t="shared" si="7"/>
        <v>-4.5411639401480244</v>
      </c>
      <c r="E31" s="295">
        <f t="shared" si="8"/>
        <v>107.65763519413599</v>
      </c>
      <c r="F31" s="134"/>
      <c r="G31" s="134"/>
      <c r="H31" s="134"/>
      <c r="I31" s="134"/>
      <c r="M31" s="295">
        <v>106.86512290813759</v>
      </c>
      <c r="N31" s="295">
        <f t="shared" si="9"/>
        <v>108.45014748013439</v>
      </c>
      <c r="O31" s="295"/>
      <c r="P31" s="295"/>
      <c r="Q31" s="295"/>
      <c r="R31" s="312">
        <f t="shared" si="10"/>
        <v>107.65763519413599</v>
      </c>
    </row>
    <row r="32" spans="1:18" s="122" customFormat="1" ht="18" customHeight="1">
      <c r="A32" s="129" t="s">
        <v>223</v>
      </c>
      <c r="B32" s="295">
        <f>'（５-5）品群別人時生產性(主食) '!$C$1</f>
        <v>87.069420243517385</v>
      </c>
      <c r="C32" s="332">
        <v>85.495684450909806</v>
      </c>
      <c r="D32" s="244">
        <f t="shared" si="7"/>
        <v>1.5737357926075788</v>
      </c>
      <c r="E32" s="295">
        <f t="shared" si="8"/>
        <v>88.189924324125343</v>
      </c>
      <c r="F32" s="134"/>
      <c r="G32" s="134"/>
      <c r="H32" s="134"/>
      <c r="I32" s="134"/>
      <c r="M32" s="295">
        <v>89.310428404733287</v>
      </c>
      <c r="N32" s="295">
        <f t="shared" si="9"/>
        <v>87.069420243517385</v>
      </c>
      <c r="O32" s="295"/>
      <c r="P32" s="295"/>
      <c r="Q32" s="295"/>
      <c r="R32" s="312">
        <f t="shared" si="10"/>
        <v>88.189924324125343</v>
      </c>
    </row>
    <row r="33" spans="1:18" s="122" customFormat="1" ht="18" customHeight="1">
      <c r="A33" s="129" t="s">
        <v>225</v>
      </c>
      <c r="B33" s="295">
        <f>'（５-6）品群別人時生產性(便當)'!$C$1</f>
        <v>71.832085190493203</v>
      </c>
      <c r="C33" s="332">
        <v>66.943613625537381</v>
      </c>
      <c r="D33" s="244">
        <f t="shared" si="7"/>
        <v>4.8884715649558217</v>
      </c>
      <c r="E33" s="295">
        <f t="shared" si="8"/>
        <v>68.752413824886474</v>
      </c>
      <c r="F33" s="134"/>
      <c r="G33" s="134"/>
      <c r="H33" s="134"/>
      <c r="I33" s="134"/>
      <c r="M33" s="295">
        <v>65.67274245927976</v>
      </c>
      <c r="N33" s="295">
        <f t="shared" si="9"/>
        <v>71.832085190493203</v>
      </c>
      <c r="O33" s="295"/>
      <c r="P33" s="295"/>
      <c r="Q33" s="295"/>
      <c r="R33" s="312">
        <f t="shared" si="10"/>
        <v>68.752413824886474</v>
      </c>
    </row>
    <row r="34" spans="1:18" s="122" customFormat="1" ht="18" customHeight="1">
      <c r="A34" s="129" t="s">
        <v>234</v>
      </c>
      <c r="B34" s="295">
        <f>'（５-7）品群別人時生產性(熱食義麵) '!$C$1</f>
        <v>84.842396460366146</v>
      </c>
      <c r="C34" s="332">
        <v>80.555861357885718</v>
      </c>
      <c r="D34" s="244">
        <f t="shared" si="7"/>
        <v>4.2865351024804283</v>
      </c>
      <c r="E34" s="295">
        <f t="shared" si="8"/>
        <v>80.160482741159456</v>
      </c>
      <c r="F34" s="134"/>
      <c r="G34" s="134"/>
      <c r="H34" s="134"/>
      <c r="I34" s="134"/>
      <c r="M34" s="295">
        <v>75.478569021952779</v>
      </c>
      <c r="N34" s="295">
        <f t="shared" si="9"/>
        <v>84.842396460366146</v>
      </c>
      <c r="O34" s="295"/>
      <c r="P34" s="295"/>
      <c r="Q34" s="295"/>
      <c r="R34" s="312">
        <f t="shared" si="10"/>
        <v>80.160482741159456</v>
      </c>
    </row>
    <row r="35" spans="1:18" s="122" customFormat="1" ht="18" customHeight="1">
      <c r="A35" s="129" t="s">
        <v>235</v>
      </c>
      <c r="B35" s="295">
        <f>'（５-8）品群別人時生產性(季節調理麵) '!$C$1</f>
        <v>125.28930718210442</v>
      </c>
      <c r="C35" s="332">
        <v>121.13262609451999</v>
      </c>
      <c r="D35" s="244">
        <f t="shared" si="7"/>
        <v>4.1566810875844311</v>
      </c>
      <c r="E35" s="295">
        <f t="shared" si="8"/>
        <v>119.89743960435372</v>
      </c>
      <c r="F35" s="134"/>
      <c r="G35" s="134"/>
      <c r="H35" s="134"/>
      <c r="I35" s="134"/>
      <c r="M35" s="295">
        <v>114.50557202660302</v>
      </c>
      <c r="N35" s="295">
        <f t="shared" si="9"/>
        <v>125.28930718210442</v>
      </c>
      <c r="O35" s="295"/>
      <c r="P35" s="295"/>
      <c r="Q35" s="295"/>
      <c r="R35" s="312">
        <f t="shared" si="10"/>
        <v>119.89743960435372</v>
      </c>
    </row>
    <row r="36" spans="1:18" s="122" customFormat="1" ht="18" customHeight="1">
      <c r="A36" s="125" t="s">
        <v>230</v>
      </c>
      <c r="B36" s="295">
        <f>'（５-9）品群別人時生產性(微波小吃)'!$C$1</f>
        <v>176.53051814704241</v>
      </c>
      <c r="C36" s="332">
        <v>115.3662253913358</v>
      </c>
      <c r="D36" s="244">
        <f t="shared" si="7"/>
        <v>61.164292755706612</v>
      </c>
      <c r="E36" s="295">
        <f t="shared" si="8"/>
        <v>138.08943009445409</v>
      </c>
      <c r="F36" s="134"/>
      <c r="G36" s="134"/>
      <c r="H36" s="134"/>
      <c r="I36" s="134"/>
      <c r="M36" s="295">
        <v>99.648342041865732</v>
      </c>
      <c r="N36" s="295">
        <f t="shared" si="9"/>
        <v>176.53051814704241</v>
      </c>
      <c r="O36" s="295"/>
      <c r="P36" s="295"/>
      <c r="Q36" s="295"/>
      <c r="R36" s="312">
        <f t="shared" si="10"/>
        <v>138.08943009445409</v>
      </c>
    </row>
    <row r="37" spans="1:18" s="122" customFormat="1" ht="15.75" customHeight="1"/>
    <row r="38" spans="1:18" s="122" customFormat="1" ht="15.75" customHeight="1"/>
  </sheetData>
  <mergeCells count="2">
    <mergeCell ref="A1:K2"/>
    <mergeCell ref="D3:E3"/>
  </mergeCells>
  <phoneticPr fontId="11" type="noConversion"/>
  <printOptions horizontalCentered="1" gridLines="1"/>
  <pageMargins left="0.39370078740157483" right="0.39370078740157483" top="0.39370078740157483" bottom="0.19685039370078741" header="0" footer="0"/>
  <pageSetup paperSize="9" scale="86" fitToWidth="0" fitToHeight="0" pageOrder="overThenDown" orientation="landscape" cellComments="atEnd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R38"/>
  <sheetViews>
    <sheetView zoomScale="85" zoomScaleNormal="85" zoomScaleSheetLayoutView="100" workbookViewId="0">
      <selection activeCell="G28" sqref="G28"/>
    </sheetView>
  </sheetViews>
  <sheetFormatPr defaultColWidth="12.5703125" defaultRowHeight="15.75" customHeight="1"/>
  <cols>
    <col min="1" max="1" width="27.42578125" style="120" bestFit="1" customWidth="1"/>
    <col min="2" max="2" width="12.5703125" style="120" customWidth="1"/>
    <col min="3" max="4" width="12.5703125" style="120"/>
    <col min="5" max="5" width="16.42578125" style="120" customWidth="1"/>
    <col min="6" max="6" width="2.42578125" style="120" customWidth="1"/>
    <col min="7" max="7" width="24.85546875" style="120" bestFit="1" customWidth="1"/>
    <col min="8" max="10" width="12.5703125" style="120"/>
    <col min="11" max="11" width="16.42578125" style="120" customWidth="1"/>
    <col min="12" max="12" width="12.5703125" style="121"/>
    <col min="13" max="16384" width="12.5703125" style="120"/>
  </cols>
  <sheetData>
    <row r="1" spans="1:18" ht="15.75" customHeight="1">
      <c r="A1" s="571" t="s">
        <v>390</v>
      </c>
      <c r="B1" s="571"/>
      <c r="C1" s="571"/>
      <c r="D1" s="571"/>
      <c r="E1" s="571"/>
      <c r="F1" s="571"/>
      <c r="G1" s="571"/>
      <c r="H1" s="571"/>
      <c r="I1" s="571"/>
      <c r="J1" s="571"/>
      <c r="K1" s="571"/>
      <c r="L1" s="120"/>
    </row>
    <row r="2" spans="1:18" s="121" customFormat="1" ht="15.75" customHeight="1">
      <c r="A2" s="571"/>
      <c r="B2" s="571"/>
      <c r="C2" s="571"/>
      <c r="D2" s="571"/>
      <c r="E2" s="571"/>
      <c r="F2" s="571"/>
      <c r="G2" s="571"/>
      <c r="H2" s="571"/>
      <c r="I2" s="571"/>
      <c r="J2" s="571"/>
      <c r="K2" s="571"/>
    </row>
    <row r="3" spans="1:18" ht="21.6" customHeight="1">
      <c r="A3" s="140" t="s">
        <v>325</v>
      </c>
      <c r="B3" s="215">
        <v>4</v>
      </c>
      <c r="C3" s="217" t="s">
        <v>326</v>
      </c>
      <c r="D3" s="215" t="s">
        <v>851</v>
      </c>
      <c r="E3" s="140" t="s">
        <v>20</v>
      </c>
      <c r="F3" s="572" t="s">
        <v>389</v>
      </c>
      <c r="G3" s="572"/>
      <c r="H3" s="131"/>
      <c r="I3" s="132"/>
      <c r="J3" s="131"/>
      <c r="K3" s="131"/>
      <c r="L3" s="131"/>
      <c r="M3" s="131"/>
      <c r="N3" s="121"/>
    </row>
    <row r="4" spans="1:18" s="122" customFormat="1" ht="15.75" customHeight="1">
      <c r="A4" s="133" t="s">
        <v>195</v>
      </c>
      <c r="B4" s="134"/>
      <c r="C4" s="134"/>
      <c r="D4" s="134"/>
      <c r="E4" s="124" t="s">
        <v>23</v>
      </c>
      <c r="F4" s="134"/>
      <c r="G4" s="135" t="s">
        <v>125</v>
      </c>
      <c r="H4" s="134"/>
      <c r="I4" s="134"/>
      <c r="J4" s="134"/>
      <c r="K4" s="134"/>
    </row>
    <row r="5" spans="1:18" s="126" customFormat="1" ht="15.75" customHeight="1">
      <c r="A5" s="147" t="s">
        <v>197</v>
      </c>
      <c r="B5" s="147" t="s">
        <v>328</v>
      </c>
      <c r="C5" s="147" t="s">
        <v>330</v>
      </c>
      <c r="D5" s="142" t="s">
        <v>2</v>
      </c>
      <c r="E5" s="142" t="s">
        <v>3</v>
      </c>
      <c r="F5" s="136"/>
      <c r="G5" s="147" t="s">
        <v>197</v>
      </c>
      <c r="H5" s="142" t="s">
        <v>69</v>
      </c>
      <c r="I5" s="142" t="s">
        <v>327</v>
      </c>
      <c r="J5" s="142" t="s">
        <v>329</v>
      </c>
      <c r="K5" s="142" t="s">
        <v>3</v>
      </c>
      <c r="L5" s="127" t="s">
        <v>60</v>
      </c>
    </row>
    <row r="6" spans="1:18" s="122" customFormat="1" ht="18" customHeight="1">
      <c r="A6" s="129" t="s">
        <v>24</v>
      </c>
      <c r="B6" s="224">
        <f>'（１）收支狀況'!G25/1000</f>
        <v>62548.991999999998</v>
      </c>
      <c r="C6" s="255">
        <v>64721.925999999999</v>
      </c>
      <c r="D6" s="143">
        <f t="shared" ref="D6:D11" si="0">B6-C6</f>
        <v>-2172.9340000000011</v>
      </c>
      <c r="E6" s="236">
        <f>'（１）收支狀況'!H10/1000</f>
        <v>229748.16500000001</v>
      </c>
      <c r="F6" s="134"/>
      <c r="G6" s="129" t="s">
        <v>198</v>
      </c>
      <c r="H6" s="238">
        <v>366</v>
      </c>
      <c r="I6" s="260">
        <f>'（２）ＫＰＩ達成進度'!G25</f>
        <v>364.98571428571432</v>
      </c>
      <c r="J6" s="261">
        <v>355.01393918501162</v>
      </c>
      <c r="K6" s="262">
        <f>'（２）ＫＰＩ達成進度'!H10</f>
        <v>353.91728385150736</v>
      </c>
      <c r="L6" s="123" t="s">
        <v>194</v>
      </c>
    </row>
    <row r="7" spans="1:18" s="122" customFormat="1" ht="18" customHeight="1">
      <c r="A7" s="129" t="s">
        <v>25</v>
      </c>
      <c r="B7" s="224">
        <f>'（１）收支狀況'!J25</f>
        <v>1879607</v>
      </c>
      <c r="C7" s="255">
        <v>1948043</v>
      </c>
      <c r="D7" s="143">
        <f t="shared" si="0"/>
        <v>-68436</v>
      </c>
      <c r="E7" s="236">
        <f>'（１）收支狀況'!K10</f>
        <v>6932373</v>
      </c>
      <c r="F7" s="134"/>
      <c r="G7" s="129" t="s">
        <v>199</v>
      </c>
      <c r="H7" s="253">
        <v>0.8</v>
      </c>
      <c r="I7" s="251">
        <f>'（２）ＫＰＩ達成進度'!J25</f>
        <v>0.99722872755659642</v>
      </c>
      <c r="J7" s="258">
        <v>0.96998344039620665</v>
      </c>
      <c r="K7" s="254">
        <f>'（２）ＫＰＩ達成進度'!K10</f>
        <v>0.87028840291354248</v>
      </c>
      <c r="L7" s="123" t="s">
        <v>4</v>
      </c>
    </row>
    <row r="8" spans="1:18" s="122" customFormat="1" ht="18" customHeight="1">
      <c r="A8" s="129" t="s">
        <v>5</v>
      </c>
      <c r="B8" s="224">
        <f>'（１）收支狀況'!M25/1000</f>
        <v>41661.053999999996</v>
      </c>
      <c r="C8" s="255">
        <v>43001.146999999997</v>
      </c>
      <c r="D8" s="143">
        <f>B8-C8</f>
        <v>-1340.0930000000008</v>
      </c>
      <c r="E8" s="236">
        <f>'（１）收支狀況'!N10/1000</f>
        <v>153124.13099999999</v>
      </c>
      <c r="F8" s="134"/>
      <c r="G8" s="129" t="s">
        <v>200</v>
      </c>
      <c r="H8" s="237">
        <v>2.5000000000000001E-3</v>
      </c>
      <c r="I8" s="249">
        <f>'（２）ＫＰＩ達成進度'!M25</f>
        <v>2.4237572678222192E-3</v>
      </c>
      <c r="J8" s="257">
        <v>2.4258959417096031E-3</v>
      </c>
      <c r="K8" s="249">
        <f>'（２）ＫＰＩ達成進度'!N10</f>
        <v>2.4305118784891575E-3</v>
      </c>
      <c r="L8" s="123" t="s">
        <v>55</v>
      </c>
    </row>
    <row r="9" spans="1:18" s="122" customFormat="1" ht="18" customHeight="1">
      <c r="A9" s="129" t="s">
        <v>6</v>
      </c>
      <c r="B9" s="225">
        <f>'（１）收支狀況'!P25</f>
        <v>0.66605476232134964</v>
      </c>
      <c r="C9" s="256">
        <v>0.6643984451266175</v>
      </c>
      <c r="D9" s="144">
        <f t="shared" si="0"/>
        <v>1.6563171947321376E-3</v>
      </c>
      <c r="E9" s="144">
        <f>'（１）收支狀況'!Q10</f>
        <v>0.66648685093959292</v>
      </c>
      <c r="F9" s="134"/>
      <c r="G9" s="129" t="s">
        <v>201</v>
      </c>
      <c r="H9" s="237">
        <v>2.5999999999999999E-3</v>
      </c>
      <c r="I9" s="249">
        <f>'（２）ＫＰＩ達成進度'!P25</f>
        <v>1.8163598427846774E-3</v>
      </c>
      <c r="J9" s="257">
        <v>1.8005311526068846E-3</v>
      </c>
      <c r="K9" s="249">
        <f>'（２）ＫＰＩ達成進度'!Q10</f>
        <v>1.7820647247329467E-3</v>
      </c>
      <c r="L9" s="123" t="s">
        <v>98</v>
      </c>
    </row>
    <row r="10" spans="1:18" s="122" customFormat="1" ht="18" customHeight="1">
      <c r="A10" s="129" t="s">
        <v>64</v>
      </c>
      <c r="B10" s="224">
        <f>'（１）收支狀況'!S25/1000</f>
        <v>7876.9664367376363</v>
      </c>
      <c r="C10" s="255">
        <f>7993162.81112653/1000</f>
        <v>7993.16281112653</v>
      </c>
      <c r="D10" s="143">
        <f t="shared" si="0"/>
        <v>-116.19637438889367</v>
      </c>
      <c r="E10" s="236">
        <f>'（１）收支狀況'!T10/1000</f>
        <v>29971.581039138822</v>
      </c>
      <c r="F10" s="134"/>
      <c r="G10" s="129" t="s">
        <v>202</v>
      </c>
      <c r="H10" s="250">
        <v>0.8</v>
      </c>
      <c r="I10" s="251">
        <v>0.91249999999999998</v>
      </c>
      <c r="J10" s="258">
        <v>0.91180000000000005</v>
      </c>
      <c r="K10" s="251">
        <v>0.91700000000000004</v>
      </c>
      <c r="L10" s="123" t="s">
        <v>7</v>
      </c>
    </row>
    <row r="11" spans="1:18" s="122" customFormat="1" ht="18" customHeight="1">
      <c r="A11" s="129" t="s">
        <v>65</v>
      </c>
      <c r="B11" s="225">
        <f>'（１）收支狀況'!V25</f>
        <v>0.12593274783289291</v>
      </c>
      <c r="C11" s="256">
        <v>0.12350007648299167</v>
      </c>
      <c r="D11" s="144">
        <f t="shared" si="0"/>
        <v>2.4326713499012304E-3</v>
      </c>
      <c r="E11" s="144">
        <f>'（１）收支狀況'!W10</f>
        <v>0.13045406059778028</v>
      </c>
      <c r="F11" s="134"/>
      <c r="G11" s="129" t="s">
        <v>203</v>
      </c>
      <c r="H11" s="250">
        <v>1</v>
      </c>
      <c r="I11" s="251">
        <f>'（２）ＫＰＩ達成進度'!V25</f>
        <v>0.2831428571428572</v>
      </c>
      <c r="J11" s="258">
        <v>0.26600000000000001</v>
      </c>
      <c r="K11" s="251">
        <f>'（２）ＫＰＩ達成進度'!W10</f>
        <v>0.2582962962962963</v>
      </c>
      <c r="L11" s="123" t="s">
        <v>62</v>
      </c>
    </row>
    <row r="12" spans="1:18" s="122" customFormat="1" ht="9.6" customHeight="1">
      <c r="A12" s="134"/>
      <c r="B12" s="134"/>
      <c r="C12" s="134"/>
      <c r="D12" s="134"/>
      <c r="E12" s="134"/>
      <c r="F12" s="134"/>
      <c r="G12" s="134"/>
      <c r="H12" s="134"/>
      <c r="I12" s="134"/>
      <c r="J12" s="134"/>
      <c r="K12" s="134"/>
    </row>
    <row r="13" spans="1:18" s="122" customFormat="1" ht="15.75" customHeight="1">
      <c r="A13" s="133" t="s">
        <v>32</v>
      </c>
      <c r="B13" s="134"/>
      <c r="C13" s="134"/>
      <c r="D13" s="134"/>
      <c r="E13" s="134"/>
      <c r="F13" s="134"/>
      <c r="G13" s="133" t="s">
        <v>147</v>
      </c>
      <c r="H13" s="134"/>
      <c r="I13" s="134"/>
      <c r="J13" s="134"/>
      <c r="K13" s="134"/>
    </row>
    <row r="14" spans="1:18" s="128" customFormat="1" ht="14.25">
      <c r="A14" s="146"/>
      <c r="B14" s="218" t="s">
        <v>328</v>
      </c>
      <c r="C14" s="146" t="s">
        <v>66</v>
      </c>
      <c r="D14" s="218" t="s">
        <v>331</v>
      </c>
      <c r="E14" s="146" t="s">
        <v>68</v>
      </c>
      <c r="F14" s="137"/>
      <c r="G14" s="146"/>
      <c r="H14" s="218" t="s">
        <v>328</v>
      </c>
      <c r="I14" s="146" t="s">
        <v>66</v>
      </c>
      <c r="J14" s="218" t="s">
        <v>331</v>
      </c>
      <c r="K14" s="146" t="s">
        <v>68</v>
      </c>
      <c r="M14" s="122"/>
      <c r="N14" s="122"/>
      <c r="O14" s="122"/>
      <c r="P14" s="122"/>
      <c r="Q14" s="122"/>
      <c r="R14" s="122"/>
    </row>
    <row r="15" spans="1:18" s="122" customFormat="1" ht="18" customHeight="1">
      <c r="A15" s="129" t="s">
        <v>335</v>
      </c>
      <c r="B15" s="239">
        <f>SUM('（３）業績構成比'!I27:I33,'（３）業績構成比'!K27:K33)/1000</f>
        <v>11773.055987634685</v>
      </c>
      <c r="C15" s="144">
        <f>IFERROR(B15/$B$6,"")</f>
        <v>0.18822135435267584</v>
      </c>
      <c r="D15" s="256">
        <v>0.18658741624636857</v>
      </c>
      <c r="E15" s="144">
        <f>IFERROR(C15-D15,"")</f>
        <v>1.63393810630727E-3</v>
      </c>
      <c r="F15" s="134"/>
      <c r="G15" s="129" t="s">
        <v>335</v>
      </c>
      <c r="H15" s="239">
        <f>SUM(,'（４）訂單數量構成比'!I27:I33,'（４）訂單數量構成比'!K27:K33)</f>
        <v>593333</v>
      </c>
      <c r="I15" s="144">
        <f t="shared" ref="I15:I23" si="1">IFERROR(H15/$B$7,"")</f>
        <v>0.31566864775455722</v>
      </c>
      <c r="J15" s="256">
        <v>0.31174825196363737</v>
      </c>
      <c r="K15" s="144">
        <f t="shared" ref="K15:K23" si="2">IFERROR(I15-J15,"")</f>
        <v>3.9203957909198506E-3</v>
      </c>
    </row>
    <row r="16" spans="1:18" s="122" customFormat="1" ht="18" customHeight="1">
      <c r="A16" s="129" t="s">
        <v>222</v>
      </c>
      <c r="B16" s="239">
        <f>SUM('（３）業績構成比'!O27:O33,'（３）業績構成比'!Q27:Q33)/1000</f>
        <v>1450.1773432538362</v>
      </c>
      <c r="C16" s="144">
        <f t="shared" ref="C16:C23" si="3">IFERROR(B16/$B$6,"")</f>
        <v>2.318466368337057E-2</v>
      </c>
      <c r="D16" s="256">
        <v>2.6816983889748167E-2</v>
      </c>
      <c r="E16" s="144">
        <f t="shared" ref="E16:E23" si="4">IFERROR(C16-D16,"")</f>
        <v>-3.6323202063775969E-3</v>
      </c>
      <c r="F16" s="134"/>
      <c r="G16" s="129" t="s">
        <v>251</v>
      </c>
      <c r="H16" s="239">
        <f>SUM('（４）訂單數量構成比'!O27:O33,'（４）訂單數量構成比'!Q27:Q33)</f>
        <v>55294</v>
      </c>
      <c r="I16" s="144">
        <f t="shared" si="1"/>
        <v>2.9417851710490543E-2</v>
      </c>
      <c r="J16" s="256">
        <v>3.3939702563033775E-2</v>
      </c>
      <c r="K16" s="144">
        <f t="shared" si="2"/>
        <v>-4.5218508525432313E-3</v>
      </c>
    </row>
    <row r="17" spans="1:11" s="122" customFormat="1" ht="18" customHeight="1">
      <c r="A17" s="129" t="s">
        <v>218</v>
      </c>
      <c r="B17" s="239">
        <f>SUM('（３）業績構成比'!U27:U33)/1000</f>
        <v>7140.9481493395424</v>
      </c>
      <c r="C17" s="144">
        <f t="shared" si="3"/>
        <v>0.1141656791102172</v>
      </c>
      <c r="D17" s="256">
        <v>0.11740649124251219</v>
      </c>
      <c r="E17" s="144">
        <f t="shared" si="4"/>
        <v>-3.2408121322949901E-3</v>
      </c>
      <c r="F17" s="134"/>
      <c r="G17" s="129" t="s">
        <v>233</v>
      </c>
      <c r="H17" s="239">
        <f>SUM('（４）訂單數量構成比'!U27:U33)</f>
        <v>215264</v>
      </c>
      <c r="I17" s="144">
        <f t="shared" si="1"/>
        <v>0.11452606848133678</v>
      </c>
      <c r="J17" s="256">
        <v>0.1177273807611023</v>
      </c>
      <c r="K17" s="144">
        <f t="shared" si="2"/>
        <v>-3.2013122797655141E-3</v>
      </c>
    </row>
    <row r="18" spans="1:11" s="122" customFormat="1" ht="18" customHeight="1">
      <c r="A18" s="129" t="s">
        <v>220</v>
      </c>
      <c r="B18" s="239">
        <f>SUM('（３）業績構成比'!W27:W33)/1000</f>
        <v>794.29969930876825</v>
      </c>
      <c r="C18" s="144">
        <f t="shared" si="3"/>
        <v>1.2698840923108214E-2</v>
      </c>
      <c r="D18" s="256">
        <v>9.8324745143093372E-3</v>
      </c>
      <c r="E18" s="144">
        <f t="shared" si="4"/>
        <v>2.8663664087988771E-3</v>
      </c>
      <c r="F18" s="134"/>
      <c r="G18" s="129" t="s">
        <v>219</v>
      </c>
      <c r="H18" s="239">
        <f>SUM('（４）訂單數量構成比'!W27:W33)</f>
        <v>30431</v>
      </c>
      <c r="I18" s="144">
        <f t="shared" si="1"/>
        <v>1.6190086544687267E-2</v>
      </c>
      <c r="J18" s="256">
        <v>1.138065227512945E-2</v>
      </c>
      <c r="K18" s="144">
        <f t="shared" si="2"/>
        <v>4.8094342695578166E-3</v>
      </c>
    </row>
    <row r="19" spans="1:11" s="122" customFormat="1" ht="18" customHeight="1">
      <c r="A19" s="129" t="s">
        <v>224</v>
      </c>
      <c r="B19" s="239">
        <f>SUM('（３）業績構成比'!Y27:Y33,'（３）業績構成比'!AA27:AA33)/1000</f>
        <v>13468.780817761111</v>
      </c>
      <c r="C19" s="144">
        <f t="shared" si="3"/>
        <v>0.21533170059337026</v>
      </c>
      <c r="D19" s="256">
        <v>0.20929464909522102</v>
      </c>
      <c r="E19" s="144">
        <f t="shared" si="4"/>
        <v>6.0370514981492318E-3</v>
      </c>
      <c r="F19" s="134"/>
      <c r="G19" s="129" t="s">
        <v>223</v>
      </c>
      <c r="H19" s="239">
        <f>SUM('（４）訂單數量構成比'!Y27:Y33,'（４）訂單數量構成比'!AA27:AA33)</f>
        <v>338693</v>
      </c>
      <c r="I19" s="144">
        <f t="shared" si="1"/>
        <v>0.18019351917714713</v>
      </c>
      <c r="J19" s="256">
        <v>0.17395509236705761</v>
      </c>
      <c r="K19" s="144">
        <f t="shared" si="2"/>
        <v>6.2384268100895146E-3</v>
      </c>
    </row>
    <row r="20" spans="1:11" s="122" customFormat="1" ht="18" customHeight="1">
      <c r="A20" s="129" t="s">
        <v>226</v>
      </c>
      <c r="B20" s="239">
        <f>SUM('（３）業績構成比'!AE27:AE33)/1000</f>
        <v>10485.129601446286</v>
      </c>
      <c r="C20" s="144">
        <f t="shared" si="3"/>
        <v>0.16763067263252279</v>
      </c>
      <c r="D20" s="256">
        <v>0.18044690543423544</v>
      </c>
      <c r="E20" s="144">
        <f t="shared" si="4"/>
        <v>-1.2816232801712651E-2</v>
      </c>
      <c r="F20" s="134"/>
      <c r="G20" s="129" t="s">
        <v>225</v>
      </c>
      <c r="H20" s="239">
        <f>SUM('（４）訂單數量構成比'!AE27:AE33)</f>
        <v>183873</v>
      </c>
      <c r="I20" s="144">
        <f t="shared" si="1"/>
        <v>9.7825236871324703E-2</v>
      </c>
      <c r="J20" s="256">
        <v>0.1043134058129107</v>
      </c>
      <c r="K20" s="144">
        <f t="shared" si="2"/>
        <v>-6.4881689415859922E-3</v>
      </c>
    </row>
    <row r="21" spans="1:11" s="122" customFormat="1" ht="18" customHeight="1">
      <c r="A21" s="129" t="s">
        <v>228</v>
      </c>
      <c r="B21" s="239">
        <f>SUM('（３）業績構成比'!AG27:AG33)/1000</f>
        <v>6100.9068172681018</v>
      </c>
      <c r="C21" s="144">
        <f t="shared" si="3"/>
        <v>9.7538051728605024E-2</v>
      </c>
      <c r="D21" s="256">
        <v>7.6940974943242799E-2</v>
      </c>
      <c r="E21" s="144">
        <f t="shared" si="4"/>
        <v>2.0597076785362226E-2</v>
      </c>
      <c r="F21" s="134"/>
      <c r="G21" s="129" t="s">
        <v>234</v>
      </c>
      <c r="H21" s="239">
        <f>SUM('（４）訂單數量構成比'!AG27:AG33)</f>
        <v>120914</v>
      </c>
      <c r="I21" s="144">
        <f t="shared" si="1"/>
        <v>6.4329405029881243E-2</v>
      </c>
      <c r="J21" s="256">
        <v>5.3627666329747338E-2</v>
      </c>
      <c r="K21" s="144">
        <f t="shared" si="2"/>
        <v>1.0701738700133905E-2</v>
      </c>
    </row>
    <row r="22" spans="1:11" s="122" customFormat="1" ht="18" customHeight="1">
      <c r="A22" s="129" t="s">
        <v>229</v>
      </c>
      <c r="B22" s="239">
        <f>SUM('（３）業績構成比'!AI27:AI33)/1000</f>
        <v>7056.3825049024681</v>
      </c>
      <c r="C22" s="144">
        <f t="shared" si="3"/>
        <v>0.11281368858673962</v>
      </c>
      <c r="D22" s="256">
        <v>0.12573207655343202</v>
      </c>
      <c r="E22" s="144">
        <f t="shared" si="4"/>
        <v>-1.2918387966692396E-2</v>
      </c>
      <c r="F22" s="134"/>
      <c r="G22" s="129" t="s">
        <v>235</v>
      </c>
      <c r="H22" s="239">
        <f>SUM('（４）訂單數量構成比'!AI27:AI33)</f>
        <v>194671</v>
      </c>
      <c r="I22" s="144">
        <f t="shared" si="1"/>
        <v>0.10357005480400956</v>
      </c>
      <c r="J22" s="256">
        <v>0.11688551022744365</v>
      </c>
      <c r="K22" s="144">
        <f t="shared" si="2"/>
        <v>-1.3315455423434083E-2</v>
      </c>
    </row>
    <row r="23" spans="1:11" s="122" customFormat="1" ht="18" customHeight="1">
      <c r="A23" s="129" t="s">
        <v>231</v>
      </c>
      <c r="B23" s="239">
        <f>SUM('（３）業績構成比'!AK27:AK33)/1000</f>
        <v>4279.3110790851952</v>
      </c>
      <c r="C23" s="144">
        <f t="shared" si="3"/>
        <v>6.8415348389390437E-2</v>
      </c>
      <c r="D23" s="256">
        <v>6.6942028080930485E-2</v>
      </c>
      <c r="E23" s="144">
        <f t="shared" si="4"/>
        <v>1.4733203084599522E-3</v>
      </c>
      <c r="F23" s="134"/>
      <c r="G23" s="129" t="s">
        <v>230</v>
      </c>
      <c r="H23" s="239">
        <f>SUM('（４）訂單數量構成比'!AK27:AK33)</f>
        <v>147134</v>
      </c>
      <c r="I23" s="144">
        <f t="shared" si="1"/>
        <v>7.8279129626565552E-2</v>
      </c>
      <c r="J23" s="256">
        <v>7.6422337699937837E-2</v>
      </c>
      <c r="K23" s="144">
        <f t="shared" si="2"/>
        <v>1.8567919266277155E-3</v>
      </c>
    </row>
    <row r="24" spans="1:11" s="122" customFormat="1" ht="15.75" customHeight="1">
      <c r="A24" s="134"/>
      <c r="B24" s="134"/>
      <c r="C24" s="138">
        <f>SUM(C15:C23)</f>
        <v>1</v>
      </c>
      <c r="D24" s="138">
        <f>SUM(D15:D23)</f>
        <v>1</v>
      </c>
      <c r="E24" s="134"/>
      <c r="F24" s="134"/>
      <c r="G24" s="134"/>
      <c r="H24" s="134"/>
      <c r="I24" s="138">
        <f>SUM(I15:I23)</f>
        <v>1</v>
      </c>
      <c r="J24" s="138">
        <f>SUM(J15:J23)</f>
        <v>1</v>
      </c>
      <c r="K24" s="134"/>
    </row>
    <row r="25" spans="1:11" s="122" customFormat="1" ht="9.6" customHeight="1">
      <c r="A25" s="139"/>
      <c r="B25" s="134"/>
      <c r="C25" s="134"/>
      <c r="D25" s="134"/>
      <c r="E25" s="134"/>
      <c r="F25" s="134"/>
      <c r="G25" s="134"/>
      <c r="H25" s="134"/>
      <c r="I25" s="134"/>
      <c r="J25" s="134"/>
      <c r="K25" s="134"/>
    </row>
    <row r="26" spans="1:11" s="122" customFormat="1" ht="15.75" customHeight="1">
      <c r="A26" s="133" t="s">
        <v>521</v>
      </c>
      <c r="B26" s="134"/>
      <c r="C26" s="134"/>
      <c r="D26" s="134"/>
      <c r="E26" s="134"/>
      <c r="F26" s="134"/>
      <c r="G26" s="134"/>
      <c r="H26" s="134"/>
      <c r="I26" s="134"/>
      <c r="J26" s="134"/>
      <c r="K26" s="134"/>
    </row>
    <row r="27" spans="1:11" s="122" customFormat="1" ht="15.75" customHeight="1">
      <c r="A27" s="129" t="s">
        <v>186</v>
      </c>
      <c r="B27" s="219" t="s">
        <v>328</v>
      </c>
      <c r="C27" s="219" t="s">
        <v>330</v>
      </c>
      <c r="D27" s="129" t="s">
        <v>2</v>
      </c>
      <c r="E27" s="129" t="s">
        <v>391</v>
      </c>
      <c r="G27" s="134"/>
      <c r="H27" s="134"/>
      <c r="I27" s="134"/>
      <c r="J27" s="134"/>
      <c r="K27" s="134"/>
    </row>
    <row r="28" spans="1:11" s="122" customFormat="1" ht="18" customHeight="1">
      <c r="A28" s="129" t="s">
        <v>335</v>
      </c>
      <c r="B28" s="243">
        <f>'（５-1）品群別人時生產性（18℃-飯糰）'!L112</f>
        <v>780.32791225390008</v>
      </c>
      <c r="C28" s="259">
        <v>754.49545714079932</v>
      </c>
      <c r="D28" s="244">
        <f t="shared" ref="D28:D36" si="5">B28-C28</f>
        <v>25.832455113100764</v>
      </c>
      <c r="E28" s="130">
        <f>'（５-1）品群別人時生產性（18℃-飯糰）'!C1</f>
        <v>760.65674171357432</v>
      </c>
      <c r="G28" s="148"/>
      <c r="H28" s="148"/>
      <c r="I28" s="148"/>
      <c r="J28" s="148"/>
      <c r="K28" s="134"/>
    </row>
    <row r="29" spans="1:11" s="122" customFormat="1" ht="18" customHeight="1">
      <c r="A29" s="129" t="s">
        <v>221</v>
      </c>
      <c r="B29" s="243">
        <f>'（５-2）品群別人時生產性（18-壽司手卷)'!L67</f>
        <v>199.40237272211158</v>
      </c>
      <c r="C29" s="259">
        <v>196.98003172321924</v>
      </c>
      <c r="D29" s="244">
        <f t="shared" si="5"/>
        <v>2.4223409988923379</v>
      </c>
      <c r="E29" s="130">
        <f>'（５-2）品群別人時生產性（18-壽司手卷)'!C1</f>
        <v>182.50487018249518</v>
      </c>
      <c r="G29" s="149"/>
      <c r="H29" s="149"/>
      <c r="I29" s="150"/>
      <c r="J29" s="151"/>
      <c r="K29" s="134"/>
    </row>
    <row r="30" spans="1:11" s="122" customFormat="1" ht="18" customHeight="1">
      <c r="A30" s="129" t="s">
        <v>233</v>
      </c>
      <c r="B30" s="243">
        <f>'（５-3）品群別人時生產性（4℃-飯糰)'!L67</f>
        <v>245.46056080714717</v>
      </c>
      <c r="C30" s="259">
        <v>248.83772616209191</v>
      </c>
      <c r="D30" s="244">
        <f t="shared" si="5"/>
        <v>-3.3771653549447365</v>
      </c>
      <c r="E30" s="130">
        <f>'（５-3）品群別人時生產性（4℃-飯糰)'!C1</f>
        <v>250.02528842620799</v>
      </c>
      <c r="G30" s="134"/>
      <c r="H30" s="134"/>
      <c r="I30" s="134"/>
      <c r="J30" s="134"/>
      <c r="K30" s="134"/>
    </row>
    <row r="31" spans="1:11" s="122" customFormat="1" ht="18" customHeight="1">
      <c r="A31" s="129" t="s">
        <v>219</v>
      </c>
      <c r="B31" s="243">
        <f>'（５-4）品群別人時生產性（4℃-壽司手卷)'!L67</f>
        <v>98.005464310361845</v>
      </c>
      <c r="C31" s="259">
        <v>112.16252487757505</v>
      </c>
      <c r="D31" s="244">
        <f t="shared" si="5"/>
        <v>-14.157060567213207</v>
      </c>
      <c r="E31" s="130">
        <f>'（５-4）品群別人時生產性（4℃-壽司手卷)'!C1</f>
        <v>108.45014748013439</v>
      </c>
      <c r="G31" s="134"/>
      <c r="H31" s="134"/>
      <c r="I31" s="134"/>
      <c r="J31" s="134"/>
      <c r="K31" s="134"/>
    </row>
    <row r="32" spans="1:11" s="122" customFormat="1" ht="18" customHeight="1">
      <c r="A32" s="129" t="s">
        <v>223</v>
      </c>
      <c r="B32" s="243">
        <f>'（５-5）品群別人時生產性(主食) '!L112</f>
        <v>85.802782390674153</v>
      </c>
      <c r="C32" s="259">
        <v>87.79370100809065</v>
      </c>
      <c r="D32" s="244">
        <f t="shared" si="5"/>
        <v>-1.9909186174164972</v>
      </c>
      <c r="E32" s="130">
        <f>'（５-5）品群別人時生產性(主食) '!C1</f>
        <v>87.069420243517385</v>
      </c>
      <c r="G32" s="134"/>
      <c r="H32" s="134"/>
      <c r="I32" s="134"/>
      <c r="J32" s="134"/>
      <c r="K32" s="134"/>
    </row>
    <row r="33" spans="1:11" s="122" customFormat="1" ht="18" customHeight="1">
      <c r="A33" s="129" t="s">
        <v>225</v>
      </c>
      <c r="B33" s="243">
        <f>'（５-6）品群別人時生產性(便當)'!L67</f>
        <v>70.31810877633086</v>
      </c>
      <c r="C33" s="259">
        <v>71.990196388604417</v>
      </c>
      <c r="D33" s="244">
        <f t="shared" si="5"/>
        <v>-1.6720876122735575</v>
      </c>
      <c r="E33" s="130">
        <f>'（５-6）品群別人時生產性(便當)'!C1</f>
        <v>71.832085190493203</v>
      </c>
      <c r="G33" s="134"/>
      <c r="H33" s="134"/>
      <c r="I33" s="134"/>
      <c r="J33" s="134"/>
      <c r="K33" s="134"/>
    </row>
    <row r="34" spans="1:11" s="122" customFormat="1" ht="18" customHeight="1">
      <c r="A34" s="129" t="s">
        <v>234</v>
      </c>
      <c r="B34" s="243">
        <f>'（５-7）品群別人時生產性(熱食義麵) '!L67</f>
        <v>84.152134181938592</v>
      </c>
      <c r="C34" s="259">
        <v>83.212057836257472</v>
      </c>
      <c r="D34" s="244">
        <f t="shared" si="5"/>
        <v>0.94007634568112053</v>
      </c>
      <c r="E34" s="130">
        <f>'（５-7）品群別人時生產性(熱食義麵) '!C1</f>
        <v>84.842396460366146</v>
      </c>
      <c r="G34" s="134"/>
      <c r="H34" s="134"/>
      <c r="I34" s="134"/>
      <c r="J34" s="134"/>
      <c r="K34" s="134"/>
    </row>
    <row r="35" spans="1:11" s="122" customFormat="1" ht="18" customHeight="1">
      <c r="A35" s="129" t="s">
        <v>235</v>
      </c>
      <c r="B35" s="243">
        <f>'（５-8）品群別人時生產性(季節調理麵) '!L67</f>
        <v>126.67289888270972</v>
      </c>
      <c r="C35" s="259">
        <v>126.42690083132315</v>
      </c>
      <c r="D35" s="244">
        <f t="shared" si="5"/>
        <v>0.2459980513865645</v>
      </c>
      <c r="E35" s="130">
        <f>'（５-8）品群別人時生產性(季節調理麵) '!C1</f>
        <v>125.28930718210442</v>
      </c>
      <c r="G35" s="134"/>
      <c r="H35" s="134"/>
      <c r="I35" s="134"/>
      <c r="J35" s="134"/>
      <c r="K35" s="134"/>
    </row>
    <row r="36" spans="1:11" s="122" customFormat="1" ht="18" customHeight="1">
      <c r="A36" s="125" t="s">
        <v>230</v>
      </c>
      <c r="B36" s="243">
        <f>'（５-9）品群別人時生產性(微波小吃)'!L67</f>
        <v>172.49550092429675</v>
      </c>
      <c r="C36" s="259">
        <v>177.68485558211108</v>
      </c>
      <c r="D36" s="244">
        <f t="shared" si="5"/>
        <v>-5.1893546578143344</v>
      </c>
      <c r="E36" s="130">
        <f>'（５-9）品群別人時生產性(微波小吃)'!C1</f>
        <v>176.53051814704241</v>
      </c>
      <c r="G36" s="134"/>
      <c r="H36" s="134"/>
      <c r="I36" s="134"/>
      <c r="J36" s="134"/>
      <c r="K36" s="134"/>
    </row>
    <row r="37" spans="1:11" s="122" customFormat="1" ht="15.75" customHeight="1">
      <c r="D37" s="321"/>
    </row>
    <row r="38" spans="1:11" s="122" customFormat="1" ht="15.75" customHeight="1"/>
  </sheetData>
  <mergeCells count="2">
    <mergeCell ref="A1:K2"/>
    <mergeCell ref="F3:G3"/>
  </mergeCells>
  <phoneticPr fontId="11" type="noConversion"/>
  <printOptions horizontalCentered="1" gridLines="1"/>
  <pageMargins left="0.39370078740157483" right="0.39370078740157483" top="0.39370078740157483" bottom="0.19685039370078741" header="0" footer="0"/>
  <pageSetup paperSize="9" scale="86" fitToWidth="0" fitToHeight="0" pageOrder="overThenDown" orientation="landscape" cellComments="atEnd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2:W58"/>
  <sheetViews>
    <sheetView zoomScale="65" zoomScaleNormal="65"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I49" sqref="I49"/>
    </sheetView>
  </sheetViews>
  <sheetFormatPr defaultColWidth="8.85546875" defaultRowHeight="14.25"/>
  <cols>
    <col min="1" max="1" width="10.42578125" style="83" bestFit="1" customWidth="1"/>
    <col min="2" max="2" width="12.5703125" style="82" customWidth="1"/>
    <col min="3" max="3" width="8.85546875" style="83"/>
    <col min="4" max="4" width="17.42578125" style="84" customWidth="1"/>
    <col min="5" max="5" width="4.42578125" style="84" customWidth="1"/>
    <col min="6" max="8" width="19.5703125" style="87" customWidth="1"/>
    <col min="9" max="13" width="19.5703125" style="88" customWidth="1"/>
    <col min="14" max="14" width="19.5703125" style="89" customWidth="1"/>
    <col min="15" max="17" width="19.5703125" style="90" customWidth="1"/>
    <col min="18" max="20" width="19.5703125" style="89" customWidth="1"/>
    <col min="21" max="21" width="19.5703125" style="90" customWidth="1"/>
    <col min="22" max="23" width="19.5703125" style="83" customWidth="1"/>
    <col min="24" max="16384" width="8.85546875" style="83"/>
  </cols>
  <sheetData>
    <row r="2" spans="1:23" ht="38.1" customHeight="1">
      <c r="B2" s="574" t="s">
        <v>121</v>
      </c>
      <c r="C2" s="574"/>
      <c r="D2" s="574"/>
      <c r="E2" s="574"/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</row>
    <row r="3" spans="1:23" s="84" customFormat="1" ht="23.45" customHeight="1">
      <c r="B3" s="98"/>
      <c r="C3" s="578" t="s">
        <v>116</v>
      </c>
      <c r="D3" s="579" t="s">
        <v>105</v>
      </c>
      <c r="E3" s="579"/>
      <c r="F3" s="577" t="s">
        <v>356</v>
      </c>
      <c r="G3" s="577"/>
      <c r="H3" s="577"/>
      <c r="I3" s="575" t="s">
        <v>119</v>
      </c>
      <c r="J3" s="575"/>
      <c r="K3" s="575"/>
      <c r="L3" s="576" t="s">
        <v>120</v>
      </c>
      <c r="M3" s="576"/>
      <c r="N3" s="576"/>
      <c r="O3" s="573" t="s">
        <v>122</v>
      </c>
      <c r="P3" s="573"/>
      <c r="Q3" s="573"/>
      <c r="R3" s="580" t="s">
        <v>123</v>
      </c>
      <c r="S3" s="580"/>
      <c r="T3" s="580"/>
      <c r="U3" s="573" t="s">
        <v>124</v>
      </c>
      <c r="V3" s="573"/>
      <c r="W3" s="573"/>
    </row>
    <row r="4" spans="1:23" s="84" customFormat="1" ht="23.45" customHeight="1">
      <c r="A4" s="98"/>
      <c r="B4" s="98"/>
      <c r="C4" s="578"/>
      <c r="D4" s="579"/>
      <c r="E4" s="579"/>
      <c r="F4" s="78" t="s">
        <v>115</v>
      </c>
      <c r="G4" s="78" t="s">
        <v>117</v>
      </c>
      <c r="H4" s="78" t="s">
        <v>118</v>
      </c>
      <c r="I4" s="92" t="s">
        <v>115</v>
      </c>
      <c r="J4" s="92" t="s">
        <v>117</v>
      </c>
      <c r="K4" s="92" t="s">
        <v>118</v>
      </c>
      <c r="L4" s="91" t="s">
        <v>115</v>
      </c>
      <c r="M4" s="91" t="s">
        <v>117</v>
      </c>
      <c r="N4" s="91" t="s">
        <v>118</v>
      </c>
      <c r="O4" s="85" t="s">
        <v>115</v>
      </c>
      <c r="P4" s="85" t="s">
        <v>117</v>
      </c>
      <c r="Q4" s="325" t="s">
        <v>529</v>
      </c>
      <c r="R4" s="85" t="s">
        <v>115</v>
      </c>
      <c r="S4" s="85" t="s">
        <v>117</v>
      </c>
      <c r="T4" s="85" t="s">
        <v>118</v>
      </c>
      <c r="U4" s="85" t="s">
        <v>115</v>
      </c>
      <c r="V4" s="85" t="s">
        <v>117</v>
      </c>
      <c r="W4" s="325" t="s">
        <v>529</v>
      </c>
    </row>
    <row r="5" spans="1:23">
      <c r="A5" s="98"/>
      <c r="B5" s="98"/>
      <c r="C5" s="98"/>
      <c r="D5" s="324">
        <v>46113</v>
      </c>
      <c r="E5" s="324" t="s">
        <v>524</v>
      </c>
      <c r="F5" s="230">
        <v>7706722</v>
      </c>
      <c r="H5" s="352"/>
      <c r="I5" s="231">
        <v>240873</v>
      </c>
      <c r="K5" s="353"/>
      <c r="L5" s="230">
        <v>5529251</v>
      </c>
      <c r="M5" s="322"/>
      <c r="N5" s="352"/>
      <c r="O5" s="90">
        <f t="shared" ref="O5:O39" si="0">L5/F5</f>
        <v>0.71745821375157948</v>
      </c>
      <c r="P5" s="323"/>
      <c r="Q5" s="351"/>
      <c r="R5" s="230">
        <v>1049030.7846867254</v>
      </c>
      <c r="S5" s="322"/>
      <c r="T5" s="352"/>
      <c r="U5" s="90">
        <f t="shared" ref="U5:U41" si="1">R5/F5</f>
        <v>0.13611893418326565</v>
      </c>
      <c r="V5" s="323"/>
      <c r="W5" s="351"/>
    </row>
    <row r="6" spans="1:23">
      <c r="A6" s="98"/>
      <c r="B6" s="98"/>
      <c r="C6" s="98"/>
      <c r="D6" s="324">
        <f t="shared" ref="D6:D10" si="2">D5+1</f>
        <v>46114</v>
      </c>
      <c r="E6" s="324" t="s">
        <v>525</v>
      </c>
      <c r="F6" s="230">
        <v>7008581</v>
      </c>
      <c r="G6" s="322">
        <f>SUM(F5:F10)</f>
        <v>44423805</v>
      </c>
      <c r="H6" s="352"/>
      <c r="I6" s="231">
        <v>219733</v>
      </c>
      <c r="J6" s="88">
        <f>SUM(I5:I10)</f>
        <v>1352026</v>
      </c>
      <c r="K6" s="353"/>
      <c r="L6" s="230">
        <v>5023698</v>
      </c>
      <c r="M6" s="322">
        <f>SUM(L5:L10)</f>
        <v>30066339</v>
      </c>
      <c r="N6" s="352"/>
      <c r="O6" s="90">
        <f t="shared" si="0"/>
        <v>0.71679245770292166</v>
      </c>
      <c r="P6" s="90">
        <f>M6/G6</f>
        <v>0.67680692817735899</v>
      </c>
      <c r="Q6" s="351"/>
      <c r="R6" s="230">
        <v>1074049.1995061701</v>
      </c>
      <c r="S6" s="322">
        <f>SUM(R5:R10)</f>
        <v>6393502.532509244</v>
      </c>
      <c r="T6" s="352"/>
      <c r="U6" s="90">
        <f t="shared" si="1"/>
        <v>0.15324774009263362</v>
      </c>
      <c r="V6" s="90">
        <f>S6/G6</f>
        <v>0.1439206419285616</v>
      </c>
      <c r="W6" s="351"/>
    </row>
    <row r="7" spans="1:23" ht="16.5" customHeight="1">
      <c r="A7" s="98"/>
      <c r="B7" s="98"/>
      <c r="C7" s="98"/>
      <c r="D7" s="324">
        <f t="shared" si="2"/>
        <v>46115</v>
      </c>
      <c r="E7" s="324" t="s">
        <v>526</v>
      </c>
      <c r="F7" s="230">
        <v>6828155</v>
      </c>
      <c r="I7" s="231">
        <v>208291</v>
      </c>
      <c r="L7" s="230">
        <v>4581541</v>
      </c>
      <c r="M7" s="322"/>
      <c r="O7" s="90">
        <f t="shared" si="0"/>
        <v>0.67097788494842314</v>
      </c>
      <c r="R7" s="230">
        <v>1059662.517422837</v>
      </c>
      <c r="S7" s="322"/>
      <c r="U7" s="90">
        <f t="shared" si="1"/>
        <v>0.15519016739116745</v>
      </c>
      <c r="V7" s="90"/>
    </row>
    <row r="8" spans="1:23" ht="16.5" customHeight="1">
      <c r="A8" s="98"/>
      <c r="B8" s="98"/>
      <c r="C8" s="98"/>
      <c r="D8" s="324">
        <f t="shared" si="2"/>
        <v>46116</v>
      </c>
      <c r="E8" s="324" t="s">
        <v>527</v>
      </c>
      <c r="F8" s="230">
        <v>6946481</v>
      </c>
      <c r="G8" s="322"/>
      <c r="H8" s="352"/>
      <c r="I8" s="231">
        <v>206015</v>
      </c>
      <c r="K8" s="353"/>
      <c r="L8" s="230">
        <v>4690836</v>
      </c>
      <c r="M8" s="322"/>
      <c r="N8" s="352"/>
      <c r="O8" s="90">
        <f t="shared" si="0"/>
        <v>0.67528234799749687</v>
      </c>
      <c r="P8" s="323"/>
      <c r="Q8" s="351"/>
      <c r="R8" s="230">
        <v>1073906.642061726</v>
      </c>
      <c r="S8" s="322"/>
      <c r="T8" s="352"/>
      <c r="U8" s="90">
        <f t="shared" si="1"/>
        <v>0.15459721865815598</v>
      </c>
      <c r="V8" s="323"/>
      <c r="W8" s="351"/>
    </row>
    <row r="9" spans="1:23" ht="16.5" customHeight="1">
      <c r="A9" s="98"/>
      <c r="B9" s="98"/>
      <c r="C9" s="98"/>
      <c r="D9" s="324">
        <f t="shared" si="2"/>
        <v>46117</v>
      </c>
      <c r="E9" s="324" t="s">
        <v>528</v>
      </c>
      <c r="F9" s="230">
        <v>7261197</v>
      </c>
      <c r="G9" s="322"/>
      <c r="H9" s="352"/>
      <c r="I9" s="231">
        <v>218068</v>
      </c>
      <c r="K9" s="353"/>
      <c r="L9" s="230">
        <v>4781757</v>
      </c>
      <c r="M9" s="322"/>
      <c r="N9" s="352"/>
      <c r="O9" s="90">
        <f t="shared" si="0"/>
        <v>0.65853563813239058</v>
      </c>
      <c r="P9" s="323"/>
      <c r="Q9" s="351"/>
      <c r="R9" s="230">
        <v>1092951.547672837</v>
      </c>
      <c r="S9" s="322"/>
      <c r="T9" s="352"/>
      <c r="U9" s="90">
        <f t="shared" si="1"/>
        <v>0.15051947325941398</v>
      </c>
      <c r="V9" s="323"/>
      <c r="W9" s="351"/>
    </row>
    <row r="10" spans="1:23" ht="16.5" customHeight="1">
      <c r="A10" s="98"/>
      <c r="B10" s="98"/>
      <c r="C10" s="98"/>
      <c r="D10" s="324">
        <f t="shared" si="2"/>
        <v>46118</v>
      </c>
      <c r="E10" s="324" t="s">
        <v>522</v>
      </c>
      <c r="F10" s="230">
        <v>8672669</v>
      </c>
      <c r="H10" s="352">
        <f>SUM(F5:F34)</f>
        <v>229748165</v>
      </c>
      <c r="I10" s="231">
        <v>259046</v>
      </c>
      <c r="K10" s="353">
        <f>SUM(I5:I34)</f>
        <v>6932373</v>
      </c>
      <c r="L10" s="230">
        <v>5459256</v>
      </c>
      <c r="M10" s="322"/>
      <c r="N10" s="352">
        <f>SUM(L5:L34)</f>
        <v>153124131</v>
      </c>
      <c r="O10" s="90">
        <f t="shared" si="0"/>
        <v>0.62947819177694897</v>
      </c>
      <c r="P10" s="323"/>
      <c r="Q10" s="351">
        <f>N10/H10</f>
        <v>0.66648685093959292</v>
      </c>
      <c r="R10" s="232">
        <v>1043901.8411589479</v>
      </c>
      <c r="S10" s="322"/>
      <c r="T10" s="352">
        <f>SUM(R5:R35)</f>
        <v>29971581.039138824</v>
      </c>
      <c r="U10" s="90">
        <f t="shared" si="1"/>
        <v>0.12036684913939964</v>
      </c>
      <c r="V10" s="323"/>
      <c r="W10" s="351">
        <f>T10/H10</f>
        <v>0.13045406059778028</v>
      </c>
    </row>
    <row r="11" spans="1:23" ht="16.5" customHeight="1">
      <c r="A11" s="98"/>
      <c r="B11" s="98"/>
      <c r="C11" s="98"/>
      <c r="D11" s="473">
        <f t="shared" ref="D11:D34" si="3">D10+1</f>
        <v>46119</v>
      </c>
      <c r="E11" s="473" t="s">
        <v>523</v>
      </c>
      <c r="F11" s="230">
        <v>8371655</v>
      </c>
      <c r="G11" s="322">
        <f>SUM(F11:F17)</f>
        <v>58053442</v>
      </c>
      <c r="H11" s="352"/>
      <c r="I11" s="231">
        <v>253131</v>
      </c>
      <c r="J11" s="88">
        <f>SUM(I11:I17)</f>
        <v>1752697</v>
      </c>
      <c r="K11" s="353"/>
      <c r="L11" s="230">
        <v>5629990</v>
      </c>
      <c r="M11" s="322">
        <f>SUM(L11:L17)</f>
        <v>38402276</v>
      </c>
      <c r="N11" s="352"/>
      <c r="O11" s="90">
        <f t="shared" si="0"/>
        <v>0.67250621292922363</v>
      </c>
      <c r="P11" s="90">
        <f>M11/G11</f>
        <v>0.66149869287681518</v>
      </c>
      <c r="Q11" s="351"/>
      <c r="R11" s="232">
        <v>1073678.7298117261</v>
      </c>
      <c r="S11" s="322">
        <f>SUM(R11:R17)</f>
        <v>7707949.2587654172</v>
      </c>
      <c r="T11" s="352"/>
      <c r="U11" s="90">
        <f t="shared" si="1"/>
        <v>0.12825166945027311</v>
      </c>
      <c r="V11" s="90">
        <f>S11/G11</f>
        <v>0.13277333769056135</v>
      </c>
      <c r="W11" s="351"/>
    </row>
    <row r="12" spans="1:23" ht="16.5" customHeight="1">
      <c r="A12" s="98"/>
      <c r="B12" s="98"/>
      <c r="C12" s="98"/>
      <c r="D12" s="473">
        <f t="shared" si="3"/>
        <v>46120</v>
      </c>
      <c r="E12" s="473" t="s">
        <v>524</v>
      </c>
      <c r="F12" s="230">
        <v>8123789</v>
      </c>
      <c r="G12" s="322"/>
      <c r="H12" s="352"/>
      <c r="I12" s="231">
        <v>245780</v>
      </c>
      <c r="K12" s="353"/>
      <c r="L12" s="230">
        <v>5368472</v>
      </c>
      <c r="M12" s="322"/>
      <c r="N12" s="352"/>
      <c r="O12" s="90">
        <f t="shared" si="0"/>
        <v>0.66083351007762514</v>
      </c>
      <c r="P12" s="323"/>
      <c r="Q12" s="351"/>
      <c r="R12" s="232">
        <v>1083498.0829089484</v>
      </c>
      <c r="S12" s="322"/>
      <c r="T12" s="352"/>
      <c r="U12" s="90">
        <f t="shared" si="1"/>
        <v>0.13337348900974022</v>
      </c>
      <c r="V12" s="323"/>
      <c r="W12" s="351"/>
    </row>
    <row r="13" spans="1:23" ht="16.5" customHeight="1">
      <c r="A13" s="98"/>
      <c r="B13" s="98"/>
      <c r="C13" s="98"/>
      <c r="D13" s="473">
        <f t="shared" si="3"/>
        <v>46121</v>
      </c>
      <c r="E13" s="473" t="s">
        <v>525</v>
      </c>
      <c r="F13" s="230">
        <v>7630691</v>
      </c>
      <c r="H13" s="352"/>
      <c r="I13" s="231">
        <v>232518</v>
      </c>
      <c r="K13" s="353"/>
      <c r="L13" s="230">
        <v>5005420</v>
      </c>
      <c r="M13" s="322"/>
      <c r="N13" s="352"/>
      <c r="O13" s="90">
        <f t="shared" si="0"/>
        <v>0.65595894264359544</v>
      </c>
      <c r="P13" s="323"/>
      <c r="Q13" s="351"/>
      <c r="R13" s="230">
        <v>1085874.697575615</v>
      </c>
      <c r="S13" s="322"/>
      <c r="T13" s="352"/>
      <c r="U13" s="90">
        <f t="shared" si="1"/>
        <v>0.14230358660514691</v>
      </c>
      <c r="V13" s="323"/>
      <c r="W13" s="351"/>
    </row>
    <row r="14" spans="1:23" ht="16.5" customHeight="1">
      <c r="A14" s="98"/>
      <c r="B14" s="98"/>
      <c r="C14" s="98"/>
      <c r="D14" s="473">
        <f t="shared" si="3"/>
        <v>46122</v>
      </c>
      <c r="E14" s="473" t="s">
        <v>526</v>
      </c>
      <c r="F14" s="230">
        <v>7424675</v>
      </c>
      <c r="G14" s="322"/>
      <c r="H14" s="352"/>
      <c r="I14" s="231">
        <v>224499</v>
      </c>
      <c r="K14" s="353"/>
      <c r="L14" s="230">
        <v>4901904</v>
      </c>
      <c r="M14" s="322"/>
      <c r="N14" s="352"/>
      <c r="O14" s="90">
        <f t="shared" si="0"/>
        <v>0.66021798933960074</v>
      </c>
      <c r="Q14" s="351"/>
      <c r="R14" s="230">
        <v>1085325.0584367262</v>
      </c>
      <c r="S14" s="322"/>
      <c r="T14" s="352"/>
      <c r="U14" s="90">
        <f t="shared" si="1"/>
        <v>0.14617812341102152</v>
      </c>
      <c r="V14" s="90"/>
      <c r="W14" s="351"/>
    </row>
    <row r="15" spans="1:23" ht="16.5" customHeight="1">
      <c r="A15" s="98"/>
      <c r="B15" s="98"/>
      <c r="C15" s="98"/>
      <c r="D15" s="473">
        <f t="shared" si="3"/>
        <v>46123</v>
      </c>
      <c r="E15" s="473" t="s">
        <v>527</v>
      </c>
      <c r="F15" s="230">
        <v>7969209</v>
      </c>
      <c r="G15" s="322"/>
      <c r="H15" s="352"/>
      <c r="I15" s="231">
        <v>237989</v>
      </c>
      <c r="K15" s="353"/>
      <c r="L15" s="230">
        <v>5345545</v>
      </c>
      <c r="M15" s="322"/>
      <c r="N15" s="352"/>
      <c r="O15" s="90">
        <f t="shared" si="0"/>
        <v>0.67077485356451316</v>
      </c>
      <c r="P15" s="323"/>
      <c r="Q15" s="351"/>
      <c r="R15" s="230">
        <v>1080791.5306867263</v>
      </c>
      <c r="S15" s="322"/>
      <c r="T15" s="352"/>
      <c r="U15" s="90">
        <f t="shared" si="1"/>
        <v>0.13562092934025527</v>
      </c>
      <c r="V15" s="323"/>
      <c r="W15" s="351"/>
    </row>
    <row r="16" spans="1:23" ht="16.5" customHeight="1">
      <c r="A16" s="98"/>
      <c r="B16" s="98"/>
      <c r="C16" s="98"/>
      <c r="D16" s="473">
        <f t="shared" si="3"/>
        <v>46124</v>
      </c>
      <c r="E16" s="473" t="s">
        <v>528</v>
      </c>
      <c r="F16" s="230">
        <v>9249267</v>
      </c>
      <c r="G16" s="322"/>
      <c r="H16" s="352"/>
      <c r="I16" s="231">
        <v>277628</v>
      </c>
      <c r="K16" s="353"/>
      <c r="L16" s="230">
        <v>6160149</v>
      </c>
      <c r="M16" s="322"/>
      <c r="N16" s="352"/>
      <c r="O16" s="90">
        <f t="shared" si="0"/>
        <v>0.66601483122932881</v>
      </c>
      <c r="P16" s="323"/>
      <c r="Q16" s="351"/>
      <c r="R16" s="230">
        <v>1132429.872797837</v>
      </c>
      <c r="S16" s="322"/>
      <c r="T16" s="352"/>
      <c r="U16" s="90">
        <f t="shared" si="1"/>
        <v>0.12243455322436221</v>
      </c>
      <c r="V16" s="323"/>
      <c r="W16" s="351"/>
    </row>
    <row r="17" spans="1:23" ht="16.5" customHeight="1">
      <c r="A17" s="98"/>
      <c r="B17" s="98"/>
      <c r="C17" s="98"/>
      <c r="D17" s="473">
        <f t="shared" si="3"/>
        <v>46125</v>
      </c>
      <c r="E17" s="473" t="s">
        <v>522</v>
      </c>
      <c r="F17" s="230">
        <v>9284156</v>
      </c>
      <c r="H17" s="352"/>
      <c r="I17" s="231">
        <v>281152</v>
      </c>
      <c r="K17" s="353"/>
      <c r="L17" s="230">
        <v>5990796</v>
      </c>
      <c r="M17" s="322"/>
      <c r="N17" s="352"/>
      <c r="O17" s="90">
        <f t="shared" si="0"/>
        <v>0.64527093254357204</v>
      </c>
      <c r="P17" s="323"/>
      <c r="Q17" s="351"/>
      <c r="R17" s="230">
        <v>1166351.2865478371</v>
      </c>
      <c r="S17" s="322"/>
      <c r="T17" s="352"/>
      <c r="U17" s="90">
        <f t="shared" si="1"/>
        <v>0.12562814396352637</v>
      </c>
      <c r="V17" s="323"/>
      <c r="W17" s="351"/>
    </row>
    <row r="18" spans="1:23" ht="16.5" customHeight="1">
      <c r="A18" s="98"/>
      <c r="B18" s="98"/>
      <c r="C18" s="98"/>
      <c r="D18" s="324">
        <f t="shared" si="3"/>
        <v>46126</v>
      </c>
      <c r="E18" s="324" t="s">
        <v>523</v>
      </c>
      <c r="F18" s="230">
        <v>10285856</v>
      </c>
      <c r="G18" s="322">
        <f>SUM(F18:F24)</f>
        <v>64721926</v>
      </c>
      <c r="H18" s="352"/>
      <c r="I18" s="231">
        <v>305281</v>
      </c>
      <c r="J18" s="88">
        <f>SUM(I18:I24)</f>
        <v>1948043</v>
      </c>
      <c r="K18" s="353"/>
      <c r="L18" s="230">
        <v>6981183</v>
      </c>
      <c r="M18" s="322">
        <f>SUM(L18:L24)</f>
        <v>42994462</v>
      </c>
      <c r="N18" s="352"/>
      <c r="O18" s="90">
        <f t="shared" si="0"/>
        <v>0.67871677379111661</v>
      </c>
      <c r="P18" s="90">
        <f>M18/G18</f>
        <v>0.66429515710023834</v>
      </c>
      <c r="Q18" s="351"/>
      <c r="R18" s="230">
        <v>1187433.4538811704</v>
      </c>
      <c r="S18" s="322">
        <f>SUM(R18:R24)</f>
        <v>7993162.8111265274</v>
      </c>
      <c r="T18" s="352"/>
      <c r="U18" s="90">
        <f t="shared" si="1"/>
        <v>0.11544332857480898</v>
      </c>
      <c r="V18" s="90">
        <f>S18/G18</f>
        <v>0.12350007648299167</v>
      </c>
      <c r="W18" s="351"/>
    </row>
    <row r="19" spans="1:23" ht="16.5" customHeight="1">
      <c r="A19" s="98"/>
      <c r="B19" s="98"/>
      <c r="C19" s="98"/>
      <c r="D19" s="324">
        <f t="shared" si="3"/>
        <v>46127</v>
      </c>
      <c r="E19" s="324" t="s">
        <v>524</v>
      </c>
      <c r="F19" s="230">
        <v>9533255</v>
      </c>
      <c r="G19" s="322"/>
      <c r="H19" s="352"/>
      <c r="I19" s="231">
        <v>290123</v>
      </c>
      <c r="K19" s="353"/>
      <c r="L19" s="230">
        <v>6330877</v>
      </c>
      <c r="M19" s="322"/>
      <c r="N19" s="352"/>
      <c r="O19" s="90">
        <f t="shared" si="0"/>
        <v>0.66408346362286541</v>
      </c>
      <c r="P19" s="323"/>
      <c r="Q19" s="351"/>
      <c r="R19" s="230">
        <v>1151935.6831867257</v>
      </c>
      <c r="S19" s="322"/>
      <c r="T19" s="352"/>
      <c r="U19" s="90">
        <f t="shared" si="1"/>
        <v>0.12083340718219808</v>
      </c>
      <c r="V19" s="323"/>
      <c r="W19" s="351"/>
    </row>
    <row r="20" spans="1:23" ht="16.5" customHeight="1">
      <c r="A20" s="98"/>
      <c r="B20" s="98"/>
      <c r="C20" s="98"/>
      <c r="D20" s="324">
        <f t="shared" si="3"/>
        <v>46128</v>
      </c>
      <c r="E20" s="324" t="s">
        <v>525</v>
      </c>
      <c r="F20" s="230">
        <v>8763987</v>
      </c>
      <c r="H20" s="352"/>
      <c r="I20" s="231">
        <v>266146</v>
      </c>
      <c r="K20" s="353"/>
      <c r="L20" s="230">
        <v>5881679</v>
      </c>
      <c r="M20" s="322"/>
      <c r="N20" s="352"/>
      <c r="O20" s="90">
        <f t="shared" si="0"/>
        <v>0.6711190922578959</v>
      </c>
      <c r="P20" s="323"/>
      <c r="Q20" s="351"/>
      <c r="R20" s="230">
        <v>1127249.1394228372</v>
      </c>
      <c r="S20" s="322"/>
      <c r="T20" s="352"/>
      <c r="U20" s="90">
        <f t="shared" si="1"/>
        <v>0.12862286758559058</v>
      </c>
      <c r="V20" s="323"/>
      <c r="W20" s="351"/>
    </row>
    <row r="21" spans="1:23" ht="16.5" customHeight="1">
      <c r="A21" s="98"/>
      <c r="B21" s="98"/>
      <c r="C21" s="98"/>
      <c r="D21" s="324">
        <f t="shared" si="3"/>
        <v>46129</v>
      </c>
      <c r="E21" s="324" t="s">
        <v>526</v>
      </c>
      <c r="F21" s="230">
        <v>8064540</v>
      </c>
      <c r="G21" s="322"/>
      <c r="H21" s="352"/>
      <c r="I21" s="231">
        <v>245706</v>
      </c>
      <c r="K21" s="353"/>
      <c r="L21" s="230">
        <v>5508097</v>
      </c>
      <c r="M21" s="322"/>
      <c r="N21" s="352"/>
      <c r="O21" s="90">
        <f t="shared" si="0"/>
        <v>0.68300200631406127</v>
      </c>
      <c r="Q21" s="351"/>
      <c r="R21" s="230">
        <v>1108773.5244645041</v>
      </c>
      <c r="S21" s="322"/>
      <c r="T21" s="352"/>
      <c r="U21" s="90">
        <f t="shared" si="1"/>
        <v>0.1374875100705687</v>
      </c>
      <c r="V21" s="90"/>
      <c r="W21" s="351"/>
    </row>
    <row r="22" spans="1:23" ht="16.5" customHeight="1">
      <c r="A22" s="98"/>
      <c r="B22" s="98"/>
      <c r="C22" s="98"/>
      <c r="D22" s="324">
        <f t="shared" si="3"/>
        <v>46130</v>
      </c>
      <c r="E22" s="324" t="s">
        <v>527</v>
      </c>
      <c r="F22" s="230">
        <v>8542393</v>
      </c>
      <c r="G22" s="322"/>
      <c r="H22" s="352"/>
      <c r="I22" s="231">
        <v>258137</v>
      </c>
      <c r="K22" s="353"/>
      <c r="L22" s="230">
        <v>5736576</v>
      </c>
      <c r="M22" s="322"/>
      <c r="N22" s="352"/>
      <c r="O22" s="90">
        <f t="shared" si="0"/>
        <v>0.6715420374595269</v>
      </c>
      <c r="P22" s="323"/>
      <c r="Q22" s="351"/>
      <c r="R22" s="230">
        <v>1116792.7151589484</v>
      </c>
      <c r="S22" s="322"/>
      <c r="T22" s="352"/>
      <c r="U22" s="90">
        <f t="shared" si="1"/>
        <v>0.1307353472450809</v>
      </c>
      <c r="V22" s="323"/>
      <c r="W22" s="351"/>
    </row>
    <row r="23" spans="1:23" ht="16.5" customHeight="1">
      <c r="A23" s="98"/>
      <c r="B23" s="98"/>
      <c r="C23" s="98"/>
      <c r="D23" s="324">
        <f t="shared" si="3"/>
        <v>46131</v>
      </c>
      <c r="E23" s="324" t="s">
        <v>528</v>
      </c>
      <c r="F23" s="230">
        <v>10067235</v>
      </c>
      <c r="G23" s="322"/>
      <c r="H23" s="352"/>
      <c r="I23" s="231">
        <v>300618</v>
      </c>
      <c r="K23" s="353"/>
      <c r="L23" s="230">
        <v>6230175</v>
      </c>
      <c r="M23" s="322"/>
      <c r="N23" s="352"/>
      <c r="O23" s="90">
        <f t="shared" si="0"/>
        <v>0.61885661753202348</v>
      </c>
      <c r="P23" s="323"/>
      <c r="Q23" s="351"/>
      <c r="R23" s="230">
        <v>1153264.8213811703</v>
      </c>
      <c r="S23" s="322"/>
      <c r="T23" s="352"/>
      <c r="U23" s="90">
        <f t="shared" si="1"/>
        <v>0.11455626310314304</v>
      </c>
      <c r="V23" s="323"/>
      <c r="W23" s="351"/>
    </row>
    <row r="24" spans="1:23" ht="16.5" customHeight="1">
      <c r="A24" s="98"/>
      <c r="B24" s="98"/>
      <c r="C24" s="98"/>
      <c r="D24" s="324">
        <f t="shared" si="3"/>
        <v>46132</v>
      </c>
      <c r="E24" s="324" t="s">
        <v>522</v>
      </c>
      <c r="F24" s="230">
        <v>9464660</v>
      </c>
      <c r="H24" s="352"/>
      <c r="I24" s="231">
        <v>282032</v>
      </c>
      <c r="K24" s="353"/>
      <c r="L24" s="230">
        <v>6325875</v>
      </c>
      <c r="M24" s="322"/>
      <c r="N24" s="352"/>
      <c r="O24" s="90">
        <f t="shared" si="0"/>
        <v>0.66836790756350462</v>
      </c>
      <c r="P24" s="323"/>
      <c r="Q24" s="351"/>
      <c r="R24" s="230">
        <v>1147713.4736311706</v>
      </c>
      <c r="S24" s="322"/>
      <c r="T24" s="352"/>
      <c r="U24" s="90">
        <f t="shared" si="1"/>
        <v>0.12126304311313567</v>
      </c>
      <c r="V24" s="323"/>
      <c r="W24" s="351"/>
    </row>
    <row r="25" spans="1:23" ht="16.5" customHeight="1">
      <c r="A25" s="98"/>
      <c r="B25" s="98"/>
      <c r="C25" s="98"/>
      <c r="D25" s="473">
        <f t="shared" si="3"/>
        <v>46133</v>
      </c>
      <c r="E25" s="473" t="s">
        <v>523</v>
      </c>
      <c r="F25" s="230">
        <v>9597993</v>
      </c>
      <c r="G25" s="322">
        <f>SUM(F25:F31)</f>
        <v>62548992</v>
      </c>
      <c r="H25" s="352"/>
      <c r="I25" s="231">
        <v>286121</v>
      </c>
      <c r="J25" s="88">
        <f>SUM(I25:I31)</f>
        <v>1879607</v>
      </c>
      <c r="K25" s="353"/>
      <c r="L25" s="230">
        <v>6388161</v>
      </c>
      <c r="M25" s="322">
        <f>SUM(L25:L31)</f>
        <v>41661054</v>
      </c>
      <c r="N25" s="352"/>
      <c r="O25" s="90">
        <f t="shared" si="0"/>
        <v>0.66557258376829409</v>
      </c>
      <c r="P25" s="90">
        <f>M25/G25</f>
        <v>0.66605476232134964</v>
      </c>
      <c r="Q25" s="351"/>
      <c r="R25" s="230">
        <v>1149427.2027839483</v>
      </c>
      <c r="S25" s="322">
        <f>SUM(R25:R31)</f>
        <v>7876966.4367376361</v>
      </c>
      <c r="T25" s="352"/>
      <c r="U25" s="90">
        <f t="shared" si="1"/>
        <v>0.11975703699554149</v>
      </c>
      <c r="V25" s="90">
        <f>S25/G25</f>
        <v>0.12593274783289291</v>
      </c>
      <c r="W25" s="351"/>
    </row>
    <row r="26" spans="1:23" ht="16.5" customHeight="1">
      <c r="A26" s="98"/>
      <c r="B26" s="98"/>
      <c r="C26" s="98"/>
      <c r="D26" s="473">
        <f t="shared" si="3"/>
        <v>46134</v>
      </c>
      <c r="E26" s="473" t="s">
        <v>524</v>
      </c>
      <c r="F26" s="230">
        <v>8802216</v>
      </c>
      <c r="G26" s="322"/>
      <c r="H26" s="352"/>
      <c r="I26" s="231">
        <v>268127</v>
      </c>
      <c r="K26" s="353"/>
      <c r="L26" s="230">
        <v>5947312</v>
      </c>
      <c r="M26" s="322"/>
      <c r="N26" s="352"/>
      <c r="O26" s="90">
        <f t="shared" si="0"/>
        <v>0.67566076542543374</v>
      </c>
      <c r="P26" s="323"/>
      <c r="Q26" s="351"/>
      <c r="R26" s="230">
        <v>1142492.2462700591</v>
      </c>
      <c r="S26" s="322"/>
      <c r="T26" s="352"/>
      <c r="U26" s="90">
        <f t="shared" si="1"/>
        <v>0.12979597936134027</v>
      </c>
      <c r="V26" s="323"/>
      <c r="W26" s="351"/>
    </row>
    <row r="27" spans="1:23">
      <c r="A27" s="98"/>
      <c r="B27" s="98"/>
      <c r="C27" s="98"/>
      <c r="D27" s="473">
        <f t="shared" si="3"/>
        <v>46135</v>
      </c>
      <c r="E27" s="473" t="s">
        <v>525</v>
      </c>
      <c r="F27" s="230">
        <v>8226059</v>
      </c>
      <c r="H27" s="352"/>
      <c r="I27" s="231">
        <v>251202</v>
      </c>
      <c r="K27" s="353"/>
      <c r="L27" s="230">
        <v>5599669</v>
      </c>
      <c r="M27" s="322"/>
      <c r="N27" s="352"/>
      <c r="O27" s="90">
        <f t="shared" si="0"/>
        <v>0.68072317497358092</v>
      </c>
      <c r="P27" s="323"/>
      <c r="Q27" s="351"/>
      <c r="R27" s="230">
        <v>1114627.4972006148</v>
      </c>
      <c r="S27" s="322"/>
      <c r="T27" s="352"/>
      <c r="U27" s="90">
        <f t="shared" si="1"/>
        <v>0.13549957485116684</v>
      </c>
      <c r="V27" s="323"/>
      <c r="W27" s="351"/>
    </row>
    <row r="28" spans="1:23">
      <c r="A28" s="98"/>
      <c r="B28" s="98"/>
      <c r="C28" s="98"/>
      <c r="D28" s="473">
        <f t="shared" si="3"/>
        <v>46136</v>
      </c>
      <c r="E28" s="473" t="s">
        <v>526</v>
      </c>
      <c r="F28" s="230">
        <v>7986532</v>
      </c>
      <c r="G28" s="322"/>
      <c r="H28" s="352"/>
      <c r="I28" s="231">
        <v>242140</v>
      </c>
      <c r="K28" s="353"/>
      <c r="L28" s="230">
        <v>5384169</v>
      </c>
      <c r="M28" s="322"/>
      <c r="N28" s="352"/>
      <c r="O28" s="90">
        <f t="shared" si="0"/>
        <v>0.67415606673835404</v>
      </c>
      <c r="Q28" s="351"/>
      <c r="R28" s="230">
        <v>1131793.1179506148</v>
      </c>
      <c r="S28" s="322"/>
      <c r="T28" s="352"/>
      <c r="U28" s="90">
        <f t="shared" si="1"/>
        <v>0.14171271309632452</v>
      </c>
      <c r="V28" s="90"/>
      <c r="W28" s="351"/>
    </row>
    <row r="29" spans="1:23">
      <c r="A29" s="98"/>
      <c r="B29" s="98"/>
      <c r="C29" s="98"/>
      <c r="D29" s="473">
        <f t="shared" si="3"/>
        <v>46137</v>
      </c>
      <c r="E29" s="473" t="s">
        <v>527</v>
      </c>
      <c r="F29" s="230">
        <v>8347470</v>
      </c>
      <c r="G29" s="322"/>
      <c r="H29" s="352"/>
      <c r="I29" s="231">
        <v>250171</v>
      </c>
      <c r="K29" s="353"/>
      <c r="L29" s="230">
        <v>5693839</v>
      </c>
      <c r="M29" s="322"/>
      <c r="N29" s="352"/>
      <c r="O29" s="90">
        <f t="shared" si="0"/>
        <v>0.68210355952162749</v>
      </c>
      <c r="P29" s="323"/>
      <c r="Q29" s="351"/>
      <c r="R29" s="230">
        <v>1110083.2753811707</v>
      </c>
      <c r="S29" s="322"/>
      <c r="T29" s="352"/>
      <c r="U29" s="90">
        <f t="shared" si="1"/>
        <v>0.13298439831244324</v>
      </c>
      <c r="V29" s="323"/>
      <c r="W29" s="351"/>
    </row>
    <row r="30" spans="1:23">
      <c r="A30" s="98"/>
      <c r="B30" s="98"/>
      <c r="C30" s="98"/>
      <c r="D30" s="473">
        <f t="shared" si="3"/>
        <v>46138</v>
      </c>
      <c r="E30" s="473" t="s">
        <v>528</v>
      </c>
      <c r="F30" s="230">
        <v>9947649</v>
      </c>
      <c r="G30" s="322"/>
      <c r="H30" s="352"/>
      <c r="I30" s="231">
        <v>295843</v>
      </c>
      <c r="K30" s="353"/>
      <c r="L30" s="230">
        <v>6253312</v>
      </c>
      <c r="M30" s="322"/>
      <c r="N30" s="352"/>
      <c r="O30" s="90">
        <f t="shared" si="0"/>
        <v>0.62862209955337189</v>
      </c>
      <c r="P30" s="323"/>
      <c r="Q30" s="351"/>
      <c r="R30" s="230">
        <v>1114271.5485756146</v>
      </c>
      <c r="S30" s="322"/>
      <c r="T30" s="352"/>
      <c r="U30" s="90">
        <f t="shared" si="1"/>
        <v>0.11201355702996905</v>
      </c>
      <c r="V30" s="323"/>
      <c r="W30" s="351"/>
    </row>
    <row r="31" spans="1:23">
      <c r="A31" s="98"/>
      <c r="B31" s="98"/>
      <c r="C31" s="98"/>
      <c r="D31" s="473">
        <f t="shared" si="3"/>
        <v>46139</v>
      </c>
      <c r="E31" s="473" t="s">
        <v>522</v>
      </c>
      <c r="F31" s="230">
        <v>9641073</v>
      </c>
      <c r="H31" s="352"/>
      <c r="I31" s="231">
        <v>286003</v>
      </c>
      <c r="K31" s="353"/>
      <c r="L31" s="230">
        <v>6394592</v>
      </c>
      <c r="M31" s="322"/>
      <c r="N31" s="352"/>
      <c r="O31" s="90">
        <f t="shared" si="0"/>
        <v>0.6632655929480048</v>
      </c>
      <c r="P31" s="323"/>
      <c r="Q31" s="351"/>
      <c r="R31" s="230">
        <v>1114271.5485756146</v>
      </c>
      <c r="S31" s="322"/>
      <c r="T31" s="352"/>
      <c r="U31" s="90">
        <f t="shared" si="1"/>
        <v>0.11557547054934804</v>
      </c>
      <c r="V31" s="323"/>
      <c r="W31" s="351"/>
    </row>
    <row r="32" spans="1:23">
      <c r="A32" s="98"/>
      <c r="B32" s="98"/>
      <c r="C32" s="98"/>
      <c r="D32" s="324">
        <f t="shared" si="3"/>
        <v>46140</v>
      </c>
      <c r="E32" s="324" t="s">
        <v>523</v>
      </c>
      <c r="F32" s="230"/>
      <c r="G32" s="322">
        <f>SUM(F32:F38)</f>
        <v>0</v>
      </c>
      <c r="H32" s="352"/>
      <c r="I32" s="231"/>
      <c r="J32" s="88">
        <f>SUM(I32:I38)</f>
        <v>0</v>
      </c>
      <c r="K32" s="353"/>
      <c r="L32" s="230"/>
      <c r="M32" s="322">
        <f>SUM(L32:L38)</f>
        <v>0</v>
      </c>
      <c r="N32" s="352"/>
      <c r="O32" s="90" t="e">
        <f t="shared" si="0"/>
        <v>#DIV/0!</v>
      </c>
      <c r="P32" s="90" t="e">
        <f>M32/G32</f>
        <v>#DIV/0!</v>
      </c>
      <c r="Q32" s="351"/>
      <c r="R32" s="230"/>
      <c r="S32" s="322">
        <f>SUM(R32:R38)</f>
        <v>0</v>
      </c>
      <c r="T32" s="352"/>
      <c r="U32" s="90" t="e">
        <f t="shared" si="1"/>
        <v>#DIV/0!</v>
      </c>
      <c r="V32" s="90" t="e">
        <f>S32/G32</f>
        <v>#DIV/0!</v>
      </c>
      <c r="W32" s="351"/>
    </row>
    <row r="33" spans="1:23">
      <c r="A33" s="98"/>
      <c r="B33" s="98"/>
      <c r="C33" s="98"/>
      <c r="D33" s="324">
        <f t="shared" si="3"/>
        <v>46141</v>
      </c>
      <c r="E33" s="324" t="s">
        <v>524</v>
      </c>
      <c r="F33" s="230"/>
      <c r="G33" s="322"/>
      <c r="H33" s="352"/>
      <c r="I33" s="231"/>
      <c r="K33" s="353"/>
      <c r="L33" s="230"/>
      <c r="M33" s="322"/>
      <c r="N33" s="352"/>
      <c r="O33" s="90" t="e">
        <f t="shared" si="0"/>
        <v>#DIV/0!</v>
      </c>
      <c r="Q33" s="351"/>
      <c r="R33" s="230"/>
      <c r="S33" s="322"/>
      <c r="T33" s="352"/>
      <c r="U33" s="90" t="e">
        <f t="shared" si="1"/>
        <v>#DIV/0!</v>
      </c>
      <c r="V33" s="90"/>
      <c r="W33" s="351"/>
    </row>
    <row r="34" spans="1:23">
      <c r="A34" s="98"/>
      <c r="B34" s="98"/>
      <c r="C34" s="98"/>
      <c r="D34" s="324">
        <f t="shared" si="3"/>
        <v>46142</v>
      </c>
      <c r="E34" s="324" t="s">
        <v>525</v>
      </c>
      <c r="F34" s="230"/>
      <c r="H34" s="352"/>
      <c r="I34" s="231"/>
      <c r="K34" s="353"/>
      <c r="L34" s="230"/>
      <c r="M34" s="322"/>
      <c r="N34" s="352"/>
      <c r="O34" s="90" t="e">
        <f t="shared" si="0"/>
        <v>#DIV/0!</v>
      </c>
      <c r="Q34" s="351"/>
      <c r="R34" s="230"/>
      <c r="S34" s="322"/>
      <c r="T34" s="352"/>
      <c r="U34" s="90" t="e">
        <f t="shared" si="1"/>
        <v>#DIV/0!</v>
      </c>
      <c r="V34" s="90"/>
      <c r="W34" s="351"/>
    </row>
    <row r="35" spans="1:23">
      <c r="A35" s="98"/>
      <c r="B35" s="98"/>
      <c r="D35" s="324">
        <f>D34+1</f>
        <v>46143</v>
      </c>
      <c r="E35" s="324" t="s">
        <v>526</v>
      </c>
      <c r="F35" s="230"/>
      <c r="G35" s="322"/>
      <c r="I35" s="231"/>
      <c r="L35" s="230"/>
      <c r="M35" s="322"/>
      <c r="N35" s="87"/>
      <c r="O35" s="90" t="e">
        <f t="shared" si="0"/>
        <v>#DIV/0!</v>
      </c>
      <c r="Q35" s="87"/>
      <c r="R35" s="230"/>
      <c r="S35" s="322"/>
      <c r="T35" s="87"/>
      <c r="U35" s="90" t="e">
        <f t="shared" si="1"/>
        <v>#DIV/0!</v>
      </c>
      <c r="V35" s="90"/>
      <c r="W35" s="87"/>
    </row>
    <row r="36" spans="1:23">
      <c r="A36" s="98"/>
      <c r="B36" s="98"/>
      <c r="C36" s="98"/>
      <c r="D36" s="324">
        <f t="shared" ref="D36:D38" si="4">D35+1</f>
        <v>46144</v>
      </c>
      <c r="E36" s="324" t="s">
        <v>527</v>
      </c>
      <c r="F36" s="230"/>
      <c r="G36" s="322"/>
      <c r="H36" s="352"/>
      <c r="I36" s="231"/>
      <c r="K36" s="353"/>
      <c r="L36" s="230"/>
      <c r="M36" s="322"/>
      <c r="N36" s="352"/>
      <c r="O36" s="90" t="e">
        <f t="shared" si="0"/>
        <v>#DIV/0!</v>
      </c>
      <c r="Q36" s="351"/>
      <c r="R36" s="230"/>
      <c r="S36" s="322"/>
      <c r="T36" s="352"/>
      <c r="U36" s="90" t="e">
        <f t="shared" si="1"/>
        <v>#DIV/0!</v>
      </c>
      <c r="V36" s="90"/>
      <c r="W36" s="351"/>
    </row>
    <row r="37" spans="1:23">
      <c r="A37" s="98"/>
      <c r="B37" s="98"/>
      <c r="D37" s="324">
        <f t="shared" si="4"/>
        <v>46145</v>
      </c>
      <c r="E37" s="324" t="s">
        <v>528</v>
      </c>
      <c r="F37" s="230"/>
      <c r="G37" s="322"/>
      <c r="I37" s="231"/>
      <c r="L37" s="230"/>
      <c r="M37" s="322"/>
      <c r="N37" s="87"/>
      <c r="O37" s="90" t="e">
        <f t="shared" si="0"/>
        <v>#DIV/0!</v>
      </c>
      <c r="Q37" s="87"/>
      <c r="R37" s="230"/>
      <c r="S37" s="322"/>
      <c r="T37" s="87"/>
      <c r="U37" s="90" t="e">
        <f t="shared" si="1"/>
        <v>#DIV/0!</v>
      </c>
      <c r="V37" s="90"/>
      <c r="W37" s="87"/>
    </row>
    <row r="38" spans="1:23">
      <c r="A38" s="98"/>
      <c r="B38" s="98"/>
      <c r="D38" s="324">
        <f t="shared" si="4"/>
        <v>46146</v>
      </c>
      <c r="E38" s="324" t="s">
        <v>522</v>
      </c>
      <c r="F38" s="230"/>
      <c r="G38" s="322"/>
      <c r="I38" s="231"/>
      <c r="L38" s="230"/>
      <c r="M38" s="322"/>
      <c r="N38" s="87"/>
      <c r="O38" s="90" t="e">
        <f t="shared" si="0"/>
        <v>#DIV/0!</v>
      </c>
      <c r="Q38" s="87"/>
      <c r="R38" s="230"/>
      <c r="S38" s="322"/>
      <c r="T38" s="87"/>
      <c r="U38" s="90" t="e">
        <f t="shared" si="1"/>
        <v>#DIV/0!</v>
      </c>
      <c r="V38" s="90"/>
      <c r="W38" s="87"/>
    </row>
    <row r="39" spans="1:23">
      <c r="A39" s="98"/>
      <c r="B39" s="98"/>
      <c r="D39" s="324"/>
      <c r="E39" s="324"/>
      <c r="F39" s="230"/>
      <c r="G39" s="322"/>
      <c r="I39" s="231"/>
      <c r="L39" s="230"/>
      <c r="M39" s="322"/>
      <c r="N39" s="87"/>
      <c r="O39" s="90" t="e">
        <f t="shared" si="0"/>
        <v>#DIV/0!</v>
      </c>
      <c r="Q39" s="87"/>
      <c r="R39" s="230"/>
      <c r="S39" s="322"/>
      <c r="T39" s="87"/>
      <c r="U39" s="90" t="e">
        <f t="shared" si="1"/>
        <v>#DIV/0!</v>
      </c>
      <c r="V39" s="90"/>
      <c r="W39" s="87"/>
    </row>
    <row r="40" spans="1:23">
      <c r="A40" s="98"/>
      <c r="B40" s="98"/>
      <c r="D40" s="324"/>
      <c r="E40" s="324"/>
      <c r="F40" s="230"/>
      <c r="G40" s="322"/>
      <c r="I40" s="231"/>
      <c r="L40" s="230"/>
      <c r="M40" s="322"/>
      <c r="N40" s="87"/>
      <c r="O40" s="90" t="e">
        <f>L40/F40</f>
        <v>#DIV/0!</v>
      </c>
      <c r="Q40" s="87"/>
      <c r="R40" s="230"/>
      <c r="S40" s="322"/>
      <c r="T40" s="87"/>
      <c r="U40" s="90" t="e">
        <f t="shared" si="1"/>
        <v>#DIV/0!</v>
      </c>
      <c r="V40" s="90"/>
      <c r="W40" s="87"/>
    </row>
    <row r="41" spans="1:23">
      <c r="A41" s="98"/>
      <c r="B41" s="98"/>
      <c r="D41" s="324"/>
      <c r="E41" s="324"/>
      <c r="F41" s="230"/>
      <c r="G41" s="322"/>
      <c r="I41" s="231"/>
      <c r="L41" s="230"/>
      <c r="M41" s="322"/>
      <c r="N41" s="87"/>
      <c r="O41" s="90" t="e">
        <f>L41/F41</f>
        <v>#DIV/0!</v>
      </c>
      <c r="Q41" s="87"/>
      <c r="R41" s="232"/>
      <c r="S41" s="322"/>
      <c r="T41" s="87"/>
      <c r="U41" s="90" t="e">
        <f t="shared" si="1"/>
        <v>#DIV/0!</v>
      </c>
      <c r="V41" s="90"/>
      <c r="W41" s="87"/>
    </row>
    <row r="42" spans="1:23">
      <c r="A42" s="98"/>
      <c r="B42" s="98"/>
      <c r="D42" s="86"/>
      <c r="E42" s="86"/>
      <c r="G42" s="322"/>
      <c r="M42" s="322"/>
      <c r="N42" s="87"/>
      <c r="Q42" s="87"/>
      <c r="S42" s="322"/>
      <c r="T42" s="87"/>
      <c r="V42" s="90"/>
      <c r="W42" s="87"/>
    </row>
    <row r="43" spans="1:23">
      <c r="A43" s="98"/>
      <c r="B43" s="98"/>
      <c r="D43" s="86"/>
      <c r="E43" s="86"/>
      <c r="G43" s="322"/>
      <c r="M43" s="322"/>
      <c r="N43" s="87"/>
      <c r="Q43" s="87"/>
      <c r="S43" s="322"/>
      <c r="T43" s="87"/>
      <c r="V43" s="90"/>
      <c r="W43" s="87"/>
    </row>
    <row r="44" spans="1:23">
      <c r="A44" s="98"/>
      <c r="B44" s="98"/>
      <c r="D44" s="86"/>
      <c r="E44" s="86"/>
      <c r="G44" s="322"/>
      <c r="M44" s="322"/>
      <c r="N44" s="87"/>
      <c r="Q44" s="87"/>
      <c r="S44" s="322"/>
      <c r="T44" s="87"/>
      <c r="V44" s="90"/>
      <c r="W44" s="87"/>
    </row>
    <row r="45" spans="1:23">
      <c r="A45" s="98"/>
      <c r="B45" s="98"/>
      <c r="M45" s="87"/>
      <c r="S45" s="87"/>
    </row>
    <row r="46" spans="1:23">
      <c r="A46" s="98"/>
      <c r="B46" s="98"/>
      <c r="M46" s="87"/>
    </row>
    <row r="47" spans="1:23">
      <c r="A47" s="98"/>
      <c r="B47" s="98"/>
      <c r="M47" s="87"/>
    </row>
    <row r="48" spans="1:23">
      <c r="A48" s="98"/>
      <c r="B48" s="98"/>
      <c r="M48" s="87"/>
    </row>
    <row r="49" spans="1:13">
      <c r="A49" s="98"/>
      <c r="B49" s="98"/>
      <c r="M49" s="87"/>
    </row>
    <row r="50" spans="1:13">
      <c r="B50" s="98"/>
      <c r="M50" s="87"/>
    </row>
    <row r="51" spans="1:13">
      <c r="M51" s="87"/>
    </row>
    <row r="52" spans="1:13">
      <c r="M52" s="87"/>
    </row>
    <row r="53" spans="1:13">
      <c r="M53" s="87"/>
    </row>
    <row r="54" spans="1:13">
      <c r="M54" s="87"/>
    </row>
    <row r="55" spans="1:13">
      <c r="M55" s="87"/>
    </row>
    <row r="56" spans="1:13">
      <c r="M56" s="87"/>
    </row>
    <row r="57" spans="1:13">
      <c r="M57" s="87"/>
    </row>
    <row r="58" spans="1:13">
      <c r="M58" s="87"/>
    </row>
  </sheetData>
  <mergeCells count="9">
    <mergeCell ref="O3:Q3"/>
    <mergeCell ref="B2:W2"/>
    <mergeCell ref="I3:K3"/>
    <mergeCell ref="L3:N3"/>
    <mergeCell ref="F3:H3"/>
    <mergeCell ref="C3:C4"/>
    <mergeCell ref="D3:E4"/>
    <mergeCell ref="R3:T3"/>
    <mergeCell ref="U3:W3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B1:W50"/>
  <sheetViews>
    <sheetView tabSelected="1" zoomScale="70" zoomScaleNormal="70"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T42" sqref="T42"/>
    </sheetView>
  </sheetViews>
  <sheetFormatPr defaultColWidth="8.85546875" defaultRowHeight="14.25"/>
  <cols>
    <col min="1" max="1" width="4.42578125" style="74" customWidth="1"/>
    <col min="2" max="2" width="12.5703125" style="82" customWidth="1"/>
    <col min="3" max="3" width="8.85546875" style="83"/>
    <col min="4" max="4" width="17.42578125" style="84" customWidth="1"/>
    <col min="5" max="5" width="4.42578125" style="84" customWidth="1"/>
    <col min="6" max="8" width="25.5703125" style="94" customWidth="1"/>
    <col min="9" max="11" width="15" style="73" customWidth="1"/>
    <col min="12" max="17" width="14.5703125" style="73" customWidth="1"/>
    <col min="18" max="21" width="14.140625" style="73" customWidth="1"/>
    <col min="22" max="23" width="14.140625" style="74" customWidth="1"/>
    <col min="24" max="16384" width="8.85546875" style="74"/>
  </cols>
  <sheetData>
    <row r="1" spans="2:23">
      <c r="B1" s="82" t="s">
        <v>334</v>
      </c>
      <c r="C1" s="83">
        <v>366</v>
      </c>
    </row>
    <row r="2" spans="2:23" ht="38.1" customHeight="1">
      <c r="B2" s="574" t="s">
        <v>126</v>
      </c>
      <c r="C2" s="581"/>
      <c r="D2" s="581"/>
      <c r="E2" s="581"/>
      <c r="F2" s="581"/>
      <c r="G2" s="581"/>
      <c r="H2" s="581"/>
      <c r="I2" s="581"/>
      <c r="J2" s="581"/>
      <c r="K2" s="581"/>
      <c r="L2" s="581"/>
      <c r="M2" s="581"/>
      <c r="N2" s="581"/>
      <c r="O2" s="581"/>
      <c r="P2" s="581"/>
      <c r="Q2" s="581"/>
      <c r="R2" s="581"/>
      <c r="S2" s="581"/>
      <c r="T2" s="581"/>
      <c r="U2" s="581"/>
    </row>
    <row r="3" spans="2:23" s="72" customFormat="1" ht="23.45" customHeight="1">
      <c r="B3" s="98"/>
      <c r="C3" s="578" t="s">
        <v>116</v>
      </c>
      <c r="D3" s="579" t="s">
        <v>105</v>
      </c>
      <c r="E3" s="579"/>
      <c r="F3" s="582" t="s">
        <v>107</v>
      </c>
      <c r="G3" s="582"/>
      <c r="H3" s="582"/>
      <c r="I3" s="584" t="s">
        <v>108</v>
      </c>
      <c r="J3" s="584"/>
      <c r="K3" s="584"/>
      <c r="L3" s="583" t="s">
        <v>324</v>
      </c>
      <c r="M3" s="583"/>
      <c r="N3" s="583"/>
      <c r="O3" s="583" t="s">
        <v>106</v>
      </c>
      <c r="P3" s="583"/>
      <c r="Q3" s="583"/>
      <c r="R3" s="583" t="s">
        <v>109</v>
      </c>
      <c r="S3" s="583"/>
      <c r="T3" s="583"/>
      <c r="U3" s="583" t="s">
        <v>110</v>
      </c>
      <c r="V3" s="583"/>
      <c r="W3" s="583"/>
    </row>
    <row r="4" spans="2:23" ht="15.75">
      <c r="B4" s="98"/>
      <c r="C4" s="578"/>
      <c r="D4" s="579"/>
      <c r="E4" s="579"/>
      <c r="F4" s="85" t="s">
        <v>115</v>
      </c>
      <c r="G4" s="96" t="s">
        <v>127</v>
      </c>
      <c r="H4" s="96" t="s">
        <v>128</v>
      </c>
      <c r="I4" s="85" t="s">
        <v>115</v>
      </c>
      <c r="J4" s="95" t="s">
        <v>127</v>
      </c>
      <c r="K4" s="95" t="s">
        <v>128</v>
      </c>
      <c r="L4" s="85" t="s">
        <v>115</v>
      </c>
      <c r="M4" s="95" t="s">
        <v>127</v>
      </c>
      <c r="N4" s="95" t="s">
        <v>128</v>
      </c>
      <c r="O4" s="85" t="s">
        <v>115</v>
      </c>
      <c r="P4" s="95" t="s">
        <v>127</v>
      </c>
      <c r="Q4" s="95" t="s">
        <v>128</v>
      </c>
      <c r="R4" s="85" t="s">
        <v>115</v>
      </c>
      <c r="S4" s="95" t="s">
        <v>127</v>
      </c>
      <c r="T4" s="95" t="s">
        <v>128</v>
      </c>
      <c r="U4" s="85" t="s">
        <v>115</v>
      </c>
      <c r="V4" s="95" t="s">
        <v>127</v>
      </c>
      <c r="W4" s="95" t="s">
        <v>128</v>
      </c>
    </row>
    <row r="5" spans="2:23" ht="14.45" customHeight="1">
      <c r="B5" s="98"/>
      <c r="C5" s="98"/>
      <c r="D5" s="324">
        <v>46113</v>
      </c>
      <c r="E5" s="324" t="s">
        <v>524</v>
      </c>
      <c r="F5" s="229">
        <v>363.46149845097142</v>
      </c>
      <c r="G5" s="93"/>
      <c r="H5" s="93"/>
      <c r="I5" s="90">
        <f>F5/$C$1</f>
        <v>0.99306420341795465</v>
      </c>
      <c r="J5" s="214"/>
      <c r="K5" s="214"/>
      <c r="L5" s="248">
        <v>2.4438405848816137E-3</v>
      </c>
      <c r="M5" s="323"/>
      <c r="N5" s="323"/>
      <c r="O5" s="248">
        <v>1.7162690131939282E-3</v>
      </c>
      <c r="P5" s="323"/>
      <c r="Q5" s="323"/>
      <c r="R5" s="233">
        <v>0.91700000000000004</v>
      </c>
      <c r="S5" s="214"/>
      <c r="T5" s="323"/>
      <c r="U5" s="233">
        <v>0.22</v>
      </c>
      <c r="V5" s="214"/>
      <c r="W5" s="323"/>
    </row>
    <row r="6" spans="2:23" ht="14.45" customHeight="1">
      <c r="B6" s="98"/>
      <c r="C6" s="98"/>
      <c r="D6" s="324">
        <f t="shared" ref="D6:D34" si="0">D5+1</f>
        <v>46114</v>
      </c>
      <c r="E6" s="324" t="s">
        <v>525</v>
      </c>
      <c r="F6" s="229">
        <v>356.08261363571057</v>
      </c>
      <c r="G6" s="94">
        <f>AVERAGE(F5:F10)</f>
        <v>354.21520580484065</v>
      </c>
      <c r="H6" s="93"/>
      <c r="I6" s="90">
        <f>F6/$C$1</f>
        <v>0.97290331594456436</v>
      </c>
      <c r="J6" s="214">
        <f>AVERAGE(I5:I10)</f>
        <v>0.96780110875639502</v>
      </c>
      <c r="K6" s="214"/>
      <c r="L6" s="248">
        <v>2.4211748426678668E-3</v>
      </c>
      <c r="M6" s="323">
        <f>AVERAGE(L5:L10)</f>
        <v>2.4410413754140815E-3</v>
      </c>
      <c r="N6" s="323"/>
      <c r="O6" s="248">
        <v>2.0147929713968953E-3</v>
      </c>
      <c r="P6" s="323">
        <f>AVERAGE(O5:O10)</f>
        <v>1.8116415883888369E-3</v>
      </c>
      <c r="Q6" s="323"/>
      <c r="R6" s="233">
        <v>0.91700000000000004</v>
      </c>
      <c r="S6" s="214">
        <f>AVERAGE(R5:R10)</f>
        <v>0.91699999999999993</v>
      </c>
      <c r="T6" s="323"/>
      <c r="U6" s="233">
        <v>0.224</v>
      </c>
      <c r="V6" s="214">
        <f>AVERAGE(U5:U10)</f>
        <v>0.22700000000000001</v>
      </c>
      <c r="W6" s="323"/>
    </row>
    <row r="7" spans="2:23" ht="14.45" customHeight="1">
      <c r="B7" s="98"/>
      <c r="C7" s="98"/>
      <c r="D7" s="324">
        <f t="shared" si="0"/>
        <v>46115</v>
      </c>
      <c r="E7" s="324" t="s">
        <v>526</v>
      </c>
      <c r="F7" s="229">
        <v>357.47133598269164</v>
      </c>
      <c r="I7" s="90">
        <f t="shared" ref="I7:I40" si="1">F7/$C$1</f>
        <v>0.97669763929697173</v>
      </c>
      <c r="J7" s="214"/>
      <c r="L7" s="248">
        <v>2.4401906517939327E-3</v>
      </c>
      <c r="M7" s="323"/>
      <c r="O7" s="248">
        <v>1.9703956250524328E-3</v>
      </c>
      <c r="P7" s="323"/>
      <c r="R7" s="233">
        <v>0.91700000000000004</v>
      </c>
      <c r="S7" s="214"/>
      <c r="U7" s="233">
        <v>0.22600000000000001</v>
      </c>
      <c r="V7" s="214"/>
    </row>
    <row r="8" spans="2:23" ht="14.45" customHeight="1">
      <c r="B8" s="98"/>
      <c r="C8" s="98"/>
      <c r="D8" s="324">
        <f t="shared" si="0"/>
        <v>46116</v>
      </c>
      <c r="E8" s="324" t="s">
        <v>527</v>
      </c>
      <c r="F8" s="229">
        <v>358.65604958077785</v>
      </c>
      <c r="G8" s="93"/>
      <c r="H8" s="93"/>
      <c r="I8" s="90">
        <f t="shared" si="1"/>
        <v>0.97993456169611437</v>
      </c>
      <c r="J8" s="214"/>
      <c r="K8" s="214"/>
      <c r="L8" s="248">
        <v>2.4577912183161516E-3</v>
      </c>
      <c r="M8" s="323"/>
      <c r="N8" s="323"/>
      <c r="O8" s="248">
        <v>1.7291779275045492E-3</v>
      </c>
      <c r="P8" s="323"/>
      <c r="Q8" s="323"/>
      <c r="R8" s="233">
        <v>0.91700000000000004</v>
      </c>
      <c r="S8" s="214"/>
      <c r="T8" s="323"/>
      <c r="U8" s="233">
        <v>0.23</v>
      </c>
      <c r="V8" s="214"/>
      <c r="W8" s="323"/>
    </row>
    <row r="9" spans="2:23" ht="14.45" customHeight="1">
      <c r="B9" s="98"/>
      <c r="C9" s="98"/>
      <c r="D9" s="324">
        <f t="shared" si="0"/>
        <v>46117</v>
      </c>
      <c r="E9" s="324" t="s">
        <v>528</v>
      </c>
      <c r="F9" s="229">
        <v>355.20151088997295</v>
      </c>
      <c r="G9" s="93"/>
      <c r="H9" s="93"/>
      <c r="I9" s="90">
        <f t="shared" si="1"/>
        <v>0.97049593139336876</v>
      </c>
      <c r="J9" s="214"/>
      <c r="K9" s="214"/>
      <c r="L9" s="248">
        <v>2.4377523430365545E-3</v>
      </c>
      <c r="M9" s="323"/>
      <c r="N9" s="323"/>
      <c r="O9" s="248">
        <v>1.7235559651966549E-3</v>
      </c>
      <c r="P9" s="323"/>
      <c r="Q9" s="323"/>
      <c r="R9" s="233">
        <v>0.91700000000000004</v>
      </c>
      <c r="S9" s="214"/>
      <c r="T9" s="323"/>
      <c r="U9" s="233">
        <v>0.23</v>
      </c>
      <c r="V9" s="214"/>
      <c r="W9" s="323"/>
    </row>
    <row r="10" spans="2:23" ht="14.45" customHeight="1">
      <c r="B10" s="98"/>
      <c r="C10" s="98"/>
      <c r="D10" s="324">
        <f t="shared" si="0"/>
        <v>46118</v>
      </c>
      <c r="E10" s="324" t="s">
        <v>522</v>
      </c>
      <c r="F10" s="229">
        <v>334.41822628891919</v>
      </c>
      <c r="G10" s="93"/>
      <c r="H10" s="93">
        <f>AVERAGE(F5:F34)</f>
        <v>353.91728385150736</v>
      </c>
      <c r="I10" s="90">
        <f t="shared" si="1"/>
        <v>0.91371100078939671</v>
      </c>
      <c r="J10" s="214"/>
      <c r="K10" s="214">
        <f>AVERAGE(I5:I34)</f>
        <v>0.87028840291354248</v>
      </c>
      <c r="L10" s="248">
        <v>2.4454986117883664E-3</v>
      </c>
      <c r="M10" s="323"/>
      <c r="N10" s="323">
        <f>AVERAGE(L5:L34)</f>
        <v>2.4305118784891575E-3</v>
      </c>
      <c r="O10" s="248">
        <v>1.7156580279885619E-3</v>
      </c>
      <c r="P10" s="323"/>
      <c r="Q10" s="323">
        <f>AVERAGE(O5:O34)</f>
        <v>1.7820647247329467E-3</v>
      </c>
      <c r="R10" s="233">
        <v>0.91700000000000004</v>
      </c>
      <c r="S10" s="214"/>
      <c r="T10" s="214">
        <f>AVERAGE(R5:R34)</f>
        <v>0.91700000000000059</v>
      </c>
      <c r="U10" s="233">
        <v>0.23200000000000001</v>
      </c>
      <c r="V10" s="214"/>
      <c r="W10" s="214">
        <f>AVERAGE(U5:U34)</f>
        <v>0.2582962962962963</v>
      </c>
    </row>
    <row r="11" spans="2:23" ht="14.45" customHeight="1">
      <c r="B11" s="98"/>
      <c r="C11" s="98"/>
      <c r="D11" s="473">
        <f t="shared" si="0"/>
        <v>46119</v>
      </c>
      <c r="E11" s="473" t="s">
        <v>523</v>
      </c>
      <c r="F11" s="229">
        <v>341.2102511738006</v>
      </c>
      <c r="G11" s="93">
        <f>AVERAGE(F11:F17)</f>
        <v>341.49683640951031</v>
      </c>
      <c r="H11" s="93"/>
      <c r="I11" s="90">
        <f t="shared" si="1"/>
        <v>0.9322684458300563</v>
      </c>
      <c r="J11" s="214">
        <f>AVERAGE(I11:I17)</f>
        <v>0.93305146559975494</v>
      </c>
      <c r="K11" s="214"/>
      <c r="L11" s="248">
        <v>2.4299999999999999E-3</v>
      </c>
      <c r="M11" s="323">
        <f>AVERAGE(L11:L17)</f>
        <v>2.4328571428571429E-3</v>
      </c>
      <c r="N11" s="323"/>
      <c r="O11" s="248">
        <v>1.5793354309841326E-3</v>
      </c>
      <c r="P11" s="323">
        <f>AVERAGE(O11:O17)</f>
        <v>1.7039515813879441E-3</v>
      </c>
      <c r="Q11" s="323"/>
      <c r="R11" s="233">
        <v>0.91700000000000004</v>
      </c>
      <c r="S11" s="214">
        <f>AVERAGE(R11:R17)</f>
        <v>0.91699999999999993</v>
      </c>
      <c r="T11" s="323"/>
      <c r="U11" s="233">
        <v>0.23799999999999999</v>
      </c>
      <c r="V11" s="214">
        <f>AVERAGE(U11:U17)</f>
        <v>0.25257142857142856</v>
      </c>
      <c r="W11" s="323"/>
    </row>
    <row r="12" spans="2:23" ht="14.45" customHeight="1">
      <c r="B12" s="98"/>
      <c r="C12" s="98"/>
      <c r="D12" s="473">
        <f t="shared" si="0"/>
        <v>46120</v>
      </c>
      <c r="E12" s="473" t="s">
        <v>524</v>
      </c>
      <c r="F12" s="229">
        <v>340.85386290181708</v>
      </c>
      <c r="G12" s="93"/>
      <c r="H12" s="93"/>
      <c r="I12" s="90">
        <f t="shared" si="1"/>
        <v>0.93129470738201392</v>
      </c>
      <c r="J12" s="214"/>
      <c r="K12" s="214"/>
      <c r="L12" s="248">
        <v>2.4199999999999998E-3</v>
      </c>
      <c r="M12" s="323"/>
      <c r="N12" s="323"/>
      <c r="O12" s="248">
        <v>1.666469195739148E-3</v>
      </c>
      <c r="P12" s="323"/>
      <c r="Q12" s="323"/>
      <c r="R12" s="233">
        <v>0.91700000000000004</v>
      </c>
      <c r="S12" s="214"/>
      <c r="T12" s="323"/>
      <c r="U12" s="233">
        <v>0.246</v>
      </c>
      <c r="V12" s="214"/>
      <c r="W12" s="323"/>
    </row>
    <row r="13" spans="2:23" ht="14.45" customHeight="1">
      <c r="B13" s="98"/>
      <c r="C13" s="98"/>
      <c r="D13" s="473">
        <f t="shared" si="0"/>
        <v>46121</v>
      </c>
      <c r="E13" s="473" t="s">
        <v>525</v>
      </c>
      <c r="F13" s="229">
        <v>343.26629296496458</v>
      </c>
      <c r="H13" s="93"/>
      <c r="I13" s="90">
        <f t="shared" si="1"/>
        <v>0.93788604635236228</v>
      </c>
      <c r="J13" s="214"/>
      <c r="K13" s="214"/>
      <c r="L13" s="248">
        <v>2.4299999999999999E-3</v>
      </c>
      <c r="M13" s="323"/>
      <c r="N13" s="323"/>
      <c r="O13" s="248">
        <v>1.8566746135286894E-3</v>
      </c>
      <c r="P13" s="323"/>
      <c r="Q13" s="323"/>
      <c r="R13" s="233">
        <v>0.91700000000000004</v>
      </c>
      <c r="S13" s="214"/>
      <c r="T13" s="323"/>
      <c r="U13" s="233">
        <v>0.248</v>
      </c>
      <c r="V13" s="214"/>
      <c r="W13" s="323"/>
    </row>
    <row r="14" spans="2:23" ht="14.45" customHeight="1">
      <c r="B14" s="98"/>
      <c r="C14" s="98"/>
      <c r="D14" s="473">
        <f t="shared" si="0"/>
        <v>46122</v>
      </c>
      <c r="E14" s="473" t="s">
        <v>526</v>
      </c>
      <c r="F14" s="229">
        <v>345.2621386933161</v>
      </c>
      <c r="G14" s="93"/>
      <c r="H14" s="93"/>
      <c r="I14" s="90">
        <f t="shared" si="1"/>
        <v>0.9433391767576943</v>
      </c>
      <c r="J14" s="214"/>
      <c r="K14" s="214"/>
      <c r="L14" s="248">
        <v>2.4299999999999999E-3</v>
      </c>
      <c r="M14" s="323"/>
      <c r="N14" s="323"/>
      <c r="O14" s="248">
        <v>1.7921195739237705E-3</v>
      </c>
      <c r="P14" s="323"/>
      <c r="Q14" s="323"/>
      <c r="R14" s="233">
        <v>0.91700000000000004</v>
      </c>
      <c r="S14" s="214"/>
      <c r="T14" s="323"/>
      <c r="U14" s="233">
        <v>0.25600000000000001</v>
      </c>
      <c r="V14" s="214"/>
      <c r="W14" s="323"/>
    </row>
    <row r="15" spans="2:23" ht="14.45" customHeight="1">
      <c r="B15" s="98"/>
      <c r="C15" s="98"/>
      <c r="D15" s="473">
        <f t="shared" si="0"/>
        <v>46123</v>
      </c>
      <c r="E15" s="473" t="s">
        <v>527</v>
      </c>
      <c r="F15" s="229">
        <v>334.99899732265203</v>
      </c>
      <c r="G15" s="93"/>
      <c r="H15" s="93"/>
      <c r="I15" s="90">
        <f t="shared" si="1"/>
        <v>0.91529780689249185</v>
      </c>
      <c r="J15" s="214"/>
      <c r="K15" s="214"/>
      <c r="L15" s="248">
        <v>2.4499999999999999E-3</v>
      </c>
      <c r="M15" s="323"/>
      <c r="N15" s="323"/>
      <c r="O15" s="248">
        <v>1.6699229763775226E-3</v>
      </c>
      <c r="P15" s="323"/>
      <c r="Q15" s="323"/>
      <c r="R15" s="233">
        <v>0.91700000000000004</v>
      </c>
      <c r="S15" s="214"/>
      <c r="T15" s="323"/>
      <c r="U15" s="233">
        <v>0.26</v>
      </c>
      <c r="V15" s="214"/>
      <c r="W15" s="323"/>
    </row>
    <row r="16" spans="2:23" ht="14.45" customHeight="1">
      <c r="B16" s="98"/>
      <c r="C16" s="98"/>
      <c r="D16" s="473">
        <f t="shared" si="0"/>
        <v>46124</v>
      </c>
      <c r="E16" s="473" t="s">
        <v>528</v>
      </c>
      <c r="F16" s="229">
        <v>339.93588957067522</v>
      </c>
      <c r="G16" s="93"/>
      <c r="H16" s="93"/>
      <c r="I16" s="90">
        <f t="shared" si="1"/>
        <v>0.92878658352643506</v>
      </c>
      <c r="J16" s="214"/>
      <c r="K16" s="214"/>
      <c r="L16" s="248">
        <v>2.4299999999999999E-3</v>
      </c>
      <c r="M16" s="323"/>
      <c r="N16" s="323"/>
      <c r="O16" s="248">
        <v>1.7437674757591556E-3</v>
      </c>
      <c r="P16" s="323"/>
      <c r="Q16" s="323"/>
      <c r="R16" s="233">
        <v>0.91700000000000004</v>
      </c>
      <c r="S16" s="214"/>
      <c r="T16" s="323"/>
      <c r="U16" s="233">
        <v>0.26</v>
      </c>
      <c r="V16" s="214"/>
      <c r="W16" s="323"/>
    </row>
    <row r="17" spans="2:23" ht="14.45" customHeight="1">
      <c r="B17" s="98"/>
      <c r="C17" s="98"/>
      <c r="D17" s="473">
        <f t="shared" si="0"/>
        <v>46125</v>
      </c>
      <c r="E17" s="473" t="s">
        <v>522</v>
      </c>
      <c r="F17" s="229">
        <v>344.95042223934661</v>
      </c>
      <c r="G17" s="93"/>
      <c r="H17" s="93"/>
      <c r="I17" s="90">
        <f t="shared" si="1"/>
        <v>0.94248749245723118</v>
      </c>
      <c r="J17" s="214"/>
      <c r="K17" s="214"/>
      <c r="L17" s="248">
        <v>2.4399999999999999E-3</v>
      </c>
      <c r="M17" s="323"/>
      <c r="N17" s="323"/>
      <c r="O17" s="248">
        <v>1.6193718034031885E-3</v>
      </c>
      <c r="P17" s="323"/>
      <c r="Q17" s="323"/>
      <c r="R17" s="233">
        <v>0.91700000000000004</v>
      </c>
      <c r="S17" s="214"/>
      <c r="T17" s="323"/>
      <c r="U17" s="233">
        <v>0.26</v>
      </c>
      <c r="V17" s="214"/>
      <c r="W17" s="323"/>
    </row>
    <row r="18" spans="2:23" ht="14.45" customHeight="1">
      <c r="B18" s="98"/>
      <c r="C18" s="98"/>
      <c r="D18" s="324">
        <f t="shared" si="0"/>
        <v>46126</v>
      </c>
      <c r="E18" s="324" t="s">
        <v>523</v>
      </c>
      <c r="F18" s="229">
        <v>335.43146142165341</v>
      </c>
      <c r="G18" s="93">
        <f>AVERAGE(F18:F24)</f>
        <v>355.01393918501162</v>
      </c>
      <c r="H18" s="93"/>
      <c r="I18" s="90">
        <f t="shared" si="1"/>
        <v>0.91647940279140272</v>
      </c>
      <c r="J18" s="214">
        <f>AVERAGE(I18:I24)</f>
        <v>0.96998344039620665</v>
      </c>
      <c r="K18" s="214"/>
      <c r="L18" s="248">
        <v>2.4166194821315795E-3</v>
      </c>
      <c r="M18" s="323">
        <f>AVERAGE(L18:L24)</f>
        <v>2.4258959417096031E-3</v>
      </c>
      <c r="N18" s="323"/>
      <c r="O18" s="248">
        <v>1.755623026844053E-3</v>
      </c>
      <c r="P18" s="323">
        <f>AVERAGE(O18:O24)</f>
        <v>1.8005311526068846E-3</v>
      </c>
      <c r="Q18" s="323"/>
      <c r="R18" s="233">
        <v>0.91700000000000004</v>
      </c>
      <c r="S18" s="214">
        <f>AVERAGE(R18:R24)</f>
        <v>0.91699999999999993</v>
      </c>
      <c r="T18" s="323"/>
      <c r="U18" s="233">
        <v>0.26</v>
      </c>
      <c r="V18" s="214">
        <f>AVERAGE(U18:U24)</f>
        <v>0.26600000000000001</v>
      </c>
      <c r="W18" s="323"/>
    </row>
    <row r="19" spans="2:23" ht="14.45" customHeight="1">
      <c r="B19" s="98"/>
      <c r="C19" s="98"/>
      <c r="D19" s="324">
        <f t="shared" si="0"/>
        <v>46127</v>
      </c>
      <c r="E19" s="324" t="s">
        <v>524</v>
      </c>
      <c r="F19" s="229">
        <v>333.84916018613933</v>
      </c>
      <c r="G19" s="93"/>
      <c r="H19" s="93"/>
      <c r="I19" s="90">
        <f t="shared" si="1"/>
        <v>0.91215617537196536</v>
      </c>
      <c r="J19" s="214"/>
      <c r="K19" s="214"/>
      <c r="L19" s="248">
        <v>2.4356843491546171E-3</v>
      </c>
      <c r="M19" s="323"/>
      <c r="N19" s="323"/>
      <c r="O19" s="248">
        <v>1.7593773664902812E-3</v>
      </c>
      <c r="P19" s="323"/>
      <c r="Q19" s="323"/>
      <c r="R19" s="233">
        <v>0.91700000000000004</v>
      </c>
      <c r="S19" s="214"/>
      <c r="T19" s="323"/>
      <c r="U19" s="233">
        <v>0.26200000000000001</v>
      </c>
      <c r="V19" s="214"/>
      <c r="W19" s="323"/>
    </row>
    <row r="20" spans="2:23" ht="14.45" customHeight="1">
      <c r="B20" s="98"/>
      <c r="C20" s="98"/>
      <c r="D20" s="324">
        <f t="shared" si="0"/>
        <v>46128</v>
      </c>
      <c r="E20" s="324" t="s">
        <v>525</v>
      </c>
      <c r="F20" s="229">
        <v>362.23510648152671</v>
      </c>
      <c r="G20" s="93"/>
      <c r="H20" s="93"/>
      <c r="I20" s="90">
        <f t="shared" si="1"/>
        <v>0.98971340568723143</v>
      </c>
      <c r="J20" s="214"/>
      <c r="K20" s="214"/>
      <c r="L20" s="248">
        <v>2.4278904110651921E-3</v>
      </c>
      <c r="M20" s="323"/>
      <c r="N20" s="323"/>
      <c r="O20" s="248">
        <v>1.7519643473038139E-3</v>
      </c>
      <c r="P20" s="323"/>
      <c r="Q20" s="323"/>
      <c r="R20" s="233">
        <v>0.91700000000000004</v>
      </c>
      <c r="S20" s="214"/>
      <c r="T20" s="323"/>
      <c r="U20" s="233">
        <v>0.26200000000000001</v>
      </c>
      <c r="V20" s="214"/>
      <c r="W20" s="323"/>
    </row>
    <row r="21" spans="2:23" ht="14.45" customHeight="1">
      <c r="B21" s="98"/>
      <c r="C21" s="98"/>
      <c r="D21" s="324">
        <f t="shared" si="0"/>
        <v>46129</v>
      </c>
      <c r="E21" s="324" t="s">
        <v>526</v>
      </c>
      <c r="F21" s="229">
        <v>360.9981260465683</v>
      </c>
      <c r="G21" s="93"/>
      <c r="H21" s="93"/>
      <c r="I21" s="90">
        <f t="shared" si="1"/>
        <v>0.98633367772286418</v>
      </c>
      <c r="J21" s="214"/>
      <c r="K21" s="214"/>
      <c r="L21" s="248">
        <v>2.4372127858501538E-3</v>
      </c>
      <c r="M21" s="323"/>
      <c r="N21" s="323"/>
      <c r="O21" s="248">
        <v>1.9241541865131512E-3</v>
      </c>
      <c r="P21" s="323"/>
      <c r="Q21" s="323"/>
      <c r="R21" s="233">
        <v>0.91700000000000004</v>
      </c>
      <c r="S21" s="214"/>
      <c r="T21" s="323"/>
      <c r="U21" s="233">
        <v>0.26600000000000001</v>
      </c>
      <c r="V21" s="214"/>
      <c r="W21" s="323"/>
    </row>
    <row r="22" spans="2:23" ht="14.45" customHeight="1">
      <c r="B22" s="98"/>
      <c r="C22" s="98"/>
      <c r="D22" s="324">
        <f t="shared" si="0"/>
        <v>46130</v>
      </c>
      <c r="E22" s="324" t="s">
        <v>527</v>
      </c>
      <c r="F22" s="229">
        <v>361.94200442831516</v>
      </c>
      <c r="G22" s="93"/>
      <c r="H22" s="93"/>
      <c r="I22" s="90">
        <f t="shared" si="1"/>
        <v>0.98891258040523267</v>
      </c>
      <c r="J22" s="214"/>
      <c r="K22" s="214"/>
      <c r="L22" s="248">
        <v>2.428008170544249E-3</v>
      </c>
      <c r="M22" s="323"/>
      <c r="N22" s="323"/>
      <c r="O22" s="248">
        <v>1.8779720206660803E-3</v>
      </c>
      <c r="P22" s="323"/>
      <c r="Q22" s="323"/>
      <c r="R22" s="233">
        <v>0.91700000000000004</v>
      </c>
      <c r="S22" s="214"/>
      <c r="T22" s="323"/>
      <c r="U22" s="233">
        <v>0.26800000000000002</v>
      </c>
      <c r="V22" s="214"/>
      <c r="W22" s="323"/>
    </row>
    <row r="23" spans="2:23" ht="14.45" customHeight="1">
      <c r="B23" s="98"/>
      <c r="C23" s="98"/>
      <c r="D23" s="324">
        <f t="shared" si="0"/>
        <v>46131</v>
      </c>
      <c r="E23" s="324" t="s">
        <v>528</v>
      </c>
      <c r="F23" s="229">
        <v>371.6417589693329</v>
      </c>
      <c r="G23" s="93"/>
      <c r="H23" s="93"/>
      <c r="I23" s="90">
        <f t="shared" si="1"/>
        <v>1.0154146419927128</v>
      </c>
      <c r="J23" s="214"/>
      <c r="K23" s="214"/>
      <c r="L23" s="248">
        <v>2.4100957214170525E-3</v>
      </c>
      <c r="M23" s="323"/>
      <c r="N23" s="323"/>
      <c r="O23" s="248">
        <v>1.8666751348897538E-3</v>
      </c>
      <c r="P23" s="323"/>
      <c r="Q23" s="323"/>
      <c r="R23" s="233">
        <v>0.91700000000000004</v>
      </c>
      <c r="S23" s="214"/>
      <c r="T23" s="323"/>
      <c r="U23" s="233">
        <v>0.27</v>
      </c>
      <c r="V23" s="214"/>
      <c r="W23" s="323"/>
    </row>
    <row r="24" spans="2:23" ht="14.45" customHeight="1">
      <c r="B24" s="98"/>
      <c r="C24" s="98"/>
      <c r="D24" s="324">
        <f t="shared" si="0"/>
        <v>46132</v>
      </c>
      <c r="E24" s="324" t="s">
        <v>522</v>
      </c>
      <c r="F24" s="229">
        <v>358.99995676154555</v>
      </c>
      <c r="G24" s="93"/>
      <c r="H24" s="93"/>
      <c r="I24" s="90">
        <f t="shared" si="1"/>
        <v>0.98087419880203697</v>
      </c>
      <c r="J24" s="214"/>
      <c r="K24" s="214"/>
      <c r="L24" s="248">
        <v>2.4257606718043755E-3</v>
      </c>
      <c r="M24" s="323"/>
      <c r="N24" s="323"/>
      <c r="O24" s="248">
        <v>1.66795198554106E-3</v>
      </c>
      <c r="P24" s="323"/>
      <c r="Q24" s="323"/>
      <c r="R24" s="233">
        <v>0.91700000000000004</v>
      </c>
      <c r="S24" s="214"/>
      <c r="T24" s="323"/>
      <c r="U24" s="233">
        <v>0.27400000000000002</v>
      </c>
      <c r="V24" s="214"/>
      <c r="W24" s="323"/>
    </row>
    <row r="25" spans="2:23" ht="14.45" customHeight="1">
      <c r="B25" s="98"/>
      <c r="C25" s="98"/>
      <c r="D25" s="473">
        <f t="shared" si="0"/>
        <v>46133</v>
      </c>
      <c r="E25" s="473" t="s">
        <v>523</v>
      </c>
      <c r="F25" s="229">
        <v>368.3</v>
      </c>
      <c r="G25" s="93">
        <f>AVERAGE(F25:F31)</f>
        <v>364.98571428571432</v>
      </c>
      <c r="H25" s="93"/>
      <c r="I25" s="90">
        <f t="shared" si="1"/>
        <v>1.0062841530054645</v>
      </c>
      <c r="J25" s="214">
        <f>AVERAGE(I25:I31)</f>
        <v>0.99722872755659642</v>
      </c>
      <c r="K25" s="214"/>
      <c r="L25" s="248">
        <v>2.4168346444928663E-3</v>
      </c>
      <c r="M25" s="323">
        <f>AVERAGE(L25:L31)</f>
        <v>2.4237572678222192E-3</v>
      </c>
      <c r="N25" s="323"/>
      <c r="O25" s="248">
        <v>1.6793367286337475E-3</v>
      </c>
      <c r="P25" s="323">
        <f>AVERAGE(O25:O31)</f>
        <v>1.8163598427846774E-3</v>
      </c>
      <c r="Q25" s="323"/>
      <c r="R25" s="233">
        <v>0.91700000000000004</v>
      </c>
      <c r="S25" s="214">
        <f>AVERAGE(R25:R31)</f>
        <v>0.91699999999999993</v>
      </c>
      <c r="T25" s="323"/>
      <c r="U25" s="233">
        <v>0.27400000000000002</v>
      </c>
      <c r="V25" s="214">
        <f>AVERAGE(U25:U31)</f>
        <v>0.2831428571428572</v>
      </c>
      <c r="W25" s="323"/>
    </row>
    <row r="26" spans="2:23" ht="14.45" customHeight="1">
      <c r="B26" s="98"/>
      <c r="C26" s="98"/>
      <c r="D26" s="473">
        <f t="shared" si="0"/>
        <v>46134</v>
      </c>
      <c r="E26" s="473" t="s">
        <v>524</v>
      </c>
      <c r="F26" s="229">
        <v>364.2</v>
      </c>
      <c r="G26" s="93"/>
      <c r="H26" s="93"/>
      <c r="I26" s="90">
        <f t="shared" si="1"/>
        <v>0.9950819672131147</v>
      </c>
      <c r="J26" s="214"/>
      <c r="K26" s="214"/>
      <c r="L26" s="248">
        <v>2.4396129338339345E-3</v>
      </c>
      <c r="M26" s="323"/>
      <c r="N26" s="323"/>
      <c r="O26" s="248">
        <v>1.9628108158731162E-3</v>
      </c>
      <c r="P26" s="323"/>
      <c r="Q26" s="323"/>
      <c r="R26" s="233">
        <v>0.91700000000000004</v>
      </c>
      <c r="S26" s="214"/>
      <c r="T26" s="323"/>
      <c r="U26" s="233">
        <v>0.27600000000000002</v>
      </c>
      <c r="V26" s="214"/>
      <c r="W26" s="323"/>
    </row>
    <row r="27" spans="2:23" ht="14.45" customHeight="1">
      <c r="B27" s="98"/>
      <c r="C27" s="98"/>
      <c r="D27" s="473">
        <f t="shared" si="0"/>
        <v>46135</v>
      </c>
      <c r="E27" s="473" t="s">
        <v>525</v>
      </c>
      <c r="F27" s="229">
        <v>369</v>
      </c>
      <c r="G27" s="93"/>
      <c r="H27" s="93"/>
      <c r="I27" s="90">
        <f t="shared" si="1"/>
        <v>1.0081967213114753</v>
      </c>
      <c r="J27" s="214"/>
      <c r="K27" s="214"/>
      <c r="L27" s="248">
        <v>2.4389564918024537E-3</v>
      </c>
      <c r="M27" s="323"/>
      <c r="N27" s="323"/>
      <c r="O27" s="248">
        <v>1.7344425990821971E-3</v>
      </c>
      <c r="P27" s="323"/>
      <c r="Q27" s="323"/>
      <c r="R27" s="233">
        <v>0.91700000000000004</v>
      </c>
      <c r="S27" s="214"/>
      <c r="T27" s="323"/>
      <c r="U27" s="233">
        <v>0.27800000000000002</v>
      </c>
      <c r="V27" s="214"/>
      <c r="W27" s="323"/>
    </row>
    <row r="28" spans="2:23" ht="14.45" customHeight="1">
      <c r="B28" s="98"/>
      <c r="C28" s="98"/>
      <c r="D28" s="473">
        <f t="shared" si="0"/>
        <v>46136</v>
      </c>
      <c r="E28" s="473" t="s">
        <v>526</v>
      </c>
      <c r="F28" s="229">
        <v>366.5</v>
      </c>
      <c r="G28" s="93"/>
      <c r="H28" s="93"/>
      <c r="I28" s="90">
        <f t="shared" si="1"/>
        <v>1.0013661202185793</v>
      </c>
      <c r="J28" s="214"/>
      <c r="K28" s="214"/>
      <c r="L28" s="248">
        <v>2.4158170279665815E-3</v>
      </c>
      <c r="M28" s="323"/>
      <c r="N28" s="323"/>
      <c r="O28" s="248">
        <v>2.0992425219640769E-3</v>
      </c>
      <c r="P28" s="323"/>
      <c r="Q28" s="323"/>
      <c r="R28" s="233">
        <v>0.91700000000000004</v>
      </c>
      <c r="S28" s="214"/>
      <c r="T28" s="323"/>
      <c r="U28" s="233">
        <v>0.28000000000000003</v>
      </c>
      <c r="V28" s="214"/>
      <c r="W28" s="323"/>
    </row>
    <row r="29" spans="2:23" ht="14.45" customHeight="1">
      <c r="B29" s="98"/>
      <c r="C29" s="98"/>
      <c r="D29" s="473">
        <f t="shared" si="0"/>
        <v>46137</v>
      </c>
      <c r="E29" s="473" t="s">
        <v>527</v>
      </c>
      <c r="F29" s="229">
        <v>364.4</v>
      </c>
      <c r="G29" s="93"/>
      <c r="H29" s="93"/>
      <c r="I29" s="90">
        <f t="shared" si="1"/>
        <v>0.99562841530054635</v>
      </c>
      <c r="J29" s="214"/>
      <c r="K29" s="214"/>
      <c r="L29" s="248">
        <v>2.4118685062659703E-3</v>
      </c>
      <c r="M29" s="323"/>
      <c r="N29" s="323"/>
      <c r="O29" s="248">
        <v>1.8030123345318602E-3</v>
      </c>
      <c r="P29" s="323"/>
      <c r="Q29" s="323"/>
      <c r="R29" s="233">
        <v>0.91700000000000004</v>
      </c>
      <c r="S29" s="214"/>
      <c r="T29" s="323"/>
      <c r="U29" s="233">
        <v>0.28999999999999998</v>
      </c>
      <c r="V29" s="214"/>
      <c r="W29" s="323"/>
    </row>
    <row r="30" spans="2:23" ht="14.45" customHeight="1">
      <c r="B30" s="98"/>
      <c r="C30" s="98"/>
      <c r="D30" s="473">
        <f t="shared" si="0"/>
        <v>46138</v>
      </c>
      <c r="E30" s="473" t="s">
        <v>528</v>
      </c>
      <c r="F30" s="229">
        <v>363.8</v>
      </c>
      <c r="G30" s="93"/>
      <c r="H30" s="93"/>
      <c r="I30" s="90">
        <f t="shared" si="1"/>
        <v>0.9939890710382514</v>
      </c>
      <c r="J30" s="214"/>
      <c r="K30" s="214"/>
      <c r="L30" s="248">
        <v>2.4276087746964133E-3</v>
      </c>
      <c r="M30" s="323"/>
      <c r="N30" s="323"/>
      <c r="O30" s="248">
        <v>1.6675610212144817E-3</v>
      </c>
      <c r="P30" s="323"/>
      <c r="Q30" s="323"/>
      <c r="R30" s="233">
        <v>0.91700000000000004</v>
      </c>
      <c r="S30" s="214"/>
      <c r="T30" s="323"/>
      <c r="U30" s="233">
        <v>0.29199999999999998</v>
      </c>
      <c r="V30" s="214"/>
      <c r="W30" s="323"/>
    </row>
    <row r="31" spans="2:23" ht="14.45" customHeight="1">
      <c r="B31" s="98"/>
      <c r="C31" s="98"/>
      <c r="D31" s="473">
        <f t="shared" si="0"/>
        <v>46139</v>
      </c>
      <c r="E31" s="473" t="s">
        <v>522</v>
      </c>
      <c r="F31" s="229">
        <v>358.7</v>
      </c>
      <c r="G31" s="93"/>
      <c r="H31" s="93"/>
      <c r="I31" s="90">
        <f t="shared" si="1"/>
        <v>0.98005464480874316</v>
      </c>
      <c r="J31" s="214"/>
      <c r="K31" s="214"/>
      <c r="L31" s="248">
        <v>2.415602495697315E-3</v>
      </c>
      <c r="M31" s="323"/>
      <c r="N31" s="323"/>
      <c r="O31" s="248">
        <v>1.7681128781932625E-3</v>
      </c>
      <c r="P31" s="323"/>
      <c r="Q31" s="323"/>
      <c r="R31" s="233">
        <v>0.91700000000000004</v>
      </c>
      <c r="S31" s="214"/>
      <c r="T31" s="323"/>
      <c r="U31" s="233">
        <v>0.29199999999999998</v>
      </c>
      <c r="V31" s="214"/>
      <c r="W31" s="323"/>
    </row>
    <row r="32" spans="2:23" ht="14.45" customHeight="1">
      <c r="B32" s="98"/>
      <c r="C32" s="98"/>
      <c r="D32" s="324">
        <f t="shared" si="0"/>
        <v>46140</v>
      </c>
      <c r="E32" s="324" t="s">
        <v>523</v>
      </c>
      <c r="F32" s="229"/>
      <c r="G32" s="93" t="e">
        <f>AVERAGE(F32:F38)</f>
        <v>#DIV/0!</v>
      </c>
      <c r="H32" s="93"/>
      <c r="I32" s="90">
        <f t="shared" si="1"/>
        <v>0</v>
      </c>
      <c r="J32" s="214">
        <f>AVERAGE(I32:I38)</f>
        <v>0</v>
      </c>
      <c r="K32" s="214"/>
      <c r="L32" s="248"/>
      <c r="M32" s="323" t="e">
        <f>AVERAGE(L32:L38)</f>
        <v>#DIV/0!</v>
      </c>
      <c r="N32" s="323"/>
      <c r="O32" s="248"/>
      <c r="P32" s="323" t="e">
        <f>AVERAGE(O32:O38)</f>
        <v>#DIV/0!</v>
      </c>
      <c r="Q32" s="323"/>
      <c r="R32" s="233"/>
      <c r="S32" s="214" t="e">
        <f>AVERAGE(R32:R38)</f>
        <v>#DIV/0!</v>
      </c>
      <c r="T32" s="323"/>
      <c r="U32" s="233"/>
      <c r="V32" s="214" t="e">
        <f>AVERAGE(U32:U38)</f>
        <v>#DIV/0!</v>
      </c>
      <c r="W32" s="323"/>
    </row>
    <row r="33" spans="2:23" ht="14.45" customHeight="1">
      <c r="B33" s="98"/>
      <c r="C33" s="98"/>
      <c r="D33" s="324">
        <f t="shared" si="0"/>
        <v>46141</v>
      </c>
      <c r="E33" s="324" t="s">
        <v>524</v>
      </c>
      <c r="F33" s="229"/>
      <c r="G33" s="93"/>
      <c r="H33" s="93"/>
      <c r="I33" s="90">
        <f t="shared" si="1"/>
        <v>0</v>
      </c>
      <c r="J33" s="214"/>
      <c r="K33" s="214"/>
      <c r="L33" s="248"/>
      <c r="M33" s="323"/>
      <c r="N33" s="323"/>
      <c r="O33" s="248"/>
      <c r="P33" s="323"/>
      <c r="Q33" s="323"/>
      <c r="R33" s="233"/>
      <c r="S33" s="214"/>
      <c r="T33" s="323"/>
      <c r="U33" s="233"/>
      <c r="V33" s="214"/>
      <c r="W33" s="323"/>
    </row>
    <row r="34" spans="2:23" ht="14.45" customHeight="1">
      <c r="B34" s="98"/>
      <c r="C34" s="98"/>
      <c r="D34" s="324">
        <f t="shared" si="0"/>
        <v>46142</v>
      </c>
      <c r="E34" s="324" t="s">
        <v>525</v>
      </c>
      <c r="F34" s="229"/>
      <c r="G34" s="93"/>
      <c r="H34" s="93"/>
      <c r="I34" s="90">
        <f t="shared" si="1"/>
        <v>0</v>
      </c>
      <c r="J34" s="214"/>
      <c r="K34" s="214"/>
      <c r="L34" s="248"/>
      <c r="M34" s="323"/>
      <c r="N34" s="323"/>
      <c r="O34" s="248"/>
      <c r="P34" s="323"/>
      <c r="Q34" s="323"/>
      <c r="R34" s="233"/>
      <c r="S34" s="214"/>
      <c r="T34" s="323"/>
      <c r="U34" s="233"/>
      <c r="V34" s="214"/>
      <c r="W34" s="323"/>
    </row>
    <row r="35" spans="2:23">
      <c r="B35" s="98"/>
      <c r="D35" s="324">
        <f>D34+1</f>
        <v>46143</v>
      </c>
      <c r="E35" s="324" t="s">
        <v>526</v>
      </c>
      <c r="F35" s="229"/>
      <c r="G35" s="93"/>
      <c r="I35" s="90">
        <f t="shared" si="1"/>
        <v>0</v>
      </c>
      <c r="J35" s="214"/>
      <c r="L35" s="248"/>
      <c r="M35" s="323"/>
      <c r="O35" s="248"/>
      <c r="P35" s="323"/>
      <c r="R35" s="233"/>
      <c r="S35" s="214"/>
      <c r="U35" s="233"/>
      <c r="V35" s="214"/>
    </row>
    <row r="36" spans="2:23">
      <c r="B36" s="98"/>
      <c r="C36" s="98"/>
      <c r="D36" s="324">
        <f t="shared" ref="D36:D38" si="2">D35+1</f>
        <v>46144</v>
      </c>
      <c r="E36" s="324" t="s">
        <v>527</v>
      </c>
      <c r="F36" s="229"/>
      <c r="G36" s="93"/>
      <c r="H36" s="93"/>
      <c r="I36" s="90">
        <f t="shared" si="1"/>
        <v>0</v>
      </c>
      <c r="J36" s="214"/>
      <c r="K36" s="214"/>
      <c r="L36" s="248"/>
      <c r="M36" s="214"/>
      <c r="N36" s="323"/>
      <c r="O36" s="248"/>
      <c r="P36" s="214"/>
      <c r="Q36" s="323"/>
      <c r="R36" s="233"/>
      <c r="S36" s="214"/>
      <c r="T36" s="214"/>
      <c r="U36" s="233"/>
      <c r="V36" s="214"/>
      <c r="W36" s="214"/>
    </row>
    <row r="37" spans="2:23">
      <c r="B37" s="98"/>
      <c r="D37" s="324">
        <f t="shared" si="2"/>
        <v>46145</v>
      </c>
      <c r="E37" s="324" t="s">
        <v>528</v>
      </c>
      <c r="F37" s="229"/>
      <c r="G37" s="93"/>
      <c r="H37" s="93"/>
      <c r="I37" s="90">
        <f t="shared" si="1"/>
        <v>0</v>
      </c>
      <c r="J37" s="214"/>
      <c r="K37" s="87"/>
      <c r="L37" s="248"/>
      <c r="M37" s="214"/>
      <c r="N37" s="90"/>
      <c r="O37" s="248"/>
      <c r="P37" s="214"/>
      <c r="Q37" s="90"/>
      <c r="R37" s="233"/>
      <c r="S37" s="214"/>
      <c r="T37" s="214"/>
      <c r="U37" s="233"/>
      <c r="V37" s="214"/>
      <c r="W37" s="214"/>
    </row>
    <row r="38" spans="2:23">
      <c r="B38" s="98"/>
      <c r="D38" s="324">
        <f t="shared" si="2"/>
        <v>46146</v>
      </c>
      <c r="E38" s="324" t="s">
        <v>522</v>
      </c>
      <c r="F38" s="229"/>
      <c r="G38" s="93"/>
      <c r="H38" s="93"/>
      <c r="I38" s="90">
        <f t="shared" si="1"/>
        <v>0</v>
      </c>
      <c r="J38" s="214"/>
      <c r="K38" s="87"/>
      <c r="L38" s="248"/>
      <c r="M38" s="214"/>
      <c r="N38" s="90"/>
      <c r="O38" s="248"/>
      <c r="P38" s="214"/>
      <c r="Q38" s="90"/>
      <c r="R38" s="233"/>
      <c r="S38" s="214"/>
      <c r="T38" s="214"/>
      <c r="U38" s="233"/>
      <c r="V38" s="214"/>
      <c r="W38" s="214"/>
    </row>
    <row r="39" spans="2:23">
      <c r="B39" s="98"/>
      <c r="D39" s="324"/>
      <c r="E39" s="494"/>
      <c r="F39" s="229"/>
      <c r="G39" s="93"/>
      <c r="H39" s="93"/>
      <c r="I39" s="90">
        <f t="shared" si="1"/>
        <v>0</v>
      </c>
      <c r="J39" s="214"/>
      <c r="K39" s="87"/>
      <c r="L39" s="248"/>
      <c r="M39" s="214"/>
      <c r="N39" s="90"/>
      <c r="O39" s="248"/>
      <c r="P39" s="214"/>
      <c r="Q39" s="90"/>
      <c r="R39" s="233"/>
      <c r="S39" s="214"/>
      <c r="T39" s="214"/>
      <c r="U39" s="233"/>
      <c r="V39" s="214"/>
      <c r="W39" s="214"/>
    </row>
    <row r="40" spans="2:23">
      <c r="B40" s="98"/>
      <c r="D40" s="324"/>
      <c r="E40" s="494"/>
      <c r="F40" s="229"/>
      <c r="G40" s="93"/>
      <c r="H40" s="93"/>
      <c r="I40" s="90">
        <f t="shared" si="1"/>
        <v>0</v>
      </c>
      <c r="J40" s="214"/>
      <c r="K40" s="87"/>
      <c r="L40" s="248"/>
      <c r="M40" s="214"/>
      <c r="N40" s="90"/>
      <c r="O40" s="248"/>
      <c r="P40" s="214"/>
      <c r="Q40" s="90"/>
      <c r="R40" s="233"/>
      <c r="S40" s="214"/>
      <c r="T40" s="214"/>
      <c r="U40" s="233"/>
      <c r="V40" s="214"/>
      <c r="W40" s="214"/>
    </row>
    <row r="41" spans="2:23">
      <c r="B41" s="98"/>
      <c r="D41" s="324"/>
      <c r="E41" s="494"/>
      <c r="F41" s="229"/>
      <c r="L41" s="248"/>
      <c r="O41" s="248"/>
      <c r="R41" s="233"/>
      <c r="U41" s="233"/>
    </row>
    <row r="42" spans="2:23">
      <c r="B42" s="98"/>
      <c r="D42" s="86"/>
      <c r="E42" s="86"/>
      <c r="F42" s="308"/>
      <c r="G42" s="93"/>
      <c r="H42" s="93"/>
      <c r="I42" s="90"/>
      <c r="J42" s="214"/>
      <c r="K42" s="87"/>
      <c r="L42" s="314"/>
      <c r="M42" s="90"/>
      <c r="N42" s="90"/>
      <c r="O42" s="314"/>
      <c r="P42" s="90"/>
      <c r="Q42" s="90"/>
      <c r="R42" s="313"/>
      <c r="S42" s="214"/>
      <c r="T42" s="214"/>
      <c r="U42" s="313"/>
      <c r="V42" s="214"/>
      <c r="W42" s="214"/>
    </row>
    <row r="43" spans="2:23">
      <c r="B43" s="98"/>
      <c r="D43" s="86"/>
      <c r="E43" s="86"/>
      <c r="F43" s="308"/>
      <c r="G43" s="93"/>
      <c r="H43" s="93"/>
      <c r="I43" s="90"/>
      <c r="J43" s="214"/>
      <c r="K43" s="87"/>
      <c r="L43" s="314"/>
      <c r="M43" s="90"/>
      <c r="N43" s="90"/>
      <c r="O43" s="314"/>
      <c r="P43" s="90"/>
      <c r="Q43" s="90"/>
      <c r="R43" s="313"/>
      <c r="S43" s="214"/>
      <c r="T43" s="214"/>
      <c r="U43" s="313"/>
      <c r="V43" s="214"/>
      <c r="W43" s="214"/>
    </row>
    <row r="44" spans="2:23">
      <c r="B44" s="98"/>
      <c r="D44" s="86"/>
      <c r="E44" s="86"/>
      <c r="F44" s="308"/>
      <c r="G44" s="93"/>
      <c r="H44" s="93"/>
      <c r="I44" s="90"/>
      <c r="J44" s="214"/>
      <c r="K44" s="87"/>
      <c r="L44" s="314"/>
      <c r="M44" s="90"/>
      <c r="N44" s="90"/>
      <c r="O44" s="314"/>
      <c r="P44" s="90"/>
      <c r="Q44" s="90"/>
      <c r="R44" s="313"/>
      <c r="S44" s="214"/>
      <c r="T44" s="214"/>
      <c r="U44" s="313"/>
      <c r="V44" s="214"/>
      <c r="W44" s="214"/>
    </row>
    <row r="45" spans="2:23">
      <c r="B45" s="98"/>
    </row>
    <row r="46" spans="2:23">
      <c r="B46" s="98"/>
    </row>
    <row r="47" spans="2:23">
      <c r="B47" s="98"/>
    </row>
    <row r="48" spans="2:23">
      <c r="B48" s="98"/>
    </row>
    <row r="49" spans="2:2">
      <c r="B49" s="98"/>
    </row>
    <row r="50" spans="2:2">
      <c r="B50" s="98"/>
    </row>
  </sheetData>
  <mergeCells count="9">
    <mergeCell ref="B2:U2"/>
    <mergeCell ref="F3:H3"/>
    <mergeCell ref="L3:N3"/>
    <mergeCell ref="R3:T3"/>
    <mergeCell ref="C3:C4"/>
    <mergeCell ref="D3:E4"/>
    <mergeCell ref="I3:K3"/>
    <mergeCell ref="O3:Q3"/>
    <mergeCell ref="U3:W3"/>
  </mergeCells>
  <phoneticPr fontId="1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2:AT102"/>
  <sheetViews>
    <sheetView zoomScale="70" zoomScaleNormal="7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AK27" sqref="AK27:AK33"/>
    </sheetView>
  </sheetViews>
  <sheetFormatPr defaultColWidth="8.85546875" defaultRowHeight="16.5"/>
  <cols>
    <col min="1" max="1" width="0" style="77" hidden="1" customWidth="1"/>
    <col min="2" max="2" width="13.140625" style="77" hidden="1" customWidth="1"/>
    <col min="3" max="3" width="0" style="103" hidden="1" customWidth="1"/>
    <col min="4" max="4" width="11" style="103" bestFit="1" customWidth="1"/>
    <col min="5" max="5" width="8.5703125" style="84" customWidth="1"/>
    <col min="6" max="8" width="17.42578125" style="102" customWidth="1"/>
    <col min="9" max="9" width="10.5703125" style="97" customWidth="1"/>
    <col min="10" max="10" width="10.5703125" style="90" customWidth="1"/>
    <col min="11" max="11" width="10.5703125" style="97" customWidth="1"/>
    <col min="12" max="14" width="10.5703125" style="90" customWidth="1"/>
    <col min="15" max="15" width="10.5703125" style="97" customWidth="1"/>
    <col min="16" max="16" width="10.5703125" style="90" customWidth="1"/>
    <col min="17" max="17" width="10.5703125" style="97" customWidth="1"/>
    <col min="18" max="18" width="10.5703125" style="90" customWidth="1"/>
    <col min="19" max="19" width="10.5703125" style="97" customWidth="1"/>
    <col min="20" max="20" width="10.5703125" style="90" customWidth="1"/>
    <col min="21" max="21" width="10.5703125" style="97" customWidth="1"/>
    <col min="22" max="22" width="10.5703125" style="90" customWidth="1"/>
    <col min="23" max="23" width="10.5703125" style="97" customWidth="1"/>
    <col min="24" max="24" width="10.5703125" style="90" customWidth="1"/>
    <col min="25" max="25" width="10.5703125" style="97" customWidth="1"/>
    <col min="26" max="26" width="10.5703125" style="90" customWidth="1"/>
    <col min="27" max="27" width="10.5703125" style="97" customWidth="1"/>
    <col min="28" max="28" width="10.5703125" style="90" customWidth="1"/>
    <col min="29" max="29" width="10.5703125" style="97" customWidth="1"/>
    <col min="30" max="30" width="10.5703125" style="90" customWidth="1"/>
    <col min="31" max="31" width="10.5703125" style="97" customWidth="1"/>
    <col min="32" max="32" width="10.5703125" style="90" customWidth="1"/>
    <col min="33" max="33" width="10.42578125" style="97" customWidth="1"/>
    <col min="34" max="34" width="10.42578125" style="90" customWidth="1"/>
    <col min="35" max="35" width="10.42578125" style="97" customWidth="1"/>
    <col min="36" max="36" width="10.42578125" style="90" customWidth="1"/>
    <col min="37" max="37" width="10.42578125" style="97" customWidth="1"/>
    <col min="38" max="38" width="10.42578125" style="90" customWidth="1"/>
    <col min="39" max="16384" width="8.85546875" style="77"/>
  </cols>
  <sheetData>
    <row r="2" spans="1:38" ht="38.1" customHeight="1">
      <c r="A2" s="75"/>
      <c r="B2" s="586" t="s">
        <v>319</v>
      </c>
      <c r="C2" s="586"/>
      <c r="D2" s="586"/>
      <c r="E2" s="586"/>
      <c r="F2" s="586"/>
      <c r="G2" s="586"/>
      <c r="H2" s="586"/>
      <c r="I2" s="586"/>
      <c r="J2" s="586"/>
      <c r="K2" s="586"/>
      <c r="L2" s="586"/>
      <c r="M2" s="586"/>
      <c r="N2" s="586"/>
      <c r="O2" s="586"/>
      <c r="P2" s="586"/>
      <c r="Q2" s="586"/>
      <c r="R2" s="586"/>
      <c r="S2" s="586"/>
      <c r="T2" s="586"/>
      <c r="U2" s="586"/>
      <c r="V2" s="586"/>
      <c r="W2" s="586"/>
      <c r="X2" s="586"/>
      <c r="Y2" s="586"/>
      <c r="Z2" s="586"/>
      <c r="AA2" s="586"/>
      <c r="AB2" s="586"/>
      <c r="AC2" s="586"/>
      <c r="AD2" s="586"/>
      <c r="AE2" s="586"/>
      <c r="AF2" s="586"/>
      <c r="AG2" s="586"/>
      <c r="AH2" s="586"/>
      <c r="AI2" s="586"/>
      <c r="AJ2" s="586"/>
      <c r="AK2" s="586"/>
      <c r="AL2" s="586"/>
    </row>
    <row r="3" spans="1:38" ht="25.35" customHeight="1">
      <c r="B3" s="98"/>
      <c r="C3" s="587" t="s">
        <v>139</v>
      </c>
      <c r="D3" s="588" t="s">
        <v>105</v>
      </c>
      <c r="E3" s="588"/>
      <c r="F3" s="589" t="s">
        <v>357</v>
      </c>
      <c r="G3" s="589"/>
      <c r="H3" s="589"/>
      <c r="I3" s="590" t="s">
        <v>111</v>
      </c>
      <c r="J3" s="590"/>
      <c r="K3" s="590"/>
      <c r="L3" s="590"/>
      <c r="M3" s="590"/>
      <c r="N3" s="590"/>
      <c r="O3" s="590"/>
      <c r="P3" s="590"/>
      <c r="Q3" s="590"/>
      <c r="R3" s="590"/>
      <c r="S3" s="590"/>
      <c r="T3" s="590"/>
      <c r="U3" s="590"/>
      <c r="V3" s="590"/>
      <c r="W3" s="590"/>
      <c r="X3" s="590"/>
      <c r="Y3" s="590"/>
      <c r="Z3" s="590"/>
      <c r="AA3" s="590"/>
      <c r="AB3" s="590"/>
      <c r="AC3" s="590"/>
      <c r="AD3" s="590"/>
      <c r="AE3" s="590"/>
      <c r="AF3" s="590"/>
      <c r="AG3" s="590"/>
      <c r="AH3" s="590"/>
      <c r="AI3" s="590"/>
      <c r="AJ3" s="590"/>
      <c r="AK3" s="590"/>
      <c r="AL3" s="590"/>
    </row>
    <row r="4" spans="1:38" ht="25.35" customHeight="1">
      <c r="B4" s="98"/>
      <c r="C4" s="587"/>
      <c r="D4" s="588"/>
      <c r="E4" s="588"/>
      <c r="F4" s="589"/>
      <c r="G4" s="589"/>
      <c r="H4" s="589"/>
      <c r="I4" s="585" t="s">
        <v>140</v>
      </c>
      <c r="J4" s="585"/>
      <c r="K4" s="585"/>
      <c r="L4" s="585"/>
      <c r="M4" s="585"/>
      <c r="N4" s="585"/>
      <c r="O4" s="585" t="s">
        <v>141</v>
      </c>
      <c r="P4" s="585"/>
      <c r="Q4" s="585"/>
      <c r="R4" s="585"/>
      <c r="S4" s="585"/>
      <c r="T4" s="585"/>
      <c r="U4" s="585" t="s">
        <v>343</v>
      </c>
      <c r="V4" s="585"/>
      <c r="W4" s="585" t="s">
        <v>143</v>
      </c>
      <c r="X4" s="585"/>
      <c r="Y4" s="585" t="s">
        <v>134</v>
      </c>
      <c r="Z4" s="585"/>
      <c r="AA4" s="585"/>
      <c r="AB4" s="585"/>
      <c r="AC4" s="585"/>
      <c r="AD4" s="585"/>
      <c r="AE4" s="585" t="s">
        <v>132</v>
      </c>
      <c r="AF4" s="585"/>
      <c r="AG4" s="585" t="s">
        <v>144</v>
      </c>
      <c r="AH4" s="585"/>
      <c r="AI4" s="585" t="s">
        <v>145</v>
      </c>
      <c r="AJ4" s="585"/>
      <c r="AK4" s="585" t="s">
        <v>138</v>
      </c>
      <c r="AL4" s="585"/>
    </row>
    <row r="5" spans="1:38" ht="25.35" customHeight="1">
      <c r="B5" s="98"/>
      <c r="C5" s="587"/>
      <c r="D5" s="588"/>
      <c r="E5" s="588"/>
      <c r="F5" s="592" t="s">
        <v>115</v>
      </c>
      <c r="G5" s="592" t="s">
        <v>117</v>
      </c>
      <c r="H5" s="592" t="s">
        <v>118</v>
      </c>
      <c r="I5" s="585" t="s">
        <v>129</v>
      </c>
      <c r="J5" s="585"/>
      <c r="K5" s="585" t="s">
        <v>130</v>
      </c>
      <c r="L5" s="585"/>
      <c r="M5" s="591" t="s">
        <v>146</v>
      </c>
      <c r="N5" s="585"/>
      <c r="O5" s="585" t="s">
        <v>129</v>
      </c>
      <c r="P5" s="585"/>
      <c r="Q5" s="585" t="s">
        <v>130</v>
      </c>
      <c r="R5" s="585"/>
      <c r="S5" s="591" t="s">
        <v>146</v>
      </c>
      <c r="T5" s="585"/>
      <c r="U5" s="585" t="s">
        <v>129</v>
      </c>
      <c r="V5" s="585"/>
      <c r="W5" s="585" t="s">
        <v>129</v>
      </c>
      <c r="X5" s="585"/>
      <c r="Y5" s="585" t="s">
        <v>129</v>
      </c>
      <c r="Z5" s="585"/>
      <c r="AA5" s="585" t="s">
        <v>130</v>
      </c>
      <c r="AB5" s="585"/>
      <c r="AC5" s="591" t="s">
        <v>146</v>
      </c>
      <c r="AD5" s="585"/>
      <c r="AE5" s="585" t="s">
        <v>129</v>
      </c>
      <c r="AF5" s="585"/>
      <c r="AG5" s="585" t="s">
        <v>129</v>
      </c>
      <c r="AH5" s="585"/>
      <c r="AI5" s="585" t="s">
        <v>129</v>
      </c>
      <c r="AJ5" s="585"/>
      <c r="AK5" s="585" t="s">
        <v>129</v>
      </c>
      <c r="AL5" s="585"/>
    </row>
    <row r="6" spans="1:38" s="80" customFormat="1" ht="23.45" customHeight="1">
      <c r="B6" s="98"/>
      <c r="C6" s="587"/>
      <c r="D6" s="588"/>
      <c r="E6" s="588"/>
      <c r="F6" s="592"/>
      <c r="G6" s="592"/>
      <c r="H6" s="592"/>
      <c r="I6" s="99" t="s">
        <v>112</v>
      </c>
      <c r="J6" s="100" t="s">
        <v>113</v>
      </c>
      <c r="K6" s="99" t="s">
        <v>112</v>
      </c>
      <c r="L6" s="100" t="s">
        <v>113</v>
      </c>
      <c r="M6" s="99" t="s">
        <v>112</v>
      </c>
      <c r="N6" s="100" t="s">
        <v>113</v>
      </c>
      <c r="O6" s="99" t="s">
        <v>112</v>
      </c>
      <c r="P6" s="100" t="s">
        <v>113</v>
      </c>
      <c r="Q6" s="99" t="s">
        <v>112</v>
      </c>
      <c r="R6" s="100" t="s">
        <v>113</v>
      </c>
      <c r="S6" s="99" t="s">
        <v>112</v>
      </c>
      <c r="T6" s="100" t="s">
        <v>113</v>
      </c>
      <c r="U6" s="99" t="s">
        <v>112</v>
      </c>
      <c r="V6" s="100" t="s">
        <v>113</v>
      </c>
      <c r="W6" s="99" t="s">
        <v>112</v>
      </c>
      <c r="X6" s="100" t="s">
        <v>113</v>
      </c>
      <c r="Y6" s="99" t="s">
        <v>112</v>
      </c>
      <c r="Z6" s="100" t="s">
        <v>113</v>
      </c>
      <c r="AA6" s="99" t="s">
        <v>112</v>
      </c>
      <c r="AB6" s="100" t="s">
        <v>113</v>
      </c>
      <c r="AC6" s="99" t="s">
        <v>112</v>
      </c>
      <c r="AD6" s="100" t="s">
        <v>113</v>
      </c>
      <c r="AE6" s="99" t="s">
        <v>112</v>
      </c>
      <c r="AF6" s="100" t="s">
        <v>113</v>
      </c>
      <c r="AG6" s="99" t="s">
        <v>112</v>
      </c>
      <c r="AH6" s="100" t="s">
        <v>113</v>
      </c>
      <c r="AI6" s="99" t="s">
        <v>112</v>
      </c>
      <c r="AJ6" s="100" t="s">
        <v>113</v>
      </c>
      <c r="AK6" s="99" t="s">
        <v>112</v>
      </c>
      <c r="AL6" s="100" t="s">
        <v>113</v>
      </c>
    </row>
    <row r="7" spans="1:38" ht="14.25">
      <c r="B7" s="98"/>
      <c r="C7" s="83"/>
      <c r="D7" s="324">
        <v>46113</v>
      </c>
      <c r="E7" s="324" t="s">
        <v>524</v>
      </c>
      <c r="F7" s="228">
        <f t="shared" ref="F7" si="0">SUM(M7,S7,U7,W7,AC7,AE7,AG7,AI7,AK7)</f>
        <v>7706722.0000000019</v>
      </c>
      <c r="G7" s="322"/>
      <c r="I7" s="234">
        <v>508211.28209429717</v>
      </c>
      <c r="J7" s="101">
        <f t="shared" ref="J7:J8" si="1">I7/F7</f>
        <v>6.5943897041348717E-2</v>
      </c>
      <c r="K7" s="234">
        <v>711524.5637241482</v>
      </c>
      <c r="L7" s="101">
        <f t="shared" ref="L7:L8" si="2">K7/F7</f>
        <v>9.2325188805843519E-2</v>
      </c>
      <c r="M7" s="227">
        <f t="shared" ref="M7:M8" si="3">SUM(I7+K7)</f>
        <v>1219735.8458184453</v>
      </c>
      <c r="N7" s="101">
        <f t="shared" ref="N7:N8" si="4">M7/F7</f>
        <v>0.15826908584719224</v>
      </c>
      <c r="O7" s="234">
        <v>150820.05884131513</v>
      </c>
      <c r="P7" s="101">
        <f t="shared" ref="P7:P8" si="5">O7/F7</f>
        <v>1.956993632848247E-2</v>
      </c>
      <c r="Q7" s="234">
        <v>168715.45193290678</v>
      </c>
      <c r="R7" s="101">
        <f t="shared" ref="R7:R8" si="6">Q7/$F7</f>
        <v>2.1891986233953522E-2</v>
      </c>
      <c r="S7" s="227">
        <f t="shared" ref="S7:S8" si="7">SUM(O7+Q7)</f>
        <v>319535.51077422191</v>
      </c>
      <c r="T7" s="101">
        <f t="shared" ref="T7:T8" si="8">S7/F7</f>
        <v>4.1461922562435992E-2</v>
      </c>
      <c r="U7" s="234">
        <v>980045.61642958154</v>
      </c>
      <c r="V7" s="101">
        <f t="shared" ref="V7:V8" si="9">U7/F7</f>
        <v>0.12716763578984441</v>
      </c>
      <c r="W7" s="234">
        <v>63147.078440250203</v>
      </c>
      <c r="X7" s="101">
        <f t="shared" ref="X7:X8" si="10">W7/F7</f>
        <v>8.193766226451427E-3</v>
      </c>
      <c r="Y7" s="234">
        <v>836834.76942319598</v>
      </c>
      <c r="Z7" s="101">
        <f t="shared" ref="Z7:Z8" si="11">Y7/F7</f>
        <v>0.10858504684912675</v>
      </c>
      <c r="AA7" s="234">
        <v>1057575.2030284556</v>
      </c>
      <c r="AB7" s="101">
        <f t="shared" ref="AB7:AB8" si="12">AA7/$F7</f>
        <v>0.13722763102502664</v>
      </c>
      <c r="AC7" s="227">
        <f t="shared" ref="AC7:AC8" si="13">SUM(Y7+AA7)</f>
        <v>1894409.9724516515</v>
      </c>
      <c r="AD7" s="101">
        <f t="shared" ref="AD7:AD8" si="14">AC7/F7</f>
        <v>0.24581267787415337</v>
      </c>
      <c r="AE7" s="234">
        <v>1362045.6970322514</v>
      </c>
      <c r="AF7" s="101">
        <f t="shared" ref="AF7:AF8" si="15">AE7/F7</f>
        <v>0.17673476440855801</v>
      </c>
      <c r="AG7" s="234">
        <v>172357.17088303663</v>
      </c>
      <c r="AH7" s="101">
        <f t="shared" ref="AH7:AH8" si="16">AG7/F7</f>
        <v>2.2364524227425953E-2</v>
      </c>
      <c r="AI7" s="234">
        <v>1045807.4467119841</v>
      </c>
      <c r="AJ7" s="101">
        <f t="shared" ref="AJ7:AJ8" si="17">AI7/F7</f>
        <v>0.13570068398885854</v>
      </c>
      <c r="AK7" s="234">
        <v>649637.66145857843</v>
      </c>
      <c r="AL7" s="101">
        <f t="shared" ref="AL7:AL8" si="18">AK7/F7</f>
        <v>8.4294939075079942E-2</v>
      </c>
    </row>
    <row r="8" spans="1:38" ht="14.25">
      <c r="B8" s="98"/>
      <c r="C8" s="429"/>
      <c r="D8" s="324">
        <f t="shared" ref="D8:D36" si="19">D7+1</f>
        <v>46114</v>
      </c>
      <c r="E8" s="324" t="s">
        <v>525</v>
      </c>
      <c r="F8" s="228">
        <f>SUM(M8,S8,U8,W8,AC8,AE8,AG8,AI8,AK8)</f>
        <v>7008580.9999999991</v>
      </c>
      <c r="G8" s="322">
        <f>SUM(F7:F12)</f>
        <v>44423805</v>
      </c>
      <c r="I8" s="234">
        <v>437785.02877413505</v>
      </c>
      <c r="J8" s="101">
        <f t="shared" si="1"/>
        <v>6.2464146276419594E-2</v>
      </c>
      <c r="K8" s="234">
        <v>663898.1828179179</v>
      </c>
      <c r="L8" s="101">
        <f t="shared" si="2"/>
        <v>9.4726476417682545E-2</v>
      </c>
      <c r="M8" s="227">
        <f t="shared" si="3"/>
        <v>1101683.2115920531</v>
      </c>
      <c r="N8" s="101">
        <f t="shared" si="4"/>
        <v>0.15719062269410217</v>
      </c>
      <c r="O8" s="234">
        <v>125690.00442089015</v>
      </c>
      <c r="P8" s="101">
        <f t="shared" si="5"/>
        <v>1.7933730725362262E-2</v>
      </c>
      <c r="Q8" s="234">
        <v>152153.58421293308</v>
      </c>
      <c r="R8" s="101">
        <f t="shared" si="6"/>
        <v>2.1709613431439703E-2</v>
      </c>
      <c r="S8" s="227">
        <f t="shared" si="7"/>
        <v>277843.58863382321</v>
      </c>
      <c r="T8" s="101">
        <f t="shared" si="8"/>
        <v>3.9643344156801964E-2</v>
      </c>
      <c r="U8" s="234">
        <v>908987.51665638562</v>
      </c>
      <c r="V8" s="101">
        <f t="shared" si="9"/>
        <v>0.12969637030040543</v>
      </c>
      <c r="W8" s="234">
        <v>61165.377818677131</v>
      </c>
      <c r="X8" s="101">
        <f t="shared" si="10"/>
        <v>8.7272128008047765E-3</v>
      </c>
      <c r="Y8" s="234">
        <v>730280.96938126232</v>
      </c>
      <c r="Z8" s="101">
        <f t="shared" si="11"/>
        <v>0.10419812075814811</v>
      </c>
      <c r="AA8" s="234">
        <v>966710.09229144512</v>
      </c>
      <c r="AB8" s="101">
        <f t="shared" si="12"/>
        <v>0.13793235639160698</v>
      </c>
      <c r="AC8" s="227">
        <f t="shared" si="13"/>
        <v>1696991.0616727076</v>
      </c>
      <c r="AD8" s="101">
        <f t="shared" si="14"/>
        <v>0.24213047714975511</v>
      </c>
      <c r="AE8" s="234">
        <v>1223746.9575030864</v>
      </c>
      <c r="AF8" s="101">
        <f t="shared" si="15"/>
        <v>0.17460695075124144</v>
      </c>
      <c r="AG8" s="234">
        <v>134891.55553528428</v>
      </c>
      <c r="AH8" s="101">
        <f t="shared" si="16"/>
        <v>1.924662860217843E-2</v>
      </c>
      <c r="AI8" s="234">
        <v>1020442.2673896964</v>
      </c>
      <c r="AJ8" s="101">
        <f t="shared" si="17"/>
        <v>0.14559898321638812</v>
      </c>
      <c r="AK8" s="234">
        <v>582829.4631982852</v>
      </c>
      <c r="AL8" s="101">
        <f t="shared" si="18"/>
        <v>8.3159410328322567E-2</v>
      </c>
    </row>
    <row r="9" spans="1:38" ht="14.25">
      <c r="B9" s="98"/>
      <c r="C9" s="98"/>
      <c r="D9" s="324">
        <f t="shared" si="19"/>
        <v>46115</v>
      </c>
      <c r="E9" s="324" t="s">
        <v>526</v>
      </c>
      <c r="F9" s="228">
        <f t="shared" ref="F9:F45" si="20">SUM(M9,S9,U9,W9,AC9,AE9,AG9,AI9,AK9)</f>
        <v>6828155.0000000009</v>
      </c>
      <c r="I9" s="234">
        <v>425390.98145621491</v>
      </c>
      <c r="J9" s="101">
        <f t="shared" ref="J9:J13" si="21">I9/F9</f>
        <v>6.2299549652316745E-2</v>
      </c>
      <c r="K9" s="234">
        <v>629847.28558710555</v>
      </c>
      <c r="L9" s="101">
        <f t="shared" ref="L9:L13" si="22">K9/F9</f>
        <v>9.2242675449972278E-2</v>
      </c>
      <c r="M9" s="227">
        <f t="shared" ref="M9:M13" si="23">SUM(I9+K9)</f>
        <v>1055238.2670433205</v>
      </c>
      <c r="N9" s="101">
        <f t="shared" ref="N9:N13" si="24">M9/F9</f>
        <v>0.15454222510228902</v>
      </c>
      <c r="O9" s="234">
        <v>122096.70294205184</v>
      </c>
      <c r="P9" s="101">
        <f t="shared" ref="P9:P13" si="25">O9/F9</f>
        <v>1.7881360769058673E-2</v>
      </c>
      <c r="Q9" s="234">
        <v>135963.33446196871</v>
      </c>
      <c r="R9" s="101">
        <f t="shared" ref="R9:R14" si="26">Q9/$F9</f>
        <v>1.9912162870053287E-2</v>
      </c>
      <c r="S9" s="227">
        <f t="shared" ref="S9:S14" si="27">SUM(O9+Q9)</f>
        <v>258060.03740402055</v>
      </c>
      <c r="T9" s="101">
        <f t="shared" ref="T9:T13" si="28">S9/F9</f>
        <v>3.779352363911196E-2</v>
      </c>
      <c r="U9" s="234">
        <v>803416.94088735501</v>
      </c>
      <c r="V9" s="101">
        <f t="shared" ref="V9:V13" si="29">U9/F9</f>
        <v>0.11766237598404765</v>
      </c>
      <c r="W9" s="234">
        <v>50207.735030128781</v>
      </c>
      <c r="X9" s="101">
        <f t="shared" ref="X9:X13" si="30">W9/F9</f>
        <v>7.3530455928620215E-3</v>
      </c>
      <c r="Y9" s="234">
        <v>756788.96673269907</v>
      </c>
      <c r="Z9" s="101">
        <f t="shared" ref="Z9:Z13" si="31">Y9/F9</f>
        <v>0.11083359512675078</v>
      </c>
      <c r="AA9" s="234">
        <v>1086098.4139293155</v>
      </c>
      <c r="AB9" s="101">
        <f t="shared" ref="AB9:AB14" si="32">AA9/$F9</f>
        <v>0.15906176909125749</v>
      </c>
      <c r="AC9" s="227">
        <f t="shared" ref="AC9:AC13" si="33">SUM(Y9+AA9)</f>
        <v>1842887.3806620147</v>
      </c>
      <c r="AD9" s="101">
        <f t="shared" ref="AD9:AD13" si="34">AC9/F9</f>
        <v>0.2698953642180083</v>
      </c>
      <c r="AE9" s="234">
        <v>1018337.6218503419</v>
      </c>
      <c r="AF9" s="101">
        <f t="shared" ref="AF9:AF13" si="35">AE9/F9</f>
        <v>0.14913803536245762</v>
      </c>
      <c r="AG9" s="234">
        <v>426278.26713679574</v>
      </c>
      <c r="AH9" s="101">
        <f t="shared" ref="AH9:AH13" si="36">AG9/F9</f>
        <v>6.2429494810354431E-2</v>
      </c>
      <c r="AI9" s="234">
        <v>855513.15976666065</v>
      </c>
      <c r="AJ9" s="101">
        <f t="shared" ref="AJ9:AJ13" si="37">AI9/F9</f>
        <v>0.12529199465546118</v>
      </c>
      <c r="AK9" s="234">
        <v>518215.59021936322</v>
      </c>
      <c r="AL9" s="101">
        <f t="shared" ref="AL9:AL13" si="38">AK9/F9</f>
        <v>7.5893940635407831E-2</v>
      </c>
    </row>
    <row r="10" spans="1:38" ht="14.25">
      <c r="B10" s="98"/>
      <c r="C10" s="98"/>
      <c r="D10" s="324">
        <f t="shared" si="19"/>
        <v>46116</v>
      </c>
      <c r="E10" s="324" t="s">
        <v>527</v>
      </c>
      <c r="F10" s="228">
        <f t="shared" si="20"/>
        <v>6946480.9999999991</v>
      </c>
      <c r="G10" s="322"/>
      <c r="H10" s="350"/>
      <c r="I10" s="234">
        <v>401887.34506476717</v>
      </c>
      <c r="J10" s="101">
        <f t="shared" si="21"/>
        <v>5.7854810956046269E-2</v>
      </c>
      <c r="K10" s="234">
        <v>626066.04330571799</v>
      </c>
      <c r="L10" s="101">
        <f t="shared" si="22"/>
        <v>9.0127079208266472E-2</v>
      </c>
      <c r="M10" s="227">
        <f t="shared" si="23"/>
        <v>1027953.3883704852</v>
      </c>
      <c r="N10" s="101">
        <f t="shared" si="24"/>
        <v>0.14798189016431273</v>
      </c>
      <c r="O10" s="234">
        <v>114028.51082146732</v>
      </c>
      <c r="P10" s="101">
        <f t="shared" si="25"/>
        <v>1.641529154423187E-2</v>
      </c>
      <c r="Q10" s="234">
        <v>111923.94892193367</v>
      </c>
      <c r="R10" s="101">
        <f t="shared" si="26"/>
        <v>1.6112323480325316E-2</v>
      </c>
      <c r="S10" s="227">
        <f t="shared" si="27"/>
        <v>225952.45974340098</v>
      </c>
      <c r="T10" s="101">
        <f t="shared" si="28"/>
        <v>3.2527615024557185E-2</v>
      </c>
      <c r="U10" s="234">
        <v>884196.2742067175</v>
      </c>
      <c r="V10" s="101">
        <f t="shared" si="29"/>
        <v>0.12728693481011719</v>
      </c>
      <c r="W10" s="234">
        <v>58359.136352212372</v>
      </c>
      <c r="X10" s="101">
        <f t="shared" si="30"/>
        <v>8.401251849996046E-3</v>
      </c>
      <c r="Y10" s="234">
        <v>712258.39015219361</v>
      </c>
      <c r="Z10" s="101">
        <f t="shared" si="31"/>
        <v>0.10253513831711246</v>
      </c>
      <c r="AA10" s="234">
        <v>1074264.6083154562</v>
      </c>
      <c r="AB10" s="101">
        <f t="shared" si="32"/>
        <v>0.15464875068620448</v>
      </c>
      <c r="AC10" s="227">
        <f t="shared" si="33"/>
        <v>1786522.9984676498</v>
      </c>
      <c r="AD10" s="101">
        <f t="shared" si="34"/>
        <v>0.25718388900331696</v>
      </c>
      <c r="AE10" s="234">
        <v>1085694.2959585995</v>
      </c>
      <c r="AF10" s="101">
        <f t="shared" si="35"/>
        <v>0.15629414317243503</v>
      </c>
      <c r="AG10" s="234">
        <v>430137.27219565294</v>
      </c>
      <c r="AH10" s="101">
        <f t="shared" si="36"/>
        <v>6.1921607817778959E-2</v>
      </c>
      <c r="AI10" s="234">
        <v>919325.79617643799</v>
      </c>
      <c r="AJ10" s="101">
        <f t="shared" si="37"/>
        <v>0.13234410288841761</v>
      </c>
      <c r="AK10" s="234">
        <v>528339.3785288427</v>
      </c>
      <c r="AL10" s="101">
        <f t="shared" si="38"/>
        <v>7.605856526906829E-2</v>
      </c>
    </row>
    <row r="11" spans="1:38" ht="14.25">
      <c r="B11" s="98"/>
      <c r="C11" s="98"/>
      <c r="D11" s="324">
        <f t="shared" si="19"/>
        <v>46117</v>
      </c>
      <c r="E11" s="324" t="s">
        <v>528</v>
      </c>
      <c r="F11" s="228">
        <f t="shared" si="20"/>
        <v>7261197.0000000009</v>
      </c>
      <c r="G11" s="322"/>
      <c r="H11" s="350"/>
      <c r="I11" s="234">
        <v>410942.64844445285</v>
      </c>
      <c r="J11" s="101">
        <f t="shared" si="21"/>
        <v>5.6594339534439403E-2</v>
      </c>
      <c r="K11" s="234">
        <v>691236.95925475832</v>
      </c>
      <c r="L11" s="101">
        <f t="shared" si="22"/>
        <v>9.5196006836718278E-2</v>
      </c>
      <c r="M11" s="227">
        <f t="shared" si="23"/>
        <v>1102179.6076992112</v>
      </c>
      <c r="N11" s="101">
        <f t="shared" si="24"/>
        <v>0.15179034637115768</v>
      </c>
      <c r="O11" s="234">
        <v>120096.85178370307</v>
      </c>
      <c r="P11" s="101">
        <f t="shared" si="25"/>
        <v>1.6539539112312068E-2</v>
      </c>
      <c r="Q11" s="234">
        <v>129151.27641452379</v>
      </c>
      <c r="R11" s="101">
        <f t="shared" si="26"/>
        <v>1.7786499445549237E-2</v>
      </c>
      <c r="S11" s="227">
        <f t="shared" si="27"/>
        <v>249248.12819822686</v>
      </c>
      <c r="T11" s="101">
        <f t="shared" si="28"/>
        <v>3.4326038557861302E-2</v>
      </c>
      <c r="U11" s="234">
        <v>907910.32542218012</v>
      </c>
      <c r="V11" s="101">
        <f t="shared" si="29"/>
        <v>0.12503590322947855</v>
      </c>
      <c r="W11" s="234">
        <v>49371.834216066352</v>
      </c>
      <c r="X11" s="101">
        <f t="shared" si="30"/>
        <v>6.7994070696699655E-3</v>
      </c>
      <c r="Y11" s="234">
        <v>748469.44072711747</v>
      </c>
      <c r="Z11" s="101">
        <f t="shared" si="31"/>
        <v>0.10307796920082424</v>
      </c>
      <c r="AA11" s="234">
        <v>1182295.9033421488</v>
      </c>
      <c r="AB11" s="101">
        <f t="shared" si="32"/>
        <v>0.16282382964436148</v>
      </c>
      <c r="AC11" s="227">
        <f t="shared" si="33"/>
        <v>1930765.3440692662</v>
      </c>
      <c r="AD11" s="101">
        <f t="shared" si="34"/>
        <v>0.26590179884518572</v>
      </c>
      <c r="AE11" s="234">
        <v>1197457.8175316961</v>
      </c>
      <c r="AF11" s="101">
        <f t="shared" si="35"/>
        <v>0.16491190330350436</v>
      </c>
      <c r="AG11" s="234">
        <v>407178.53242647386</v>
      </c>
      <c r="AH11" s="101">
        <f t="shared" si="36"/>
        <v>5.6075951723451908E-2</v>
      </c>
      <c r="AI11" s="234">
        <v>863728.04240777332</v>
      </c>
      <c r="AJ11" s="101">
        <f t="shared" si="37"/>
        <v>0.11895119253860943</v>
      </c>
      <c r="AK11" s="234">
        <v>553357.36802910606</v>
      </c>
      <c r="AL11" s="101">
        <f t="shared" si="38"/>
        <v>7.6207458361080962E-2</v>
      </c>
    </row>
    <row r="12" spans="1:38" ht="14.25">
      <c r="B12" s="98"/>
      <c r="C12" s="98"/>
      <c r="D12" s="324">
        <f t="shared" si="19"/>
        <v>46118</v>
      </c>
      <c r="E12" s="324" t="s">
        <v>522</v>
      </c>
      <c r="F12" s="228">
        <f t="shared" si="20"/>
        <v>8672669</v>
      </c>
      <c r="G12" s="322"/>
      <c r="H12" s="350">
        <f>SUM(F7:F36)</f>
        <v>229748165</v>
      </c>
      <c r="I12" s="234">
        <v>509201.12430855038</v>
      </c>
      <c r="J12" s="101">
        <f t="shared" si="21"/>
        <v>5.8713312396512583E-2</v>
      </c>
      <c r="K12" s="234">
        <v>836419.96943912341</v>
      </c>
      <c r="L12" s="101">
        <f t="shared" si="22"/>
        <v>9.6443202137556888E-2</v>
      </c>
      <c r="M12" s="227">
        <f t="shared" si="23"/>
        <v>1345621.0937476738</v>
      </c>
      <c r="N12" s="101">
        <f t="shared" si="24"/>
        <v>0.15515651453406948</v>
      </c>
      <c r="O12" s="234">
        <v>138987.31707253127</v>
      </c>
      <c r="P12" s="101">
        <f t="shared" si="25"/>
        <v>1.6025898955965144E-2</v>
      </c>
      <c r="Q12" s="234">
        <v>59320.694764027794</v>
      </c>
      <c r="R12" s="101">
        <f t="shared" si="26"/>
        <v>6.8399583523858446E-3</v>
      </c>
      <c r="S12" s="227">
        <f t="shared" si="27"/>
        <v>198308.01183655905</v>
      </c>
      <c r="T12" s="101">
        <f t="shared" si="28"/>
        <v>2.2865857308350987E-2</v>
      </c>
      <c r="U12" s="234">
        <v>1140694.2673472322</v>
      </c>
      <c r="V12" s="101">
        <f t="shared" si="29"/>
        <v>0.13152747641438087</v>
      </c>
      <c r="W12" s="234">
        <v>65023.02057484995</v>
      </c>
      <c r="X12" s="101">
        <f t="shared" si="30"/>
        <v>7.4974636498694866E-3</v>
      </c>
      <c r="Y12" s="234">
        <v>922650.14552391006</v>
      </c>
      <c r="Z12" s="101">
        <f t="shared" si="31"/>
        <v>0.10638595172073442</v>
      </c>
      <c r="AA12" s="234">
        <v>1308920.8528431011</v>
      </c>
      <c r="AB12" s="101">
        <f t="shared" si="32"/>
        <v>0.15092480213912246</v>
      </c>
      <c r="AC12" s="227">
        <f t="shared" si="33"/>
        <v>2231570.9983670111</v>
      </c>
      <c r="AD12" s="101">
        <f t="shared" si="34"/>
        <v>0.25731075385985686</v>
      </c>
      <c r="AE12" s="234">
        <v>1439540.1124186106</v>
      </c>
      <c r="AF12" s="101">
        <f t="shared" si="35"/>
        <v>0.16598582425071343</v>
      </c>
      <c r="AG12" s="234">
        <v>407910.55471105559</v>
      </c>
      <c r="AH12" s="101">
        <f t="shared" si="36"/>
        <v>4.7034027784417412E-2</v>
      </c>
      <c r="AI12" s="234">
        <v>1171912.7174024782</v>
      </c>
      <c r="AJ12" s="101">
        <f t="shared" si="37"/>
        <v>0.13512711224220345</v>
      </c>
      <c r="AK12" s="234">
        <v>672088.22359452967</v>
      </c>
      <c r="AL12" s="101">
        <f t="shared" si="38"/>
        <v>7.7494969956138027E-2</v>
      </c>
    </row>
    <row r="13" spans="1:38" ht="14.25">
      <c r="B13" s="98"/>
      <c r="C13" s="98"/>
      <c r="D13" s="473">
        <f t="shared" si="19"/>
        <v>46119</v>
      </c>
      <c r="E13" s="473" t="s">
        <v>523</v>
      </c>
      <c r="F13" s="228">
        <f t="shared" si="20"/>
        <v>8371654.9999999991</v>
      </c>
      <c r="G13" s="322">
        <f>SUM(F13:F19)</f>
        <v>58053442</v>
      </c>
      <c r="H13" s="350"/>
      <c r="I13" s="234">
        <v>506993.6685303179</v>
      </c>
      <c r="J13" s="101">
        <f t="shared" si="21"/>
        <v>6.0560745579018478E-2</v>
      </c>
      <c r="K13" s="234">
        <v>809303.05091505952</v>
      </c>
      <c r="L13" s="101">
        <f t="shared" si="22"/>
        <v>9.6671811119194428E-2</v>
      </c>
      <c r="M13" s="227">
        <f t="shared" si="23"/>
        <v>1316296.7194453774</v>
      </c>
      <c r="N13" s="101">
        <f t="shared" si="24"/>
        <v>0.1572325566982129</v>
      </c>
      <c r="O13" s="234">
        <v>275335.79334093694</v>
      </c>
      <c r="P13" s="101">
        <f t="shared" si="25"/>
        <v>3.2889051608187031E-2</v>
      </c>
      <c r="Q13" s="234">
        <v>58798.285838047115</v>
      </c>
      <c r="R13" s="101">
        <f t="shared" si="26"/>
        <v>7.0234960516226625E-3</v>
      </c>
      <c r="S13" s="227">
        <f t="shared" si="27"/>
        <v>334134.07917898404</v>
      </c>
      <c r="T13" s="101">
        <f t="shared" si="28"/>
        <v>3.9912547659809686E-2</v>
      </c>
      <c r="U13" s="234">
        <v>1058723.984008739</v>
      </c>
      <c r="V13" s="101">
        <f t="shared" si="29"/>
        <v>0.12646531468493855</v>
      </c>
      <c r="W13" s="234">
        <v>54387.79723723283</v>
      </c>
      <c r="X13" s="101">
        <f t="shared" si="30"/>
        <v>6.4966601272069659E-3</v>
      </c>
      <c r="Y13" s="234">
        <v>901539.75810732425</v>
      </c>
      <c r="Z13" s="101">
        <f t="shared" si="31"/>
        <v>0.10768954980912668</v>
      </c>
      <c r="AA13" s="234">
        <v>1217251.0098507269</v>
      </c>
      <c r="AB13" s="101">
        <f t="shared" si="32"/>
        <v>0.14540147794560659</v>
      </c>
      <c r="AC13" s="227">
        <f t="shared" si="33"/>
        <v>2118790.7679580511</v>
      </c>
      <c r="AD13" s="101">
        <f t="shared" si="34"/>
        <v>0.25309102775473324</v>
      </c>
      <c r="AE13" s="234">
        <v>1352157.0449887537</v>
      </c>
      <c r="AF13" s="101">
        <f t="shared" si="35"/>
        <v>0.16151609747281198</v>
      </c>
      <c r="AG13" s="234">
        <v>372338.54856498982</v>
      </c>
      <c r="AH13" s="101">
        <f t="shared" si="36"/>
        <v>4.4476098043336694E-2</v>
      </c>
      <c r="AI13" s="234">
        <v>1128164.5726943074</v>
      </c>
      <c r="AJ13" s="101">
        <f t="shared" si="37"/>
        <v>0.13476004119786442</v>
      </c>
      <c r="AK13" s="234">
        <v>636661.48592356395</v>
      </c>
      <c r="AL13" s="101">
        <f t="shared" si="38"/>
        <v>7.6049656361085599E-2</v>
      </c>
    </row>
    <row r="14" spans="1:38" ht="14.25">
      <c r="B14" s="98"/>
      <c r="C14" s="98"/>
      <c r="D14" s="473">
        <f t="shared" si="19"/>
        <v>46120</v>
      </c>
      <c r="E14" s="473" t="s">
        <v>524</v>
      </c>
      <c r="F14" s="228">
        <f t="shared" si="20"/>
        <v>8123789.0000000009</v>
      </c>
      <c r="G14" s="322"/>
      <c r="H14" s="350"/>
      <c r="I14" s="234">
        <v>521067.04112365132</v>
      </c>
      <c r="J14" s="101">
        <f>I14/F14</f>
        <v>6.414088809096978E-2</v>
      </c>
      <c r="K14" s="234">
        <v>794108.90972789365</v>
      </c>
      <c r="L14" s="101">
        <f>K14/F14</f>
        <v>9.7751050615407856E-2</v>
      </c>
      <c r="M14" s="227">
        <f>SUM(I14+K14)</f>
        <v>1315175.950851545</v>
      </c>
      <c r="N14" s="101">
        <f>M14/F14</f>
        <v>0.16189193870637764</v>
      </c>
      <c r="O14" s="234">
        <v>178259.42119620807</v>
      </c>
      <c r="P14" s="101">
        <f>O14/F14</f>
        <v>2.1942891573895881E-2</v>
      </c>
      <c r="Q14" s="234">
        <v>56536.595449545872</v>
      </c>
      <c r="R14" s="101">
        <f t="shared" si="26"/>
        <v>6.9593874791117625E-3</v>
      </c>
      <c r="S14" s="227">
        <f t="shared" si="27"/>
        <v>234796.01664575393</v>
      </c>
      <c r="T14" s="101">
        <f>S14/F14</f>
        <v>2.8902279053007643E-2</v>
      </c>
      <c r="U14" s="234">
        <v>1006926.1538039675</v>
      </c>
      <c r="V14" s="101">
        <f>U14/F14</f>
        <v>0.12394784672570489</v>
      </c>
      <c r="W14" s="234">
        <v>57641.152836295121</v>
      </c>
      <c r="X14" s="101">
        <f>W14/F14</f>
        <v>7.0953532688127563E-3</v>
      </c>
      <c r="Y14" s="234">
        <v>856392.63727964612</v>
      </c>
      <c r="Z14" s="101">
        <f>Y14/F14</f>
        <v>0.10541788287209897</v>
      </c>
      <c r="AA14" s="234">
        <v>1172121.7533185368</v>
      </c>
      <c r="AB14" s="101">
        <f t="shared" si="32"/>
        <v>0.1442826436430755</v>
      </c>
      <c r="AC14" s="227">
        <f>SUM(Y14+AA14)</f>
        <v>2028514.390598183</v>
      </c>
      <c r="AD14" s="101">
        <f>AC14/F14</f>
        <v>0.24970052651517449</v>
      </c>
      <c r="AE14" s="234">
        <v>1345371.7084427921</v>
      </c>
      <c r="AF14" s="101">
        <f>AE14/F14</f>
        <v>0.16560889363852163</v>
      </c>
      <c r="AG14" s="234">
        <v>407692.10853570228</v>
      </c>
      <c r="AH14" s="101">
        <f>AG14/F14</f>
        <v>5.0184970158100146E-2</v>
      </c>
      <c r="AI14" s="234">
        <v>1102749.5676804101</v>
      </c>
      <c r="AJ14" s="101">
        <f>AI14/F14</f>
        <v>0.13574325572468832</v>
      </c>
      <c r="AK14" s="234">
        <v>624921.95060535171</v>
      </c>
      <c r="AL14" s="101">
        <f>AK14/F14</f>
        <v>7.6924936209612493E-2</v>
      </c>
    </row>
    <row r="15" spans="1:38" ht="14.25">
      <c r="B15" s="98"/>
      <c r="C15" s="98"/>
      <c r="D15" s="473">
        <f t="shared" si="19"/>
        <v>46121</v>
      </c>
      <c r="E15" s="473" t="s">
        <v>525</v>
      </c>
      <c r="F15" s="228">
        <f t="shared" si="20"/>
        <v>7630690.9999999981</v>
      </c>
      <c r="G15" s="322"/>
      <c r="H15" s="350"/>
      <c r="I15" s="234">
        <v>508340.46678194869</v>
      </c>
      <c r="J15" s="101">
        <f t="shared" ref="J15" si="39">I15/F15</f>
        <v>6.6617881235388615E-2</v>
      </c>
      <c r="K15" s="234">
        <v>752145.9052312912</v>
      </c>
      <c r="L15" s="101">
        <f t="shared" ref="L15" si="40">K15/F15</f>
        <v>9.8568518268043012E-2</v>
      </c>
      <c r="M15" s="227">
        <f t="shared" ref="M15" si="41">SUM(I15+K15)</f>
        <v>1260486.3720132399</v>
      </c>
      <c r="N15" s="101">
        <f t="shared" ref="N15" si="42">M15/F15</f>
        <v>0.16518639950343164</v>
      </c>
      <c r="O15" s="234">
        <v>178130.68673953987</v>
      </c>
      <c r="P15" s="101">
        <f t="shared" ref="P15" si="43">O15/F15</f>
        <v>2.3343978512501674E-2</v>
      </c>
      <c r="Q15" s="234">
        <v>50806.844807229842</v>
      </c>
      <c r="R15" s="101">
        <f t="shared" ref="R15" si="44">Q15/$F15</f>
        <v>6.6582233256765148E-3</v>
      </c>
      <c r="S15" s="227">
        <f t="shared" ref="S15" si="45">SUM(O15+Q15)</f>
        <v>228937.53154676972</v>
      </c>
      <c r="T15" s="101">
        <f t="shared" ref="T15" si="46">S15/F15</f>
        <v>3.0002201838178189E-2</v>
      </c>
      <c r="U15" s="234">
        <v>982445.343715625</v>
      </c>
      <c r="V15" s="101">
        <f t="shared" ref="V15" si="47">U15/F15</f>
        <v>0.12874919764351947</v>
      </c>
      <c r="W15" s="234">
        <v>62421.89608820685</v>
      </c>
      <c r="X15" s="101">
        <f t="shared" ref="X15" si="48">W15/F15</f>
        <v>8.1803726671944733E-3</v>
      </c>
      <c r="Y15" s="234">
        <v>818538.24669602735</v>
      </c>
      <c r="Z15" s="101">
        <f t="shared" ref="Z15" si="49">Y15/F15</f>
        <v>0.10726921673227596</v>
      </c>
      <c r="AA15" s="234">
        <v>1059296.289104189</v>
      </c>
      <c r="AB15" s="101">
        <f t="shared" ref="AB15" si="50">AA15/$F15</f>
        <v>0.13882049333463894</v>
      </c>
      <c r="AC15" s="227">
        <f t="shared" ref="AC15" si="51">SUM(Y15+AA15)</f>
        <v>1877834.5358002163</v>
      </c>
      <c r="AD15" s="101">
        <f t="shared" ref="AD15" si="52">AC15/F15</f>
        <v>0.24608971006691488</v>
      </c>
      <c r="AE15" s="234">
        <v>1276773.1031471246</v>
      </c>
      <c r="AF15" s="101">
        <f t="shared" ref="AF15" si="53">AE15/F15</f>
        <v>0.16732077123121941</v>
      </c>
      <c r="AG15" s="234">
        <v>421800.86765366327</v>
      </c>
      <c r="AH15" s="101">
        <f t="shared" ref="AH15" si="54">AG15/F15</f>
        <v>5.5276890081601179E-2</v>
      </c>
      <c r="AI15" s="234">
        <v>894767.90276866523</v>
      </c>
      <c r="AJ15" s="101">
        <f t="shared" ref="AJ15" si="55">AI15/F15</f>
        <v>0.11725909262590575</v>
      </c>
      <c r="AK15" s="234">
        <v>625223.44726648775</v>
      </c>
      <c r="AL15" s="101">
        <f t="shared" ref="AL15" si="56">AK15/F15</f>
        <v>8.1935364342035064E-2</v>
      </c>
    </row>
    <row r="16" spans="1:38" ht="14.25">
      <c r="B16" s="98"/>
      <c r="C16" s="98"/>
      <c r="D16" s="473">
        <f t="shared" si="19"/>
        <v>46122</v>
      </c>
      <c r="E16" s="473" t="s">
        <v>526</v>
      </c>
      <c r="F16" s="228">
        <f t="shared" si="20"/>
        <v>7424675</v>
      </c>
      <c r="G16" s="322"/>
      <c r="H16" s="350"/>
      <c r="I16" s="234">
        <v>454230.01698852924</v>
      </c>
      <c r="J16" s="101">
        <f t="shared" ref="J16:J41" si="57">I16/F16</f>
        <v>6.1178437707849739E-2</v>
      </c>
      <c r="K16" s="234">
        <v>733396.32699423935</v>
      </c>
      <c r="L16" s="101">
        <f t="shared" ref="L16:L41" si="58">K16/F16</f>
        <v>9.8778239720154662E-2</v>
      </c>
      <c r="M16" s="227">
        <f t="shared" ref="M16:M41" si="59">SUM(I16+K16)</f>
        <v>1187626.3439827687</v>
      </c>
      <c r="N16" s="101">
        <f t="shared" ref="N16:N41" si="60">M16/F16</f>
        <v>0.15995667742800443</v>
      </c>
      <c r="O16" s="234">
        <v>234481.93318780686</v>
      </c>
      <c r="P16" s="101">
        <f t="shared" ref="P16:P41" si="61">O16/F16</f>
        <v>3.158144069441516E-2</v>
      </c>
      <c r="Q16" s="234">
        <v>45475.983071127324</v>
      </c>
      <c r="R16" s="101">
        <f t="shared" ref="R16:R45" si="62">Q16/$F16</f>
        <v>6.1249796214820611E-3</v>
      </c>
      <c r="S16" s="227">
        <f t="shared" ref="S16:S45" si="63">SUM(O16+Q16)</f>
        <v>279957.91625893419</v>
      </c>
      <c r="T16" s="101">
        <f t="shared" ref="T16:T41" si="64">S16/F16</f>
        <v>3.7706420315897222E-2</v>
      </c>
      <c r="U16" s="234">
        <v>925813.65059754218</v>
      </c>
      <c r="V16" s="101">
        <f t="shared" ref="V16:V41" si="65">U16/F16</f>
        <v>0.12469416514494469</v>
      </c>
      <c r="W16" s="234">
        <v>48153.086354693223</v>
      </c>
      <c r="X16" s="101">
        <f t="shared" ref="X16:X41" si="66">W16/F16</f>
        <v>6.4855480347211459E-3</v>
      </c>
      <c r="Y16" s="234">
        <v>761966.71834855829</v>
      </c>
      <c r="Z16" s="101">
        <f t="shared" ref="Z16:Z41" si="67">Y16/F16</f>
        <v>0.10262627230802134</v>
      </c>
      <c r="AA16" s="234">
        <v>1148215.302805407</v>
      </c>
      <c r="AB16" s="101">
        <f t="shared" ref="AB16:AB45" si="68">AA16/$F16</f>
        <v>0.15464856075254566</v>
      </c>
      <c r="AC16" s="227">
        <f t="shared" ref="AC16:AC41" si="69">SUM(Y16+AA16)</f>
        <v>1910182.0211539653</v>
      </c>
      <c r="AD16" s="101">
        <f t="shared" ref="AD16:AD41" si="70">AC16/F16</f>
        <v>0.25727483306056698</v>
      </c>
      <c r="AE16" s="234">
        <v>1210919.2857398198</v>
      </c>
      <c r="AF16" s="101">
        <f t="shared" ref="AF16:AF41" si="71">AE16/F16</f>
        <v>0.16309391128094089</v>
      </c>
      <c r="AG16" s="234">
        <v>372985.46991015715</v>
      </c>
      <c r="AH16" s="101">
        <f t="shared" ref="AH16:AH41" si="72">AG16/F16</f>
        <v>5.0235932200420511E-2</v>
      </c>
      <c r="AI16" s="234">
        <v>927192.71038393315</v>
      </c>
      <c r="AJ16" s="101">
        <f t="shared" ref="AJ16:AJ41" si="73">AI16/F16</f>
        <v>0.12487990523274529</v>
      </c>
      <c r="AK16" s="234">
        <v>561844.51561818679</v>
      </c>
      <c r="AL16" s="101">
        <f t="shared" ref="AL16:AL41" si="74">AK16/F16</f>
        <v>7.5672607301758898E-2</v>
      </c>
    </row>
    <row r="17" spans="2:38" ht="14.25">
      <c r="B17" s="98"/>
      <c r="C17" s="98"/>
      <c r="D17" s="473">
        <f t="shared" si="19"/>
        <v>46123</v>
      </c>
      <c r="E17" s="473" t="s">
        <v>527</v>
      </c>
      <c r="F17" s="228">
        <f t="shared" si="20"/>
        <v>7969209</v>
      </c>
      <c r="G17" s="322"/>
      <c r="H17" s="350"/>
      <c r="I17" s="234">
        <v>432950.88126630971</v>
      </c>
      <c r="J17" s="101">
        <f t="shared" si="57"/>
        <v>5.4327961691845415E-2</v>
      </c>
      <c r="K17" s="234">
        <v>781773.88080231007</v>
      </c>
      <c r="L17" s="101">
        <f t="shared" si="58"/>
        <v>9.8099307070790856E-2</v>
      </c>
      <c r="M17" s="227">
        <f t="shared" si="59"/>
        <v>1214724.7620686197</v>
      </c>
      <c r="N17" s="101">
        <f t="shared" si="60"/>
        <v>0.15242726876263626</v>
      </c>
      <c r="O17" s="234">
        <v>219292.51622497855</v>
      </c>
      <c r="P17" s="101">
        <f t="shared" si="61"/>
        <v>2.7517475852996017E-2</v>
      </c>
      <c r="Q17" s="234">
        <v>39897.301697868112</v>
      </c>
      <c r="R17" s="101">
        <f t="shared" si="62"/>
        <v>5.0064318425916687E-3</v>
      </c>
      <c r="S17" s="227">
        <f t="shared" si="63"/>
        <v>259189.81792284665</v>
      </c>
      <c r="T17" s="101">
        <f t="shared" si="64"/>
        <v>3.2523907695587689E-2</v>
      </c>
      <c r="U17" s="234">
        <v>985373.24262871686</v>
      </c>
      <c r="V17" s="101">
        <f t="shared" si="65"/>
        <v>0.12364755932850009</v>
      </c>
      <c r="W17" s="234">
        <v>56704.845810824467</v>
      </c>
      <c r="X17" s="101">
        <f t="shared" si="66"/>
        <v>7.1154923670372384E-3</v>
      </c>
      <c r="Y17" s="234">
        <v>813386.83472846367</v>
      </c>
      <c r="Z17" s="101">
        <f t="shared" si="67"/>
        <v>0.10206619436489414</v>
      </c>
      <c r="AA17" s="234">
        <v>1177693.8151192705</v>
      </c>
      <c r="AB17" s="101">
        <f t="shared" si="68"/>
        <v>0.14778051562197334</v>
      </c>
      <c r="AC17" s="227">
        <f t="shared" si="69"/>
        <v>1991080.6498477343</v>
      </c>
      <c r="AD17" s="101">
        <f t="shared" si="70"/>
        <v>0.24984670998686748</v>
      </c>
      <c r="AE17" s="234">
        <v>1311751.9166347177</v>
      </c>
      <c r="AF17" s="101">
        <f t="shared" si="71"/>
        <v>0.16460252411935961</v>
      </c>
      <c r="AG17" s="234">
        <v>394301.34296355798</v>
      </c>
      <c r="AH17" s="101">
        <f t="shared" si="72"/>
        <v>4.9478102903758453E-2</v>
      </c>
      <c r="AI17" s="234">
        <v>1162975.7170181356</v>
      </c>
      <c r="AJ17" s="101">
        <f t="shared" si="73"/>
        <v>0.14593364498510902</v>
      </c>
      <c r="AK17" s="234">
        <v>593106.70510484627</v>
      </c>
      <c r="AL17" s="101">
        <f t="shared" si="74"/>
        <v>7.4424789851144105E-2</v>
      </c>
    </row>
    <row r="18" spans="2:38" ht="14.25">
      <c r="B18" s="98"/>
      <c r="C18" s="98"/>
      <c r="D18" s="473">
        <f t="shared" si="19"/>
        <v>46124</v>
      </c>
      <c r="E18" s="473" t="s">
        <v>528</v>
      </c>
      <c r="F18" s="228">
        <f t="shared" si="20"/>
        <v>9249267.0000000019</v>
      </c>
      <c r="G18" s="322"/>
      <c r="H18" s="350"/>
      <c r="I18" s="234">
        <v>541521.78918390011</v>
      </c>
      <c r="J18" s="101">
        <f t="shared" si="57"/>
        <v>5.8547535624595984E-2</v>
      </c>
      <c r="K18" s="234">
        <v>834009.36374759208</v>
      </c>
      <c r="L18" s="101">
        <f t="shared" si="58"/>
        <v>9.0170319847788144E-2</v>
      </c>
      <c r="M18" s="227">
        <f t="shared" si="59"/>
        <v>1375531.1529314923</v>
      </c>
      <c r="N18" s="101">
        <f t="shared" si="60"/>
        <v>0.14871785547238414</v>
      </c>
      <c r="O18" s="234">
        <v>314715.62379036046</v>
      </c>
      <c r="P18" s="101">
        <f t="shared" si="61"/>
        <v>3.4026007011189144E-2</v>
      </c>
      <c r="Q18" s="234">
        <v>49580.096841337552</v>
      </c>
      <c r="R18" s="101">
        <f t="shared" si="62"/>
        <v>5.3604352476080046E-3</v>
      </c>
      <c r="S18" s="227">
        <f t="shared" si="63"/>
        <v>364295.72063169803</v>
      </c>
      <c r="T18" s="101">
        <f t="shared" si="64"/>
        <v>3.9386442258797151E-2</v>
      </c>
      <c r="U18" s="234">
        <v>1184490.6190737176</v>
      </c>
      <c r="V18" s="101">
        <f t="shared" si="65"/>
        <v>0.12806318804222189</v>
      </c>
      <c r="W18" s="234">
        <v>50043.702010013127</v>
      </c>
      <c r="X18" s="101">
        <f t="shared" si="66"/>
        <v>5.4105586972473729E-3</v>
      </c>
      <c r="Y18" s="234">
        <v>921054.84039848065</v>
      </c>
      <c r="Z18" s="101">
        <f t="shared" si="67"/>
        <v>9.9581387411400324E-2</v>
      </c>
      <c r="AA18" s="234">
        <v>1257470.2947184185</v>
      </c>
      <c r="AB18" s="101">
        <f t="shared" si="68"/>
        <v>0.13595350796105446</v>
      </c>
      <c r="AC18" s="227">
        <f t="shared" si="69"/>
        <v>2178525.1351168994</v>
      </c>
      <c r="AD18" s="101">
        <f t="shared" si="70"/>
        <v>0.23553489537245481</v>
      </c>
      <c r="AE18" s="234">
        <v>1567817.2294073713</v>
      </c>
      <c r="AF18" s="101">
        <f t="shared" si="71"/>
        <v>0.16950718682976401</v>
      </c>
      <c r="AG18" s="234">
        <v>467144.99789353297</v>
      </c>
      <c r="AH18" s="101">
        <f t="shared" si="72"/>
        <v>5.0506164206691503E-2</v>
      </c>
      <c r="AI18" s="234">
        <v>1400365.9057101165</v>
      </c>
      <c r="AJ18" s="101">
        <f t="shared" si="73"/>
        <v>0.15140290638275619</v>
      </c>
      <c r="AK18" s="234">
        <v>661052.53722516075</v>
      </c>
      <c r="AL18" s="101">
        <f t="shared" si="74"/>
        <v>7.1470802737682956E-2</v>
      </c>
    </row>
    <row r="19" spans="2:38" ht="14.25">
      <c r="B19" s="98"/>
      <c r="C19" s="98"/>
      <c r="D19" s="473">
        <f t="shared" si="19"/>
        <v>46125</v>
      </c>
      <c r="E19" s="473" t="s">
        <v>522</v>
      </c>
      <c r="F19" s="228">
        <f t="shared" si="20"/>
        <v>9284156</v>
      </c>
      <c r="G19" s="322"/>
      <c r="H19" s="350"/>
      <c r="I19" s="234">
        <v>541394.72213468968</v>
      </c>
      <c r="J19" s="101">
        <f t="shared" si="57"/>
        <v>5.8313832957426578E-2</v>
      </c>
      <c r="K19" s="234">
        <v>1033221.8102604896</v>
      </c>
      <c r="L19" s="101">
        <f t="shared" si="58"/>
        <v>0.11128871706383323</v>
      </c>
      <c r="M19" s="227">
        <f t="shared" si="59"/>
        <v>1574616.5323951794</v>
      </c>
      <c r="N19" s="101">
        <f t="shared" si="60"/>
        <v>0.16960255002125982</v>
      </c>
      <c r="O19" s="234">
        <v>231549.12312652468</v>
      </c>
      <c r="P19" s="101">
        <f t="shared" si="61"/>
        <v>2.494024477039428E-2</v>
      </c>
      <c r="Q19" s="234">
        <v>36702.989689530594</v>
      </c>
      <c r="R19" s="101">
        <f t="shared" si="62"/>
        <v>3.9532930822716245E-3</v>
      </c>
      <c r="S19" s="227">
        <f t="shared" si="63"/>
        <v>268252.11281605525</v>
      </c>
      <c r="T19" s="101">
        <f t="shared" si="64"/>
        <v>2.88935378526659E-2</v>
      </c>
      <c r="U19" s="234">
        <v>1153454.1853139855</v>
      </c>
      <c r="V19" s="101">
        <f t="shared" si="65"/>
        <v>0.12423899224808216</v>
      </c>
      <c r="W19" s="234">
        <v>62227.259380870833</v>
      </c>
      <c r="X19" s="101">
        <f t="shared" si="66"/>
        <v>6.7025219503927804E-3</v>
      </c>
      <c r="Y19" s="234">
        <v>902877.52463450853</v>
      </c>
      <c r="Z19" s="101">
        <f t="shared" si="67"/>
        <v>9.7249284117426352E-2</v>
      </c>
      <c r="AA19" s="234">
        <v>1218014.9638589155</v>
      </c>
      <c r="AB19" s="101">
        <f t="shared" si="68"/>
        <v>0.13119285844172754</v>
      </c>
      <c r="AC19" s="227">
        <f t="shared" si="69"/>
        <v>2120892.4884934239</v>
      </c>
      <c r="AD19" s="101">
        <f t="shared" si="70"/>
        <v>0.22844214255915388</v>
      </c>
      <c r="AE19" s="234">
        <v>1488927.9250755287</v>
      </c>
      <c r="AF19" s="101">
        <f t="shared" si="71"/>
        <v>0.16037299729512608</v>
      </c>
      <c r="AG19" s="234">
        <v>471217.23372149066</v>
      </c>
      <c r="AH19" s="101">
        <f t="shared" si="72"/>
        <v>5.0754988791818091E-2</v>
      </c>
      <c r="AI19" s="234">
        <v>1466160.1448070998</v>
      </c>
      <c r="AJ19" s="101">
        <f t="shared" si="73"/>
        <v>0.15792067095890028</v>
      </c>
      <c r="AK19" s="234">
        <v>678408.11799636437</v>
      </c>
      <c r="AL19" s="101">
        <f t="shared" si="74"/>
        <v>7.3071598322600823E-2</v>
      </c>
    </row>
    <row r="20" spans="2:38" ht="14.25">
      <c r="B20" s="98"/>
      <c r="C20" s="98"/>
      <c r="D20" s="324">
        <f t="shared" si="19"/>
        <v>46126</v>
      </c>
      <c r="E20" s="324" t="s">
        <v>523</v>
      </c>
      <c r="F20" s="228">
        <f t="shared" si="20"/>
        <v>10285856</v>
      </c>
      <c r="G20" s="322">
        <f>SUM(F20:F26)</f>
        <v>64721926</v>
      </c>
      <c r="H20" s="350"/>
      <c r="I20" s="234">
        <v>788311.59287334455</v>
      </c>
      <c r="J20" s="101">
        <f t="shared" si="57"/>
        <v>7.6640348928989924E-2</v>
      </c>
      <c r="K20" s="234">
        <v>1041560.2673739135</v>
      </c>
      <c r="L20" s="101">
        <f t="shared" si="58"/>
        <v>0.10126140861527845</v>
      </c>
      <c r="M20" s="227">
        <f t="shared" si="59"/>
        <v>1829871.8602472581</v>
      </c>
      <c r="N20" s="101">
        <f t="shared" si="60"/>
        <v>0.17790175754426837</v>
      </c>
      <c r="O20" s="234">
        <v>247557.58186516224</v>
      </c>
      <c r="P20" s="101">
        <f t="shared" si="61"/>
        <v>2.4067766636550449E-2</v>
      </c>
      <c r="Q20" s="234">
        <v>38246.713481495244</v>
      </c>
      <c r="R20" s="101">
        <f t="shared" si="62"/>
        <v>3.7183792463646435E-3</v>
      </c>
      <c r="S20" s="227">
        <f t="shared" si="63"/>
        <v>285804.29534665751</v>
      </c>
      <c r="T20" s="101">
        <f t="shared" si="64"/>
        <v>2.7786145882915093E-2</v>
      </c>
      <c r="U20" s="234">
        <v>1231522.0347677132</v>
      </c>
      <c r="V20" s="101">
        <f t="shared" si="65"/>
        <v>0.11972965932711027</v>
      </c>
      <c r="W20" s="234">
        <v>55766.421003186144</v>
      </c>
      <c r="X20" s="101">
        <f t="shared" si="66"/>
        <v>5.4216606768737715E-3</v>
      </c>
      <c r="Y20" s="234">
        <v>876643.2430831393</v>
      </c>
      <c r="Z20" s="101">
        <f t="shared" si="67"/>
        <v>8.5228029935781643E-2</v>
      </c>
      <c r="AA20" s="234">
        <v>1222892.315209396</v>
      </c>
      <c r="AB20" s="101">
        <f t="shared" si="68"/>
        <v>0.11889067037389946</v>
      </c>
      <c r="AC20" s="227">
        <f t="shared" si="69"/>
        <v>2099535.5582925351</v>
      </c>
      <c r="AD20" s="101">
        <f t="shared" si="70"/>
        <v>0.2041187003096811</v>
      </c>
      <c r="AE20" s="234">
        <v>2022043.6312549522</v>
      </c>
      <c r="AF20" s="101">
        <f t="shared" si="71"/>
        <v>0.19658486675828946</v>
      </c>
      <c r="AG20" s="234">
        <v>889544.06933757581</v>
      </c>
      <c r="AH20" s="101">
        <f t="shared" si="72"/>
        <v>8.6482259652242446E-2</v>
      </c>
      <c r="AI20" s="234">
        <v>1219970.4944902102</v>
      </c>
      <c r="AJ20" s="101">
        <f t="shared" si="73"/>
        <v>0.11860660838438825</v>
      </c>
      <c r="AK20" s="234">
        <v>651797.635259912</v>
      </c>
      <c r="AL20" s="101">
        <f t="shared" si="74"/>
        <v>6.3368341464231273E-2</v>
      </c>
    </row>
    <row r="21" spans="2:38" ht="14.25">
      <c r="B21" s="98"/>
      <c r="C21" s="98"/>
      <c r="D21" s="324">
        <f t="shared" si="19"/>
        <v>46127</v>
      </c>
      <c r="E21" s="324" t="s">
        <v>524</v>
      </c>
      <c r="F21" s="228">
        <f t="shared" si="20"/>
        <v>9533255.0000000019</v>
      </c>
      <c r="G21" s="322"/>
      <c r="H21" s="350"/>
      <c r="I21" s="234">
        <v>798416.20812931831</v>
      </c>
      <c r="J21" s="101">
        <f t="shared" si="57"/>
        <v>8.3750640062530385E-2</v>
      </c>
      <c r="K21" s="234">
        <v>1039117.282022908</v>
      </c>
      <c r="L21" s="101">
        <f t="shared" si="58"/>
        <v>0.10899921191900434</v>
      </c>
      <c r="M21" s="227">
        <f t="shared" si="59"/>
        <v>1837533.4901522263</v>
      </c>
      <c r="N21" s="101">
        <f t="shared" si="60"/>
        <v>0.19274985198153474</v>
      </c>
      <c r="O21" s="234">
        <v>241607.48351591628</v>
      </c>
      <c r="P21" s="101">
        <f t="shared" si="61"/>
        <v>2.5343650570127017E-2</v>
      </c>
      <c r="Q21" s="234">
        <v>34911.865390608582</v>
      </c>
      <c r="R21" s="101">
        <f t="shared" si="62"/>
        <v>3.6621138730274787E-3</v>
      </c>
      <c r="S21" s="227">
        <f t="shared" si="63"/>
        <v>276519.34890652483</v>
      </c>
      <c r="T21" s="101">
        <f t="shared" si="64"/>
        <v>2.9005764443154492E-2</v>
      </c>
      <c r="U21" s="234">
        <v>1067486.8660239889</v>
      </c>
      <c r="V21" s="101">
        <f t="shared" si="65"/>
        <v>0.11197506686058316</v>
      </c>
      <c r="W21" s="234">
        <v>118374.14037003636</v>
      </c>
      <c r="X21" s="101">
        <f t="shared" si="66"/>
        <v>1.2416969898532698E-2</v>
      </c>
      <c r="Y21" s="234">
        <v>830681.72733556456</v>
      </c>
      <c r="Z21" s="101">
        <f t="shared" si="67"/>
        <v>8.7135162894055013E-2</v>
      </c>
      <c r="AA21" s="234">
        <v>1133314.9482559327</v>
      </c>
      <c r="AB21" s="101">
        <f t="shared" si="68"/>
        <v>0.11888016718905897</v>
      </c>
      <c r="AC21" s="227">
        <f t="shared" si="69"/>
        <v>1963996.6755914972</v>
      </c>
      <c r="AD21" s="101">
        <f t="shared" si="70"/>
        <v>0.20601533008311398</v>
      </c>
      <c r="AE21" s="234">
        <v>1717909.4350152027</v>
      </c>
      <c r="AF21" s="101">
        <f t="shared" si="71"/>
        <v>0.18020177106509816</v>
      </c>
      <c r="AG21" s="234">
        <v>678775.49790880515</v>
      </c>
      <c r="AH21" s="101">
        <f t="shared" si="72"/>
        <v>7.1200812095009003E-2</v>
      </c>
      <c r="AI21" s="234">
        <v>1225516.498861358</v>
      </c>
      <c r="AJ21" s="101">
        <f t="shared" si="73"/>
        <v>0.12855173798050695</v>
      </c>
      <c r="AK21" s="234">
        <v>647143.04717036115</v>
      </c>
      <c r="AL21" s="101">
        <f t="shared" si="74"/>
        <v>6.7882695592466694E-2</v>
      </c>
    </row>
    <row r="22" spans="2:38" ht="14.25">
      <c r="B22" s="98"/>
      <c r="C22" s="98"/>
      <c r="D22" s="324">
        <f t="shared" si="19"/>
        <v>46128</v>
      </c>
      <c r="E22" s="324" t="s">
        <v>525</v>
      </c>
      <c r="F22" s="228">
        <f t="shared" si="20"/>
        <v>8763986.9999999981</v>
      </c>
      <c r="G22" s="322"/>
      <c r="H22" s="350"/>
      <c r="I22" s="234">
        <v>691640.75951892836</v>
      </c>
      <c r="J22" s="101">
        <f t="shared" si="57"/>
        <v>7.8918505871691566E-2</v>
      </c>
      <c r="K22" s="234">
        <v>925733.28531497112</v>
      </c>
      <c r="L22" s="101">
        <f t="shared" si="58"/>
        <v>0.10562923990131105</v>
      </c>
      <c r="M22" s="227">
        <f t="shared" si="59"/>
        <v>1617374.0448338995</v>
      </c>
      <c r="N22" s="101">
        <f t="shared" si="60"/>
        <v>0.18454774577300262</v>
      </c>
      <c r="O22" s="234">
        <v>243976.81780337341</v>
      </c>
      <c r="P22" s="101">
        <f t="shared" si="61"/>
        <v>2.783856454868925E-2</v>
      </c>
      <c r="Q22" s="234">
        <v>29087.60900882207</v>
      </c>
      <c r="R22" s="101">
        <f t="shared" si="62"/>
        <v>3.318992715167432E-3</v>
      </c>
      <c r="S22" s="227">
        <f t="shared" si="63"/>
        <v>273064.42681219551</v>
      </c>
      <c r="T22" s="101">
        <f t="shared" si="64"/>
        <v>3.1157557263856685E-2</v>
      </c>
      <c r="U22" s="234">
        <v>993205.4446063193</v>
      </c>
      <c r="V22" s="101">
        <f t="shared" si="65"/>
        <v>0.11332803718288485</v>
      </c>
      <c r="W22" s="234">
        <v>115787.81689126894</v>
      </c>
      <c r="X22" s="101">
        <f t="shared" si="66"/>
        <v>1.3211774149284905E-2</v>
      </c>
      <c r="Y22" s="234">
        <v>782781.56973602809</v>
      </c>
      <c r="Z22" s="101">
        <f t="shared" si="67"/>
        <v>8.9317974768336403E-2</v>
      </c>
      <c r="AA22" s="234">
        <v>955844.37416190596</v>
      </c>
      <c r="AB22" s="101">
        <f t="shared" si="68"/>
        <v>0.10906501506242605</v>
      </c>
      <c r="AC22" s="227">
        <f t="shared" si="69"/>
        <v>1738625.9438979342</v>
      </c>
      <c r="AD22" s="101">
        <f t="shared" si="70"/>
        <v>0.19838298983076247</v>
      </c>
      <c r="AE22" s="234">
        <v>1600360.3912748934</v>
      </c>
      <c r="AF22" s="101">
        <f t="shared" si="71"/>
        <v>0.18260643144209293</v>
      </c>
      <c r="AG22" s="234">
        <v>642950.98540799646</v>
      </c>
      <c r="AH22" s="101">
        <f t="shared" si="72"/>
        <v>7.3362841068568066E-2</v>
      </c>
      <c r="AI22" s="234">
        <v>1168878.7332859132</v>
      </c>
      <c r="AJ22" s="101">
        <f t="shared" si="73"/>
        <v>0.13337294239321823</v>
      </c>
      <c r="AK22" s="234">
        <v>613739.21298957837</v>
      </c>
      <c r="AL22" s="101">
        <f t="shared" si="74"/>
        <v>7.0029680896329313E-2</v>
      </c>
    </row>
    <row r="23" spans="2:38" ht="14.25">
      <c r="B23" s="98"/>
      <c r="C23" s="98"/>
      <c r="D23" s="324">
        <f t="shared" si="19"/>
        <v>46129</v>
      </c>
      <c r="E23" s="324" t="s">
        <v>526</v>
      </c>
      <c r="F23" s="228">
        <f t="shared" si="20"/>
        <v>8064540</v>
      </c>
      <c r="G23" s="322"/>
      <c r="H23" s="350"/>
      <c r="I23" s="234">
        <v>686610.25871803553</v>
      </c>
      <c r="J23" s="101">
        <f t="shared" si="57"/>
        <v>8.5139420068352997E-2</v>
      </c>
      <c r="K23" s="234">
        <v>886139.82344764273</v>
      </c>
      <c r="L23" s="101">
        <f t="shared" si="58"/>
        <v>0.10988101285970964</v>
      </c>
      <c r="M23" s="227">
        <f t="shared" si="59"/>
        <v>1572750.0821656783</v>
      </c>
      <c r="N23" s="101">
        <f t="shared" si="60"/>
        <v>0.19502043292806265</v>
      </c>
      <c r="O23" s="234">
        <v>180043.19992226394</v>
      </c>
      <c r="P23" s="101">
        <f t="shared" si="61"/>
        <v>2.2325290707500233E-2</v>
      </c>
      <c r="Q23" s="234">
        <v>24696.669603856837</v>
      </c>
      <c r="R23" s="101">
        <f t="shared" si="62"/>
        <v>3.0623779662394676E-3</v>
      </c>
      <c r="S23" s="227">
        <f t="shared" si="63"/>
        <v>204739.86952612078</v>
      </c>
      <c r="T23" s="101">
        <f t="shared" si="64"/>
        <v>2.5387668673739702E-2</v>
      </c>
      <c r="U23" s="234">
        <v>949295.2147322254</v>
      </c>
      <c r="V23" s="101">
        <f t="shared" si="65"/>
        <v>0.11771225819851168</v>
      </c>
      <c r="W23" s="234">
        <v>67873.613209523333</v>
      </c>
      <c r="X23" s="101">
        <f t="shared" si="66"/>
        <v>8.4163031257236415E-3</v>
      </c>
      <c r="Y23" s="234">
        <v>749327.40570560063</v>
      </c>
      <c r="Z23" s="101">
        <f t="shared" si="67"/>
        <v>9.2916323275177584E-2</v>
      </c>
      <c r="AA23" s="234">
        <v>1076099.1415186992</v>
      </c>
      <c r="AB23" s="101">
        <f t="shared" si="68"/>
        <v>0.1334358985780589</v>
      </c>
      <c r="AC23" s="227">
        <f t="shared" si="69"/>
        <v>1825426.5472243</v>
      </c>
      <c r="AD23" s="101">
        <f t="shared" si="70"/>
        <v>0.2263522218532365</v>
      </c>
      <c r="AE23" s="234">
        <v>1282430.0664692302</v>
      </c>
      <c r="AF23" s="101">
        <f t="shared" si="71"/>
        <v>0.15902085754044623</v>
      </c>
      <c r="AG23" s="234">
        <v>579030.93178739713</v>
      </c>
      <c r="AH23" s="101">
        <f t="shared" si="72"/>
        <v>7.1799623014753122E-2</v>
      </c>
      <c r="AI23" s="234">
        <v>1041227.3234030016</v>
      </c>
      <c r="AJ23" s="101">
        <f t="shared" si="73"/>
        <v>0.12911180593102664</v>
      </c>
      <c r="AK23" s="234">
        <v>541766.35148252314</v>
      </c>
      <c r="AL23" s="101">
        <f t="shared" si="74"/>
        <v>6.7178828734499818E-2</v>
      </c>
    </row>
    <row r="24" spans="2:38" ht="14.25">
      <c r="B24" s="98"/>
      <c r="C24" s="98"/>
      <c r="D24" s="324">
        <f t="shared" si="19"/>
        <v>46130</v>
      </c>
      <c r="E24" s="324" t="s">
        <v>527</v>
      </c>
      <c r="F24" s="228">
        <f t="shared" si="20"/>
        <v>8542392.9999999981</v>
      </c>
      <c r="G24" s="322"/>
      <c r="H24" s="350"/>
      <c r="I24" s="234">
        <v>728640.53372453991</v>
      </c>
      <c r="J24" s="101">
        <f t="shared" si="57"/>
        <v>8.5297004448816632E-2</v>
      </c>
      <c r="K24" s="234">
        <v>933008.68280312896</v>
      </c>
      <c r="L24" s="101">
        <f t="shared" si="58"/>
        <v>0.10922099730170798</v>
      </c>
      <c r="M24" s="227">
        <f t="shared" si="59"/>
        <v>1661649.2165276688</v>
      </c>
      <c r="N24" s="101">
        <f t="shared" si="60"/>
        <v>0.19451800175052461</v>
      </c>
      <c r="O24" s="234">
        <v>181070.94339453962</v>
      </c>
      <c r="P24" s="101">
        <f t="shared" si="61"/>
        <v>2.1196747023291912E-2</v>
      </c>
      <c r="Q24" s="234">
        <v>23697.48694648012</v>
      </c>
      <c r="R24" s="101">
        <f t="shared" si="62"/>
        <v>2.774104041628631E-3</v>
      </c>
      <c r="S24" s="227">
        <f t="shared" si="63"/>
        <v>204768.43034101973</v>
      </c>
      <c r="T24" s="101">
        <f t="shared" si="64"/>
        <v>2.3970851064920543E-2</v>
      </c>
      <c r="U24" s="234">
        <v>1003165.3706403204</v>
      </c>
      <c r="V24" s="101">
        <f t="shared" si="65"/>
        <v>0.11743376482916679</v>
      </c>
      <c r="W24" s="234">
        <v>80889.774970248094</v>
      </c>
      <c r="X24" s="101">
        <f t="shared" si="66"/>
        <v>9.4692172287376749E-3</v>
      </c>
      <c r="Y24" s="234">
        <v>792733.0175907705</v>
      </c>
      <c r="Z24" s="101">
        <f t="shared" si="67"/>
        <v>9.2799876754765406E-2</v>
      </c>
      <c r="AA24" s="234">
        <v>1066543.0073480178</v>
      </c>
      <c r="AB24" s="101">
        <f t="shared" si="68"/>
        <v>0.12485295482753112</v>
      </c>
      <c r="AC24" s="227">
        <f t="shared" si="69"/>
        <v>1859276.0249387883</v>
      </c>
      <c r="AD24" s="101">
        <f t="shared" si="70"/>
        <v>0.21765283158229651</v>
      </c>
      <c r="AE24" s="234">
        <v>1462827.5815864149</v>
      </c>
      <c r="AF24" s="101">
        <f t="shared" si="71"/>
        <v>0.17124330168214166</v>
      </c>
      <c r="AG24" s="234">
        <v>689267.19056639506</v>
      </c>
      <c r="AH24" s="101">
        <f t="shared" si="72"/>
        <v>8.0687834259837402E-2</v>
      </c>
      <c r="AI24" s="234">
        <v>1004652.2602125918</v>
      </c>
      <c r="AJ24" s="101">
        <f t="shared" si="73"/>
        <v>0.11760782490487058</v>
      </c>
      <c r="AK24" s="234">
        <v>575897.1502165522</v>
      </c>
      <c r="AL24" s="101">
        <f t="shared" si="74"/>
        <v>6.7416372697504362E-2</v>
      </c>
    </row>
    <row r="25" spans="2:38" ht="14.25">
      <c r="B25" s="98"/>
      <c r="C25" s="98"/>
      <c r="D25" s="324">
        <f t="shared" si="19"/>
        <v>46131</v>
      </c>
      <c r="E25" s="324" t="s">
        <v>528</v>
      </c>
      <c r="F25" s="228">
        <f t="shared" si="20"/>
        <v>10067235</v>
      </c>
      <c r="G25" s="322"/>
      <c r="H25" s="350"/>
      <c r="I25" s="234">
        <v>819359.08047988289</v>
      </c>
      <c r="J25" s="101">
        <f t="shared" si="57"/>
        <v>8.1388691182820591E-2</v>
      </c>
      <c r="K25" s="234">
        <v>1008572.0571177386</v>
      </c>
      <c r="L25" s="101">
        <f t="shared" si="58"/>
        <v>0.1001836211350722</v>
      </c>
      <c r="M25" s="227">
        <f t="shared" si="59"/>
        <v>1827931.1375976214</v>
      </c>
      <c r="N25" s="101">
        <f t="shared" si="60"/>
        <v>0.18157231231789278</v>
      </c>
      <c r="O25" s="234">
        <v>221442.34550651957</v>
      </c>
      <c r="P25" s="101">
        <f t="shared" si="61"/>
        <v>2.1996342144245125E-2</v>
      </c>
      <c r="Q25" s="234">
        <v>27606.305768201921</v>
      </c>
      <c r="R25" s="101">
        <f t="shared" si="62"/>
        <v>2.7421934392315188E-3</v>
      </c>
      <c r="S25" s="227">
        <f t="shared" si="63"/>
        <v>249048.65127472149</v>
      </c>
      <c r="T25" s="101">
        <f t="shared" si="64"/>
        <v>2.4738535583476644E-2</v>
      </c>
      <c r="U25" s="234">
        <v>1192477.3546870628</v>
      </c>
      <c r="V25" s="101">
        <f t="shared" si="65"/>
        <v>0.11845132796513271</v>
      </c>
      <c r="W25" s="234">
        <v>99424.155642988771</v>
      </c>
      <c r="X25" s="101">
        <f t="shared" si="66"/>
        <v>9.8760141829398809E-3</v>
      </c>
      <c r="Y25" s="234">
        <v>897876.89271072438</v>
      </c>
      <c r="Z25" s="101">
        <f t="shared" si="67"/>
        <v>8.9188033527649285E-2</v>
      </c>
      <c r="AA25" s="234">
        <v>1167028.3694564449</v>
      </c>
      <c r="AB25" s="101">
        <f t="shared" si="68"/>
        <v>0.11592342579232975</v>
      </c>
      <c r="AC25" s="227">
        <f t="shared" si="69"/>
        <v>2064905.2621671692</v>
      </c>
      <c r="AD25" s="101">
        <f t="shared" si="70"/>
        <v>0.20511145931997904</v>
      </c>
      <c r="AE25" s="234">
        <v>1915399.4553113242</v>
      </c>
      <c r="AF25" s="101">
        <f t="shared" si="71"/>
        <v>0.19026072752958725</v>
      </c>
      <c r="AG25" s="234">
        <v>824321.99757512624</v>
      </c>
      <c r="AH25" s="101">
        <f t="shared" si="72"/>
        <v>8.1881668360292204E-2</v>
      </c>
      <c r="AI25" s="234">
        <v>1253665.6063623852</v>
      </c>
      <c r="AJ25" s="101">
        <f t="shared" si="73"/>
        <v>0.12452928796858176</v>
      </c>
      <c r="AK25" s="234">
        <v>640061.37938159984</v>
      </c>
      <c r="AL25" s="101">
        <f t="shared" si="74"/>
        <v>6.3578666772117653E-2</v>
      </c>
    </row>
    <row r="26" spans="2:38" ht="14.25">
      <c r="B26" s="98"/>
      <c r="C26" s="98"/>
      <c r="D26" s="324">
        <f t="shared" si="19"/>
        <v>46132</v>
      </c>
      <c r="E26" s="324" t="s">
        <v>522</v>
      </c>
      <c r="F26" s="228">
        <f t="shared" si="20"/>
        <v>9464660.0000000019</v>
      </c>
      <c r="G26" s="322"/>
      <c r="H26" s="350"/>
      <c r="I26" s="234">
        <v>776624.31363651226</v>
      </c>
      <c r="J26" s="101">
        <f t="shared" si="57"/>
        <v>8.2055172994752276E-2</v>
      </c>
      <c r="K26" s="234">
        <v>952562.80166779866</v>
      </c>
      <c r="L26" s="101">
        <f t="shared" si="58"/>
        <v>0.10064416489000116</v>
      </c>
      <c r="M26" s="227">
        <f t="shared" si="59"/>
        <v>1729187.1153043108</v>
      </c>
      <c r="N26" s="101">
        <f t="shared" si="60"/>
        <v>0.18269933788475343</v>
      </c>
      <c r="O26" s="234">
        <v>212997.95298924981</v>
      </c>
      <c r="P26" s="101">
        <f t="shared" si="61"/>
        <v>2.2504554098007723E-2</v>
      </c>
      <c r="Q26" s="234">
        <v>28703.8716589836</v>
      </c>
      <c r="R26" s="101">
        <f t="shared" si="62"/>
        <v>3.0327419747760188E-3</v>
      </c>
      <c r="S26" s="227">
        <f t="shared" si="63"/>
        <v>241701.82464823342</v>
      </c>
      <c r="T26" s="101">
        <f t="shared" si="64"/>
        <v>2.5537296072783742E-2</v>
      </c>
      <c r="U26" s="234">
        <v>1161621.9526598931</v>
      </c>
      <c r="V26" s="101">
        <f t="shared" si="65"/>
        <v>0.12273256014055368</v>
      </c>
      <c r="W26" s="234">
        <v>98260.765824763206</v>
      </c>
      <c r="X26" s="101">
        <f t="shared" si="66"/>
        <v>1.0381859023436996E-2</v>
      </c>
      <c r="Y26" s="234">
        <v>840445.57513648795</v>
      </c>
      <c r="Z26" s="101">
        <f t="shared" si="67"/>
        <v>8.8798284897343149E-2</v>
      </c>
      <c r="AA26" s="234">
        <v>1153741.2036881498</v>
      </c>
      <c r="AB26" s="101">
        <f t="shared" si="68"/>
        <v>0.12189991015928196</v>
      </c>
      <c r="AC26" s="227">
        <f t="shared" si="69"/>
        <v>1994186.7788246376</v>
      </c>
      <c r="AD26" s="101">
        <f t="shared" si="70"/>
        <v>0.2106981950566251</v>
      </c>
      <c r="AE26" s="234">
        <v>1677900.6995315659</v>
      </c>
      <c r="AF26" s="101">
        <f t="shared" si="71"/>
        <v>0.17728061013618721</v>
      </c>
      <c r="AG26" s="234">
        <v>675877.41406111815</v>
      </c>
      <c r="AH26" s="101">
        <f t="shared" si="72"/>
        <v>7.1410638529130266E-2</v>
      </c>
      <c r="AI26" s="234">
        <v>1223711.2379021018</v>
      </c>
      <c r="AJ26" s="101">
        <f t="shared" si="73"/>
        <v>0.12929267801506886</v>
      </c>
      <c r="AK26" s="234">
        <v>662212.21124337823</v>
      </c>
      <c r="AL26" s="101">
        <f t="shared" si="74"/>
        <v>6.996682514146077E-2</v>
      </c>
    </row>
    <row r="27" spans="2:38" ht="14.25">
      <c r="B27" s="98"/>
      <c r="C27" s="98"/>
      <c r="D27" s="473">
        <f t="shared" si="19"/>
        <v>46133</v>
      </c>
      <c r="E27" s="473" t="s">
        <v>523</v>
      </c>
      <c r="F27" s="228">
        <f t="shared" si="20"/>
        <v>9597993</v>
      </c>
      <c r="G27" s="322">
        <f>SUM(F27:F33)</f>
        <v>62548992</v>
      </c>
      <c r="H27" s="350"/>
      <c r="I27" s="234">
        <v>868921.38160009775</v>
      </c>
      <c r="J27" s="101">
        <f t="shared" si="57"/>
        <v>9.0531570673170705E-2</v>
      </c>
      <c r="K27" s="234">
        <v>914836.8828141595</v>
      </c>
      <c r="L27" s="101">
        <f t="shared" si="58"/>
        <v>9.5315435509711194E-2</v>
      </c>
      <c r="M27" s="227">
        <f t="shared" si="59"/>
        <v>1783758.2644142574</v>
      </c>
      <c r="N27" s="101">
        <f t="shared" si="60"/>
        <v>0.18584700618288191</v>
      </c>
      <c r="O27" s="234">
        <v>205067.91444480082</v>
      </c>
      <c r="P27" s="101">
        <f t="shared" si="61"/>
        <v>2.1365707856298793E-2</v>
      </c>
      <c r="Q27" s="234">
        <v>28134.62008594456</v>
      </c>
      <c r="R27" s="101">
        <f t="shared" si="62"/>
        <v>2.9313024176975916E-3</v>
      </c>
      <c r="S27" s="227">
        <f t="shared" si="63"/>
        <v>233202.53453074538</v>
      </c>
      <c r="T27" s="101">
        <f t="shared" si="64"/>
        <v>2.4297010273996385E-2</v>
      </c>
      <c r="U27" s="234">
        <v>1028997.0849621141</v>
      </c>
      <c r="V27" s="101">
        <f t="shared" si="65"/>
        <v>0.10720960985928142</v>
      </c>
      <c r="W27" s="234">
        <v>166658.55645105109</v>
      </c>
      <c r="X27" s="101">
        <f t="shared" si="66"/>
        <v>1.7363896436583263E-2</v>
      </c>
      <c r="Y27" s="234">
        <v>782599.03362535092</v>
      </c>
      <c r="Z27" s="101">
        <f t="shared" si="67"/>
        <v>8.1537779161263285E-2</v>
      </c>
      <c r="AA27" s="234">
        <v>1220718.144385888</v>
      </c>
      <c r="AB27" s="101">
        <f t="shared" si="68"/>
        <v>0.1271847295977282</v>
      </c>
      <c r="AC27" s="227">
        <f t="shared" si="69"/>
        <v>2003317.178011239</v>
      </c>
      <c r="AD27" s="101">
        <f t="shared" si="70"/>
        <v>0.20872250875899148</v>
      </c>
      <c r="AE27" s="234">
        <v>1540029.8216485474</v>
      </c>
      <c r="AF27" s="101">
        <f t="shared" si="71"/>
        <v>0.16045331786015549</v>
      </c>
      <c r="AG27" s="234">
        <v>1057185.9789920056</v>
      </c>
      <c r="AH27" s="101">
        <f t="shared" si="72"/>
        <v>0.11014656699499631</v>
      </c>
      <c r="AI27" s="234">
        <v>1168197.1678994887</v>
      </c>
      <c r="AJ27" s="101">
        <f t="shared" si="73"/>
        <v>0.12171265054053371</v>
      </c>
      <c r="AK27" s="234">
        <v>616646.41309055185</v>
      </c>
      <c r="AL27" s="101">
        <f t="shared" si="74"/>
        <v>6.4247433092580075E-2</v>
      </c>
    </row>
    <row r="28" spans="2:38" ht="14.25">
      <c r="B28" s="98"/>
      <c r="C28" s="98"/>
      <c r="D28" s="473">
        <f t="shared" si="19"/>
        <v>46134</v>
      </c>
      <c r="E28" s="473" t="s">
        <v>524</v>
      </c>
      <c r="F28" s="228">
        <f t="shared" si="20"/>
        <v>8802216</v>
      </c>
      <c r="G28" s="322"/>
      <c r="H28" s="350"/>
      <c r="I28" s="234">
        <v>830266.06850560021</v>
      </c>
      <c r="J28" s="101">
        <f t="shared" si="57"/>
        <v>9.4324664210194364E-2</v>
      </c>
      <c r="K28" s="234">
        <v>894120.17874350969</v>
      </c>
      <c r="L28" s="101">
        <f t="shared" si="58"/>
        <v>0.1015789863306592</v>
      </c>
      <c r="M28" s="227">
        <f t="shared" si="59"/>
        <v>1724386.2472491099</v>
      </c>
      <c r="N28" s="101">
        <f t="shared" si="60"/>
        <v>0.19590365054085357</v>
      </c>
      <c r="O28" s="234">
        <v>221568.15054342581</v>
      </c>
      <c r="P28" s="101">
        <f t="shared" si="61"/>
        <v>2.5171860193322432E-2</v>
      </c>
      <c r="Q28" s="234">
        <v>26435.45265307559</v>
      </c>
      <c r="R28" s="101">
        <f t="shared" si="62"/>
        <v>3.0032724319734474E-3</v>
      </c>
      <c r="S28" s="227">
        <f t="shared" si="63"/>
        <v>248003.60319650141</v>
      </c>
      <c r="T28" s="101">
        <f t="shared" si="64"/>
        <v>2.8175132625295883E-2</v>
      </c>
      <c r="U28" s="234">
        <v>966687.16513013549</v>
      </c>
      <c r="V28" s="101">
        <f t="shared" si="65"/>
        <v>0.10982315875117533</v>
      </c>
      <c r="W28" s="234">
        <v>137046.0098247843</v>
      </c>
      <c r="X28" s="101">
        <f t="shared" si="66"/>
        <v>1.5569489526817372E-2</v>
      </c>
      <c r="Y28" s="234">
        <v>753244.54241040582</v>
      </c>
      <c r="Z28" s="101">
        <f t="shared" si="67"/>
        <v>8.5574421533214567E-2</v>
      </c>
      <c r="AA28" s="234">
        <v>1118738.4065789778</v>
      </c>
      <c r="AB28" s="101">
        <f t="shared" si="68"/>
        <v>0.12709735895812801</v>
      </c>
      <c r="AC28" s="227">
        <f t="shared" si="69"/>
        <v>1871982.9489893836</v>
      </c>
      <c r="AD28" s="101">
        <f t="shared" si="70"/>
        <v>0.21267178049134258</v>
      </c>
      <c r="AE28" s="234">
        <v>1413732.2253066313</v>
      </c>
      <c r="AF28" s="101">
        <f t="shared" si="71"/>
        <v>0.16061094448337002</v>
      </c>
      <c r="AG28" s="234">
        <v>828407.36384403252</v>
      </c>
      <c r="AH28" s="101">
        <f t="shared" si="72"/>
        <v>9.4113500946129081E-2</v>
      </c>
      <c r="AI28" s="234">
        <v>1009719.693698984</v>
      </c>
      <c r="AJ28" s="101">
        <f t="shared" si="73"/>
        <v>0.1147119877197951</v>
      </c>
      <c r="AK28" s="234">
        <v>602250.74276043673</v>
      </c>
      <c r="AL28" s="101">
        <f t="shared" si="74"/>
        <v>6.8420354915220971E-2</v>
      </c>
    </row>
    <row r="29" spans="2:38" ht="14.25">
      <c r="B29" s="98"/>
      <c r="C29" s="98"/>
      <c r="D29" s="473">
        <f t="shared" si="19"/>
        <v>46135</v>
      </c>
      <c r="E29" s="473" t="s">
        <v>525</v>
      </c>
      <c r="F29" s="228">
        <f t="shared" si="20"/>
        <v>8226059</v>
      </c>
      <c r="G29" s="322"/>
      <c r="H29" s="350"/>
      <c r="I29" s="234">
        <v>777222.56829167367</v>
      </c>
      <c r="J29" s="101">
        <f t="shared" si="57"/>
        <v>9.4482980038396724E-2</v>
      </c>
      <c r="K29" s="234">
        <v>825089.99580377806</v>
      </c>
      <c r="L29" s="101">
        <f t="shared" si="58"/>
        <v>0.10030197884597936</v>
      </c>
      <c r="M29" s="227">
        <f t="shared" si="59"/>
        <v>1602312.5640954517</v>
      </c>
      <c r="N29" s="101">
        <f t="shared" si="60"/>
        <v>0.19478495888437608</v>
      </c>
      <c r="O29" s="234">
        <v>177017.37496819472</v>
      </c>
      <c r="P29" s="101">
        <f t="shared" si="61"/>
        <v>2.1519098631336674E-2</v>
      </c>
      <c r="Q29" s="234">
        <v>22424.0121679769</v>
      </c>
      <c r="R29" s="101">
        <f t="shared" si="62"/>
        <v>2.7259726884984537E-3</v>
      </c>
      <c r="S29" s="227">
        <f t="shared" si="63"/>
        <v>199441.38713617163</v>
      </c>
      <c r="T29" s="101">
        <f t="shared" si="64"/>
        <v>2.4245071319835127E-2</v>
      </c>
      <c r="U29" s="234">
        <v>914883.84134380671</v>
      </c>
      <c r="V29" s="101">
        <f t="shared" si="65"/>
        <v>0.11121775826599428</v>
      </c>
      <c r="W29" s="234">
        <v>140348.15635304528</v>
      </c>
      <c r="X29" s="101">
        <f t="shared" si="66"/>
        <v>1.7061408914407893E-2</v>
      </c>
      <c r="Y29" s="234">
        <v>739127.91665355989</v>
      </c>
      <c r="Z29" s="101">
        <f t="shared" si="67"/>
        <v>8.9852007705458939E-2</v>
      </c>
      <c r="AA29" s="234">
        <v>955434.50145577686</v>
      </c>
      <c r="AB29" s="101">
        <f t="shared" si="68"/>
        <v>0.11614729501159388</v>
      </c>
      <c r="AC29" s="227">
        <f t="shared" si="69"/>
        <v>1694562.4181093369</v>
      </c>
      <c r="AD29" s="101">
        <f t="shared" si="70"/>
        <v>0.20599930271705283</v>
      </c>
      <c r="AE29" s="234">
        <v>1339732.5229692429</v>
      </c>
      <c r="AF29" s="101">
        <f t="shared" si="71"/>
        <v>0.16286444371104594</v>
      </c>
      <c r="AG29" s="234">
        <v>789230.22268300084</v>
      </c>
      <c r="AH29" s="101">
        <f t="shared" si="72"/>
        <v>9.5942689285720029E-2</v>
      </c>
      <c r="AI29" s="234">
        <v>939557.70560133294</v>
      </c>
      <c r="AJ29" s="101">
        <f t="shared" si="73"/>
        <v>0.11421723398790756</v>
      </c>
      <c r="AK29" s="234">
        <v>605990.1817086119</v>
      </c>
      <c r="AL29" s="101">
        <f t="shared" si="74"/>
        <v>7.3667132913660338E-2</v>
      </c>
    </row>
    <row r="30" spans="2:38" ht="14.25">
      <c r="B30" s="98"/>
      <c r="C30" s="98"/>
      <c r="D30" s="473">
        <f t="shared" si="19"/>
        <v>46136</v>
      </c>
      <c r="E30" s="473" t="s">
        <v>526</v>
      </c>
      <c r="F30" s="228">
        <f t="shared" si="20"/>
        <v>7986531.9999999981</v>
      </c>
      <c r="G30" s="322"/>
      <c r="H30" s="350"/>
      <c r="I30" s="234">
        <v>749048.31507020839</v>
      </c>
      <c r="J30" s="101">
        <f t="shared" si="57"/>
        <v>9.3788933052570078E-2</v>
      </c>
      <c r="K30" s="234">
        <v>815641.131008739</v>
      </c>
      <c r="L30" s="101">
        <f t="shared" si="58"/>
        <v>0.10212707230231334</v>
      </c>
      <c r="M30" s="227">
        <f t="shared" si="59"/>
        <v>1564689.4460789473</v>
      </c>
      <c r="N30" s="101">
        <f t="shared" si="60"/>
        <v>0.1959160053548834</v>
      </c>
      <c r="O30" s="234">
        <v>151912.08814293172</v>
      </c>
      <c r="P30" s="101">
        <f t="shared" si="61"/>
        <v>1.9021032926798735E-2</v>
      </c>
      <c r="Q30" s="234">
        <v>20287.114841406528</v>
      </c>
      <c r="R30" s="101">
        <f t="shared" si="62"/>
        <v>2.5401657241724608E-3</v>
      </c>
      <c r="S30" s="227">
        <f t="shared" si="63"/>
        <v>172199.20298433825</v>
      </c>
      <c r="T30" s="101">
        <f t="shared" si="64"/>
        <v>2.1561198650971197E-2</v>
      </c>
      <c r="U30" s="234">
        <v>899936.03067136195</v>
      </c>
      <c r="V30" s="101">
        <f t="shared" si="65"/>
        <v>0.11268170348173176</v>
      </c>
      <c r="W30" s="234">
        <v>95958.316240343149</v>
      </c>
      <c r="X30" s="101">
        <f t="shared" si="66"/>
        <v>1.2015016810843953E-2</v>
      </c>
      <c r="Y30" s="234">
        <v>704483.12351043592</v>
      </c>
      <c r="Z30" s="101">
        <f t="shared" si="67"/>
        <v>8.8208890105296783E-2</v>
      </c>
      <c r="AA30" s="234">
        <v>1033824.5629457784</v>
      </c>
      <c r="AB30" s="101">
        <f t="shared" si="68"/>
        <v>0.12944599269692761</v>
      </c>
      <c r="AC30" s="227">
        <f t="shared" si="69"/>
        <v>1738307.6864562142</v>
      </c>
      <c r="AD30" s="101">
        <f t="shared" si="70"/>
        <v>0.21765488280222436</v>
      </c>
      <c r="AE30" s="234">
        <v>1339136.8153592893</v>
      </c>
      <c r="AF30" s="101">
        <f t="shared" si="71"/>
        <v>0.16767438174157315</v>
      </c>
      <c r="AG30" s="234">
        <v>755442.26844056859</v>
      </c>
      <c r="AH30" s="101">
        <f t="shared" si="72"/>
        <v>9.4589525020443016E-2</v>
      </c>
      <c r="AI30" s="234">
        <v>880480.85128780489</v>
      </c>
      <c r="AJ30" s="101">
        <f t="shared" si="73"/>
        <v>0.11024570505543646</v>
      </c>
      <c r="AK30" s="234">
        <v>540381.38248113147</v>
      </c>
      <c r="AL30" s="101">
        <f t="shared" si="74"/>
        <v>6.766158108189281E-2</v>
      </c>
    </row>
    <row r="31" spans="2:38" ht="14.25">
      <c r="B31" s="98"/>
      <c r="C31" s="98"/>
      <c r="D31" s="473">
        <f t="shared" si="19"/>
        <v>46137</v>
      </c>
      <c r="E31" s="473" t="s">
        <v>527</v>
      </c>
      <c r="F31" s="228">
        <f t="shared" si="20"/>
        <v>8347470</v>
      </c>
      <c r="G31" s="322"/>
      <c r="H31" s="350"/>
      <c r="I31" s="234">
        <v>699612.02897507558</v>
      </c>
      <c r="J31" s="101">
        <f t="shared" si="57"/>
        <v>8.3811266045289837E-2</v>
      </c>
      <c r="K31" s="234">
        <v>856262.8094755644</v>
      </c>
      <c r="L31" s="101">
        <f t="shared" si="58"/>
        <v>0.10257752462429508</v>
      </c>
      <c r="M31" s="227">
        <f t="shared" si="59"/>
        <v>1555874.83845064</v>
      </c>
      <c r="N31" s="101">
        <f t="shared" si="60"/>
        <v>0.18638879066958491</v>
      </c>
      <c r="O31" s="234">
        <v>158903.95104357298</v>
      </c>
      <c r="P31" s="101">
        <f t="shared" si="61"/>
        <v>1.9036181147530088E-2</v>
      </c>
      <c r="Q31" s="234">
        <v>20163.385857764955</v>
      </c>
      <c r="R31" s="101">
        <f t="shared" si="62"/>
        <v>2.4155086340849328E-3</v>
      </c>
      <c r="S31" s="227">
        <f t="shared" si="63"/>
        <v>179067.33690133793</v>
      </c>
      <c r="T31" s="101">
        <f t="shared" si="64"/>
        <v>2.1451689781615019E-2</v>
      </c>
      <c r="U31" s="234">
        <v>985430.38501714217</v>
      </c>
      <c r="V31" s="101">
        <f t="shared" si="65"/>
        <v>0.11805138383452018</v>
      </c>
      <c r="W31" s="234">
        <v>100905.74951216791</v>
      </c>
      <c r="X31" s="101">
        <f t="shared" si="66"/>
        <v>1.2088183546891203E-2</v>
      </c>
      <c r="Y31" s="234">
        <v>772100.38747740176</v>
      </c>
      <c r="Z31" s="101">
        <f t="shared" si="67"/>
        <v>9.2495137745616546E-2</v>
      </c>
      <c r="AA31" s="234">
        <v>1059816.8086119883</v>
      </c>
      <c r="AB31" s="101">
        <f t="shared" si="68"/>
        <v>0.12696263761498852</v>
      </c>
      <c r="AC31" s="227">
        <f t="shared" si="69"/>
        <v>1831917.1960893902</v>
      </c>
      <c r="AD31" s="101">
        <f t="shared" si="70"/>
        <v>0.2194577753606051</v>
      </c>
      <c r="AE31" s="234">
        <v>1431712.2528118708</v>
      </c>
      <c r="AF31" s="101">
        <f t="shared" si="71"/>
        <v>0.17151451311737217</v>
      </c>
      <c r="AG31" s="234">
        <v>767012.62604749086</v>
      </c>
      <c r="AH31" s="101">
        <f t="shared" si="72"/>
        <v>9.188564032545081E-2</v>
      </c>
      <c r="AI31" s="234">
        <v>911342.55088122166</v>
      </c>
      <c r="AJ31" s="101">
        <f t="shared" si="73"/>
        <v>0.10917590010880203</v>
      </c>
      <c r="AK31" s="234">
        <v>584207.06428873853</v>
      </c>
      <c r="AL31" s="101">
        <f t="shared" si="74"/>
        <v>6.9986123255158572E-2</v>
      </c>
    </row>
    <row r="32" spans="2:38" ht="14.25">
      <c r="B32" s="98"/>
      <c r="C32" s="98"/>
      <c r="D32" s="473">
        <f t="shared" si="19"/>
        <v>46138</v>
      </c>
      <c r="E32" s="473" t="s">
        <v>528</v>
      </c>
      <c r="F32" s="228">
        <f t="shared" si="20"/>
        <v>9947649</v>
      </c>
      <c r="G32" s="322"/>
      <c r="H32" s="350"/>
      <c r="I32" s="234">
        <v>838240.69139790372</v>
      </c>
      <c r="J32" s="101">
        <f t="shared" si="57"/>
        <v>8.4265205919298494E-2</v>
      </c>
      <c r="K32" s="234">
        <v>930287.38003068673</v>
      </c>
      <c r="L32" s="101">
        <f t="shared" si="58"/>
        <v>9.3518315737787572E-2</v>
      </c>
      <c r="M32" s="227">
        <f t="shared" si="59"/>
        <v>1768528.0714285905</v>
      </c>
      <c r="N32" s="101">
        <f t="shared" si="60"/>
        <v>0.17778352165708605</v>
      </c>
      <c r="O32" s="234">
        <v>188563.80281471764</v>
      </c>
      <c r="P32" s="101">
        <f t="shared" si="61"/>
        <v>1.8955614820619186E-2</v>
      </c>
      <c r="Q32" s="234">
        <v>23050.702676204415</v>
      </c>
      <c r="R32" s="101">
        <f t="shared" si="62"/>
        <v>2.3172010468206525E-3</v>
      </c>
      <c r="S32" s="227">
        <f t="shared" si="63"/>
        <v>211614.50549092205</v>
      </c>
      <c r="T32" s="101">
        <f t="shared" si="64"/>
        <v>2.1272815867439839E-2</v>
      </c>
      <c r="U32" s="234">
        <v>1200661.7607324105</v>
      </c>
      <c r="V32" s="101">
        <f t="shared" si="65"/>
        <v>0.12069804239498302</v>
      </c>
      <c r="W32" s="234">
        <v>81452.4378694591</v>
      </c>
      <c r="X32" s="101">
        <f t="shared" si="66"/>
        <v>8.1881093582472711E-3</v>
      </c>
      <c r="Y32" s="234">
        <v>881130.11953471787</v>
      </c>
      <c r="Z32" s="101">
        <f t="shared" si="67"/>
        <v>8.8576719940029844E-2</v>
      </c>
      <c r="AA32" s="234">
        <v>1207902.8470192801</v>
      </c>
      <c r="AB32" s="101">
        <f t="shared" si="68"/>
        <v>0.12142596175430799</v>
      </c>
      <c r="AC32" s="227">
        <f t="shared" si="69"/>
        <v>2089032.9665539979</v>
      </c>
      <c r="AD32" s="101">
        <f t="shared" si="70"/>
        <v>0.21000268169433783</v>
      </c>
      <c r="AE32" s="234">
        <v>1731489.6787393123</v>
      </c>
      <c r="AF32" s="101">
        <f t="shared" si="71"/>
        <v>0.17406019037657161</v>
      </c>
      <c r="AG32" s="234">
        <v>1039158.4473165468</v>
      </c>
      <c r="AH32" s="101">
        <f t="shared" si="72"/>
        <v>0.10446271750406019</v>
      </c>
      <c r="AI32" s="234">
        <v>1160981.1785847922</v>
      </c>
      <c r="AJ32" s="101">
        <f t="shared" si="73"/>
        <v>0.11670910167666673</v>
      </c>
      <c r="AK32" s="234">
        <v>664729.9532839685</v>
      </c>
      <c r="AL32" s="101">
        <f t="shared" si="74"/>
        <v>6.6822819470607434E-2</v>
      </c>
    </row>
    <row r="33" spans="2:38" ht="14.25">
      <c r="B33" s="98"/>
      <c r="C33" s="98"/>
      <c r="D33" s="473">
        <f t="shared" si="19"/>
        <v>46139</v>
      </c>
      <c r="E33" s="473" t="s">
        <v>522</v>
      </c>
      <c r="F33" s="228">
        <f t="shared" si="20"/>
        <v>9641073</v>
      </c>
      <c r="G33" s="322"/>
      <c r="H33" s="350"/>
      <c r="I33" s="234">
        <v>823942.40222451068</v>
      </c>
      <c r="J33" s="101">
        <f t="shared" si="57"/>
        <v>8.5461691061203521E-2</v>
      </c>
      <c r="K33" s="234">
        <v>949564.15369317902</v>
      </c>
      <c r="L33" s="101">
        <f t="shared" si="58"/>
        <v>9.8491542766368331E-2</v>
      </c>
      <c r="M33" s="227">
        <f t="shared" si="59"/>
        <v>1773506.5559176896</v>
      </c>
      <c r="N33" s="101">
        <f t="shared" si="60"/>
        <v>0.18395323382757184</v>
      </c>
      <c r="O33" s="234">
        <v>184101.38325011343</v>
      </c>
      <c r="P33" s="101">
        <f t="shared" si="61"/>
        <v>1.9095528397110303E-2</v>
      </c>
      <c r="Q33" s="234">
        <v>22547.389763706302</v>
      </c>
      <c r="R33" s="101">
        <f t="shared" si="62"/>
        <v>2.338680535217014E-3</v>
      </c>
      <c r="S33" s="227">
        <f t="shared" si="63"/>
        <v>206648.77301381974</v>
      </c>
      <c r="T33" s="101">
        <f t="shared" si="64"/>
        <v>2.1434208932327319E-2</v>
      </c>
      <c r="U33" s="234">
        <v>1144351.8814825725</v>
      </c>
      <c r="V33" s="101">
        <f t="shared" si="65"/>
        <v>0.11869548975332647</v>
      </c>
      <c r="W33" s="234">
        <v>71930.473057917392</v>
      </c>
      <c r="X33" s="101">
        <f t="shared" si="66"/>
        <v>7.4608368858857712E-3</v>
      </c>
      <c r="Y33" s="234">
        <v>857054.63242167141</v>
      </c>
      <c r="Z33" s="101">
        <f t="shared" si="67"/>
        <v>8.8896187428688836E-2</v>
      </c>
      <c r="AA33" s="234">
        <v>1382605.7911298799</v>
      </c>
      <c r="AB33" s="101">
        <f t="shared" si="68"/>
        <v>0.14340787494606461</v>
      </c>
      <c r="AC33" s="227">
        <f t="shared" si="69"/>
        <v>2239660.4235515511</v>
      </c>
      <c r="AD33" s="101">
        <f t="shared" si="70"/>
        <v>0.23230406237475343</v>
      </c>
      <c r="AE33" s="234">
        <v>1689296.2846113928</v>
      </c>
      <c r="AF33" s="101">
        <f t="shared" si="71"/>
        <v>0.17521870072048959</v>
      </c>
      <c r="AG33" s="234">
        <v>864469.90994445642</v>
      </c>
      <c r="AH33" s="101">
        <f t="shared" si="72"/>
        <v>8.9665321478683585E-2</v>
      </c>
      <c r="AI33" s="234">
        <v>986103.35694884451</v>
      </c>
      <c r="AJ33" s="101">
        <f t="shared" si="73"/>
        <v>0.10228149469969208</v>
      </c>
      <c r="AK33" s="234">
        <v>665105.34147175623</v>
      </c>
      <c r="AL33" s="101">
        <f t="shared" si="74"/>
        <v>6.8986651327269929E-2</v>
      </c>
    </row>
    <row r="34" spans="2:38" ht="14.25">
      <c r="B34" s="98"/>
      <c r="C34" s="98"/>
      <c r="D34" s="324">
        <f t="shared" si="19"/>
        <v>46140</v>
      </c>
      <c r="E34" s="324" t="s">
        <v>523</v>
      </c>
      <c r="F34" s="228">
        <f t="shared" si="20"/>
        <v>0</v>
      </c>
      <c r="G34" s="322">
        <f>SUM(F34:F40)</f>
        <v>0</v>
      </c>
      <c r="H34" s="350"/>
      <c r="I34" s="234"/>
      <c r="J34" s="101" t="e">
        <f t="shared" si="57"/>
        <v>#DIV/0!</v>
      </c>
      <c r="K34" s="234"/>
      <c r="L34" s="101" t="e">
        <f t="shared" si="58"/>
        <v>#DIV/0!</v>
      </c>
      <c r="M34" s="227">
        <f t="shared" si="59"/>
        <v>0</v>
      </c>
      <c r="N34" s="101" t="e">
        <f t="shared" si="60"/>
        <v>#DIV/0!</v>
      </c>
      <c r="O34" s="234"/>
      <c r="P34" s="101" t="e">
        <f t="shared" si="61"/>
        <v>#DIV/0!</v>
      </c>
      <c r="Q34" s="234"/>
      <c r="R34" s="101" t="e">
        <f t="shared" si="62"/>
        <v>#DIV/0!</v>
      </c>
      <c r="S34" s="227">
        <f t="shared" si="63"/>
        <v>0</v>
      </c>
      <c r="T34" s="101" t="e">
        <f t="shared" si="64"/>
        <v>#DIV/0!</v>
      </c>
      <c r="U34" s="234"/>
      <c r="V34" s="101" t="e">
        <f t="shared" si="65"/>
        <v>#DIV/0!</v>
      </c>
      <c r="W34" s="234"/>
      <c r="X34" s="101" t="e">
        <f t="shared" si="66"/>
        <v>#DIV/0!</v>
      </c>
      <c r="Y34" s="234"/>
      <c r="Z34" s="101" t="e">
        <f t="shared" si="67"/>
        <v>#DIV/0!</v>
      </c>
      <c r="AA34" s="234"/>
      <c r="AB34" s="101" t="e">
        <f t="shared" si="68"/>
        <v>#DIV/0!</v>
      </c>
      <c r="AC34" s="227">
        <f t="shared" si="69"/>
        <v>0</v>
      </c>
      <c r="AD34" s="101" t="e">
        <f t="shared" si="70"/>
        <v>#DIV/0!</v>
      </c>
      <c r="AE34" s="234"/>
      <c r="AF34" s="101" t="e">
        <f t="shared" si="71"/>
        <v>#DIV/0!</v>
      </c>
      <c r="AG34" s="234"/>
      <c r="AH34" s="101" t="e">
        <f t="shared" si="72"/>
        <v>#DIV/0!</v>
      </c>
      <c r="AI34" s="234"/>
      <c r="AJ34" s="101" t="e">
        <f t="shared" si="73"/>
        <v>#DIV/0!</v>
      </c>
      <c r="AK34" s="234"/>
      <c r="AL34" s="101" t="e">
        <f t="shared" si="74"/>
        <v>#DIV/0!</v>
      </c>
    </row>
    <row r="35" spans="2:38" ht="14.25">
      <c r="B35" s="98"/>
      <c r="C35" s="98"/>
      <c r="D35" s="324">
        <f t="shared" si="19"/>
        <v>46141</v>
      </c>
      <c r="E35" s="324" t="s">
        <v>524</v>
      </c>
      <c r="F35" s="228">
        <f t="shared" si="20"/>
        <v>0</v>
      </c>
      <c r="G35" s="322"/>
      <c r="H35" s="350"/>
      <c r="I35" s="234"/>
      <c r="J35" s="101" t="e">
        <f t="shared" si="57"/>
        <v>#DIV/0!</v>
      </c>
      <c r="K35" s="234"/>
      <c r="L35" s="101" t="e">
        <f t="shared" si="58"/>
        <v>#DIV/0!</v>
      </c>
      <c r="M35" s="227">
        <f t="shared" si="59"/>
        <v>0</v>
      </c>
      <c r="N35" s="101" t="e">
        <f t="shared" si="60"/>
        <v>#DIV/0!</v>
      </c>
      <c r="O35" s="234"/>
      <c r="P35" s="101" t="e">
        <f t="shared" si="61"/>
        <v>#DIV/0!</v>
      </c>
      <c r="Q35" s="234"/>
      <c r="R35" s="101" t="e">
        <f t="shared" si="62"/>
        <v>#DIV/0!</v>
      </c>
      <c r="S35" s="227">
        <f t="shared" si="63"/>
        <v>0</v>
      </c>
      <c r="T35" s="101" t="e">
        <f t="shared" si="64"/>
        <v>#DIV/0!</v>
      </c>
      <c r="U35" s="234"/>
      <c r="V35" s="101" t="e">
        <f t="shared" si="65"/>
        <v>#DIV/0!</v>
      </c>
      <c r="W35" s="234"/>
      <c r="X35" s="101" t="e">
        <f t="shared" si="66"/>
        <v>#DIV/0!</v>
      </c>
      <c r="Y35" s="234"/>
      <c r="Z35" s="101" t="e">
        <f t="shared" si="67"/>
        <v>#DIV/0!</v>
      </c>
      <c r="AA35" s="234"/>
      <c r="AB35" s="101" t="e">
        <f t="shared" si="68"/>
        <v>#DIV/0!</v>
      </c>
      <c r="AC35" s="227">
        <f t="shared" si="69"/>
        <v>0</v>
      </c>
      <c r="AD35" s="101" t="e">
        <f t="shared" si="70"/>
        <v>#DIV/0!</v>
      </c>
      <c r="AE35" s="234"/>
      <c r="AF35" s="101" t="e">
        <f t="shared" si="71"/>
        <v>#DIV/0!</v>
      </c>
      <c r="AG35" s="234"/>
      <c r="AH35" s="101" t="e">
        <f t="shared" si="72"/>
        <v>#DIV/0!</v>
      </c>
      <c r="AI35" s="234"/>
      <c r="AJ35" s="101" t="e">
        <f t="shared" si="73"/>
        <v>#DIV/0!</v>
      </c>
      <c r="AK35" s="234"/>
      <c r="AL35" s="101" t="e">
        <f t="shared" si="74"/>
        <v>#DIV/0!</v>
      </c>
    </row>
    <row r="36" spans="2:38" ht="14.25">
      <c r="B36" s="98"/>
      <c r="C36" s="98"/>
      <c r="D36" s="324">
        <f t="shared" si="19"/>
        <v>46142</v>
      </c>
      <c r="E36" s="324" t="s">
        <v>525</v>
      </c>
      <c r="F36" s="228">
        <f t="shared" si="20"/>
        <v>0</v>
      </c>
      <c r="G36" s="322"/>
      <c r="H36" s="350"/>
      <c r="I36" s="234"/>
      <c r="J36" s="101" t="e">
        <f t="shared" si="57"/>
        <v>#DIV/0!</v>
      </c>
      <c r="K36" s="234"/>
      <c r="L36" s="101" t="e">
        <f t="shared" si="58"/>
        <v>#DIV/0!</v>
      </c>
      <c r="M36" s="227">
        <f t="shared" si="59"/>
        <v>0</v>
      </c>
      <c r="N36" s="101" t="e">
        <f t="shared" si="60"/>
        <v>#DIV/0!</v>
      </c>
      <c r="O36" s="234"/>
      <c r="P36" s="101" t="e">
        <f t="shared" si="61"/>
        <v>#DIV/0!</v>
      </c>
      <c r="Q36" s="234"/>
      <c r="R36" s="101" t="e">
        <f t="shared" si="62"/>
        <v>#DIV/0!</v>
      </c>
      <c r="S36" s="227">
        <f t="shared" si="63"/>
        <v>0</v>
      </c>
      <c r="T36" s="101" t="e">
        <f t="shared" si="64"/>
        <v>#DIV/0!</v>
      </c>
      <c r="U36" s="234"/>
      <c r="V36" s="101" t="e">
        <f t="shared" si="65"/>
        <v>#DIV/0!</v>
      </c>
      <c r="W36" s="234"/>
      <c r="X36" s="101" t="e">
        <f t="shared" si="66"/>
        <v>#DIV/0!</v>
      </c>
      <c r="Y36" s="234"/>
      <c r="Z36" s="101" t="e">
        <f t="shared" si="67"/>
        <v>#DIV/0!</v>
      </c>
      <c r="AA36" s="234"/>
      <c r="AB36" s="101" t="e">
        <f t="shared" si="68"/>
        <v>#DIV/0!</v>
      </c>
      <c r="AC36" s="227">
        <f t="shared" si="69"/>
        <v>0</v>
      </c>
      <c r="AD36" s="101" t="e">
        <f t="shared" si="70"/>
        <v>#DIV/0!</v>
      </c>
      <c r="AE36" s="234"/>
      <c r="AF36" s="101" t="e">
        <f t="shared" si="71"/>
        <v>#DIV/0!</v>
      </c>
      <c r="AG36" s="234"/>
      <c r="AH36" s="101" t="e">
        <f t="shared" si="72"/>
        <v>#DIV/0!</v>
      </c>
      <c r="AI36" s="234"/>
      <c r="AJ36" s="101" t="e">
        <f t="shared" si="73"/>
        <v>#DIV/0!</v>
      </c>
      <c r="AK36" s="234"/>
      <c r="AL36" s="101" t="e">
        <f t="shared" si="74"/>
        <v>#DIV/0!</v>
      </c>
    </row>
    <row r="37" spans="2:38" ht="14.25">
      <c r="B37" s="98"/>
      <c r="C37" s="98"/>
      <c r="D37" s="324">
        <f>D36+1</f>
        <v>46143</v>
      </c>
      <c r="E37" s="324" t="s">
        <v>526</v>
      </c>
      <c r="F37" s="228">
        <f t="shared" si="20"/>
        <v>0</v>
      </c>
      <c r="G37" s="322"/>
      <c r="H37" s="350"/>
      <c r="I37" s="234"/>
      <c r="J37" s="101" t="e">
        <f t="shared" si="57"/>
        <v>#DIV/0!</v>
      </c>
      <c r="K37" s="234"/>
      <c r="L37" s="101" t="e">
        <f t="shared" si="58"/>
        <v>#DIV/0!</v>
      </c>
      <c r="M37" s="227">
        <f t="shared" si="59"/>
        <v>0</v>
      </c>
      <c r="N37" s="101" t="e">
        <f t="shared" si="60"/>
        <v>#DIV/0!</v>
      </c>
      <c r="O37" s="234"/>
      <c r="P37" s="101" t="e">
        <f t="shared" si="61"/>
        <v>#DIV/0!</v>
      </c>
      <c r="Q37" s="234"/>
      <c r="R37" s="101" t="e">
        <f t="shared" si="62"/>
        <v>#DIV/0!</v>
      </c>
      <c r="S37" s="227">
        <f t="shared" si="63"/>
        <v>0</v>
      </c>
      <c r="T37" s="101" t="e">
        <f t="shared" si="64"/>
        <v>#DIV/0!</v>
      </c>
      <c r="U37" s="234"/>
      <c r="V37" s="101" t="e">
        <f t="shared" si="65"/>
        <v>#DIV/0!</v>
      </c>
      <c r="W37" s="234"/>
      <c r="X37" s="101" t="e">
        <f t="shared" si="66"/>
        <v>#DIV/0!</v>
      </c>
      <c r="Y37" s="234"/>
      <c r="Z37" s="101" t="e">
        <f t="shared" si="67"/>
        <v>#DIV/0!</v>
      </c>
      <c r="AA37" s="234"/>
      <c r="AB37" s="101" t="e">
        <f t="shared" si="68"/>
        <v>#DIV/0!</v>
      </c>
      <c r="AC37" s="227">
        <f t="shared" si="69"/>
        <v>0</v>
      </c>
      <c r="AD37" s="101" t="e">
        <f t="shared" si="70"/>
        <v>#DIV/0!</v>
      </c>
      <c r="AE37" s="234"/>
      <c r="AF37" s="101" t="e">
        <f t="shared" si="71"/>
        <v>#DIV/0!</v>
      </c>
      <c r="AG37" s="234"/>
      <c r="AH37" s="101" t="e">
        <f t="shared" si="72"/>
        <v>#DIV/0!</v>
      </c>
      <c r="AI37" s="234"/>
      <c r="AJ37" s="101" t="e">
        <f t="shared" si="73"/>
        <v>#DIV/0!</v>
      </c>
      <c r="AK37" s="234"/>
      <c r="AL37" s="101" t="e">
        <f t="shared" si="74"/>
        <v>#DIV/0!</v>
      </c>
    </row>
    <row r="38" spans="2:38" ht="14.25">
      <c r="B38" s="98"/>
      <c r="C38" s="98"/>
      <c r="D38" s="324">
        <f t="shared" ref="D38:D40" si="75">D37+1</f>
        <v>46144</v>
      </c>
      <c r="E38" s="324" t="s">
        <v>527</v>
      </c>
      <c r="F38" s="228">
        <f t="shared" si="20"/>
        <v>0</v>
      </c>
      <c r="G38" s="322"/>
      <c r="H38" s="350"/>
      <c r="I38" s="234"/>
      <c r="J38" s="101" t="e">
        <f t="shared" si="57"/>
        <v>#DIV/0!</v>
      </c>
      <c r="K38" s="234"/>
      <c r="L38" s="101" t="e">
        <f t="shared" si="58"/>
        <v>#DIV/0!</v>
      </c>
      <c r="M38" s="227">
        <f t="shared" si="59"/>
        <v>0</v>
      </c>
      <c r="N38" s="101" t="e">
        <f t="shared" si="60"/>
        <v>#DIV/0!</v>
      </c>
      <c r="O38" s="234"/>
      <c r="P38" s="101" t="e">
        <f t="shared" si="61"/>
        <v>#DIV/0!</v>
      </c>
      <c r="Q38" s="234"/>
      <c r="R38" s="101" t="e">
        <f t="shared" si="62"/>
        <v>#DIV/0!</v>
      </c>
      <c r="S38" s="227">
        <f t="shared" si="63"/>
        <v>0</v>
      </c>
      <c r="T38" s="101" t="e">
        <f t="shared" si="64"/>
        <v>#DIV/0!</v>
      </c>
      <c r="U38" s="234"/>
      <c r="V38" s="101" t="e">
        <f t="shared" si="65"/>
        <v>#DIV/0!</v>
      </c>
      <c r="W38" s="234"/>
      <c r="X38" s="101" t="e">
        <f t="shared" si="66"/>
        <v>#DIV/0!</v>
      </c>
      <c r="Y38" s="234"/>
      <c r="Z38" s="101" t="e">
        <f t="shared" si="67"/>
        <v>#DIV/0!</v>
      </c>
      <c r="AA38" s="234"/>
      <c r="AB38" s="101" t="e">
        <f t="shared" si="68"/>
        <v>#DIV/0!</v>
      </c>
      <c r="AC38" s="227">
        <f t="shared" si="69"/>
        <v>0</v>
      </c>
      <c r="AD38" s="101" t="e">
        <f t="shared" si="70"/>
        <v>#DIV/0!</v>
      </c>
      <c r="AE38" s="234"/>
      <c r="AF38" s="101" t="e">
        <f t="shared" si="71"/>
        <v>#DIV/0!</v>
      </c>
      <c r="AG38" s="234"/>
      <c r="AH38" s="101" t="e">
        <f t="shared" si="72"/>
        <v>#DIV/0!</v>
      </c>
      <c r="AI38" s="234"/>
      <c r="AJ38" s="101" t="e">
        <f t="shared" si="73"/>
        <v>#DIV/0!</v>
      </c>
      <c r="AK38" s="234"/>
      <c r="AL38" s="101" t="e">
        <f t="shared" si="74"/>
        <v>#DIV/0!</v>
      </c>
    </row>
    <row r="39" spans="2:38" ht="14.25">
      <c r="B39" s="98"/>
      <c r="C39" s="83"/>
      <c r="D39" s="324">
        <f t="shared" si="75"/>
        <v>46145</v>
      </c>
      <c r="E39" s="324" t="s">
        <v>528</v>
      </c>
      <c r="F39" s="228">
        <f t="shared" si="20"/>
        <v>0</v>
      </c>
      <c r="G39" s="322"/>
      <c r="H39" s="97"/>
      <c r="I39" s="234"/>
      <c r="J39" s="101" t="e">
        <f t="shared" si="57"/>
        <v>#DIV/0!</v>
      </c>
      <c r="K39" s="234"/>
      <c r="L39" s="101" t="e">
        <f t="shared" si="58"/>
        <v>#DIV/0!</v>
      </c>
      <c r="M39" s="227">
        <f t="shared" si="59"/>
        <v>0</v>
      </c>
      <c r="N39" s="101" t="e">
        <f t="shared" si="60"/>
        <v>#DIV/0!</v>
      </c>
      <c r="O39" s="234"/>
      <c r="P39" s="101" t="e">
        <f t="shared" si="61"/>
        <v>#DIV/0!</v>
      </c>
      <c r="Q39" s="234"/>
      <c r="R39" s="101" t="e">
        <f t="shared" si="62"/>
        <v>#DIV/0!</v>
      </c>
      <c r="S39" s="227">
        <f t="shared" si="63"/>
        <v>0</v>
      </c>
      <c r="T39" s="101" t="e">
        <f t="shared" si="64"/>
        <v>#DIV/0!</v>
      </c>
      <c r="U39" s="234"/>
      <c r="V39" s="101" t="e">
        <f t="shared" si="65"/>
        <v>#DIV/0!</v>
      </c>
      <c r="W39" s="234"/>
      <c r="X39" s="101" t="e">
        <f t="shared" si="66"/>
        <v>#DIV/0!</v>
      </c>
      <c r="Y39" s="234"/>
      <c r="Z39" s="101" t="e">
        <f t="shared" si="67"/>
        <v>#DIV/0!</v>
      </c>
      <c r="AA39" s="234"/>
      <c r="AB39" s="101" t="e">
        <f t="shared" si="68"/>
        <v>#DIV/0!</v>
      </c>
      <c r="AC39" s="227">
        <f t="shared" si="69"/>
        <v>0</v>
      </c>
      <c r="AD39" s="101" t="e">
        <f t="shared" si="70"/>
        <v>#DIV/0!</v>
      </c>
      <c r="AE39" s="234"/>
      <c r="AF39" s="101" t="e">
        <f t="shared" si="71"/>
        <v>#DIV/0!</v>
      </c>
      <c r="AG39" s="234"/>
      <c r="AH39" s="101" t="e">
        <f t="shared" si="72"/>
        <v>#DIV/0!</v>
      </c>
      <c r="AI39" s="234"/>
      <c r="AJ39" s="101" t="e">
        <f t="shared" si="73"/>
        <v>#DIV/0!</v>
      </c>
      <c r="AK39" s="234"/>
      <c r="AL39" s="101" t="e">
        <f t="shared" si="74"/>
        <v>#DIV/0!</v>
      </c>
    </row>
    <row r="40" spans="2:38" ht="14.25">
      <c r="B40" s="98"/>
      <c r="C40" s="83"/>
      <c r="D40" s="324">
        <f t="shared" si="75"/>
        <v>46146</v>
      </c>
      <c r="E40" s="324" t="s">
        <v>522</v>
      </c>
      <c r="F40" s="228">
        <f t="shared" si="20"/>
        <v>0</v>
      </c>
      <c r="G40" s="322"/>
      <c r="H40" s="97"/>
      <c r="I40" s="234"/>
      <c r="J40" s="101" t="e">
        <f t="shared" si="57"/>
        <v>#DIV/0!</v>
      </c>
      <c r="K40" s="234"/>
      <c r="L40" s="101" t="e">
        <f t="shared" si="58"/>
        <v>#DIV/0!</v>
      </c>
      <c r="M40" s="227">
        <f t="shared" si="59"/>
        <v>0</v>
      </c>
      <c r="N40" s="101" t="e">
        <f t="shared" si="60"/>
        <v>#DIV/0!</v>
      </c>
      <c r="O40" s="234"/>
      <c r="P40" s="101" t="e">
        <f t="shared" si="61"/>
        <v>#DIV/0!</v>
      </c>
      <c r="Q40" s="234"/>
      <c r="R40" s="101" t="e">
        <f t="shared" si="62"/>
        <v>#DIV/0!</v>
      </c>
      <c r="S40" s="227">
        <f t="shared" si="63"/>
        <v>0</v>
      </c>
      <c r="T40" s="101" t="e">
        <f t="shared" si="64"/>
        <v>#DIV/0!</v>
      </c>
      <c r="U40" s="234"/>
      <c r="V40" s="101" t="e">
        <f t="shared" si="65"/>
        <v>#DIV/0!</v>
      </c>
      <c r="W40" s="234"/>
      <c r="X40" s="101" t="e">
        <f t="shared" si="66"/>
        <v>#DIV/0!</v>
      </c>
      <c r="Y40" s="234"/>
      <c r="Z40" s="101" t="e">
        <f t="shared" si="67"/>
        <v>#DIV/0!</v>
      </c>
      <c r="AA40" s="234"/>
      <c r="AB40" s="101" t="e">
        <f t="shared" si="68"/>
        <v>#DIV/0!</v>
      </c>
      <c r="AC40" s="227">
        <f t="shared" si="69"/>
        <v>0</v>
      </c>
      <c r="AD40" s="101" t="e">
        <f t="shared" si="70"/>
        <v>#DIV/0!</v>
      </c>
      <c r="AE40" s="234"/>
      <c r="AF40" s="101" t="e">
        <f t="shared" si="71"/>
        <v>#DIV/0!</v>
      </c>
      <c r="AG40" s="234"/>
      <c r="AH40" s="101" t="e">
        <f t="shared" si="72"/>
        <v>#DIV/0!</v>
      </c>
      <c r="AI40" s="234"/>
      <c r="AJ40" s="101" t="e">
        <f t="shared" si="73"/>
        <v>#DIV/0!</v>
      </c>
      <c r="AK40" s="234"/>
      <c r="AL40" s="101" t="e">
        <f t="shared" si="74"/>
        <v>#DIV/0!</v>
      </c>
    </row>
    <row r="41" spans="2:38" ht="14.25">
      <c r="B41" s="98"/>
      <c r="C41" s="83"/>
      <c r="D41" s="324"/>
      <c r="E41" s="494"/>
      <c r="F41" s="228">
        <f t="shared" si="20"/>
        <v>0</v>
      </c>
      <c r="G41" s="322"/>
      <c r="H41" s="97"/>
      <c r="I41" s="234"/>
      <c r="J41" s="101" t="e">
        <f t="shared" si="57"/>
        <v>#DIV/0!</v>
      </c>
      <c r="K41" s="234"/>
      <c r="L41" s="101" t="e">
        <f t="shared" si="58"/>
        <v>#DIV/0!</v>
      </c>
      <c r="M41" s="227">
        <f t="shared" si="59"/>
        <v>0</v>
      </c>
      <c r="N41" s="101" t="e">
        <f t="shared" si="60"/>
        <v>#DIV/0!</v>
      </c>
      <c r="O41" s="234"/>
      <c r="P41" s="101" t="e">
        <f t="shared" si="61"/>
        <v>#DIV/0!</v>
      </c>
      <c r="Q41" s="234"/>
      <c r="R41" s="101" t="e">
        <f t="shared" si="62"/>
        <v>#DIV/0!</v>
      </c>
      <c r="S41" s="227">
        <f t="shared" si="63"/>
        <v>0</v>
      </c>
      <c r="T41" s="101" t="e">
        <f t="shared" si="64"/>
        <v>#DIV/0!</v>
      </c>
      <c r="U41" s="234"/>
      <c r="V41" s="101" t="e">
        <f t="shared" si="65"/>
        <v>#DIV/0!</v>
      </c>
      <c r="W41" s="234"/>
      <c r="X41" s="101" t="e">
        <f t="shared" si="66"/>
        <v>#DIV/0!</v>
      </c>
      <c r="Y41" s="234"/>
      <c r="Z41" s="101" t="e">
        <f t="shared" si="67"/>
        <v>#DIV/0!</v>
      </c>
      <c r="AA41" s="234"/>
      <c r="AB41" s="101" t="e">
        <f t="shared" si="68"/>
        <v>#DIV/0!</v>
      </c>
      <c r="AC41" s="227">
        <f t="shared" si="69"/>
        <v>0</v>
      </c>
      <c r="AD41" s="101" t="e">
        <f t="shared" si="70"/>
        <v>#DIV/0!</v>
      </c>
      <c r="AE41" s="234"/>
      <c r="AF41" s="101" t="e">
        <f t="shared" si="71"/>
        <v>#DIV/0!</v>
      </c>
      <c r="AG41" s="234"/>
      <c r="AH41" s="101" t="e">
        <f t="shared" si="72"/>
        <v>#DIV/0!</v>
      </c>
      <c r="AI41" s="234"/>
      <c r="AJ41" s="101" t="e">
        <f t="shared" si="73"/>
        <v>#DIV/0!</v>
      </c>
      <c r="AK41" s="234"/>
      <c r="AL41" s="101" t="e">
        <f t="shared" si="74"/>
        <v>#DIV/0!</v>
      </c>
    </row>
    <row r="42" spans="2:38" ht="14.25">
      <c r="B42" s="98"/>
      <c r="C42" s="83"/>
      <c r="D42" s="324"/>
      <c r="E42" s="494"/>
      <c r="F42" s="228">
        <f t="shared" si="20"/>
        <v>0</v>
      </c>
      <c r="G42" s="322"/>
      <c r="H42" s="97"/>
      <c r="I42" s="234"/>
      <c r="J42" s="101" t="e">
        <f>I42/F42</f>
        <v>#DIV/0!</v>
      </c>
      <c r="K42" s="234"/>
      <c r="L42" s="101" t="e">
        <f>K42/F42</f>
        <v>#DIV/0!</v>
      </c>
      <c r="M42" s="227">
        <f>SUM(I42+K42)</f>
        <v>0</v>
      </c>
      <c r="N42" s="101" t="e">
        <f>M42/F42</f>
        <v>#DIV/0!</v>
      </c>
      <c r="O42" s="234"/>
      <c r="P42" s="101" t="e">
        <f>O42/F42</f>
        <v>#DIV/0!</v>
      </c>
      <c r="Q42" s="234"/>
      <c r="R42" s="101" t="e">
        <f t="shared" si="62"/>
        <v>#DIV/0!</v>
      </c>
      <c r="S42" s="227">
        <f t="shared" si="63"/>
        <v>0</v>
      </c>
      <c r="T42" s="101" t="e">
        <f>S42/F42</f>
        <v>#DIV/0!</v>
      </c>
      <c r="U42" s="234"/>
      <c r="V42" s="101" t="e">
        <f>U42/F42</f>
        <v>#DIV/0!</v>
      </c>
      <c r="W42" s="234"/>
      <c r="X42" s="101" t="e">
        <f>W42/F42</f>
        <v>#DIV/0!</v>
      </c>
      <c r="Y42" s="234"/>
      <c r="Z42" s="101" t="e">
        <f>Y42/F42</f>
        <v>#DIV/0!</v>
      </c>
      <c r="AA42" s="234"/>
      <c r="AB42" s="101" t="e">
        <f t="shared" si="68"/>
        <v>#DIV/0!</v>
      </c>
      <c r="AC42" s="227">
        <f>SUM(Y42+AA42)</f>
        <v>0</v>
      </c>
      <c r="AD42" s="101" t="e">
        <f>AC42/F42</f>
        <v>#DIV/0!</v>
      </c>
      <c r="AE42" s="234"/>
      <c r="AF42" s="101" t="e">
        <f>AE42/F42</f>
        <v>#DIV/0!</v>
      </c>
      <c r="AG42" s="234"/>
      <c r="AH42" s="101" t="e">
        <f>AG42/F42</f>
        <v>#DIV/0!</v>
      </c>
      <c r="AI42" s="234"/>
      <c r="AJ42" s="101" t="e">
        <f>AI42/F42</f>
        <v>#DIV/0!</v>
      </c>
      <c r="AK42" s="234"/>
      <c r="AL42" s="101" t="e">
        <f>AK42/F42</f>
        <v>#DIV/0!</v>
      </c>
    </row>
    <row r="43" spans="2:38" ht="14.25">
      <c r="B43" s="98"/>
      <c r="C43" s="83"/>
      <c r="D43" s="324"/>
      <c r="E43" s="494"/>
      <c r="F43" s="228">
        <f t="shared" si="20"/>
        <v>0</v>
      </c>
      <c r="G43" s="322"/>
      <c r="H43" s="97"/>
      <c r="I43" s="234"/>
      <c r="J43" s="101" t="e">
        <f>I43/F43</f>
        <v>#DIV/0!</v>
      </c>
      <c r="K43" s="234"/>
      <c r="L43" s="101" t="e">
        <f>K43/F43</f>
        <v>#DIV/0!</v>
      </c>
      <c r="M43" s="227">
        <f>SUM(I43+K43)</f>
        <v>0</v>
      </c>
      <c r="N43" s="101" t="e">
        <f>M43/F43</f>
        <v>#DIV/0!</v>
      </c>
      <c r="O43" s="234"/>
      <c r="P43" s="101" t="e">
        <f>O43/F43</f>
        <v>#DIV/0!</v>
      </c>
      <c r="Q43" s="234"/>
      <c r="R43" s="101" t="e">
        <f t="shared" si="62"/>
        <v>#DIV/0!</v>
      </c>
      <c r="S43" s="227">
        <f t="shared" si="63"/>
        <v>0</v>
      </c>
      <c r="T43" s="101" t="e">
        <f>S43/F43</f>
        <v>#DIV/0!</v>
      </c>
      <c r="U43" s="234"/>
      <c r="V43" s="101" t="e">
        <f>U43/F43</f>
        <v>#DIV/0!</v>
      </c>
      <c r="W43" s="234"/>
      <c r="X43" s="101" t="e">
        <f>W43/F43</f>
        <v>#DIV/0!</v>
      </c>
      <c r="Y43" s="234"/>
      <c r="Z43" s="101" t="e">
        <f>Y43/F43</f>
        <v>#DIV/0!</v>
      </c>
      <c r="AA43" s="234"/>
      <c r="AB43" s="101" t="e">
        <f t="shared" si="68"/>
        <v>#DIV/0!</v>
      </c>
      <c r="AC43" s="227">
        <f>SUM(Y43+AA43)</f>
        <v>0</v>
      </c>
      <c r="AD43" s="101" t="e">
        <f>AC43/F43</f>
        <v>#DIV/0!</v>
      </c>
      <c r="AE43" s="234"/>
      <c r="AF43" s="101" t="e">
        <f>AE43/F43</f>
        <v>#DIV/0!</v>
      </c>
      <c r="AG43" s="234"/>
      <c r="AH43" s="101" t="e">
        <f>AG43/F43</f>
        <v>#DIV/0!</v>
      </c>
      <c r="AI43" s="234"/>
      <c r="AJ43" s="101" t="e">
        <f>AI43/F43</f>
        <v>#DIV/0!</v>
      </c>
      <c r="AK43" s="234"/>
      <c r="AL43" s="101" t="e">
        <f>AK43/F43</f>
        <v>#DIV/0!</v>
      </c>
    </row>
    <row r="44" spans="2:38" ht="14.25">
      <c r="B44" s="98"/>
      <c r="C44" s="83"/>
      <c r="D44" s="86"/>
      <c r="E44" s="86"/>
      <c r="F44" s="228">
        <f t="shared" si="20"/>
        <v>0</v>
      </c>
      <c r="G44" s="228"/>
      <c r="H44" s="97"/>
      <c r="I44" s="234"/>
      <c r="J44" s="101" t="e">
        <f>I44/F44</f>
        <v>#DIV/0!</v>
      </c>
      <c r="K44" s="234"/>
      <c r="L44" s="101" t="e">
        <f>K44/F44</f>
        <v>#DIV/0!</v>
      </c>
      <c r="M44" s="227">
        <f>SUM(I44+K44)</f>
        <v>0</v>
      </c>
      <c r="N44" s="101" t="e">
        <f>M44/F44</f>
        <v>#DIV/0!</v>
      </c>
      <c r="O44" s="234"/>
      <c r="P44" s="101" t="e">
        <f>O44/F44</f>
        <v>#DIV/0!</v>
      </c>
      <c r="Q44" s="234"/>
      <c r="R44" s="101" t="e">
        <f t="shared" si="62"/>
        <v>#DIV/0!</v>
      </c>
      <c r="S44" s="227">
        <f t="shared" si="63"/>
        <v>0</v>
      </c>
      <c r="T44" s="101" t="e">
        <f>S44/F44</f>
        <v>#DIV/0!</v>
      </c>
      <c r="U44" s="234"/>
      <c r="V44" s="101" t="e">
        <f>U44/F44</f>
        <v>#DIV/0!</v>
      </c>
      <c r="W44" s="234"/>
      <c r="X44" s="101" t="e">
        <f>W44/F44</f>
        <v>#DIV/0!</v>
      </c>
      <c r="Y44" s="234"/>
      <c r="Z44" s="101" t="e">
        <f>Y44/F44</f>
        <v>#DIV/0!</v>
      </c>
      <c r="AA44" s="234"/>
      <c r="AB44" s="101" t="e">
        <f t="shared" si="68"/>
        <v>#DIV/0!</v>
      </c>
      <c r="AC44" s="227">
        <f>SUM(Y44+AA44)</f>
        <v>0</v>
      </c>
      <c r="AD44" s="101" t="e">
        <f>AC44/F44</f>
        <v>#DIV/0!</v>
      </c>
      <c r="AE44" s="234"/>
      <c r="AF44" s="101" t="e">
        <f>AE44/F44</f>
        <v>#DIV/0!</v>
      </c>
      <c r="AG44" s="234"/>
      <c r="AH44" s="101" t="e">
        <f>AG44/F44</f>
        <v>#DIV/0!</v>
      </c>
      <c r="AI44" s="234"/>
      <c r="AJ44" s="101" t="e">
        <f>AI44/F44</f>
        <v>#DIV/0!</v>
      </c>
      <c r="AK44" s="234"/>
      <c r="AL44" s="101" t="e">
        <f>AK44/F44</f>
        <v>#DIV/0!</v>
      </c>
    </row>
    <row r="45" spans="2:38" ht="14.25">
      <c r="B45" s="98"/>
      <c r="C45" s="83"/>
      <c r="D45" s="86"/>
      <c r="E45" s="86"/>
      <c r="F45" s="228">
        <f t="shared" si="20"/>
        <v>0</v>
      </c>
      <c r="G45" s="228"/>
      <c r="H45" s="97"/>
      <c r="I45" s="234"/>
      <c r="J45" s="101" t="e">
        <f>I45/F45</f>
        <v>#DIV/0!</v>
      </c>
      <c r="K45" s="234"/>
      <c r="L45" s="101" t="e">
        <f>K45/F45</f>
        <v>#DIV/0!</v>
      </c>
      <c r="M45" s="227">
        <f>SUM(I45+K45)</f>
        <v>0</v>
      </c>
      <c r="N45" s="101" t="e">
        <f>M45/F45</f>
        <v>#DIV/0!</v>
      </c>
      <c r="O45" s="234"/>
      <c r="P45" s="101" t="e">
        <f>O45/F45</f>
        <v>#DIV/0!</v>
      </c>
      <c r="Q45" s="234"/>
      <c r="R45" s="101" t="e">
        <f t="shared" si="62"/>
        <v>#DIV/0!</v>
      </c>
      <c r="S45" s="227">
        <f t="shared" si="63"/>
        <v>0</v>
      </c>
      <c r="T45" s="101" t="e">
        <f>S45/F45</f>
        <v>#DIV/0!</v>
      </c>
      <c r="U45" s="234"/>
      <c r="V45" s="101" t="e">
        <f>U45/F45</f>
        <v>#DIV/0!</v>
      </c>
      <c r="W45" s="234"/>
      <c r="X45" s="101" t="e">
        <f>W45/F45</f>
        <v>#DIV/0!</v>
      </c>
      <c r="Y45" s="234"/>
      <c r="Z45" s="101" t="e">
        <f>Y45/F45</f>
        <v>#DIV/0!</v>
      </c>
      <c r="AA45" s="234"/>
      <c r="AB45" s="101" t="e">
        <f t="shared" si="68"/>
        <v>#DIV/0!</v>
      </c>
      <c r="AC45" s="227">
        <f>SUM(Y45+AA45)</f>
        <v>0</v>
      </c>
      <c r="AD45" s="101" t="e">
        <f>AC45/F45</f>
        <v>#DIV/0!</v>
      </c>
      <c r="AE45" s="234"/>
      <c r="AF45" s="101" t="e">
        <f>AE45/F45</f>
        <v>#DIV/0!</v>
      </c>
      <c r="AG45" s="234"/>
      <c r="AH45" s="101" t="e">
        <f>AG45/F45</f>
        <v>#DIV/0!</v>
      </c>
      <c r="AI45" s="234"/>
      <c r="AJ45" s="101" t="e">
        <f>AI45/F45</f>
        <v>#DIV/0!</v>
      </c>
      <c r="AK45" s="234"/>
      <c r="AL45" s="101" t="e">
        <f>AK45/F45</f>
        <v>#DIV/0!</v>
      </c>
    </row>
    <row r="46" spans="2:38" ht="14.25">
      <c r="B46" s="98"/>
      <c r="C46" s="83"/>
      <c r="D46" s="84"/>
      <c r="F46" s="97"/>
      <c r="G46" s="97"/>
      <c r="H46" s="97"/>
      <c r="I46" s="292">
        <f>SUM(I7:I45)</f>
        <v>17076773.199297391</v>
      </c>
      <c r="J46" s="288">
        <f>I46/$H$12</f>
        <v>7.4328224555340369E-2</v>
      </c>
      <c r="K46" s="292">
        <f>SUM(K7:K45)</f>
        <v>22869448.98312537</v>
      </c>
      <c r="L46" s="288">
        <f>K46/$H$12</f>
        <v>9.9541378200454264E-2</v>
      </c>
      <c r="M46" s="292">
        <f>SUM(M8:M45)</f>
        <v>38726486.336604312</v>
      </c>
      <c r="N46" s="288" t="e">
        <f>M46/$H$8</f>
        <v>#DIV/0!</v>
      </c>
      <c r="O46" s="292">
        <f>SUM(O7:O45)</f>
        <v>5219315.5336930966</v>
      </c>
      <c r="P46" s="288">
        <f>O46/$H$12</f>
        <v>2.2717550469633117E-2</v>
      </c>
      <c r="Q46" s="292">
        <f>SUM(Q7:Q45)</f>
        <v>1465019.5880075078</v>
      </c>
      <c r="R46" s="288">
        <f>Q46/$H$12</f>
        <v>6.3766323792292653E-3</v>
      </c>
      <c r="S46" s="292">
        <f>SUM(S8:S45)</f>
        <v>6364799.6109263832</v>
      </c>
      <c r="T46" s="288" t="e">
        <f>S46/$H$8</f>
        <v>#DIV/0!</v>
      </c>
      <c r="U46" s="292">
        <f>SUM(U7:U45)</f>
        <v>27662200.507548809</v>
      </c>
      <c r="V46" s="288">
        <f>U46/$H$12</f>
        <v>0.12040226962225709</v>
      </c>
      <c r="W46" s="292">
        <f>SUM(W7:W45)</f>
        <v>2169530.309371104</v>
      </c>
      <c r="X46" s="288">
        <f>W46/$H$12</f>
        <v>9.4430800323088721E-3</v>
      </c>
      <c r="Y46" s="292">
        <f>SUM(Y7:Y45)</f>
        <v>21943268.42906525</v>
      </c>
      <c r="Z46" s="288">
        <f>Y46/$H$12</f>
        <v>9.5510092231053292E-2</v>
      </c>
      <c r="AA46" s="292">
        <f>SUM(AA7:AA45)</f>
        <v>30680432.924291503</v>
      </c>
      <c r="AB46" s="288">
        <f>AA46/$H$12</f>
        <v>0.13353940356516669</v>
      </c>
      <c r="AC46" s="292">
        <f>SUM(AC8:AC45)</f>
        <v>50729291.380905084</v>
      </c>
      <c r="AD46" s="288" t="e">
        <f>AC46/$H$8</f>
        <v>#DIV/0!</v>
      </c>
      <c r="AE46" s="292">
        <f>SUM(AE7:AE45)</f>
        <v>39044541.577620551</v>
      </c>
      <c r="AF46" s="288">
        <f>AE46/$H$12</f>
        <v>0.16994495506686877</v>
      </c>
      <c r="AG46" s="292">
        <f>SUM(AG7:AG45)</f>
        <v>15966908.826043909</v>
      </c>
      <c r="AH46" s="288">
        <f>AG46/$H$12</f>
        <v>6.9497437883971391E-2</v>
      </c>
      <c r="AI46" s="292">
        <f>SUM(AI7:AI45)</f>
        <v>29153110.610337727</v>
      </c>
      <c r="AJ46" s="288">
        <f>AI46/$H$12</f>
        <v>0.12689159284618323</v>
      </c>
      <c r="AK46" s="292">
        <f>SUM(AK7:AK45)</f>
        <v>16497614.511597764</v>
      </c>
      <c r="AL46" s="288">
        <f>AK46/$H$12</f>
        <v>7.1807383147533571E-2</v>
      </c>
    </row>
    <row r="47" spans="2:38" ht="14.25">
      <c r="B47" s="98"/>
      <c r="C47" s="83"/>
      <c r="D47" s="84"/>
      <c r="F47" s="97"/>
      <c r="G47" s="97"/>
      <c r="H47" s="97"/>
      <c r="I47" s="289"/>
      <c r="J47" s="290"/>
      <c r="K47" s="289"/>
      <c r="L47" s="290"/>
      <c r="M47" s="291">
        <f>M46</f>
        <v>38726486.336604312</v>
      </c>
      <c r="N47" s="290"/>
      <c r="O47" s="289"/>
      <c r="P47" s="290"/>
      <c r="Q47" s="289"/>
      <c r="R47" s="290"/>
      <c r="S47" s="291">
        <f>S46</f>
        <v>6364799.6109263832</v>
      </c>
      <c r="T47" s="290"/>
      <c r="U47" s="291">
        <f>U46</f>
        <v>27662200.507548809</v>
      </c>
      <c r="V47" s="290"/>
      <c r="W47" s="291">
        <f>W46</f>
        <v>2169530.309371104</v>
      </c>
      <c r="X47" s="290"/>
      <c r="Y47" s="289"/>
      <c r="Z47" s="290"/>
      <c r="AA47" s="289"/>
      <c r="AB47" s="290"/>
      <c r="AC47" s="291">
        <f>AC46</f>
        <v>50729291.380905084</v>
      </c>
      <c r="AD47" s="290"/>
      <c r="AE47" s="291">
        <f>AE46</f>
        <v>39044541.577620551</v>
      </c>
      <c r="AF47" s="290"/>
      <c r="AG47" s="291">
        <f>AG46</f>
        <v>15966908.826043909</v>
      </c>
      <c r="AH47" s="290"/>
      <c r="AI47" s="291">
        <f>AI46</f>
        <v>29153110.610337727</v>
      </c>
      <c r="AJ47" s="290"/>
      <c r="AK47" s="291">
        <f>AK46</f>
        <v>16497614.511597764</v>
      </c>
      <c r="AL47" s="290"/>
    </row>
    <row r="48" spans="2:38" ht="14.25">
      <c r="B48" s="98"/>
      <c r="C48" s="83"/>
      <c r="D48" s="84"/>
      <c r="F48" s="97"/>
      <c r="G48" s="97"/>
      <c r="H48" s="97"/>
    </row>
    <row r="49" spans="1:46" ht="14.25">
      <c r="B49" s="98"/>
      <c r="C49" s="83"/>
      <c r="D49" s="84"/>
      <c r="F49" s="97"/>
      <c r="G49" s="97"/>
      <c r="H49" s="97"/>
    </row>
    <row r="50" spans="1:46" s="84" customFormat="1" ht="14.25">
      <c r="A50" s="77"/>
      <c r="B50" s="98"/>
      <c r="C50" s="83"/>
      <c r="F50" s="102"/>
      <c r="G50" s="102"/>
      <c r="H50" s="102"/>
      <c r="I50" s="97"/>
      <c r="J50" s="90"/>
      <c r="K50" s="97"/>
      <c r="L50" s="90"/>
      <c r="M50" s="90"/>
      <c r="N50" s="90"/>
      <c r="O50" s="97"/>
      <c r="P50" s="90"/>
      <c r="Q50" s="97"/>
      <c r="R50" s="90"/>
      <c r="S50" s="97"/>
      <c r="T50" s="90"/>
      <c r="U50" s="97"/>
      <c r="V50" s="90"/>
      <c r="W50" s="97"/>
      <c r="X50" s="90"/>
      <c r="Y50" s="97"/>
      <c r="Z50" s="90"/>
      <c r="AA50" s="97"/>
      <c r="AB50" s="90"/>
      <c r="AC50" s="97"/>
      <c r="AD50" s="90"/>
      <c r="AE50" s="97"/>
      <c r="AF50" s="90"/>
      <c r="AG50" s="97"/>
      <c r="AH50" s="90"/>
      <c r="AI50" s="97"/>
      <c r="AJ50" s="90"/>
      <c r="AK50" s="97"/>
      <c r="AL50" s="90"/>
      <c r="AM50" s="77"/>
      <c r="AN50" s="77"/>
      <c r="AO50" s="77"/>
      <c r="AP50" s="77"/>
      <c r="AQ50" s="77"/>
      <c r="AR50" s="77"/>
      <c r="AS50" s="77"/>
      <c r="AT50" s="77"/>
    </row>
    <row r="51" spans="1:46" s="84" customFormat="1" ht="14.25">
      <c r="A51" s="77"/>
      <c r="B51" s="98"/>
      <c r="C51" s="83"/>
      <c r="F51" s="102"/>
      <c r="G51" s="102"/>
      <c r="H51" s="102"/>
      <c r="I51" s="97"/>
      <c r="J51" s="90"/>
      <c r="K51" s="97"/>
      <c r="L51" s="90"/>
      <c r="M51" s="90"/>
      <c r="N51" s="90"/>
      <c r="O51" s="97"/>
      <c r="P51" s="90"/>
      <c r="Q51" s="97"/>
      <c r="R51" s="90"/>
      <c r="S51" s="97"/>
      <c r="T51" s="90"/>
      <c r="U51" s="97"/>
      <c r="V51" s="90"/>
      <c r="W51" s="97"/>
      <c r="X51" s="90"/>
      <c r="Y51" s="97"/>
      <c r="Z51" s="90"/>
      <c r="AA51" s="97"/>
      <c r="AB51" s="90"/>
      <c r="AC51" s="97"/>
      <c r="AD51" s="90"/>
      <c r="AE51" s="97"/>
      <c r="AF51" s="90"/>
      <c r="AG51" s="97"/>
      <c r="AH51" s="90"/>
      <c r="AI51" s="97"/>
      <c r="AJ51" s="90"/>
      <c r="AK51" s="97"/>
      <c r="AL51" s="90"/>
      <c r="AM51" s="77"/>
      <c r="AN51" s="77"/>
      <c r="AO51" s="77"/>
      <c r="AP51" s="77"/>
      <c r="AQ51" s="77"/>
      <c r="AR51" s="77"/>
      <c r="AS51" s="77"/>
      <c r="AT51" s="77"/>
    </row>
    <row r="52" spans="1:46" s="84" customFormat="1" ht="14.25">
      <c r="A52" s="77"/>
      <c r="B52" s="98"/>
      <c r="C52" s="83"/>
      <c r="F52" s="102"/>
      <c r="G52" s="102"/>
      <c r="H52" s="102"/>
      <c r="I52" s="97"/>
      <c r="J52" s="90"/>
      <c r="K52" s="97"/>
      <c r="L52" s="90"/>
      <c r="M52" s="90"/>
      <c r="N52" s="90"/>
      <c r="O52" s="97"/>
      <c r="P52" s="90"/>
      <c r="Q52" s="97"/>
      <c r="R52" s="90"/>
      <c r="S52" s="97"/>
      <c r="T52" s="90"/>
      <c r="U52" s="97"/>
      <c r="V52" s="90"/>
      <c r="W52" s="97"/>
      <c r="X52" s="90"/>
      <c r="Y52" s="97"/>
      <c r="Z52" s="90"/>
      <c r="AA52" s="97"/>
      <c r="AB52" s="90"/>
      <c r="AC52" s="97"/>
      <c r="AD52" s="90"/>
      <c r="AE52" s="97"/>
      <c r="AF52" s="90"/>
      <c r="AG52" s="97"/>
      <c r="AH52" s="90"/>
      <c r="AI52" s="97"/>
      <c r="AJ52" s="90"/>
      <c r="AK52" s="97"/>
      <c r="AL52" s="90"/>
      <c r="AM52" s="77"/>
      <c r="AN52" s="77"/>
      <c r="AO52" s="77"/>
      <c r="AP52" s="77"/>
      <c r="AQ52" s="77"/>
      <c r="AR52" s="77"/>
      <c r="AS52" s="77"/>
      <c r="AT52" s="77"/>
    </row>
    <row r="53" spans="1:46" s="84" customFormat="1" ht="14.25">
      <c r="A53" s="77"/>
      <c r="B53" s="98"/>
      <c r="C53" s="83"/>
      <c r="F53" s="102"/>
      <c r="G53" s="102"/>
      <c r="H53" s="102"/>
      <c r="I53" s="97"/>
      <c r="J53" s="90"/>
      <c r="K53" s="97"/>
      <c r="L53" s="90"/>
      <c r="M53" s="90"/>
      <c r="N53" s="90"/>
      <c r="O53" s="97"/>
      <c r="P53" s="90"/>
      <c r="Q53" s="97"/>
      <c r="R53" s="90"/>
      <c r="S53" s="97"/>
      <c r="T53" s="90"/>
      <c r="U53" s="97"/>
      <c r="V53" s="90"/>
      <c r="W53" s="97"/>
      <c r="X53" s="90"/>
      <c r="Y53" s="97"/>
      <c r="Z53" s="90"/>
      <c r="AA53" s="97"/>
      <c r="AB53" s="90"/>
      <c r="AC53" s="97"/>
      <c r="AD53" s="90"/>
      <c r="AE53" s="97"/>
      <c r="AF53" s="90"/>
      <c r="AG53" s="97"/>
      <c r="AH53" s="90"/>
      <c r="AI53" s="97"/>
      <c r="AJ53" s="90"/>
      <c r="AK53" s="97"/>
      <c r="AL53" s="90"/>
      <c r="AM53" s="77"/>
      <c r="AN53" s="77"/>
      <c r="AO53" s="77"/>
      <c r="AP53" s="77"/>
      <c r="AQ53" s="77"/>
      <c r="AR53" s="77"/>
      <c r="AS53" s="77"/>
      <c r="AT53" s="77"/>
    </row>
    <row r="54" spans="1:46" s="84" customFormat="1" ht="14.25">
      <c r="A54" s="77"/>
      <c r="B54" s="98"/>
      <c r="C54" s="83"/>
      <c r="F54" s="102"/>
      <c r="G54" s="102"/>
      <c r="H54" s="102"/>
      <c r="I54" s="97"/>
      <c r="J54" s="90"/>
      <c r="K54" s="97"/>
      <c r="L54" s="90"/>
      <c r="M54" s="90"/>
      <c r="N54" s="90"/>
      <c r="O54" s="97"/>
      <c r="P54" s="90"/>
      <c r="Q54" s="97"/>
      <c r="R54" s="90"/>
      <c r="S54" s="97"/>
      <c r="T54" s="90"/>
      <c r="U54" s="97"/>
      <c r="V54" s="90"/>
      <c r="W54" s="97"/>
      <c r="X54" s="90"/>
      <c r="Y54" s="97"/>
      <c r="Z54" s="90"/>
      <c r="AA54" s="97"/>
      <c r="AB54" s="90"/>
      <c r="AC54" s="97"/>
      <c r="AD54" s="90"/>
      <c r="AE54" s="97"/>
      <c r="AF54" s="90"/>
      <c r="AG54" s="97"/>
      <c r="AH54" s="90"/>
      <c r="AI54" s="97"/>
      <c r="AJ54" s="90"/>
      <c r="AK54" s="97"/>
      <c r="AL54" s="90"/>
      <c r="AM54" s="77"/>
      <c r="AN54" s="77"/>
      <c r="AO54" s="77"/>
      <c r="AP54" s="77"/>
      <c r="AQ54" s="77"/>
      <c r="AR54" s="77"/>
      <c r="AS54" s="77"/>
      <c r="AT54" s="77"/>
    </row>
    <row r="55" spans="1:46" s="84" customFormat="1" ht="14.25">
      <c r="A55" s="77"/>
      <c r="B55" s="98"/>
      <c r="C55" s="83"/>
      <c r="F55" s="102"/>
      <c r="G55" s="102"/>
      <c r="H55" s="102"/>
      <c r="I55" s="97"/>
      <c r="J55" s="90"/>
      <c r="K55" s="97"/>
      <c r="L55" s="90"/>
      <c r="M55" s="90"/>
      <c r="N55" s="90"/>
      <c r="O55" s="97"/>
      <c r="P55" s="90"/>
      <c r="Q55" s="97"/>
      <c r="R55" s="90"/>
      <c r="S55" s="97"/>
      <c r="T55" s="90"/>
      <c r="U55" s="97"/>
      <c r="V55" s="90"/>
      <c r="W55" s="97"/>
      <c r="X55" s="90"/>
      <c r="Y55" s="97"/>
      <c r="Z55" s="90"/>
      <c r="AA55" s="97"/>
      <c r="AB55" s="90"/>
      <c r="AC55" s="97"/>
      <c r="AD55" s="90"/>
      <c r="AE55" s="97"/>
      <c r="AF55" s="90"/>
      <c r="AG55" s="97"/>
      <c r="AH55" s="90"/>
      <c r="AI55" s="97"/>
      <c r="AJ55" s="90"/>
      <c r="AK55" s="97"/>
      <c r="AL55" s="90"/>
      <c r="AM55" s="77"/>
      <c r="AN55" s="77"/>
      <c r="AO55" s="77"/>
      <c r="AP55" s="77"/>
      <c r="AQ55" s="77"/>
      <c r="AR55" s="77"/>
      <c r="AS55" s="77"/>
      <c r="AT55" s="77"/>
    </row>
    <row r="56" spans="1:46" s="84" customFormat="1" ht="14.25">
      <c r="A56" s="77"/>
      <c r="B56" s="98"/>
      <c r="C56" s="83"/>
      <c r="F56" s="102"/>
      <c r="G56" s="102"/>
      <c r="H56" s="102"/>
      <c r="I56" s="97"/>
      <c r="J56" s="90"/>
      <c r="K56" s="97"/>
      <c r="L56" s="90"/>
      <c r="M56" s="90"/>
      <c r="N56" s="90"/>
      <c r="O56" s="97"/>
      <c r="P56" s="90"/>
      <c r="Q56" s="97"/>
      <c r="R56" s="90"/>
      <c r="S56" s="97"/>
      <c r="T56" s="90"/>
      <c r="U56" s="97"/>
      <c r="V56" s="90"/>
      <c r="W56" s="97"/>
      <c r="X56" s="90"/>
      <c r="Y56" s="97"/>
      <c r="Z56" s="90"/>
      <c r="AA56" s="97"/>
      <c r="AB56" s="90"/>
      <c r="AC56" s="97"/>
      <c r="AD56" s="90"/>
      <c r="AE56" s="97"/>
      <c r="AF56" s="90"/>
      <c r="AG56" s="97"/>
      <c r="AH56" s="90"/>
      <c r="AI56" s="97"/>
      <c r="AJ56" s="90"/>
      <c r="AK56" s="97"/>
      <c r="AL56" s="90"/>
      <c r="AM56" s="77"/>
      <c r="AN56" s="77"/>
      <c r="AO56" s="77"/>
      <c r="AP56" s="77"/>
      <c r="AQ56" s="77"/>
      <c r="AR56" s="77"/>
      <c r="AS56" s="77"/>
      <c r="AT56" s="77"/>
    </row>
    <row r="57" spans="1:46" s="84" customFormat="1" ht="14.25">
      <c r="A57" s="77"/>
      <c r="B57" s="98"/>
      <c r="C57" s="83"/>
      <c r="F57" s="102"/>
      <c r="G57" s="102"/>
      <c r="H57" s="102"/>
      <c r="I57" s="97"/>
      <c r="J57" s="90"/>
      <c r="K57" s="97"/>
      <c r="L57" s="90"/>
      <c r="M57" s="90"/>
      <c r="N57" s="90"/>
      <c r="O57" s="97"/>
      <c r="P57" s="90"/>
      <c r="Q57" s="97"/>
      <c r="R57" s="90"/>
      <c r="S57" s="97"/>
      <c r="T57" s="90"/>
      <c r="U57" s="97"/>
      <c r="V57" s="90"/>
      <c r="W57" s="97"/>
      <c r="X57" s="90"/>
      <c r="Y57" s="97"/>
      <c r="Z57" s="90"/>
      <c r="AA57" s="97"/>
      <c r="AB57" s="90"/>
      <c r="AC57" s="97"/>
      <c r="AD57" s="90"/>
      <c r="AE57" s="97"/>
      <c r="AF57" s="90"/>
      <c r="AG57" s="97"/>
      <c r="AH57" s="90"/>
      <c r="AI57" s="97"/>
      <c r="AJ57" s="90"/>
      <c r="AK57" s="97"/>
      <c r="AL57" s="90"/>
      <c r="AM57" s="77"/>
      <c r="AN57" s="77"/>
      <c r="AO57" s="77"/>
      <c r="AP57" s="77"/>
      <c r="AQ57" s="77"/>
      <c r="AR57" s="77"/>
      <c r="AS57" s="77"/>
      <c r="AT57" s="77"/>
    </row>
    <row r="58" spans="1:46" s="84" customFormat="1" ht="14.25">
      <c r="A58" s="77"/>
      <c r="B58" s="98"/>
      <c r="C58" s="83"/>
      <c r="F58" s="102"/>
      <c r="G58" s="102"/>
      <c r="H58" s="102"/>
      <c r="I58" s="97"/>
      <c r="J58" s="90"/>
      <c r="K58" s="97"/>
      <c r="L58" s="90"/>
      <c r="M58" s="90"/>
      <c r="N58" s="90"/>
      <c r="O58" s="97"/>
      <c r="P58" s="90"/>
      <c r="Q58" s="97"/>
      <c r="R58" s="90"/>
      <c r="S58" s="97"/>
      <c r="T58" s="90"/>
      <c r="U58" s="97"/>
      <c r="V58" s="90"/>
      <c r="W58" s="97"/>
      <c r="X58" s="90"/>
      <c r="Y58" s="97"/>
      <c r="Z58" s="90"/>
      <c r="AA58" s="97"/>
      <c r="AB58" s="90"/>
      <c r="AC58" s="97"/>
      <c r="AD58" s="90"/>
      <c r="AE58" s="97"/>
      <c r="AF58" s="90"/>
      <c r="AG58" s="97"/>
      <c r="AH58" s="90"/>
      <c r="AI58" s="97"/>
      <c r="AJ58" s="90"/>
      <c r="AK58" s="97"/>
      <c r="AL58" s="90"/>
      <c r="AM58" s="77"/>
      <c r="AN58" s="77"/>
      <c r="AO58" s="77"/>
      <c r="AP58" s="77"/>
      <c r="AQ58" s="77"/>
      <c r="AR58" s="77"/>
      <c r="AS58" s="77"/>
      <c r="AT58" s="77"/>
    </row>
    <row r="59" spans="1:46" s="84" customFormat="1" ht="14.25">
      <c r="A59" s="77"/>
      <c r="B59" s="98"/>
      <c r="C59" s="83"/>
      <c r="F59" s="102"/>
      <c r="G59" s="102"/>
      <c r="H59" s="102"/>
      <c r="I59" s="97"/>
      <c r="J59" s="90"/>
      <c r="K59" s="97"/>
      <c r="L59" s="90"/>
      <c r="M59" s="90"/>
      <c r="N59" s="90"/>
      <c r="O59" s="97"/>
      <c r="P59" s="90"/>
      <c r="Q59" s="97"/>
      <c r="R59" s="90"/>
      <c r="S59" s="97"/>
      <c r="T59" s="90"/>
      <c r="U59" s="97"/>
      <c r="V59" s="90"/>
      <c r="W59" s="97"/>
      <c r="X59" s="90"/>
      <c r="Y59" s="97"/>
      <c r="Z59" s="90"/>
      <c r="AA59" s="97"/>
      <c r="AB59" s="90"/>
      <c r="AC59" s="97"/>
      <c r="AD59" s="90"/>
      <c r="AE59" s="97"/>
      <c r="AF59" s="90"/>
      <c r="AG59" s="97"/>
      <c r="AH59" s="90"/>
      <c r="AI59" s="97"/>
      <c r="AJ59" s="90"/>
      <c r="AK59" s="97"/>
      <c r="AL59" s="90"/>
      <c r="AM59" s="77"/>
      <c r="AN59" s="77"/>
      <c r="AO59" s="77"/>
      <c r="AP59" s="77"/>
      <c r="AQ59" s="77"/>
      <c r="AR59" s="77"/>
      <c r="AS59" s="77"/>
      <c r="AT59" s="77"/>
    </row>
    <row r="60" spans="1:46" s="84" customFormat="1" ht="14.25">
      <c r="A60" s="77"/>
      <c r="B60" s="98"/>
      <c r="C60" s="83"/>
      <c r="F60" s="102"/>
      <c r="G60" s="102"/>
      <c r="H60" s="102"/>
      <c r="I60" s="97"/>
      <c r="J60" s="90"/>
      <c r="K60" s="97"/>
      <c r="L60" s="90"/>
      <c r="M60" s="90"/>
      <c r="N60" s="90"/>
      <c r="O60" s="97"/>
      <c r="P60" s="90"/>
      <c r="Q60" s="97"/>
      <c r="R60" s="90"/>
      <c r="S60" s="97"/>
      <c r="T60" s="90"/>
      <c r="U60" s="97"/>
      <c r="V60" s="90"/>
      <c r="W60" s="97"/>
      <c r="X60" s="90"/>
      <c r="Y60" s="97"/>
      <c r="Z60" s="90"/>
      <c r="AA60" s="97"/>
      <c r="AB60" s="90"/>
      <c r="AC60" s="97"/>
      <c r="AD60" s="90"/>
      <c r="AE60" s="97"/>
      <c r="AF60" s="90"/>
      <c r="AG60" s="97"/>
      <c r="AH60" s="90"/>
      <c r="AI60" s="97"/>
      <c r="AJ60" s="90"/>
      <c r="AK60" s="97"/>
      <c r="AL60" s="90"/>
      <c r="AM60" s="77"/>
      <c r="AN60" s="77"/>
      <c r="AO60" s="77"/>
      <c r="AP60" s="77"/>
      <c r="AQ60" s="77"/>
      <c r="AR60" s="77"/>
      <c r="AS60" s="77"/>
      <c r="AT60" s="77"/>
    </row>
    <row r="61" spans="1:46" s="84" customFormat="1" ht="14.25">
      <c r="A61" s="77"/>
      <c r="B61" s="98"/>
      <c r="C61" s="83"/>
      <c r="F61" s="102"/>
      <c r="G61" s="102"/>
      <c r="H61" s="102"/>
      <c r="I61" s="97"/>
      <c r="J61" s="90"/>
      <c r="K61" s="97"/>
      <c r="L61" s="90"/>
      <c r="M61" s="90"/>
      <c r="N61" s="90"/>
      <c r="O61" s="97"/>
      <c r="P61" s="90"/>
      <c r="Q61" s="97"/>
      <c r="R61" s="90"/>
      <c r="S61" s="97"/>
      <c r="T61" s="90"/>
      <c r="U61" s="97"/>
      <c r="V61" s="90"/>
      <c r="W61" s="97"/>
      <c r="X61" s="90"/>
      <c r="Y61" s="97"/>
      <c r="Z61" s="90"/>
      <c r="AA61" s="97"/>
      <c r="AB61" s="90"/>
      <c r="AC61" s="97"/>
      <c r="AD61" s="90"/>
      <c r="AE61" s="97"/>
      <c r="AF61" s="90"/>
      <c r="AG61" s="97"/>
      <c r="AH61" s="90"/>
      <c r="AI61" s="97"/>
      <c r="AJ61" s="90"/>
      <c r="AK61" s="97"/>
      <c r="AL61" s="90"/>
      <c r="AM61" s="77"/>
      <c r="AN61" s="77"/>
      <c r="AO61" s="77"/>
      <c r="AP61" s="77"/>
      <c r="AQ61" s="77"/>
      <c r="AR61" s="77"/>
      <c r="AS61" s="77"/>
      <c r="AT61" s="77"/>
    </row>
    <row r="62" spans="1:46" s="84" customFormat="1" ht="14.25">
      <c r="A62" s="77"/>
      <c r="B62" s="98"/>
      <c r="C62" s="83"/>
      <c r="F62" s="102"/>
      <c r="G62" s="102"/>
      <c r="H62" s="102"/>
      <c r="I62" s="97"/>
      <c r="J62" s="90"/>
      <c r="K62" s="97"/>
      <c r="L62" s="90"/>
      <c r="M62" s="90"/>
      <c r="N62" s="90"/>
      <c r="O62" s="97"/>
      <c r="P62" s="90"/>
      <c r="Q62" s="97"/>
      <c r="R62" s="90"/>
      <c r="S62" s="97"/>
      <c r="T62" s="90"/>
      <c r="U62" s="97"/>
      <c r="V62" s="90"/>
      <c r="W62" s="97"/>
      <c r="X62" s="90"/>
      <c r="Y62" s="97"/>
      <c r="Z62" s="90"/>
      <c r="AA62" s="97"/>
      <c r="AB62" s="90"/>
      <c r="AC62" s="97"/>
      <c r="AD62" s="90"/>
      <c r="AE62" s="97"/>
      <c r="AF62" s="90"/>
      <c r="AG62" s="97"/>
      <c r="AH62" s="90"/>
      <c r="AI62" s="97"/>
      <c r="AJ62" s="90"/>
      <c r="AK62" s="97"/>
      <c r="AL62" s="90"/>
      <c r="AM62" s="77"/>
      <c r="AN62" s="77"/>
      <c r="AO62" s="77"/>
      <c r="AP62" s="77"/>
      <c r="AQ62" s="77"/>
      <c r="AR62" s="77"/>
      <c r="AS62" s="77"/>
      <c r="AT62" s="77"/>
    </row>
    <row r="63" spans="1:46" s="84" customFormat="1" ht="14.25">
      <c r="A63" s="77"/>
      <c r="B63" s="98"/>
      <c r="C63" s="83"/>
      <c r="F63" s="102"/>
      <c r="G63" s="102"/>
      <c r="H63" s="102"/>
      <c r="I63" s="97"/>
      <c r="J63" s="90"/>
      <c r="K63" s="97"/>
      <c r="L63" s="90"/>
      <c r="M63" s="90"/>
      <c r="N63" s="90"/>
      <c r="O63" s="97"/>
      <c r="P63" s="90"/>
      <c r="Q63" s="97"/>
      <c r="R63" s="90"/>
      <c r="S63" s="97"/>
      <c r="T63" s="90"/>
      <c r="U63" s="97"/>
      <c r="V63" s="90"/>
      <c r="W63" s="97"/>
      <c r="X63" s="90"/>
      <c r="Y63" s="97"/>
      <c r="Z63" s="90"/>
      <c r="AA63" s="97"/>
      <c r="AB63" s="90"/>
      <c r="AC63" s="97"/>
      <c r="AD63" s="90"/>
      <c r="AE63" s="97"/>
      <c r="AF63" s="90"/>
      <c r="AG63" s="97"/>
      <c r="AH63" s="90"/>
      <c r="AI63" s="97"/>
      <c r="AJ63" s="90"/>
      <c r="AK63" s="97"/>
      <c r="AL63" s="90"/>
      <c r="AM63" s="77"/>
      <c r="AN63" s="77"/>
      <c r="AO63" s="77"/>
      <c r="AP63" s="77"/>
      <c r="AQ63" s="77"/>
      <c r="AR63" s="77"/>
      <c r="AS63" s="77"/>
      <c r="AT63" s="77"/>
    </row>
    <row r="64" spans="1:46" s="84" customFormat="1" ht="14.25">
      <c r="A64" s="77"/>
      <c r="B64" s="98"/>
      <c r="C64" s="83"/>
      <c r="F64" s="102"/>
      <c r="G64" s="102"/>
      <c r="H64" s="102"/>
      <c r="I64" s="97"/>
      <c r="J64" s="90"/>
      <c r="K64" s="97"/>
      <c r="L64" s="90"/>
      <c r="M64" s="90"/>
      <c r="N64" s="90"/>
      <c r="O64" s="97"/>
      <c r="P64" s="90"/>
      <c r="Q64" s="97"/>
      <c r="R64" s="90"/>
      <c r="S64" s="97"/>
      <c r="T64" s="90"/>
      <c r="U64" s="97"/>
      <c r="V64" s="90"/>
      <c r="W64" s="97"/>
      <c r="X64" s="90"/>
      <c r="Y64" s="97"/>
      <c r="Z64" s="90"/>
      <c r="AA64" s="97"/>
      <c r="AB64" s="90"/>
      <c r="AC64" s="97"/>
      <c r="AD64" s="90"/>
      <c r="AE64" s="97"/>
      <c r="AF64" s="90"/>
      <c r="AG64" s="97"/>
      <c r="AH64" s="90"/>
      <c r="AI64" s="97"/>
      <c r="AJ64" s="90"/>
      <c r="AK64" s="97"/>
      <c r="AL64" s="90"/>
      <c r="AM64" s="77"/>
      <c r="AN64" s="77"/>
      <c r="AO64" s="77"/>
      <c r="AP64" s="77"/>
      <c r="AQ64" s="77"/>
      <c r="AR64" s="77"/>
      <c r="AS64" s="77"/>
      <c r="AT64" s="77"/>
    </row>
    <row r="65" spans="1:46" s="84" customFormat="1" ht="14.25">
      <c r="A65" s="77"/>
      <c r="B65" s="98"/>
      <c r="C65" s="83"/>
      <c r="F65" s="102"/>
      <c r="G65" s="102"/>
      <c r="H65" s="102"/>
      <c r="I65" s="97"/>
      <c r="J65" s="90"/>
      <c r="K65" s="97"/>
      <c r="L65" s="90"/>
      <c r="M65" s="90"/>
      <c r="N65" s="90"/>
      <c r="O65" s="97"/>
      <c r="P65" s="90"/>
      <c r="Q65" s="97"/>
      <c r="R65" s="90"/>
      <c r="S65" s="97"/>
      <c r="T65" s="90"/>
      <c r="U65" s="97"/>
      <c r="V65" s="90"/>
      <c r="W65" s="97"/>
      <c r="X65" s="90"/>
      <c r="Y65" s="97"/>
      <c r="Z65" s="90"/>
      <c r="AA65" s="97"/>
      <c r="AB65" s="90"/>
      <c r="AC65" s="97"/>
      <c r="AD65" s="90"/>
      <c r="AE65" s="97"/>
      <c r="AF65" s="90"/>
      <c r="AG65" s="97"/>
      <c r="AH65" s="90"/>
      <c r="AI65" s="97"/>
      <c r="AJ65" s="90"/>
      <c r="AK65" s="97"/>
      <c r="AL65" s="90"/>
      <c r="AM65" s="77"/>
      <c r="AN65" s="77"/>
      <c r="AO65" s="77"/>
      <c r="AP65" s="77"/>
      <c r="AQ65" s="77"/>
      <c r="AR65" s="77"/>
      <c r="AS65" s="77"/>
      <c r="AT65" s="77"/>
    </row>
    <row r="66" spans="1:46" s="84" customFormat="1" ht="14.25">
      <c r="A66" s="77"/>
      <c r="B66" s="98"/>
      <c r="C66" s="83"/>
      <c r="F66" s="102"/>
      <c r="G66" s="102"/>
      <c r="H66" s="102"/>
      <c r="I66" s="97"/>
      <c r="J66" s="90"/>
      <c r="K66" s="97"/>
      <c r="L66" s="90"/>
      <c r="M66" s="90"/>
      <c r="N66" s="90"/>
      <c r="O66" s="97"/>
      <c r="P66" s="90"/>
      <c r="Q66" s="97"/>
      <c r="R66" s="90"/>
      <c r="S66" s="97"/>
      <c r="T66" s="90"/>
      <c r="U66" s="97"/>
      <c r="V66" s="90"/>
      <c r="W66" s="97"/>
      <c r="X66" s="90"/>
      <c r="Y66" s="97"/>
      <c r="Z66" s="90"/>
      <c r="AA66" s="97"/>
      <c r="AB66" s="90"/>
      <c r="AC66" s="97"/>
      <c r="AD66" s="90"/>
      <c r="AE66" s="97"/>
      <c r="AF66" s="90"/>
      <c r="AG66" s="97"/>
      <c r="AH66" s="90"/>
      <c r="AI66" s="97"/>
      <c r="AJ66" s="90"/>
      <c r="AK66" s="97"/>
      <c r="AL66" s="90"/>
      <c r="AM66" s="77"/>
      <c r="AN66" s="77"/>
      <c r="AO66" s="77"/>
      <c r="AP66" s="77"/>
      <c r="AQ66" s="77"/>
      <c r="AR66" s="77"/>
      <c r="AS66" s="77"/>
      <c r="AT66" s="77"/>
    </row>
    <row r="67" spans="1:46" s="84" customFormat="1" ht="14.25">
      <c r="A67" s="77"/>
      <c r="B67" s="98"/>
      <c r="C67" s="83"/>
      <c r="F67" s="102"/>
      <c r="G67" s="102"/>
      <c r="H67" s="102"/>
      <c r="I67" s="97"/>
      <c r="J67" s="90"/>
      <c r="K67" s="97"/>
      <c r="L67" s="90"/>
      <c r="M67" s="90"/>
      <c r="N67" s="90"/>
      <c r="O67" s="97"/>
      <c r="P67" s="90"/>
      <c r="Q67" s="97"/>
      <c r="R67" s="90"/>
      <c r="S67" s="97"/>
      <c r="T67" s="90"/>
      <c r="U67" s="97"/>
      <c r="V67" s="90"/>
      <c r="W67" s="97"/>
      <c r="X67" s="90"/>
      <c r="Y67" s="97"/>
      <c r="Z67" s="90"/>
      <c r="AA67" s="97"/>
      <c r="AB67" s="90"/>
      <c r="AC67" s="97"/>
      <c r="AD67" s="90"/>
      <c r="AE67" s="97"/>
      <c r="AF67" s="90"/>
      <c r="AG67" s="97"/>
      <c r="AH67" s="90"/>
      <c r="AI67" s="97"/>
      <c r="AJ67" s="90"/>
      <c r="AK67" s="97"/>
      <c r="AL67" s="90"/>
      <c r="AM67" s="77"/>
      <c r="AN67" s="77"/>
      <c r="AO67" s="77"/>
      <c r="AP67" s="77"/>
      <c r="AQ67" s="77"/>
      <c r="AR67" s="77"/>
      <c r="AS67" s="77"/>
      <c r="AT67" s="77"/>
    </row>
    <row r="68" spans="1:46" s="84" customFormat="1" ht="14.25">
      <c r="A68" s="77"/>
      <c r="B68" s="98"/>
      <c r="C68" s="83"/>
      <c r="F68" s="102"/>
      <c r="G68" s="102"/>
      <c r="H68" s="102"/>
      <c r="I68" s="97"/>
      <c r="J68" s="90"/>
      <c r="K68" s="97"/>
      <c r="L68" s="90"/>
      <c r="M68" s="90"/>
      <c r="N68" s="90"/>
      <c r="O68" s="97"/>
      <c r="P68" s="90"/>
      <c r="Q68" s="97"/>
      <c r="R68" s="90"/>
      <c r="S68" s="97"/>
      <c r="T68" s="90"/>
      <c r="U68" s="97"/>
      <c r="V68" s="90"/>
      <c r="W68" s="97"/>
      <c r="X68" s="90"/>
      <c r="Y68" s="97"/>
      <c r="Z68" s="90"/>
      <c r="AA68" s="97"/>
      <c r="AB68" s="90"/>
      <c r="AC68" s="97"/>
      <c r="AD68" s="90"/>
      <c r="AE68" s="97"/>
      <c r="AF68" s="90"/>
      <c r="AG68" s="97"/>
      <c r="AH68" s="90"/>
      <c r="AI68" s="97"/>
      <c r="AJ68" s="90"/>
      <c r="AK68" s="97"/>
      <c r="AL68" s="90"/>
      <c r="AM68" s="77"/>
      <c r="AN68" s="77"/>
      <c r="AO68" s="77"/>
      <c r="AP68" s="77"/>
      <c r="AQ68" s="77"/>
      <c r="AR68" s="77"/>
      <c r="AS68" s="77"/>
      <c r="AT68" s="77"/>
    </row>
    <row r="69" spans="1:46" s="84" customFormat="1" ht="14.25">
      <c r="A69" s="77"/>
      <c r="B69" s="98"/>
      <c r="C69" s="83"/>
      <c r="F69" s="102"/>
      <c r="G69" s="102"/>
      <c r="H69" s="102"/>
      <c r="I69" s="97"/>
      <c r="J69" s="90"/>
      <c r="K69" s="97"/>
      <c r="L69" s="90"/>
      <c r="M69" s="90"/>
      <c r="N69" s="90"/>
      <c r="O69" s="97"/>
      <c r="P69" s="90"/>
      <c r="Q69" s="97"/>
      <c r="R69" s="90"/>
      <c r="S69" s="97"/>
      <c r="T69" s="90"/>
      <c r="U69" s="97"/>
      <c r="V69" s="90"/>
      <c r="W69" s="97"/>
      <c r="X69" s="90"/>
      <c r="Y69" s="97"/>
      <c r="Z69" s="90"/>
      <c r="AA69" s="97"/>
      <c r="AB69" s="90"/>
      <c r="AC69" s="97"/>
      <c r="AD69" s="90"/>
      <c r="AE69" s="97"/>
      <c r="AF69" s="90"/>
      <c r="AG69" s="97"/>
      <c r="AH69" s="90"/>
      <c r="AI69" s="97"/>
      <c r="AJ69" s="90"/>
      <c r="AK69" s="97"/>
      <c r="AL69" s="90"/>
      <c r="AM69" s="77"/>
      <c r="AN69" s="77"/>
      <c r="AO69" s="77"/>
      <c r="AP69" s="77"/>
      <c r="AQ69" s="77"/>
      <c r="AR69" s="77"/>
      <c r="AS69" s="77"/>
      <c r="AT69" s="77"/>
    </row>
    <row r="70" spans="1:46" s="84" customFormat="1" ht="14.25">
      <c r="A70" s="77"/>
      <c r="B70" s="98"/>
      <c r="C70" s="83"/>
      <c r="F70" s="102"/>
      <c r="G70" s="102"/>
      <c r="H70" s="102"/>
      <c r="I70" s="97"/>
      <c r="J70" s="90"/>
      <c r="K70" s="97"/>
      <c r="L70" s="90"/>
      <c r="M70" s="90"/>
      <c r="N70" s="90"/>
      <c r="O70" s="97"/>
      <c r="P70" s="90"/>
      <c r="Q70" s="97"/>
      <c r="R70" s="90"/>
      <c r="S70" s="97"/>
      <c r="T70" s="90"/>
      <c r="U70" s="97"/>
      <c r="V70" s="90"/>
      <c r="W70" s="97"/>
      <c r="X70" s="90"/>
      <c r="Y70" s="97"/>
      <c r="Z70" s="90"/>
      <c r="AA70" s="97"/>
      <c r="AB70" s="90"/>
      <c r="AC70" s="97"/>
      <c r="AD70" s="90"/>
      <c r="AE70" s="97"/>
      <c r="AF70" s="90"/>
      <c r="AG70" s="97"/>
      <c r="AH70" s="90"/>
      <c r="AI70" s="97"/>
      <c r="AJ70" s="90"/>
      <c r="AK70" s="97"/>
      <c r="AL70" s="90"/>
      <c r="AM70" s="77"/>
      <c r="AN70" s="77"/>
      <c r="AO70" s="77"/>
      <c r="AP70" s="77"/>
      <c r="AQ70" s="77"/>
      <c r="AR70" s="77"/>
      <c r="AS70" s="77"/>
      <c r="AT70" s="77"/>
    </row>
    <row r="71" spans="1:46" s="84" customFormat="1" ht="14.25">
      <c r="A71" s="77"/>
      <c r="B71" s="98"/>
      <c r="C71" s="83"/>
      <c r="F71" s="102"/>
      <c r="G71" s="102"/>
      <c r="H71" s="102"/>
      <c r="I71" s="97"/>
      <c r="J71" s="90"/>
      <c r="K71" s="97"/>
      <c r="L71" s="90"/>
      <c r="M71" s="90"/>
      <c r="N71" s="90"/>
      <c r="O71" s="97"/>
      <c r="P71" s="90"/>
      <c r="Q71" s="97"/>
      <c r="R71" s="90"/>
      <c r="S71" s="97"/>
      <c r="T71" s="90"/>
      <c r="U71" s="97"/>
      <c r="V71" s="90"/>
      <c r="W71" s="97"/>
      <c r="X71" s="90"/>
      <c r="Y71" s="97"/>
      <c r="Z71" s="90"/>
      <c r="AA71" s="97"/>
      <c r="AB71" s="90"/>
      <c r="AC71" s="97"/>
      <c r="AD71" s="90"/>
      <c r="AE71" s="97"/>
      <c r="AF71" s="90"/>
      <c r="AG71" s="97"/>
      <c r="AH71" s="90"/>
      <c r="AI71" s="97"/>
      <c r="AJ71" s="90"/>
      <c r="AK71" s="97"/>
      <c r="AL71" s="90"/>
      <c r="AM71" s="77"/>
      <c r="AN71" s="77"/>
      <c r="AO71" s="77"/>
      <c r="AP71" s="77"/>
      <c r="AQ71" s="77"/>
      <c r="AR71" s="77"/>
      <c r="AS71" s="77"/>
      <c r="AT71" s="77"/>
    </row>
    <row r="72" spans="1:46" s="84" customFormat="1" ht="14.25">
      <c r="A72" s="77"/>
      <c r="B72" s="98"/>
      <c r="C72" s="83"/>
      <c r="F72" s="102"/>
      <c r="G72" s="102"/>
      <c r="H72" s="102"/>
      <c r="I72" s="97"/>
      <c r="J72" s="90"/>
      <c r="K72" s="97"/>
      <c r="L72" s="90"/>
      <c r="M72" s="90"/>
      <c r="N72" s="90"/>
      <c r="O72" s="97"/>
      <c r="P72" s="90"/>
      <c r="Q72" s="97"/>
      <c r="R72" s="90"/>
      <c r="S72" s="97"/>
      <c r="T72" s="90"/>
      <c r="U72" s="97"/>
      <c r="V72" s="90"/>
      <c r="W72" s="97"/>
      <c r="X72" s="90"/>
      <c r="Y72" s="97"/>
      <c r="Z72" s="90"/>
      <c r="AA72" s="97"/>
      <c r="AB72" s="90"/>
      <c r="AC72" s="97"/>
      <c r="AD72" s="90"/>
      <c r="AE72" s="97"/>
      <c r="AF72" s="90"/>
      <c r="AG72" s="97"/>
      <c r="AH72" s="90"/>
      <c r="AI72" s="97"/>
      <c r="AJ72" s="90"/>
      <c r="AK72" s="97"/>
      <c r="AL72" s="90"/>
      <c r="AM72" s="77"/>
      <c r="AN72" s="77"/>
      <c r="AO72" s="77"/>
      <c r="AP72" s="77"/>
      <c r="AQ72" s="77"/>
      <c r="AR72" s="77"/>
      <c r="AS72" s="77"/>
      <c r="AT72" s="77"/>
    </row>
    <row r="73" spans="1:46" s="84" customFormat="1" ht="14.25">
      <c r="A73" s="77"/>
      <c r="B73" s="98"/>
      <c r="C73" s="83"/>
      <c r="F73" s="102"/>
      <c r="G73" s="102"/>
      <c r="H73" s="102"/>
      <c r="I73" s="97"/>
      <c r="J73" s="90"/>
      <c r="K73" s="97"/>
      <c r="L73" s="90"/>
      <c r="M73" s="90"/>
      <c r="N73" s="90"/>
      <c r="O73" s="97"/>
      <c r="P73" s="90"/>
      <c r="Q73" s="97"/>
      <c r="R73" s="90"/>
      <c r="S73" s="97"/>
      <c r="T73" s="90"/>
      <c r="U73" s="97"/>
      <c r="V73" s="90"/>
      <c r="W73" s="97"/>
      <c r="X73" s="90"/>
      <c r="Y73" s="97"/>
      <c r="Z73" s="90"/>
      <c r="AA73" s="97"/>
      <c r="AB73" s="90"/>
      <c r="AC73" s="97"/>
      <c r="AD73" s="90"/>
      <c r="AE73" s="97"/>
      <c r="AF73" s="90"/>
      <c r="AG73" s="97"/>
      <c r="AH73" s="90"/>
      <c r="AI73" s="97"/>
      <c r="AJ73" s="90"/>
      <c r="AK73" s="97"/>
      <c r="AL73" s="90"/>
      <c r="AM73" s="77"/>
      <c r="AN73" s="77"/>
      <c r="AO73" s="77"/>
      <c r="AP73" s="77"/>
      <c r="AQ73" s="77"/>
      <c r="AR73" s="77"/>
      <c r="AS73" s="77"/>
      <c r="AT73" s="77"/>
    </row>
    <row r="74" spans="1:46" s="84" customFormat="1" ht="14.25">
      <c r="A74" s="77"/>
      <c r="B74" s="98"/>
      <c r="C74" s="83"/>
      <c r="F74" s="102"/>
      <c r="G74" s="102"/>
      <c r="H74" s="102"/>
      <c r="I74" s="97"/>
      <c r="J74" s="90"/>
      <c r="K74" s="97"/>
      <c r="L74" s="90"/>
      <c r="M74" s="90"/>
      <c r="N74" s="90"/>
      <c r="O74" s="97"/>
      <c r="P74" s="90"/>
      <c r="Q74" s="97"/>
      <c r="R74" s="90"/>
      <c r="S74" s="97"/>
      <c r="T74" s="90"/>
      <c r="U74" s="97"/>
      <c r="V74" s="90"/>
      <c r="W74" s="97"/>
      <c r="X74" s="90"/>
      <c r="Y74" s="97"/>
      <c r="Z74" s="90"/>
      <c r="AA74" s="97"/>
      <c r="AB74" s="90"/>
      <c r="AC74" s="97"/>
      <c r="AD74" s="90"/>
      <c r="AE74" s="97"/>
      <c r="AF74" s="90"/>
      <c r="AG74" s="97"/>
      <c r="AH74" s="90"/>
      <c r="AI74" s="97"/>
      <c r="AJ74" s="90"/>
      <c r="AK74" s="97"/>
      <c r="AL74" s="90"/>
      <c r="AM74" s="77"/>
      <c r="AN74" s="77"/>
      <c r="AO74" s="77"/>
      <c r="AP74" s="77"/>
      <c r="AQ74" s="77"/>
      <c r="AR74" s="77"/>
      <c r="AS74" s="77"/>
      <c r="AT74" s="77"/>
    </row>
    <row r="75" spans="1:46" s="84" customFormat="1" ht="14.25">
      <c r="A75" s="77"/>
      <c r="B75" s="98"/>
      <c r="C75" s="83"/>
      <c r="F75" s="102"/>
      <c r="G75" s="102"/>
      <c r="H75" s="102"/>
      <c r="I75" s="97"/>
      <c r="J75" s="90"/>
      <c r="K75" s="97"/>
      <c r="L75" s="90"/>
      <c r="M75" s="90"/>
      <c r="N75" s="90"/>
      <c r="O75" s="97"/>
      <c r="P75" s="90"/>
      <c r="Q75" s="97"/>
      <c r="R75" s="90"/>
      <c r="S75" s="97"/>
      <c r="T75" s="90"/>
      <c r="U75" s="97"/>
      <c r="V75" s="90"/>
      <c r="W75" s="97"/>
      <c r="X75" s="90"/>
      <c r="Y75" s="97"/>
      <c r="Z75" s="90"/>
      <c r="AA75" s="97"/>
      <c r="AB75" s="90"/>
      <c r="AC75" s="97"/>
      <c r="AD75" s="90"/>
      <c r="AE75" s="97"/>
      <c r="AF75" s="90"/>
      <c r="AG75" s="97"/>
      <c r="AH75" s="90"/>
      <c r="AI75" s="97"/>
      <c r="AJ75" s="90"/>
      <c r="AK75" s="97"/>
      <c r="AL75" s="90"/>
      <c r="AM75" s="77"/>
      <c r="AN75" s="77"/>
      <c r="AO75" s="77"/>
      <c r="AP75" s="77"/>
      <c r="AQ75" s="77"/>
      <c r="AR75" s="77"/>
      <c r="AS75" s="77"/>
      <c r="AT75" s="77"/>
    </row>
    <row r="76" spans="1:46" s="84" customFormat="1" ht="14.25">
      <c r="A76" s="77"/>
      <c r="B76" s="98"/>
      <c r="C76" s="83"/>
      <c r="F76" s="102"/>
      <c r="G76" s="102"/>
      <c r="H76" s="102"/>
      <c r="I76" s="97"/>
      <c r="J76" s="90"/>
      <c r="K76" s="97"/>
      <c r="L76" s="90"/>
      <c r="M76" s="90"/>
      <c r="N76" s="90"/>
      <c r="O76" s="97"/>
      <c r="P76" s="90"/>
      <c r="Q76" s="97"/>
      <c r="R76" s="90"/>
      <c r="S76" s="97"/>
      <c r="T76" s="90"/>
      <c r="U76" s="97"/>
      <c r="V76" s="90"/>
      <c r="W76" s="97"/>
      <c r="X76" s="90"/>
      <c r="Y76" s="97"/>
      <c r="Z76" s="90"/>
      <c r="AA76" s="97"/>
      <c r="AB76" s="90"/>
      <c r="AC76" s="97"/>
      <c r="AD76" s="90"/>
      <c r="AE76" s="97"/>
      <c r="AF76" s="90"/>
      <c r="AG76" s="97"/>
      <c r="AH76" s="90"/>
      <c r="AI76" s="97"/>
      <c r="AJ76" s="90"/>
      <c r="AK76" s="97"/>
      <c r="AL76" s="90"/>
      <c r="AM76" s="77"/>
      <c r="AN76" s="77"/>
      <c r="AO76" s="77"/>
      <c r="AP76" s="77"/>
      <c r="AQ76" s="77"/>
      <c r="AR76" s="77"/>
      <c r="AS76" s="77"/>
      <c r="AT76" s="77"/>
    </row>
    <row r="77" spans="1:46" s="84" customFormat="1" ht="14.25">
      <c r="A77" s="77"/>
      <c r="B77" s="98"/>
      <c r="C77" s="83"/>
      <c r="F77" s="102"/>
      <c r="G77" s="102"/>
      <c r="H77" s="102"/>
      <c r="I77" s="97"/>
      <c r="J77" s="90"/>
      <c r="K77" s="97"/>
      <c r="L77" s="90"/>
      <c r="M77" s="90"/>
      <c r="N77" s="90"/>
      <c r="O77" s="97"/>
      <c r="P77" s="90"/>
      <c r="Q77" s="97"/>
      <c r="R77" s="90"/>
      <c r="S77" s="97"/>
      <c r="T77" s="90"/>
      <c r="U77" s="97"/>
      <c r="V77" s="90"/>
      <c r="W77" s="97"/>
      <c r="X77" s="90"/>
      <c r="Y77" s="97"/>
      <c r="Z77" s="90"/>
      <c r="AA77" s="97"/>
      <c r="AB77" s="90"/>
      <c r="AC77" s="97"/>
      <c r="AD77" s="90"/>
      <c r="AE77" s="97"/>
      <c r="AF77" s="90"/>
      <c r="AG77" s="97"/>
      <c r="AH77" s="90"/>
      <c r="AI77" s="97"/>
      <c r="AJ77" s="90"/>
      <c r="AK77" s="97"/>
      <c r="AL77" s="90"/>
      <c r="AM77" s="77"/>
      <c r="AN77" s="77"/>
      <c r="AO77" s="77"/>
      <c r="AP77" s="77"/>
      <c r="AQ77" s="77"/>
      <c r="AR77" s="77"/>
      <c r="AS77" s="77"/>
      <c r="AT77" s="77"/>
    </row>
    <row r="78" spans="1:46" s="84" customFormat="1" ht="14.25">
      <c r="A78" s="77"/>
      <c r="B78" s="98"/>
      <c r="C78" s="83"/>
      <c r="F78" s="102"/>
      <c r="G78" s="102"/>
      <c r="H78" s="102"/>
      <c r="I78" s="97"/>
      <c r="J78" s="90"/>
      <c r="K78" s="97"/>
      <c r="L78" s="90"/>
      <c r="M78" s="90"/>
      <c r="N78" s="90"/>
      <c r="O78" s="97"/>
      <c r="P78" s="90"/>
      <c r="Q78" s="97"/>
      <c r="R78" s="90"/>
      <c r="S78" s="97"/>
      <c r="T78" s="90"/>
      <c r="U78" s="97"/>
      <c r="V78" s="90"/>
      <c r="W78" s="97"/>
      <c r="X78" s="90"/>
      <c r="Y78" s="97"/>
      <c r="Z78" s="90"/>
      <c r="AA78" s="97"/>
      <c r="AB78" s="90"/>
      <c r="AC78" s="97"/>
      <c r="AD78" s="90"/>
      <c r="AE78" s="97"/>
      <c r="AF78" s="90"/>
      <c r="AG78" s="97"/>
      <c r="AH78" s="90"/>
      <c r="AI78" s="97"/>
      <c r="AJ78" s="90"/>
      <c r="AK78" s="97"/>
      <c r="AL78" s="90"/>
      <c r="AM78" s="77"/>
      <c r="AN78" s="77"/>
      <c r="AO78" s="77"/>
      <c r="AP78" s="77"/>
      <c r="AQ78" s="77"/>
      <c r="AR78" s="77"/>
      <c r="AS78" s="77"/>
      <c r="AT78" s="77"/>
    </row>
    <row r="79" spans="1:46" s="84" customFormat="1" ht="14.25">
      <c r="A79" s="77"/>
      <c r="B79" s="98"/>
      <c r="C79" s="83"/>
      <c r="F79" s="102"/>
      <c r="G79" s="102"/>
      <c r="H79" s="102"/>
      <c r="I79" s="97"/>
      <c r="J79" s="90"/>
      <c r="K79" s="97"/>
      <c r="L79" s="90"/>
      <c r="M79" s="90"/>
      <c r="N79" s="90"/>
      <c r="O79" s="97"/>
      <c r="P79" s="90"/>
      <c r="Q79" s="97"/>
      <c r="R79" s="90"/>
      <c r="S79" s="97"/>
      <c r="T79" s="90"/>
      <c r="U79" s="97"/>
      <c r="V79" s="90"/>
      <c r="W79" s="97"/>
      <c r="X79" s="90"/>
      <c r="Y79" s="97"/>
      <c r="Z79" s="90"/>
      <c r="AA79" s="97"/>
      <c r="AB79" s="90"/>
      <c r="AC79" s="97"/>
      <c r="AD79" s="90"/>
      <c r="AE79" s="97"/>
      <c r="AF79" s="90"/>
      <c r="AG79" s="97"/>
      <c r="AH79" s="90"/>
      <c r="AI79" s="97"/>
      <c r="AJ79" s="90"/>
      <c r="AK79" s="97"/>
      <c r="AL79" s="90"/>
      <c r="AM79" s="77"/>
      <c r="AN79" s="77"/>
      <c r="AO79" s="77"/>
      <c r="AP79" s="77"/>
      <c r="AQ79" s="77"/>
      <c r="AR79" s="77"/>
      <c r="AS79" s="77"/>
      <c r="AT79" s="77"/>
    </row>
    <row r="80" spans="1:46" s="84" customFormat="1" ht="14.25">
      <c r="A80" s="77"/>
      <c r="B80" s="98"/>
      <c r="C80" s="83"/>
      <c r="F80" s="102"/>
      <c r="G80" s="102"/>
      <c r="H80" s="102"/>
      <c r="I80" s="97"/>
      <c r="J80" s="90"/>
      <c r="K80" s="97"/>
      <c r="L80" s="90"/>
      <c r="M80" s="90"/>
      <c r="N80" s="90"/>
      <c r="O80" s="97"/>
      <c r="P80" s="90"/>
      <c r="Q80" s="97"/>
      <c r="R80" s="90"/>
      <c r="S80" s="97"/>
      <c r="T80" s="90"/>
      <c r="U80" s="97"/>
      <c r="V80" s="90"/>
      <c r="W80" s="97"/>
      <c r="X80" s="90"/>
      <c r="Y80" s="97"/>
      <c r="Z80" s="90"/>
      <c r="AA80" s="97"/>
      <c r="AB80" s="90"/>
      <c r="AC80" s="97"/>
      <c r="AD80" s="90"/>
      <c r="AE80" s="97"/>
      <c r="AF80" s="90"/>
      <c r="AG80" s="97"/>
      <c r="AH80" s="90"/>
      <c r="AI80" s="97"/>
      <c r="AJ80" s="90"/>
      <c r="AK80" s="97"/>
      <c r="AL80" s="90"/>
      <c r="AM80" s="77"/>
      <c r="AN80" s="77"/>
      <c r="AO80" s="77"/>
      <c r="AP80" s="77"/>
      <c r="AQ80" s="77"/>
      <c r="AR80" s="77"/>
      <c r="AS80" s="77"/>
      <c r="AT80" s="77"/>
    </row>
    <row r="81" spans="1:46" s="84" customFormat="1" ht="14.25">
      <c r="A81" s="77"/>
      <c r="B81" s="98"/>
      <c r="C81" s="83"/>
      <c r="F81" s="102"/>
      <c r="G81" s="102"/>
      <c r="H81" s="102"/>
      <c r="I81" s="97"/>
      <c r="J81" s="90"/>
      <c r="K81" s="97"/>
      <c r="L81" s="90"/>
      <c r="M81" s="90"/>
      <c r="N81" s="90"/>
      <c r="O81" s="97"/>
      <c r="P81" s="90"/>
      <c r="Q81" s="97"/>
      <c r="R81" s="90"/>
      <c r="S81" s="97"/>
      <c r="T81" s="90"/>
      <c r="U81" s="97"/>
      <c r="V81" s="90"/>
      <c r="W81" s="97"/>
      <c r="X81" s="90"/>
      <c r="Y81" s="97"/>
      <c r="Z81" s="90"/>
      <c r="AA81" s="97"/>
      <c r="AB81" s="90"/>
      <c r="AC81" s="97"/>
      <c r="AD81" s="90"/>
      <c r="AE81" s="97"/>
      <c r="AF81" s="90"/>
      <c r="AG81" s="97"/>
      <c r="AH81" s="90"/>
      <c r="AI81" s="97"/>
      <c r="AJ81" s="90"/>
      <c r="AK81" s="97"/>
      <c r="AL81" s="90"/>
      <c r="AM81" s="77"/>
      <c r="AN81" s="77"/>
      <c r="AO81" s="77"/>
      <c r="AP81" s="77"/>
      <c r="AQ81" s="77"/>
      <c r="AR81" s="77"/>
      <c r="AS81" s="77"/>
      <c r="AT81" s="77"/>
    </row>
    <row r="82" spans="1:46" s="84" customFormat="1" ht="14.25">
      <c r="A82" s="77"/>
      <c r="B82" s="98"/>
      <c r="C82" s="83"/>
      <c r="F82" s="102"/>
      <c r="G82" s="102"/>
      <c r="H82" s="102"/>
      <c r="I82" s="97"/>
      <c r="J82" s="90"/>
      <c r="K82" s="97"/>
      <c r="L82" s="90"/>
      <c r="M82" s="90"/>
      <c r="N82" s="90"/>
      <c r="O82" s="97"/>
      <c r="P82" s="90"/>
      <c r="Q82" s="97"/>
      <c r="R82" s="90"/>
      <c r="S82" s="97"/>
      <c r="T82" s="90"/>
      <c r="U82" s="97"/>
      <c r="V82" s="90"/>
      <c r="W82" s="97"/>
      <c r="X82" s="90"/>
      <c r="Y82" s="97"/>
      <c r="Z82" s="90"/>
      <c r="AA82" s="97"/>
      <c r="AB82" s="90"/>
      <c r="AC82" s="97"/>
      <c r="AD82" s="90"/>
      <c r="AE82" s="97"/>
      <c r="AF82" s="90"/>
      <c r="AG82" s="97"/>
      <c r="AH82" s="90"/>
      <c r="AI82" s="97"/>
      <c r="AJ82" s="90"/>
      <c r="AK82" s="97"/>
      <c r="AL82" s="90"/>
      <c r="AM82" s="77"/>
      <c r="AN82" s="77"/>
      <c r="AO82" s="77"/>
      <c r="AP82" s="77"/>
      <c r="AQ82" s="77"/>
      <c r="AR82" s="77"/>
      <c r="AS82" s="77"/>
      <c r="AT82" s="77"/>
    </row>
    <row r="83" spans="1:46" s="84" customFormat="1" ht="14.25">
      <c r="A83" s="77"/>
      <c r="B83" s="98"/>
      <c r="C83" s="83"/>
      <c r="F83" s="102"/>
      <c r="G83" s="102"/>
      <c r="H83" s="102"/>
      <c r="I83" s="97"/>
      <c r="J83" s="90"/>
      <c r="K83" s="97"/>
      <c r="L83" s="90"/>
      <c r="M83" s="90"/>
      <c r="N83" s="90"/>
      <c r="O83" s="97"/>
      <c r="P83" s="90"/>
      <c r="Q83" s="97"/>
      <c r="R83" s="90"/>
      <c r="S83" s="97"/>
      <c r="T83" s="90"/>
      <c r="U83" s="97"/>
      <c r="V83" s="90"/>
      <c r="W83" s="97"/>
      <c r="X83" s="90"/>
      <c r="Y83" s="97"/>
      <c r="Z83" s="90"/>
      <c r="AA83" s="97"/>
      <c r="AB83" s="90"/>
      <c r="AC83" s="97"/>
      <c r="AD83" s="90"/>
      <c r="AE83" s="97"/>
      <c r="AF83" s="90"/>
      <c r="AG83" s="97"/>
      <c r="AH83" s="90"/>
      <c r="AI83" s="97"/>
      <c r="AJ83" s="90"/>
      <c r="AK83" s="97"/>
      <c r="AL83" s="90"/>
      <c r="AM83" s="77"/>
      <c r="AN83" s="77"/>
      <c r="AO83" s="77"/>
      <c r="AP83" s="77"/>
      <c r="AQ83" s="77"/>
      <c r="AR83" s="77"/>
      <c r="AS83" s="77"/>
      <c r="AT83" s="77"/>
    </row>
    <row r="84" spans="1:46" s="84" customFormat="1" ht="14.25">
      <c r="A84" s="77"/>
      <c r="B84" s="98"/>
      <c r="C84" s="83"/>
      <c r="F84" s="102"/>
      <c r="G84" s="102"/>
      <c r="H84" s="102"/>
      <c r="I84" s="97"/>
      <c r="J84" s="90"/>
      <c r="K84" s="97"/>
      <c r="L84" s="90"/>
      <c r="M84" s="90"/>
      <c r="N84" s="90"/>
      <c r="O84" s="97"/>
      <c r="P84" s="90"/>
      <c r="Q84" s="97"/>
      <c r="R84" s="90"/>
      <c r="S84" s="97"/>
      <c r="T84" s="90"/>
      <c r="U84" s="97"/>
      <c r="V84" s="90"/>
      <c r="W84" s="97"/>
      <c r="X84" s="90"/>
      <c r="Y84" s="97"/>
      <c r="Z84" s="90"/>
      <c r="AA84" s="97"/>
      <c r="AB84" s="90"/>
      <c r="AC84" s="97"/>
      <c r="AD84" s="90"/>
      <c r="AE84" s="97"/>
      <c r="AF84" s="90"/>
      <c r="AG84" s="97"/>
      <c r="AH84" s="90"/>
      <c r="AI84" s="97"/>
      <c r="AJ84" s="90"/>
      <c r="AK84" s="97"/>
      <c r="AL84" s="90"/>
      <c r="AM84" s="77"/>
      <c r="AN84" s="77"/>
      <c r="AO84" s="77"/>
      <c r="AP84" s="77"/>
      <c r="AQ84" s="77"/>
      <c r="AR84" s="77"/>
      <c r="AS84" s="77"/>
      <c r="AT84" s="77"/>
    </row>
    <row r="85" spans="1:46" s="84" customFormat="1" ht="14.25">
      <c r="A85" s="77"/>
      <c r="B85" s="98"/>
      <c r="C85" s="83"/>
      <c r="F85" s="102"/>
      <c r="G85" s="102"/>
      <c r="H85" s="102"/>
      <c r="I85" s="97"/>
      <c r="J85" s="90"/>
      <c r="K85" s="97"/>
      <c r="L85" s="90"/>
      <c r="M85" s="90"/>
      <c r="N85" s="90"/>
      <c r="O85" s="97"/>
      <c r="P85" s="90"/>
      <c r="Q85" s="97"/>
      <c r="R85" s="90"/>
      <c r="S85" s="97"/>
      <c r="T85" s="90"/>
      <c r="U85" s="97"/>
      <c r="V85" s="90"/>
      <c r="W85" s="97"/>
      <c r="X85" s="90"/>
      <c r="Y85" s="97"/>
      <c r="Z85" s="90"/>
      <c r="AA85" s="97"/>
      <c r="AB85" s="90"/>
      <c r="AC85" s="97"/>
      <c r="AD85" s="90"/>
      <c r="AE85" s="97"/>
      <c r="AF85" s="90"/>
      <c r="AG85" s="97"/>
      <c r="AH85" s="90"/>
      <c r="AI85" s="97"/>
      <c r="AJ85" s="90"/>
      <c r="AK85" s="97"/>
      <c r="AL85" s="90"/>
      <c r="AM85" s="77"/>
      <c r="AN85" s="77"/>
      <c r="AO85" s="77"/>
      <c r="AP85" s="77"/>
      <c r="AQ85" s="77"/>
      <c r="AR85" s="77"/>
      <c r="AS85" s="77"/>
      <c r="AT85" s="77"/>
    </row>
    <row r="86" spans="1:46" s="84" customFormat="1" ht="14.25">
      <c r="A86" s="77"/>
      <c r="B86" s="98"/>
      <c r="C86" s="83"/>
      <c r="F86" s="102"/>
      <c r="G86" s="102"/>
      <c r="H86" s="102"/>
      <c r="I86" s="97"/>
      <c r="J86" s="90"/>
      <c r="K86" s="97"/>
      <c r="L86" s="90"/>
      <c r="M86" s="90"/>
      <c r="N86" s="90"/>
      <c r="O86" s="97"/>
      <c r="P86" s="90"/>
      <c r="Q86" s="97"/>
      <c r="R86" s="90"/>
      <c r="S86" s="97"/>
      <c r="T86" s="90"/>
      <c r="U86" s="97"/>
      <c r="V86" s="90"/>
      <c r="W86" s="97"/>
      <c r="X86" s="90"/>
      <c r="Y86" s="97"/>
      <c r="Z86" s="90"/>
      <c r="AA86" s="97"/>
      <c r="AB86" s="90"/>
      <c r="AC86" s="97"/>
      <c r="AD86" s="90"/>
      <c r="AE86" s="97"/>
      <c r="AF86" s="90"/>
      <c r="AG86" s="97"/>
      <c r="AH86" s="90"/>
      <c r="AI86" s="97"/>
      <c r="AJ86" s="90"/>
      <c r="AK86" s="97"/>
      <c r="AL86" s="90"/>
      <c r="AM86" s="77"/>
      <c r="AN86" s="77"/>
      <c r="AO86" s="77"/>
      <c r="AP86" s="77"/>
      <c r="AQ86" s="77"/>
      <c r="AR86" s="77"/>
      <c r="AS86" s="77"/>
      <c r="AT86" s="77"/>
    </row>
    <row r="87" spans="1:46" s="84" customFormat="1" ht="14.25">
      <c r="A87" s="77"/>
      <c r="B87" s="98"/>
      <c r="C87" s="83"/>
      <c r="F87" s="102"/>
      <c r="G87" s="102"/>
      <c r="H87" s="102"/>
      <c r="I87" s="97"/>
      <c r="J87" s="90"/>
      <c r="K87" s="97"/>
      <c r="L87" s="90"/>
      <c r="M87" s="90"/>
      <c r="N87" s="90"/>
      <c r="O87" s="97"/>
      <c r="P87" s="90"/>
      <c r="Q87" s="97"/>
      <c r="R87" s="90"/>
      <c r="S87" s="97"/>
      <c r="T87" s="90"/>
      <c r="U87" s="97"/>
      <c r="V87" s="90"/>
      <c r="W87" s="97"/>
      <c r="X87" s="90"/>
      <c r="Y87" s="97"/>
      <c r="Z87" s="90"/>
      <c r="AA87" s="97"/>
      <c r="AB87" s="90"/>
      <c r="AC87" s="97"/>
      <c r="AD87" s="90"/>
      <c r="AE87" s="97"/>
      <c r="AF87" s="90"/>
      <c r="AG87" s="97"/>
      <c r="AH87" s="90"/>
      <c r="AI87" s="97"/>
      <c r="AJ87" s="90"/>
      <c r="AK87" s="97"/>
      <c r="AL87" s="90"/>
      <c r="AM87" s="77"/>
      <c r="AN87" s="77"/>
      <c r="AO87" s="77"/>
      <c r="AP87" s="77"/>
      <c r="AQ87" s="77"/>
      <c r="AR87" s="77"/>
      <c r="AS87" s="77"/>
      <c r="AT87" s="77"/>
    </row>
    <row r="88" spans="1:46" s="84" customFormat="1" ht="14.25">
      <c r="A88" s="77"/>
      <c r="B88" s="98"/>
      <c r="C88" s="83"/>
      <c r="F88" s="102"/>
      <c r="G88" s="102"/>
      <c r="H88" s="102"/>
      <c r="I88" s="97"/>
      <c r="J88" s="90"/>
      <c r="K88" s="97"/>
      <c r="L88" s="90"/>
      <c r="M88" s="90"/>
      <c r="N88" s="90"/>
      <c r="O88" s="97"/>
      <c r="P88" s="90"/>
      <c r="Q88" s="97"/>
      <c r="R88" s="90"/>
      <c r="S88" s="97"/>
      <c r="T88" s="90"/>
      <c r="U88" s="97"/>
      <c r="V88" s="90"/>
      <c r="W88" s="97"/>
      <c r="X88" s="90"/>
      <c r="Y88" s="97"/>
      <c r="Z88" s="90"/>
      <c r="AA88" s="97"/>
      <c r="AB88" s="90"/>
      <c r="AC88" s="97"/>
      <c r="AD88" s="90"/>
      <c r="AE88" s="97"/>
      <c r="AF88" s="90"/>
      <c r="AG88" s="97"/>
      <c r="AH88" s="90"/>
      <c r="AI88" s="97"/>
      <c r="AJ88" s="90"/>
      <c r="AK88" s="97"/>
      <c r="AL88" s="90"/>
      <c r="AM88" s="77"/>
      <c r="AN88" s="77"/>
      <c r="AO88" s="77"/>
      <c r="AP88" s="77"/>
      <c r="AQ88" s="77"/>
      <c r="AR88" s="77"/>
      <c r="AS88" s="77"/>
      <c r="AT88" s="77"/>
    </row>
    <row r="89" spans="1:46" s="84" customFormat="1" ht="14.25">
      <c r="A89" s="77"/>
      <c r="B89" s="98"/>
      <c r="C89" s="83"/>
      <c r="F89" s="102"/>
      <c r="G89" s="102"/>
      <c r="H89" s="102"/>
      <c r="I89" s="97"/>
      <c r="J89" s="90"/>
      <c r="K89" s="97"/>
      <c r="L89" s="90"/>
      <c r="M89" s="90"/>
      <c r="N89" s="90"/>
      <c r="O89" s="97"/>
      <c r="P89" s="90"/>
      <c r="Q89" s="97"/>
      <c r="R89" s="90"/>
      <c r="S89" s="97"/>
      <c r="T89" s="90"/>
      <c r="U89" s="97"/>
      <c r="V89" s="90"/>
      <c r="W89" s="97"/>
      <c r="X89" s="90"/>
      <c r="Y89" s="97"/>
      <c r="Z89" s="90"/>
      <c r="AA89" s="97"/>
      <c r="AB89" s="90"/>
      <c r="AC89" s="97"/>
      <c r="AD89" s="90"/>
      <c r="AE89" s="97"/>
      <c r="AF89" s="90"/>
      <c r="AG89" s="97"/>
      <c r="AH89" s="90"/>
      <c r="AI89" s="97"/>
      <c r="AJ89" s="90"/>
      <c r="AK89" s="97"/>
      <c r="AL89" s="90"/>
      <c r="AM89" s="77"/>
      <c r="AN89" s="77"/>
      <c r="AO89" s="77"/>
      <c r="AP89" s="77"/>
      <c r="AQ89" s="77"/>
      <c r="AR89" s="77"/>
      <c r="AS89" s="77"/>
      <c r="AT89" s="77"/>
    </row>
    <row r="90" spans="1:46" s="84" customFormat="1" ht="14.25">
      <c r="A90" s="77"/>
      <c r="B90" s="98"/>
      <c r="C90" s="83"/>
      <c r="F90" s="102"/>
      <c r="G90" s="102"/>
      <c r="H90" s="102"/>
      <c r="I90" s="97"/>
      <c r="J90" s="90"/>
      <c r="K90" s="97"/>
      <c r="L90" s="90"/>
      <c r="M90" s="90"/>
      <c r="N90" s="90"/>
      <c r="O90" s="97"/>
      <c r="P90" s="90"/>
      <c r="Q90" s="97"/>
      <c r="R90" s="90"/>
      <c r="S90" s="97"/>
      <c r="T90" s="90"/>
      <c r="U90" s="97"/>
      <c r="V90" s="90"/>
      <c r="W90" s="97"/>
      <c r="X90" s="90"/>
      <c r="Y90" s="97"/>
      <c r="Z90" s="90"/>
      <c r="AA90" s="97"/>
      <c r="AB90" s="90"/>
      <c r="AC90" s="97"/>
      <c r="AD90" s="90"/>
      <c r="AE90" s="97"/>
      <c r="AF90" s="90"/>
      <c r="AG90" s="97"/>
      <c r="AH90" s="90"/>
      <c r="AI90" s="97"/>
      <c r="AJ90" s="90"/>
      <c r="AK90" s="97"/>
      <c r="AL90" s="90"/>
      <c r="AM90" s="77"/>
      <c r="AN90" s="77"/>
      <c r="AO90" s="77"/>
      <c r="AP90" s="77"/>
      <c r="AQ90" s="77"/>
      <c r="AR90" s="77"/>
      <c r="AS90" s="77"/>
      <c r="AT90" s="77"/>
    </row>
    <row r="91" spans="1:46" s="84" customFormat="1" ht="14.25">
      <c r="A91" s="77"/>
      <c r="B91" s="98"/>
      <c r="C91" s="83"/>
      <c r="F91" s="102"/>
      <c r="G91" s="102"/>
      <c r="H91" s="102"/>
      <c r="I91" s="97"/>
      <c r="J91" s="90"/>
      <c r="K91" s="97"/>
      <c r="L91" s="90"/>
      <c r="M91" s="90"/>
      <c r="N91" s="90"/>
      <c r="O91" s="97"/>
      <c r="P91" s="90"/>
      <c r="Q91" s="97"/>
      <c r="R91" s="90"/>
      <c r="S91" s="97"/>
      <c r="T91" s="90"/>
      <c r="U91" s="97"/>
      <c r="V91" s="90"/>
      <c r="W91" s="97"/>
      <c r="X91" s="90"/>
      <c r="Y91" s="97"/>
      <c r="Z91" s="90"/>
      <c r="AA91" s="97"/>
      <c r="AB91" s="90"/>
      <c r="AC91" s="97"/>
      <c r="AD91" s="90"/>
      <c r="AE91" s="97"/>
      <c r="AF91" s="90"/>
      <c r="AG91" s="97"/>
      <c r="AH91" s="90"/>
      <c r="AI91" s="97"/>
      <c r="AJ91" s="90"/>
      <c r="AK91" s="97"/>
      <c r="AL91" s="90"/>
      <c r="AM91" s="77"/>
      <c r="AN91" s="77"/>
      <c r="AO91" s="77"/>
      <c r="AP91" s="77"/>
      <c r="AQ91" s="77"/>
      <c r="AR91" s="77"/>
      <c r="AS91" s="77"/>
      <c r="AT91" s="77"/>
    </row>
    <row r="92" spans="1:46" s="84" customFormat="1" ht="14.25">
      <c r="A92" s="77"/>
      <c r="B92" s="98"/>
      <c r="C92" s="83"/>
      <c r="F92" s="102"/>
      <c r="G92" s="102"/>
      <c r="H92" s="102"/>
      <c r="I92" s="97"/>
      <c r="J92" s="90"/>
      <c r="K92" s="97"/>
      <c r="L92" s="90"/>
      <c r="M92" s="90"/>
      <c r="N92" s="90"/>
      <c r="O92" s="97"/>
      <c r="P92" s="90"/>
      <c r="Q92" s="97"/>
      <c r="R92" s="90"/>
      <c r="S92" s="97"/>
      <c r="T92" s="90"/>
      <c r="U92" s="97"/>
      <c r="V92" s="90"/>
      <c r="W92" s="97"/>
      <c r="X92" s="90"/>
      <c r="Y92" s="97"/>
      <c r="Z92" s="90"/>
      <c r="AA92" s="97"/>
      <c r="AB92" s="90"/>
      <c r="AC92" s="97"/>
      <c r="AD92" s="90"/>
      <c r="AE92" s="97"/>
      <c r="AF92" s="90"/>
      <c r="AG92" s="97"/>
      <c r="AH92" s="90"/>
      <c r="AI92" s="97"/>
      <c r="AJ92" s="90"/>
      <c r="AK92" s="97"/>
      <c r="AL92" s="90"/>
      <c r="AM92" s="77"/>
      <c r="AN92" s="77"/>
      <c r="AO92" s="77"/>
      <c r="AP92" s="77"/>
      <c r="AQ92" s="77"/>
      <c r="AR92" s="77"/>
      <c r="AS92" s="77"/>
      <c r="AT92" s="77"/>
    </row>
    <row r="93" spans="1:46" s="84" customFormat="1" ht="14.25">
      <c r="A93" s="77"/>
      <c r="B93" s="98"/>
      <c r="C93" s="83"/>
      <c r="F93" s="102"/>
      <c r="G93" s="102"/>
      <c r="H93" s="102"/>
      <c r="I93" s="97"/>
      <c r="J93" s="90"/>
      <c r="K93" s="97"/>
      <c r="L93" s="90"/>
      <c r="M93" s="90"/>
      <c r="N93" s="90"/>
      <c r="O93" s="97"/>
      <c r="P93" s="90"/>
      <c r="Q93" s="97"/>
      <c r="R93" s="90"/>
      <c r="S93" s="97"/>
      <c r="T93" s="90"/>
      <c r="U93" s="97"/>
      <c r="V93" s="90"/>
      <c r="W93" s="97"/>
      <c r="X93" s="90"/>
      <c r="Y93" s="97"/>
      <c r="Z93" s="90"/>
      <c r="AA93" s="97"/>
      <c r="AB93" s="90"/>
      <c r="AC93" s="97"/>
      <c r="AD93" s="90"/>
      <c r="AE93" s="97"/>
      <c r="AF93" s="90"/>
      <c r="AG93" s="97"/>
      <c r="AH93" s="90"/>
      <c r="AI93" s="97"/>
      <c r="AJ93" s="90"/>
      <c r="AK93" s="97"/>
      <c r="AL93" s="90"/>
      <c r="AM93" s="77"/>
      <c r="AN93" s="77"/>
      <c r="AO93" s="77"/>
      <c r="AP93" s="77"/>
      <c r="AQ93" s="77"/>
      <c r="AR93" s="77"/>
      <c r="AS93" s="77"/>
      <c r="AT93" s="77"/>
    </row>
    <row r="94" spans="1:46" s="84" customFormat="1" ht="14.25">
      <c r="A94" s="77"/>
      <c r="B94" s="98"/>
      <c r="C94" s="83"/>
      <c r="F94" s="102"/>
      <c r="G94" s="102"/>
      <c r="H94" s="102"/>
      <c r="I94" s="97"/>
      <c r="J94" s="90"/>
      <c r="K94" s="97"/>
      <c r="L94" s="90"/>
      <c r="M94" s="90"/>
      <c r="N94" s="90"/>
      <c r="O94" s="97"/>
      <c r="P94" s="90"/>
      <c r="Q94" s="97"/>
      <c r="R94" s="90"/>
      <c r="S94" s="97"/>
      <c r="T94" s="90"/>
      <c r="U94" s="97"/>
      <c r="V94" s="90"/>
      <c r="W94" s="97"/>
      <c r="X94" s="90"/>
      <c r="Y94" s="97"/>
      <c r="Z94" s="90"/>
      <c r="AA94" s="97"/>
      <c r="AB94" s="90"/>
      <c r="AC94" s="97"/>
      <c r="AD94" s="90"/>
      <c r="AE94" s="97"/>
      <c r="AF94" s="90"/>
      <c r="AG94" s="97"/>
      <c r="AH94" s="90"/>
      <c r="AI94" s="97"/>
      <c r="AJ94" s="90"/>
      <c r="AK94" s="97"/>
      <c r="AL94" s="90"/>
      <c r="AM94" s="77"/>
      <c r="AN94" s="77"/>
      <c r="AO94" s="77"/>
      <c r="AP94" s="77"/>
      <c r="AQ94" s="77"/>
      <c r="AR94" s="77"/>
      <c r="AS94" s="77"/>
      <c r="AT94" s="77"/>
    </row>
    <row r="95" spans="1:46" s="84" customFormat="1" ht="14.25">
      <c r="A95" s="77"/>
      <c r="B95" s="98"/>
      <c r="C95" s="83"/>
      <c r="F95" s="102"/>
      <c r="G95" s="102"/>
      <c r="H95" s="102"/>
      <c r="I95" s="97"/>
      <c r="J95" s="90"/>
      <c r="K95" s="97"/>
      <c r="L95" s="90"/>
      <c r="M95" s="90"/>
      <c r="N95" s="90"/>
      <c r="O95" s="97"/>
      <c r="P95" s="90"/>
      <c r="Q95" s="97"/>
      <c r="R95" s="90"/>
      <c r="S95" s="97"/>
      <c r="T95" s="90"/>
      <c r="U95" s="97"/>
      <c r="V95" s="90"/>
      <c r="W95" s="97"/>
      <c r="X95" s="90"/>
      <c r="Y95" s="97"/>
      <c r="Z95" s="90"/>
      <c r="AA95" s="97"/>
      <c r="AB95" s="90"/>
      <c r="AC95" s="97"/>
      <c r="AD95" s="90"/>
      <c r="AE95" s="97"/>
      <c r="AF95" s="90"/>
      <c r="AG95" s="97"/>
      <c r="AH95" s="90"/>
      <c r="AI95" s="97"/>
      <c r="AJ95" s="90"/>
      <c r="AK95" s="97"/>
      <c r="AL95" s="90"/>
      <c r="AM95" s="77"/>
      <c r="AN95" s="77"/>
      <c r="AO95" s="77"/>
      <c r="AP95" s="77"/>
      <c r="AQ95" s="77"/>
      <c r="AR95" s="77"/>
      <c r="AS95" s="77"/>
      <c r="AT95" s="77"/>
    </row>
    <row r="96" spans="1:46" s="84" customFormat="1" ht="14.25">
      <c r="A96" s="77"/>
      <c r="B96" s="98"/>
      <c r="C96" s="83"/>
      <c r="F96" s="102"/>
      <c r="G96" s="102"/>
      <c r="H96" s="102"/>
      <c r="I96" s="97"/>
      <c r="J96" s="90"/>
      <c r="K96" s="97"/>
      <c r="L96" s="90"/>
      <c r="M96" s="90"/>
      <c r="N96" s="90"/>
      <c r="O96" s="97"/>
      <c r="P96" s="90"/>
      <c r="Q96" s="97"/>
      <c r="R96" s="90"/>
      <c r="S96" s="97"/>
      <c r="T96" s="90"/>
      <c r="U96" s="97"/>
      <c r="V96" s="90"/>
      <c r="W96" s="97"/>
      <c r="X96" s="90"/>
      <c r="Y96" s="97"/>
      <c r="Z96" s="90"/>
      <c r="AA96" s="97"/>
      <c r="AB96" s="90"/>
      <c r="AC96" s="97"/>
      <c r="AD96" s="90"/>
      <c r="AE96" s="97"/>
      <c r="AF96" s="90"/>
      <c r="AG96" s="97"/>
      <c r="AH96" s="90"/>
      <c r="AI96" s="97"/>
      <c r="AJ96" s="90"/>
      <c r="AK96" s="97"/>
      <c r="AL96" s="90"/>
      <c r="AM96" s="77"/>
      <c r="AN96" s="77"/>
      <c r="AO96" s="77"/>
      <c r="AP96" s="77"/>
      <c r="AQ96" s="77"/>
      <c r="AR96" s="77"/>
      <c r="AS96" s="77"/>
      <c r="AT96" s="77"/>
    </row>
    <row r="97" spans="1:46" s="84" customFormat="1" ht="14.25">
      <c r="A97" s="77"/>
      <c r="B97" s="98"/>
      <c r="C97" s="83"/>
      <c r="F97" s="102"/>
      <c r="G97" s="102"/>
      <c r="H97" s="102"/>
      <c r="I97" s="97"/>
      <c r="J97" s="90"/>
      <c r="K97" s="97"/>
      <c r="L97" s="90"/>
      <c r="M97" s="90"/>
      <c r="N97" s="90"/>
      <c r="O97" s="97"/>
      <c r="P97" s="90"/>
      <c r="Q97" s="97"/>
      <c r="R97" s="90"/>
      <c r="S97" s="97"/>
      <c r="T97" s="90"/>
      <c r="U97" s="97"/>
      <c r="V97" s="90"/>
      <c r="W97" s="97"/>
      <c r="X97" s="90"/>
      <c r="Y97" s="97"/>
      <c r="Z97" s="90"/>
      <c r="AA97" s="97"/>
      <c r="AB97" s="90"/>
      <c r="AC97" s="97"/>
      <c r="AD97" s="90"/>
      <c r="AE97" s="97"/>
      <c r="AF97" s="90"/>
      <c r="AG97" s="97"/>
      <c r="AH97" s="90"/>
      <c r="AI97" s="97"/>
      <c r="AJ97" s="90"/>
      <c r="AK97" s="97"/>
      <c r="AL97" s="90"/>
      <c r="AM97" s="77"/>
      <c r="AN97" s="77"/>
      <c r="AO97" s="77"/>
      <c r="AP97" s="77"/>
      <c r="AQ97" s="77"/>
      <c r="AR97" s="77"/>
      <c r="AS97" s="77"/>
      <c r="AT97" s="77"/>
    </row>
    <row r="98" spans="1:46" s="84" customFormat="1" ht="14.25">
      <c r="A98" s="77"/>
      <c r="B98" s="98"/>
      <c r="C98" s="83"/>
      <c r="F98" s="102"/>
      <c r="G98" s="102"/>
      <c r="H98" s="102"/>
      <c r="I98" s="97"/>
      <c r="J98" s="90"/>
      <c r="K98" s="97"/>
      <c r="L98" s="90"/>
      <c r="M98" s="90"/>
      <c r="N98" s="90"/>
      <c r="O98" s="97"/>
      <c r="P98" s="90"/>
      <c r="Q98" s="97"/>
      <c r="R98" s="90"/>
      <c r="S98" s="97"/>
      <c r="T98" s="90"/>
      <c r="U98" s="97"/>
      <c r="V98" s="90"/>
      <c r="W98" s="97"/>
      <c r="X98" s="90"/>
      <c r="Y98" s="97"/>
      <c r="Z98" s="90"/>
      <c r="AA98" s="97"/>
      <c r="AB98" s="90"/>
      <c r="AC98" s="97"/>
      <c r="AD98" s="90"/>
      <c r="AE98" s="97"/>
      <c r="AF98" s="90"/>
      <c r="AG98" s="97"/>
      <c r="AH98" s="90"/>
      <c r="AI98" s="97"/>
      <c r="AJ98" s="90"/>
      <c r="AK98" s="97"/>
      <c r="AL98" s="90"/>
      <c r="AM98" s="77"/>
      <c r="AN98" s="77"/>
      <c r="AO98" s="77"/>
      <c r="AP98" s="77"/>
      <c r="AQ98" s="77"/>
      <c r="AR98" s="77"/>
      <c r="AS98" s="77"/>
      <c r="AT98" s="77"/>
    </row>
    <row r="99" spans="1:46" s="84" customFormat="1" ht="14.25">
      <c r="A99" s="77"/>
      <c r="B99" s="98"/>
      <c r="C99" s="83"/>
      <c r="F99" s="102"/>
      <c r="G99" s="102"/>
      <c r="H99" s="102"/>
      <c r="I99" s="97"/>
      <c r="J99" s="90"/>
      <c r="K99" s="97"/>
      <c r="L99" s="90"/>
      <c r="M99" s="90"/>
      <c r="N99" s="90"/>
      <c r="O99" s="97"/>
      <c r="P99" s="90"/>
      <c r="Q99" s="97"/>
      <c r="R99" s="90"/>
      <c r="S99" s="97"/>
      <c r="T99" s="90"/>
      <c r="U99" s="97"/>
      <c r="V99" s="90"/>
      <c r="W99" s="97"/>
      <c r="X99" s="90"/>
      <c r="Y99" s="97"/>
      <c r="Z99" s="90"/>
      <c r="AA99" s="97"/>
      <c r="AB99" s="90"/>
      <c r="AC99" s="97"/>
      <c r="AD99" s="90"/>
      <c r="AE99" s="97"/>
      <c r="AF99" s="90"/>
      <c r="AG99" s="97"/>
      <c r="AH99" s="90"/>
      <c r="AI99" s="97"/>
      <c r="AJ99" s="90"/>
      <c r="AK99" s="97"/>
      <c r="AL99" s="90"/>
      <c r="AM99" s="77"/>
      <c r="AN99" s="77"/>
      <c r="AO99" s="77"/>
      <c r="AP99" s="77"/>
      <c r="AQ99" s="77"/>
      <c r="AR99" s="77"/>
      <c r="AS99" s="77"/>
      <c r="AT99" s="77"/>
    </row>
    <row r="100" spans="1:46" s="84" customFormat="1" ht="14.25">
      <c r="A100" s="77"/>
      <c r="B100" s="98"/>
      <c r="C100" s="83"/>
      <c r="F100" s="102"/>
      <c r="G100" s="102"/>
      <c r="H100" s="102"/>
      <c r="I100" s="97"/>
      <c r="J100" s="90"/>
      <c r="K100" s="97"/>
      <c r="L100" s="90"/>
      <c r="M100" s="90"/>
      <c r="N100" s="90"/>
      <c r="O100" s="97"/>
      <c r="P100" s="90"/>
      <c r="Q100" s="97"/>
      <c r="R100" s="90"/>
      <c r="S100" s="97"/>
      <c r="T100" s="90"/>
      <c r="U100" s="97"/>
      <c r="V100" s="90"/>
      <c r="W100" s="97"/>
      <c r="X100" s="90"/>
      <c r="Y100" s="97"/>
      <c r="Z100" s="90"/>
      <c r="AA100" s="97"/>
      <c r="AB100" s="90"/>
      <c r="AC100" s="97"/>
      <c r="AD100" s="90"/>
      <c r="AE100" s="97"/>
      <c r="AF100" s="90"/>
      <c r="AG100" s="97"/>
      <c r="AH100" s="90"/>
      <c r="AI100" s="97"/>
      <c r="AJ100" s="90"/>
      <c r="AK100" s="97"/>
      <c r="AL100" s="90"/>
      <c r="AM100" s="77"/>
      <c r="AN100" s="77"/>
      <c r="AO100" s="77"/>
      <c r="AP100" s="77"/>
      <c r="AQ100" s="77"/>
      <c r="AR100" s="77"/>
      <c r="AS100" s="77"/>
      <c r="AT100" s="77"/>
    </row>
    <row r="101" spans="1:46" s="84" customFormat="1" ht="14.25">
      <c r="A101" s="77"/>
      <c r="B101" s="98"/>
      <c r="C101" s="83"/>
      <c r="F101" s="102"/>
      <c r="G101" s="102"/>
      <c r="H101" s="102"/>
      <c r="I101" s="97"/>
      <c r="J101" s="90"/>
      <c r="K101" s="97"/>
      <c r="L101" s="90"/>
      <c r="M101" s="90"/>
      <c r="N101" s="90"/>
      <c r="O101" s="97"/>
      <c r="P101" s="90"/>
      <c r="Q101" s="97"/>
      <c r="R101" s="90"/>
      <c r="S101" s="97"/>
      <c r="T101" s="90"/>
      <c r="U101" s="97"/>
      <c r="V101" s="90"/>
      <c r="W101" s="97"/>
      <c r="X101" s="90"/>
      <c r="Y101" s="97"/>
      <c r="Z101" s="90"/>
      <c r="AA101" s="97"/>
      <c r="AB101" s="90"/>
      <c r="AC101" s="97"/>
      <c r="AD101" s="90"/>
      <c r="AE101" s="97"/>
      <c r="AF101" s="90"/>
      <c r="AG101" s="97"/>
      <c r="AH101" s="90"/>
      <c r="AI101" s="97"/>
      <c r="AJ101" s="90"/>
      <c r="AK101" s="97"/>
      <c r="AL101" s="90"/>
      <c r="AM101" s="77"/>
      <c r="AN101" s="77"/>
      <c r="AO101" s="77"/>
      <c r="AP101" s="77"/>
      <c r="AQ101" s="77"/>
      <c r="AR101" s="77"/>
      <c r="AS101" s="77"/>
      <c r="AT101" s="77"/>
    </row>
    <row r="102" spans="1:46" s="84" customFormat="1" ht="14.25">
      <c r="A102" s="77"/>
      <c r="B102" s="98"/>
      <c r="C102" s="83"/>
      <c r="F102" s="102"/>
      <c r="G102" s="102"/>
      <c r="H102" s="102"/>
      <c r="I102" s="97"/>
      <c r="J102" s="90"/>
      <c r="K102" s="97"/>
      <c r="L102" s="90"/>
      <c r="M102" s="90"/>
      <c r="N102" s="90"/>
      <c r="O102" s="97"/>
      <c r="P102" s="90"/>
      <c r="Q102" s="97"/>
      <c r="R102" s="90"/>
      <c r="S102" s="97"/>
      <c r="T102" s="90"/>
      <c r="U102" s="97"/>
      <c r="V102" s="90"/>
      <c r="W102" s="97"/>
      <c r="X102" s="90"/>
      <c r="Y102" s="97"/>
      <c r="Z102" s="90"/>
      <c r="AA102" s="97"/>
      <c r="AB102" s="90"/>
      <c r="AC102" s="97"/>
      <c r="AD102" s="90"/>
      <c r="AE102" s="97"/>
      <c r="AF102" s="90"/>
      <c r="AG102" s="97"/>
      <c r="AH102" s="90"/>
      <c r="AI102" s="97"/>
      <c r="AJ102" s="90"/>
      <c r="AK102" s="97"/>
      <c r="AL102" s="90"/>
      <c r="AM102" s="77"/>
      <c r="AN102" s="77"/>
      <c r="AO102" s="77"/>
      <c r="AP102" s="77"/>
      <c r="AQ102" s="77"/>
      <c r="AR102" s="77"/>
      <c r="AS102" s="77"/>
      <c r="AT102" s="77"/>
    </row>
  </sheetData>
  <mergeCells count="32">
    <mergeCell ref="G5:G6"/>
    <mergeCell ref="H5:H6"/>
    <mergeCell ref="I5:J5"/>
    <mergeCell ref="K5:L5"/>
    <mergeCell ref="AK5:AL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I4:AJ4"/>
    <mergeCell ref="AK4:AL4"/>
    <mergeCell ref="B2:AL2"/>
    <mergeCell ref="C3:C6"/>
    <mergeCell ref="D3:E6"/>
    <mergeCell ref="F3:H4"/>
    <mergeCell ref="I3:AL3"/>
    <mergeCell ref="I4:N4"/>
    <mergeCell ref="O4:T4"/>
    <mergeCell ref="U4:V4"/>
    <mergeCell ref="M5:N5"/>
    <mergeCell ref="W4:X4"/>
    <mergeCell ref="Y4:AD4"/>
    <mergeCell ref="AE4:AF4"/>
    <mergeCell ref="AG4:AH4"/>
    <mergeCell ref="F5:F6"/>
  </mergeCells>
  <phoneticPr fontId="1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2:AL102"/>
  <sheetViews>
    <sheetView zoomScale="70" zoomScaleNormal="7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AK27" sqref="AK27:AK33"/>
    </sheetView>
  </sheetViews>
  <sheetFormatPr defaultColWidth="8.85546875" defaultRowHeight="16.5"/>
  <cols>
    <col min="1" max="1" width="0" style="77" hidden="1" customWidth="1"/>
    <col min="2" max="2" width="13.140625" style="77" hidden="1" customWidth="1"/>
    <col min="3" max="3" width="0" style="103" hidden="1" customWidth="1"/>
    <col min="4" max="4" width="17" style="103" customWidth="1"/>
    <col min="5" max="5" width="8.5703125" style="84" customWidth="1"/>
    <col min="6" max="8" width="17.42578125" style="104" customWidth="1"/>
    <col min="9" max="9" width="10.5703125" style="88" customWidth="1"/>
    <col min="10" max="10" width="10.5703125" style="90" customWidth="1"/>
    <col min="11" max="11" width="10.5703125" style="88" customWidth="1"/>
    <col min="12" max="12" width="10.5703125" style="90" customWidth="1"/>
    <col min="13" max="13" width="10.5703125" style="88" customWidth="1"/>
    <col min="14" max="14" width="10.5703125" style="90" customWidth="1"/>
    <col min="15" max="15" width="10.5703125" style="88" customWidth="1"/>
    <col min="16" max="16" width="10.5703125" style="90" customWidth="1"/>
    <col min="17" max="17" width="10.5703125" style="88" customWidth="1"/>
    <col min="18" max="18" width="10.5703125" style="90" customWidth="1"/>
    <col min="19" max="19" width="10.5703125" style="88" customWidth="1"/>
    <col min="20" max="20" width="10.5703125" style="90" customWidth="1"/>
    <col min="21" max="21" width="10.5703125" style="88" customWidth="1"/>
    <col min="22" max="22" width="10.5703125" style="90" customWidth="1"/>
    <col min="23" max="23" width="10.5703125" style="88" customWidth="1"/>
    <col min="24" max="24" width="10.5703125" style="90" customWidth="1"/>
    <col min="25" max="25" width="10.5703125" style="88" customWidth="1"/>
    <col min="26" max="26" width="10.5703125" style="90" customWidth="1"/>
    <col min="27" max="27" width="10.5703125" style="88" customWidth="1"/>
    <col min="28" max="28" width="10.5703125" style="90" customWidth="1"/>
    <col min="29" max="29" width="10.5703125" style="88" customWidth="1"/>
    <col min="30" max="30" width="10.5703125" style="90" customWidth="1"/>
    <col min="31" max="31" width="10.5703125" style="88" customWidth="1"/>
    <col min="32" max="32" width="10.5703125" style="90" customWidth="1"/>
    <col min="33" max="33" width="10.42578125" style="88" customWidth="1"/>
    <col min="34" max="34" width="10.42578125" style="90" customWidth="1"/>
    <col min="35" max="35" width="10.42578125" style="88" customWidth="1"/>
    <col min="36" max="36" width="10.42578125" style="90" customWidth="1"/>
    <col min="37" max="37" width="10.42578125" style="88" customWidth="1"/>
    <col min="38" max="38" width="10.42578125" style="90" customWidth="1"/>
    <col min="39" max="16384" width="8.85546875" style="77"/>
  </cols>
  <sheetData>
    <row r="2" spans="1:38" ht="38.1" customHeight="1">
      <c r="A2" s="75"/>
      <c r="B2" s="586" t="s">
        <v>320</v>
      </c>
      <c r="C2" s="586"/>
      <c r="D2" s="586"/>
      <c r="E2" s="586"/>
      <c r="F2" s="586"/>
      <c r="G2" s="586"/>
      <c r="H2" s="586"/>
      <c r="I2" s="586"/>
      <c r="J2" s="586"/>
      <c r="K2" s="586"/>
      <c r="L2" s="586"/>
      <c r="M2" s="586"/>
      <c r="N2" s="586"/>
      <c r="O2" s="586"/>
      <c r="P2" s="586"/>
      <c r="Q2" s="586"/>
      <c r="R2" s="586"/>
      <c r="S2" s="586"/>
      <c r="T2" s="586"/>
      <c r="U2" s="586"/>
      <c r="V2" s="586"/>
      <c r="W2" s="586"/>
      <c r="X2" s="586"/>
      <c r="Y2" s="586"/>
      <c r="Z2" s="586"/>
      <c r="AA2" s="586"/>
      <c r="AB2" s="586"/>
      <c r="AC2" s="586"/>
      <c r="AD2" s="586"/>
      <c r="AE2" s="586"/>
      <c r="AF2" s="586"/>
      <c r="AG2" s="586"/>
      <c r="AH2" s="586"/>
      <c r="AI2" s="586"/>
      <c r="AJ2" s="586"/>
      <c r="AK2" s="586"/>
      <c r="AL2" s="586"/>
    </row>
    <row r="3" spans="1:38" ht="25.35" customHeight="1">
      <c r="B3" s="98"/>
      <c r="C3" s="587" t="s">
        <v>139</v>
      </c>
      <c r="D3" s="588" t="s">
        <v>105</v>
      </c>
      <c r="E3" s="588"/>
      <c r="F3" s="596" t="s">
        <v>148</v>
      </c>
      <c r="G3" s="597"/>
      <c r="H3" s="597"/>
      <c r="I3" s="594" t="s">
        <v>318</v>
      </c>
      <c r="J3" s="594"/>
      <c r="K3" s="594"/>
      <c r="L3" s="594"/>
      <c r="M3" s="594"/>
      <c r="N3" s="594"/>
      <c r="O3" s="594"/>
      <c r="P3" s="594"/>
      <c r="Q3" s="594"/>
      <c r="R3" s="594"/>
      <c r="S3" s="594"/>
      <c r="T3" s="594"/>
      <c r="U3" s="594"/>
      <c r="V3" s="594"/>
      <c r="W3" s="594"/>
      <c r="X3" s="594"/>
      <c r="Y3" s="594"/>
      <c r="Z3" s="594"/>
      <c r="AA3" s="594"/>
      <c r="AB3" s="594"/>
      <c r="AC3" s="594"/>
      <c r="AD3" s="594"/>
      <c r="AE3" s="594"/>
      <c r="AF3" s="594"/>
      <c r="AG3" s="594"/>
      <c r="AH3" s="594"/>
      <c r="AI3" s="594"/>
      <c r="AJ3" s="594"/>
      <c r="AK3" s="594"/>
      <c r="AL3" s="594"/>
    </row>
    <row r="4" spans="1:38" ht="25.35" customHeight="1">
      <c r="B4" s="98"/>
      <c r="C4" s="587"/>
      <c r="D4" s="588"/>
      <c r="E4" s="588"/>
      <c r="F4" s="597"/>
      <c r="G4" s="597"/>
      <c r="H4" s="597"/>
      <c r="I4" s="595" t="s">
        <v>140</v>
      </c>
      <c r="J4" s="595"/>
      <c r="K4" s="595"/>
      <c r="L4" s="595"/>
      <c r="M4" s="595"/>
      <c r="N4" s="595"/>
      <c r="O4" s="595" t="s">
        <v>141</v>
      </c>
      <c r="P4" s="595"/>
      <c r="Q4" s="595"/>
      <c r="R4" s="595"/>
      <c r="S4" s="595"/>
      <c r="T4" s="595"/>
      <c r="U4" s="595" t="s">
        <v>142</v>
      </c>
      <c r="V4" s="595"/>
      <c r="W4" s="595" t="s">
        <v>143</v>
      </c>
      <c r="X4" s="595"/>
      <c r="Y4" s="595" t="s">
        <v>134</v>
      </c>
      <c r="Z4" s="595"/>
      <c r="AA4" s="595"/>
      <c r="AB4" s="595"/>
      <c r="AC4" s="595"/>
      <c r="AD4" s="595"/>
      <c r="AE4" s="595" t="s">
        <v>132</v>
      </c>
      <c r="AF4" s="595"/>
      <c r="AG4" s="595" t="s">
        <v>144</v>
      </c>
      <c r="AH4" s="595"/>
      <c r="AI4" s="595" t="s">
        <v>145</v>
      </c>
      <c r="AJ4" s="595"/>
      <c r="AK4" s="595" t="s">
        <v>138</v>
      </c>
      <c r="AL4" s="595"/>
    </row>
    <row r="5" spans="1:38" ht="25.35" customHeight="1">
      <c r="B5" s="98"/>
      <c r="C5" s="587"/>
      <c r="D5" s="588"/>
      <c r="E5" s="588"/>
      <c r="F5" s="593" t="s">
        <v>115</v>
      </c>
      <c r="G5" s="593" t="s">
        <v>117</v>
      </c>
      <c r="H5" s="593" t="s">
        <v>118</v>
      </c>
      <c r="I5" s="595" t="s">
        <v>129</v>
      </c>
      <c r="J5" s="595"/>
      <c r="K5" s="595" t="s">
        <v>130</v>
      </c>
      <c r="L5" s="595"/>
      <c r="M5" s="598" t="s">
        <v>146</v>
      </c>
      <c r="N5" s="595"/>
      <c r="O5" s="595" t="s">
        <v>129</v>
      </c>
      <c r="P5" s="595"/>
      <c r="Q5" s="595" t="s">
        <v>130</v>
      </c>
      <c r="R5" s="595"/>
      <c r="S5" s="598" t="s">
        <v>146</v>
      </c>
      <c r="T5" s="595"/>
      <c r="U5" s="595" t="s">
        <v>129</v>
      </c>
      <c r="V5" s="595"/>
      <c r="W5" s="595" t="s">
        <v>129</v>
      </c>
      <c r="X5" s="595"/>
      <c r="Y5" s="595" t="s">
        <v>129</v>
      </c>
      <c r="Z5" s="595"/>
      <c r="AA5" s="595" t="s">
        <v>130</v>
      </c>
      <c r="AB5" s="595"/>
      <c r="AC5" s="598" t="s">
        <v>146</v>
      </c>
      <c r="AD5" s="595"/>
      <c r="AE5" s="595" t="s">
        <v>129</v>
      </c>
      <c r="AF5" s="595"/>
      <c r="AG5" s="595" t="s">
        <v>129</v>
      </c>
      <c r="AH5" s="595"/>
      <c r="AI5" s="595" t="s">
        <v>129</v>
      </c>
      <c r="AJ5" s="595"/>
      <c r="AK5" s="595" t="s">
        <v>129</v>
      </c>
      <c r="AL5" s="595"/>
    </row>
    <row r="6" spans="1:38" s="80" customFormat="1" ht="23.45" customHeight="1">
      <c r="B6" s="98"/>
      <c r="C6" s="587"/>
      <c r="D6" s="588"/>
      <c r="E6" s="588"/>
      <c r="F6" s="593"/>
      <c r="G6" s="593"/>
      <c r="H6" s="593"/>
      <c r="I6" s="105" t="s">
        <v>149</v>
      </c>
      <c r="J6" s="100" t="s">
        <v>113</v>
      </c>
      <c r="K6" s="105" t="s">
        <v>149</v>
      </c>
      <c r="L6" s="100" t="s">
        <v>113</v>
      </c>
      <c r="M6" s="105" t="s">
        <v>149</v>
      </c>
      <c r="N6" s="100" t="s">
        <v>113</v>
      </c>
      <c r="O6" s="105" t="s">
        <v>149</v>
      </c>
      <c r="P6" s="100" t="s">
        <v>113</v>
      </c>
      <c r="Q6" s="105" t="s">
        <v>149</v>
      </c>
      <c r="R6" s="100" t="s">
        <v>113</v>
      </c>
      <c r="S6" s="105" t="s">
        <v>149</v>
      </c>
      <c r="T6" s="100" t="s">
        <v>113</v>
      </c>
      <c r="U6" s="105" t="s">
        <v>149</v>
      </c>
      <c r="V6" s="100" t="s">
        <v>113</v>
      </c>
      <c r="W6" s="105" t="s">
        <v>149</v>
      </c>
      <c r="X6" s="100" t="s">
        <v>113</v>
      </c>
      <c r="Y6" s="105" t="s">
        <v>149</v>
      </c>
      <c r="Z6" s="100" t="s">
        <v>113</v>
      </c>
      <c r="AA6" s="105" t="s">
        <v>149</v>
      </c>
      <c r="AB6" s="100" t="s">
        <v>113</v>
      </c>
      <c r="AC6" s="105" t="s">
        <v>149</v>
      </c>
      <c r="AD6" s="100" t="s">
        <v>113</v>
      </c>
      <c r="AE6" s="105" t="s">
        <v>149</v>
      </c>
      <c r="AF6" s="100" t="s">
        <v>113</v>
      </c>
      <c r="AG6" s="105" t="s">
        <v>149</v>
      </c>
      <c r="AH6" s="100" t="s">
        <v>113</v>
      </c>
      <c r="AI6" s="105" t="s">
        <v>149</v>
      </c>
      <c r="AJ6" s="100" t="s">
        <v>113</v>
      </c>
      <c r="AK6" s="105" t="s">
        <v>149</v>
      </c>
      <c r="AL6" s="100" t="s">
        <v>113</v>
      </c>
    </row>
    <row r="7" spans="1:38" ht="14.25">
      <c r="B7" s="98"/>
      <c r="C7" s="83"/>
      <c r="D7" s="324">
        <v>46113</v>
      </c>
      <c r="E7" s="324" t="s">
        <v>524</v>
      </c>
      <c r="F7" s="88">
        <f t="shared" ref="F7" si="0">SUM(M7,S7,U7,W7,AC7,AE7,AG7,AI7,AK7)</f>
        <v>240873</v>
      </c>
      <c r="G7" s="331"/>
      <c r="H7" s="88"/>
      <c r="I7" s="235">
        <v>27460</v>
      </c>
      <c r="J7" s="101">
        <f t="shared" ref="J7:J8" si="1">I7/F7</f>
        <v>0.11400198444823621</v>
      </c>
      <c r="K7" s="235">
        <v>38156</v>
      </c>
      <c r="L7" s="101">
        <f t="shared" ref="L7:L8" si="2">K7/F7</f>
        <v>0.15840712740738896</v>
      </c>
      <c r="M7" s="106">
        <f t="shared" ref="M7:M8" si="3">SUM(I7+K7)</f>
        <v>65616</v>
      </c>
      <c r="N7" s="101">
        <f t="shared" ref="N7:N8" si="4">M7/F7</f>
        <v>0.27240911185562516</v>
      </c>
      <c r="O7" s="235">
        <v>6597</v>
      </c>
      <c r="P7" s="101">
        <f t="shared" ref="P7:P8" si="5">O7/F7</f>
        <v>2.7387876598871604E-2</v>
      </c>
      <c r="Q7" s="235">
        <v>7172</v>
      </c>
      <c r="R7" s="101">
        <f t="shared" ref="R7:R8" si="6">Q7/F7</f>
        <v>2.977502667380736E-2</v>
      </c>
      <c r="S7" s="106">
        <f t="shared" ref="S7:S8" si="7">SUM(O7+Q7)</f>
        <v>13769</v>
      </c>
      <c r="T7" s="101">
        <f t="shared" ref="T7:T8" si="8">S7/F7</f>
        <v>5.7162903272678964E-2</v>
      </c>
      <c r="U7" s="235">
        <v>29598</v>
      </c>
      <c r="V7" s="101">
        <f t="shared" ref="V7:V8" si="9">U7/F7</f>
        <v>0.1228780311616495</v>
      </c>
      <c r="W7" s="235">
        <v>1833</v>
      </c>
      <c r="X7" s="101">
        <f t="shared" ref="X7:X8" si="10">W7/F7</f>
        <v>7.609819282360414E-3</v>
      </c>
      <c r="Y7" s="235">
        <v>27449</v>
      </c>
      <c r="Z7" s="101">
        <f t="shared" ref="Z7:Z8" si="11">Y7/F7</f>
        <v>0.11395631722941135</v>
      </c>
      <c r="AA7" s="235">
        <v>20133</v>
      </c>
      <c r="AB7" s="101">
        <f t="shared" ref="AB7:AB8" si="12">AA7/F7</f>
        <v>8.3583465145533123E-2</v>
      </c>
      <c r="AC7" s="106">
        <f t="shared" ref="AC7:AC8" si="13">SUM(Y7+AA7)</f>
        <v>47582</v>
      </c>
      <c r="AD7" s="101">
        <f t="shared" ref="AD7:AD8" si="14">AC7/F7</f>
        <v>0.19753978237494446</v>
      </c>
      <c r="AE7" s="235">
        <v>23653</v>
      </c>
      <c r="AF7" s="101">
        <f t="shared" ref="AF7:AF8" si="15">AE7/F7</f>
        <v>9.8196975169487652E-2</v>
      </c>
      <c r="AG7" s="235">
        <v>4262</v>
      </c>
      <c r="AH7" s="101">
        <f t="shared" ref="AH7:AH8" si="16">AG7/F7</f>
        <v>1.7693971511958582E-2</v>
      </c>
      <c r="AI7" s="235">
        <v>28294</v>
      </c>
      <c r="AJ7" s="101">
        <f t="shared" ref="AJ7:AJ8" si="17">AI7/F7</f>
        <v>0.11746438994822998</v>
      </c>
      <c r="AK7" s="235">
        <v>26266</v>
      </c>
      <c r="AL7" s="101">
        <f t="shared" ref="AL7:AL8" si="18">AK7/F7</f>
        <v>0.10904501542306527</v>
      </c>
    </row>
    <row r="8" spans="1:38" ht="14.25">
      <c r="B8" s="98"/>
      <c r="C8" s="83"/>
      <c r="D8" s="324">
        <f t="shared" ref="D8:D36" si="19">D7+1</f>
        <v>46114</v>
      </c>
      <c r="E8" s="324" t="s">
        <v>525</v>
      </c>
      <c r="F8" s="88">
        <f>SUM(M8,S8,U8,W8,AC8,AE8,AG8,AI8,AK8)</f>
        <v>219733</v>
      </c>
      <c r="G8" s="331">
        <f>SUM(F7:F12)</f>
        <v>1352026</v>
      </c>
      <c r="H8" s="349"/>
      <c r="I8" s="235">
        <v>23616</v>
      </c>
      <c r="J8" s="101">
        <f t="shared" si="1"/>
        <v>0.1074758911952233</v>
      </c>
      <c r="K8" s="235">
        <v>35584</v>
      </c>
      <c r="L8" s="101">
        <f t="shared" si="2"/>
        <v>0.16194199323724703</v>
      </c>
      <c r="M8" s="106">
        <f t="shared" si="3"/>
        <v>59200</v>
      </c>
      <c r="N8" s="101">
        <f t="shared" si="4"/>
        <v>0.26941788443247033</v>
      </c>
      <c r="O8" s="235">
        <v>5301</v>
      </c>
      <c r="P8" s="101">
        <f t="shared" si="5"/>
        <v>2.412473319892779E-2</v>
      </c>
      <c r="Q8" s="235">
        <v>6378</v>
      </c>
      <c r="R8" s="101">
        <f t="shared" si="6"/>
        <v>2.9026136265376618E-2</v>
      </c>
      <c r="S8" s="106">
        <f t="shared" si="7"/>
        <v>11679</v>
      </c>
      <c r="T8" s="101">
        <f t="shared" si="8"/>
        <v>5.3150869464304404E-2</v>
      </c>
      <c r="U8" s="235">
        <v>27498</v>
      </c>
      <c r="V8" s="101">
        <f t="shared" si="9"/>
        <v>0.12514278692777142</v>
      </c>
      <c r="W8" s="235">
        <v>1787</v>
      </c>
      <c r="X8" s="101">
        <f t="shared" si="10"/>
        <v>8.1325972885274399E-3</v>
      </c>
      <c r="Y8" s="235">
        <v>25089</v>
      </c>
      <c r="Z8" s="101">
        <f t="shared" si="11"/>
        <v>0.11417948146159203</v>
      </c>
      <c r="AA8" s="235">
        <v>18412</v>
      </c>
      <c r="AB8" s="101">
        <f t="shared" si="12"/>
        <v>8.3792602840720334E-2</v>
      </c>
      <c r="AC8" s="106">
        <f t="shared" si="13"/>
        <v>43501</v>
      </c>
      <c r="AD8" s="101">
        <f t="shared" si="14"/>
        <v>0.19797208430231236</v>
      </c>
      <c r="AE8" s="235">
        <v>21227</v>
      </c>
      <c r="AF8" s="101">
        <f t="shared" si="15"/>
        <v>9.6603605284595398E-2</v>
      </c>
      <c r="AG8" s="235">
        <v>3324</v>
      </c>
      <c r="AH8" s="101">
        <f t="shared" si="16"/>
        <v>1.5127450132661003E-2</v>
      </c>
      <c r="AI8" s="235">
        <v>27623</v>
      </c>
      <c r="AJ8" s="101">
        <f t="shared" si="17"/>
        <v>0.12571165914996837</v>
      </c>
      <c r="AK8" s="235">
        <v>23894</v>
      </c>
      <c r="AL8" s="101">
        <f t="shared" si="18"/>
        <v>0.10874106301738928</v>
      </c>
    </row>
    <row r="9" spans="1:38" ht="14.25">
      <c r="B9" s="98"/>
      <c r="C9" s="83"/>
      <c r="D9" s="324">
        <f t="shared" si="19"/>
        <v>46115</v>
      </c>
      <c r="E9" s="324" t="s">
        <v>526</v>
      </c>
      <c r="F9" s="88">
        <f t="shared" ref="F9:F45" si="20">SUM(M9,S9,U9,W9,AC9,AE9,AG9,AI9,AK9)</f>
        <v>208291</v>
      </c>
      <c r="G9" s="331"/>
      <c r="I9" s="235">
        <v>22988</v>
      </c>
      <c r="J9" s="101">
        <f t="shared" ref="J9:J13" si="21">I9/F9</f>
        <v>0.11036482613267015</v>
      </c>
      <c r="K9" s="235">
        <v>33784</v>
      </c>
      <c r="L9" s="101">
        <f t="shared" ref="L9:L13" si="22">K9/F9</f>
        <v>0.16219615825935829</v>
      </c>
      <c r="M9" s="106">
        <f t="shared" ref="M9:M13" si="23">SUM(I9+K9)</f>
        <v>56772</v>
      </c>
      <c r="N9" s="101">
        <f t="shared" ref="N9:N13" si="24">M9/F9</f>
        <v>0.27256098439202847</v>
      </c>
      <c r="O9" s="235">
        <v>5121</v>
      </c>
      <c r="P9" s="101">
        <f t="shared" ref="P9:P13" si="25">O9/F9</f>
        <v>2.4585795833713411E-2</v>
      </c>
      <c r="Q9" s="235">
        <v>5531</v>
      </c>
      <c r="R9" s="101">
        <f t="shared" ref="R9:R45" si="26">Q9/F9</f>
        <v>2.6554195812589117E-2</v>
      </c>
      <c r="S9" s="106">
        <f t="shared" ref="S9:S14" si="27">SUM(O9+Q9)</f>
        <v>10652</v>
      </c>
      <c r="T9" s="101">
        <f t="shared" ref="T9:T13" si="28">S9/F9</f>
        <v>5.1139991646302528E-2</v>
      </c>
      <c r="U9" s="235">
        <v>24463</v>
      </c>
      <c r="V9" s="101">
        <f t="shared" ref="V9:V13" si="29">U9/F9</f>
        <v>0.11744626508106447</v>
      </c>
      <c r="W9" s="235">
        <v>1480</v>
      </c>
      <c r="X9" s="101">
        <f t="shared" ref="X9:X13" si="30">W9/F9</f>
        <v>7.1054438261854806E-3</v>
      </c>
      <c r="Y9" s="235">
        <v>25119</v>
      </c>
      <c r="Z9" s="101">
        <f t="shared" ref="Z9:Z13" si="31">Y9/F9</f>
        <v>0.12059570504726561</v>
      </c>
      <c r="AA9" s="235">
        <v>20726</v>
      </c>
      <c r="AB9" s="101">
        <f t="shared" ref="AB9:AB45" si="32">AA9/F9</f>
        <v>9.9505019419946134E-2</v>
      </c>
      <c r="AC9" s="106">
        <f t="shared" ref="AC9:AC13" si="33">SUM(Y9+AA9)</f>
        <v>45845</v>
      </c>
      <c r="AD9" s="101">
        <f t="shared" ref="AD9:AD13" si="34">AC9/F9</f>
        <v>0.22010072446721174</v>
      </c>
      <c r="AE9" s="235">
        <v>17761</v>
      </c>
      <c r="AF9" s="101">
        <f t="shared" ref="AF9:AF13" si="35">AE9/F9</f>
        <v>8.5270126889783998E-2</v>
      </c>
      <c r="AG9" s="235">
        <v>9153</v>
      </c>
      <c r="AH9" s="101">
        <f t="shared" ref="AH9:AH13" si="36">AG9/F9</f>
        <v>4.3943329284510613E-2</v>
      </c>
      <c r="AI9" s="235">
        <v>23207</v>
      </c>
      <c r="AJ9" s="101">
        <f t="shared" ref="AJ9:AJ13" si="37">AI9/F9</f>
        <v>0.11141623977992328</v>
      </c>
      <c r="AK9" s="235">
        <v>18958</v>
      </c>
      <c r="AL9" s="101">
        <f t="shared" ref="AL9:AL13" si="38">AK9/F9</f>
        <v>9.1016894632989426E-2</v>
      </c>
    </row>
    <row r="10" spans="1:38" ht="14.25">
      <c r="B10" s="98"/>
      <c r="C10" s="83"/>
      <c r="D10" s="324">
        <f t="shared" si="19"/>
        <v>46116</v>
      </c>
      <c r="E10" s="324" t="s">
        <v>527</v>
      </c>
      <c r="F10" s="88">
        <f t="shared" si="20"/>
        <v>206015</v>
      </c>
      <c r="G10" s="331"/>
      <c r="H10" s="430"/>
      <c r="I10" s="235">
        <v>21763</v>
      </c>
      <c r="J10" s="101">
        <f t="shared" si="21"/>
        <v>0.10563793898502537</v>
      </c>
      <c r="K10" s="235">
        <v>33619</v>
      </c>
      <c r="L10" s="101">
        <f t="shared" si="22"/>
        <v>0.16318714656699754</v>
      </c>
      <c r="M10" s="106">
        <f t="shared" si="23"/>
        <v>55382</v>
      </c>
      <c r="N10" s="101">
        <f t="shared" si="24"/>
        <v>0.26882508555202289</v>
      </c>
      <c r="O10" s="235">
        <v>4728</v>
      </c>
      <c r="P10" s="101">
        <f t="shared" si="25"/>
        <v>2.2949785209814819E-2</v>
      </c>
      <c r="Q10" s="235">
        <v>4419</v>
      </c>
      <c r="R10" s="101">
        <f t="shared" si="26"/>
        <v>2.1449894425163218E-2</v>
      </c>
      <c r="S10" s="106">
        <f t="shared" si="27"/>
        <v>9147</v>
      </c>
      <c r="T10" s="101">
        <f t="shared" si="28"/>
        <v>4.4399679634978033E-2</v>
      </c>
      <c r="U10" s="235">
        <v>26817</v>
      </c>
      <c r="V10" s="101">
        <f t="shared" si="29"/>
        <v>0.13017013324272506</v>
      </c>
      <c r="W10" s="235">
        <v>1708</v>
      </c>
      <c r="X10" s="101">
        <f t="shared" si="30"/>
        <v>8.2906584472004462E-3</v>
      </c>
      <c r="Y10" s="235">
        <v>20756</v>
      </c>
      <c r="Z10" s="101">
        <f t="shared" si="31"/>
        <v>0.1007499453923258</v>
      </c>
      <c r="AA10" s="235">
        <v>20544</v>
      </c>
      <c r="AB10" s="101">
        <f t="shared" si="32"/>
        <v>9.9720894109652208E-2</v>
      </c>
      <c r="AC10" s="106">
        <f t="shared" si="33"/>
        <v>41300</v>
      </c>
      <c r="AD10" s="101">
        <f t="shared" si="34"/>
        <v>0.200470839501978</v>
      </c>
      <c r="AE10" s="235">
        <v>19003</v>
      </c>
      <c r="AF10" s="101">
        <f t="shared" si="35"/>
        <v>9.2240856248331435E-2</v>
      </c>
      <c r="AG10" s="235">
        <v>9325</v>
      </c>
      <c r="AH10" s="101">
        <f t="shared" si="36"/>
        <v>4.5263694391185105E-2</v>
      </c>
      <c r="AI10" s="235">
        <v>24907</v>
      </c>
      <c r="AJ10" s="101">
        <f t="shared" si="37"/>
        <v>0.12089896366769411</v>
      </c>
      <c r="AK10" s="235">
        <v>18426</v>
      </c>
      <c r="AL10" s="101">
        <f t="shared" si="38"/>
        <v>8.9440089313884905E-2</v>
      </c>
    </row>
    <row r="11" spans="1:38" ht="14.25">
      <c r="B11" s="98"/>
      <c r="C11" s="83"/>
      <c r="D11" s="324">
        <f t="shared" si="19"/>
        <v>46117</v>
      </c>
      <c r="E11" s="324" t="s">
        <v>528</v>
      </c>
      <c r="F11" s="88">
        <f t="shared" si="20"/>
        <v>218068</v>
      </c>
      <c r="G11" s="331"/>
      <c r="H11" s="430"/>
      <c r="I11" s="418">
        <v>22161</v>
      </c>
      <c r="J11" s="419">
        <f t="shared" si="21"/>
        <v>0.10162426399104867</v>
      </c>
      <c r="K11" s="418">
        <v>37099</v>
      </c>
      <c r="L11" s="419">
        <f t="shared" si="22"/>
        <v>0.17012583230918796</v>
      </c>
      <c r="M11" s="420">
        <f t="shared" si="23"/>
        <v>59260</v>
      </c>
      <c r="N11" s="419">
        <f t="shared" si="24"/>
        <v>0.27175009630023661</v>
      </c>
      <c r="O11" s="418">
        <v>5045</v>
      </c>
      <c r="P11" s="419">
        <f t="shared" si="25"/>
        <v>2.3134985417392739E-2</v>
      </c>
      <c r="Q11" s="418">
        <v>5098</v>
      </c>
      <c r="R11" s="419">
        <f t="shared" si="26"/>
        <v>2.3378028871728084E-2</v>
      </c>
      <c r="S11" s="420">
        <f t="shared" si="27"/>
        <v>10143</v>
      </c>
      <c r="T11" s="419">
        <f t="shared" si="28"/>
        <v>4.6513014289120823E-2</v>
      </c>
      <c r="U11" s="418">
        <v>27397</v>
      </c>
      <c r="V11" s="419">
        <f t="shared" si="29"/>
        <v>0.12563512298915935</v>
      </c>
      <c r="W11" s="418">
        <v>1448</v>
      </c>
      <c r="X11" s="419">
        <f t="shared" si="30"/>
        <v>6.6401306014637635E-3</v>
      </c>
      <c r="Y11" s="418">
        <v>23545</v>
      </c>
      <c r="Z11" s="419">
        <f t="shared" si="31"/>
        <v>0.10797090815708861</v>
      </c>
      <c r="AA11" s="418">
        <v>22582</v>
      </c>
      <c r="AB11" s="419">
        <f t="shared" si="32"/>
        <v>0.10355485444907093</v>
      </c>
      <c r="AC11" s="420">
        <f t="shared" si="33"/>
        <v>46127</v>
      </c>
      <c r="AD11" s="419">
        <f t="shared" si="34"/>
        <v>0.21152576260615955</v>
      </c>
      <c r="AE11" s="418">
        <v>20817</v>
      </c>
      <c r="AF11" s="419">
        <f t="shared" si="35"/>
        <v>9.5461048847148594E-2</v>
      </c>
      <c r="AG11" s="418">
        <v>8797</v>
      </c>
      <c r="AH11" s="419">
        <f t="shared" si="36"/>
        <v>4.0340627694113763E-2</v>
      </c>
      <c r="AI11" s="418">
        <v>23399</v>
      </c>
      <c r="AJ11" s="419">
        <f t="shared" si="37"/>
        <v>0.10730139222627805</v>
      </c>
      <c r="AK11" s="418">
        <v>20680</v>
      </c>
      <c r="AL11" s="419">
        <f t="shared" si="38"/>
        <v>9.4832804446319502E-2</v>
      </c>
    </row>
    <row r="12" spans="1:38" ht="14.25">
      <c r="B12" s="98"/>
      <c r="C12" s="83"/>
      <c r="D12" s="324">
        <f t="shared" si="19"/>
        <v>46118</v>
      </c>
      <c r="E12" s="324" t="s">
        <v>522</v>
      </c>
      <c r="F12" s="88">
        <f t="shared" si="20"/>
        <v>259046</v>
      </c>
      <c r="G12" s="331"/>
      <c r="H12" s="430">
        <f>SUM(F7:F36)</f>
        <v>6932373</v>
      </c>
      <c r="I12" s="235">
        <v>27562</v>
      </c>
      <c r="J12" s="101">
        <f t="shared" si="21"/>
        <v>0.10639809145865985</v>
      </c>
      <c r="K12" s="235">
        <v>44049</v>
      </c>
      <c r="L12" s="101">
        <f t="shared" si="22"/>
        <v>0.17004315835797504</v>
      </c>
      <c r="M12" s="106">
        <f t="shared" si="23"/>
        <v>71611</v>
      </c>
      <c r="N12" s="101">
        <f t="shared" si="24"/>
        <v>0.27644124981663487</v>
      </c>
      <c r="O12" s="235">
        <v>5906</v>
      </c>
      <c r="P12" s="101">
        <f t="shared" si="25"/>
        <v>2.2799039552820734E-2</v>
      </c>
      <c r="Q12" s="235">
        <v>2769</v>
      </c>
      <c r="R12" s="101">
        <f t="shared" si="26"/>
        <v>1.0689221219397327E-2</v>
      </c>
      <c r="S12" s="106">
        <f t="shared" si="27"/>
        <v>8675</v>
      </c>
      <c r="T12" s="101">
        <f t="shared" si="28"/>
        <v>3.3488260772218059E-2</v>
      </c>
      <c r="U12" s="235">
        <v>34445</v>
      </c>
      <c r="V12" s="101">
        <f t="shared" si="29"/>
        <v>0.13296866193649004</v>
      </c>
      <c r="W12" s="235">
        <v>1903</v>
      </c>
      <c r="X12" s="101">
        <f t="shared" si="30"/>
        <v>7.3461856195424753E-3</v>
      </c>
      <c r="Y12" s="235">
        <v>27831</v>
      </c>
      <c r="Z12" s="101">
        <f t="shared" si="31"/>
        <v>0.10743651706646697</v>
      </c>
      <c r="AA12" s="235">
        <v>25025</v>
      </c>
      <c r="AB12" s="101">
        <f t="shared" si="32"/>
        <v>9.6604464072018101E-2</v>
      </c>
      <c r="AC12" s="106">
        <f t="shared" si="33"/>
        <v>52856</v>
      </c>
      <c r="AD12" s="101">
        <f t="shared" si="34"/>
        <v>0.20404098113848507</v>
      </c>
      <c r="AE12" s="235">
        <v>25680</v>
      </c>
      <c r="AF12" s="101">
        <f t="shared" si="35"/>
        <v>9.9132972522254739E-2</v>
      </c>
      <c r="AG12" s="235">
        <v>9097</v>
      </c>
      <c r="AH12" s="101">
        <f t="shared" si="36"/>
        <v>3.5117315071454491E-2</v>
      </c>
      <c r="AI12" s="235">
        <v>31733</v>
      </c>
      <c r="AJ12" s="101">
        <f t="shared" si="37"/>
        <v>0.12249947885703698</v>
      </c>
      <c r="AK12" s="235">
        <v>23046</v>
      </c>
      <c r="AL12" s="101">
        <f t="shared" si="38"/>
        <v>8.8964894265883276E-2</v>
      </c>
    </row>
    <row r="13" spans="1:38" ht="14.25">
      <c r="B13" s="98"/>
      <c r="C13" s="83"/>
      <c r="D13" s="473">
        <f t="shared" si="19"/>
        <v>46119</v>
      </c>
      <c r="E13" s="473" t="s">
        <v>523</v>
      </c>
      <c r="F13" s="88">
        <f t="shared" si="20"/>
        <v>253131</v>
      </c>
      <c r="G13" s="331">
        <f>SUM(F13:F19)</f>
        <v>1752697</v>
      </c>
      <c r="H13" s="430"/>
      <c r="I13" s="235">
        <v>27398</v>
      </c>
      <c r="J13" s="101">
        <f t="shared" si="21"/>
        <v>0.10823644674101553</v>
      </c>
      <c r="K13" s="235">
        <v>42714</v>
      </c>
      <c r="L13" s="101">
        <f t="shared" si="22"/>
        <v>0.16874266684048972</v>
      </c>
      <c r="M13" s="106">
        <f t="shared" si="23"/>
        <v>70112</v>
      </c>
      <c r="N13" s="101">
        <f t="shared" si="24"/>
        <v>0.27697911358150523</v>
      </c>
      <c r="O13" s="235">
        <v>10426</v>
      </c>
      <c r="P13" s="101">
        <f t="shared" si="25"/>
        <v>4.1188159490540471E-2</v>
      </c>
      <c r="Q13" s="235">
        <v>2747</v>
      </c>
      <c r="R13" s="101">
        <f t="shared" si="26"/>
        <v>1.0852088444323294E-2</v>
      </c>
      <c r="S13" s="106">
        <f t="shared" si="27"/>
        <v>13173</v>
      </c>
      <c r="T13" s="101">
        <f t="shared" si="28"/>
        <v>5.2040247934863768E-2</v>
      </c>
      <c r="U13" s="235">
        <v>31966</v>
      </c>
      <c r="V13" s="101">
        <f t="shared" si="29"/>
        <v>0.12628243873725462</v>
      </c>
      <c r="W13" s="235">
        <v>1587</v>
      </c>
      <c r="X13" s="101">
        <f t="shared" si="30"/>
        <v>6.2694810197091626E-3</v>
      </c>
      <c r="Y13" s="235">
        <v>28240</v>
      </c>
      <c r="Z13" s="101">
        <f t="shared" si="31"/>
        <v>0.11156278764750267</v>
      </c>
      <c r="AA13" s="235">
        <v>23240</v>
      </c>
      <c r="AB13" s="101">
        <f t="shared" si="32"/>
        <v>9.1810169437958999E-2</v>
      </c>
      <c r="AC13" s="106">
        <f t="shared" si="33"/>
        <v>51480</v>
      </c>
      <c r="AD13" s="101">
        <f t="shared" si="34"/>
        <v>0.20337295708546169</v>
      </c>
      <c r="AE13" s="235">
        <v>24160</v>
      </c>
      <c r="AF13" s="101">
        <f t="shared" si="35"/>
        <v>9.5444651188515042E-2</v>
      </c>
      <c r="AG13" s="235">
        <v>8286</v>
      </c>
      <c r="AH13" s="101">
        <f t="shared" si="36"/>
        <v>3.2734038896855777E-2</v>
      </c>
      <c r="AI13" s="235">
        <v>30544</v>
      </c>
      <c r="AJ13" s="101">
        <f t="shared" si="37"/>
        <v>0.1206647941184604</v>
      </c>
      <c r="AK13" s="235">
        <v>21823</v>
      </c>
      <c r="AL13" s="101">
        <f t="shared" si="38"/>
        <v>8.6212277437374321E-2</v>
      </c>
    </row>
    <row r="14" spans="1:38" ht="14.25">
      <c r="B14" s="98"/>
      <c r="C14" s="83"/>
      <c r="D14" s="473">
        <f t="shared" si="19"/>
        <v>46120</v>
      </c>
      <c r="E14" s="473" t="s">
        <v>524</v>
      </c>
      <c r="F14" s="88">
        <f t="shared" si="20"/>
        <v>245780</v>
      </c>
      <c r="G14" s="331"/>
      <c r="H14" s="430"/>
      <c r="I14" s="235">
        <v>27932</v>
      </c>
      <c r="J14" s="101">
        <f>I14/F14</f>
        <v>0.11364635039466189</v>
      </c>
      <c r="K14" s="235">
        <v>41814</v>
      </c>
      <c r="L14" s="101">
        <f>K14/F14</f>
        <v>0.1701277565302303</v>
      </c>
      <c r="M14" s="106">
        <f>SUM(I14+K14)</f>
        <v>69746</v>
      </c>
      <c r="N14" s="101">
        <f>M14/F14</f>
        <v>0.28377410692489219</v>
      </c>
      <c r="O14" s="235">
        <v>7131</v>
      </c>
      <c r="P14" s="101">
        <f>O14/F14</f>
        <v>2.9013752136056635E-2</v>
      </c>
      <c r="Q14" s="235">
        <v>2630</v>
      </c>
      <c r="R14" s="101">
        <f t="shared" si="26"/>
        <v>1.0700626576613231E-2</v>
      </c>
      <c r="S14" s="106">
        <f t="shared" si="27"/>
        <v>9761</v>
      </c>
      <c r="T14" s="101">
        <f>S14/F14</f>
        <v>3.9714378712669869E-2</v>
      </c>
      <c r="U14" s="235">
        <v>30478</v>
      </c>
      <c r="V14" s="101">
        <f>U14/F14</f>
        <v>0.12400520790951257</v>
      </c>
      <c r="W14" s="235">
        <v>1674</v>
      </c>
      <c r="X14" s="101">
        <f>W14/F14</f>
        <v>6.8109691594108552E-3</v>
      </c>
      <c r="Y14" s="235">
        <v>27363</v>
      </c>
      <c r="Z14" s="101">
        <f>Y14/F14</f>
        <v>0.11133127186915127</v>
      </c>
      <c r="AA14" s="235">
        <v>22343</v>
      </c>
      <c r="AB14" s="101">
        <f t="shared" si="32"/>
        <v>9.0906501749532104E-2</v>
      </c>
      <c r="AC14" s="106">
        <f>SUM(Y14+AA14)</f>
        <v>49706</v>
      </c>
      <c r="AD14" s="101">
        <f>AC14/F14</f>
        <v>0.20223777361868336</v>
      </c>
      <c r="AE14" s="235">
        <v>23942</v>
      </c>
      <c r="AF14" s="101">
        <f>AE14/F14</f>
        <v>9.7412319960940685E-2</v>
      </c>
      <c r="AG14" s="235">
        <v>8976</v>
      </c>
      <c r="AH14" s="101">
        <f>AG14/F14</f>
        <v>3.6520465456912683E-2</v>
      </c>
      <c r="AI14" s="235">
        <v>29861</v>
      </c>
      <c r="AJ14" s="101">
        <f>AI14/F14</f>
        <v>0.1214948327772805</v>
      </c>
      <c r="AK14" s="235">
        <v>21636</v>
      </c>
      <c r="AL14" s="101">
        <f>AK14/F14</f>
        <v>8.8029945479697294E-2</v>
      </c>
    </row>
    <row r="15" spans="1:38" ht="14.25">
      <c r="B15" s="98"/>
      <c r="C15" s="83"/>
      <c r="D15" s="473">
        <f t="shared" si="19"/>
        <v>46121</v>
      </c>
      <c r="E15" s="473" t="s">
        <v>525</v>
      </c>
      <c r="F15" s="88">
        <f t="shared" si="20"/>
        <v>232518</v>
      </c>
      <c r="G15" s="331"/>
      <c r="H15" s="430"/>
      <c r="I15" s="235">
        <v>27247</v>
      </c>
      <c r="J15" s="101">
        <f t="shared" ref="J15" si="39">I15/F15</f>
        <v>0.11718232566941054</v>
      </c>
      <c r="K15" s="235">
        <v>39658</v>
      </c>
      <c r="L15" s="101">
        <f t="shared" ref="L15" si="40">K15/F15</f>
        <v>0.17055883845551742</v>
      </c>
      <c r="M15" s="106">
        <f t="shared" ref="M15" si="41">SUM(I15+K15)</f>
        <v>66905</v>
      </c>
      <c r="N15" s="101">
        <f t="shared" ref="N15" si="42">M15/F15</f>
        <v>0.28774116412492795</v>
      </c>
      <c r="O15" s="235">
        <v>7119</v>
      </c>
      <c r="P15" s="101">
        <f t="shared" ref="P15" si="43">O15/F15</f>
        <v>3.0616984491523239E-2</v>
      </c>
      <c r="Q15" s="235">
        <v>2349</v>
      </c>
      <c r="R15" s="101">
        <f t="shared" si="26"/>
        <v>1.0102443681779476E-2</v>
      </c>
      <c r="S15" s="106">
        <f t="shared" ref="S15" si="44">SUM(O15+Q15)</f>
        <v>9468</v>
      </c>
      <c r="T15" s="101">
        <f t="shared" ref="T15" si="45">S15/F15</f>
        <v>4.0719428173302714E-2</v>
      </c>
      <c r="U15" s="235">
        <v>29826</v>
      </c>
      <c r="V15" s="101">
        <f t="shared" ref="V15" si="46">U15/F15</f>
        <v>0.12827394008205817</v>
      </c>
      <c r="W15" s="235">
        <v>1824</v>
      </c>
      <c r="X15" s="101">
        <f t="shared" ref="X15" si="47">W15/F15</f>
        <v>7.844553970015225E-3</v>
      </c>
      <c r="Y15" s="235">
        <v>26261</v>
      </c>
      <c r="Z15" s="101">
        <f t="shared" ref="Z15" si="48">Y15/F15</f>
        <v>0.11294179375360187</v>
      </c>
      <c r="AA15" s="235">
        <v>20219</v>
      </c>
      <c r="AB15" s="101">
        <f t="shared" si="32"/>
        <v>8.6956708727926435E-2</v>
      </c>
      <c r="AC15" s="106">
        <f t="shared" ref="AC15" si="49">SUM(Y15+AA15)</f>
        <v>46480</v>
      </c>
      <c r="AD15" s="101">
        <f t="shared" ref="AD15" si="50">AC15/F15</f>
        <v>0.19989850248152832</v>
      </c>
      <c r="AE15" s="235">
        <v>22584</v>
      </c>
      <c r="AF15" s="101">
        <f t="shared" ref="AF15" si="51">AE15/F15</f>
        <v>9.7127964286635879E-2</v>
      </c>
      <c r="AG15" s="235">
        <v>9289</v>
      </c>
      <c r="AH15" s="101">
        <f t="shared" ref="AH15" si="52">AG15/F15</f>
        <v>3.9949595300148806E-2</v>
      </c>
      <c r="AI15" s="235">
        <v>24259</v>
      </c>
      <c r="AJ15" s="101">
        <f t="shared" ref="AJ15" si="53">AI15/F15</f>
        <v>0.10433170765274086</v>
      </c>
      <c r="AK15" s="235">
        <v>21883</v>
      </c>
      <c r="AL15" s="101">
        <f t="shared" ref="AL15" si="54">AK15/F15</f>
        <v>9.411314392864209E-2</v>
      </c>
    </row>
    <row r="16" spans="1:38" ht="14.25">
      <c r="B16" s="98"/>
      <c r="C16" s="83"/>
      <c r="D16" s="473">
        <f t="shared" si="19"/>
        <v>46122</v>
      </c>
      <c r="E16" s="473" t="s">
        <v>526</v>
      </c>
      <c r="F16" s="88">
        <f t="shared" si="20"/>
        <v>224499</v>
      </c>
      <c r="G16" s="331"/>
      <c r="H16" s="430"/>
      <c r="I16" s="235">
        <v>24323</v>
      </c>
      <c r="J16" s="101">
        <f t="shared" ref="J16:J41" si="55">I16/F16</f>
        <v>0.10834346700876173</v>
      </c>
      <c r="K16" s="235">
        <v>38727</v>
      </c>
      <c r="L16" s="101">
        <f t="shared" ref="L16:L41" si="56">K16/F16</f>
        <v>0.17250410914970668</v>
      </c>
      <c r="M16" s="106">
        <f t="shared" ref="M16:M41" si="57">SUM(I16+K16)</f>
        <v>63050</v>
      </c>
      <c r="N16" s="101">
        <f t="shared" ref="N16:N41" si="58">M16/F16</f>
        <v>0.28084757615846839</v>
      </c>
      <c r="O16" s="235">
        <v>8836</v>
      </c>
      <c r="P16" s="101">
        <f t="shared" ref="P16:P41" si="59">O16/F16</f>
        <v>3.9358749927616607E-2</v>
      </c>
      <c r="Q16" s="235">
        <v>2102</v>
      </c>
      <c r="R16" s="101">
        <f t="shared" si="26"/>
        <v>9.3630706595575035E-3</v>
      </c>
      <c r="S16" s="106">
        <f t="shared" ref="S16:S45" si="60">SUM(O16+Q16)</f>
        <v>10938</v>
      </c>
      <c r="T16" s="101">
        <f t="shared" ref="T16:T41" si="61">S16/F16</f>
        <v>4.8721820587174107E-2</v>
      </c>
      <c r="U16" s="235">
        <v>27939</v>
      </c>
      <c r="V16" s="101">
        <f t="shared" ref="V16:V41" si="62">U16/F16</f>
        <v>0.12445044298638301</v>
      </c>
      <c r="W16" s="235">
        <v>1415</v>
      </c>
      <c r="X16" s="101">
        <f t="shared" ref="X16:X41" si="63">W16/F16</f>
        <v>6.3029233983224872E-3</v>
      </c>
      <c r="Y16" s="235">
        <v>24667</v>
      </c>
      <c r="Z16" s="101">
        <f t="shared" ref="Z16:Z41" si="64">Y16/F16</f>
        <v>0.10987576782079207</v>
      </c>
      <c r="AA16" s="235">
        <v>21898</v>
      </c>
      <c r="AB16" s="101">
        <f t="shared" si="32"/>
        <v>9.7541637156512942E-2</v>
      </c>
      <c r="AC16" s="106">
        <f t="shared" ref="AC16:AC41" si="65">SUM(Y16+AA16)</f>
        <v>46565</v>
      </c>
      <c r="AD16" s="101">
        <f t="shared" ref="AD16:AD41" si="66">AC16/F16</f>
        <v>0.20741740497730501</v>
      </c>
      <c r="AE16" s="235">
        <v>21337</v>
      </c>
      <c r="AF16" s="101">
        <f t="shared" ref="AF16:AF41" si="67">AE16/F16</f>
        <v>9.5042739611312294E-2</v>
      </c>
      <c r="AG16" s="235">
        <v>8112</v>
      </c>
      <c r="AH16" s="101">
        <f t="shared" ref="AH16:AH41" si="68">AG16/F16</f>
        <v>3.613379124183181E-2</v>
      </c>
      <c r="AI16" s="235">
        <v>25134</v>
      </c>
      <c r="AJ16" s="101">
        <f t="shared" ref="AJ16:AJ41" si="69">AI16/F16</f>
        <v>0.11195595526037978</v>
      </c>
      <c r="AK16" s="235">
        <v>20009</v>
      </c>
      <c r="AL16" s="101">
        <f t="shared" ref="AL16:AL41" si="70">AK16/F16</f>
        <v>8.9127345778823072E-2</v>
      </c>
    </row>
    <row r="17" spans="2:38" ht="14.25">
      <c r="B17" s="98"/>
      <c r="C17" s="83"/>
      <c r="D17" s="473">
        <f t="shared" si="19"/>
        <v>46123</v>
      </c>
      <c r="E17" s="473" t="s">
        <v>527</v>
      </c>
      <c r="F17" s="88">
        <f t="shared" si="20"/>
        <v>237989</v>
      </c>
      <c r="G17" s="331"/>
      <c r="H17" s="430"/>
      <c r="I17" s="235">
        <v>23333</v>
      </c>
      <c r="J17" s="101">
        <f t="shared" si="55"/>
        <v>9.8042346495006066E-2</v>
      </c>
      <c r="K17" s="235">
        <v>41504</v>
      </c>
      <c r="L17" s="101">
        <f t="shared" si="56"/>
        <v>0.17439461487715818</v>
      </c>
      <c r="M17" s="106">
        <f t="shared" si="57"/>
        <v>64837</v>
      </c>
      <c r="N17" s="101">
        <f t="shared" si="58"/>
        <v>0.27243696137216428</v>
      </c>
      <c r="O17" s="235">
        <v>8220</v>
      </c>
      <c r="P17" s="101">
        <f t="shared" si="59"/>
        <v>3.4539411485404785E-2</v>
      </c>
      <c r="Q17" s="235">
        <v>1838</v>
      </c>
      <c r="R17" s="101">
        <f t="shared" si="26"/>
        <v>7.7230460231355229E-3</v>
      </c>
      <c r="S17" s="106">
        <f t="shared" si="60"/>
        <v>10058</v>
      </c>
      <c r="T17" s="101">
        <f t="shared" si="61"/>
        <v>4.226245750854031E-2</v>
      </c>
      <c r="U17" s="235">
        <v>29819</v>
      </c>
      <c r="V17" s="101">
        <f t="shared" si="62"/>
        <v>0.12529570694443862</v>
      </c>
      <c r="W17" s="235">
        <v>1656</v>
      </c>
      <c r="X17" s="101">
        <f t="shared" si="63"/>
        <v>6.9583047955997963E-3</v>
      </c>
      <c r="Y17" s="235">
        <v>25441</v>
      </c>
      <c r="Z17" s="101">
        <f t="shared" si="64"/>
        <v>0.10689989873481548</v>
      </c>
      <c r="AA17" s="235">
        <v>22528</v>
      </c>
      <c r="AB17" s="101">
        <f t="shared" si="32"/>
        <v>9.4659837219367285E-2</v>
      </c>
      <c r="AC17" s="106">
        <f t="shared" si="65"/>
        <v>47969</v>
      </c>
      <c r="AD17" s="101">
        <f t="shared" si="66"/>
        <v>0.20155973595418275</v>
      </c>
      <c r="AE17" s="235">
        <v>23174</v>
      </c>
      <c r="AF17" s="101">
        <f t="shared" si="67"/>
        <v>9.7374248389631449E-2</v>
      </c>
      <c r="AG17" s="235">
        <v>8611</v>
      </c>
      <c r="AH17" s="101">
        <f t="shared" si="68"/>
        <v>3.6182344562143628E-2</v>
      </c>
      <c r="AI17" s="235">
        <v>31535</v>
      </c>
      <c r="AJ17" s="101">
        <f t="shared" si="69"/>
        <v>0.13250612423263261</v>
      </c>
      <c r="AK17" s="235">
        <v>20330</v>
      </c>
      <c r="AL17" s="101">
        <f t="shared" si="70"/>
        <v>8.5424116240666592E-2</v>
      </c>
    </row>
    <row r="18" spans="2:38" ht="14.25">
      <c r="B18" s="98"/>
      <c r="C18" s="83"/>
      <c r="D18" s="473">
        <f t="shared" si="19"/>
        <v>46124</v>
      </c>
      <c r="E18" s="473" t="s">
        <v>528</v>
      </c>
      <c r="F18" s="88">
        <f t="shared" si="20"/>
        <v>277628</v>
      </c>
      <c r="G18" s="331"/>
      <c r="H18" s="430"/>
      <c r="I18" s="235">
        <v>29163</v>
      </c>
      <c r="J18" s="101">
        <f t="shared" si="55"/>
        <v>0.10504343942253663</v>
      </c>
      <c r="K18" s="235">
        <v>44273</v>
      </c>
      <c r="L18" s="101">
        <f t="shared" si="56"/>
        <v>0.1594687855691789</v>
      </c>
      <c r="M18" s="106">
        <f t="shared" si="57"/>
        <v>73436</v>
      </c>
      <c r="N18" s="101">
        <f t="shared" si="58"/>
        <v>0.26451222499171551</v>
      </c>
      <c r="O18" s="235">
        <v>11737</v>
      </c>
      <c r="P18" s="101">
        <f t="shared" si="59"/>
        <v>4.2275995216620801E-2</v>
      </c>
      <c r="Q18" s="235">
        <v>2283</v>
      </c>
      <c r="R18" s="101">
        <f t="shared" si="26"/>
        <v>8.2232339677554139E-3</v>
      </c>
      <c r="S18" s="106">
        <f t="shared" si="60"/>
        <v>14020</v>
      </c>
      <c r="T18" s="101">
        <f t="shared" si="61"/>
        <v>5.0499229184376215E-2</v>
      </c>
      <c r="U18" s="235">
        <v>35774</v>
      </c>
      <c r="V18" s="101">
        <f t="shared" si="62"/>
        <v>0.12885587909000534</v>
      </c>
      <c r="W18" s="235">
        <v>1461</v>
      </c>
      <c r="X18" s="101">
        <f t="shared" si="63"/>
        <v>5.2624375063033985E-3</v>
      </c>
      <c r="Y18" s="235">
        <v>30219</v>
      </c>
      <c r="Z18" s="101">
        <f t="shared" si="64"/>
        <v>0.10884709035111732</v>
      </c>
      <c r="AA18" s="235">
        <v>24016</v>
      </c>
      <c r="AB18" s="101">
        <f t="shared" si="32"/>
        <v>8.6504243087872981E-2</v>
      </c>
      <c r="AC18" s="106">
        <f t="shared" si="65"/>
        <v>54235</v>
      </c>
      <c r="AD18" s="101">
        <f t="shared" si="66"/>
        <v>0.1953513334389903</v>
      </c>
      <c r="AE18" s="235">
        <v>27913</v>
      </c>
      <c r="AF18" s="101">
        <f t="shared" si="67"/>
        <v>0.10054101171351593</v>
      </c>
      <c r="AG18" s="235">
        <v>10203</v>
      </c>
      <c r="AH18" s="101">
        <f t="shared" si="68"/>
        <v>3.6750615932110597E-2</v>
      </c>
      <c r="AI18" s="235">
        <v>37980</v>
      </c>
      <c r="AJ18" s="101">
        <f t="shared" si="69"/>
        <v>0.13680176351088508</v>
      </c>
      <c r="AK18" s="235">
        <v>22606</v>
      </c>
      <c r="AL18" s="101">
        <f t="shared" si="70"/>
        <v>8.1425504632097634E-2</v>
      </c>
    </row>
    <row r="19" spans="2:38" ht="14.25">
      <c r="B19" s="98"/>
      <c r="C19" s="83"/>
      <c r="D19" s="473">
        <f t="shared" si="19"/>
        <v>46125</v>
      </c>
      <c r="E19" s="473" t="s">
        <v>522</v>
      </c>
      <c r="F19" s="88">
        <f t="shared" si="20"/>
        <v>281152</v>
      </c>
      <c r="G19" s="331"/>
      <c r="H19" s="430"/>
      <c r="I19" s="235">
        <v>29253</v>
      </c>
      <c r="J19" s="101">
        <f t="shared" si="55"/>
        <v>0.10404692123833371</v>
      </c>
      <c r="K19" s="235">
        <v>52697</v>
      </c>
      <c r="L19" s="101">
        <f t="shared" si="56"/>
        <v>0.18743242089688139</v>
      </c>
      <c r="M19" s="106">
        <f t="shared" si="57"/>
        <v>81950</v>
      </c>
      <c r="N19" s="101">
        <f t="shared" si="58"/>
        <v>0.29147934213521509</v>
      </c>
      <c r="O19" s="235">
        <v>8819</v>
      </c>
      <c r="P19" s="101">
        <f t="shared" si="59"/>
        <v>3.1367374231732303E-2</v>
      </c>
      <c r="Q19" s="235">
        <v>1807</v>
      </c>
      <c r="R19" s="101">
        <f t="shared" si="26"/>
        <v>6.4271283860687454E-3</v>
      </c>
      <c r="S19" s="106">
        <f t="shared" si="60"/>
        <v>10626</v>
      </c>
      <c r="T19" s="101">
        <f t="shared" si="61"/>
        <v>3.7794502617801047E-2</v>
      </c>
      <c r="U19" s="235">
        <v>34838</v>
      </c>
      <c r="V19" s="101">
        <f t="shared" si="62"/>
        <v>0.12391162076030048</v>
      </c>
      <c r="W19" s="235">
        <v>1818</v>
      </c>
      <c r="X19" s="101">
        <f t="shared" si="63"/>
        <v>6.4662531299795132E-3</v>
      </c>
      <c r="Y19" s="235">
        <v>28645</v>
      </c>
      <c r="Z19" s="101">
        <f t="shared" si="64"/>
        <v>0.10188438993853859</v>
      </c>
      <c r="AA19" s="235">
        <v>23262</v>
      </c>
      <c r="AB19" s="101">
        <f t="shared" si="32"/>
        <v>8.2738162986569538E-2</v>
      </c>
      <c r="AC19" s="106">
        <f t="shared" si="65"/>
        <v>51907</v>
      </c>
      <c r="AD19" s="101">
        <f t="shared" si="66"/>
        <v>0.18462255292510812</v>
      </c>
      <c r="AE19" s="235">
        <v>26380</v>
      </c>
      <c r="AF19" s="101">
        <f t="shared" si="67"/>
        <v>9.3828249487821536E-2</v>
      </c>
      <c r="AG19" s="235">
        <v>10289</v>
      </c>
      <c r="AH19" s="101">
        <f t="shared" si="68"/>
        <v>3.6595862736171179E-2</v>
      </c>
      <c r="AI19" s="235">
        <v>39761</v>
      </c>
      <c r="AJ19" s="101">
        <f t="shared" si="69"/>
        <v>0.14142172205781925</v>
      </c>
      <c r="AK19" s="235">
        <v>23583</v>
      </c>
      <c r="AL19" s="101">
        <f t="shared" si="70"/>
        <v>8.3879894149783751E-2</v>
      </c>
    </row>
    <row r="20" spans="2:38" ht="14.25">
      <c r="B20" s="98"/>
      <c r="C20" s="83"/>
      <c r="D20" s="324">
        <f t="shared" si="19"/>
        <v>46126</v>
      </c>
      <c r="E20" s="324" t="s">
        <v>523</v>
      </c>
      <c r="F20" s="88">
        <f t="shared" si="20"/>
        <v>305281</v>
      </c>
      <c r="G20" s="331">
        <f>SUM(F20:F26)</f>
        <v>1948043</v>
      </c>
      <c r="H20" s="430"/>
      <c r="I20" s="235">
        <v>38785</v>
      </c>
      <c r="J20" s="101">
        <f t="shared" si="55"/>
        <v>0.12704688467346478</v>
      </c>
      <c r="K20" s="235">
        <v>52924</v>
      </c>
      <c r="L20" s="101">
        <f t="shared" si="56"/>
        <v>0.17336159145180996</v>
      </c>
      <c r="M20" s="106">
        <f t="shared" si="57"/>
        <v>91709</v>
      </c>
      <c r="N20" s="101">
        <f t="shared" si="58"/>
        <v>0.30040847612527477</v>
      </c>
      <c r="O20" s="235">
        <v>9088</v>
      </c>
      <c r="P20" s="101">
        <f t="shared" si="59"/>
        <v>2.9769294518820367E-2</v>
      </c>
      <c r="Q20" s="235">
        <v>1883</v>
      </c>
      <c r="R20" s="101">
        <f t="shared" si="26"/>
        <v>6.168087761767028E-3</v>
      </c>
      <c r="S20" s="106">
        <f t="shared" si="60"/>
        <v>10971</v>
      </c>
      <c r="T20" s="101">
        <f t="shared" si="61"/>
        <v>3.593738228058739E-2</v>
      </c>
      <c r="U20" s="235">
        <v>38159</v>
      </c>
      <c r="V20" s="101">
        <f t="shared" si="62"/>
        <v>0.12499631487056187</v>
      </c>
      <c r="W20" s="235">
        <v>1634</v>
      </c>
      <c r="X20" s="101">
        <f t="shared" si="63"/>
        <v>5.3524457794622005E-3</v>
      </c>
      <c r="Y20" s="235">
        <v>28695</v>
      </c>
      <c r="Z20" s="101">
        <f t="shared" si="64"/>
        <v>9.3995368201755108E-2</v>
      </c>
      <c r="AA20" s="235">
        <v>23360</v>
      </c>
      <c r="AB20" s="101">
        <f t="shared" si="32"/>
        <v>7.651966548851713E-2</v>
      </c>
      <c r="AC20" s="106">
        <f t="shared" si="65"/>
        <v>52055</v>
      </c>
      <c r="AD20" s="101">
        <f t="shared" si="66"/>
        <v>0.17051503369027224</v>
      </c>
      <c r="AE20" s="235">
        <v>35170</v>
      </c>
      <c r="AF20" s="101">
        <f t="shared" si="67"/>
        <v>0.11520533541229228</v>
      </c>
      <c r="AG20" s="235">
        <v>18582</v>
      </c>
      <c r="AH20" s="101">
        <f t="shared" si="68"/>
        <v>6.0868511305977119E-2</v>
      </c>
      <c r="AI20" s="235">
        <v>34335</v>
      </c>
      <c r="AJ20" s="101">
        <f t="shared" si="69"/>
        <v>0.11247015045155119</v>
      </c>
      <c r="AK20" s="235">
        <v>22666</v>
      </c>
      <c r="AL20" s="101">
        <f t="shared" si="70"/>
        <v>7.4246350084020946E-2</v>
      </c>
    </row>
    <row r="21" spans="2:38" ht="14.25">
      <c r="B21" s="98"/>
      <c r="C21" s="83"/>
      <c r="D21" s="324">
        <f t="shared" si="19"/>
        <v>46127</v>
      </c>
      <c r="E21" s="324" t="s">
        <v>524</v>
      </c>
      <c r="F21" s="88">
        <f t="shared" si="20"/>
        <v>290123</v>
      </c>
      <c r="G21" s="331"/>
      <c r="H21" s="430"/>
      <c r="I21" s="235">
        <v>39439</v>
      </c>
      <c r="J21" s="101">
        <f t="shared" si="55"/>
        <v>0.13593889488251534</v>
      </c>
      <c r="K21" s="235">
        <v>52863</v>
      </c>
      <c r="L21" s="101">
        <f t="shared" si="56"/>
        <v>0.18220892518000986</v>
      </c>
      <c r="M21" s="106">
        <f t="shared" si="57"/>
        <v>92302</v>
      </c>
      <c r="N21" s="101">
        <f t="shared" si="58"/>
        <v>0.31814782006252518</v>
      </c>
      <c r="O21" s="235">
        <v>8872</v>
      </c>
      <c r="P21" s="101">
        <f t="shared" si="59"/>
        <v>3.0580133253826827E-2</v>
      </c>
      <c r="Q21" s="235">
        <v>1719</v>
      </c>
      <c r="R21" s="101">
        <f t="shared" si="26"/>
        <v>5.9250731586258246E-3</v>
      </c>
      <c r="S21" s="106">
        <f t="shared" si="60"/>
        <v>10591</v>
      </c>
      <c r="T21" s="101">
        <f t="shared" si="61"/>
        <v>3.6505206412452647E-2</v>
      </c>
      <c r="U21" s="235">
        <v>32186</v>
      </c>
      <c r="V21" s="101">
        <f t="shared" si="62"/>
        <v>0.11093915339356067</v>
      </c>
      <c r="W21" s="235">
        <v>4299</v>
      </c>
      <c r="X21" s="101">
        <f t="shared" si="63"/>
        <v>1.4817853117470865E-2</v>
      </c>
      <c r="Y21" s="235">
        <v>27806</v>
      </c>
      <c r="Z21" s="101">
        <f t="shared" si="64"/>
        <v>9.5842108347149318E-2</v>
      </c>
      <c r="AA21" s="235">
        <v>21636</v>
      </c>
      <c r="AB21" s="101">
        <f t="shared" si="32"/>
        <v>7.4575266352547021E-2</v>
      </c>
      <c r="AC21" s="106">
        <f t="shared" si="65"/>
        <v>49442</v>
      </c>
      <c r="AD21" s="101">
        <f t="shared" si="66"/>
        <v>0.17041737469969634</v>
      </c>
      <c r="AE21" s="235">
        <v>29860</v>
      </c>
      <c r="AF21" s="101">
        <f t="shared" si="67"/>
        <v>0.10292186417484998</v>
      </c>
      <c r="AG21" s="235">
        <v>14313</v>
      </c>
      <c r="AH21" s="101">
        <f t="shared" si="68"/>
        <v>4.9334247887964762E-2</v>
      </c>
      <c r="AI21" s="235">
        <v>34536</v>
      </c>
      <c r="AJ21" s="101">
        <f t="shared" si="69"/>
        <v>0.11903916614677224</v>
      </c>
      <c r="AK21" s="235">
        <v>22594</v>
      </c>
      <c r="AL21" s="101">
        <f t="shared" si="70"/>
        <v>7.7877314104707315E-2</v>
      </c>
    </row>
    <row r="22" spans="2:38" ht="14.25">
      <c r="B22" s="98"/>
      <c r="C22" s="83"/>
      <c r="D22" s="324">
        <f t="shared" si="19"/>
        <v>46128</v>
      </c>
      <c r="E22" s="324" t="s">
        <v>525</v>
      </c>
      <c r="F22" s="88">
        <f t="shared" si="20"/>
        <v>266146</v>
      </c>
      <c r="G22" s="331"/>
      <c r="H22" s="430"/>
      <c r="I22" s="235">
        <v>34640</v>
      </c>
      <c r="J22" s="101">
        <f t="shared" si="55"/>
        <v>0.13015412593088005</v>
      </c>
      <c r="K22" s="235">
        <v>46966</v>
      </c>
      <c r="L22" s="101">
        <f t="shared" si="56"/>
        <v>0.1764670519188716</v>
      </c>
      <c r="M22" s="106">
        <f t="shared" si="57"/>
        <v>81606</v>
      </c>
      <c r="N22" s="101">
        <f t="shared" si="58"/>
        <v>0.30662117784975162</v>
      </c>
      <c r="O22" s="235">
        <v>8917</v>
      </c>
      <c r="P22" s="101">
        <f t="shared" si="59"/>
        <v>3.3504166885844615E-2</v>
      </c>
      <c r="Q22" s="235">
        <v>1432</v>
      </c>
      <c r="R22" s="101">
        <f t="shared" si="26"/>
        <v>5.3805054368654803E-3</v>
      </c>
      <c r="S22" s="106">
        <f t="shared" si="60"/>
        <v>10349</v>
      </c>
      <c r="T22" s="101">
        <f t="shared" si="61"/>
        <v>3.888467232271009E-2</v>
      </c>
      <c r="U22" s="235">
        <v>30009</v>
      </c>
      <c r="V22" s="101">
        <f t="shared" si="62"/>
        <v>0.11275390199364259</v>
      </c>
      <c r="W22" s="235">
        <v>4130</v>
      </c>
      <c r="X22" s="101">
        <f t="shared" si="63"/>
        <v>1.5517798501574323E-2</v>
      </c>
      <c r="Y22" s="235">
        <v>26121</v>
      </c>
      <c r="Z22" s="101">
        <f t="shared" si="64"/>
        <v>9.8145378852208934E-2</v>
      </c>
      <c r="AA22" s="235">
        <v>18247</v>
      </c>
      <c r="AB22" s="101">
        <f t="shared" si="32"/>
        <v>6.8560113621846649E-2</v>
      </c>
      <c r="AC22" s="106">
        <f t="shared" si="65"/>
        <v>44368</v>
      </c>
      <c r="AD22" s="101">
        <f t="shared" si="66"/>
        <v>0.16670549247405558</v>
      </c>
      <c r="AE22" s="235">
        <v>27806</v>
      </c>
      <c r="AF22" s="101">
        <f t="shared" si="67"/>
        <v>0.10447649034740331</v>
      </c>
      <c r="AG22" s="235">
        <v>13592</v>
      </c>
      <c r="AH22" s="101">
        <f t="shared" si="68"/>
        <v>5.106971361583492E-2</v>
      </c>
      <c r="AI22" s="235">
        <v>33058</v>
      </c>
      <c r="AJ22" s="101">
        <f t="shared" si="69"/>
        <v>0.12421002006417531</v>
      </c>
      <c r="AK22" s="235">
        <v>21228</v>
      </c>
      <c r="AL22" s="101">
        <f t="shared" si="70"/>
        <v>7.9760732830852235E-2</v>
      </c>
    </row>
    <row r="23" spans="2:38" ht="14.25">
      <c r="B23" s="98"/>
      <c r="C23" s="83"/>
      <c r="D23" s="324">
        <f t="shared" si="19"/>
        <v>46129</v>
      </c>
      <c r="E23" s="324" t="s">
        <v>526</v>
      </c>
      <c r="F23" s="88">
        <f t="shared" si="20"/>
        <v>245706</v>
      </c>
      <c r="G23" s="331"/>
      <c r="H23" s="430"/>
      <c r="I23" s="235">
        <v>33794</v>
      </c>
      <c r="J23" s="101">
        <f t="shared" si="55"/>
        <v>0.13753835885163571</v>
      </c>
      <c r="K23" s="235">
        <v>45354</v>
      </c>
      <c r="L23" s="101">
        <f t="shared" si="56"/>
        <v>0.18458645698517739</v>
      </c>
      <c r="M23" s="106">
        <f t="shared" si="57"/>
        <v>79148</v>
      </c>
      <c r="N23" s="101">
        <f t="shared" si="58"/>
        <v>0.32212481583681313</v>
      </c>
      <c r="O23" s="235">
        <v>6609</v>
      </c>
      <c r="P23" s="101">
        <f t="shared" si="59"/>
        <v>2.6898000048838855E-2</v>
      </c>
      <c r="Q23" s="235">
        <v>1216</v>
      </c>
      <c r="R23" s="101">
        <f t="shared" si="26"/>
        <v>4.9490040943241109E-3</v>
      </c>
      <c r="S23" s="106">
        <f t="shared" si="60"/>
        <v>7825</v>
      </c>
      <c r="T23" s="101">
        <f t="shared" si="61"/>
        <v>3.1847004143162966E-2</v>
      </c>
      <c r="U23" s="235">
        <v>28475</v>
      </c>
      <c r="V23" s="101">
        <f t="shared" si="62"/>
        <v>0.11589053584365054</v>
      </c>
      <c r="W23" s="235">
        <v>2337</v>
      </c>
      <c r="X23" s="101">
        <f t="shared" si="63"/>
        <v>9.5113672437791511E-3</v>
      </c>
      <c r="Y23" s="235">
        <v>24854</v>
      </c>
      <c r="Z23" s="101">
        <f t="shared" si="64"/>
        <v>0.10115341098711468</v>
      </c>
      <c r="AA23" s="235">
        <v>20520</v>
      </c>
      <c r="AB23" s="101">
        <f t="shared" si="32"/>
        <v>8.3514444091719375E-2</v>
      </c>
      <c r="AC23" s="106">
        <f t="shared" si="65"/>
        <v>45374</v>
      </c>
      <c r="AD23" s="101">
        <f t="shared" si="66"/>
        <v>0.18466785507883404</v>
      </c>
      <c r="AE23" s="235">
        <v>22403</v>
      </c>
      <c r="AF23" s="101">
        <f t="shared" si="67"/>
        <v>9.1178074609492649E-2</v>
      </c>
      <c r="AG23" s="235">
        <v>12182</v>
      </c>
      <c r="AH23" s="101">
        <f t="shared" si="68"/>
        <v>4.957957884626342E-2</v>
      </c>
      <c r="AI23" s="235">
        <v>29121</v>
      </c>
      <c r="AJ23" s="101">
        <f t="shared" si="69"/>
        <v>0.11851969426876023</v>
      </c>
      <c r="AK23" s="235">
        <v>18841</v>
      </c>
      <c r="AL23" s="101">
        <f t="shared" si="70"/>
        <v>7.6681074129243895E-2</v>
      </c>
    </row>
    <row r="24" spans="2:38" ht="14.25">
      <c r="B24" s="98"/>
      <c r="C24" s="83"/>
      <c r="D24" s="324">
        <f t="shared" si="19"/>
        <v>46130</v>
      </c>
      <c r="E24" s="324" t="s">
        <v>527</v>
      </c>
      <c r="F24" s="88">
        <f t="shared" si="20"/>
        <v>258137</v>
      </c>
      <c r="G24" s="331"/>
      <c r="H24" s="430"/>
      <c r="I24" s="235">
        <v>35557</v>
      </c>
      <c r="J24" s="101">
        <f t="shared" si="55"/>
        <v>0.1377446859613306</v>
      </c>
      <c r="K24" s="235">
        <v>48050</v>
      </c>
      <c r="L24" s="101">
        <f t="shared" si="56"/>
        <v>0.18614146751531163</v>
      </c>
      <c r="M24" s="106">
        <f t="shared" si="57"/>
        <v>83607</v>
      </c>
      <c r="N24" s="101">
        <f t="shared" si="58"/>
        <v>0.32388615347664224</v>
      </c>
      <c r="O24" s="235">
        <v>6622</v>
      </c>
      <c r="P24" s="101">
        <f t="shared" si="59"/>
        <v>2.5653044701069588E-2</v>
      </c>
      <c r="Q24" s="235">
        <v>1167</v>
      </c>
      <c r="R24" s="101">
        <f t="shared" si="26"/>
        <v>4.5208552047943532E-3</v>
      </c>
      <c r="S24" s="106">
        <f t="shared" si="60"/>
        <v>7789</v>
      </c>
      <c r="T24" s="101">
        <f t="shared" si="61"/>
        <v>3.017389990586394E-2</v>
      </c>
      <c r="U24" s="235">
        <v>30179</v>
      </c>
      <c r="V24" s="101">
        <f t="shared" si="62"/>
        <v>0.11691078768250968</v>
      </c>
      <c r="W24" s="235">
        <v>2802</v>
      </c>
      <c r="X24" s="101">
        <f t="shared" si="63"/>
        <v>1.0854701185804437E-2</v>
      </c>
      <c r="Y24" s="235">
        <v>25635</v>
      </c>
      <c r="Z24" s="101">
        <f t="shared" si="64"/>
        <v>9.9307731940791136E-2</v>
      </c>
      <c r="AA24" s="235">
        <v>20382</v>
      </c>
      <c r="AB24" s="101">
        <f t="shared" si="32"/>
        <v>7.8958072651344052E-2</v>
      </c>
      <c r="AC24" s="106">
        <f t="shared" si="65"/>
        <v>46017</v>
      </c>
      <c r="AD24" s="101">
        <f t="shared" si="66"/>
        <v>0.17826580459213517</v>
      </c>
      <c r="AE24" s="235">
        <v>25592</v>
      </c>
      <c r="AF24" s="101">
        <f t="shared" si="67"/>
        <v>9.9141153728446521E-2</v>
      </c>
      <c r="AG24" s="235">
        <v>14476</v>
      </c>
      <c r="AH24" s="101">
        <f t="shared" si="68"/>
        <v>5.6078748881407937E-2</v>
      </c>
      <c r="AI24" s="235">
        <v>28131</v>
      </c>
      <c r="AJ24" s="101">
        <f t="shared" si="69"/>
        <v>0.10897701608060836</v>
      </c>
      <c r="AK24" s="235">
        <v>19544</v>
      </c>
      <c r="AL24" s="101">
        <f t="shared" si="70"/>
        <v>7.5711734466581693E-2</v>
      </c>
    </row>
    <row r="25" spans="2:38" ht="14.25">
      <c r="B25" s="98"/>
      <c r="C25" s="83"/>
      <c r="D25" s="324">
        <f t="shared" si="19"/>
        <v>46131</v>
      </c>
      <c r="E25" s="324" t="s">
        <v>528</v>
      </c>
      <c r="F25" s="88">
        <f t="shared" si="20"/>
        <v>300618</v>
      </c>
      <c r="G25" s="331"/>
      <c r="H25" s="430"/>
      <c r="I25" s="235">
        <v>40278</v>
      </c>
      <c r="J25" s="101">
        <f t="shared" si="55"/>
        <v>0.13398399297447258</v>
      </c>
      <c r="K25" s="235">
        <v>52149</v>
      </c>
      <c r="L25" s="101">
        <f t="shared" si="56"/>
        <v>0.17347264634852205</v>
      </c>
      <c r="M25" s="106">
        <f t="shared" si="57"/>
        <v>92427</v>
      </c>
      <c r="N25" s="101">
        <f t="shared" si="58"/>
        <v>0.30745663932299461</v>
      </c>
      <c r="O25" s="235">
        <v>8146</v>
      </c>
      <c r="P25" s="101">
        <f t="shared" si="59"/>
        <v>2.7097512457670531E-2</v>
      </c>
      <c r="Q25" s="235">
        <v>1359</v>
      </c>
      <c r="R25" s="101">
        <f t="shared" si="26"/>
        <v>4.5206873839889828E-3</v>
      </c>
      <c r="S25" s="106">
        <f t="shared" si="60"/>
        <v>9505</v>
      </c>
      <c r="T25" s="101">
        <f t="shared" si="61"/>
        <v>3.1618199841659513E-2</v>
      </c>
      <c r="U25" s="235">
        <v>35853</v>
      </c>
      <c r="V25" s="101">
        <f t="shared" si="62"/>
        <v>0.1192643155100493</v>
      </c>
      <c r="W25" s="235">
        <v>3643</v>
      </c>
      <c r="X25" s="101">
        <f t="shared" si="63"/>
        <v>1.2118369492179443E-2</v>
      </c>
      <c r="Y25" s="235">
        <v>29577</v>
      </c>
      <c r="Z25" s="101">
        <f t="shared" si="64"/>
        <v>9.8387322116440135E-2</v>
      </c>
      <c r="AA25" s="235">
        <v>22261</v>
      </c>
      <c r="AB25" s="101">
        <f t="shared" si="32"/>
        <v>7.4050788708593634E-2</v>
      </c>
      <c r="AC25" s="106">
        <f t="shared" si="65"/>
        <v>51838</v>
      </c>
      <c r="AD25" s="101">
        <f t="shared" si="66"/>
        <v>0.17243811082503377</v>
      </c>
      <c r="AE25" s="235">
        <v>33400</v>
      </c>
      <c r="AF25" s="101">
        <f t="shared" si="67"/>
        <v>0.11110445814954527</v>
      </c>
      <c r="AG25" s="235">
        <v>17261</v>
      </c>
      <c r="AH25" s="101">
        <f t="shared" si="68"/>
        <v>5.7418384793991042E-2</v>
      </c>
      <c r="AI25" s="235">
        <v>34941</v>
      </c>
      <c r="AJ25" s="101">
        <f t="shared" si="69"/>
        <v>0.11623056503602579</v>
      </c>
      <c r="AK25" s="235">
        <v>21750</v>
      </c>
      <c r="AL25" s="101">
        <f t="shared" si="70"/>
        <v>7.2350957028521248E-2</v>
      </c>
    </row>
    <row r="26" spans="2:38" ht="14.25">
      <c r="B26" s="98"/>
      <c r="C26" s="83"/>
      <c r="D26" s="324">
        <f t="shared" si="19"/>
        <v>46132</v>
      </c>
      <c r="E26" s="324" t="s">
        <v>522</v>
      </c>
      <c r="F26" s="88">
        <f t="shared" si="20"/>
        <v>282032</v>
      </c>
      <c r="G26" s="331"/>
      <c r="H26" s="430"/>
      <c r="I26" s="235">
        <v>37931</v>
      </c>
      <c r="J26" s="101">
        <f t="shared" si="55"/>
        <v>0.1344918307142452</v>
      </c>
      <c r="K26" s="235">
        <v>48569</v>
      </c>
      <c r="L26" s="101">
        <f t="shared" si="56"/>
        <v>0.1722109547852726</v>
      </c>
      <c r="M26" s="106">
        <f t="shared" si="57"/>
        <v>86500</v>
      </c>
      <c r="N26" s="101">
        <f t="shared" si="58"/>
        <v>0.30670278549951779</v>
      </c>
      <c r="O26" s="235">
        <v>7695</v>
      </c>
      <c r="P26" s="101">
        <f t="shared" si="59"/>
        <v>2.7284137970159415E-2</v>
      </c>
      <c r="Q26" s="235">
        <v>1391</v>
      </c>
      <c r="R26" s="101">
        <f t="shared" si="26"/>
        <v>4.9320644465876209E-3</v>
      </c>
      <c r="S26" s="106">
        <f t="shared" si="60"/>
        <v>9086</v>
      </c>
      <c r="T26" s="101">
        <f t="shared" si="61"/>
        <v>3.2216202416747039E-2</v>
      </c>
      <c r="U26" s="235">
        <v>34477</v>
      </c>
      <c r="V26" s="101">
        <f t="shared" si="62"/>
        <v>0.12224499347591762</v>
      </c>
      <c r="W26" s="235">
        <v>3325</v>
      </c>
      <c r="X26" s="101">
        <f t="shared" si="63"/>
        <v>1.1789442332784932E-2</v>
      </c>
      <c r="Y26" s="235">
        <v>24229</v>
      </c>
      <c r="Z26" s="101">
        <f t="shared" si="64"/>
        <v>8.5908691212344693E-2</v>
      </c>
      <c r="AA26" s="235">
        <v>25549</v>
      </c>
      <c r="AB26" s="101">
        <f t="shared" si="32"/>
        <v>9.0589011176036766E-2</v>
      </c>
      <c r="AC26" s="106">
        <f t="shared" si="65"/>
        <v>49778</v>
      </c>
      <c r="AD26" s="101">
        <f t="shared" si="66"/>
        <v>0.17649770238838147</v>
      </c>
      <c r="AE26" s="235">
        <v>28976</v>
      </c>
      <c r="AF26" s="101">
        <f t="shared" si="67"/>
        <v>0.10274011459692517</v>
      </c>
      <c r="AG26" s="235">
        <v>14063</v>
      </c>
      <c r="AH26" s="101">
        <f t="shared" si="68"/>
        <v>4.9863136098031426E-2</v>
      </c>
      <c r="AI26" s="235">
        <v>33576</v>
      </c>
      <c r="AJ26" s="101">
        <f t="shared" si="69"/>
        <v>0.11905032053100358</v>
      </c>
      <c r="AK26" s="235">
        <v>22251</v>
      </c>
      <c r="AL26" s="101">
        <f t="shared" si="70"/>
        <v>7.8895302660690989E-2</v>
      </c>
    </row>
    <row r="27" spans="2:38" ht="14.25">
      <c r="B27" s="98"/>
      <c r="C27" s="83"/>
      <c r="D27" s="473">
        <f t="shared" si="19"/>
        <v>46133</v>
      </c>
      <c r="E27" s="473" t="s">
        <v>523</v>
      </c>
      <c r="F27" s="88">
        <f t="shared" si="20"/>
        <v>286121</v>
      </c>
      <c r="G27" s="331">
        <f>SUM(F27:F33)</f>
        <v>1879607</v>
      </c>
      <c r="H27" s="430"/>
      <c r="I27" s="235">
        <v>42086</v>
      </c>
      <c r="J27" s="101">
        <f t="shared" si="55"/>
        <v>0.14709161508592519</v>
      </c>
      <c r="K27" s="235">
        <v>47418</v>
      </c>
      <c r="L27" s="101">
        <f t="shared" si="56"/>
        <v>0.16572708749095663</v>
      </c>
      <c r="M27" s="106">
        <f t="shared" si="57"/>
        <v>89504</v>
      </c>
      <c r="N27" s="101">
        <f t="shared" si="58"/>
        <v>0.31281870257688182</v>
      </c>
      <c r="O27" s="235">
        <v>7504</v>
      </c>
      <c r="P27" s="101">
        <f t="shared" si="59"/>
        <v>2.622666634046435E-2</v>
      </c>
      <c r="Q27" s="235">
        <v>1385</v>
      </c>
      <c r="R27" s="101">
        <f t="shared" si="26"/>
        <v>4.8406093925297336E-3</v>
      </c>
      <c r="S27" s="106">
        <f t="shared" si="60"/>
        <v>8889</v>
      </c>
      <c r="T27" s="101">
        <f t="shared" si="61"/>
        <v>3.1067275732994084E-2</v>
      </c>
      <c r="U27" s="235">
        <v>31114</v>
      </c>
      <c r="V27" s="101">
        <f t="shared" si="62"/>
        <v>0.10874420262755967</v>
      </c>
      <c r="W27" s="235">
        <v>6390</v>
      </c>
      <c r="X27" s="101">
        <f t="shared" si="63"/>
        <v>2.2333208677447654E-2</v>
      </c>
      <c r="Y27" s="235">
        <v>25131</v>
      </c>
      <c r="Z27" s="101">
        <f t="shared" si="64"/>
        <v>8.7833469056797647E-2</v>
      </c>
      <c r="AA27" s="235">
        <v>24138</v>
      </c>
      <c r="AB27" s="101">
        <f t="shared" si="32"/>
        <v>8.436290939847127E-2</v>
      </c>
      <c r="AC27" s="106">
        <f t="shared" si="65"/>
        <v>49269</v>
      </c>
      <c r="AD27" s="101">
        <f t="shared" si="66"/>
        <v>0.17219637845526892</v>
      </c>
      <c r="AE27" s="235">
        <v>27045</v>
      </c>
      <c r="AF27" s="101">
        <f t="shared" si="67"/>
        <v>9.4522946585535492E-2</v>
      </c>
      <c r="AG27" s="235">
        <v>20536</v>
      </c>
      <c r="AH27" s="101">
        <f t="shared" si="68"/>
        <v>7.1773829953061821E-2</v>
      </c>
      <c r="AI27" s="235">
        <v>32153</v>
      </c>
      <c r="AJ27" s="101">
        <f t="shared" si="69"/>
        <v>0.112375533428165</v>
      </c>
      <c r="AK27" s="235">
        <v>21221</v>
      </c>
      <c r="AL27" s="101">
        <f t="shared" si="70"/>
        <v>7.4167921963085554E-2</v>
      </c>
    </row>
    <row r="28" spans="2:38" ht="14.25">
      <c r="B28" s="98"/>
      <c r="C28" s="83"/>
      <c r="D28" s="473">
        <f t="shared" si="19"/>
        <v>46134</v>
      </c>
      <c r="E28" s="473" t="s">
        <v>524</v>
      </c>
      <c r="F28" s="88">
        <f t="shared" si="20"/>
        <v>268127</v>
      </c>
      <c r="G28" s="331"/>
      <c r="H28" s="430"/>
      <c r="I28" s="235">
        <v>40535</v>
      </c>
      <c r="J28" s="101">
        <f t="shared" si="55"/>
        <v>0.15117835950874026</v>
      </c>
      <c r="K28" s="235">
        <v>46352</v>
      </c>
      <c r="L28" s="101">
        <f t="shared" si="56"/>
        <v>0.172873302576764</v>
      </c>
      <c r="M28" s="106">
        <f t="shared" si="57"/>
        <v>86887</v>
      </c>
      <c r="N28" s="101">
        <f t="shared" si="58"/>
        <v>0.32405166208550423</v>
      </c>
      <c r="O28" s="235">
        <v>8056</v>
      </c>
      <c r="P28" s="101">
        <f t="shared" si="59"/>
        <v>3.0045463530341966E-2</v>
      </c>
      <c r="Q28" s="235">
        <v>1302</v>
      </c>
      <c r="R28" s="101">
        <f t="shared" si="26"/>
        <v>4.8559078347201138E-3</v>
      </c>
      <c r="S28" s="106">
        <f t="shared" si="60"/>
        <v>9358</v>
      </c>
      <c r="T28" s="101">
        <f t="shared" si="61"/>
        <v>3.4901371365062078E-2</v>
      </c>
      <c r="U28" s="235">
        <v>29178</v>
      </c>
      <c r="V28" s="101">
        <f t="shared" si="62"/>
        <v>0.10882156589974154</v>
      </c>
      <c r="W28" s="235">
        <v>5106</v>
      </c>
      <c r="X28" s="101">
        <f t="shared" si="63"/>
        <v>1.9043214596068281E-2</v>
      </c>
      <c r="Y28" s="235">
        <v>25474</v>
      </c>
      <c r="Z28" s="101">
        <f t="shared" si="64"/>
        <v>9.5007216729385696E-2</v>
      </c>
      <c r="AA28" s="235">
        <v>22114</v>
      </c>
      <c r="AB28" s="101">
        <f t="shared" si="32"/>
        <v>8.2475841672043471E-2</v>
      </c>
      <c r="AC28" s="106">
        <f t="shared" si="65"/>
        <v>47588</v>
      </c>
      <c r="AD28" s="101">
        <f t="shared" si="66"/>
        <v>0.17748305840142917</v>
      </c>
      <c r="AE28" s="235">
        <v>24817</v>
      </c>
      <c r="AF28" s="101">
        <f t="shared" si="67"/>
        <v>9.2556885356566101E-2</v>
      </c>
      <c r="AG28" s="235">
        <v>16342</v>
      </c>
      <c r="AH28" s="101">
        <f t="shared" si="68"/>
        <v>6.0948729519966285E-2</v>
      </c>
      <c r="AI28" s="235">
        <v>27843</v>
      </c>
      <c r="AJ28" s="101">
        <f t="shared" si="69"/>
        <v>0.10384258205999396</v>
      </c>
      <c r="AK28" s="235">
        <v>21008</v>
      </c>
      <c r="AL28" s="101">
        <f t="shared" si="70"/>
        <v>7.8350930715668315E-2</v>
      </c>
    </row>
    <row r="29" spans="2:38" ht="14.25">
      <c r="B29" s="98"/>
      <c r="C29" s="83"/>
      <c r="D29" s="473">
        <f t="shared" si="19"/>
        <v>46135</v>
      </c>
      <c r="E29" s="473" t="s">
        <v>525</v>
      </c>
      <c r="F29" s="88">
        <f t="shared" si="20"/>
        <v>251202</v>
      </c>
      <c r="G29" s="331"/>
      <c r="H29" s="430"/>
      <c r="I29" s="235">
        <v>37818</v>
      </c>
      <c r="J29" s="101">
        <f t="shared" si="55"/>
        <v>0.15054816442544247</v>
      </c>
      <c r="K29" s="235">
        <v>42782</v>
      </c>
      <c r="L29" s="101">
        <f t="shared" si="56"/>
        <v>0.17030915358954149</v>
      </c>
      <c r="M29" s="106">
        <f t="shared" si="57"/>
        <v>80600</v>
      </c>
      <c r="N29" s="101">
        <f t="shared" si="58"/>
        <v>0.32085731801498396</v>
      </c>
      <c r="O29" s="235">
        <v>6548</v>
      </c>
      <c r="P29" s="101">
        <f t="shared" si="59"/>
        <v>2.6066671443698695E-2</v>
      </c>
      <c r="Q29" s="235">
        <v>1104</v>
      </c>
      <c r="R29" s="101">
        <f t="shared" si="26"/>
        <v>4.3948694675997801E-3</v>
      </c>
      <c r="S29" s="106">
        <f t="shared" si="60"/>
        <v>7652</v>
      </c>
      <c r="T29" s="101">
        <f t="shared" si="61"/>
        <v>3.0461540911298476E-2</v>
      </c>
      <c r="U29" s="235">
        <v>27667</v>
      </c>
      <c r="V29" s="101">
        <f t="shared" si="62"/>
        <v>0.11013845431166949</v>
      </c>
      <c r="W29" s="235">
        <v>5247</v>
      </c>
      <c r="X29" s="101">
        <f t="shared" si="63"/>
        <v>2.0887572551173957E-2</v>
      </c>
      <c r="Y29" s="235">
        <v>25221</v>
      </c>
      <c r="Z29" s="101">
        <f t="shared" si="64"/>
        <v>0.10040127069051998</v>
      </c>
      <c r="AA29" s="235">
        <v>18741</v>
      </c>
      <c r="AB29" s="101">
        <f t="shared" si="32"/>
        <v>7.4605297728521272E-2</v>
      </c>
      <c r="AC29" s="106">
        <f t="shared" si="65"/>
        <v>43962</v>
      </c>
      <c r="AD29" s="101">
        <f t="shared" si="66"/>
        <v>0.17500656841904125</v>
      </c>
      <c r="AE29" s="235">
        <v>23421</v>
      </c>
      <c r="AF29" s="101">
        <f t="shared" si="67"/>
        <v>9.3235722645520339E-2</v>
      </c>
      <c r="AG29" s="235">
        <v>15648</v>
      </c>
      <c r="AH29" s="101">
        <f t="shared" si="68"/>
        <v>6.2292497671196885E-2</v>
      </c>
      <c r="AI29" s="235">
        <v>25928</v>
      </c>
      <c r="AJ29" s="101">
        <f t="shared" si="69"/>
        <v>0.10321573872819484</v>
      </c>
      <c r="AK29" s="235">
        <v>21077</v>
      </c>
      <c r="AL29" s="101">
        <f t="shared" si="70"/>
        <v>8.3904586746920806E-2</v>
      </c>
    </row>
    <row r="30" spans="2:38" ht="14.25">
      <c r="B30" s="98"/>
      <c r="C30" s="83"/>
      <c r="D30" s="473">
        <f t="shared" si="19"/>
        <v>46136</v>
      </c>
      <c r="E30" s="473" t="s">
        <v>526</v>
      </c>
      <c r="F30" s="88">
        <f t="shared" si="20"/>
        <v>242140</v>
      </c>
      <c r="G30" s="331"/>
      <c r="H30" s="430"/>
      <c r="I30" s="235">
        <v>36362</v>
      </c>
      <c r="J30" s="101">
        <f t="shared" si="55"/>
        <v>0.15016932353184109</v>
      </c>
      <c r="K30" s="235">
        <v>42599</v>
      </c>
      <c r="L30" s="101">
        <f t="shared" si="56"/>
        <v>0.17592714958288594</v>
      </c>
      <c r="M30" s="106">
        <f t="shared" si="57"/>
        <v>78961</v>
      </c>
      <c r="N30" s="101">
        <f t="shared" si="58"/>
        <v>0.326096473114727</v>
      </c>
      <c r="O30" s="235">
        <v>5610</v>
      </c>
      <c r="P30" s="101">
        <f t="shared" si="59"/>
        <v>2.3168414966548277E-2</v>
      </c>
      <c r="Q30" s="235">
        <v>999</v>
      </c>
      <c r="R30" s="101">
        <f t="shared" si="26"/>
        <v>4.1257123977864046E-3</v>
      </c>
      <c r="S30" s="106">
        <f t="shared" si="60"/>
        <v>6609</v>
      </c>
      <c r="T30" s="101">
        <f t="shared" si="61"/>
        <v>2.7294127364334682E-2</v>
      </c>
      <c r="U30" s="235">
        <v>27052</v>
      </c>
      <c r="V30" s="101">
        <f t="shared" si="62"/>
        <v>0.11172049227719501</v>
      </c>
      <c r="W30" s="235">
        <v>3553</v>
      </c>
      <c r="X30" s="101">
        <f t="shared" si="63"/>
        <v>1.4673329478813909E-2</v>
      </c>
      <c r="Y30" s="235">
        <v>23933</v>
      </c>
      <c r="Z30" s="101">
        <f t="shared" si="64"/>
        <v>9.8839514330552575E-2</v>
      </c>
      <c r="AA30" s="235">
        <v>20274</v>
      </c>
      <c r="AB30" s="101">
        <f t="shared" si="32"/>
        <v>8.3728421574295858E-2</v>
      </c>
      <c r="AC30" s="106">
        <f t="shared" si="65"/>
        <v>44207</v>
      </c>
      <c r="AD30" s="101">
        <f t="shared" si="66"/>
        <v>0.18256793590484843</v>
      </c>
      <c r="AE30" s="235">
        <v>23407</v>
      </c>
      <c r="AF30" s="101">
        <f t="shared" si="67"/>
        <v>9.6667217312298673E-2</v>
      </c>
      <c r="AG30" s="235">
        <v>15158</v>
      </c>
      <c r="AH30" s="101">
        <f t="shared" si="68"/>
        <v>6.2600148674320635E-2</v>
      </c>
      <c r="AI30" s="235">
        <v>24530</v>
      </c>
      <c r="AJ30" s="101">
        <f t="shared" si="69"/>
        <v>0.10130503014784835</v>
      </c>
      <c r="AK30" s="235">
        <v>18663</v>
      </c>
      <c r="AL30" s="101">
        <f t="shared" si="70"/>
        <v>7.7075245725613278E-2</v>
      </c>
    </row>
    <row r="31" spans="2:38" ht="14.25">
      <c r="B31" s="98"/>
      <c r="C31" s="83"/>
      <c r="D31" s="473">
        <f t="shared" si="19"/>
        <v>46137</v>
      </c>
      <c r="E31" s="473" t="s">
        <v>527</v>
      </c>
      <c r="F31" s="88">
        <f t="shared" si="20"/>
        <v>250171</v>
      </c>
      <c r="G31" s="331"/>
      <c r="H31" s="430"/>
      <c r="I31" s="235">
        <v>34017</v>
      </c>
      <c r="J31" s="101">
        <f t="shared" si="55"/>
        <v>0.13597499310471636</v>
      </c>
      <c r="K31" s="235">
        <v>44742</v>
      </c>
      <c r="L31" s="101">
        <f t="shared" si="56"/>
        <v>0.17884566956201958</v>
      </c>
      <c r="M31" s="106">
        <f t="shared" si="57"/>
        <v>78759</v>
      </c>
      <c r="N31" s="101">
        <f t="shared" si="58"/>
        <v>0.31482066266673597</v>
      </c>
      <c r="O31" s="235">
        <v>5812</v>
      </c>
      <c r="P31" s="101">
        <f t="shared" si="59"/>
        <v>2.3232109237281699E-2</v>
      </c>
      <c r="Q31" s="235">
        <v>993</v>
      </c>
      <c r="R31" s="101">
        <f t="shared" si="26"/>
        <v>3.9692850090538075E-3</v>
      </c>
      <c r="S31" s="106">
        <f t="shared" si="60"/>
        <v>6805</v>
      </c>
      <c r="T31" s="101">
        <f t="shared" si="61"/>
        <v>2.7201394246335508E-2</v>
      </c>
      <c r="U31" s="235">
        <v>29659</v>
      </c>
      <c r="V31" s="101">
        <f t="shared" si="62"/>
        <v>0.11855490844262524</v>
      </c>
      <c r="W31" s="235">
        <v>3692</v>
      </c>
      <c r="X31" s="101">
        <f t="shared" si="63"/>
        <v>1.4757905592574679E-2</v>
      </c>
      <c r="Y31" s="235">
        <v>24890</v>
      </c>
      <c r="Z31" s="101">
        <f t="shared" si="64"/>
        <v>9.9491947507904591E-2</v>
      </c>
      <c r="AA31" s="235">
        <v>20797</v>
      </c>
      <c r="AB31" s="101">
        <f t="shared" si="32"/>
        <v>8.3131138301401841E-2</v>
      </c>
      <c r="AC31" s="106">
        <f t="shared" si="65"/>
        <v>45687</v>
      </c>
      <c r="AD31" s="101">
        <f t="shared" si="66"/>
        <v>0.18262308580930645</v>
      </c>
      <c r="AE31" s="235">
        <v>25095</v>
      </c>
      <c r="AF31" s="101">
        <f t="shared" si="67"/>
        <v>0.10031138701128428</v>
      </c>
      <c r="AG31" s="235">
        <v>15320</v>
      </c>
      <c r="AH31" s="101">
        <f t="shared" si="68"/>
        <v>6.1238113130618659E-2</v>
      </c>
      <c r="AI31" s="235">
        <v>25208</v>
      </c>
      <c r="AJ31" s="101">
        <f t="shared" si="69"/>
        <v>0.10076307805461064</v>
      </c>
      <c r="AK31" s="235">
        <v>19946</v>
      </c>
      <c r="AL31" s="101">
        <f t="shared" si="70"/>
        <v>7.9729465045908596E-2</v>
      </c>
    </row>
    <row r="32" spans="2:38" ht="14.25">
      <c r="B32" s="98"/>
      <c r="C32" s="83"/>
      <c r="D32" s="473">
        <f t="shared" si="19"/>
        <v>46138</v>
      </c>
      <c r="E32" s="473" t="s">
        <v>528</v>
      </c>
      <c r="F32" s="88">
        <f t="shared" si="20"/>
        <v>295843</v>
      </c>
      <c r="G32" s="331"/>
      <c r="H32" s="430"/>
      <c r="I32" s="235">
        <v>40858</v>
      </c>
      <c r="J32" s="101">
        <f t="shared" si="55"/>
        <v>0.13810703650246922</v>
      </c>
      <c r="K32" s="235">
        <v>48496</v>
      </c>
      <c r="L32" s="101">
        <f t="shared" si="56"/>
        <v>0.1639247844295792</v>
      </c>
      <c r="M32" s="106">
        <f t="shared" si="57"/>
        <v>89354</v>
      </c>
      <c r="N32" s="101">
        <f t="shared" si="58"/>
        <v>0.30203182093204844</v>
      </c>
      <c r="O32" s="235">
        <v>6941</v>
      </c>
      <c r="P32" s="101">
        <f t="shared" si="59"/>
        <v>2.3461768573195919E-2</v>
      </c>
      <c r="Q32" s="235">
        <v>1135</v>
      </c>
      <c r="R32" s="101">
        <f t="shared" si="26"/>
        <v>3.8364943568041155E-3</v>
      </c>
      <c r="S32" s="106">
        <f t="shared" si="60"/>
        <v>8076</v>
      </c>
      <c r="T32" s="101">
        <f t="shared" si="61"/>
        <v>2.7298262930000032E-2</v>
      </c>
      <c r="U32" s="235">
        <v>36113</v>
      </c>
      <c r="V32" s="101">
        <f t="shared" si="62"/>
        <v>0.12206812397116037</v>
      </c>
      <c r="W32" s="235">
        <v>3433</v>
      </c>
      <c r="X32" s="101">
        <f t="shared" si="63"/>
        <v>1.1604127865117646E-2</v>
      </c>
      <c r="Y32" s="235">
        <v>29582</v>
      </c>
      <c r="Z32" s="101">
        <f t="shared" si="64"/>
        <v>9.9992225606149204E-2</v>
      </c>
      <c r="AA32" s="235">
        <v>23692</v>
      </c>
      <c r="AB32" s="101">
        <f t="shared" si="32"/>
        <v>8.0083017005641507E-2</v>
      </c>
      <c r="AC32" s="106">
        <f t="shared" si="65"/>
        <v>53274</v>
      </c>
      <c r="AD32" s="101">
        <f t="shared" si="66"/>
        <v>0.18007524261179073</v>
      </c>
      <c r="AE32" s="235">
        <v>30472</v>
      </c>
      <c r="AF32" s="101">
        <f t="shared" si="67"/>
        <v>0.10300057800928195</v>
      </c>
      <c r="AG32" s="235">
        <v>20580</v>
      </c>
      <c r="AH32" s="101">
        <f t="shared" si="68"/>
        <v>6.9563924108395334E-2</v>
      </c>
      <c r="AI32" s="235">
        <v>31944</v>
      </c>
      <c r="AJ32" s="101">
        <f t="shared" si="69"/>
        <v>0.10797619007378914</v>
      </c>
      <c r="AK32" s="235">
        <v>22597</v>
      </c>
      <c r="AL32" s="101">
        <f t="shared" si="70"/>
        <v>7.6381729498416387E-2</v>
      </c>
    </row>
    <row r="33" spans="2:38" ht="14.25">
      <c r="B33" s="98"/>
      <c r="C33" s="83"/>
      <c r="D33" s="473">
        <f t="shared" si="19"/>
        <v>46139</v>
      </c>
      <c r="E33" s="473" t="s">
        <v>522</v>
      </c>
      <c r="F33" s="88">
        <f t="shared" si="20"/>
        <v>286003</v>
      </c>
      <c r="G33" s="331"/>
      <c r="H33" s="430"/>
      <c r="I33" s="235">
        <v>40182</v>
      </c>
      <c r="J33" s="101">
        <f t="shared" si="55"/>
        <v>0.14049502977241499</v>
      </c>
      <c r="K33" s="235">
        <v>49086</v>
      </c>
      <c r="L33" s="101">
        <f t="shared" si="56"/>
        <v>0.17162757034017126</v>
      </c>
      <c r="M33" s="106">
        <f t="shared" si="57"/>
        <v>89268</v>
      </c>
      <c r="N33" s="101">
        <f t="shared" si="58"/>
        <v>0.31212260011258625</v>
      </c>
      <c r="O33" s="235">
        <v>6796</v>
      </c>
      <c r="P33" s="101">
        <f t="shared" si="59"/>
        <v>2.3761988510610028E-2</v>
      </c>
      <c r="Q33" s="235">
        <v>1109</v>
      </c>
      <c r="R33" s="101">
        <f t="shared" si="26"/>
        <v>3.8775817036884228E-3</v>
      </c>
      <c r="S33" s="106">
        <f t="shared" si="60"/>
        <v>7905</v>
      </c>
      <c r="T33" s="101">
        <f t="shared" si="61"/>
        <v>2.7639570214298453E-2</v>
      </c>
      <c r="U33" s="235">
        <v>34481</v>
      </c>
      <c r="V33" s="101">
        <f t="shared" si="62"/>
        <v>0.12056167243000948</v>
      </c>
      <c r="W33" s="235">
        <v>3010</v>
      </c>
      <c r="X33" s="101">
        <f t="shared" si="63"/>
        <v>1.0524365129037108E-2</v>
      </c>
      <c r="Y33" s="235">
        <v>27739</v>
      </c>
      <c r="Z33" s="101">
        <f t="shared" si="64"/>
        <v>9.6988493127694461E-2</v>
      </c>
      <c r="AA33" s="235">
        <v>26967</v>
      </c>
      <c r="AB33" s="101">
        <f t="shared" si="32"/>
        <v>9.4289220742439769E-2</v>
      </c>
      <c r="AC33" s="106">
        <f t="shared" si="65"/>
        <v>54706</v>
      </c>
      <c r="AD33" s="101">
        <f t="shared" si="66"/>
        <v>0.19127771387013423</v>
      </c>
      <c r="AE33" s="235">
        <v>29616</v>
      </c>
      <c r="AF33" s="101">
        <f t="shared" si="67"/>
        <v>0.10355136134935647</v>
      </c>
      <c r="AG33" s="235">
        <v>17330</v>
      </c>
      <c r="AH33" s="101">
        <f t="shared" si="68"/>
        <v>6.0593769995419627E-2</v>
      </c>
      <c r="AI33" s="235">
        <v>27065</v>
      </c>
      <c r="AJ33" s="101">
        <f t="shared" si="69"/>
        <v>9.4631874490827023E-2</v>
      </c>
      <c r="AK33" s="235">
        <v>22622</v>
      </c>
      <c r="AL33" s="101">
        <f t="shared" si="70"/>
        <v>7.9097072408331387E-2</v>
      </c>
    </row>
    <row r="34" spans="2:38" ht="14.25">
      <c r="B34" s="98"/>
      <c r="C34" s="83"/>
      <c r="D34" s="324">
        <f t="shared" si="19"/>
        <v>46140</v>
      </c>
      <c r="E34" s="324" t="s">
        <v>523</v>
      </c>
      <c r="F34" s="88">
        <f t="shared" si="20"/>
        <v>0</v>
      </c>
      <c r="G34" s="331">
        <f>SUM(F34:F40)</f>
        <v>0</v>
      </c>
      <c r="H34" s="430"/>
      <c r="I34" s="235"/>
      <c r="J34" s="101" t="e">
        <f t="shared" si="55"/>
        <v>#DIV/0!</v>
      </c>
      <c r="K34" s="235"/>
      <c r="L34" s="101" t="e">
        <f t="shared" si="56"/>
        <v>#DIV/0!</v>
      </c>
      <c r="M34" s="106">
        <f t="shared" si="57"/>
        <v>0</v>
      </c>
      <c r="N34" s="101" t="e">
        <f t="shared" si="58"/>
        <v>#DIV/0!</v>
      </c>
      <c r="O34" s="235"/>
      <c r="P34" s="101" t="e">
        <f t="shared" si="59"/>
        <v>#DIV/0!</v>
      </c>
      <c r="Q34" s="235"/>
      <c r="R34" s="101" t="e">
        <f t="shared" si="26"/>
        <v>#DIV/0!</v>
      </c>
      <c r="S34" s="106">
        <f t="shared" si="60"/>
        <v>0</v>
      </c>
      <c r="T34" s="101" t="e">
        <f t="shared" si="61"/>
        <v>#DIV/0!</v>
      </c>
      <c r="U34" s="235"/>
      <c r="V34" s="101" t="e">
        <f t="shared" si="62"/>
        <v>#DIV/0!</v>
      </c>
      <c r="W34" s="235"/>
      <c r="X34" s="101" t="e">
        <f t="shared" si="63"/>
        <v>#DIV/0!</v>
      </c>
      <c r="Y34" s="235"/>
      <c r="Z34" s="101" t="e">
        <f t="shared" si="64"/>
        <v>#DIV/0!</v>
      </c>
      <c r="AA34" s="235"/>
      <c r="AB34" s="101" t="e">
        <f t="shared" si="32"/>
        <v>#DIV/0!</v>
      </c>
      <c r="AC34" s="106">
        <f t="shared" si="65"/>
        <v>0</v>
      </c>
      <c r="AD34" s="101" t="e">
        <f t="shared" si="66"/>
        <v>#DIV/0!</v>
      </c>
      <c r="AE34" s="235"/>
      <c r="AF34" s="101" t="e">
        <f t="shared" si="67"/>
        <v>#DIV/0!</v>
      </c>
      <c r="AG34" s="235"/>
      <c r="AH34" s="101" t="e">
        <f t="shared" si="68"/>
        <v>#DIV/0!</v>
      </c>
      <c r="AI34" s="235"/>
      <c r="AJ34" s="101" t="e">
        <f t="shared" si="69"/>
        <v>#DIV/0!</v>
      </c>
      <c r="AK34" s="235"/>
      <c r="AL34" s="101" t="e">
        <f t="shared" si="70"/>
        <v>#DIV/0!</v>
      </c>
    </row>
    <row r="35" spans="2:38" ht="14.25">
      <c r="B35" s="98"/>
      <c r="C35" s="83"/>
      <c r="D35" s="324">
        <f t="shared" si="19"/>
        <v>46141</v>
      </c>
      <c r="E35" s="324" t="s">
        <v>524</v>
      </c>
      <c r="F35" s="88">
        <f t="shared" si="20"/>
        <v>0</v>
      </c>
      <c r="G35" s="331"/>
      <c r="H35" s="430"/>
      <c r="I35" s="235"/>
      <c r="J35" s="101" t="e">
        <f t="shared" si="55"/>
        <v>#DIV/0!</v>
      </c>
      <c r="K35" s="235"/>
      <c r="L35" s="101" t="e">
        <f t="shared" si="56"/>
        <v>#DIV/0!</v>
      </c>
      <c r="M35" s="106">
        <f t="shared" si="57"/>
        <v>0</v>
      </c>
      <c r="N35" s="101" t="e">
        <f t="shared" si="58"/>
        <v>#DIV/0!</v>
      </c>
      <c r="O35" s="235"/>
      <c r="P35" s="101" t="e">
        <f t="shared" si="59"/>
        <v>#DIV/0!</v>
      </c>
      <c r="Q35" s="235"/>
      <c r="R35" s="101" t="e">
        <f t="shared" si="26"/>
        <v>#DIV/0!</v>
      </c>
      <c r="S35" s="106">
        <f t="shared" si="60"/>
        <v>0</v>
      </c>
      <c r="T35" s="101" t="e">
        <f t="shared" si="61"/>
        <v>#DIV/0!</v>
      </c>
      <c r="U35" s="235"/>
      <c r="V35" s="101" t="e">
        <f t="shared" si="62"/>
        <v>#DIV/0!</v>
      </c>
      <c r="W35" s="235"/>
      <c r="X35" s="101" t="e">
        <f t="shared" si="63"/>
        <v>#DIV/0!</v>
      </c>
      <c r="Y35" s="235"/>
      <c r="Z35" s="101" t="e">
        <f t="shared" si="64"/>
        <v>#DIV/0!</v>
      </c>
      <c r="AA35" s="235"/>
      <c r="AB35" s="101" t="e">
        <f t="shared" si="32"/>
        <v>#DIV/0!</v>
      </c>
      <c r="AC35" s="106">
        <f t="shared" si="65"/>
        <v>0</v>
      </c>
      <c r="AD35" s="101" t="e">
        <f t="shared" si="66"/>
        <v>#DIV/0!</v>
      </c>
      <c r="AE35" s="235"/>
      <c r="AF35" s="101" t="e">
        <f t="shared" si="67"/>
        <v>#DIV/0!</v>
      </c>
      <c r="AG35" s="235"/>
      <c r="AH35" s="101" t="e">
        <f t="shared" si="68"/>
        <v>#DIV/0!</v>
      </c>
      <c r="AI35" s="235"/>
      <c r="AJ35" s="101" t="e">
        <f t="shared" si="69"/>
        <v>#DIV/0!</v>
      </c>
      <c r="AK35" s="235"/>
      <c r="AL35" s="101" t="e">
        <f t="shared" si="70"/>
        <v>#DIV/0!</v>
      </c>
    </row>
    <row r="36" spans="2:38" ht="14.25">
      <c r="B36" s="98"/>
      <c r="C36" s="83"/>
      <c r="D36" s="324">
        <f t="shared" si="19"/>
        <v>46142</v>
      </c>
      <c r="E36" s="324" t="s">
        <v>525</v>
      </c>
      <c r="F36" s="88">
        <f t="shared" si="20"/>
        <v>0</v>
      </c>
      <c r="G36" s="331"/>
      <c r="H36" s="430"/>
      <c r="I36" s="235"/>
      <c r="J36" s="101" t="e">
        <f t="shared" si="55"/>
        <v>#DIV/0!</v>
      </c>
      <c r="K36" s="235"/>
      <c r="L36" s="101" t="e">
        <f t="shared" si="56"/>
        <v>#DIV/0!</v>
      </c>
      <c r="M36" s="106">
        <f t="shared" si="57"/>
        <v>0</v>
      </c>
      <c r="N36" s="101" t="e">
        <f t="shared" si="58"/>
        <v>#DIV/0!</v>
      </c>
      <c r="O36" s="235"/>
      <c r="P36" s="101" t="e">
        <f t="shared" si="59"/>
        <v>#DIV/0!</v>
      </c>
      <c r="Q36" s="235"/>
      <c r="R36" s="101" t="e">
        <f t="shared" si="26"/>
        <v>#DIV/0!</v>
      </c>
      <c r="S36" s="106">
        <f t="shared" si="60"/>
        <v>0</v>
      </c>
      <c r="T36" s="101" t="e">
        <f t="shared" si="61"/>
        <v>#DIV/0!</v>
      </c>
      <c r="U36" s="235"/>
      <c r="V36" s="101" t="e">
        <f t="shared" si="62"/>
        <v>#DIV/0!</v>
      </c>
      <c r="W36" s="235"/>
      <c r="X36" s="101" t="e">
        <f t="shared" si="63"/>
        <v>#DIV/0!</v>
      </c>
      <c r="Y36" s="235"/>
      <c r="Z36" s="101" t="e">
        <f t="shared" si="64"/>
        <v>#DIV/0!</v>
      </c>
      <c r="AA36" s="235"/>
      <c r="AB36" s="101" t="e">
        <f t="shared" si="32"/>
        <v>#DIV/0!</v>
      </c>
      <c r="AC36" s="106">
        <f t="shared" si="65"/>
        <v>0</v>
      </c>
      <c r="AD36" s="101" t="e">
        <f t="shared" si="66"/>
        <v>#DIV/0!</v>
      </c>
      <c r="AE36" s="235"/>
      <c r="AF36" s="101" t="e">
        <f t="shared" si="67"/>
        <v>#DIV/0!</v>
      </c>
      <c r="AG36" s="235"/>
      <c r="AH36" s="101" t="e">
        <f t="shared" si="68"/>
        <v>#DIV/0!</v>
      </c>
      <c r="AI36" s="235"/>
      <c r="AJ36" s="101" t="e">
        <f t="shared" si="69"/>
        <v>#DIV/0!</v>
      </c>
      <c r="AK36" s="235"/>
      <c r="AL36" s="101" t="e">
        <f t="shared" si="70"/>
        <v>#DIV/0!</v>
      </c>
    </row>
    <row r="37" spans="2:38" ht="14.25">
      <c r="B37" s="98"/>
      <c r="C37" s="83"/>
      <c r="D37" s="324">
        <f>D36+1</f>
        <v>46143</v>
      </c>
      <c r="E37" s="324" t="s">
        <v>526</v>
      </c>
      <c r="F37" s="88">
        <f t="shared" si="20"/>
        <v>0</v>
      </c>
      <c r="G37" s="331"/>
      <c r="H37" s="430"/>
      <c r="I37" s="235"/>
      <c r="J37" s="101" t="e">
        <f t="shared" si="55"/>
        <v>#DIV/0!</v>
      </c>
      <c r="K37" s="235"/>
      <c r="L37" s="101" t="e">
        <f t="shared" si="56"/>
        <v>#DIV/0!</v>
      </c>
      <c r="M37" s="106">
        <f t="shared" si="57"/>
        <v>0</v>
      </c>
      <c r="N37" s="101" t="e">
        <f t="shared" si="58"/>
        <v>#DIV/0!</v>
      </c>
      <c r="O37" s="235"/>
      <c r="P37" s="101" t="e">
        <f t="shared" si="59"/>
        <v>#DIV/0!</v>
      </c>
      <c r="Q37" s="235"/>
      <c r="R37" s="101" t="e">
        <f t="shared" si="26"/>
        <v>#DIV/0!</v>
      </c>
      <c r="S37" s="106">
        <f t="shared" si="60"/>
        <v>0</v>
      </c>
      <c r="T37" s="101" t="e">
        <f t="shared" si="61"/>
        <v>#DIV/0!</v>
      </c>
      <c r="U37" s="235"/>
      <c r="V37" s="101" t="e">
        <f t="shared" si="62"/>
        <v>#DIV/0!</v>
      </c>
      <c r="W37" s="235"/>
      <c r="X37" s="101" t="e">
        <f t="shared" si="63"/>
        <v>#DIV/0!</v>
      </c>
      <c r="Y37" s="235"/>
      <c r="Z37" s="101" t="e">
        <f t="shared" si="64"/>
        <v>#DIV/0!</v>
      </c>
      <c r="AA37" s="235"/>
      <c r="AB37" s="101" t="e">
        <f t="shared" si="32"/>
        <v>#DIV/0!</v>
      </c>
      <c r="AC37" s="106">
        <f t="shared" si="65"/>
        <v>0</v>
      </c>
      <c r="AD37" s="101" t="e">
        <f t="shared" si="66"/>
        <v>#DIV/0!</v>
      </c>
      <c r="AE37" s="235"/>
      <c r="AF37" s="101" t="e">
        <f t="shared" si="67"/>
        <v>#DIV/0!</v>
      </c>
      <c r="AG37" s="235"/>
      <c r="AH37" s="101" t="e">
        <f t="shared" si="68"/>
        <v>#DIV/0!</v>
      </c>
      <c r="AI37" s="235"/>
      <c r="AJ37" s="101" t="e">
        <f t="shared" si="69"/>
        <v>#DIV/0!</v>
      </c>
      <c r="AK37" s="235"/>
      <c r="AL37" s="101" t="e">
        <f t="shared" si="70"/>
        <v>#DIV/0!</v>
      </c>
    </row>
    <row r="38" spans="2:38" ht="14.25">
      <c r="B38" s="98"/>
      <c r="C38" s="83"/>
      <c r="D38" s="324">
        <f t="shared" ref="D38:D40" si="71">D37+1</f>
        <v>46144</v>
      </c>
      <c r="E38" s="324" t="s">
        <v>527</v>
      </c>
      <c r="F38" s="88">
        <f t="shared" si="20"/>
        <v>0</v>
      </c>
      <c r="G38" s="331"/>
      <c r="H38" s="430"/>
      <c r="I38" s="235"/>
      <c r="J38" s="101" t="e">
        <f t="shared" si="55"/>
        <v>#DIV/0!</v>
      </c>
      <c r="K38" s="235"/>
      <c r="L38" s="101" t="e">
        <f t="shared" si="56"/>
        <v>#DIV/0!</v>
      </c>
      <c r="M38" s="106">
        <f t="shared" si="57"/>
        <v>0</v>
      </c>
      <c r="N38" s="101" t="e">
        <f t="shared" si="58"/>
        <v>#DIV/0!</v>
      </c>
      <c r="O38" s="235"/>
      <c r="P38" s="101" t="e">
        <f t="shared" si="59"/>
        <v>#DIV/0!</v>
      </c>
      <c r="Q38" s="235"/>
      <c r="R38" s="101" t="e">
        <f t="shared" si="26"/>
        <v>#DIV/0!</v>
      </c>
      <c r="S38" s="106">
        <f t="shared" si="60"/>
        <v>0</v>
      </c>
      <c r="T38" s="101" t="e">
        <f t="shared" si="61"/>
        <v>#DIV/0!</v>
      </c>
      <c r="U38" s="235"/>
      <c r="V38" s="101" t="e">
        <f t="shared" si="62"/>
        <v>#DIV/0!</v>
      </c>
      <c r="W38" s="235"/>
      <c r="X38" s="101" t="e">
        <f t="shared" si="63"/>
        <v>#DIV/0!</v>
      </c>
      <c r="Y38" s="235"/>
      <c r="Z38" s="101" t="e">
        <f t="shared" si="64"/>
        <v>#DIV/0!</v>
      </c>
      <c r="AA38" s="235"/>
      <c r="AB38" s="101" t="e">
        <f t="shared" si="32"/>
        <v>#DIV/0!</v>
      </c>
      <c r="AC38" s="106">
        <f t="shared" si="65"/>
        <v>0</v>
      </c>
      <c r="AD38" s="101" t="e">
        <f t="shared" si="66"/>
        <v>#DIV/0!</v>
      </c>
      <c r="AE38" s="235"/>
      <c r="AF38" s="101" t="e">
        <f t="shared" si="67"/>
        <v>#DIV/0!</v>
      </c>
      <c r="AG38" s="235"/>
      <c r="AH38" s="101" t="e">
        <f t="shared" si="68"/>
        <v>#DIV/0!</v>
      </c>
      <c r="AI38" s="235"/>
      <c r="AJ38" s="101" t="e">
        <f t="shared" si="69"/>
        <v>#DIV/0!</v>
      </c>
      <c r="AK38" s="235"/>
      <c r="AL38" s="101" t="e">
        <f t="shared" si="70"/>
        <v>#DIV/0!</v>
      </c>
    </row>
    <row r="39" spans="2:38" s="421" customFormat="1" ht="14.25">
      <c r="B39" s="414"/>
      <c r="C39" s="415"/>
      <c r="D39" s="324">
        <f t="shared" si="71"/>
        <v>46145</v>
      </c>
      <c r="E39" s="324" t="s">
        <v>528</v>
      </c>
      <c r="F39" s="416">
        <f t="shared" si="20"/>
        <v>0</v>
      </c>
      <c r="G39" s="417"/>
      <c r="H39" s="430"/>
      <c r="I39" s="418"/>
      <c r="J39" s="419" t="e">
        <f t="shared" si="55"/>
        <v>#DIV/0!</v>
      </c>
      <c r="K39" s="418"/>
      <c r="L39" s="419" t="e">
        <f t="shared" si="56"/>
        <v>#DIV/0!</v>
      </c>
      <c r="M39" s="420">
        <f t="shared" si="57"/>
        <v>0</v>
      </c>
      <c r="N39" s="419" t="e">
        <f t="shared" si="58"/>
        <v>#DIV/0!</v>
      </c>
      <c r="O39" s="418"/>
      <c r="P39" s="419" t="e">
        <f t="shared" si="59"/>
        <v>#DIV/0!</v>
      </c>
      <c r="Q39" s="418"/>
      <c r="R39" s="419" t="e">
        <f t="shared" si="26"/>
        <v>#DIV/0!</v>
      </c>
      <c r="S39" s="420">
        <f t="shared" si="60"/>
        <v>0</v>
      </c>
      <c r="T39" s="419" t="e">
        <f t="shared" si="61"/>
        <v>#DIV/0!</v>
      </c>
      <c r="U39" s="418"/>
      <c r="V39" s="419" t="e">
        <f t="shared" si="62"/>
        <v>#DIV/0!</v>
      </c>
      <c r="W39" s="418"/>
      <c r="X39" s="419" t="e">
        <f t="shared" si="63"/>
        <v>#DIV/0!</v>
      </c>
      <c r="Y39" s="418"/>
      <c r="Z39" s="419" t="e">
        <f t="shared" si="64"/>
        <v>#DIV/0!</v>
      </c>
      <c r="AA39" s="418"/>
      <c r="AB39" s="419" t="e">
        <f t="shared" si="32"/>
        <v>#DIV/0!</v>
      </c>
      <c r="AC39" s="420">
        <f t="shared" si="65"/>
        <v>0</v>
      </c>
      <c r="AD39" s="419" t="e">
        <f t="shared" si="66"/>
        <v>#DIV/0!</v>
      </c>
      <c r="AE39" s="418"/>
      <c r="AF39" s="419" t="e">
        <f t="shared" si="67"/>
        <v>#DIV/0!</v>
      </c>
      <c r="AG39" s="418"/>
      <c r="AH39" s="419" t="e">
        <f t="shared" si="68"/>
        <v>#DIV/0!</v>
      </c>
      <c r="AI39" s="418"/>
      <c r="AJ39" s="419" t="e">
        <f t="shared" si="69"/>
        <v>#DIV/0!</v>
      </c>
      <c r="AK39" s="418"/>
      <c r="AL39" s="419" t="e">
        <f t="shared" si="70"/>
        <v>#DIV/0!</v>
      </c>
    </row>
    <row r="40" spans="2:38" ht="14.25">
      <c r="B40" s="98"/>
      <c r="C40" s="83"/>
      <c r="D40" s="324">
        <f t="shared" si="71"/>
        <v>46146</v>
      </c>
      <c r="E40" s="324" t="s">
        <v>522</v>
      </c>
      <c r="F40" s="88">
        <f t="shared" si="20"/>
        <v>0</v>
      </c>
      <c r="G40" s="331"/>
      <c r="H40" s="88"/>
      <c r="I40" s="235"/>
      <c r="J40" s="101" t="e">
        <f t="shared" si="55"/>
        <v>#DIV/0!</v>
      </c>
      <c r="K40" s="235"/>
      <c r="L40" s="101" t="e">
        <f t="shared" si="56"/>
        <v>#DIV/0!</v>
      </c>
      <c r="M40" s="106">
        <f t="shared" si="57"/>
        <v>0</v>
      </c>
      <c r="N40" s="101" t="e">
        <f t="shared" si="58"/>
        <v>#DIV/0!</v>
      </c>
      <c r="O40" s="235"/>
      <c r="P40" s="101" t="e">
        <f t="shared" si="59"/>
        <v>#DIV/0!</v>
      </c>
      <c r="Q40" s="235"/>
      <c r="R40" s="101" t="e">
        <f t="shared" si="26"/>
        <v>#DIV/0!</v>
      </c>
      <c r="S40" s="106">
        <f t="shared" si="60"/>
        <v>0</v>
      </c>
      <c r="T40" s="101" t="e">
        <f t="shared" si="61"/>
        <v>#DIV/0!</v>
      </c>
      <c r="U40" s="235"/>
      <c r="V40" s="101" t="e">
        <f t="shared" si="62"/>
        <v>#DIV/0!</v>
      </c>
      <c r="W40" s="235"/>
      <c r="X40" s="101" t="e">
        <f t="shared" si="63"/>
        <v>#DIV/0!</v>
      </c>
      <c r="Y40" s="235"/>
      <c r="Z40" s="101" t="e">
        <f t="shared" si="64"/>
        <v>#DIV/0!</v>
      </c>
      <c r="AA40" s="235"/>
      <c r="AB40" s="101" t="e">
        <f t="shared" si="32"/>
        <v>#DIV/0!</v>
      </c>
      <c r="AC40" s="106">
        <f t="shared" si="65"/>
        <v>0</v>
      </c>
      <c r="AD40" s="101" t="e">
        <f t="shared" si="66"/>
        <v>#DIV/0!</v>
      </c>
      <c r="AE40" s="235"/>
      <c r="AF40" s="101" t="e">
        <f t="shared" si="67"/>
        <v>#DIV/0!</v>
      </c>
      <c r="AG40" s="235"/>
      <c r="AH40" s="101" t="e">
        <f t="shared" si="68"/>
        <v>#DIV/0!</v>
      </c>
      <c r="AI40" s="235"/>
      <c r="AJ40" s="101" t="e">
        <f t="shared" si="69"/>
        <v>#DIV/0!</v>
      </c>
      <c r="AK40" s="235"/>
      <c r="AL40" s="101" t="e">
        <f t="shared" si="70"/>
        <v>#DIV/0!</v>
      </c>
    </row>
    <row r="41" spans="2:38" ht="14.25">
      <c r="B41" s="98"/>
      <c r="C41" s="83"/>
      <c r="D41" s="324"/>
      <c r="E41" s="494"/>
      <c r="F41" s="88">
        <f t="shared" si="20"/>
        <v>0</v>
      </c>
      <c r="G41" s="331"/>
      <c r="H41" s="88"/>
      <c r="I41" s="235"/>
      <c r="J41" s="101" t="e">
        <f t="shared" si="55"/>
        <v>#DIV/0!</v>
      </c>
      <c r="K41" s="235"/>
      <c r="L41" s="101" t="e">
        <f t="shared" si="56"/>
        <v>#DIV/0!</v>
      </c>
      <c r="M41" s="106">
        <f t="shared" si="57"/>
        <v>0</v>
      </c>
      <c r="N41" s="101" t="e">
        <f t="shared" si="58"/>
        <v>#DIV/0!</v>
      </c>
      <c r="O41" s="235"/>
      <c r="P41" s="101" t="e">
        <f t="shared" si="59"/>
        <v>#DIV/0!</v>
      </c>
      <c r="Q41" s="235"/>
      <c r="R41" s="101" t="e">
        <f t="shared" si="26"/>
        <v>#DIV/0!</v>
      </c>
      <c r="S41" s="106">
        <f t="shared" si="60"/>
        <v>0</v>
      </c>
      <c r="T41" s="101" t="e">
        <f t="shared" si="61"/>
        <v>#DIV/0!</v>
      </c>
      <c r="U41" s="235"/>
      <c r="V41" s="101" t="e">
        <f t="shared" si="62"/>
        <v>#DIV/0!</v>
      </c>
      <c r="W41" s="235"/>
      <c r="X41" s="101" t="e">
        <f t="shared" si="63"/>
        <v>#DIV/0!</v>
      </c>
      <c r="Y41" s="235"/>
      <c r="Z41" s="101" t="e">
        <f t="shared" si="64"/>
        <v>#DIV/0!</v>
      </c>
      <c r="AA41" s="235"/>
      <c r="AB41" s="101" t="e">
        <f t="shared" si="32"/>
        <v>#DIV/0!</v>
      </c>
      <c r="AC41" s="106">
        <f t="shared" si="65"/>
        <v>0</v>
      </c>
      <c r="AD41" s="101" t="e">
        <f t="shared" si="66"/>
        <v>#DIV/0!</v>
      </c>
      <c r="AE41" s="235"/>
      <c r="AF41" s="101" t="e">
        <f t="shared" si="67"/>
        <v>#DIV/0!</v>
      </c>
      <c r="AG41" s="235"/>
      <c r="AH41" s="101" t="e">
        <f t="shared" si="68"/>
        <v>#DIV/0!</v>
      </c>
      <c r="AI41" s="235"/>
      <c r="AJ41" s="101" t="e">
        <f t="shared" si="69"/>
        <v>#DIV/0!</v>
      </c>
      <c r="AK41" s="235"/>
      <c r="AL41" s="101" t="e">
        <f t="shared" si="70"/>
        <v>#DIV/0!</v>
      </c>
    </row>
    <row r="42" spans="2:38" ht="14.25">
      <c r="B42" s="98"/>
      <c r="C42" s="83"/>
      <c r="D42" s="324"/>
      <c r="E42" s="494"/>
      <c r="F42" s="88">
        <f t="shared" si="20"/>
        <v>0</v>
      </c>
      <c r="G42" s="331"/>
      <c r="H42" s="88"/>
      <c r="I42" s="235"/>
      <c r="J42" s="101" t="e">
        <f>I42/F42</f>
        <v>#DIV/0!</v>
      </c>
      <c r="K42" s="235"/>
      <c r="L42" s="101" t="e">
        <f>K42/F42</f>
        <v>#DIV/0!</v>
      </c>
      <c r="M42" s="106">
        <f>SUM(I42+K42)</f>
        <v>0</v>
      </c>
      <c r="N42" s="101" t="e">
        <f>M42/F42</f>
        <v>#DIV/0!</v>
      </c>
      <c r="O42" s="235"/>
      <c r="P42" s="101" t="e">
        <f>O42/F42</f>
        <v>#DIV/0!</v>
      </c>
      <c r="Q42" s="235"/>
      <c r="R42" s="101" t="e">
        <f t="shared" si="26"/>
        <v>#DIV/0!</v>
      </c>
      <c r="S42" s="106">
        <f t="shared" si="60"/>
        <v>0</v>
      </c>
      <c r="T42" s="101" t="e">
        <f>S42/F42</f>
        <v>#DIV/0!</v>
      </c>
      <c r="U42" s="235"/>
      <c r="V42" s="101" t="e">
        <f>U42/F42</f>
        <v>#DIV/0!</v>
      </c>
      <c r="W42" s="235"/>
      <c r="X42" s="101" t="e">
        <f>W42/F42</f>
        <v>#DIV/0!</v>
      </c>
      <c r="Y42" s="235"/>
      <c r="Z42" s="101" t="e">
        <f>Y42/F42</f>
        <v>#DIV/0!</v>
      </c>
      <c r="AA42" s="235"/>
      <c r="AB42" s="101" t="e">
        <f t="shared" si="32"/>
        <v>#DIV/0!</v>
      </c>
      <c r="AC42" s="106">
        <f>SUM(Y42+AA42)</f>
        <v>0</v>
      </c>
      <c r="AD42" s="101" t="e">
        <f>AC42/F42</f>
        <v>#DIV/0!</v>
      </c>
      <c r="AE42" s="235"/>
      <c r="AF42" s="101" t="e">
        <f>AE42/F42</f>
        <v>#DIV/0!</v>
      </c>
      <c r="AG42" s="235"/>
      <c r="AH42" s="101" t="e">
        <f>AG42/F42</f>
        <v>#DIV/0!</v>
      </c>
      <c r="AI42" s="235"/>
      <c r="AJ42" s="101" t="e">
        <f>AI42/F42</f>
        <v>#DIV/0!</v>
      </c>
      <c r="AK42" s="235"/>
      <c r="AL42" s="101" t="e">
        <f>AK42/F42</f>
        <v>#DIV/0!</v>
      </c>
    </row>
    <row r="43" spans="2:38" ht="14.25">
      <c r="B43" s="98"/>
      <c r="C43" s="83"/>
      <c r="D43" s="324"/>
      <c r="E43" s="494"/>
      <c r="F43" s="88">
        <f t="shared" ref="F43" si="72">SUM(M43,S43,U43,W43,AC43,AE43,AG43,AI43,AK43)</f>
        <v>0</v>
      </c>
      <c r="G43" s="331"/>
      <c r="H43" s="88"/>
      <c r="I43" s="235"/>
      <c r="J43" s="101" t="e">
        <f>I43/F43</f>
        <v>#DIV/0!</v>
      </c>
      <c r="K43" s="235"/>
      <c r="L43" s="101" t="e">
        <f>K43/F43</f>
        <v>#DIV/0!</v>
      </c>
      <c r="M43" s="106">
        <f>SUM(I43+K43)</f>
        <v>0</v>
      </c>
      <c r="N43" s="101" t="e">
        <f>M43/F43</f>
        <v>#DIV/0!</v>
      </c>
      <c r="O43" s="235"/>
      <c r="P43" s="101" t="e">
        <f>O43/F43</f>
        <v>#DIV/0!</v>
      </c>
      <c r="Q43" s="235"/>
      <c r="R43" s="101" t="e">
        <f t="shared" si="26"/>
        <v>#DIV/0!</v>
      </c>
      <c r="S43" s="106">
        <f t="shared" ref="S43" si="73">SUM(O43+Q43)</f>
        <v>0</v>
      </c>
      <c r="T43" s="101" t="e">
        <f>S43/F43</f>
        <v>#DIV/0!</v>
      </c>
      <c r="U43" s="235"/>
      <c r="V43" s="101" t="e">
        <f>U43/F43</f>
        <v>#DIV/0!</v>
      </c>
      <c r="W43" s="235"/>
      <c r="X43" s="101" t="e">
        <f>W43/F43</f>
        <v>#DIV/0!</v>
      </c>
      <c r="Y43" s="235"/>
      <c r="Z43" s="101" t="e">
        <f>Y43/F43</f>
        <v>#DIV/0!</v>
      </c>
      <c r="AA43" s="235"/>
      <c r="AB43" s="101" t="e">
        <f t="shared" si="32"/>
        <v>#DIV/0!</v>
      </c>
      <c r="AC43" s="106">
        <f>SUM(Y43+AA43)</f>
        <v>0</v>
      </c>
      <c r="AD43" s="101" t="e">
        <f>AC43/F43</f>
        <v>#DIV/0!</v>
      </c>
      <c r="AE43" s="235"/>
      <c r="AF43" s="101" t="e">
        <f>AE43/F43</f>
        <v>#DIV/0!</v>
      </c>
      <c r="AG43" s="235"/>
      <c r="AH43" s="101" t="e">
        <f>AG43/F43</f>
        <v>#DIV/0!</v>
      </c>
      <c r="AI43" s="235"/>
      <c r="AJ43" s="101" t="e">
        <f>AI43/F43</f>
        <v>#DIV/0!</v>
      </c>
      <c r="AK43" s="235"/>
      <c r="AL43" s="101" t="e">
        <f>AK43/F43</f>
        <v>#DIV/0!</v>
      </c>
    </row>
    <row r="44" spans="2:38" ht="14.25">
      <c r="B44" s="98"/>
      <c r="C44" s="83"/>
      <c r="D44" s="86"/>
      <c r="E44" s="86"/>
      <c r="F44" s="88">
        <f t="shared" si="20"/>
        <v>0</v>
      </c>
      <c r="G44" s="331"/>
      <c r="H44" s="88"/>
      <c r="I44" s="235"/>
      <c r="J44" s="101" t="e">
        <f>I44/F44</f>
        <v>#DIV/0!</v>
      </c>
      <c r="K44" s="235"/>
      <c r="L44" s="101" t="e">
        <f>K44/F44</f>
        <v>#DIV/0!</v>
      </c>
      <c r="M44" s="106">
        <f>SUM(I44+K44)</f>
        <v>0</v>
      </c>
      <c r="N44" s="101" t="e">
        <f>M44/F44</f>
        <v>#DIV/0!</v>
      </c>
      <c r="O44" s="235"/>
      <c r="P44" s="101" t="e">
        <f>O44/F44</f>
        <v>#DIV/0!</v>
      </c>
      <c r="Q44" s="235"/>
      <c r="R44" s="101" t="e">
        <f t="shared" si="26"/>
        <v>#DIV/0!</v>
      </c>
      <c r="S44" s="106">
        <f t="shared" si="60"/>
        <v>0</v>
      </c>
      <c r="T44" s="101" t="e">
        <f>S44/F44</f>
        <v>#DIV/0!</v>
      </c>
      <c r="U44" s="235"/>
      <c r="V44" s="101" t="e">
        <f>U44/F44</f>
        <v>#DIV/0!</v>
      </c>
      <c r="W44" s="235"/>
      <c r="X44" s="101" t="e">
        <f>W44/F44</f>
        <v>#DIV/0!</v>
      </c>
      <c r="Y44" s="235"/>
      <c r="Z44" s="101" t="e">
        <f>Y44/F44</f>
        <v>#DIV/0!</v>
      </c>
      <c r="AA44" s="235"/>
      <c r="AB44" s="101" t="e">
        <f t="shared" si="32"/>
        <v>#DIV/0!</v>
      </c>
      <c r="AC44" s="106">
        <f>SUM(Y44+AA44)</f>
        <v>0</v>
      </c>
      <c r="AD44" s="101" t="e">
        <f>AC44/F44</f>
        <v>#DIV/0!</v>
      </c>
      <c r="AE44" s="235"/>
      <c r="AF44" s="101" t="e">
        <f>AE44/F44</f>
        <v>#DIV/0!</v>
      </c>
      <c r="AG44" s="235"/>
      <c r="AH44" s="101" t="e">
        <f>AG44/F44</f>
        <v>#DIV/0!</v>
      </c>
      <c r="AI44" s="235"/>
      <c r="AJ44" s="101" t="e">
        <f>AI44/F44</f>
        <v>#DIV/0!</v>
      </c>
      <c r="AK44" s="235"/>
      <c r="AL44" s="101" t="e">
        <f>AK44/F44</f>
        <v>#DIV/0!</v>
      </c>
    </row>
    <row r="45" spans="2:38" ht="14.25">
      <c r="B45" s="98"/>
      <c r="C45" s="83"/>
      <c r="D45" s="86"/>
      <c r="E45" s="86"/>
      <c r="F45" s="88">
        <f t="shared" si="20"/>
        <v>0</v>
      </c>
      <c r="G45" s="331"/>
      <c r="H45" s="88"/>
      <c r="I45" s="235"/>
      <c r="J45" s="101" t="e">
        <f>I45/F45</f>
        <v>#DIV/0!</v>
      </c>
      <c r="K45" s="235"/>
      <c r="L45" s="101" t="e">
        <f>K45/F45</f>
        <v>#DIV/0!</v>
      </c>
      <c r="M45" s="106">
        <f>SUM(I45+K45)</f>
        <v>0</v>
      </c>
      <c r="N45" s="101" t="e">
        <f>M45/F45</f>
        <v>#DIV/0!</v>
      </c>
      <c r="O45" s="235"/>
      <c r="P45" s="101" t="e">
        <f>O45/F45</f>
        <v>#DIV/0!</v>
      </c>
      <c r="Q45" s="235"/>
      <c r="R45" s="101" t="e">
        <f t="shared" si="26"/>
        <v>#DIV/0!</v>
      </c>
      <c r="S45" s="106">
        <f t="shared" si="60"/>
        <v>0</v>
      </c>
      <c r="T45" s="101" t="e">
        <f>S45/F45</f>
        <v>#DIV/0!</v>
      </c>
      <c r="U45" s="235"/>
      <c r="V45" s="101" t="e">
        <f>U45/F45</f>
        <v>#DIV/0!</v>
      </c>
      <c r="W45" s="235"/>
      <c r="X45" s="101" t="e">
        <f>W45/F45</f>
        <v>#DIV/0!</v>
      </c>
      <c r="Y45" s="235"/>
      <c r="Z45" s="101" t="e">
        <f>Y45/F45</f>
        <v>#DIV/0!</v>
      </c>
      <c r="AA45" s="235"/>
      <c r="AB45" s="101" t="e">
        <f t="shared" si="32"/>
        <v>#DIV/0!</v>
      </c>
      <c r="AC45" s="106">
        <f>SUM(Y45+AA45)</f>
        <v>0</v>
      </c>
      <c r="AD45" s="101" t="e">
        <f>AC45/F45</f>
        <v>#DIV/0!</v>
      </c>
      <c r="AE45" s="235"/>
      <c r="AF45" s="101" t="e">
        <f>AE45/F45</f>
        <v>#DIV/0!</v>
      </c>
      <c r="AG45" s="235"/>
      <c r="AH45" s="101" t="e">
        <f>AG45/F45</f>
        <v>#DIV/0!</v>
      </c>
      <c r="AI45" s="235"/>
      <c r="AJ45" s="101" t="e">
        <f>AI45/F45</f>
        <v>#DIV/0!</v>
      </c>
      <c r="AK45" s="235"/>
      <c r="AL45" s="101" t="e">
        <f>AK45/F45</f>
        <v>#DIV/0!</v>
      </c>
    </row>
    <row r="46" spans="2:38" ht="14.25">
      <c r="B46" s="98"/>
      <c r="C46" s="83"/>
      <c r="D46" s="84"/>
      <c r="F46" s="88"/>
      <c r="G46" s="88"/>
      <c r="H46" s="88"/>
      <c r="I46" s="286">
        <f>SUM(I7:I44)</f>
        <v>866481</v>
      </c>
      <c r="J46" s="285">
        <f>I46/$H$12</f>
        <v>0.12499053354457414</v>
      </c>
      <c r="K46" s="286">
        <f>SUM(K7:K44)</f>
        <v>1192028</v>
      </c>
      <c r="L46" s="285">
        <f>K46/$H$12</f>
        <v>0.17195093224210525</v>
      </c>
      <c r="M46" s="286">
        <f>SUM(M7:M44)</f>
        <v>2058509</v>
      </c>
      <c r="N46" s="285">
        <f>M46/$H$12</f>
        <v>0.2969414657866794</v>
      </c>
      <c r="O46" s="286">
        <f>SUM(O7:O44)</f>
        <v>198202</v>
      </c>
      <c r="P46" s="285">
        <f>O46/$H$12</f>
        <v>2.8590787021990881E-2</v>
      </c>
      <c r="Q46" s="286">
        <f>SUM(Q7:Q44)</f>
        <v>65317</v>
      </c>
      <c r="R46" s="285">
        <f>Q46/$H$12</f>
        <v>9.422026195070576E-3</v>
      </c>
      <c r="S46" s="286">
        <f>SUM(S7:S44)</f>
        <v>263519</v>
      </c>
      <c r="T46" s="285">
        <f>S46/$H$12</f>
        <v>3.8012813217061459E-2</v>
      </c>
      <c r="U46" s="286">
        <f>SUM(U7:U44)</f>
        <v>835460</v>
      </c>
      <c r="V46" s="285">
        <f>U46/$H$12</f>
        <v>0.12051573104909387</v>
      </c>
      <c r="W46" s="286">
        <f>SUM(W7:W44)</f>
        <v>74195</v>
      </c>
      <c r="X46" s="285">
        <f>W46/$H$12</f>
        <v>1.0702684347769515E-2</v>
      </c>
      <c r="Y46" s="286">
        <f>SUM(Y7:Y44)</f>
        <v>709512</v>
      </c>
      <c r="Z46" s="285">
        <f>Y46/$H$12</f>
        <v>0.10234763767039079</v>
      </c>
      <c r="AA46" s="286">
        <f>SUM(AA7:AA44)</f>
        <v>593606</v>
      </c>
      <c r="AB46" s="285">
        <f>AA46/$H$12</f>
        <v>8.5628110316626066E-2</v>
      </c>
      <c r="AC46" s="286">
        <f>SUM(AC7:AC44)</f>
        <v>1303118</v>
      </c>
      <c r="AD46" s="285">
        <f>AC46/$H$12</f>
        <v>0.18797574798701686</v>
      </c>
      <c r="AE46" s="286">
        <f>SUM(AE7:AE44)</f>
        <v>684711</v>
      </c>
      <c r="AF46" s="285">
        <f>AE46/$H$12</f>
        <v>9.8770074835846253E-2</v>
      </c>
      <c r="AG46" s="286">
        <f>SUM(AG7:AG44)</f>
        <v>333107</v>
      </c>
      <c r="AH46" s="285">
        <f>AG46/$H$12</f>
        <v>4.805093436259128E-2</v>
      </c>
      <c r="AI46" s="286">
        <f>SUM(AI7:AI44)</f>
        <v>800606</v>
      </c>
      <c r="AJ46" s="285">
        <f>AI46/$H$12</f>
        <v>0.11548801543136816</v>
      </c>
      <c r="AK46" s="286">
        <f>SUM(AK7:AK44)</f>
        <v>579148</v>
      </c>
      <c r="AL46" s="285">
        <f>AK46/$H$12</f>
        <v>8.3542532982573206E-2</v>
      </c>
    </row>
    <row r="47" spans="2:38" ht="14.25">
      <c r="B47" s="98"/>
      <c r="C47" s="83"/>
      <c r="D47" s="84"/>
      <c r="F47" s="88"/>
      <c r="G47" s="88"/>
      <c r="H47" s="88"/>
      <c r="M47" s="287">
        <f>M46</f>
        <v>2058509</v>
      </c>
      <c r="S47" s="287">
        <f>S46</f>
        <v>263519</v>
      </c>
      <c r="U47" s="287">
        <f>U46</f>
        <v>835460</v>
      </c>
      <c r="W47" s="287">
        <f>W46</f>
        <v>74195</v>
      </c>
      <c r="Y47" s="287"/>
      <c r="AA47" s="287"/>
      <c r="AC47" s="287">
        <f>AC46</f>
        <v>1303118</v>
      </c>
      <c r="AE47" s="287">
        <f>AE46</f>
        <v>684711</v>
      </c>
      <c r="AG47" s="287">
        <f>AG46</f>
        <v>333107</v>
      </c>
      <c r="AI47" s="287">
        <f>AI46</f>
        <v>800606</v>
      </c>
      <c r="AK47" s="287">
        <f>AK46</f>
        <v>579148</v>
      </c>
    </row>
    <row r="48" spans="2:38" ht="14.25">
      <c r="B48" s="98"/>
      <c r="C48" s="83"/>
      <c r="D48" s="84"/>
      <c r="F48" s="88"/>
      <c r="G48" s="88"/>
      <c r="H48" s="88"/>
    </row>
    <row r="49" spans="2:8" ht="14.25">
      <c r="B49" s="98"/>
      <c r="C49" s="83"/>
      <c r="D49" s="84"/>
      <c r="F49" s="88"/>
      <c r="G49" s="88"/>
      <c r="H49" s="88"/>
    </row>
    <row r="50" spans="2:8" ht="14.25">
      <c r="B50" s="98"/>
      <c r="C50" s="83"/>
      <c r="D50" s="84"/>
    </row>
    <row r="51" spans="2:8" ht="14.25">
      <c r="B51" s="98"/>
      <c r="C51" s="83"/>
      <c r="D51" s="84"/>
    </row>
    <row r="52" spans="2:8" ht="14.25">
      <c r="B52" s="98"/>
      <c r="C52" s="83"/>
      <c r="D52" s="84"/>
    </row>
    <row r="53" spans="2:8" ht="14.25">
      <c r="B53" s="98"/>
      <c r="C53" s="83"/>
      <c r="D53" s="84"/>
    </row>
    <row r="54" spans="2:8" ht="14.25">
      <c r="B54" s="98"/>
      <c r="C54" s="83"/>
      <c r="D54" s="84"/>
    </row>
    <row r="55" spans="2:8" ht="14.25">
      <c r="B55" s="98"/>
      <c r="C55" s="83"/>
      <c r="D55" s="84"/>
    </row>
    <row r="56" spans="2:8" ht="14.25">
      <c r="B56" s="98"/>
      <c r="C56" s="83"/>
      <c r="D56" s="84"/>
    </row>
    <row r="57" spans="2:8" ht="14.25">
      <c r="B57" s="98"/>
      <c r="C57" s="83"/>
      <c r="D57" s="84"/>
    </row>
    <row r="58" spans="2:8" ht="14.25">
      <c r="B58" s="98"/>
      <c r="C58" s="83"/>
      <c r="D58" s="84"/>
    </row>
    <row r="59" spans="2:8" ht="14.25">
      <c r="B59" s="98"/>
      <c r="C59" s="83"/>
      <c r="D59" s="84"/>
    </row>
    <row r="60" spans="2:8" ht="14.25">
      <c r="B60" s="98"/>
      <c r="C60" s="83"/>
      <c r="D60" s="84"/>
    </row>
    <row r="61" spans="2:8" ht="14.25">
      <c r="B61" s="98"/>
      <c r="C61" s="83"/>
      <c r="D61" s="84"/>
    </row>
    <row r="62" spans="2:8" ht="14.25">
      <c r="B62" s="98"/>
      <c r="C62" s="83"/>
      <c r="D62" s="84"/>
    </row>
    <row r="63" spans="2:8" ht="14.25">
      <c r="B63" s="98"/>
      <c r="C63" s="83"/>
      <c r="D63" s="84"/>
    </row>
    <row r="64" spans="2:8" ht="14.25">
      <c r="B64" s="98"/>
      <c r="C64" s="83"/>
      <c r="D64" s="84"/>
    </row>
    <row r="65" spans="2:4" ht="14.25">
      <c r="B65" s="98"/>
      <c r="C65" s="83"/>
      <c r="D65" s="84"/>
    </row>
    <row r="66" spans="2:4" ht="14.25">
      <c r="B66" s="98"/>
      <c r="C66" s="83"/>
      <c r="D66" s="84"/>
    </row>
    <row r="67" spans="2:4" ht="14.25">
      <c r="B67" s="98"/>
      <c r="C67" s="83"/>
      <c r="D67" s="84"/>
    </row>
    <row r="68" spans="2:4" ht="14.25">
      <c r="B68" s="98"/>
      <c r="C68" s="83"/>
      <c r="D68" s="84"/>
    </row>
    <row r="69" spans="2:4" ht="14.25">
      <c r="B69" s="98"/>
      <c r="C69" s="83"/>
      <c r="D69" s="84"/>
    </row>
    <row r="70" spans="2:4" ht="14.25">
      <c r="B70" s="98"/>
      <c r="C70" s="83"/>
      <c r="D70" s="84"/>
    </row>
    <row r="71" spans="2:4" ht="14.25">
      <c r="B71" s="98"/>
      <c r="C71" s="83"/>
      <c r="D71" s="84"/>
    </row>
    <row r="72" spans="2:4" ht="14.25">
      <c r="B72" s="98"/>
      <c r="C72" s="83"/>
      <c r="D72" s="84"/>
    </row>
    <row r="73" spans="2:4" ht="14.25">
      <c r="B73" s="98"/>
      <c r="C73" s="83"/>
      <c r="D73" s="84"/>
    </row>
    <row r="74" spans="2:4" ht="14.25">
      <c r="B74" s="98"/>
      <c r="C74" s="83"/>
      <c r="D74" s="84"/>
    </row>
    <row r="75" spans="2:4" ht="14.25">
      <c r="B75" s="98"/>
      <c r="C75" s="83"/>
      <c r="D75" s="84"/>
    </row>
    <row r="76" spans="2:4" ht="14.25">
      <c r="B76" s="98"/>
      <c r="C76" s="83"/>
      <c r="D76" s="84"/>
    </row>
    <row r="77" spans="2:4" ht="14.25">
      <c r="B77" s="98"/>
      <c r="C77" s="83"/>
      <c r="D77" s="84"/>
    </row>
    <row r="78" spans="2:4" ht="14.25">
      <c r="B78" s="98"/>
      <c r="C78" s="83"/>
      <c r="D78" s="84"/>
    </row>
    <row r="79" spans="2:4" ht="14.25">
      <c r="B79" s="98"/>
      <c r="C79" s="83"/>
      <c r="D79" s="84"/>
    </row>
    <row r="80" spans="2:4" ht="14.25">
      <c r="B80" s="98"/>
      <c r="C80" s="83"/>
      <c r="D80" s="84"/>
    </row>
    <row r="81" spans="2:4" ht="14.25">
      <c r="B81" s="98"/>
      <c r="C81" s="83"/>
      <c r="D81" s="84"/>
    </row>
    <row r="82" spans="2:4" ht="14.25">
      <c r="B82" s="98"/>
      <c r="C82" s="83"/>
      <c r="D82" s="84"/>
    </row>
    <row r="83" spans="2:4" ht="14.25">
      <c r="B83" s="98"/>
      <c r="C83" s="83"/>
      <c r="D83" s="84"/>
    </row>
    <row r="84" spans="2:4" ht="14.25">
      <c r="B84" s="98"/>
      <c r="C84" s="83"/>
      <c r="D84" s="84"/>
    </row>
    <row r="85" spans="2:4" ht="14.25">
      <c r="B85" s="98"/>
      <c r="C85" s="83"/>
      <c r="D85" s="84"/>
    </row>
    <row r="86" spans="2:4" ht="14.25">
      <c r="B86" s="98"/>
      <c r="C86" s="83"/>
      <c r="D86" s="84"/>
    </row>
    <row r="87" spans="2:4" ht="14.25">
      <c r="B87" s="98"/>
      <c r="C87" s="83"/>
      <c r="D87" s="84"/>
    </row>
    <row r="88" spans="2:4" ht="14.25">
      <c r="B88" s="98"/>
      <c r="C88" s="83"/>
      <c r="D88" s="84"/>
    </row>
    <row r="89" spans="2:4" ht="14.25">
      <c r="B89" s="98"/>
      <c r="C89" s="83"/>
      <c r="D89" s="84"/>
    </row>
    <row r="90" spans="2:4" ht="14.25">
      <c r="B90" s="98"/>
      <c r="C90" s="83"/>
      <c r="D90" s="84"/>
    </row>
    <row r="91" spans="2:4" ht="14.25">
      <c r="B91" s="98"/>
      <c r="C91" s="83"/>
      <c r="D91" s="84"/>
    </row>
    <row r="92" spans="2:4" ht="14.25">
      <c r="B92" s="98"/>
      <c r="C92" s="83"/>
      <c r="D92" s="84"/>
    </row>
    <row r="93" spans="2:4" ht="14.25">
      <c r="B93" s="98"/>
      <c r="C93" s="83"/>
      <c r="D93" s="84"/>
    </row>
    <row r="94" spans="2:4" ht="14.25">
      <c r="B94" s="98"/>
      <c r="C94" s="83"/>
      <c r="D94" s="84"/>
    </row>
    <row r="95" spans="2:4" ht="14.25">
      <c r="B95" s="98"/>
      <c r="C95" s="83"/>
      <c r="D95" s="84"/>
    </row>
    <row r="96" spans="2:4" ht="14.25">
      <c r="B96" s="98"/>
      <c r="C96" s="83"/>
      <c r="D96" s="84"/>
    </row>
    <row r="97" spans="2:4" ht="14.25">
      <c r="B97" s="98"/>
      <c r="C97" s="83"/>
      <c r="D97" s="84"/>
    </row>
    <row r="98" spans="2:4" ht="14.25">
      <c r="B98" s="98"/>
      <c r="C98" s="83"/>
      <c r="D98" s="84"/>
    </row>
    <row r="99" spans="2:4" ht="14.25">
      <c r="B99" s="98"/>
      <c r="C99" s="83"/>
      <c r="D99" s="84"/>
    </row>
    <row r="100" spans="2:4" ht="14.25">
      <c r="B100" s="98"/>
      <c r="C100" s="83"/>
      <c r="D100" s="84"/>
    </row>
    <row r="101" spans="2:4" ht="14.25">
      <c r="B101" s="98"/>
      <c r="C101" s="83"/>
      <c r="D101" s="84"/>
    </row>
    <row r="102" spans="2:4" ht="14.25">
      <c r="B102" s="98"/>
      <c r="C102" s="83"/>
      <c r="D102" s="84"/>
    </row>
  </sheetData>
  <mergeCells count="32">
    <mergeCell ref="B2:AL2"/>
    <mergeCell ref="AK5:AL5"/>
    <mergeCell ref="U4:V4"/>
    <mergeCell ref="U5:V5"/>
    <mergeCell ref="W5:X5"/>
    <mergeCell ref="W4:X4"/>
    <mergeCell ref="Y5:Z5"/>
    <mergeCell ref="AC5:AD5"/>
    <mergeCell ref="AE4:AF4"/>
    <mergeCell ref="AE5:AF5"/>
    <mergeCell ref="AG5:AH5"/>
    <mergeCell ref="AG4:AH4"/>
    <mergeCell ref="Y4:AD4"/>
    <mergeCell ref="I4:N4"/>
    <mergeCell ref="AK4:AL4"/>
    <mergeCell ref="Q5:R5"/>
    <mergeCell ref="C3:C6"/>
    <mergeCell ref="G5:G6"/>
    <mergeCell ref="H5:H6"/>
    <mergeCell ref="I3:AL3"/>
    <mergeCell ref="D3:E6"/>
    <mergeCell ref="O4:T4"/>
    <mergeCell ref="O5:P5"/>
    <mergeCell ref="I5:J5"/>
    <mergeCell ref="AI4:AJ4"/>
    <mergeCell ref="AI5:AJ5"/>
    <mergeCell ref="F3:H4"/>
    <mergeCell ref="AA5:AB5"/>
    <mergeCell ref="K5:L5"/>
    <mergeCell ref="S5:T5"/>
    <mergeCell ref="F5:F6"/>
    <mergeCell ref="M5:N5"/>
  </mergeCells>
  <phoneticPr fontId="1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A262"/>
  <sheetViews>
    <sheetView topLeftCell="A58" zoomScale="40" zoomScaleNormal="40" workbookViewId="0">
      <pane xSplit="15" topLeftCell="P1" activePane="topRight" state="frozen"/>
      <selection activeCell="P2" sqref="P2:AN2"/>
      <selection pane="topRight" activeCell="AT112" sqref="AT112:AV135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51" width="8.85546875" style="108"/>
    <col min="52" max="52" width="5.42578125" style="108" customWidth="1"/>
    <col min="53" max="53" width="13.140625" style="108" customWidth="1"/>
    <col min="54" max="16384" width="8.85546875" style="108"/>
  </cols>
  <sheetData>
    <row r="1" spans="1:53" ht="24">
      <c r="A1" s="75"/>
      <c r="B1" s="221" t="s">
        <v>333</v>
      </c>
      <c r="C1" s="220">
        <f>AVERAGE(L7,L42,L77,L112,L147,L182)</f>
        <v>760.65674171357432</v>
      </c>
    </row>
    <row r="2" spans="1:53" ht="15.75">
      <c r="A2" s="81"/>
      <c r="B2" s="633" t="s">
        <v>163</v>
      </c>
      <c r="C2" s="633"/>
      <c r="D2" s="633"/>
      <c r="E2" s="633"/>
      <c r="F2" s="633"/>
      <c r="G2" s="633"/>
      <c r="H2" s="633"/>
      <c r="I2" s="306"/>
      <c r="J2" s="306"/>
      <c r="K2" s="306"/>
      <c r="L2" s="306"/>
      <c r="M2" s="197"/>
      <c r="N2" s="606" t="s">
        <v>156</v>
      </c>
      <c r="O2" s="606" t="s">
        <v>155</v>
      </c>
      <c r="P2" s="645">
        <v>46112</v>
      </c>
      <c r="Q2" s="646"/>
      <c r="R2" s="646"/>
      <c r="S2" s="646"/>
      <c r="T2" s="647"/>
      <c r="U2" s="632">
        <f>P2+1</f>
        <v>46113</v>
      </c>
      <c r="V2" s="610"/>
      <c r="W2" s="610"/>
      <c r="X2" s="610"/>
      <c r="Y2" s="610"/>
      <c r="Z2" s="632">
        <f>U2+1</f>
        <v>46114</v>
      </c>
      <c r="AA2" s="610"/>
      <c r="AB2" s="610"/>
      <c r="AC2" s="610"/>
      <c r="AD2" s="610"/>
      <c r="AE2" s="632">
        <f>Z2+1</f>
        <v>46115</v>
      </c>
      <c r="AF2" s="610"/>
      <c r="AG2" s="610"/>
      <c r="AH2" s="610"/>
      <c r="AI2" s="610"/>
      <c r="AJ2" s="632">
        <f>AE2+1</f>
        <v>46116</v>
      </c>
      <c r="AK2" s="610"/>
      <c r="AL2" s="610"/>
      <c r="AM2" s="610"/>
      <c r="AN2" s="610"/>
      <c r="AO2" s="632">
        <f>AJ2+1</f>
        <v>46117</v>
      </c>
      <c r="AP2" s="610"/>
      <c r="AQ2" s="610"/>
      <c r="AR2" s="610"/>
      <c r="AS2" s="610"/>
      <c r="AT2" s="629">
        <f>AO2+1</f>
        <v>46118</v>
      </c>
      <c r="AU2" s="630"/>
      <c r="AV2" s="630"/>
      <c r="AW2" s="630"/>
      <c r="AX2" s="631"/>
    </row>
    <row r="3" spans="1:53" ht="15.75">
      <c r="A3" s="81"/>
      <c r="B3" s="641"/>
      <c r="C3" s="641"/>
      <c r="D3" s="641"/>
      <c r="E3" s="641"/>
      <c r="F3" s="641"/>
      <c r="G3" s="641"/>
      <c r="H3" s="641"/>
      <c r="I3" s="307"/>
      <c r="J3" s="307"/>
      <c r="K3" s="307"/>
      <c r="L3" s="307"/>
      <c r="M3" s="198"/>
      <c r="N3" s="608"/>
      <c r="O3" s="608"/>
      <c r="P3" s="632" t="s">
        <v>158</v>
      </c>
      <c r="Q3" s="610"/>
      <c r="R3" s="610"/>
      <c r="S3" s="610"/>
      <c r="T3" s="610"/>
      <c r="U3" s="632" t="s">
        <v>114</v>
      </c>
      <c r="V3" s="610"/>
      <c r="W3" s="610"/>
      <c r="X3" s="610"/>
      <c r="Y3" s="610"/>
      <c r="Z3" s="632" t="s">
        <v>159</v>
      </c>
      <c r="AA3" s="610"/>
      <c r="AB3" s="610"/>
      <c r="AC3" s="610"/>
      <c r="AD3" s="610"/>
      <c r="AE3" s="632" t="s">
        <v>157</v>
      </c>
      <c r="AF3" s="610"/>
      <c r="AG3" s="610"/>
      <c r="AH3" s="610"/>
      <c r="AI3" s="610"/>
      <c r="AJ3" s="632" t="s">
        <v>160</v>
      </c>
      <c r="AK3" s="610"/>
      <c r="AL3" s="610"/>
      <c r="AM3" s="610"/>
      <c r="AN3" s="610"/>
      <c r="AO3" s="632" t="s">
        <v>115</v>
      </c>
      <c r="AP3" s="610"/>
      <c r="AQ3" s="610"/>
      <c r="AR3" s="610"/>
      <c r="AS3" s="610"/>
      <c r="AT3" s="632" t="s">
        <v>162</v>
      </c>
      <c r="AU3" s="610"/>
      <c r="AV3" s="610"/>
      <c r="AW3" s="610"/>
      <c r="AX3" s="610"/>
    </row>
    <row r="4" spans="1:53" ht="14.25">
      <c r="A4" s="81"/>
      <c r="B4" s="604" t="s">
        <v>398</v>
      </c>
      <c r="C4" s="604" t="s">
        <v>408</v>
      </c>
      <c r="D4" s="604"/>
      <c r="E4" s="604" t="s">
        <v>399</v>
      </c>
      <c r="F4" s="604"/>
      <c r="G4" s="604"/>
      <c r="H4" s="637" t="s">
        <v>395</v>
      </c>
      <c r="I4" s="656" t="s">
        <v>427</v>
      </c>
      <c r="J4" s="656"/>
      <c r="K4" s="656"/>
      <c r="L4" s="657" t="s">
        <v>395</v>
      </c>
      <c r="M4" s="642" t="s">
        <v>428</v>
      </c>
      <c r="N4" s="604"/>
      <c r="O4" s="604" t="s">
        <v>401</v>
      </c>
      <c r="P4" s="623" t="s">
        <v>397</v>
      </c>
      <c r="Q4" s="624"/>
      <c r="R4" s="624"/>
      <c r="S4" s="625"/>
      <c r="T4" s="604" t="s">
        <v>395</v>
      </c>
      <c r="U4" s="623" t="s">
        <v>397</v>
      </c>
      <c r="V4" s="624"/>
      <c r="W4" s="624"/>
      <c r="X4" s="625"/>
      <c r="Y4" s="604" t="s">
        <v>395</v>
      </c>
      <c r="Z4" s="623" t="s">
        <v>397</v>
      </c>
      <c r="AA4" s="624"/>
      <c r="AB4" s="624"/>
      <c r="AC4" s="625"/>
      <c r="AD4" s="604" t="s">
        <v>395</v>
      </c>
      <c r="AE4" s="623" t="s">
        <v>397</v>
      </c>
      <c r="AF4" s="624"/>
      <c r="AG4" s="624"/>
      <c r="AH4" s="625"/>
      <c r="AI4" s="604" t="s">
        <v>395</v>
      </c>
      <c r="AJ4" s="623" t="s">
        <v>397</v>
      </c>
      <c r="AK4" s="624"/>
      <c r="AL4" s="624"/>
      <c r="AM4" s="625"/>
      <c r="AN4" s="604" t="s">
        <v>395</v>
      </c>
      <c r="AO4" s="623" t="s">
        <v>397</v>
      </c>
      <c r="AP4" s="624"/>
      <c r="AQ4" s="624"/>
      <c r="AR4" s="625"/>
      <c r="AS4" s="604" t="s">
        <v>395</v>
      </c>
      <c r="AT4" s="623" t="s">
        <v>397</v>
      </c>
      <c r="AU4" s="624"/>
      <c r="AV4" s="624"/>
      <c r="AW4" s="625"/>
      <c r="AX4" s="604" t="s">
        <v>395</v>
      </c>
      <c r="BA4" s="604" t="s">
        <v>395</v>
      </c>
    </row>
    <row r="5" spans="1:53" ht="14.25">
      <c r="A5" s="81"/>
      <c r="B5" s="604"/>
      <c r="C5" s="604"/>
      <c r="D5" s="604"/>
      <c r="E5" s="604" t="s">
        <v>431</v>
      </c>
      <c r="F5" s="604"/>
      <c r="G5" s="604"/>
      <c r="H5" s="638"/>
      <c r="I5" s="656" t="s">
        <v>431</v>
      </c>
      <c r="J5" s="656"/>
      <c r="K5" s="656"/>
      <c r="L5" s="658"/>
      <c r="M5" s="643"/>
      <c r="N5" s="604"/>
      <c r="O5" s="604"/>
      <c r="P5" s="623" t="s">
        <v>403</v>
      </c>
      <c r="Q5" s="624"/>
      <c r="R5" s="624"/>
      <c r="S5" s="625"/>
      <c r="T5" s="604"/>
      <c r="U5" s="623" t="s">
        <v>403</v>
      </c>
      <c r="V5" s="624"/>
      <c r="W5" s="624"/>
      <c r="X5" s="625"/>
      <c r="Y5" s="604"/>
      <c r="Z5" s="623" t="s">
        <v>403</v>
      </c>
      <c r="AA5" s="624"/>
      <c r="AB5" s="624"/>
      <c r="AC5" s="625"/>
      <c r="AD5" s="604"/>
      <c r="AE5" s="623" t="s">
        <v>403</v>
      </c>
      <c r="AF5" s="624"/>
      <c r="AG5" s="624"/>
      <c r="AH5" s="625"/>
      <c r="AI5" s="604"/>
      <c r="AJ5" s="623" t="s">
        <v>403</v>
      </c>
      <c r="AK5" s="624"/>
      <c r="AL5" s="624"/>
      <c r="AM5" s="625"/>
      <c r="AN5" s="604"/>
      <c r="AO5" s="623" t="s">
        <v>403</v>
      </c>
      <c r="AP5" s="624"/>
      <c r="AQ5" s="624"/>
      <c r="AR5" s="625"/>
      <c r="AS5" s="604"/>
      <c r="AT5" s="623" t="s">
        <v>403</v>
      </c>
      <c r="AU5" s="624"/>
      <c r="AV5" s="624"/>
      <c r="AW5" s="625"/>
      <c r="AX5" s="604"/>
      <c r="BA5" s="604"/>
    </row>
    <row r="6" spans="1:53" ht="14.25">
      <c r="A6" s="79"/>
      <c r="B6" s="604"/>
      <c r="C6" s="604"/>
      <c r="D6" s="604"/>
      <c r="E6" s="491" t="s">
        <v>433</v>
      </c>
      <c r="F6" s="491" t="s">
        <v>405</v>
      </c>
      <c r="G6" s="491" t="s">
        <v>406</v>
      </c>
      <c r="H6" s="639"/>
      <c r="I6" s="492" t="s">
        <v>433</v>
      </c>
      <c r="J6" s="492" t="s">
        <v>405</v>
      </c>
      <c r="K6" s="492" t="s">
        <v>406</v>
      </c>
      <c r="L6" s="659"/>
      <c r="M6" s="644"/>
      <c r="N6" s="604"/>
      <c r="O6" s="604"/>
      <c r="P6" s="491" t="s">
        <v>433</v>
      </c>
      <c r="Q6" s="491" t="s">
        <v>405</v>
      </c>
      <c r="R6" s="491" t="s">
        <v>406</v>
      </c>
      <c r="S6" s="491" t="s">
        <v>428</v>
      </c>
      <c r="T6" s="604"/>
      <c r="U6" s="491" t="s">
        <v>433</v>
      </c>
      <c r="V6" s="491" t="s">
        <v>405</v>
      </c>
      <c r="W6" s="491" t="s">
        <v>406</v>
      </c>
      <c r="X6" s="491" t="s">
        <v>428</v>
      </c>
      <c r="Y6" s="604"/>
      <c r="Z6" s="491" t="s">
        <v>433</v>
      </c>
      <c r="AA6" s="491" t="s">
        <v>405</v>
      </c>
      <c r="AB6" s="491" t="s">
        <v>406</v>
      </c>
      <c r="AC6" s="491" t="s">
        <v>428</v>
      </c>
      <c r="AD6" s="604"/>
      <c r="AE6" s="491" t="s">
        <v>433</v>
      </c>
      <c r="AF6" s="491" t="s">
        <v>405</v>
      </c>
      <c r="AG6" s="491" t="s">
        <v>406</v>
      </c>
      <c r="AH6" s="491" t="s">
        <v>428</v>
      </c>
      <c r="AI6" s="604"/>
      <c r="AJ6" s="491" t="s">
        <v>433</v>
      </c>
      <c r="AK6" s="491" t="s">
        <v>405</v>
      </c>
      <c r="AL6" s="491" t="s">
        <v>406</v>
      </c>
      <c r="AM6" s="491" t="s">
        <v>428</v>
      </c>
      <c r="AN6" s="604"/>
      <c r="AO6" s="491" t="s">
        <v>433</v>
      </c>
      <c r="AP6" s="491" t="s">
        <v>405</v>
      </c>
      <c r="AQ6" s="491" t="s">
        <v>406</v>
      </c>
      <c r="AR6" s="491" t="s">
        <v>428</v>
      </c>
      <c r="AS6" s="604"/>
      <c r="AT6" s="491" t="s">
        <v>433</v>
      </c>
      <c r="AU6" s="491" t="s">
        <v>405</v>
      </c>
      <c r="AV6" s="491" t="s">
        <v>406</v>
      </c>
      <c r="AW6" s="491" t="s">
        <v>428</v>
      </c>
      <c r="AX6" s="604"/>
      <c r="AZ6" s="527" t="s">
        <v>396</v>
      </c>
      <c r="BA6" s="604"/>
    </row>
    <row r="7" spans="1:53" ht="14.25">
      <c r="A7" s="81"/>
      <c r="B7" s="610" t="s">
        <v>150</v>
      </c>
      <c r="C7" s="488">
        <v>1</v>
      </c>
      <c r="D7" s="502" t="s">
        <v>358</v>
      </c>
      <c r="E7" s="502">
        <v>3</v>
      </c>
      <c r="F7" s="502">
        <v>3200</v>
      </c>
      <c r="G7" s="182">
        <v>1066.6666666666667</v>
      </c>
      <c r="H7" s="599">
        <f>AVERAGE(G7:G36)</f>
        <v>716.09848484848487</v>
      </c>
      <c r="I7" s="490">
        <f>IFERROR(AVERAGE(P7,U7,Z7,AE7,AJ7,AO7,AT7),"-")</f>
        <v>3</v>
      </c>
      <c r="J7" s="490">
        <f>IFERROR(AVERAGE(Q7,V7,AA7,AF7,AK7,AP7,AU7),"-")</f>
        <v>3225.2761582060079</v>
      </c>
      <c r="K7" s="200">
        <f>IFERROR(AVERAGE(R7,W7,AB7,AG7,AL7,AQ7,AV7),"-")</f>
        <v>1075.092052735336</v>
      </c>
      <c r="L7" s="620">
        <f>IFERROR(AVERAGE(K7:K36),"-")</f>
        <v>745.73597135820273</v>
      </c>
      <c r="M7" s="490">
        <f>RANK(K7, K$7:$K$36)</f>
        <v>3</v>
      </c>
      <c r="N7" s="604"/>
      <c r="O7" s="604"/>
      <c r="P7" s="182">
        <v>3</v>
      </c>
      <c r="Q7" s="182">
        <v>3212.0689655172391</v>
      </c>
      <c r="R7" s="182">
        <v>1070.689655172413</v>
      </c>
      <c r="S7" s="488">
        <f>RANK(R7, R$7:R$36)</f>
        <v>1</v>
      </c>
      <c r="T7" s="605">
        <f>AVERAGE(R7:R36)</f>
        <v>732.33803664053391</v>
      </c>
      <c r="U7" s="182">
        <v>3</v>
      </c>
      <c r="V7" s="182">
        <v>3324.0000000000009</v>
      </c>
      <c r="W7" s="182">
        <v>1108.0000000000002</v>
      </c>
      <c r="X7" s="488">
        <f>RANK(W7, W$7:W$36)</f>
        <v>3</v>
      </c>
      <c r="Y7" s="605">
        <f>AVERAGE(W7:W36)</f>
        <v>766.90536984143444</v>
      </c>
      <c r="Z7" s="182">
        <v>3</v>
      </c>
      <c r="AA7" s="182">
        <v>3187.8260869565161</v>
      </c>
      <c r="AB7" s="182">
        <v>1062.6086956521719</v>
      </c>
      <c r="AC7" s="488">
        <f>RANK(AB7, AB$7:AB$36)</f>
        <v>3</v>
      </c>
      <c r="AD7" s="605">
        <f>AVERAGE(AB7:AB36)</f>
        <v>735.97777497051163</v>
      </c>
      <c r="AE7" s="182">
        <v>3</v>
      </c>
      <c r="AF7" s="182">
        <v>3210.666666666667</v>
      </c>
      <c r="AG7" s="182">
        <v>1070.2222222222224</v>
      </c>
      <c r="AH7" s="488">
        <f>RANK(AG7, AG$7:AG$36)</f>
        <v>5</v>
      </c>
      <c r="AI7" s="605">
        <f>AVERAGE(AG7:AG36)</f>
        <v>750.52757486944768</v>
      </c>
      <c r="AJ7" s="182">
        <v>3</v>
      </c>
      <c r="AK7" s="182">
        <v>3277.6744186046508</v>
      </c>
      <c r="AL7" s="182">
        <v>1092.5581395348836</v>
      </c>
      <c r="AM7" s="488">
        <f>RANK(AL7, AL$7:AL$36)</f>
        <v>2</v>
      </c>
      <c r="AN7" s="605">
        <f>AVERAGE(AL7:AL36)</f>
        <v>756.05684711165475</v>
      </c>
      <c r="AO7" s="182">
        <v>3</v>
      </c>
      <c r="AP7" s="182">
        <v>3211.3636363636419</v>
      </c>
      <c r="AQ7" s="182">
        <v>1070.4545454545473</v>
      </c>
      <c r="AR7" s="488">
        <f>RANK(AQ7, AQ$7:AQ$36)</f>
        <v>5</v>
      </c>
      <c r="AS7" s="605">
        <f>AVERAGE(AQ7:AQ36)</f>
        <v>751.12441341710439</v>
      </c>
      <c r="AT7" s="182">
        <v>3</v>
      </c>
      <c r="AU7" s="182">
        <v>3153.3333333333399</v>
      </c>
      <c r="AV7" s="182">
        <v>1051.1111111111134</v>
      </c>
      <c r="AW7" s="488">
        <f>RANK(AV7, AV$7:AV$36)</f>
        <v>5</v>
      </c>
      <c r="AX7" s="605">
        <f>AVERAGE(AV7:AV36)</f>
        <v>728.43642536827736</v>
      </c>
      <c r="AZ7" s="526" t="e">
        <f>RANK(AY7, AY$7:AY$36)</f>
        <v>#N/A</v>
      </c>
      <c r="BA7" s="605" t="e">
        <f>AVERAGE(AY7:AY36)</f>
        <v>#DIV/0!</v>
      </c>
    </row>
    <row r="8" spans="1:53" ht="15" customHeight="1">
      <c r="A8" s="81"/>
      <c r="B8" s="610"/>
      <c r="C8" s="488">
        <v>2</v>
      </c>
      <c r="D8" s="504" t="s">
        <v>359</v>
      </c>
      <c r="E8" s="502">
        <v>3</v>
      </c>
      <c r="F8" s="502">
        <v>3200</v>
      </c>
      <c r="G8" s="182">
        <v>1066.6666666666667</v>
      </c>
      <c r="H8" s="600"/>
      <c r="I8" s="513">
        <f t="shared" ref="I8:I36" si="0">IFERROR(AVERAGE(P8,U8,Z8,AE8,AJ8,AO8,AT8),"-")</f>
        <v>3</v>
      </c>
      <c r="J8" s="513">
        <f t="shared" ref="J8:J36" si="1">IFERROR(AVERAGE(Q8,V8,AA8,AF8,AK8,AP8,AU8),"-")</f>
        <v>3258.1715609320649</v>
      </c>
      <c r="K8" s="200">
        <f t="shared" ref="K8:K36" si="2">IFERROR(AVERAGE(R8,W8,AB8,AG8,AL8,AQ8,AV8),"-")</f>
        <v>1086.0571869773551</v>
      </c>
      <c r="L8" s="621"/>
      <c r="M8" s="513">
        <f>RANK(K8, K$7:$K$36)</f>
        <v>1</v>
      </c>
      <c r="N8" s="604"/>
      <c r="O8" s="604"/>
      <c r="P8" s="182">
        <v>3</v>
      </c>
      <c r="Q8" s="182">
        <v>3066.6666666666501</v>
      </c>
      <c r="R8" s="182">
        <v>1022.2222222222167</v>
      </c>
      <c r="S8" s="488">
        <f t="shared" ref="S8:S36" si="3">RANK(R8, R$7:R$36)</f>
        <v>6</v>
      </c>
      <c r="T8" s="605"/>
      <c r="U8" s="182">
        <v>3</v>
      </c>
      <c r="V8" s="182">
        <v>3367.4999999999955</v>
      </c>
      <c r="W8" s="182">
        <v>1122.4999999999984</v>
      </c>
      <c r="X8" s="488">
        <f t="shared" ref="X8:X36" si="4">RANK(W8, W$7:W$36)</f>
        <v>2</v>
      </c>
      <c r="Y8" s="605"/>
      <c r="Z8" s="182">
        <v>3</v>
      </c>
      <c r="AA8" s="182">
        <v>3184.0000000000114</v>
      </c>
      <c r="AB8" s="182">
        <v>1061.3333333333371</v>
      </c>
      <c r="AC8" s="488">
        <f t="shared" ref="AC8:AC36" si="5">RANK(AB8, AB$7:AB$36)</f>
        <v>4</v>
      </c>
      <c r="AD8" s="605"/>
      <c r="AE8" s="182">
        <v>3</v>
      </c>
      <c r="AF8" s="182">
        <v>3377.1428571428692</v>
      </c>
      <c r="AG8" s="182">
        <v>1125.7142857142896</v>
      </c>
      <c r="AH8" s="488">
        <f t="shared" ref="AH8:AH36" si="6">RANK(AG8, AG$7:AG$36)</f>
        <v>1</v>
      </c>
      <c r="AI8" s="605"/>
      <c r="AJ8" s="182">
        <v>3</v>
      </c>
      <c r="AK8" s="182">
        <v>3341.5384615384528</v>
      </c>
      <c r="AL8" s="182">
        <v>1113.8461538461509</v>
      </c>
      <c r="AM8" s="488">
        <f t="shared" ref="AM8:AM36" si="7">RANK(AL8, AL$7:AL$36)</f>
        <v>1</v>
      </c>
      <c r="AN8" s="605"/>
      <c r="AO8" s="182">
        <v>3</v>
      </c>
      <c r="AP8" s="182">
        <v>3308.0000000000118</v>
      </c>
      <c r="AQ8" s="182">
        <v>1102.6666666666706</v>
      </c>
      <c r="AR8" s="488">
        <f t="shared" ref="AR8:AR36" si="8">RANK(AQ8, AQ$7:AQ$36)</f>
        <v>2</v>
      </c>
      <c r="AS8" s="605"/>
      <c r="AT8" s="182">
        <v>3</v>
      </c>
      <c r="AU8" s="182">
        <v>3162.3529411764666</v>
      </c>
      <c r="AV8" s="182">
        <v>1054.1176470588223</v>
      </c>
      <c r="AW8" s="488">
        <f t="shared" ref="AW8:AW36" si="9">RANK(AV8, AV$7:AV$36)</f>
        <v>3</v>
      </c>
      <c r="AX8" s="605"/>
      <c r="AZ8" s="526" t="e">
        <f t="shared" ref="AZ8:AZ36" si="10">RANK(AY8, AY$7:AY$36)</f>
        <v>#N/A</v>
      </c>
      <c r="BA8" s="605"/>
    </row>
    <row r="9" spans="1:53" ht="14.25">
      <c r="A9" s="81"/>
      <c r="B9" s="610"/>
      <c r="C9" s="488">
        <v>3</v>
      </c>
      <c r="D9" s="502" t="s">
        <v>348</v>
      </c>
      <c r="E9" s="502">
        <v>4</v>
      </c>
      <c r="F9" s="502">
        <v>3200</v>
      </c>
      <c r="G9" s="182">
        <v>800</v>
      </c>
      <c r="H9" s="600"/>
      <c r="I9" s="513">
        <f t="shared" si="0"/>
        <v>4</v>
      </c>
      <c r="J9" s="513">
        <f t="shared" si="1"/>
        <v>3213.2360365198788</v>
      </c>
      <c r="K9" s="200">
        <f t="shared" si="2"/>
        <v>803.3090091299697</v>
      </c>
      <c r="L9" s="621"/>
      <c r="M9" s="513">
        <f>RANK(K9, K$7:$K$36)</f>
        <v>11</v>
      </c>
      <c r="N9" s="604"/>
      <c r="O9" s="604"/>
      <c r="P9" s="182">
        <v>4</v>
      </c>
      <c r="Q9" s="182">
        <v>3195.7894736842222</v>
      </c>
      <c r="R9" s="182">
        <v>798.94736842105556</v>
      </c>
      <c r="S9" s="488">
        <f t="shared" si="3"/>
        <v>8</v>
      </c>
      <c r="T9" s="605"/>
      <c r="U9" s="182">
        <v>4</v>
      </c>
      <c r="V9" s="182">
        <v>3289.9999999999977</v>
      </c>
      <c r="W9" s="182">
        <v>822.49999999999943</v>
      </c>
      <c r="X9" s="488">
        <f t="shared" si="4"/>
        <v>10</v>
      </c>
      <c r="Y9" s="605"/>
      <c r="Z9" s="182">
        <v>4</v>
      </c>
      <c r="AA9" s="182">
        <v>3063.7500000000109</v>
      </c>
      <c r="AB9" s="182">
        <v>765.93750000000273</v>
      </c>
      <c r="AC9" s="488">
        <f t="shared" si="5"/>
        <v>12</v>
      </c>
      <c r="AD9" s="605"/>
      <c r="AE9" s="182">
        <v>4</v>
      </c>
      <c r="AF9" s="182">
        <v>3292.0000000000114</v>
      </c>
      <c r="AG9" s="182">
        <v>823.00000000000284</v>
      </c>
      <c r="AH9" s="488">
        <f t="shared" si="6"/>
        <v>9</v>
      </c>
      <c r="AI9" s="605"/>
      <c r="AJ9" s="182">
        <v>4</v>
      </c>
      <c r="AK9" s="182">
        <v>3321.4285714285834</v>
      </c>
      <c r="AL9" s="182">
        <v>830.35714285714585</v>
      </c>
      <c r="AM9" s="488">
        <f t="shared" si="7"/>
        <v>9</v>
      </c>
      <c r="AN9" s="605"/>
      <c r="AO9" s="182">
        <v>4</v>
      </c>
      <c r="AP9" s="182">
        <v>3216.0000000000118</v>
      </c>
      <c r="AQ9" s="182">
        <v>804.00000000000296</v>
      </c>
      <c r="AR9" s="488">
        <f t="shared" si="8"/>
        <v>12</v>
      </c>
      <c r="AS9" s="605"/>
      <c r="AT9" s="182">
        <v>4</v>
      </c>
      <c r="AU9" s="182">
        <v>3113.6842105263136</v>
      </c>
      <c r="AV9" s="182">
        <v>778.42105263157839</v>
      </c>
      <c r="AW9" s="488">
        <f t="shared" si="9"/>
        <v>11</v>
      </c>
      <c r="AX9" s="605"/>
      <c r="AZ9" s="526" t="e">
        <f t="shared" si="10"/>
        <v>#N/A</v>
      </c>
      <c r="BA9" s="605"/>
    </row>
    <row r="10" spans="1:53" ht="14.25">
      <c r="A10" s="81"/>
      <c r="B10" s="610"/>
      <c r="C10" s="488">
        <v>4</v>
      </c>
      <c r="D10" s="502" t="s">
        <v>360</v>
      </c>
      <c r="E10" s="502">
        <v>3</v>
      </c>
      <c r="F10" s="502">
        <v>3200</v>
      </c>
      <c r="G10" s="182">
        <v>1066.6666666666667</v>
      </c>
      <c r="H10" s="600"/>
      <c r="I10" s="513">
        <f t="shared" si="0"/>
        <v>3</v>
      </c>
      <c r="J10" s="513">
        <f t="shared" si="1"/>
        <v>3223.2580629810404</v>
      </c>
      <c r="K10" s="200">
        <f t="shared" si="2"/>
        <v>1074.4193543270135</v>
      </c>
      <c r="L10" s="621"/>
      <c r="M10" s="513">
        <f>RANK(K10, K$7:$K$36)</f>
        <v>5</v>
      </c>
      <c r="N10" s="604"/>
      <c r="O10" s="604"/>
      <c r="P10" s="182">
        <v>3</v>
      </c>
      <c r="Q10" s="182">
        <v>3191.8604651162818</v>
      </c>
      <c r="R10" s="182">
        <v>1063.9534883720939</v>
      </c>
      <c r="S10" s="488">
        <f t="shared" si="3"/>
        <v>2</v>
      </c>
      <c r="T10" s="605"/>
      <c r="U10" s="182">
        <v>3</v>
      </c>
      <c r="V10" s="182">
        <v>3296.2500000000018</v>
      </c>
      <c r="W10" s="182">
        <v>1098.7500000000007</v>
      </c>
      <c r="X10" s="488">
        <f t="shared" si="4"/>
        <v>5</v>
      </c>
      <c r="Y10" s="605"/>
      <c r="Z10" s="182">
        <v>3</v>
      </c>
      <c r="AA10" s="182">
        <v>3170.5714285714325</v>
      </c>
      <c r="AB10" s="182">
        <v>1056.8571428571443</v>
      </c>
      <c r="AC10" s="488">
        <f t="shared" si="5"/>
        <v>5</v>
      </c>
      <c r="AD10" s="605"/>
      <c r="AE10" s="182">
        <v>3</v>
      </c>
      <c r="AF10" s="182">
        <v>3226.3636363636397</v>
      </c>
      <c r="AG10" s="182">
        <v>1075.4545454545466</v>
      </c>
      <c r="AH10" s="488">
        <f t="shared" si="6"/>
        <v>4</v>
      </c>
      <c r="AI10" s="605"/>
      <c r="AJ10" s="182">
        <v>3</v>
      </c>
      <c r="AK10" s="182">
        <v>3245.806451612902</v>
      </c>
      <c r="AL10" s="182">
        <v>1081.9354838709673</v>
      </c>
      <c r="AM10" s="488">
        <f t="shared" si="7"/>
        <v>4</v>
      </c>
      <c r="AN10" s="605"/>
      <c r="AO10" s="182">
        <v>3</v>
      </c>
      <c r="AP10" s="182">
        <v>3255.4838709677369</v>
      </c>
      <c r="AQ10" s="182">
        <v>1085.1612903225789</v>
      </c>
      <c r="AR10" s="488">
        <f t="shared" si="8"/>
        <v>4</v>
      </c>
      <c r="AS10" s="605"/>
      <c r="AT10" s="182">
        <v>3</v>
      </c>
      <c r="AU10" s="182">
        <v>3176.4705882352905</v>
      </c>
      <c r="AV10" s="182">
        <v>1058.8235294117635</v>
      </c>
      <c r="AW10" s="488">
        <f t="shared" si="9"/>
        <v>1</v>
      </c>
      <c r="AX10" s="605"/>
      <c r="AZ10" s="526" t="e">
        <f t="shared" si="10"/>
        <v>#N/A</v>
      </c>
      <c r="BA10" s="605"/>
    </row>
    <row r="11" spans="1:53" ht="14.25">
      <c r="A11" s="81"/>
      <c r="B11" s="610"/>
      <c r="C11" s="488">
        <v>5</v>
      </c>
      <c r="D11" s="502" t="s">
        <v>770</v>
      </c>
      <c r="E11" s="502">
        <v>4</v>
      </c>
      <c r="F11" s="502">
        <v>3200</v>
      </c>
      <c r="G11" s="182">
        <v>800</v>
      </c>
      <c r="H11" s="600"/>
      <c r="I11" s="513">
        <f t="shared" si="0"/>
        <v>4</v>
      </c>
      <c r="J11" s="513">
        <f t="shared" si="1"/>
        <v>3221.6113246200803</v>
      </c>
      <c r="K11" s="200">
        <f t="shared" si="2"/>
        <v>805.40283115502007</v>
      </c>
      <c r="L11" s="621"/>
      <c r="M11" s="513">
        <f>RANK(K11, K$7:$K$36)</f>
        <v>10</v>
      </c>
      <c r="N11" s="604"/>
      <c r="O11" s="604"/>
      <c r="P11" s="182">
        <v>4</v>
      </c>
      <c r="Q11" s="182">
        <v>3185.4545454545414</v>
      </c>
      <c r="R11" s="182">
        <v>796.36363636363535</v>
      </c>
      <c r="S11" s="488">
        <f t="shared" si="3"/>
        <v>10</v>
      </c>
      <c r="T11" s="605"/>
      <c r="U11" s="182">
        <v>4</v>
      </c>
      <c r="V11" s="182">
        <v>3265.161290322575</v>
      </c>
      <c r="W11" s="182">
        <v>816.29032258064376</v>
      </c>
      <c r="X11" s="488">
        <f t="shared" si="4"/>
        <v>11</v>
      </c>
      <c r="Y11" s="605"/>
      <c r="Z11" s="182">
        <v>4</v>
      </c>
      <c r="AA11" s="182">
        <v>3117.8571428571449</v>
      </c>
      <c r="AB11" s="182">
        <v>779.46428571428623</v>
      </c>
      <c r="AC11" s="488">
        <f t="shared" si="5"/>
        <v>9</v>
      </c>
      <c r="AD11" s="605"/>
      <c r="AE11" s="182">
        <v>4</v>
      </c>
      <c r="AF11" s="182">
        <v>3244.6153846153961</v>
      </c>
      <c r="AG11" s="182">
        <v>811.15384615384903</v>
      </c>
      <c r="AH11" s="488">
        <f t="shared" si="6"/>
        <v>11</v>
      </c>
      <c r="AI11" s="605"/>
      <c r="AJ11" s="182">
        <v>4</v>
      </c>
      <c r="AK11" s="182">
        <v>3227.49999999999</v>
      </c>
      <c r="AL11" s="182">
        <v>806.8749999999975</v>
      </c>
      <c r="AM11" s="488">
        <f t="shared" si="7"/>
        <v>13</v>
      </c>
      <c r="AN11" s="605"/>
      <c r="AO11" s="182">
        <v>4</v>
      </c>
      <c r="AP11" s="182">
        <v>3321.6000000000008</v>
      </c>
      <c r="AQ11" s="182">
        <v>830.4000000000002</v>
      </c>
      <c r="AR11" s="488">
        <f t="shared" si="8"/>
        <v>10</v>
      </c>
      <c r="AS11" s="605"/>
      <c r="AT11" s="182">
        <v>4</v>
      </c>
      <c r="AU11" s="182">
        <v>3189.0909090909122</v>
      </c>
      <c r="AV11" s="182">
        <v>797.27272727272805</v>
      </c>
      <c r="AW11" s="488">
        <f t="shared" si="9"/>
        <v>9</v>
      </c>
      <c r="AX11" s="605"/>
      <c r="AZ11" s="526" t="e">
        <f t="shared" si="10"/>
        <v>#N/A</v>
      </c>
      <c r="BA11" s="605"/>
    </row>
    <row r="12" spans="1:53" ht="14.25">
      <c r="A12" s="81"/>
      <c r="B12" s="610"/>
      <c r="C12" s="488">
        <v>6</v>
      </c>
      <c r="D12" s="502" t="s">
        <v>771</v>
      </c>
      <c r="E12" s="502">
        <v>4</v>
      </c>
      <c r="F12" s="502">
        <v>3200</v>
      </c>
      <c r="G12" s="182">
        <v>800</v>
      </c>
      <c r="H12" s="600"/>
      <c r="I12" s="513">
        <f t="shared" si="0"/>
        <v>4</v>
      </c>
      <c r="J12" s="513">
        <f t="shared" si="1"/>
        <v>3283.6831739688887</v>
      </c>
      <c r="K12" s="200">
        <f t="shared" si="2"/>
        <v>820.92079349222217</v>
      </c>
      <c r="L12" s="621"/>
      <c r="M12" s="513">
        <f>RANK(K12, K$7:$K$36)</f>
        <v>8</v>
      </c>
      <c r="N12" s="604"/>
      <c r="O12" s="604"/>
      <c r="P12" s="182">
        <v>4</v>
      </c>
      <c r="Q12" s="182">
        <v>3143.9999999999945</v>
      </c>
      <c r="R12" s="182">
        <v>785.99999999999864</v>
      </c>
      <c r="S12" s="488">
        <f t="shared" si="3"/>
        <v>13</v>
      </c>
      <c r="T12" s="605"/>
      <c r="U12" s="182">
        <v>4</v>
      </c>
      <c r="V12" s="182">
        <v>3530.7692307692214</v>
      </c>
      <c r="W12" s="182">
        <v>882.69230769230535</v>
      </c>
      <c r="X12" s="488">
        <f t="shared" si="4"/>
        <v>8</v>
      </c>
      <c r="Y12" s="605"/>
      <c r="Z12" s="182">
        <v>4</v>
      </c>
      <c r="AA12" s="182">
        <v>3079.9999999999905</v>
      </c>
      <c r="AB12" s="182">
        <v>769.99999999999761</v>
      </c>
      <c r="AC12" s="488">
        <f t="shared" si="5"/>
        <v>11</v>
      </c>
      <c r="AD12" s="605"/>
      <c r="AE12" s="182">
        <v>4</v>
      </c>
      <c r="AF12" s="182">
        <v>3212.7272727272843</v>
      </c>
      <c r="AG12" s="182">
        <v>803.18181818182109</v>
      </c>
      <c r="AH12" s="488">
        <f t="shared" si="6"/>
        <v>12</v>
      </c>
      <c r="AI12" s="605"/>
      <c r="AJ12" s="182">
        <v>4</v>
      </c>
      <c r="AK12" s="182">
        <v>3336.0000000000118</v>
      </c>
      <c r="AL12" s="182">
        <v>834.00000000000296</v>
      </c>
      <c r="AM12" s="488">
        <f t="shared" si="7"/>
        <v>8</v>
      </c>
      <c r="AN12" s="605"/>
      <c r="AO12" s="182">
        <v>4</v>
      </c>
      <c r="AP12" s="182">
        <v>3468.0000000000123</v>
      </c>
      <c r="AQ12" s="182">
        <v>867.00000000000307</v>
      </c>
      <c r="AR12" s="488">
        <f t="shared" si="8"/>
        <v>8</v>
      </c>
      <c r="AS12" s="605"/>
      <c r="AT12" s="182">
        <v>4</v>
      </c>
      <c r="AU12" s="182">
        <v>3214.2857142857074</v>
      </c>
      <c r="AV12" s="182">
        <v>803.57142857142685</v>
      </c>
      <c r="AW12" s="488">
        <f t="shared" si="9"/>
        <v>8</v>
      </c>
      <c r="AX12" s="605"/>
      <c r="AZ12" s="526" t="e">
        <f t="shared" si="10"/>
        <v>#N/A</v>
      </c>
      <c r="BA12" s="605"/>
    </row>
    <row r="13" spans="1:53" ht="14.25">
      <c r="A13" s="81"/>
      <c r="B13" s="610"/>
      <c r="C13" s="488">
        <v>7</v>
      </c>
      <c r="D13" s="502" t="s">
        <v>361</v>
      </c>
      <c r="E13" s="502">
        <v>4</v>
      </c>
      <c r="F13" s="502">
        <v>2800</v>
      </c>
      <c r="G13" s="182">
        <v>700</v>
      </c>
      <c r="H13" s="600"/>
      <c r="I13" s="513">
        <f t="shared" si="0"/>
        <v>4</v>
      </c>
      <c r="J13" s="513">
        <f t="shared" si="1"/>
        <v>3231.0313971742557</v>
      </c>
      <c r="K13" s="200">
        <f t="shared" si="2"/>
        <v>807.75784929356394</v>
      </c>
      <c r="L13" s="621"/>
      <c r="M13" s="513">
        <f>RANK(K13, K$7:$K$36)</f>
        <v>9</v>
      </c>
      <c r="N13" s="604"/>
      <c r="O13" s="604"/>
      <c r="P13" s="182">
        <v>4</v>
      </c>
      <c r="Q13" s="182">
        <v>3184.2857142857256</v>
      </c>
      <c r="R13" s="182">
        <v>796.0714285714314</v>
      </c>
      <c r="S13" s="488">
        <f t="shared" si="3"/>
        <v>11</v>
      </c>
      <c r="T13" s="605"/>
      <c r="U13" s="182">
        <v>4</v>
      </c>
      <c r="V13" s="182">
        <v>3323.0769230769142</v>
      </c>
      <c r="W13" s="182">
        <v>830.76923076922856</v>
      </c>
      <c r="X13" s="488">
        <f t="shared" si="4"/>
        <v>9</v>
      </c>
      <c r="Y13" s="605"/>
      <c r="Z13" s="182">
        <v>4</v>
      </c>
      <c r="AA13" s="182">
        <v>3004.9999999999909</v>
      </c>
      <c r="AB13" s="182">
        <v>751.24999999999773</v>
      </c>
      <c r="AC13" s="488">
        <f t="shared" si="5"/>
        <v>13</v>
      </c>
      <c r="AD13" s="605"/>
      <c r="AE13" s="182">
        <v>4</v>
      </c>
      <c r="AF13" s="182">
        <v>3432.0000000000123</v>
      </c>
      <c r="AG13" s="182">
        <v>858.00000000000307</v>
      </c>
      <c r="AH13" s="488">
        <f t="shared" si="6"/>
        <v>8</v>
      </c>
      <c r="AI13" s="605"/>
      <c r="AJ13" s="182">
        <v>4</v>
      </c>
      <c r="AK13" s="182">
        <v>3245.9999999999986</v>
      </c>
      <c r="AL13" s="182">
        <v>811.49999999999966</v>
      </c>
      <c r="AM13" s="488">
        <f t="shared" si="7"/>
        <v>11</v>
      </c>
      <c r="AN13" s="605"/>
      <c r="AO13" s="182">
        <v>4</v>
      </c>
      <c r="AP13" s="182">
        <v>3444.0000000000123</v>
      </c>
      <c r="AQ13" s="182">
        <v>861.00000000000307</v>
      </c>
      <c r="AR13" s="488">
        <f t="shared" si="8"/>
        <v>9</v>
      </c>
      <c r="AS13" s="605"/>
      <c r="AT13" s="182">
        <v>4</v>
      </c>
      <c r="AU13" s="182">
        <v>2982.8571428571368</v>
      </c>
      <c r="AV13" s="182">
        <v>745.71428571428419</v>
      </c>
      <c r="AW13" s="488">
        <f t="shared" si="9"/>
        <v>12</v>
      </c>
      <c r="AX13" s="605"/>
      <c r="AZ13" s="526" t="e">
        <f t="shared" si="10"/>
        <v>#N/A</v>
      </c>
      <c r="BA13" s="605"/>
    </row>
    <row r="14" spans="1:53" ht="14.25">
      <c r="A14" s="81"/>
      <c r="B14" s="610"/>
      <c r="C14" s="488">
        <v>8</v>
      </c>
      <c r="D14" s="502" t="s">
        <v>362</v>
      </c>
      <c r="E14" s="502">
        <v>3</v>
      </c>
      <c r="F14" s="502">
        <v>3200</v>
      </c>
      <c r="G14" s="182">
        <v>1066.6666666666667</v>
      </c>
      <c r="H14" s="600"/>
      <c r="I14" s="513">
        <f t="shared" si="0"/>
        <v>3</v>
      </c>
      <c r="J14" s="513">
        <f t="shared" si="1"/>
        <v>3234.7800453514728</v>
      </c>
      <c r="K14" s="200">
        <f t="shared" si="2"/>
        <v>1078.2600151171578</v>
      </c>
      <c r="L14" s="621"/>
      <c r="M14" s="513">
        <f>RANK(K14, K$7:$K$36)</f>
        <v>2</v>
      </c>
      <c r="N14" s="604"/>
      <c r="O14" s="604"/>
      <c r="P14" s="182">
        <v>3</v>
      </c>
      <c r="Q14" s="182">
        <v>3137.9999999999941</v>
      </c>
      <c r="R14" s="182">
        <v>1045.999999999998</v>
      </c>
      <c r="S14" s="488">
        <f t="shared" si="3"/>
        <v>4</v>
      </c>
      <c r="T14" s="605"/>
      <c r="U14" s="182">
        <v>3</v>
      </c>
      <c r="V14" s="182">
        <v>3308.5714285714307</v>
      </c>
      <c r="W14" s="182">
        <v>1102.8571428571436</v>
      </c>
      <c r="X14" s="488">
        <f t="shared" si="4"/>
        <v>4</v>
      </c>
      <c r="Y14" s="605"/>
      <c r="Z14" s="182">
        <v>3</v>
      </c>
      <c r="AA14" s="182">
        <v>3168.8888888888814</v>
      </c>
      <c r="AB14" s="182">
        <v>1056.2962962962938</v>
      </c>
      <c r="AC14" s="488">
        <f t="shared" si="5"/>
        <v>6</v>
      </c>
      <c r="AD14" s="605"/>
      <c r="AE14" s="182">
        <v>3</v>
      </c>
      <c r="AF14" s="182">
        <v>3288.0000000000009</v>
      </c>
      <c r="AG14" s="182">
        <v>1096.0000000000002</v>
      </c>
      <c r="AH14" s="488">
        <f t="shared" si="6"/>
        <v>3</v>
      </c>
      <c r="AI14" s="605"/>
      <c r="AJ14" s="182">
        <v>3</v>
      </c>
      <c r="AK14" s="182">
        <v>3265.0000000000118</v>
      </c>
      <c r="AL14" s="182">
        <v>1088.3333333333374</v>
      </c>
      <c r="AM14" s="488">
        <f t="shared" si="7"/>
        <v>3</v>
      </c>
      <c r="AN14" s="605"/>
      <c r="AO14" s="182">
        <v>3</v>
      </c>
      <c r="AP14" s="182">
        <v>3304.99999999999</v>
      </c>
      <c r="AQ14" s="182">
        <v>1101.6666666666633</v>
      </c>
      <c r="AR14" s="488">
        <f t="shared" si="8"/>
        <v>3</v>
      </c>
      <c r="AS14" s="605"/>
      <c r="AT14" s="182">
        <v>3</v>
      </c>
      <c r="AU14" s="182">
        <v>3170.0000000000032</v>
      </c>
      <c r="AV14" s="182">
        <v>1056.6666666666677</v>
      </c>
      <c r="AW14" s="488">
        <f t="shared" si="9"/>
        <v>2</v>
      </c>
      <c r="AX14" s="605"/>
      <c r="AZ14" s="526" t="e">
        <f t="shared" si="10"/>
        <v>#N/A</v>
      </c>
      <c r="BA14" s="605"/>
    </row>
    <row r="15" spans="1:53" ht="14.25">
      <c r="A15" s="81"/>
      <c r="B15" s="610"/>
      <c r="C15" s="488">
        <v>9</v>
      </c>
      <c r="D15" s="502" t="s">
        <v>363</v>
      </c>
      <c r="E15" s="502">
        <v>3</v>
      </c>
      <c r="F15" s="502">
        <v>2800</v>
      </c>
      <c r="G15" s="182">
        <v>933.33333333333337</v>
      </c>
      <c r="H15" s="600"/>
      <c r="I15" s="513">
        <f t="shared" si="0"/>
        <v>3</v>
      </c>
      <c r="J15" s="513">
        <f t="shared" si="1"/>
        <v>3224.6214289911777</v>
      </c>
      <c r="K15" s="200">
        <f t="shared" si="2"/>
        <v>1074.873809663726</v>
      </c>
      <c r="L15" s="621"/>
      <c r="M15" s="513">
        <f>RANK(K15, K$7:$K$36)</f>
        <v>4</v>
      </c>
      <c r="N15" s="604"/>
      <c r="O15" s="604"/>
      <c r="P15" s="182">
        <v>3</v>
      </c>
      <c r="Q15" s="182">
        <v>3128.8235294117685</v>
      </c>
      <c r="R15" s="182">
        <v>1042.9411764705894</v>
      </c>
      <c r="S15" s="488">
        <f t="shared" si="3"/>
        <v>5</v>
      </c>
      <c r="T15" s="605"/>
      <c r="U15" s="182">
        <v>3</v>
      </c>
      <c r="V15" s="182">
        <v>3221.8181818181774</v>
      </c>
      <c r="W15" s="182">
        <v>1073.9393939393924</v>
      </c>
      <c r="X15" s="488">
        <f t="shared" si="4"/>
        <v>6</v>
      </c>
      <c r="Y15" s="605"/>
      <c r="Z15" s="182">
        <v>3</v>
      </c>
      <c r="AA15" s="182">
        <v>3201.4285714285738</v>
      </c>
      <c r="AB15" s="182">
        <v>1067.142857142858</v>
      </c>
      <c r="AC15" s="488">
        <f t="shared" si="5"/>
        <v>2</v>
      </c>
      <c r="AD15" s="605"/>
      <c r="AE15" s="182">
        <v>3</v>
      </c>
      <c r="AF15" s="182">
        <v>3300.0000000000018</v>
      </c>
      <c r="AG15" s="182">
        <v>1100.0000000000007</v>
      </c>
      <c r="AH15" s="488">
        <f t="shared" si="6"/>
        <v>2</v>
      </c>
      <c r="AI15" s="605"/>
      <c r="AJ15" s="182">
        <v>3</v>
      </c>
      <c r="AK15" s="182">
        <v>3242.3076923076942</v>
      </c>
      <c r="AL15" s="182">
        <v>1080.7692307692314</v>
      </c>
      <c r="AM15" s="488">
        <f t="shared" si="7"/>
        <v>5</v>
      </c>
      <c r="AN15" s="605"/>
      <c r="AO15" s="182">
        <v>3</v>
      </c>
      <c r="AP15" s="182">
        <v>3316.1538461538426</v>
      </c>
      <c r="AQ15" s="182">
        <v>1105.3846153846141</v>
      </c>
      <c r="AR15" s="488">
        <f t="shared" si="8"/>
        <v>1</v>
      </c>
      <c r="AS15" s="605"/>
      <c r="AT15" s="182">
        <v>3</v>
      </c>
      <c r="AU15" s="182">
        <v>3161.8181818181852</v>
      </c>
      <c r="AV15" s="182">
        <v>1053.9393939393951</v>
      </c>
      <c r="AW15" s="488">
        <f t="shared" si="9"/>
        <v>4</v>
      </c>
      <c r="AX15" s="605"/>
      <c r="AZ15" s="526" t="e">
        <f t="shared" si="10"/>
        <v>#N/A</v>
      </c>
      <c r="BA15" s="605"/>
    </row>
    <row r="16" spans="1:53" ht="14.25">
      <c r="A16" s="81"/>
      <c r="B16" s="610"/>
      <c r="C16" s="488">
        <v>10</v>
      </c>
      <c r="D16" s="502" t="s">
        <v>364</v>
      </c>
      <c r="E16" s="502">
        <v>4</v>
      </c>
      <c r="F16" s="502">
        <v>2800</v>
      </c>
      <c r="G16" s="182">
        <v>700</v>
      </c>
      <c r="H16" s="600"/>
      <c r="I16" s="513">
        <f t="shared" si="0"/>
        <v>4</v>
      </c>
      <c r="J16" s="513">
        <f t="shared" si="1"/>
        <v>3139.9155537876213</v>
      </c>
      <c r="K16" s="200">
        <f t="shared" si="2"/>
        <v>784.97888844690533</v>
      </c>
      <c r="L16" s="621"/>
      <c r="M16" s="513">
        <f>RANK(K16, K$7:$K$36)</f>
        <v>12</v>
      </c>
      <c r="N16" s="604"/>
      <c r="O16" s="604"/>
      <c r="P16" s="182">
        <v>4</v>
      </c>
      <c r="Q16" s="182">
        <v>3155.7894736842109</v>
      </c>
      <c r="R16" s="182">
        <v>788.94736842105272</v>
      </c>
      <c r="S16" s="488">
        <f t="shared" si="3"/>
        <v>12</v>
      </c>
      <c r="T16" s="605"/>
      <c r="U16" s="182">
        <v>4</v>
      </c>
      <c r="V16" s="182">
        <v>3245.6603773584893</v>
      </c>
      <c r="W16" s="182">
        <v>811.41509433962233</v>
      </c>
      <c r="X16" s="488">
        <f t="shared" si="4"/>
        <v>12</v>
      </c>
      <c r="Y16" s="605"/>
      <c r="Z16" s="182">
        <v>4</v>
      </c>
      <c r="AA16" s="182">
        <v>2642.4999999999986</v>
      </c>
      <c r="AB16" s="182">
        <v>660.62499999999966</v>
      </c>
      <c r="AC16" s="488">
        <f t="shared" si="5"/>
        <v>17</v>
      </c>
      <c r="AD16" s="605"/>
      <c r="AE16" s="182">
        <v>4</v>
      </c>
      <c r="AF16" s="182">
        <v>3270.666666666667</v>
      </c>
      <c r="AG16" s="182">
        <v>817.66666666666674</v>
      </c>
      <c r="AH16" s="488">
        <f t="shared" si="6"/>
        <v>10</v>
      </c>
      <c r="AI16" s="605"/>
      <c r="AJ16" s="182">
        <v>4</v>
      </c>
      <c r="AK16" s="182">
        <v>3245.7142857142844</v>
      </c>
      <c r="AL16" s="182">
        <v>811.4285714285711</v>
      </c>
      <c r="AM16" s="488">
        <f t="shared" si="7"/>
        <v>12</v>
      </c>
      <c r="AN16" s="605"/>
      <c r="AO16" s="182">
        <v>4</v>
      </c>
      <c r="AP16" s="182">
        <v>3263.7209302325573</v>
      </c>
      <c r="AQ16" s="182">
        <v>815.93023255813932</v>
      </c>
      <c r="AR16" s="488">
        <f t="shared" si="8"/>
        <v>11</v>
      </c>
      <c r="AS16" s="605"/>
      <c r="AT16" s="182">
        <v>4</v>
      </c>
      <c r="AU16" s="182">
        <v>3155.3571428571431</v>
      </c>
      <c r="AV16" s="182">
        <v>788.83928571428578</v>
      </c>
      <c r="AW16" s="488">
        <f t="shared" si="9"/>
        <v>10</v>
      </c>
      <c r="AX16" s="605"/>
      <c r="AZ16" s="526" t="e">
        <f t="shared" si="10"/>
        <v>#N/A</v>
      </c>
      <c r="BA16" s="605"/>
    </row>
    <row r="17" spans="2:53">
      <c r="B17" s="610"/>
      <c r="C17" s="488">
        <v>11</v>
      </c>
      <c r="D17" s="502" t="s">
        <v>772</v>
      </c>
      <c r="E17" s="502">
        <v>4</v>
      </c>
      <c r="F17" s="502">
        <v>2800</v>
      </c>
      <c r="G17" s="182">
        <v>700</v>
      </c>
      <c r="H17" s="600"/>
      <c r="I17" s="513">
        <f t="shared" si="0"/>
        <v>4</v>
      </c>
      <c r="J17" s="513">
        <f t="shared" si="1"/>
        <v>2814.5791116132609</v>
      </c>
      <c r="K17" s="200">
        <f t="shared" si="2"/>
        <v>703.64477790331523</v>
      </c>
      <c r="L17" s="621"/>
      <c r="M17" s="513">
        <f>RANK(K17, K$7:$K$36)</f>
        <v>16</v>
      </c>
      <c r="N17" s="604"/>
      <c r="O17" s="604"/>
      <c r="P17" s="182">
        <v>4</v>
      </c>
      <c r="Q17" s="182">
        <v>2789.9999999999982</v>
      </c>
      <c r="R17" s="182">
        <v>697.49999999999955</v>
      </c>
      <c r="S17" s="488">
        <f t="shared" si="3"/>
        <v>14</v>
      </c>
      <c r="T17" s="605"/>
      <c r="U17" s="182">
        <v>4</v>
      </c>
      <c r="V17" s="182">
        <v>2805.4545454545469</v>
      </c>
      <c r="W17" s="182">
        <v>701.36363636363672</v>
      </c>
      <c r="X17" s="488">
        <f t="shared" si="4"/>
        <v>17</v>
      </c>
      <c r="Y17" s="605"/>
      <c r="Z17" s="182">
        <v>4</v>
      </c>
      <c r="AA17" s="182">
        <v>2778.6206896551707</v>
      </c>
      <c r="AB17" s="182">
        <v>694.65517241379268</v>
      </c>
      <c r="AC17" s="488">
        <f t="shared" si="5"/>
        <v>15</v>
      </c>
      <c r="AD17" s="605"/>
      <c r="AE17" s="182">
        <v>4</v>
      </c>
      <c r="AF17" s="182">
        <v>2866.6666666666642</v>
      </c>
      <c r="AG17" s="182">
        <v>716.66666666666606</v>
      </c>
      <c r="AH17" s="488">
        <f t="shared" si="6"/>
        <v>15</v>
      </c>
      <c r="AI17" s="605"/>
      <c r="AJ17" s="182">
        <v>4</v>
      </c>
      <c r="AK17" s="182">
        <v>2869.4117647058815</v>
      </c>
      <c r="AL17" s="182">
        <v>717.35294117647038</v>
      </c>
      <c r="AM17" s="488">
        <f t="shared" si="7"/>
        <v>15</v>
      </c>
      <c r="AN17" s="605"/>
      <c r="AO17" s="182">
        <v>4</v>
      </c>
      <c r="AP17" s="182">
        <v>2821.1538461538457</v>
      </c>
      <c r="AQ17" s="182">
        <v>705.28846153846143</v>
      </c>
      <c r="AR17" s="488">
        <f t="shared" si="8"/>
        <v>15</v>
      </c>
      <c r="AS17" s="605"/>
      <c r="AT17" s="182">
        <v>4</v>
      </c>
      <c r="AU17" s="182">
        <v>2770.7462686567183</v>
      </c>
      <c r="AV17" s="182">
        <v>692.68656716417956</v>
      </c>
      <c r="AW17" s="488">
        <f t="shared" si="9"/>
        <v>15</v>
      </c>
      <c r="AX17" s="605"/>
      <c r="AZ17" s="526" t="e">
        <f t="shared" si="10"/>
        <v>#N/A</v>
      </c>
      <c r="BA17" s="605"/>
    </row>
    <row r="18" spans="2:53">
      <c r="B18" s="610"/>
      <c r="C18" s="488">
        <v>12</v>
      </c>
      <c r="D18" s="502" t="s">
        <v>773</v>
      </c>
      <c r="E18" s="502">
        <v>4</v>
      </c>
      <c r="F18" s="502">
        <v>2800</v>
      </c>
      <c r="G18" s="182">
        <v>700</v>
      </c>
      <c r="H18" s="600"/>
      <c r="I18" s="513">
        <f t="shared" si="0"/>
        <v>4</v>
      </c>
      <c r="J18" s="513">
        <f t="shared" si="1"/>
        <v>2853.8571428571472</v>
      </c>
      <c r="K18" s="200">
        <f t="shared" si="2"/>
        <v>713.4642857142868</v>
      </c>
      <c r="L18" s="621"/>
      <c r="M18" s="513">
        <f>RANK(K18, K$7:$K$36)</f>
        <v>14</v>
      </c>
      <c r="N18" s="604"/>
      <c r="O18" s="604"/>
      <c r="P18" s="182">
        <v>4</v>
      </c>
      <c r="Q18" s="182">
        <v>3186.0000000000114</v>
      </c>
      <c r="R18" s="182">
        <v>796.50000000000284</v>
      </c>
      <c r="S18" s="488">
        <f t="shared" si="3"/>
        <v>9</v>
      </c>
      <c r="T18" s="605"/>
      <c r="U18" s="182">
        <v>4</v>
      </c>
      <c r="V18" s="182">
        <v>3057.0000000000109</v>
      </c>
      <c r="W18" s="182">
        <v>764.25000000000273</v>
      </c>
      <c r="X18" s="488">
        <f t="shared" si="4"/>
        <v>13</v>
      </c>
      <c r="Y18" s="605"/>
      <c r="Z18" s="182">
        <v>4</v>
      </c>
      <c r="AA18" s="182">
        <v>2949.0000000000105</v>
      </c>
      <c r="AB18" s="182">
        <v>737.25000000000261</v>
      </c>
      <c r="AC18" s="488">
        <f t="shared" si="5"/>
        <v>14</v>
      </c>
      <c r="AD18" s="605"/>
      <c r="AE18" s="182">
        <v>4</v>
      </c>
      <c r="AF18" s="182">
        <v>2682.0000000000095</v>
      </c>
      <c r="AG18" s="182">
        <v>670.50000000000239</v>
      </c>
      <c r="AH18" s="488">
        <f t="shared" si="6"/>
        <v>17</v>
      </c>
      <c r="AI18" s="605"/>
      <c r="AJ18" s="182">
        <v>4</v>
      </c>
      <c r="AK18" s="182">
        <v>2619.0000000000091</v>
      </c>
      <c r="AL18" s="182">
        <v>654.75000000000227</v>
      </c>
      <c r="AM18" s="488">
        <f t="shared" si="7"/>
        <v>17</v>
      </c>
      <c r="AN18" s="605"/>
      <c r="AO18" s="182">
        <v>4</v>
      </c>
      <c r="AP18" s="182">
        <v>2903.9999999999873</v>
      </c>
      <c r="AQ18" s="182">
        <v>725.99999999999682</v>
      </c>
      <c r="AR18" s="488">
        <f t="shared" si="8"/>
        <v>14</v>
      </c>
      <c r="AS18" s="605"/>
      <c r="AT18" s="182">
        <v>4</v>
      </c>
      <c r="AU18" s="182">
        <v>2579.9999999999927</v>
      </c>
      <c r="AV18" s="182">
        <v>644.99999999999818</v>
      </c>
      <c r="AW18" s="488">
        <f t="shared" si="9"/>
        <v>16</v>
      </c>
      <c r="AX18" s="605"/>
      <c r="AZ18" s="526" t="e">
        <f t="shared" si="10"/>
        <v>#N/A</v>
      </c>
      <c r="BA18" s="605"/>
    </row>
    <row r="19" spans="2:53">
      <c r="B19" s="610"/>
      <c r="C19" s="488">
        <v>13</v>
      </c>
      <c r="D19" s="502" t="s">
        <v>365</v>
      </c>
      <c r="E19" s="502">
        <v>4</v>
      </c>
      <c r="F19" s="502">
        <v>2800</v>
      </c>
      <c r="G19" s="182">
        <v>700</v>
      </c>
      <c r="H19" s="600"/>
      <c r="I19" s="513">
        <f t="shared" si="0"/>
        <v>4</v>
      </c>
      <c r="J19" s="513">
        <f t="shared" si="1"/>
        <v>2806.8571428571527</v>
      </c>
      <c r="K19" s="200">
        <f t="shared" si="2"/>
        <v>701.71428571428817</v>
      </c>
      <c r="L19" s="621"/>
      <c r="M19" s="513">
        <f>RANK(K19, K$7:$K$36)</f>
        <v>17</v>
      </c>
      <c r="N19" s="604"/>
      <c r="O19" s="604"/>
      <c r="P19" s="182">
        <v>4</v>
      </c>
      <c r="Q19" s="182">
        <v>2324.0000000000082</v>
      </c>
      <c r="R19" s="182">
        <v>581.00000000000205</v>
      </c>
      <c r="S19" s="488">
        <f t="shared" si="3"/>
        <v>17</v>
      </c>
      <c r="T19" s="605"/>
      <c r="U19" s="182">
        <v>4</v>
      </c>
      <c r="V19" s="182">
        <v>2850.00000000001</v>
      </c>
      <c r="W19" s="182">
        <v>712.5000000000025</v>
      </c>
      <c r="X19" s="488">
        <f t="shared" si="4"/>
        <v>16</v>
      </c>
      <c r="Y19" s="605"/>
      <c r="Z19" s="182">
        <v>4</v>
      </c>
      <c r="AA19" s="182">
        <v>3142.5000000000109</v>
      </c>
      <c r="AB19" s="182">
        <v>785.62500000000273</v>
      </c>
      <c r="AC19" s="488">
        <f t="shared" si="5"/>
        <v>8</v>
      </c>
      <c r="AD19" s="605"/>
      <c r="AE19" s="182">
        <v>4</v>
      </c>
      <c r="AF19" s="182">
        <v>2957.1428571428678</v>
      </c>
      <c r="AG19" s="182">
        <v>739.28571428571695</v>
      </c>
      <c r="AH19" s="488">
        <f t="shared" si="6"/>
        <v>14</v>
      </c>
      <c r="AI19" s="605"/>
      <c r="AJ19" s="182">
        <v>4</v>
      </c>
      <c r="AK19" s="182">
        <v>2767.50000000001</v>
      </c>
      <c r="AL19" s="182">
        <v>691.8750000000025</v>
      </c>
      <c r="AM19" s="488">
        <f t="shared" si="7"/>
        <v>16</v>
      </c>
      <c r="AN19" s="605"/>
      <c r="AO19" s="182">
        <v>4</v>
      </c>
      <c r="AP19" s="182">
        <v>2800.00000000001</v>
      </c>
      <c r="AQ19" s="182">
        <v>700.0000000000025</v>
      </c>
      <c r="AR19" s="488">
        <f t="shared" si="8"/>
        <v>17</v>
      </c>
      <c r="AS19" s="605"/>
      <c r="AT19" s="182" t="s">
        <v>822</v>
      </c>
      <c r="AU19" s="182" t="s">
        <v>822</v>
      </c>
      <c r="AV19" s="182" t="s">
        <v>822</v>
      </c>
      <c r="AW19" s="488" t="e">
        <f t="shared" si="9"/>
        <v>#VALUE!</v>
      </c>
      <c r="AX19" s="605"/>
      <c r="AZ19" s="526" t="e">
        <f t="shared" si="10"/>
        <v>#N/A</v>
      </c>
      <c r="BA19" s="605"/>
    </row>
    <row r="20" spans="2:53">
      <c r="B20" s="610"/>
      <c r="C20" s="488">
        <v>14</v>
      </c>
      <c r="D20" s="502" t="s">
        <v>774</v>
      </c>
      <c r="E20" s="502">
        <v>3</v>
      </c>
      <c r="F20" s="502">
        <v>2800</v>
      </c>
      <c r="G20" s="182">
        <v>933.33333333333337</v>
      </c>
      <c r="H20" s="600"/>
      <c r="I20" s="513">
        <f t="shared" si="0"/>
        <v>3</v>
      </c>
      <c r="J20" s="513">
        <f t="shared" si="1"/>
        <v>3065.9552795030968</v>
      </c>
      <c r="K20" s="200">
        <f t="shared" si="2"/>
        <v>1021.9850931676989</v>
      </c>
      <c r="L20" s="621"/>
      <c r="M20" s="513">
        <f>RANK(K20, K$7:$K$36)</f>
        <v>6</v>
      </c>
      <c r="N20" s="604"/>
      <c r="O20" s="604"/>
      <c r="P20" s="182">
        <v>3</v>
      </c>
      <c r="Q20" s="182">
        <v>3146.0869565217504</v>
      </c>
      <c r="R20" s="182">
        <v>1048.6956521739169</v>
      </c>
      <c r="S20" s="488">
        <f t="shared" si="3"/>
        <v>3</v>
      </c>
      <c r="T20" s="605"/>
      <c r="U20" s="182">
        <v>3</v>
      </c>
      <c r="V20" s="182">
        <v>3410.9999999999845</v>
      </c>
      <c r="W20" s="182">
        <v>1136.9999999999948</v>
      </c>
      <c r="X20" s="488">
        <f t="shared" si="4"/>
        <v>1</v>
      </c>
      <c r="Y20" s="605"/>
      <c r="Z20" s="182">
        <v>3</v>
      </c>
      <c r="AA20" s="182">
        <v>3278.9999999999854</v>
      </c>
      <c r="AB20" s="182">
        <v>1092.9999999999952</v>
      </c>
      <c r="AC20" s="488">
        <f t="shared" si="5"/>
        <v>1</v>
      </c>
      <c r="AD20" s="605"/>
      <c r="AE20" s="182">
        <v>3</v>
      </c>
      <c r="AF20" s="182">
        <v>3023.9999999999868</v>
      </c>
      <c r="AG20" s="182">
        <v>1007.9999999999956</v>
      </c>
      <c r="AH20" s="488">
        <f t="shared" si="6"/>
        <v>6</v>
      </c>
      <c r="AI20" s="605"/>
      <c r="AJ20" s="182">
        <v>3</v>
      </c>
      <c r="AK20" s="182">
        <v>3107.9999999999864</v>
      </c>
      <c r="AL20" s="182">
        <v>1035.9999999999955</v>
      </c>
      <c r="AM20" s="488">
        <f t="shared" si="7"/>
        <v>6</v>
      </c>
      <c r="AN20" s="605"/>
      <c r="AO20" s="182">
        <v>3</v>
      </c>
      <c r="AP20" s="182">
        <v>2709.5999999999922</v>
      </c>
      <c r="AQ20" s="182">
        <v>903.19999999999743</v>
      </c>
      <c r="AR20" s="488">
        <f t="shared" si="8"/>
        <v>7</v>
      </c>
      <c r="AS20" s="605"/>
      <c r="AT20" s="182">
        <v>3</v>
      </c>
      <c r="AU20" s="182">
        <v>2783.9999999999923</v>
      </c>
      <c r="AV20" s="182">
        <v>927.99999999999739</v>
      </c>
      <c r="AW20" s="488">
        <f t="shared" si="9"/>
        <v>6</v>
      </c>
      <c r="AX20" s="605"/>
      <c r="AZ20" s="526" t="e">
        <f t="shared" si="10"/>
        <v>#N/A</v>
      </c>
      <c r="BA20" s="605"/>
    </row>
    <row r="21" spans="2:53">
      <c r="B21" s="610"/>
      <c r="C21" s="488">
        <v>15</v>
      </c>
      <c r="D21" s="502" t="s">
        <v>775</v>
      </c>
      <c r="E21" s="502">
        <v>4</v>
      </c>
      <c r="F21" s="502">
        <v>2200</v>
      </c>
      <c r="G21" s="182">
        <v>550</v>
      </c>
      <c r="H21" s="600"/>
      <c r="I21" s="513">
        <f t="shared" si="0"/>
        <v>3</v>
      </c>
      <c r="J21" s="513">
        <f t="shared" si="1"/>
        <v>2232.9952380952368</v>
      </c>
      <c r="K21" s="200">
        <f t="shared" si="2"/>
        <v>744.33174603174564</v>
      </c>
      <c r="L21" s="621"/>
      <c r="M21" s="513">
        <f>RANK(K21, K$7:$K$36)</f>
        <v>13</v>
      </c>
      <c r="N21" s="604"/>
      <c r="O21" s="604"/>
      <c r="P21" s="182">
        <v>3</v>
      </c>
      <c r="Q21" s="182">
        <v>2080.7999999999938</v>
      </c>
      <c r="R21" s="182">
        <v>693.59999999999798</v>
      </c>
      <c r="S21" s="488">
        <f t="shared" si="3"/>
        <v>16</v>
      </c>
      <c r="T21" s="605"/>
      <c r="U21" s="182">
        <v>3</v>
      </c>
      <c r="V21" s="182">
        <v>2152</v>
      </c>
      <c r="W21" s="182">
        <v>717.33333333333337</v>
      </c>
      <c r="X21" s="488">
        <f t="shared" si="4"/>
        <v>14</v>
      </c>
      <c r="Y21" s="605"/>
      <c r="Z21" s="182">
        <v>3</v>
      </c>
      <c r="AA21" s="182">
        <v>2326.4999999999991</v>
      </c>
      <c r="AB21" s="182">
        <v>775.49999999999966</v>
      </c>
      <c r="AC21" s="488">
        <f t="shared" si="5"/>
        <v>10</v>
      </c>
      <c r="AD21" s="605"/>
      <c r="AE21" s="182">
        <v>3</v>
      </c>
      <c r="AF21" s="182">
        <v>2240.9999999999991</v>
      </c>
      <c r="AG21" s="182">
        <v>746.99999999999966</v>
      </c>
      <c r="AH21" s="488">
        <f t="shared" si="6"/>
        <v>13</v>
      </c>
      <c r="AI21" s="605"/>
      <c r="AJ21" s="182">
        <v>3</v>
      </c>
      <c r="AK21" s="182">
        <v>2447.9999999999977</v>
      </c>
      <c r="AL21" s="182">
        <v>815.9999999999992</v>
      </c>
      <c r="AM21" s="488">
        <f t="shared" si="7"/>
        <v>10</v>
      </c>
      <c r="AN21" s="605"/>
      <c r="AO21" s="182">
        <v>3</v>
      </c>
      <c r="AP21" s="182">
        <v>2190.666666666667</v>
      </c>
      <c r="AQ21" s="182">
        <v>730.22222222222229</v>
      </c>
      <c r="AR21" s="488">
        <f t="shared" si="8"/>
        <v>13</v>
      </c>
      <c r="AS21" s="605"/>
      <c r="AT21" s="182">
        <v>3</v>
      </c>
      <c r="AU21" s="182">
        <v>2192</v>
      </c>
      <c r="AV21" s="182">
        <v>730.66666666666663</v>
      </c>
      <c r="AW21" s="488">
        <f t="shared" si="9"/>
        <v>13</v>
      </c>
      <c r="AX21" s="605"/>
      <c r="AZ21" s="526" t="e">
        <f t="shared" si="10"/>
        <v>#N/A</v>
      </c>
      <c r="BA21" s="605"/>
    </row>
    <row r="22" spans="2:53">
      <c r="B22" s="610"/>
      <c r="C22" s="488">
        <v>16</v>
      </c>
      <c r="D22" s="502" t="s">
        <v>641</v>
      </c>
      <c r="E22" s="502">
        <v>8</v>
      </c>
      <c r="F22" s="502">
        <v>1500</v>
      </c>
      <c r="G22" s="182">
        <v>187.5</v>
      </c>
      <c r="H22" s="600"/>
      <c r="I22" s="513">
        <f t="shared" si="0"/>
        <v>9.7142857142857135</v>
      </c>
      <c r="J22" s="513">
        <f t="shared" si="1"/>
        <v>1468.6080123266559</v>
      </c>
      <c r="K22" s="200">
        <f t="shared" si="2"/>
        <v>151.85171032357465</v>
      </c>
      <c r="L22" s="621"/>
      <c r="M22" s="513">
        <f>RANK(K22, K$7:$K$36)</f>
        <v>20</v>
      </c>
      <c r="N22" s="604"/>
      <c r="O22" s="604"/>
      <c r="P22" s="182">
        <v>10</v>
      </c>
      <c r="Q22" s="182">
        <v>1543.7288135593233</v>
      </c>
      <c r="R22" s="182">
        <v>154.37288135593232</v>
      </c>
      <c r="S22" s="488">
        <f t="shared" si="3"/>
        <v>20</v>
      </c>
      <c r="T22" s="605"/>
      <c r="U22" s="182">
        <v>10</v>
      </c>
      <c r="V22" s="182">
        <v>1484.0000000000014</v>
      </c>
      <c r="W22" s="182">
        <v>148.40000000000015</v>
      </c>
      <c r="X22" s="488">
        <f t="shared" si="4"/>
        <v>20</v>
      </c>
      <c r="Y22" s="605"/>
      <c r="Z22" s="182">
        <v>10</v>
      </c>
      <c r="AA22" s="182">
        <v>1456.3636363636331</v>
      </c>
      <c r="AB22" s="182">
        <v>145.63636363636331</v>
      </c>
      <c r="AC22" s="488">
        <f t="shared" si="5"/>
        <v>20</v>
      </c>
      <c r="AD22" s="605"/>
      <c r="AE22" s="182">
        <v>10</v>
      </c>
      <c r="AF22" s="182">
        <v>1438.9090909090919</v>
      </c>
      <c r="AG22" s="182">
        <v>143.89090909090919</v>
      </c>
      <c r="AH22" s="488">
        <f t="shared" si="6"/>
        <v>20</v>
      </c>
      <c r="AI22" s="605"/>
      <c r="AJ22" s="182">
        <v>10</v>
      </c>
      <c r="AK22" s="182">
        <v>1498.7999999999981</v>
      </c>
      <c r="AL22" s="182">
        <v>149.87999999999982</v>
      </c>
      <c r="AM22" s="488">
        <f t="shared" si="7"/>
        <v>20</v>
      </c>
      <c r="AN22" s="605"/>
      <c r="AO22" s="182">
        <v>8</v>
      </c>
      <c r="AP22" s="182">
        <v>1397.4545454545444</v>
      </c>
      <c r="AQ22" s="182">
        <v>174.68181818181804</v>
      </c>
      <c r="AR22" s="488">
        <f t="shared" si="8"/>
        <v>20</v>
      </c>
      <c r="AS22" s="605"/>
      <c r="AT22" s="182">
        <v>10</v>
      </c>
      <c r="AU22" s="182">
        <v>1460.9999999999973</v>
      </c>
      <c r="AV22" s="182">
        <v>146.09999999999974</v>
      </c>
      <c r="AW22" s="488">
        <f t="shared" si="9"/>
        <v>19</v>
      </c>
      <c r="AX22" s="605"/>
      <c r="AZ22" s="526" t="e">
        <f t="shared" si="10"/>
        <v>#N/A</v>
      </c>
      <c r="BA22" s="605"/>
    </row>
    <row r="23" spans="2:53">
      <c r="B23" s="610"/>
      <c r="C23" s="488">
        <v>17</v>
      </c>
      <c r="D23" s="502" t="s">
        <v>677</v>
      </c>
      <c r="E23" s="502">
        <v>4</v>
      </c>
      <c r="F23" s="502">
        <v>2200</v>
      </c>
      <c r="G23" s="182">
        <v>550</v>
      </c>
      <c r="H23" s="600"/>
      <c r="I23" s="513">
        <f t="shared" si="0"/>
        <v>4</v>
      </c>
      <c r="J23" s="513">
        <f t="shared" si="1"/>
        <v>2191.9714285714294</v>
      </c>
      <c r="K23" s="200">
        <f t="shared" si="2"/>
        <v>547.99285714285736</v>
      </c>
      <c r="L23" s="621"/>
      <c r="M23" s="513">
        <f>RANK(K23, K$7:$K$36)</f>
        <v>18</v>
      </c>
      <c r="N23" s="604"/>
      <c r="O23" s="604"/>
      <c r="P23" s="182">
        <v>4</v>
      </c>
      <c r="Q23" s="182">
        <v>2104.7999999999938</v>
      </c>
      <c r="R23" s="182">
        <v>526.19999999999845</v>
      </c>
      <c r="S23" s="488">
        <f t="shared" si="3"/>
        <v>19</v>
      </c>
      <c r="T23" s="605"/>
      <c r="U23" s="182">
        <v>4</v>
      </c>
      <c r="V23" s="182">
        <v>2295.0000000000082</v>
      </c>
      <c r="W23" s="182">
        <v>573.75000000000205</v>
      </c>
      <c r="X23" s="488">
        <f t="shared" si="4"/>
        <v>18</v>
      </c>
      <c r="Y23" s="605"/>
      <c r="Z23" s="182">
        <v>4</v>
      </c>
      <c r="AA23" s="182">
        <v>2243.99999999999</v>
      </c>
      <c r="AB23" s="182">
        <v>560.9999999999975</v>
      </c>
      <c r="AC23" s="488">
        <f t="shared" si="5"/>
        <v>18</v>
      </c>
      <c r="AD23" s="605"/>
      <c r="AE23" s="182">
        <v>4</v>
      </c>
      <c r="AF23" s="182">
        <v>2111.9999999999909</v>
      </c>
      <c r="AG23" s="182">
        <v>527.99999999999773</v>
      </c>
      <c r="AH23" s="488">
        <f t="shared" si="6"/>
        <v>18</v>
      </c>
      <c r="AI23" s="605"/>
      <c r="AJ23" s="182">
        <v>4</v>
      </c>
      <c r="AK23" s="182">
        <v>2076.0000000000073</v>
      </c>
      <c r="AL23" s="182">
        <v>519.00000000000182</v>
      </c>
      <c r="AM23" s="488">
        <f t="shared" si="7"/>
        <v>19</v>
      </c>
      <c r="AN23" s="605"/>
      <c r="AO23" s="182">
        <v>4</v>
      </c>
      <c r="AP23" s="182">
        <v>2208.0000000000077</v>
      </c>
      <c r="AQ23" s="182">
        <v>552.00000000000193</v>
      </c>
      <c r="AR23" s="488">
        <f t="shared" si="8"/>
        <v>18</v>
      </c>
      <c r="AS23" s="605"/>
      <c r="AT23" s="182">
        <v>4</v>
      </c>
      <c r="AU23" s="182">
        <v>2304.0000000000082</v>
      </c>
      <c r="AV23" s="182">
        <v>576.00000000000205</v>
      </c>
      <c r="AW23" s="488">
        <f t="shared" si="9"/>
        <v>17</v>
      </c>
      <c r="AX23" s="605"/>
      <c r="AZ23" s="526" t="e">
        <f t="shared" si="10"/>
        <v>#N/A</v>
      </c>
      <c r="BA23" s="605"/>
    </row>
    <row r="24" spans="2:53">
      <c r="B24" s="610"/>
      <c r="C24" s="488">
        <v>18</v>
      </c>
      <c r="D24" s="502" t="s">
        <v>776</v>
      </c>
      <c r="E24" s="502">
        <v>3</v>
      </c>
      <c r="F24" s="502">
        <v>2800</v>
      </c>
      <c r="G24" s="182">
        <v>933.33333333333337</v>
      </c>
      <c r="H24" s="600"/>
      <c r="I24" s="513">
        <f t="shared" si="0"/>
        <v>3</v>
      </c>
      <c r="J24" s="513">
        <f t="shared" si="1"/>
        <v>2817.5599710430179</v>
      </c>
      <c r="K24" s="200">
        <f t="shared" si="2"/>
        <v>939.18665701433929</v>
      </c>
      <c r="L24" s="621"/>
      <c r="M24" s="513">
        <f>RANK(K24, K$7:$K$36)</f>
        <v>7</v>
      </c>
      <c r="N24" s="604"/>
      <c r="O24" s="604"/>
      <c r="P24" s="182">
        <v>3</v>
      </c>
      <c r="Q24" s="182">
        <v>2769.7959183673479</v>
      </c>
      <c r="R24" s="182">
        <v>923.26530612244926</v>
      </c>
      <c r="S24" s="488">
        <f t="shared" si="3"/>
        <v>7</v>
      </c>
      <c r="T24" s="605"/>
      <c r="U24" s="182">
        <v>3</v>
      </c>
      <c r="V24" s="182">
        <v>2853.913043478261</v>
      </c>
      <c r="W24" s="182">
        <v>951.304347826087</v>
      </c>
      <c r="X24" s="488">
        <f t="shared" si="4"/>
        <v>7</v>
      </c>
      <c r="Y24" s="605"/>
      <c r="Z24" s="182">
        <v>3</v>
      </c>
      <c r="AA24" s="182">
        <v>2775.7142857142849</v>
      </c>
      <c r="AB24" s="182">
        <v>925.23809523809496</v>
      </c>
      <c r="AC24" s="488">
        <f t="shared" si="5"/>
        <v>7</v>
      </c>
      <c r="AD24" s="605"/>
      <c r="AE24" s="182">
        <v>3</v>
      </c>
      <c r="AF24" s="182">
        <v>2809.4999999999991</v>
      </c>
      <c r="AG24" s="182">
        <v>936.49999999999966</v>
      </c>
      <c r="AH24" s="488">
        <f t="shared" si="6"/>
        <v>7</v>
      </c>
      <c r="AI24" s="605"/>
      <c r="AJ24" s="182">
        <v>3</v>
      </c>
      <c r="AK24" s="182">
        <v>2868.6486486486529</v>
      </c>
      <c r="AL24" s="182">
        <v>956.21621621621762</v>
      </c>
      <c r="AM24" s="488">
        <f t="shared" si="7"/>
        <v>7</v>
      </c>
      <c r="AN24" s="605"/>
      <c r="AO24" s="182">
        <v>3</v>
      </c>
      <c r="AP24" s="182">
        <v>2875.1351351351332</v>
      </c>
      <c r="AQ24" s="182">
        <v>958.37837837837776</v>
      </c>
      <c r="AR24" s="488">
        <f t="shared" si="8"/>
        <v>6</v>
      </c>
      <c r="AS24" s="605"/>
      <c r="AT24" s="182">
        <v>3</v>
      </c>
      <c r="AU24" s="182">
        <v>2770.2127659574471</v>
      </c>
      <c r="AV24" s="182">
        <v>923.404255319149</v>
      </c>
      <c r="AW24" s="488">
        <f t="shared" si="9"/>
        <v>7</v>
      </c>
      <c r="AX24" s="605"/>
      <c r="AZ24" s="526" t="e">
        <f t="shared" si="10"/>
        <v>#N/A</v>
      </c>
      <c r="BA24" s="605"/>
    </row>
    <row r="25" spans="2:53">
      <c r="B25" s="610"/>
      <c r="C25" s="488">
        <v>19</v>
      </c>
      <c r="D25" s="502" t="s">
        <v>777</v>
      </c>
      <c r="E25" s="502">
        <v>4</v>
      </c>
      <c r="F25" s="502">
        <v>2200</v>
      </c>
      <c r="G25" s="182">
        <v>550</v>
      </c>
      <c r="H25" s="600"/>
      <c r="I25" s="513">
        <f t="shared" si="0"/>
        <v>4</v>
      </c>
      <c r="J25" s="513">
        <f t="shared" si="1"/>
        <v>2190.8816326530582</v>
      </c>
      <c r="K25" s="200">
        <f t="shared" si="2"/>
        <v>547.72040816326455</v>
      </c>
      <c r="L25" s="621"/>
      <c r="M25" s="513">
        <f>RANK(K25, K$7:$K$36)</f>
        <v>19</v>
      </c>
      <c r="N25" s="604"/>
      <c r="O25" s="604"/>
      <c r="P25" s="182">
        <v>4</v>
      </c>
      <c r="Q25" s="182">
        <v>2201.9999999999991</v>
      </c>
      <c r="R25" s="182">
        <v>550.49999999999977</v>
      </c>
      <c r="S25" s="488">
        <f t="shared" si="3"/>
        <v>18</v>
      </c>
      <c r="T25" s="605"/>
      <c r="U25" s="182">
        <v>4</v>
      </c>
      <c r="V25" s="182">
        <v>2182.2857142857019</v>
      </c>
      <c r="W25" s="182">
        <v>545.57142857142549</v>
      </c>
      <c r="X25" s="488">
        <f t="shared" si="4"/>
        <v>19</v>
      </c>
      <c r="Y25" s="605"/>
      <c r="Z25" s="182">
        <v>4</v>
      </c>
      <c r="AA25" s="182">
        <v>2141.9999999999964</v>
      </c>
      <c r="AB25" s="182">
        <v>535.49999999999909</v>
      </c>
      <c r="AC25" s="488">
        <f t="shared" si="5"/>
        <v>19</v>
      </c>
      <c r="AD25" s="605"/>
      <c r="AE25" s="182">
        <v>4</v>
      </c>
      <c r="AF25" s="182">
        <v>2045.9999999999964</v>
      </c>
      <c r="AG25" s="182">
        <v>511.49999999999909</v>
      </c>
      <c r="AH25" s="488">
        <f t="shared" si="6"/>
        <v>19</v>
      </c>
      <c r="AI25" s="605"/>
      <c r="AJ25" s="182">
        <v>4</v>
      </c>
      <c r="AK25" s="182">
        <v>2433.600000000024</v>
      </c>
      <c r="AL25" s="182">
        <v>608.400000000006</v>
      </c>
      <c r="AM25" s="488">
        <f t="shared" si="7"/>
        <v>18</v>
      </c>
      <c r="AN25" s="605"/>
      <c r="AO25" s="182">
        <v>4</v>
      </c>
      <c r="AP25" s="182">
        <v>2081.1428571428455</v>
      </c>
      <c r="AQ25" s="182">
        <v>520.28571428571138</v>
      </c>
      <c r="AR25" s="488">
        <f t="shared" si="8"/>
        <v>19</v>
      </c>
      <c r="AS25" s="605"/>
      <c r="AT25" s="182">
        <v>4</v>
      </c>
      <c r="AU25" s="182">
        <v>2249.1428571428446</v>
      </c>
      <c r="AV25" s="182">
        <v>562.28571428571115</v>
      </c>
      <c r="AW25" s="488">
        <f t="shared" si="9"/>
        <v>18</v>
      </c>
      <c r="AX25" s="605"/>
      <c r="AZ25" s="526" t="e">
        <f t="shared" si="10"/>
        <v>#N/A</v>
      </c>
      <c r="BA25" s="605"/>
    </row>
    <row r="26" spans="2:53">
      <c r="B26" s="610"/>
      <c r="C26" s="488">
        <v>20</v>
      </c>
      <c r="D26" s="502" t="s">
        <v>778</v>
      </c>
      <c r="E26" s="502">
        <v>4</v>
      </c>
      <c r="F26" s="502">
        <v>2800</v>
      </c>
      <c r="G26" s="182">
        <v>700</v>
      </c>
      <c r="H26" s="600"/>
      <c r="I26" s="513">
        <f t="shared" si="0"/>
        <v>4</v>
      </c>
      <c r="J26" s="513">
        <f t="shared" si="1"/>
        <v>2818.1127960406839</v>
      </c>
      <c r="K26" s="200">
        <f t="shared" si="2"/>
        <v>704.52819901017097</v>
      </c>
      <c r="L26" s="621"/>
      <c r="M26" s="513">
        <f>RANK(K26, K$7:$K$36)</f>
        <v>15</v>
      </c>
      <c r="N26" s="604"/>
      <c r="O26" s="604"/>
      <c r="P26" s="182">
        <v>4</v>
      </c>
      <c r="Q26" s="182">
        <v>2784.9056603773574</v>
      </c>
      <c r="R26" s="182">
        <v>696.22641509433936</v>
      </c>
      <c r="S26" s="488">
        <f t="shared" si="3"/>
        <v>15</v>
      </c>
      <c r="T26" s="605"/>
      <c r="U26" s="182">
        <v>4</v>
      </c>
      <c r="V26" s="182">
        <v>2855.9999999999986</v>
      </c>
      <c r="W26" s="182">
        <v>713.99999999999966</v>
      </c>
      <c r="X26" s="488">
        <f t="shared" si="4"/>
        <v>15</v>
      </c>
      <c r="Y26" s="605"/>
      <c r="Z26" s="182">
        <v>4</v>
      </c>
      <c r="AA26" s="182">
        <v>2741.9999999999991</v>
      </c>
      <c r="AB26" s="182">
        <v>685.49999999999977</v>
      </c>
      <c r="AC26" s="488">
        <f t="shared" si="5"/>
        <v>16</v>
      </c>
      <c r="AD26" s="605"/>
      <c r="AE26" s="182">
        <v>4</v>
      </c>
      <c r="AF26" s="182">
        <v>2821.578947368419</v>
      </c>
      <c r="AG26" s="182">
        <v>705.39473684210475</v>
      </c>
      <c r="AH26" s="488">
        <f t="shared" si="6"/>
        <v>16</v>
      </c>
      <c r="AI26" s="605"/>
      <c r="AJ26" s="182">
        <v>4</v>
      </c>
      <c r="AK26" s="182">
        <v>2911.666666666667</v>
      </c>
      <c r="AL26" s="182">
        <v>727.91666666666674</v>
      </c>
      <c r="AM26" s="488">
        <f t="shared" si="7"/>
        <v>14</v>
      </c>
      <c r="AN26" s="605"/>
      <c r="AO26" s="182">
        <v>4</v>
      </c>
      <c r="AP26" s="182">
        <v>2820.0000000000036</v>
      </c>
      <c r="AQ26" s="182">
        <v>705.00000000000091</v>
      </c>
      <c r="AR26" s="488">
        <f t="shared" si="8"/>
        <v>16</v>
      </c>
      <c r="AS26" s="605"/>
      <c r="AT26" s="182">
        <v>4</v>
      </c>
      <c r="AU26" s="182">
        <v>2790.6382978723409</v>
      </c>
      <c r="AV26" s="182">
        <v>697.65957446808522</v>
      </c>
      <c r="AW26" s="488">
        <f t="shared" si="9"/>
        <v>14</v>
      </c>
      <c r="AX26" s="605"/>
      <c r="AZ26" s="526" t="e">
        <f t="shared" si="10"/>
        <v>#N/A</v>
      </c>
      <c r="BA26" s="605"/>
    </row>
    <row r="27" spans="2:53">
      <c r="B27" s="610"/>
      <c r="C27" s="488">
        <v>21</v>
      </c>
      <c r="D27" s="505" t="s">
        <v>799</v>
      </c>
      <c r="E27" s="502">
        <v>12</v>
      </c>
      <c r="F27" s="502">
        <v>1500</v>
      </c>
      <c r="G27" s="182">
        <v>125</v>
      </c>
      <c r="H27" s="600"/>
      <c r="I27" s="513">
        <f t="shared" si="0"/>
        <v>11.714285714285714</v>
      </c>
      <c r="J27" s="513">
        <f t="shared" si="1"/>
        <v>1268.7495371423945</v>
      </c>
      <c r="K27" s="200">
        <f t="shared" si="2"/>
        <v>108.14671051278197</v>
      </c>
      <c r="L27" s="621"/>
      <c r="M27" s="513">
        <f>RANK(K27, K$7:$K$36)</f>
        <v>22</v>
      </c>
      <c r="N27" s="604"/>
      <c r="O27" s="604"/>
      <c r="P27" s="182">
        <v>12</v>
      </c>
      <c r="Q27" s="182">
        <v>1378.3783783783772</v>
      </c>
      <c r="R27" s="182">
        <v>114.86486486486477</v>
      </c>
      <c r="S27" s="488">
        <f t="shared" si="3"/>
        <v>22</v>
      </c>
      <c r="T27" s="605"/>
      <c r="U27" s="182">
        <v>12</v>
      </c>
      <c r="V27" s="182">
        <v>1435.7142857142826</v>
      </c>
      <c r="W27" s="182">
        <v>119.64285714285688</v>
      </c>
      <c r="X27" s="488">
        <f t="shared" si="4"/>
        <v>21</v>
      </c>
      <c r="Y27" s="605"/>
      <c r="Z27" s="182">
        <v>10</v>
      </c>
      <c r="AA27" s="182">
        <v>1015.3846153846129</v>
      </c>
      <c r="AB27" s="182">
        <v>101.53846153846129</v>
      </c>
      <c r="AC27" s="488">
        <f t="shared" si="5"/>
        <v>22</v>
      </c>
      <c r="AD27" s="605"/>
      <c r="AE27" s="182">
        <v>12</v>
      </c>
      <c r="AF27" s="182">
        <v>1361.250000000005</v>
      </c>
      <c r="AG27" s="182">
        <v>113.43750000000041</v>
      </c>
      <c r="AH27" s="488">
        <f t="shared" si="6"/>
        <v>21</v>
      </c>
      <c r="AI27" s="605"/>
      <c r="AJ27" s="182">
        <v>12</v>
      </c>
      <c r="AK27" s="182">
        <v>1200.0000000000043</v>
      </c>
      <c r="AL27" s="182">
        <v>100.00000000000036</v>
      </c>
      <c r="AM27" s="488">
        <f t="shared" si="7"/>
        <v>22</v>
      </c>
      <c r="AN27" s="605"/>
      <c r="AO27" s="182">
        <v>12</v>
      </c>
      <c r="AP27" s="182">
        <v>1211.4285714285757</v>
      </c>
      <c r="AQ27" s="182">
        <v>100.9523809523813</v>
      </c>
      <c r="AR27" s="488">
        <f t="shared" si="8"/>
        <v>22</v>
      </c>
      <c r="AS27" s="605"/>
      <c r="AT27" s="182">
        <v>12</v>
      </c>
      <c r="AU27" s="182">
        <v>1279.0909090909042</v>
      </c>
      <c r="AV27" s="182">
        <v>106.59090909090868</v>
      </c>
      <c r="AW27" s="488">
        <f t="shared" si="9"/>
        <v>20</v>
      </c>
      <c r="AX27" s="605"/>
      <c r="AZ27" s="526" t="e">
        <f t="shared" si="10"/>
        <v>#N/A</v>
      </c>
      <c r="BA27" s="605"/>
    </row>
    <row r="28" spans="2:53">
      <c r="B28" s="610"/>
      <c r="C28" s="488">
        <v>22</v>
      </c>
      <c r="D28" s="502" t="s">
        <v>811</v>
      </c>
      <c r="E28" s="502">
        <v>12</v>
      </c>
      <c r="F28" s="502">
        <v>1500</v>
      </c>
      <c r="G28" s="502">
        <v>125</v>
      </c>
      <c r="H28" s="600"/>
      <c r="I28" s="513">
        <f t="shared" si="0"/>
        <v>12</v>
      </c>
      <c r="J28" s="513">
        <f t="shared" si="1"/>
        <v>1326.6341861264129</v>
      </c>
      <c r="K28" s="200">
        <f t="shared" si="2"/>
        <v>110.55284884386775</v>
      </c>
      <c r="L28" s="621"/>
      <c r="M28" s="513">
        <f>RANK(K28, K$7:$K$36)</f>
        <v>21</v>
      </c>
      <c r="N28" s="604"/>
      <c r="O28" s="604"/>
      <c r="P28" s="182">
        <v>12</v>
      </c>
      <c r="Q28" s="182">
        <v>1398.9041095890414</v>
      </c>
      <c r="R28" s="182">
        <v>116.57534246575345</v>
      </c>
      <c r="S28" s="488">
        <f t="shared" si="3"/>
        <v>21</v>
      </c>
      <c r="T28" s="605"/>
      <c r="U28" s="182">
        <v>12</v>
      </c>
      <c r="V28" s="182">
        <v>1405.0684931506853</v>
      </c>
      <c r="W28" s="182">
        <v>117.08904109589044</v>
      </c>
      <c r="X28" s="488">
        <f t="shared" si="4"/>
        <v>22</v>
      </c>
      <c r="Y28" s="605"/>
      <c r="Z28" s="182">
        <v>12</v>
      </c>
      <c r="AA28" s="182">
        <v>1434.6341463414631</v>
      </c>
      <c r="AB28" s="182">
        <v>119.55284552845525</v>
      </c>
      <c r="AC28" s="488">
        <f t="shared" si="5"/>
        <v>21</v>
      </c>
      <c r="AD28" s="605"/>
      <c r="AE28" s="182">
        <v>12</v>
      </c>
      <c r="AF28" s="182">
        <v>1332.4528301886799</v>
      </c>
      <c r="AG28" s="182">
        <v>111.03773584905666</v>
      </c>
      <c r="AH28" s="488">
        <f t="shared" si="6"/>
        <v>22</v>
      </c>
      <c r="AI28" s="605"/>
      <c r="AJ28" s="182">
        <v>12</v>
      </c>
      <c r="AK28" s="182">
        <v>1251.0810810810829</v>
      </c>
      <c r="AL28" s="182">
        <v>104.2567567567569</v>
      </c>
      <c r="AM28" s="488">
        <f t="shared" si="7"/>
        <v>21</v>
      </c>
      <c r="AN28" s="605"/>
      <c r="AO28" s="182">
        <v>12</v>
      </c>
      <c r="AP28" s="182">
        <v>1260.76923076923</v>
      </c>
      <c r="AQ28" s="182">
        <v>105.0641025641025</v>
      </c>
      <c r="AR28" s="488">
        <f t="shared" si="8"/>
        <v>21</v>
      </c>
      <c r="AS28" s="605"/>
      <c r="AT28" s="182">
        <v>12</v>
      </c>
      <c r="AU28" s="182">
        <v>1203.5294117647077</v>
      </c>
      <c r="AV28" s="182">
        <v>100.29411764705897</v>
      </c>
      <c r="AW28" s="488">
        <f t="shared" si="9"/>
        <v>21</v>
      </c>
      <c r="AX28" s="605"/>
      <c r="AZ28" s="526" t="e">
        <f t="shared" si="10"/>
        <v>#N/A</v>
      </c>
      <c r="BA28" s="605"/>
    </row>
    <row r="29" spans="2:53">
      <c r="B29" s="610"/>
      <c r="C29" s="488">
        <v>23</v>
      </c>
      <c r="D29" s="502"/>
      <c r="E29" s="502"/>
      <c r="F29" s="502"/>
      <c r="G29" s="502"/>
      <c r="H29" s="600"/>
      <c r="I29" s="513" t="str">
        <f t="shared" si="0"/>
        <v>-</v>
      </c>
      <c r="J29" s="513" t="str">
        <f t="shared" si="1"/>
        <v>-</v>
      </c>
      <c r="K29" s="200" t="str">
        <f t="shared" si="2"/>
        <v>-</v>
      </c>
      <c r="L29" s="621"/>
      <c r="M29" s="513" t="e">
        <f>RANK(K29, K$7:$K$36)</f>
        <v>#VALUE!</v>
      </c>
      <c r="N29" s="604"/>
      <c r="O29" s="604"/>
      <c r="P29" s="488"/>
      <c r="Q29" s="488"/>
      <c r="R29" s="489"/>
      <c r="S29" s="488" t="e">
        <f t="shared" si="3"/>
        <v>#N/A</v>
      </c>
      <c r="T29" s="605"/>
      <c r="U29" s="511"/>
      <c r="V29" s="511"/>
      <c r="W29" s="512"/>
      <c r="X29" s="488" t="e">
        <f t="shared" si="4"/>
        <v>#N/A</v>
      </c>
      <c r="Y29" s="605"/>
      <c r="Z29" s="511"/>
      <c r="AA29" s="511"/>
      <c r="AB29" s="512"/>
      <c r="AC29" s="488" t="e">
        <f t="shared" si="5"/>
        <v>#N/A</v>
      </c>
      <c r="AD29" s="605"/>
      <c r="AE29" s="511"/>
      <c r="AF29" s="511"/>
      <c r="AG29" s="512"/>
      <c r="AH29" s="488" t="e">
        <f t="shared" si="6"/>
        <v>#N/A</v>
      </c>
      <c r="AI29" s="605"/>
      <c r="AJ29" s="511"/>
      <c r="AK29" s="511"/>
      <c r="AL29" s="512"/>
      <c r="AM29" s="488" t="e">
        <f t="shared" si="7"/>
        <v>#N/A</v>
      </c>
      <c r="AN29" s="605"/>
      <c r="AO29" s="511"/>
      <c r="AP29" s="511"/>
      <c r="AQ29" s="512"/>
      <c r="AR29" s="488" t="e">
        <f t="shared" si="8"/>
        <v>#N/A</v>
      </c>
      <c r="AS29" s="605"/>
      <c r="AT29" s="511"/>
      <c r="AU29" s="511"/>
      <c r="AV29" s="512"/>
      <c r="AW29" s="488" t="e">
        <f t="shared" si="9"/>
        <v>#N/A</v>
      </c>
      <c r="AX29" s="605"/>
      <c r="AZ29" s="526" t="e">
        <f t="shared" si="10"/>
        <v>#N/A</v>
      </c>
      <c r="BA29" s="605"/>
    </row>
    <row r="30" spans="2:53">
      <c r="B30" s="610"/>
      <c r="C30" s="488">
        <v>24</v>
      </c>
      <c r="D30" s="502"/>
      <c r="E30" s="502"/>
      <c r="F30" s="502"/>
      <c r="G30" s="502"/>
      <c r="H30" s="600"/>
      <c r="I30" s="513" t="str">
        <f t="shared" si="0"/>
        <v>-</v>
      </c>
      <c r="J30" s="513" t="str">
        <f t="shared" si="1"/>
        <v>-</v>
      </c>
      <c r="K30" s="200" t="str">
        <f t="shared" si="2"/>
        <v>-</v>
      </c>
      <c r="L30" s="621"/>
      <c r="M30" s="513" t="e">
        <f>RANK(K30, K$7:$K$36)</f>
        <v>#VALUE!</v>
      </c>
      <c r="N30" s="604"/>
      <c r="O30" s="604"/>
      <c r="P30" s="488"/>
      <c r="Q30" s="488"/>
      <c r="R30" s="488"/>
      <c r="S30" s="488" t="e">
        <f t="shared" si="3"/>
        <v>#N/A</v>
      </c>
      <c r="T30" s="605"/>
      <c r="U30" s="511"/>
      <c r="V30" s="511"/>
      <c r="W30" s="511"/>
      <c r="X30" s="488" t="e">
        <f t="shared" si="4"/>
        <v>#N/A</v>
      </c>
      <c r="Y30" s="605"/>
      <c r="Z30" s="511"/>
      <c r="AA30" s="511"/>
      <c r="AB30" s="511"/>
      <c r="AC30" s="488" t="e">
        <f t="shared" si="5"/>
        <v>#N/A</v>
      </c>
      <c r="AD30" s="605"/>
      <c r="AE30" s="511"/>
      <c r="AF30" s="511"/>
      <c r="AG30" s="511"/>
      <c r="AH30" s="488" t="e">
        <f t="shared" si="6"/>
        <v>#N/A</v>
      </c>
      <c r="AI30" s="605"/>
      <c r="AJ30" s="511"/>
      <c r="AK30" s="511"/>
      <c r="AL30" s="511"/>
      <c r="AM30" s="488" t="e">
        <f t="shared" si="7"/>
        <v>#N/A</v>
      </c>
      <c r="AN30" s="605"/>
      <c r="AO30" s="511"/>
      <c r="AP30" s="511"/>
      <c r="AQ30" s="511"/>
      <c r="AR30" s="488" t="e">
        <f t="shared" si="8"/>
        <v>#N/A</v>
      </c>
      <c r="AS30" s="605"/>
      <c r="AT30" s="511"/>
      <c r="AU30" s="511"/>
      <c r="AV30" s="511"/>
      <c r="AW30" s="488" t="e">
        <f t="shared" si="9"/>
        <v>#N/A</v>
      </c>
      <c r="AX30" s="605"/>
      <c r="AZ30" s="526" t="e">
        <f t="shared" si="10"/>
        <v>#N/A</v>
      </c>
      <c r="BA30" s="605"/>
    </row>
    <row r="31" spans="2:53">
      <c r="B31" s="610"/>
      <c r="C31" s="488">
        <v>25</v>
      </c>
      <c r="D31" s="502"/>
      <c r="E31" s="502"/>
      <c r="F31" s="502"/>
      <c r="G31" s="502"/>
      <c r="H31" s="600"/>
      <c r="I31" s="513" t="str">
        <f t="shared" si="0"/>
        <v>-</v>
      </c>
      <c r="J31" s="513" t="str">
        <f t="shared" si="1"/>
        <v>-</v>
      </c>
      <c r="K31" s="200" t="str">
        <f t="shared" si="2"/>
        <v>-</v>
      </c>
      <c r="L31" s="621"/>
      <c r="M31" s="513" t="e">
        <f>RANK(K31, K$7:$K$36)</f>
        <v>#VALUE!</v>
      </c>
      <c r="N31" s="604"/>
      <c r="O31" s="604"/>
      <c r="P31" s="488"/>
      <c r="Q31" s="488"/>
      <c r="R31" s="488"/>
      <c r="S31" s="488" t="e">
        <f t="shared" si="3"/>
        <v>#N/A</v>
      </c>
      <c r="T31" s="605"/>
      <c r="U31" s="511"/>
      <c r="V31" s="511"/>
      <c r="W31" s="511"/>
      <c r="X31" s="488" t="e">
        <f t="shared" si="4"/>
        <v>#N/A</v>
      </c>
      <c r="Y31" s="605"/>
      <c r="Z31" s="511"/>
      <c r="AA31" s="511"/>
      <c r="AB31" s="511"/>
      <c r="AC31" s="488" t="e">
        <f t="shared" si="5"/>
        <v>#N/A</v>
      </c>
      <c r="AD31" s="605"/>
      <c r="AE31" s="511"/>
      <c r="AF31" s="511"/>
      <c r="AG31" s="511"/>
      <c r="AH31" s="488" t="e">
        <f t="shared" si="6"/>
        <v>#N/A</v>
      </c>
      <c r="AI31" s="605"/>
      <c r="AJ31" s="511"/>
      <c r="AK31" s="511"/>
      <c r="AL31" s="511"/>
      <c r="AM31" s="488" t="e">
        <f t="shared" si="7"/>
        <v>#N/A</v>
      </c>
      <c r="AN31" s="605"/>
      <c r="AO31" s="511"/>
      <c r="AP31" s="511"/>
      <c r="AQ31" s="511"/>
      <c r="AR31" s="488" t="e">
        <f t="shared" si="8"/>
        <v>#N/A</v>
      </c>
      <c r="AS31" s="605"/>
      <c r="AT31" s="511"/>
      <c r="AU31" s="511"/>
      <c r="AV31" s="511"/>
      <c r="AW31" s="488" t="e">
        <f t="shared" si="9"/>
        <v>#N/A</v>
      </c>
      <c r="AX31" s="605"/>
      <c r="AZ31" s="526" t="e">
        <f t="shared" si="10"/>
        <v>#N/A</v>
      </c>
      <c r="BA31" s="605"/>
    </row>
    <row r="32" spans="2:53">
      <c r="B32" s="610"/>
      <c r="C32" s="488">
        <v>26</v>
      </c>
      <c r="D32" s="502"/>
      <c r="E32" s="502"/>
      <c r="F32" s="502"/>
      <c r="G32" s="502"/>
      <c r="H32" s="600"/>
      <c r="I32" s="513" t="str">
        <f t="shared" si="0"/>
        <v>-</v>
      </c>
      <c r="J32" s="513" t="str">
        <f t="shared" si="1"/>
        <v>-</v>
      </c>
      <c r="K32" s="200" t="str">
        <f t="shared" si="2"/>
        <v>-</v>
      </c>
      <c r="L32" s="621"/>
      <c r="M32" s="513" t="e">
        <f>RANK(K32, K$7:$K$36)</f>
        <v>#VALUE!</v>
      </c>
      <c r="N32" s="604"/>
      <c r="O32" s="604"/>
      <c r="P32" s="488"/>
      <c r="Q32" s="488"/>
      <c r="R32" s="488"/>
      <c r="S32" s="488" t="e">
        <f t="shared" si="3"/>
        <v>#N/A</v>
      </c>
      <c r="T32" s="605"/>
      <c r="U32" s="511"/>
      <c r="V32" s="511"/>
      <c r="W32" s="511"/>
      <c r="X32" s="488" t="e">
        <f t="shared" si="4"/>
        <v>#N/A</v>
      </c>
      <c r="Y32" s="605"/>
      <c r="Z32" s="511"/>
      <c r="AA32" s="511"/>
      <c r="AB32" s="511"/>
      <c r="AC32" s="488" t="e">
        <f t="shared" si="5"/>
        <v>#N/A</v>
      </c>
      <c r="AD32" s="605"/>
      <c r="AE32" s="511"/>
      <c r="AF32" s="511"/>
      <c r="AG32" s="511"/>
      <c r="AH32" s="488" t="e">
        <f t="shared" si="6"/>
        <v>#N/A</v>
      </c>
      <c r="AI32" s="605"/>
      <c r="AJ32" s="511"/>
      <c r="AK32" s="511"/>
      <c r="AL32" s="511"/>
      <c r="AM32" s="488" t="e">
        <f t="shared" si="7"/>
        <v>#N/A</v>
      </c>
      <c r="AN32" s="605"/>
      <c r="AO32" s="511"/>
      <c r="AP32" s="511"/>
      <c r="AQ32" s="511"/>
      <c r="AR32" s="488" t="e">
        <f t="shared" si="8"/>
        <v>#N/A</v>
      </c>
      <c r="AS32" s="605"/>
      <c r="AT32" s="511"/>
      <c r="AU32" s="511"/>
      <c r="AV32" s="511"/>
      <c r="AW32" s="488" t="e">
        <f t="shared" si="9"/>
        <v>#N/A</v>
      </c>
      <c r="AX32" s="605"/>
      <c r="AZ32" s="526" t="e">
        <f t="shared" si="10"/>
        <v>#N/A</v>
      </c>
      <c r="BA32" s="605"/>
    </row>
    <row r="33" spans="2:53">
      <c r="B33" s="610"/>
      <c r="C33" s="488">
        <v>27</v>
      </c>
      <c r="D33" s="502"/>
      <c r="E33" s="502"/>
      <c r="F33" s="502"/>
      <c r="G33" s="502"/>
      <c r="H33" s="600"/>
      <c r="I33" s="513" t="str">
        <f t="shared" si="0"/>
        <v>-</v>
      </c>
      <c r="J33" s="513" t="str">
        <f t="shared" si="1"/>
        <v>-</v>
      </c>
      <c r="K33" s="200" t="str">
        <f t="shared" si="2"/>
        <v>-</v>
      </c>
      <c r="L33" s="621"/>
      <c r="M33" s="513" t="e">
        <f>RANK(K33, K$7:$K$36)</f>
        <v>#VALUE!</v>
      </c>
      <c r="N33" s="604"/>
      <c r="O33" s="604"/>
      <c r="P33" s="488"/>
      <c r="Q33" s="488"/>
      <c r="R33" s="488"/>
      <c r="S33" s="488" t="e">
        <f t="shared" si="3"/>
        <v>#N/A</v>
      </c>
      <c r="T33" s="605"/>
      <c r="U33" s="511"/>
      <c r="V33" s="511"/>
      <c r="W33" s="511"/>
      <c r="X33" s="488" t="e">
        <f t="shared" si="4"/>
        <v>#N/A</v>
      </c>
      <c r="Y33" s="605"/>
      <c r="Z33" s="511"/>
      <c r="AA33" s="511"/>
      <c r="AB33" s="511"/>
      <c r="AC33" s="488" t="e">
        <f t="shared" si="5"/>
        <v>#N/A</v>
      </c>
      <c r="AD33" s="605"/>
      <c r="AE33" s="511"/>
      <c r="AF33" s="511"/>
      <c r="AG33" s="511"/>
      <c r="AH33" s="488" t="e">
        <f t="shared" si="6"/>
        <v>#N/A</v>
      </c>
      <c r="AI33" s="605"/>
      <c r="AJ33" s="511"/>
      <c r="AK33" s="511"/>
      <c r="AL33" s="511"/>
      <c r="AM33" s="488" t="e">
        <f t="shared" si="7"/>
        <v>#N/A</v>
      </c>
      <c r="AN33" s="605"/>
      <c r="AO33" s="511"/>
      <c r="AP33" s="511"/>
      <c r="AQ33" s="511"/>
      <c r="AR33" s="488" t="e">
        <f t="shared" si="8"/>
        <v>#N/A</v>
      </c>
      <c r="AS33" s="605"/>
      <c r="AT33" s="511"/>
      <c r="AU33" s="511"/>
      <c r="AV33" s="511"/>
      <c r="AW33" s="488" t="e">
        <f t="shared" si="9"/>
        <v>#N/A</v>
      </c>
      <c r="AX33" s="605"/>
      <c r="AZ33" s="526" t="e">
        <f t="shared" si="10"/>
        <v>#N/A</v>
      </c>
      <c r="BA33" s="605"/>
    </row>
    <row r="34" spans="2:53">
      <c r="B34" s="610"/>
      <c r="C34" s="488">
        <v>28</v>
      </c>
      <c r="D34" s="502"/>
      <c r="E34" s="502"/>
      <c r="F34" s="502"/>
      <c r="G34" s="502"/>
      <c r="H34" s="600"/>
      <c r="I34" s="513" t="str">
        <f t="shared" si="0"/>
        <v>-</v>
      </c>
      <c r="J34" s="513" t="str">
        <f t="shared" si="1"/>
        <v>-</v>
      </c>
      <c r="K34" s="200" t="str">
        <f t="shared" si="2"/>
        <v>-</v>
      </c>
      <c r="L34" s="621"/>
      <c r="M34" s="513" t="e">
        <f>RANK(K34, K$7:$K$36)</f>
        <v>#VALUE!</v>
      </c>
      <c r="N34" s="604"/>
      <c r="O34" s="604"/>
      <c r="P34" s="488"/>
      <c r="Q34" s="488"/>
      <c r="R34" s="488"/>
      <c r="S34" s="488" t="e">
        <f t="shared" si="3"/>
        <v>#N/A</v>
      </c>
      <c r="T34" s="605"/>
      <c r="U34" s="511"/>
      <c r="V34" s="511"/>
      <c r="W34" s="511"/>
      <c r="X34" s="488" t="e">
        <f t="shared" si="4"/>
        <v>#N/A</v>
      </c>
      <c r="Y34" s="605"/>
      <c r="Z34" s="511"/>
      <c r="AA34" s="511"/>
      <c r="AB34" s="511"/>
      <c r="AC34" s="488" t="e">
        <f t="shared" si="5"/>
        <v>#N/A</v>
      </c>
      <c r="AD34" s="605"/>
      <c r="AE34" s="511"/>
      <c r="AF34" s="511"/>
      <c r="AG34" s="511"/>
      <c r="AH34" s="488" t="e">
        <f t="shared" si="6"/>
        <v>#N/A</v>
      </c>
      <c r="AI34" s="605"/>
      <c r="AJ34" s="511"/>
      <c r="AK34" s="511"/>
      <c r="AL34" s="511"/>
      <c r="AM34" s="488" t="e">
        <f t="shared" si="7"/>
        <v>#N/A</v>
      </c>
      <c r="AN34" s="605"/>
      <c r="AO34" s="511"/>
      <c r="AP34" s="511"/>
      <c r="AQ34" s="511"/>
      <c r="AR34" s="488" t="e">
        <f t="shared" si="8"/>
        <v>#N/A</v>
      </c>
      <c r="AS34" s="605"/>
      <c r="AT34" s="511"/>
      <c r="AU34" s="511"/>
      <c r="AV34" s="511"/>
      <c r="AW34" s="488" t="e">
        <f t="shared" si="9"/>
        <v>#N/A</v>
      </c>
      <c r="AX34" s="605"/>
      <c r="AZ34" s="526" t="e">
        <f t="shared" si="10"/>
        <v>#N/A</v>
      </c>
      <c r="BA34" s="605"/>
    </row>
    <row r="35" spans="2:53">
      <c r="B35" s="610"/>
      <c r="C35" s="488">
        <v>29</v>
      </c>
      <c r="D35" s="502"/>
      <c r="E35" s="502"/>
      <c r="F35" s="502"/>
      <c r="G35" s="502"/>
      <c r="H35" s="600"/>
      <c r="I35" s="513" t="str">
        <f t="shared" si="0"/>
        <v>-</v>
      </c>
      <c r="J35" s="513" t="str">
        <f t="shared" si="1"/>
        <v>-</v>
      </c>
      <c r="K35" s="200" t="str">
        <f t="shared" si="2"/>
        <v>-</v>
      </c>
      <c r="L35" s="621"/>
      <c r="M35" s="513" t="e">
        <f>RANK(K35, K$7:$K$36)</f>
        <v>#VALUE!</v>
      </c>
      <c r="N35" s="604"/>
      <c r="O35" s="604"/>
      <c r="P35" s="488"/>
      <c r="Q35" s="488"/>
      <c r="R35" s="488"/>
      <c r="S35" s="488" t="e">
        <f t="shared" si="3"/>
        <v>#N/A</v>
      </c>
      <c r="T35" s="605"/>
      <c r="U35" s="511"/>
      <c r="V35" s="511"/>
      <c r="W35" s="511"/>
      <c r="X35" s="488" t="e">
        <f t="shared" si="4"/>
        <v>#N/A</v>
      </c>
      <c r="Y35" s="605"/>
      <c r="Z35" s="511"/>
      <c r="AA35" s="511"/>
      <c r="AB35" s="511"/>
      <c r="AC35" s="488" t="e">
        <f t="shared" si="5"/>
        <v>#N/A</v>
      </c>
      <c r="AD35" s="605"/>
      <c r="AE35" s="511"/>
      <c r="AF35" s="511"/>
      <c r="AG35" s="511"/>
      <c r="AH35" s="488" t="e">
        <f t="shared" si="6"/>
        <v>#N/A</v>
      </c>
      <c r="AI35" s="605"/>
      <c r="AJ35" s="511"/>
      <c r="AK35" s="511"/>
      <c r="AL35" s="511"/>
      <c r="AM35" s="488" t="e">
        <f t="shared" si="7"/>
        <v>#N/A</v>
      </c>
      <c r="AN35" s="605"/>
      <c r="AO35" s="511"/>
      <c r="AP35" s="511"/>
      <c r="AQ35" s="511"/>
      <c r="AR35" s="488" t="e">
        <f t="shared" si="8"/>
        <v>#N/A</v>
      </c>
      <c r="AS35" s="605"/>
      <c r="AT35" s="511"/>
      <c r="AU35" s="511"/>
      <c r="AV35" s="511"/>
      <c r="AW35" s="488" t="e">
        <f t="shared" si="9"/>
        <v>#N/A</v>
      </c>
      <c r="AX35" s="605"/>
      <c r="AZ35" s="526" t="e">
        <f t="shared" si="10"/>
        <v>#N/A</v>
      </c>
      <c r="BA35" s="605"/>
    </row>
    <row r="36" spans="2:53">
      <c r="B36" s="610"/>
      <c r="C36" s="488">
        <v>30</v>
      </c>
      <c r="D36" s="502"/>
      <c r="E36" s="502"/>
      <c r="F36" s="502"/>
      <c r="G36" s="502"/>
      <c r="H36" s="601"/>
      <c r="I36" s="513" t="str">
        <f t="shared" si="0"/>
        <v>-</v>
      </c>
      <c r="J36" s="513" t="str">
        <f t="shared" si="1"/>
        <v>-</v>
      </c>
      <c r="K36" s="200" t="str">
        <f t="shared" si="2"/>
        <v>-</v>
      </c>
      <c r="L36" s="622"/>
      <c r="M36" s="513" t="e">
        <f>RANK(K36, K$7:$K$36)</f>
        <v>#VALUE!</v>
      </c>
      <c r="N36" s="604"/>
      <c r="O36" s="604"/>
      <c r="P36" s="488"/>
      <c r="Q36" s="488"/>
      <c r="R36" s="488"/>
      <c r="S36" s="488" t="e">
        <f t="shared" si="3"/>
        <v>#N/A</v>
      </c>
      <c r="T36" s="605"/>
      <c r="U36" s="511"/>
      <c r="V36" s="511"/>
      <c r="W36" s="511"/>
      <c r="X36" s="488" t="e">
        <f t="shared" si="4"/>
        <v>#N/A</v>
      </c>
      <c r="Y36" s="605"/>
      <c r="Z36" s="511"/>
      <c r="AA36" s="511"/>
      <c r="AB36" s="511"/>
      <c r="AC36" s="488" t="e">
        <f t="shared" si="5"/>
        <v>#N/A</v>
      </c>
      <c r="AD36" s="605"/>
      <c r="AE36" s="511"/>
      <c r="AF36" s="511"/>
      <c r="AG36" s="511"/>
      <c r="AH36" s="488" t="e">
        <f t="shared" si="6"/>
        <v>#N/A</v>
      </c>
      <c r="AI36" s="605"/>
      <c r="AJ36" s="511"/>
      <c r="AK36" s="511"/>
      <c r="AL36" s="511"/>
      <c r="AM36" s="488" t="e">
        <f t="shared" si="7"/>
        <v>#N/A</v>
      </c>
      <c r="AN36" s="605"/>
      <c r="AO36" s="511"/>
      <c r="AP36" s="511"/>
      <c r="AQ36" s="511"/>
      <c r="AR36" s="488" t="e">
        <f t="shared" si="8"/>
        <v>#N/A</v>
      </c>
      <c r="AS36" s="605"/>
      <c r="AT36" s="511"/>
      <c r="AU36" s="511"/>
      <c r="AV36" s="511"/>
      <c r="AW36" s="488" t="e">
        <f t="shared" si="9"/>
        <v>#N/A</v>
      </c>
      <c r="AX36" s="605"/>
      <c r="AZ36" s="526" t="e">
        <f t="shared" si="10"/>
        <v>#N/A</v>
      </c>
      <c r="BA36" s="605"/>
    </row>
    <row r="37" spans="2:53" ht="15.75">
      <c r="B37" s="648" t="s">
        <v>163</v>
      </c>
      <c r="C37" s="649"/>
      <c r="D37" s="649"/>
      <c r="E37" s="649"/>
      <c r="F37" s="649"/>
      <c r="G37" s="649"/>
      <c r="H37" s="649"/>
      <c r="I37" s="203"/>
      <c r="J37" s="203"/>
      <c r="K37" s="203"/>
      <c r="L37" s="203"/>
      <c r="M37" s="204"/>
      <c r="N37" s="606" t="s">
        <v>156</v>
      </c>
      <c r="O37" s="606" t="s">
        <v>155</v>
      </c>
      <c r="P37" s="632">
        <f>P2+7</f>
        <v>46119</v>
      </c>
      <c r="Q37" s="610"/>
      <c r="R37" s="610"/>
      <c r="S37" s="610"/>
      <c r="T37" s="610"/>
      <c r="U37" s="632">
        <f>P37+1</f>
        <v>46120</v>
      </c>
      <c r="V37" s="610"/>
      <c r="W37" s="610"/>
      <c r="X37" s="610"/>
      <c r="Y37" s="610"/>
      <c r="Z37" s="632">
        <f>U37+1</f>
        <v>46121</v>
      </c>
      <c r="AA37" s="610"/>
      <c r="AB37" s="610"/>
      <c r="AC37" s="610"/>
      <c r="AD37" s="610"/>
      <c r="AE37" s="632">
        <f>Z37+1</f>
        <v>46122</v>
      </c>
      <c r="AF37" s="610"/>
      <c r="AG37" s="610"/>
      <c r="AH37" s="610"/>
      <c r="AI37" s="610"/>
      <c r="AJ37" s="632">
        <f>AE37+1</f>
        <v>46123</v>
      </c>
      <c r="AK37" s="610"/>
      <c r="AL37" s="610"/>
      <c r="AM37" s="610"/>
      <c r="AN37" s="610"/>
      <c r="AO37" s="632">
        <f>AJ37+1</f>
        <v>46124</v>
      </c>
      <c r="AP37" s="610"/>
      <c r="AQ37" s="610"/>
      <c r="AR37" s="610"/>
      <c r="AS37" s="610"/>
      <c r="AT37" s="632">
        <f>AO37+1</f>
        <v>46125</v>
      </c>
      <c r="AU37" s="610"/>
      <c r="AV37" s="610"/>
      <c r="AW37" s="610"/>
      <c r="AX37" s="610"/>
    </row>
    <row r="38" spans="2:53" ht="15.75">
      <c r="B38" s="636"/>
      <c r="C38" s="636"/>
      <c r="D38" s="636"/>
      <c r="E38" s="636"/>
      <c r="F38" s="636"/>
      <c r="G38" s="636"/>
      <c r="H38" s="636"/>
      <c r="I38" s="205"/>
      <c r="J38" s="205"/>
      <c r="K38" s="205"/>
      <c r="L38" s="205"/>
      <c r="M38" s="206"/>
      <c r="N38" s="608"/>
      <c r="O38" s="608"/>
      <c r="P38" s="632" t="s">
        <v>336</v>
      </c>
      <c r="Q38" s="610"/>
      <c r="R38" s="610"/>
      <c r="S38" s="610"/>
      <c r="T38" s="610"/>
      <c r="U38" s="632" t="s">
        <v>337</v>
      </c>
      <c r="V38" s="610"/>
      <c r="W38" s="610"/>
      <c r="X38" s="610"/>
      <c r="Y38" s="610"/>
      <c r="Z38" s="632" t="s">
        <v>338</v>
      </c>
      <c r="AA38" s="610"/>
      <c r="AB38" s="610"/>
      <c r="AC38" s="610"/>
      <c r="AD38" s="610"/>
      <c r="AE38" s="632" t="s">
        <v>339</v>
      </c>
      <c r="AF38" s="610"/>
      <c r="AG38" s="610"/>
      <c r="AH38" s="610"/>
      <c r="AI38" s="610"/>
      <c r="AJ38" s="632" t="s">
        <v>340</v>
      </c>
      <c r="AK38" s="610"/>
      <c r="AL38" s="610"/>
      <c r="AM38" s="610"/>
      <c r="AN38" s="610"/>
      <c r="AO38" s="632" t="s">
        <v>341</v>
      </c>
      <c r="AP38" s="610"/>
      <c r="AQ38" s="610"/>
      <c r="AR38" s="610"/>
      <c r="AS38" s="610"/>
      <c r="AT38" s="632" t="s">
        <v>342</v>
      </c>
      <c r="AU38" s="610"/>
      <c r="AV38" s="610"/>
      <c r="AW38" s="610"/>
      <c r="AX38" s="610"/>
    </row>
    <row r="39" spans="2:53">
      <c r="B39" s="606" t="s">
        <v>465</v>
      </c>
      <c r="C39" s="637" t="s">
        <v>466</v>
      </c>
      <c r="D39" s="653"/>
      <c r="E39" s="623" t="s">
        <v>467</v>
      </c>
      <c r="F39" s="624"/>
      <c r="G39" s="625"/>
      <c r="H39" s="606" t="s">
        <v>395</v>
      </c>
      <c r="I39" s="660" t="s">
        <v>400</v>
      </c>
      <c r="J39" s="661"/>
      <c r="K39" s="662"/>
      <c r="L39" s="642" t="s">
        <v>395</v>
      </c>
      <c r="M39" s="642" t="s">
        <v>396</v>
      </c>
      <c r="N39" s="606"/>
      <c r="O39" s="606" t="s">
        <v>468</v>
      </c>
      <c r="P39" s="623" t="s">
        <v>469</v>
      </c>
      <c r="Q39" s="624"/>
      <c r="R39" s="624"/>
      <c r="S39" s="625"/>
      <c r="T39" s="606" t="s">
        <v>395</v>
      </c>
      <c r="U39" s="623" t="s">
        <v>397</v>
      </c>
      <c r="V39" s="624"/>
      <c r="W39" s="624"/>
      <c r="X39" s="625"/>
      <c r="Y39" s="606" t="s">
        <v>395</v>
      </c>
      <c r="Z39" s="623" t="s">
        <v>397</v>
      </c>
      <c r="AA39" s="624"/>
      <c r="AB39" s="624"/>
      <c r="AC39" s="625"/>
      <c r="AD39" s="606" t="s">
        <v>470</v>
      </c>
      <c r="AE39" s="623" t="s">
        <v>397</v>
      </c>
      <c r="AF39" s="624"/>
      <c r="AG39" s="624"/>
      <c r="AH39" s="625"/>
      <c r="AI39" s="606" t="s">
        <v>395</v>
      </c>
      <c r="AJ39" s="623" t="s">
        <v>397</v>
      </c>
      <c r="AK39" s="624"/>
      <c r="AL39" s="624"/>
      <c r="AM39" s="625"/>
      <c r="AN39" s="606" t="s">
        <v>470</v>
      </c>
      <c r="AO39" s="623" t="s">
        <v>469</v>
      </c>
      <c r="AP39" s="624"/>
      <c r="AQ39" s="624"/>
      <c r="AR39" s="625"/>
      <c r="AS39" s="606" t="s">
        <v>470</v>
      </c>
      <c r="AT39" s="623" t="s">
        <v>469</v>
      </c>
      <c r="AU39" s="624"/>
      <c r="AV39" s="624"/>
      <c r="AW39" s="625"/>
      <c r="AX39" s="606" t="s">
        <v>470</v>
      </c>
      <c r="BA39" s="606" t="s">
        <v>395</v>
      </c>
    </row>
    <row r="40" spans="2:53">
      <c r="B40" s="607"/>
      <c r="C40" s="638"/>
      <c r="D40" s="654"/>
      <c r="E40" s="623" t="s">
        <v>402</v>
      </c>
      <c r="F40" s="624"/>
      <c r="G40" s="625"/>
      <c r="H40" s="607"/>
      <c r="I40" s="660" t="s">
        <v>402</v>
      </c>
      <c r="J40" s="661"/>
      <c r="K40" s="662"/>
      <c r="L40" s="643"/>
      <c r="M40" s="643"/>
      <c r="N40" s="607"/>
      <c r="O40" s="607"/>
      <c r="P40" s="623" t="s">
        <v>403</v>
      </c>
      <c r="Q40" s="624"/>
      <c r="R40" s="624"/>
      <c r="S40" s="625"/>
      <c r="T40" s="607"/>
      <c r="U40" s="623" t="s">
        <v>471</v>
      </c>
      <c r="V40" s="624"/>
      <c r="W40" s="624"/>
      <c r="X40" s="625"/>
      <c r="Y40" s="607"/>
      <c r="Z40" s="623" t="s">
        <v>471</v>
      </c>
      <c r="AA40" s="624"/>
      <c r="AB40" s="624"/>
      <c r="AC40" s="625"/>
      <c r="AD40" s="607"/>
      <c r="AE40" s="623" t="s">
        <v>403</v>
      </c>
      <c r="AF40" s="624"/>
      <c r="AG40" s="624"/>
      <c r="AH40" s="625"/>
      <c r="AI40" s="607"/>
      <c r="AJ40" s="623" t="s">
        <v>403</v>
      </c>
      <c r="AK40" s="624"/>
      <c r="AL40" s="624"/>
      <c r="AM40" s="625"/>
      <c r="AN40" s="607"/>
      <c r="AO40" s="623" t="s">
        <v>403</v>
      </c>
      <c r="AP40" s="624"/>
      <c r="AQ40" s="624"/>
      <c r="AR40" s="625"/>
      <c r="AS40" s="607"/>
      <c r="AT40" s="623" t="s">
        <v>403</v>
      </c>
      <c r="AU40" s="624"/>
      <c r="AV40" s="624"/>
      <c r="AW40" s="625"/>
      <c r="AX40" s="607"/>
      <c r="BA40" s="607"/>
    </row>
    <row r="41" spans="2:53">
      <c r="B41" s="608"/>
      <c r="C41" s="639"/>
      <c r="D41" s="655"/>
      <c r="E41" s="316" t="s">
        <v>404</v>
      </c>
      <c r="F41" s="316" t="s">
        <v>405</v>
      </c>
      <c r="G41" s="316" t="s">
        <v>472</v>
      </c>
      <c r="H41" s="608"/>
      <c r="I41" s="315" t="s">
        <v>404</v>
      </c>
      <c r="J41" s="315" t="s">
        <v>405</v>
      </c>
      <c r="K41" s="315" t="s">
        <v>406</v>
      </c>
      <c r="L41" s="644"/>
      <c r="M41" s="644"/>
      <c r="N41" s="607"/>
      <c r="O41" s="607"/>
      <c r="P41" s="316" t="s">
        <v>404</v>
      </c>
      <c r="Q41" s="316" t="s">
        <v>473</v>
      </c>
      <c r="R41" s="316" t="s">
        <v>406</v>
      </c>
      <c r="S41" s="316" t="s">
        <v>396</v>
      </c>
      <c r="T41" s="608"/>
      <c r="U41" s="316" t="s">
        <v>404</v>
      </c>
      <c r="V41" s="316" t="s">
        <v>405</v>
      </c>
      <c r="W41" s="316" t="s">
        <v>406</v>
      </c>
      <c r="X41" s="316" t="s">
        <v>474</v>
      </c>
      <c r="Y41" s="608"/>
      <c r="Z41" s="316" t="s">
        <v>475</v>
      </c>
      <c r="AA41" s="316" t="s">
        <v>405</v>
      </c>
      <c r="AB41" s="316" t="s">
        <v>406</v>
      </c>
      <c r="AC41" s="316" t="s">
        <v>474</v>
      </c>
      <c r="AD41" s="608"/>
      <c r="AE41" s="316" t="s">
        <v>404</v>
      </c>
      <c r="AF41" s="316" t="s">
        <v>405</v>
      </c>
      <c r="AG41" s="316" t="s">
        <v>406</v>
      </c>
      <c r="AH41" s="316" t="s">
        <v>474</v>
      </c>
      <c r="AI41" s="608"/>
      <c r="AJ41" s="316" t="s">
        <v>475</v>
      </c>
      <c r="AK41" s="316" t="s">
        <v>405</v>
      </c>
      <c r="AL41" s="316" t="s">
        <v>406</v>
      </c>
      <c r="AM41" s="316" t="s">
        <v>396</v>
      </c>
      <c r="AN41" s="608"/>
      <c r="AO41" s="316" t="s">
        <v>475</v>
      </c>
      <c r="AP41" s="316" t="s">
        <v>405</v>
      </c>
      <c r="AQ41" s="316" t="s">
        <v>406</v>
      </c>
      <c r="AR41" s="316" t="s">
        <v>474</v>
      </c>
      <c r="AS41" s="608"/>
      <c r="AT41" s="316" t="s">
        <v>475</v>
      </c>
      <c r="AU41" s="316" t="s">
        <v>405</v>
      </c>
      <c r="AV41" s="316" t="s">
        <v>406</v>
      </c>
      <c r="AW41" s="316" t="s">
        <v>474</v>
      </c>
      <c r="AX41" s="608"/>
      <c r="AZ41" s="527" t="s">
        <v>396</v>
      </c>
      <c r="BA41" s="608"/>
    </row>
    <row r="42" spans="2:53">
      <c r="B42" s="650" t="s">
        <v>150</v>
      </c>
      <c r="C42" s="317">
        <v>1</v>
      </c>
      <c r="D42" s="502" t="s">
        <v>358</v>
      </c>
      <c r="E42" s="502">
        <v>3</v>
      </c>
      <c r="F42" s="502">
        <v>3200</v>
      </c>
      <c r="G42" s="182">
        <v>1066.6666666666667</v>
      </c>
      <c r="H42" s="599">
        <f>AVERAGE(G42:G71)</f>
        <v>726.7045454545455</v>
      </c>
      <c r="I42" s="513">
        <f>IFERROR(AVERAGE(P42,U42,Z42,AE42,AJ42,AO42,AT42),"-")</f>
        <v>3</v>
      </c>
      <c r="J42" s="513">
        <f>IFERROR(AVERAGE(Q42,V42,AA42,AF42,AK42,AP42,AU42),"-")</f>
        <v>3262.1005532857553</v>
      </c>
      <c r="K42" s="200">
        <f>IFERROR(AVERAGE(R42,W42,AB42,AG42,AL42,AQ42,AV42),"-")</f>
        <v>1087.3668510952518</v>
      </c>
      <c r="L42" s="620">
        <f>IFERROR(AVERAGE(K42:K71),"-")</f>
        <v>762.06762610139492</v>
      </c>
      <c r="M42" s="199">
        <f>RANK(K42, K$42:$K$71)</f>
        <v>2</v>
      </c>
      <c r="N42" s="607"/>
      <c r="O42" s="607"/>
      <c r="P42" s="526">
        <v>3</v>
      </c>
      <c r="Q42" s="530">
        <v>3258.4615384615349</v>
      </c>
      <c r="R42" s="530">
        <v>1086.1538461538451</v>
      </c>
      <c r="S42" s="526">
        <f t="shared" ref="S42:S71" si="11">RANK(R42, R$42:R$71)</f>
        <v>5</v>
      </c>
      <c r="T42" s="599">
        <f t="shared" ref="T42" si="12">AVERAGE(R42:R71)</f>
        <v>753.61645887631585</v>
      </c>
      <c r="U42" s="526">
        <v>3</v>
      </c>
      <c r="V42" s="530">
        <v>3351.6000000000067</v>
      </c>
      <c r="W42" s="530">
        <v>1117.2000000000023</v>
      </c>
      <c r="X42" s="526">
        <f t="shared" ref="X42:X71" si="13">RANK(W42, W$42:W$71)</f>
        <v>1</v>
      </c>
      <c r="Y42" s="599">
        <f t="shared" ref="Y42" si="14">AVERAGE(W42:W71)</f>
        <v>747.07816541769546</v>
      </c>
      <c r="Z42" s="526">
        <v>3</v>
      </c>
      <c r="AA42" s="530">
        <v>3282.0000000000064</v>
      </c>
      <c r="AB42" s="530">
        <v>1094.000000000002</v>
      </c>
      <c r="AC42" s="526">
        <f t="shared" ref="AC42:AC71" si="15">RANK(AB42, AB$42:AB$71)</f>
        <v>3</v>
      </c>
      <c r="AD42" s="599">
        <f t="shared" ref="AD42" si="16">AVERAGE(AB42:AB71)</f>
        <v>757.48919149656047</v>
      </c>
      <c r="AE42" s="526">
        <v>3</v>
      </c>
      <c r="AF42" s="530">
        <v>3247.8260869565279</v>
      </c>
      <c r="AG42" s="530">
        <v>1082.608695652176</v>
      </c>
      <c r="AH42" s="526">
        <f t="shared" ref="AH42:AH71" si="17">RANK(AG42, AG$42:AG$71)</f>
        <v>4</v>
      </c>
      <c r="AI42" s="599">
        <f t="shared" ref="AI42" si="18">AVERAGE(AG42:AG71)</f>
        <v>766.96236156772511</v>
      </c>
      <c r="AJ42" s="526">
        <v>3</v>
      </c>
      <c r="AK42" s="530">
        <v>3149.36170212766</v>
      </c>
      <c r="AL42" s="530">
        <v>1049.7872340425533</v>
      </c>
      <c r="AM42" s="526">
        <f t="shared" ref="AM42:AM71" si="19">RANK(AL42, AL$42:AL$71)</f>
        <v>3</v>
      </c>
      <c r="AN42" s="599">
        <f t="shared" ref="AN42" si="20">AVERAGE(AL42:AL71)</f>
        <v>719.56175573319808</v>
      </c>
      <c r="AO42" s="526">
        <v>3</v>
      </c>
      <c r="AP42" s="530">
        <v>3240.0000000000023</v>
      </c>
      <c r="AQ42" s="530">
        <v>1080.0000000000007</v>
      </c>
      <c r="AR42" s="526">
        <f t="shared" ref="AR42:AR71" si="21">RANK(AQ42, AQ$42:AQ$71)</f>
        <v>2</v>
      </c>
      <c r="AS42" s="599">
        <f t="shared" ref="AS42" si="22">AVERAGE(AQ42:AQ71)</f>
        <v>749.67629088164824</v>
      </c>
      <c r="AT42" s="526">
        <v>3</v>
      </c>
      <c r="AU42" s="530">
        <v>3305.4545454545478</v>
      </c>
      <c r="AV42" s="530">
        <v>1101.8181818181827</v>
      </c>
      <c r="AW42" s="526">
        <f t="shared" ref="AW42:AW71" si="23">RANK(AV42, AV$42:AV$71)</f>
        <v>1</v>
      </c>
      <c r="AX42" s="599">
        <f t="shared" ref="AX42" si="24">AVERAGE(AV42:AV71)</f>
        <v>767.62935073540064</v>
      </c>
      <c r="AZ42" s="526" t="e">
        <f t="shared" ref="AZ42:AZ71" si="25">RANK(AY42, AY$42:AY$71)</f>
        <v>#N/A</v>
      </c>
      <c r="BA42" s="599" t="e">
        <f t="shared" ref="BA42" si="26">AVERAGE(AY42:AY71)</f>
        <v>#DIV/0!</v>
      </c>
    </row>
    <row r="43" spans="2:53">
      <c r="B43" s="651"/>
      <c r="C43" s="317">
        <v>2</v>
      </c>
      <c r="D43" s="504" t="s">
        <v>359</v>
      </c>
      <c r="E43" s="502">
        <v>3</v>
      </c>
      <c r="F43" s="502">
        <v>3200</v>
      </c>
      <c r="G43" s="182">
        <v>1066.6666666666667</v>
      </c>
      <c r="H43" s="600"/>
      <c r="I43" s="513">
        <f t="shared" ref="I43:I71" si="27">IFERROR(AVERAGE(P43,U43,Z43,AE43,AJ43,AO43,AT43),"-")</f>
        <v>3</v>
      </c>
      <c r="J43" s="513">
        <f t="shared" ref="J43:J71" si="28">IFERROR(AVERAGE(Q43,V43,AA43,AF43,AK43,AP43,AU43),"-")</f>
        <v>3227.7787114845883</v>
      </c>
      <c r="K43" s="200">
        <f t="shared" ref="K43:K71" si="29">IFERROR(AVERAGE(R43,W43,AB43,AG43,AL43,AQ43,AV43),"-")</f>
        <v>1075.9262371615293</v>
      </c>
      <c r="L43" s="621"/>
      <c r="M43" s="199">
        <f>RANK(K43, K$42:$K$71)</f>
        <v>4</v>
      </c>
      <c r="N43" s="607"/>
      <c r="O43" s="607"/>
      <c r="P43" s="526">
        <v>3</v>
      </c>
      <c r="Q43" s="530">
        <v>3296.2499999999959</v>
      </c>
      <c r="R43" s="530">
        <v>1098.7499999999986</v>
      </c>
      <c r="S43" s="526">
        <f t="shared" si="11"/>
        <v>1</v>
      </c>
      <c r="T43" s="600"/>
      <c r="U43" s="526">
        <v>3</v>
      </c>
      <c r="V43" s="530">
        <v>3211.7647058823341</v>
      </c>
      <c r="W43" s="530">
        <v>1070.5882352941114</v>
      </c>
      <c r="X43" s="526">
        <f t="shared" si="13"/>
        <v>5</v>
      </c>
      <c r="Y43" s="600"/>
      <c r="Z43" s="526">
        <v>3</v>
      </c>
      <c r="AA43" s="530">
        <v>3348.7499999999959</v>
      </c>
      <c r="AB43" s="530">
        <v>1116.2499999999986</v>
      </c>
      <c r="AC43" s="526">
        <f t="shared" si="15"/>
        <v>1</v>
      </c>
      <c r="AD43" s="600"/>
      <c r="AE43" s="526">
        <v>3</v>
      </c>
      <c r="AF43" s="530">
        <v>3220.0000000000114</v>
      </c>
      <c r="AG43" s="530">
        <v>1073.3333333333371</v>
      </c>
      <c r="AH43" s="526">
        <f t="shared" si="17"/>
        <v>5</v>
      </c>
      <c r="AI43" s="600"/>
      <c r="AJ43" s="526">
        <v>3</v>
      </c>
      <c r="AK43" s="530">
        <v>3011.9999999999945</v>
      </c>
      <c r="AL43" s="530">
        <v>1003.9999999999982</v>
      </c>
      <c r="AM43" s="526">
        <f t="shared" si="19"/>
        <v>5</v>
      </c>
      <c r="AN43" s="600"/>
      <c r="AO43" s="526">
        <v>3</v>
      </c>
      <c r="AP43" s="530">
        <v>3223.3333333333162</v>
      </c>
      <c r="AQ43" s="530">
        <v>1074.4444444444387</v>
      </c>
      <c r="AR43" s="526">
        <f t="shared" si="21"/>
        <v>3</v>
      </c>
      <c r="AS43" s="600"/>
      <c r="AT43" s="526">
        <v>3</v>
      </c>
      <c r="AU43" s="530">
        <v>3282.3529411764666</v>
      </c>
      <c r="AV43" s="530">
        <v>1094.1176470588223</v>
      </c>
      <c r="AW43" s="526">
        <f t="shared" si="23"/>
        <v>3</v>
      </c>
      <c r="AX43" s="600"/>
      <c r="AZ43" s="526" t="e">
        <f t="shared" si="25"/>
        <v>#N/A</v>
      </c>
      <c r="BA43" s="600"/>
    </row>
    <row r="44" spans="2:53">
      <c r="B44" s="651"/>
      <c r="C44" s="317">
        <v>3</v>
      </c>
      <c r="D44" s="502" t="s">
        <v>348</v>
      </c>
      <c r="E44" s="502">
        <v>4</v>
      </c>
      <c r="F44" s="502">
        <v>3200</v>
      </c>
      <c r="G44" s="182">
        <v>800</v>
      </c>
      <c r="H44" s="600"/>
      <c r="I44" s="513">
        <f t="shared" si="27"/>
        <v>4</v>
      </c>
      <c r="J44" s="513">
        <f t="shared" si="28"/>
        <v>3252.769107643061</v>
      </c>
      <c r="K44" s="200">
        <f t="shared" si="29"/>
        <v>813.19227691076526</v>
      </c>
      <c r="L44" s="621"/>
      <c r="M44" s="199">
        <f>RANK(K44, K$42:$K$71)</f>
        <v>12</v>
      </c>
      <c r="N44" s="607"/>
      <c r="O44" s="607"/>
      <c r="P44" s="526">
        <v>4</v>
      </c>
      <c r="Q44" s="530">
        <v>3236.6666666666779</v>
      </c>
      <c r="R44" s="530">
        <v>809.16666666666947</v>
      </c>
      <c r="S44" s="526">
        <f t="shared" si="11"/>
        <v>11</v>
      </c>
      <c r="T44" s="600"/>
      <c r="U44" s="526">
        <v>4</v>
      </c>
      <c r="V44" s="530">
        <v>3222.8571428571295</v>
      </c>
      <c r="W44" s="530">
        <v>805.71428571428237</v>
      </c>
      <c r="X44" s="526">
        <f t="shared" si="13"/>
        <v>11</v>
      </c>
      <c r="Y44" s="600"/>
      <c r="Z44" s="526">
        <v>4</v>
      </c>
      <c r="AA44" s="530">
        <v>3245.7142857142971</v>
      </c>
      <c r="AB44" s="530">
        <v>811.42857142857429</v>
      </c>
      <c r="AC44" s="526">
        <f t="shared" si="15"/>
        <v>12</v>
      </c>
      <c r="AD44" s="600"/>
      <c r="AE44" s="526">
        <v>4</v>
      </c>
      <c r="AF44" s="530">
        <v>3486.6666666666638</v>
      </c>
      <c r="AG44" s="530">
        <v>871.66666666666595</v>
      </c>
      <c r="AH44" s="526">
        <f t="shared" si="17"/>
        <v>9</v>
      </c>
      <c r="AI44" s="600"/>
      <c r="AJ44" s="526">
        <v>4</v>
      </c>
      <c r="AK44" s="530">
        <v>3151.7647058823641</v>
      </c>
      <c r="AL44" s="530">
        <v>787.94117647059102</v>
      </c>
      <c r="AM44" s="526">
        <f t="shared" si="19"/>
        <v>9</v>
      </c>
      <c r="AN44" s="600"/>
      <c r="AO44" s="526">
        <v>4</v>
      </c>
      <c r="AP44" s="530">
        <v>3214.2857142857133</v>
      </c>
      <c r="AQ44" s="530">
        <v>803.57142857142833</v>
      </c>
      <c r="AR44" s="526">
        <f t="shared" si="21"/>
        <v>12</v>
      </c>
      <c r="AS44" s="600"/>
      <c r="AT44" s="526">
        <v>4</v>
      </c>
      <c r="AU44" s="530">
        <v>3211.4285714285829</v>
      </c>
      <c r="AV44" s="530">
        <v>802.85714285714573</v>
      </c>
      <c r="AW44" s="526">
        <f t="shared" si="23"/>
        <v>13</v>
      </c>
      <c r="AX44" s="600"/>
      <c r="AZ44" s="526" t="e">
        <f t="shared" si="25"/>
        <v>#N/A</v>
      </c>
      <c r="BA44" s="600"/>
    </row>
    <row r="45" spans="2:53">
      <c r="B45" s="651"/>
      <c r="C45" s="317">
        <v>4</v>
      </c>
      <c r="D45" s="502" t="s">
        <v>360</v>
      </c>
      <c r="E45" s="502">
        <v>3</v>
      </c>
      <c r="F45" s="502">
        <v>3200</v>
      </c>
      <c r="G45" s="182">
        <v>1066.6666666666667</v>
      </c>
      <c r="H45" s="600"/>
      <c r="I45" s="513">
        <f t="shared" si="27"/>
        <v>3</v>
      </c>
      <c r="J45" s="513">
        <f t="shared" si="28"/>
        <v>3243.2689864279332</v>
      </c>
      <c r="K45" s="200">
        <f t="shared" si="29"/>
        <v>1081.0896621426443</v>
      </c>
      <c r="L45" s="621"/>
      <c r="M45" s="199">
        <f>RANK(K45, K$42:$K$71)</f>
        <v>3</v>
      </c>
      <c r="N45" s="607"/>
      <c r="O45" s="607"/>
      <c r="P45" s="526">
        <v>3</v>
      </c>
      <c r="Q45" s="530">
        <v>3269.2682926829257</v>
      </c>
      <c r="R45" s="530">
        <v>1089.7560975609751</v>
      </c>
      <c r="S45" s="526">
        <f t="shared" si="11"/>
        <v>4</v>
      </c>
      <c r="T45" s="600"/>
      <c r="U45" s="526">
        <v>3</v>
      </c>
      <c r="V45" s="530">
        <v>3279.5121951219503</v>
      </c>
      <c r="W45" s="530">
        <v>1093.1707317073167</v>
      </c>
      <c r="X45" s="526">
        <f t="shared" si="13"/>
        <v>4</v>
      </c>
      <c r="Y45" s="600"/>
      <c r="Z45" s="526">
        <v>3</v>
      </c>
      <c r="AA45" s="530">
        <v>3267.6923076923094</v>
      </c>
      <c r="AB45" s="530">
        <v>1089.2307692307697</v>
      </c>
      <c r="AC45" s="526">
        <f t="shared" si="15"/>
        <v>4</v>
      </c>
      <c r="AD45" s="600"/>
      <c r="AE45" s="526">
        <v>3</v>
      </c>
      <c r="AF45" s="530">
        <v>3263.8235294117649</v>
      </c>
      <c r="AG45" s="530">
        <v>1087.9411764705883</v>
      </c>
      <c r="AH45" s="526">
        <f t="shared" si="17"/>
        <v>3</v>
      </c>
      <c r="AI45" s="600"/>
      <c r="AJ45" s="526">
        <v>3</v>
      </c>
      <c r="AK45" s="530">
        <v>3164.5714285714294</v>
      </c>
      <c r="AL45" s="530">
        <v>1054.8571428571431</v>
      </c>
      <c r="AM45" s="526">
        <f t="shared" si="19"/>
        <v>2</v>
      </c>
      <c r="AN45" s="600"/>
      <c r="AO45" s="526">
        <v>3</v>
      </c>
      <c r="AP45" s="530">
        <v>3210.681818181818</v>
      </c>
      <c r="AQ45" s="530">
        <v>1070.2272727272727</v>
      </c>
      <c r="AR45" s="526">
        <f t="shared" si="21"/>
        <v>4</v>
      </c>
      <c r="AS45" s="600"/>
      <c r="AT45" s="526">
        <v>3</v>
      </c>
      <c r="AU45" s="530">
        <v>3247.333333333333</v>
      </c>
      <c r="AV45" s="530">
        <v>1082.4444444444443</v>
      </c>
      <c r="AW45" s="526">
        <f t="shared" si="23"/>
        <v>5</v>
      </c>
      <c r="AX45" s="600"/>
      <c r="AZ45" s="526" t="e">
        <f t="shared" si="25"/>
        <v>#N/A</v>
      </c>
      <c r="BA45" s="600"/>
    </row>
    <row r="46" spans="2:53">
      <c r="B46" s="651"/>
      <c r="C46" s="317">
        <v>5</v>
      </c>
      <c r="D46" s="502" t="s">
        <v>770</v>
      </c>
      <c r="E46" s="502">
        <v>4</v>
      </c>
      <c r="F46" s="502">
        <v>3200</v>
      </c>
      <c r="G46" s="182">
        <v>800</v>
      </c>
      <c r="H46" s="600"/>
      <c r="I46" s="513">
        <f t="shared" si="27"/>
        <v>4</v>
      </c>
      <c r="J46" s="513">
        <f t="shared" si="28"/>
        <v>3250.2037194188028</v>
      </c>
      <c r="K46" s="200">
        <f t="shared" si="29"/>
        <v>812.55092985470071</v>
      </c>
      <c r="L46" s="621"/>
      <c r="M46" s="199">
        <f>RANK(K46, K$42:$K$71)</f>
        <v>13</v>
      </c>
      <c r="N46" s="607"/>
      <c r="O46" s="607"/>
      <c r="P46" s="526">
        <v>4</v>
      </c>
      <c r="Q46" s="530">
        <v>3213.7500000000036</v>
      </c>
      <c r="R46" s="530">
        <v>803.43750000000091</v>
      </c>
      <c r="S46" s="526">
        <f t="shared" si="11"/>
        <v>12</v>
      </c>
      <c r="T46" s="600"/>
      <c r="U46" s="526">
        <v>4</v>
      </c>
      <c r="V46" s="530">
        <v>3294.8571428571395</v>
      </c>
      <c r="W46" s="530">
        <v>823.71428571428487</v>
      </c>
      <c r="X46" s="526">
        <f t="shared" si="13"/>
        <v>10</v>
      </c>
      <c r="Y46" s="600"/>
      <c r="Z46" s="526">
        <v>4</v>
      </c>
      <c r="AA46" s="530">
        <v>3248.8235294117685</v>
      </c>
      <c r="AB46" s="530">
        <v>812.20588235294213</v>
      </c>
      <c r="AC46" s="526">
        <f t="shared" si="15"/>
        <v>11</v>
      </c>
      <c r="AD46" s="600"/>
      <c r="AE46" s="526">
        <v>4</v>
      </c>
      <c r="AF46" s="530">
        <v>3374.482758620692</v>
      </c>
      <c r="AG46" s="530">
        <v>843.62068965517301</v>
      </c>
      <c r="AH46" s="526">
        <f t="shared" si="17"/>
        <v>10</v>
      </c>
      <c r="AI46" s="600"/>
      <c r="AJ46" s="526">
        <v>4</v>
      </c>
      <c r="AK46" s="530">
        <v>3072.0000000000027</v>
      </c>
      <c r="AL46" s="530">
        <v>768.00000000000068</v>
      </c>
      <c r="AM46" s="526">
        <f t="shared" si="19"/>
        <v>11</v>
      </c>
      <c r="AN46" s="600"/>
      <c r="AO46" s="526">
        <v>4</v>
      </c>
      <c r="AP46" s="530">
        <v>3284.5714285714253</v>
      </c>
      <c r="AQ46" s="530">
        <v>821.14285714285631</v>
      </c>
      <c r="AR46" s="526">
        <f t="shared" si="21"/>
        <v>9</v>
      </c>
      <c r="AS46" s="600"/>
      <c r="AT46" s="526">
        <v>4</v>
      </c>
      <c r="AU46" s="530">
        <v>3262.9411764705924</v>
      </c>
      <c r="AV46" s="530">
        <v>815.7352941176481</v>
      </c>
      <c r="AW46" s="526">
        <f t="shared" si="23"/>
        <v>10</v>
      </c>
      <c r="AX46" s="600"/>
      <c r="AZ46" s="526" t="e">
        <f t="shared" si="25"/>
        <v>#N/A</v>
      </c>
      <c r="BA46" s="600"/>
    </row>
    <row r="47" spans="2:53">
      <c r="B47" s="651"/>
      <c r="C47" s="317">
        <v>6</v>
      </c>
      <c r="D47" s="502" t="s">
        <v>771</v>
      </c>
      <c r="E47" s="502">
        <v>4</v>
      </c>
      <c r="F47" s="502">
        <v>3200</v>
      </c>
      <c r="G47" s="182">
        <v>800</v>
      </c>
      <c r="H47" s="600"/>
      <c r="I47" s="513">
        <f t="shared" si="27"/>
        <v>4</v>
      </c>
      <c r="J47" s="513">
        <f t="shared" si="28"/>
        <v>3360.9501800720209</v>
      </c>
      <c r="K47" s="200">
        <f t="shared" si="29"/>
        <v>840.23754501800522</v>
      </c>
      <c r="L47" s="621"/>
      <c r="M47" s="199">
        <f>RANK(K47, K$42:$K$71)</f>
        <v>9</v>
      </c>
      <c r="N47" s="607"/>
      <c r="O47" s="607"/>
      <c r="P47" s="526">
        <v>4</v>
      </c>
      <c r="Q47" s="530">
        <v>3295.7142857142785</v>
      </c>
      <c r="R47" s="530">
        <v>823.92857142856963</v>
      </c>
      <c r="S47" s="526">
        <f t="shared" si="11"/>
        <v>10</v>
      </c>
      <c r="T47" s="600"/>
      <c r="U47" s="526">
        <v>4</v>
      </c>
      <c r="V47" s="530">
        <v>3458.8235294117444</v>
      </c>
      <c r="W47" s="530">
        <v>864.7058823529361</v>
      </c>
      <c r="X47" s="526">
        <f t="shared" si="13"/>
        <v>8</v>
      </c>
      <c r="Y47" s="600"/>
      <c r="Z47" s="526">
        <v>4</v>
      </c>
      <c r="AA47" s="530">
        <v>3655.9999999999936</v>
      </c>
      <c r="AB47" s="530">
        <v>913.99999999999841</v>
      </c>
      <c r="AC47" s="526">
        <f t="shared" si="15"/>
        <v>8</v>
      </c>
      <c r="AD47" s="600"/>
      <c r="AE47" s="526">
        <v>4</v>
      </c>
      <c r="AF47" s="530">
        <v>3359.9999999999941</v>
      </c>
      <c r="AG47" s="530">
        <v>839.99999999999852</v>
      </c>
      <c r="AH47" s="526">
        <f t="shared" si="17"/>
        <v>11</v>
      </c>
      <c r="AI47" s="600"/>
      <c r="AJ47" s="526">
        <v>4</v>
      </c>
      <c r="AK47" s="530">
        <v>3107.1428571428501</v>
      </c>
      <c r="AL47" s="530">
        <v>776.78571428571252</v>
      </c>
      <c r="AM47" s="526">
        <f t="shared" si="19"/>
        <v>10</v>
      </c>
      <c r="AN47" s="600"/>
      <c r="AO47" s="526">
        <v>4</v>
      </c>
      <c r="AP47" s="530">
        <v>3412.4999999999955</v>
      </c>
      <c r="AQ47" s="530">
        <v>853.12499999999886</v>
      </c>
      <c r="AR47" s="526">
        <f t="shared" si="21"/>
        <v>8</v>
      </c>
      <c r="AS47" s="600"/>
      <c r="AT47" s="526">
        <v>4</v>
      </c>
      <c r="AU47" s="530">
        <v>3236.4705882352901</v>
      </c>
      <c r="AV47" s="530">
        <v>809.11764705882251</v>
      </c>
      <c r="AW47" s="526">
        <f t="shared" si="23"/>
        <v>12</v>
      </c>
      <c r="AX47" s="600"/>
      <c r="AZ47" s="526" t="e">
        <f t="shared" si="25"/>
        <v>#N/A</v>
      </c>
      <c r="BA47" s="600"/>
    </row>
    <row r="48" spans="2:53">
      <c r="B48" s="651"/>
      <c r="C48" s="317">
        <v>7</v>
      </c>
      <c r="D48" s="502" t="s">
        <v>361</v>
      </c>
      <c r="E48" s="502">
        <v>4</v>
      </c>
      <c r="F48" s="502">
        <v>2800</v>
      </c>
      <c r="G48" s="182">
        <v>700</v>
      </c>
      <c r="H48" s="600"/>
      <c r="I48" s="513">
        <f t="shared" si="27"/>
        <v>4</v>
      </c>
      <c r="J48" s="513">
        <f t="shared" si="28"/>
        <v>3326.7742257742252</v>
      </c>
      <c r="K48" s="200">
        <f t="shared" si="29"/>
        <v>831.6935564435563</v>
      </c>
      <c r="L48" s="621"/>
      <c r="M48" s="199">
        <f>RANK(K48, K$42:$K$71)</f>
        <v>10</v>
      </c>
      <c r="N48" s="607"/>
      <c r="O48" s="607"/>
      <c r="P48" s="526">
        <v>4</v>
      </c>
      <c r="Q48" s="530">
        <v>3475.0000000000123</v>
      </c>
      <c r="R48" s="530">
        <v>868.75000000000307</v>
      </c>
      <c r="S48" s="526">
        <f t="shared" si="11"/>
        <v>8</v>
      </c>
      <c r="T48" s="600"/>
      <c r="U48" s="526">
        <v>4</v>
      </c>
      <c r="V48" s="530">
        <v>3444.9999999999891</v>
      </c>
      <c r="W48" s="530">
        <v>861.24999999999727</v>
      </c>
      <c r="X48" s="526">
        <f t="shared" si="13"/>
        <v>9</v>
      </c>
      <c r="Y48" s="600"/>
      <c r="Z48" s="526">
        <v>4</v>
      </c>
      <c r="AA48" s="530">
        <v>3274.99999999999</v>
      </c>
      <c r="AB48" s="530">
        <v>818.7499999999975</v>
      </c>
      <c r="AC48" s="526">
        <f t="shared" si="15"/>
        <v>9</v>
      </c>
      <c r="AD48" s="600"/>
      <c r="AE48" s="526">
        <v>4</v>
      </c>
      <c r="AF48" s="530">
        <v>3272.7272727272843</v>
      </c>
      <c r="AG48" s="530">
        <v>818.18181818182109</v>
      </c>
      <c r="AH48" s="526">
        <f t="shared" si="17"/>
        <v>13</v>
      </c>
      <c r="AI48" s="600"/>
      <c r="AJ48" s="526">
        <v>4</v>
      </c>
      <c r="AK48" s="530">
        <v>3191.9999999999854</v>
      </c>
      <c r="AL48" s="530">
        <v>797.99999999999636</v>
      </c>
      <c r="AM48" s="526">
        <f t="shared" si="19"/>
        <v>7</v>
      </c>
      <c r="AN48" s="600"/>
      <c r="AO48" s="526">
        <v>4</v>
      </c>
      <c r="AP48" s="530">
        <v>3267.692307692319</v>
      </c>
      <c r="AQ48" s="530">
        <v>816.92307692307975</v>
      </c>
      <c r="AR48" s="526">
        <f t="shared" si="21"/>
        <v>10</v>
      </c>
      <c r="AS48" s="600"/>
      <c r="AT48" s="526">
        <v>4</v>
      </c>
      <c r="AU48" s="530">
        <v>3359.9999999999914</v>
      </c>
      <c r="AV48" s="530">
        <v>839.99999999999784</v>
      </c>
      <c r="AW48" s="526">
        <f t="shared" si="23"/>
        <v>9</v>
      </c>
      <c r="AX48" s="600"/>
      <c r="AZ48" s="526" t="e">
        <f t="shared" si="25"/>
        <v>#N/A</v>
      </c>
      <c r="BA48" s="600"/>
    </row>
    <row r="49" spans="2:53">
      <c r="B49" s="651"/>
      <c r="C49" s="317">
        <v>8</v>
      </c>
      <c r="D49" s="502" t="s">
        <v>362</v>
      </c>
      <c r="E49" s="502">
        <v>3</v>
      </c>
      <c r="F49" s="502">
        <v>3200</v>
      </c>
      <c r="G49" s="182">
        <v>1066.6666666666667</v>
      </c>
      <c r="H49" s="600"/>
      <c r="I49" s="513">
        <f t="shared" si="27"/>
        <v>3</v>
      </c>
      <c r="J49" s="513">
        <f t="shared" si="28"/>
        <v>3286.069073783362</v>
      </c>
      <c r="K49" s="200">
        <f t="shared" si="29"/>
        <v>1095.3563579277873</v>
      </c>
      <c r="L49" s="621"/>
      <c r="M49" s="199">
        <f>RANK(K49, K$42:$K$71)</f>
        <v>1</v>
      </c>
      <c r="N49" s="607"/>
      <c r="O49" s="607"/>
      <c r="P49" s="526">
        <v>3</v>
      </c>
      <c r="Q49" s="530">
        <v>3285.0000000000027</v>
      </c>
      <c r="R49" s="530">
        <v>1095.0000000000009</v>
      </c>
      <c r="S49" s="526">
        <f t="shared" si="11"/>
        <v>2</v>
      </c>
      <c r="T49" s="600"/>
      <c r="U49" s="526">
        <v>3</v>
      </c>
      <c r="V49" s="530">
        <v>3345.0000000000027</v>
      </c>
      <c r="W49" s="530">
        <v>1115.0000000000009</v>
      </c>
      <c r="X49" s="526">
        <f t="shared" si="13"/>
        <v>2</v>
      </c>
      <c r="Y49" s="600"/>
      <c r="Z49" s="526">
        <v>3</v>
      </c>
      <c r="AA49" s="530">
        <v>3325.7142857142885</v>
      </c>
      <c r="AB49" s="530">
        <v>1108.5714285714296</v>
      </c>
      <c r="AC49" s="526">
        <f t="shared" si="15"/>
        <v>2</v>
      </c>
      <c r="AD49" s="600"/>
      <c r="AE49" s="526">
        <v>3</v>
      </c>
      <c r="AF49" s="530">
        <v>3293.0769230769247</v>
      </c>
      <c r="AG49" s="530">
        <v>1097.6923076923083</v>
      </c>
      <c r="AH49" s="526">
        <f t="shared" si="17"/>
        <v>2</v>
      </c>
      <c r="AI49" s="600"/>
      <c r="AJ49" s="526">
        <v>3</v>
      </c>
      <c r="AK49" s="530">
        <v>3147.6923076923094</v>
      </c>
      <c r="AL49" s="530">
        <v>1049.2307692307697</v>
      </c>
      <c r="AM49" s="526">
        <f t="shared" si="19"/>
        <v>4</v>
      </c>
      <c r="AN49" s="600"/>
      <c r="AO49" s="526">
        <v>3</v>
      </c>
      <c r="AP49" s="530">
        <v>3306.0000000000032</v>
      </c>
      <c r="AQ49" s="530">
        <v>1102.0000000000011</v>
      </c>
      <c r="AR49" s="526">
        <f t="shared" si="21"/>
        <v>1</v>
      </c>
      <c r="AS49" s="600"/>
      <c r="AT49" s="526">
        <v>3</v>
      </c>
      <c r="AU49" s="530">
        <v>3300.0000000000032</v>
      </c>
      <c r="AV49" s="530">
        <v>1100.0000000000011</v>
      </c>
      <c r="AW49" s="526">
        <f t="shared" si="23"/>
        <v>2</v>
      </c>
      <c r="AX49" s="600"/>
      <c r="AZ49" s="526" t="e">
        <f t="shared" si="25"/>
        <v>#N/A</v>
      </c>
      <c r="BA49" s="600"/>
    </row>
    <row r="50" spans="2:53">
      <c r="B50" s="651"/>
      <c r="C50" s="317">
        <v>9</v>
      </c>
      <c r="D50" s="502" t="s">
        <v>363</v>
      </c>
      <c r="E50" s="502">
        <v>3</v>
      </c>
      <c r="F50" s="502">
        <v>2800</v>
      </c>
      <c r="G50" s="182">
        <v>933.33333333333337</v>
      </c>
      <c r="H50" s="600"/>
      <c r="I50" s="513">
        <f t="shared" si="27"/>
        <v>3</v>
      </c>
      <c r="J50" s="513">
        <f t="shared" si="28"/>
        <v>3073.0056958772147</v>
      </c>
      <c r="K50" s="200">
        <f t="shared" si="29"/>
        <v>1024.3352319590715</v>
      </c>
      <c r="L50" s="621"/>
      <c r="M50" s="199">
        <f>RANK(K50, K$42:$K$71)</f>
        <v>5</v>
      </c>
      <c r="N50" s="607"/>
      <c r="O50" s="607"/>
      <c r="P50" s="526">
        <v>3</v>
      </c>
      <c r="Q50" s="530">
        <v>3277.5000000000036</v>
      </c>
      <c r="R50" s="530">
        <v>1092.5000000000011</v>
      </c>
      <c r="S50" s="526">
        <f t="shared" si="11"/>
        <v>3</v>
      </c>
      <c r="T50" s="600"/>
      <c r="U50" s="526">
        <v>3</v>
      </c>
      <c r="V50" s="530">
        <v>3314.9999999999959</v>
      </c>
      <c r="W50" s="530">
        <v>1104.9999999999986</v>
      </c>
      <c r="X50" s="526">
        <f t="shared" si="13"/>
        <v>3</v>
      </c>
      <c r="Y50" s="600"/>
      <c r="Z50" s="526">
        <v>3</v>
      </c>
      <c r="AA50" s="530">
        <v>2802.1621621621598</v>
      </c>
      <c r="AB50" s="530">
        <v>934.05405405405327</v>
      </c>
      <c r="AC50" s="526">
        <f t="shared" si="15"/>
        <v>7</v>
      </c>
      <c r="AD50" s="600"/>
      <c r="AE50" s="526">
        <v>3</v>
      </c>
      <c r="AF50" s="530">
        <v>3360.0000000000027</v>
      </c>
      <c r="AG50" s="530">
        <v>1120.0000000000009</v>
      </c>
      <c r="AH50" s="526">
        <f t="shared" si="17"/>
        <v>1</v>
      </c>
      <c r="AI50" s="600"/>
      <c r="AJ50" s="526">
        <v>3</v>
      </c>
      <c r="AK50" s="530">
        <v>2295.789473684214</v>
      </c>
      <c r="AL50" s="530">
        <v>765.26315789473801</v>
      </c>
      <c r="AM50" s="526">
        <f t="shared" si="19"/>
        <v>12</v>
      </c>
      <c r="AN50" s="600"/>
      <c r="AO50" s="526">
        <v>3</v>
      </c>
      <c r="AP50" s="530">
        <v>3210.0000000000036</v>
      </c>
      <c r="AQ50" s="530">
        <v>1070.0000000000011</v>
      </c>
      <c r="AR50" s="526">
        <f t="shared" si="21"/>
        <v>5</v>
      </c>
      <c r="AS50" s="600"/>
      <c r="AT50" s="526">
        <v>3</v>
      </c>
      <c r="AU50" s="530">
        <v>3250.5882352941217</v>
      </c>
      <c r="AV50" s="530">
        <v>1083.5294117647072</v>
      </c>
      <c r="AW50" s="526">
        <f t="shared" si="23"/>
        <v>4</v>
      </c>
      <c r="AX50" s="600"/>
      <c r="AZ50" s="526" t="e">
        <f t="shared" si="25"/>
        <v>#N/A</v>
      </c>
      <c r="BA50" s="600"/>
    </row>
    <row r="51" spans="2:53">
      <c r="B51" s="651"/>
      <c r="C51" s="317">
        <v>10</v>
      </c>
      <c r="D51" s="502" t="s">
        <v>364</v>
      </c>
      <c r="E51" s="502">
        <v>4</v>
      </c>
      <c r="F51" s="502">
        <v>2800</v>
      </c>
      <c r="G51" s="182">
        <v>700</v>
      </c>
      <c r="H51" s="600"/>
      <c r="I51" s="513">
        <f t="shared" si="27"/>
        <v>4</v>
      </c>
      <c r="J51" s="513">
        <f t="shared" si="28"/>
        <v>3257.8975102994982</v>
      </c>
      <c r="K51" s="200">
        <f t="shared" si="29"/>
        <v>814.47437757487455</v>
      </c>
      <c r="L51" s="621"/>
      <c r="M51" s="199">
        <f>RANK(K51, K$42:$K$71)</f>
        <v>11</v>
      </c>
      <c r="N51" s="607"/>
      <c r="O51" s="607"/>
      <c r="P51" s="526">
        <v>4</v>
      </c>
      <c r="Q51" s="530">
        <v>3304.5283018867945</v>
      </c>
      <c r="R51" s="530">
        <v>826.13207547169861</v>
      </c>
      <c r="S51" s="526">
        <f t="shared" si="11"/>
        <v>9</v>
      </c>
      <c r="T51" s="600"/>
      <c r="U51" s="526">
        <v>4</v>
      </c>
      <c r="V51" s="530">
        <v>3205.090909090909</v>
      </c>
      <c r="W51" s="530">
        <v>801.27272727272725</v>
      </c>
      <c r="X51" s="526">
        <f t="shared" si="13"/>
        <v>12</v>
      </c>
      <c r="Y51" s="600"/>
      <c r="Z51" s="526">
        <v>4</v>
      </c>
      <c r="AA51" s="530">
        <v>3272.8301886792447</v>
      </c>
      <c r="AB51" s="530">
        <v>818.20754716981116</v>
      </c>
      <c r="AC51" s="526">
        <f t="shared" si="15"/>
        <v>10</v>
      </c>
      <c r="AD51" s="600"/>
      <c r="AE51" s="526">
        <v>4</v>
      </c>
      <c r="AF51" s="530">
        <v>3338.666666666667</v>
      </c>
      <c r="AG51" s="530">
        <v>834.66666666666674</v>
      </c>
      <c r="AH51" s="526">
        <f t="shared" si="17"/>
        <v>12</v>
      </c>
      <c r="AI51" s="600"/>
      <c r="AJ51" s="526">
        <v>4</v>
      </c>
      <c r="AK51" s="530">
        <v>3163.4042553191498</v>
      </c>
      <c r="AL51" s="530">
        <v>790.85106382978745</v>
      </c>
      <c r="AM51" s="526">
        <f t="shared" si="19"/>
        <v>8</v>
      </c>
      <c r="AN51" s="600"/>
      <c r="AO51" s="526">
        <v>4</v>
      </c>
      <c r="AP51" s="530">
        <v>3264.2105263157891</v>
      </c>
      <c r="AQ51" s="530">
        <v>816.05263157894728</v>
      </c>
      <c r="AR51" s="526">
        <f t="shared" si="21"/>
        <v>11</v>
      </c>
      <c r="AS51" s="600"/>
      <c r="AT51" s="526">
        <v>4</v>
      </c>
      <c r="AU51" s="530">
        <v>3256.5517241379312</v>
      </c>
      <c r="AV51" s="530">
        <v>814.13793103448279</v>
      </c>
      <c r="AW51" s="526">
        <f t="shared" si="23"/>
        <v>11</v>
      </c>
      <c r="AX51" s="600"/>
      <c r="AZ51" s="526" t="e">
        <f t="shared" si="25"/>
        <v>#N/A</v>
      </c>
      <c r="BA51" s="600"/>
    </row>
    <row r="52" spans="2:53">
      <c r="B52" s="651"/>
      <c r="C52" s="317">
        <v>11</v>
      </c>
      <c r="D52" s="502" t="s">
        <v>772</v>
      </c>
      <c r="E52" s="502">
        <v>4</v>
      </c>
      <c r="F52" s="502">
        <v>2800</v>
      </c>
      <c r="G52" s="182">
        <v>700</v>
      </c>
      <c r="H52" s="600"/>
      <c r="I52" s="513">
        <f t="shared" si="27"/>
        <v>4</v>
      </c>
      <c r="J52" s="513">
        <f t="shared" si="28"/>
        <v>2834.9148469012193</v>
      </c>
      <c r="K52" s="200">
        <f t="shared" si="29"/>
        <v>708.72871172530483</v>
      </c>
      <c r="L52" s="621"/>
      <c r="M52" s="199">
        <f>RANK(K52, K$42:$K$71)</f>
        <v>17</v>
      </c>
      <c r="N52" s="607"/>
      <c r="O52" s="607"/>
      <c r="P52" s="526">
        <v>4</v>
      </c>
      <c r="Q52" s="530">
        <v>2858.76923076923</v>
      </c>
      <c r="R52" s="530">
        <v>714.69230769230751</v>
      </c>
      <c r="S52" s="526">
        <f t="shared" si="11"/>
        <v>16</v>
      </c>
      <c r="T52" s="600"/>
      <c r="U52" s="526">
        <v>4</v>
      </c>
      <c r="V52" s="530">
        <v>2865.9375000000014</v>
      </c>
      <c r="W52" s="530">
        <v>716.48437500000034</v>
      </c>
      <c r="X52" s="526">
        <f t="shared" si="13"/>
        <v>13</v>
      </c>
      <c r="Y52" s="600"/>
      <c r="Z52" s="526">
        <v>4</v>
      </c>
      <c r="AA52" s="530">
        <v>2752.7272727272739</v>
      </c>
      <c r="AB52" s="530">
        <v>688.18181818181847</v>
      </c>
      <c r="AC52" s="526">
        <f t="shared" si="15"/>
        <v>16</v>
      </c>
      <c r="AD52" s="600"/>
      <c r="AE52" s="526">
        <v>4</v>
      </c>
      <c r="AF52" s="530">
        <v>2877.8571428571408</v>
      </c>
      <c r="AG52" s="530">
        <v>719.46428571428521</v>
      </c>
      <c r="AH52" s="526">
        <f t="shared" si="17"/>
        <v>15</v>
      </c>
      <c r="AI52" s="600"/>
      <c r="AJ52" s="526">
        <v>4</v>
      </c>
      <c r="AK52" s="530">
        <v>2773.684210526314</v>
      </c>
      <c r="AL52" s="530">
        <v>693.4210526315785</v>
      </c>
      <c r="AM52" s="526">
        <f t="shared" si="19"/>
        <v>15</v>
      </c>
      <c r="AN52" s="600"/>
      <c r="AO52" s="526">
        <v>4</v>
      </c>
      <c r="AP52" s="530">
        <v>2868.8571428571449</v>
      </c>
      <c r="AQ52" s="530">
        <v>717.21428571428623</v>
      </c>
      <c r="AR52" s="526">
        <f t="shared" si="21"/>
        <v>15</v>
      </c>
      <c r="AS52" s="600"/>
      <c r="AT52" s="526">
        <v>4</v>
      </c>
      <c r="AU52" s="530">
        <v>2846.5714285714303</v>
      </c>
      <c r="AV52" s="530">
        <v>711.64285714285757</v>
      </c>
      <c r="AW52" s="526">
        <f t="shared" si="23"/>
        <v>16</v>
      </c>
      <c r="AX52" s="600"/>
      <c r="AZ52" s="526" t="e">
        <f t="shared" si="25"/>
        <v>#N/A</v>
      </c>
      <c r="BA52" s="600"/>
    </row>
    <row r="53" spans="2:53">
      <c r="B53" s="651"/>
      <c r="C53" s="317">
        <v>12</v>
      </c>
      <c r="D53" s="502" t="s">
        <v>773</v>
      </c>
      <c r="E53" s="502">
        <v>4</v>
      </c>
      <c r="F53" s="502">
        <v>2800</v>
      </c>
      <c r="G53" s="182">
        <v>700</v>
      </c>
      <c r="H53" s="600"/>
      <c r="I53" s="513">
        <f t="shared" si="27"/>
        <v>4</v>
      </c>
      <c r="J53" s="513">
        <f t="shared" si="28"/>
        <v>2887.0285714285696</v>
      </c>
      <c r="K53" s="200">
        <f t="shared" si="29"/>
        <v>721.75714285714241</v>
      </c>
      <c r="L53" s="621"/>
      <c r="M53" s="199">
        <f>RANK(K53, K$42:$K$71)</f>
        <v>15</v>
      </c>
      <c r="N53" s="607"/>
      <c r="O53" s="607"/>
      <c r="P53" s="526">
        <v>4</v>
      </c>
      <c r="Q53" s="530">
        <v>2954.9999999999868</v>
      </c>
      <c r="R53" s="530">
        <v>738.7499999999967</v>
      </c>
      <c r="S53" s="526">
        <f t="shared" si="11"/>
        <v>14</v>
      </c>
      <c r="T53" s="600"/>
      <c r="U53" s="526">
        <v>4</v>
      </c>
      <c r="V53" s="530">
        <v>2861.9999999999873</v>
      </c>
      <c r="W53" s="530">
        <v>715.49999999999682</v>
      </c>
      <c r="X53" s="526">
        <f t="shared" si="13"/>
        <v>14</v>
      </c>
      <c r="Y53" s="600"/>
      <c r="Z53" s="526">
        <v>4</v>
      </c>
      <c r="AA53" s="530">
        <v>2877.0000000000105</v>
      </c>
      <c r="AB53" s="530">
        <v>719.25000000000261</v>
      </c>
      <c r="AC53" s="526">
        <f t="shared" si="15"/>
        <v>15</v>
      </c>
      <c r="AD53" s="600"/>
      <c r="AE53" s="526">
        <v>4</v>
      </c>
      <c r="AF53" s="530">
        <v>2853.00000000001</v>
      </c>
      <c r="AG53" s="530">
        <v>713.2500000000025</v>
      </c>
      <c r="AH53" s="526">
        <f t="shared" si="17"/>
        <v>16</v>
      </c>
      <c r="AI53" s="600"/>
      <c r="AJ53" s="526">
        <v>4</v>
      </c>
      <c r="AK53" s="530">
        <v>2871.0000000000105</v>
      </c>
      <c r="AL53" s="530">
        <v>717.75000000000261</v>
      </c>
      <c r="AM53" s="526">
        <f t="shared" si="19"/>
        <v>14</v>
      </c>
      <c r="AN53" s="600"/>
      <c r="AO53" s="526">
        <v>4</v>
      </c>
      <c r="AP53" s="530">
        <v>3071.9999999999864</v>
      </c>
      <c r="AQ53" s="530">
        <v>767.99999999999659</v>
      </c>
      <c r="AR53" s="526">
        <f t="shared" si="21"/>
        <v>13</v>
      </c>
      <c r="AS53" s="600"/>
      <c r="AT53" s="526">
        <v>4</v>
      </c>
      <c r="AU53" s="530">
        <v>2719.1999999999925</v>
      </c>
      <c r="AV53" s="530">
        <v>679.79999999999814</v>
      </c>
      <c r="AW53" s="526">
        <f t="shared" si="23"/>
        <v>17</v>
      </c>
      <c r="AX53" s="600"/>
      <c r="AZ53" s="526" t="e">
        <f t="shared" si="25"/>
        <v>#N/A</v>
      </c>
      <c r="BA53" s="600"/>
    </row>
    <row r="54" spans="2:53">
      <c r="B54" s="651"/>
      <c r="C54" s="317">
        <v>13</v>
      </c>
      <c r="D54" s="502" t="s">
        <v>774</v>
      </c>
      <c r="E54" s="502">
        <v>3</v>
      </c>
      <c r="F54" s="502">
        <v>2800</v>
      </c>
      <c r="G54" s="182">
        <v>933.33333333333337</v>
      </c>
      <c r="H54" s="600"/>
      <c r="I54" s="513">
        <f t="shared" si="27"/>
        <v>3</v>
      </c>
      <c r="J54" s="513">
        <f t="shared" si="28"/>
        <v>2985.0857142857035</v>
      </c>
      <c r="K54" s="200">
        <f t="shared" si="29"/>
        <v>995.02857142856794</v>
      </c>
      <c r="L54" s="621"/>
      <c r="M54" s="199">
        <f>RANK(K54, K$42:$K$71)</f>
        <v>7</v>
      </c>
      <c r="N54" s="607"/>
      <c r="O54" s="607"/>
      <c r="P54" s="526">
        <v>3</v>
      </c>
      <c r="Q54" s="530">
        <v>2702.3999999999924</v>
      </c>
      <c r="R54" s="530">
        <v>900.79999999999745</v>
      </c>
      <c r="S54" s="526">
        <f t="shared" si="11"/>
        <v>7</v>
      </c>
      <c r="T54" s="600"/>
      <c r="U54" s="526">
        <v>3</v>
      </c>
      <c r="V54" s="530">
        <v>2721.5999999999922</v>
      </c>
      <c r="W54" s="530">
        <v>907.19999999999743</v>
      </c>
      <c r="X54" s="526">
        <f t="shared" si="13"/>
        <v>7</v>
      </c>
      <c r="Y54" s="600"/>
      <c r="Z54" s="526">
        <v>3</v>
      </c>
      <c r="AA54" s="530">
        <v>3248.9999999999854</v>
      </c>
      <c r="AB54" s="530">
        <v>1082.9999999999952</v>
      </c>
      <c r="AC54" s="526">
        <f t="shared" si="15"/>
        <v>5</v>
      </c>
      <c r="AD54" s="600"/>
      <c r="AE54" s="526">
        <v>3</v>
      </c>
      <c r="AF54" s="530">
        <v>3089.9999999999864</v>
      </c>
      <c r="AG54" s="530">
        <v>1029.9999999999955</v>
      </c>
      <c r="AH54" s="526">
        <f t="shared" si="17"/>
        <v>6</v>
      </c>
      <c r="AI54" s="600"/>
      <c r="AJ54" s="526">
        <v>3</v>
      </c>
      <c r="AK54" s="530">
        <v>3290.9999999999854</v>
      </c>
      <c r="AL54" s="530">
        <v>1096.9999999999952</v>
      </c>
      <c r="AM54" s="526">
        <f t="shared" si="19"/>
        <v>1</v>
      </c>
      <c r="AN54" s="600"/>
      <c r="AO54" s="526">
        <v>3</v>
      </c>
      <c r="AP54" s="530">
        <v>2798.3999999999919</v>
      </c>
      <c r="AQ54" s="530">
        <v>932.79999999999734</v>
      </c>
      <c r="AR54" s="526">
        <f t="shared" si="21"/>
        <v>7</v>
      </c>
      <c r="AS54" s="600"/>
      <c r="AT54" s="526">
        <v>3</v>
      </c>
      <c r="AU54" s="530">
        <v>3043.1999999999916</v>
      </c>
      <c r="AV54" s="530">
        <v>1014.3999999999972</v>
      </c>
      <c r="AW54" s="526">
        <f t="shared" si="23"/>
        <v>7</v>
      </c>
      <c r="AX54" s="600"/>
      <c r="AZ54" s="526" t="e">
        <f t="shared" si="25"/>
        <v>#N/A</v>
      </c>
      <c r="BA54" s="600"/>
    </row>
    <row r="55" spans="2:53">
      <c r="B55" s="651"/>
      <c r="C55" s="317">
        <v>14</v>
      </c>
      <c r="D55" s="502" t="s">
        <v>775</v>
      </c>
      <c r="E55" s="502">
        <v>4</v>
      </c>
      <c r="F55" s="502">
        <v>2200</v>
      </c>
      <c r="G55" s="182">
        <v>550</v>
      </c>
      <c r="H55" s="600"/>
      <c r="I55" s="513">
        <f t="shared" si="27"/>
        <v>3</v>
      </c>
      <c r="J55" s="513">
        <f t="shared" si="28"/>
        <v>2274.0428571428561</v>
      </c>
      <c r="K55" s="200">
        <f t="shared" si="29"/>
        <v>758.01428571428539</v>
      </c>
      <c r="L55" s="621"/>
      <c r="M55" s="199">
        <f>RANK(K55, K$42:$K$71)</f>
        <v>14</v>
      </c>
      <c r="N55" s="607"/>
      <c r="O55" s="607"/>
      <c r="P55" s="526">
        <v>3</v>
      </c>
      <c r="Q55" s="530">
        <v>2222.6666666666665</v>
      </c>
      <c r="R55" s="530">
        <v>740.8888888888888</v>
      </c>
      <c r="S55" s="526">
        <f t="shared" si="11"/>
        <v>13</v>
      </c>
      <c r="T55" s="600"/>
      <c r="U55" s="526">
        <v>3</v>
      </c>
      <c r="V55" s="530">
        <v>2104</v>
      </c>
      <c r="W55" s="530">
        <v>701.33333333333337</v>
      </c>
      <c r="X55" s="526">
        <f t="shared" si="13"/>
        <v>16</v>
      </c>
      <c r="Y55" s="600"/>
      <c r="Z55" s="526">
        <v>3</v>
      </c>
      <c r="AA55" s="530">
        <v>2327.9999999999991</v>
      </c>
      <c r="AB55" s="530">
        <v>775.99999999999966</v>
      </c>
      <c r="AC55" s="526">
        <f t="shared" si="15"/>
        <v>13</v>
      </c>
      <c r="AD55" s="600"/>
      <c r="AE55" s="526">
        <v>3</v>
      </c>
      <c r="AF55" s="530">
        <v>2689.4999999999991</v>
      </c>
      <c r="AG55" s="530">
        <v>896.49999999999966</v>
      </c>
      <c r="AH55" s="526">
        <f t="shared" si="17"/>
        <v>8</v>
      </c>
      <c r="AI55" s="600"/>
      <c r="AJ55" s="526">
        <v>3</v>
      </c>
      <c r="AK55" s="530">
        <v>2193.3333333333335</v>
      </c>
      <c r="AL55" s="530">
        <v>731.1111111111112</v>
      </c>
      <c r="AM55" s="526">
        <f t="shared" si="19"/>
        <v>13</v>
      </c>
      <c r="AN55" s="600"/>
      <c r="AO55" s="526">
        <v>3</v>
      </c>
      <c r="AP55" s="530">
        <v>2116.7999999999943</v>
      </c>
      <c r="AQ55" s="530">
        <v>705.59999999999809</v>
      </c>
      <c r="AR55" s="526">
        <f t="shared" si="21"/>
        <v>16</v>
      </c>
      <c r="AS55" s="600"/>
      <c r="AT55" s="526">
        <v>3</v>
      </c>
      <c r="AU55" s="530">
        <v>2264</v>
      </c>
      <c r="AV55" s="530">
        <v>754.66666666666663</v>
      </c>
      <c r="AW55" s="526">
        <f t="shared" si="23"/>
        <v>14</v>
      </c>
      <c r="AX55" s="600"/>
      <c r="AZ55" s="526" t="e">
        <f t="shared" si="25"/>
        <v>#N/A</v>
      </c>
      <c r="BA55" s="600"/>
    </row>
    <row r="56" spans="2:53">
      <c r="B56" s="651"/>
      <c r="C56" s="317">
        <v>15</v>
      </c>
      <c r="D56" s="502" t="s">
        <v>641</v>
      </c>
      <c r="E56" s="502">
        <v>8</v>
      </c>
      <c r="F56" s="502">
        <v>1500</v>
      </c>
      <c r="G56" s="182">
        <v>187.5</v>
      </c>
      <c r="H56" s="600"/>
      <c r="I56" s="513">
        <f t="shared" si="27"/>
        <v>12</v>
      </c>
      <c r="J56" s="513">
        <f t="shared" si="28"/>
        <v>1286.0577770803882</v>
      </c>
      <c r="K56" s="200">
        <f t="shared" si="29"/>
        <v>107.17148142336568</v>
      </c>
      <c r="L56" s="621"/>
      <c r="M56" s="199">
        <f>RANK(K56, K$42:$K$71)</f>
        <v>21</v>
      </c>
      <c r="N56" s="607"/>
      <c r="O56" s="607"/>
      <c r="P56" s="526">
        <v>12</v>
      </c>
      <c r="Q56" s="530">
        <v>1238.399999999999</v>
      </c>
      <c r="R56" s="530">
        <v>103.19999999999992</v>
      </c>
      <c r="S56" s="526">
        <f t="shared" si="11"/>
        <v>21</v>
      </c>
      <c r="T56" s="600"/>
      <c r="U56" s="526">
        <v>12</v>
      </c>
      <c r="V56" s="530">
        <v>1244.1666666666683</v>
      </c>
      <c r="W56" s="530">
        <v>103.6805555555557</v>
      </c>
      <c r="X56" s="526">
        <f t="shared" si="13"/>
        <v>21</v>
      </c>
      <c r="Y56" s="600"/>
      <c r="Z56" s="526">
        <v>12</v>
      </c>
      <c r="AA56" s="530">
        <v>1318.2089552238822</v>
      </c>
      <c r="AB56" s="530">
        <v>109.85074626865685</v>
      </c>
      <c r="AC56" s="526">
        <f t="shared" si="15"/>
        <v>20</v>
      </c>
      <c r="AD56" s="600"/>
      <c r="AE56" s="526">
        <v>12</v>
      </c>
      <c r="AF56" s="530">
        <v>1311.0000000000011</v>
      </c>
      <c r="AG56" s="530">
        <v>109.2500000000001</v>
      </c>
      <c r="AH56" s="526">
        <f t="shared" si="17"/>
        <v>20</v>
      </c>
      <c r="AI56" s="600"/>
      <c r="AJ56" s="526">
        <v>12</v>
      </c>
      <c r="AK56" s="530">
        <v>1305.263157894738</v>
      </c>
      <c r="AL56" s="530">
        <v>108.7719298245615</v>
      </c>
      <c r="AM56" s="526">
        <f t="shared" si="19"/>
        <v>20</v>
      </c>
      <c r="AN56" s="600"/>
      <c r="AO56" s="526">
        <v>12</v>
      </c>
      <c r="AP56" s="530">
        <v>1356.176470588237</v>
      </c>
      <c r="AQ56" s="530">
        <v>113.01470588235308</v>
      </c>
      <c r="AR56" s="526">
        <f t="shared" si="21"/>
        <v>19</v>
      </c>
      <c r="AS56" s="600"/>
      <c r="AT56" s="526">
        <v>12</v>
      </c>
      <c r="AU56" s="530">
        <v>1229.1891891891908</v>
      </c>
      <c r="AV56" s="530">
        <v>102.43243243243256</v>
      </c>
      <c r="AW56" s="526">
        <f t="shared" si="23"/>
        <v>21</v>
      </c>
      <c r="AX56" s="600"/>
      <c r="AZ56" s="526" t="e">
        <f t="shared" si="25"/>
        <v>#N/A</v>
      </c>
      <c r="BA56" s="600"/>
    </row>
    <row r="57" spans="2:53">
      <c r="B57" s="651"/>
      <c r="C57" s="317">
        <v>16</v>
      </c>
      <c r="D57" s="502" t="s">
        <v>677</v>
      </c>
      <c r="E57" s="502">
        <v>4</v>
      </c>
      <c r="F57" s="502">
        <v>2200</v>
      </c>
      <c r="G57" s="182">
        <v>550</v>
      </c>
      <c r="H57" s="600"/>
      <c r="I57" s="513">
        <f t="shared" si="27"/>
        <v>4</v>
      </c>
      <c r="J57" s="513">
        <f t="shared" si="28"/>
        <v>2197.5714285714316</v>
      </c>
      <c r="K57" s="200">
        <f t="shared" si="29"/>
        <v>549.39285714285791</v>
      </c>
      <c r="L57" s="621"/>
      <c r="M57" s="199">
        <f>RANK(K57, K$42:$K$71)</f>
        <v>19</v>
      </c>
      <c r="N57" s="607"/>
      <c r="O57" s="607"/>
      <c r="P57" s="526">
        <v>4</v>
      </c>
      <c r="Q57" s="530">
        <v>2355.0000000000086</v>
      </c>
      <c r="R57" s="530">
        <v>588.75000000000216</v>
      </c>
      <c r="S57" s="526">
        <f t="shared" si="11"/>
        <v>17</v>
      </c>
      <c r="T57" s="600"/>
      <c r="U57" s="526">
        <v>4</v>
      </c>
      <c r="V57" s="530">
        <v>1784.0000000000061</v>
      </c>
      <c r="W57" s="530">
        <v>446.00000000000153</v>
      </c>
      <c r="X57" s="526">
        <f t="shared" si="13"/>
        <v>18</v>
      </c>
      <c r="Y57" s="600"/>
      <c r="Z57" s="526">
        <v>4</v>
      </c>
      <c r="AA57" s="530">
        <v>2180.9999999999905</v>
      </c>
      <c r="AB57" s="530">
        <v>545.24999999999761</v>
      </c>
      <c r="AC57" s="526">
        <f t="shared" si="15"/>
        <v>18</v>
      </c>
      <c r="AD57" s="600"/>
      <c r="AE57" s="526">
        <v>4</v>
      </c>
      <c r="AF57" s="530">
        <v>2180.9999999999905</v>
      </c>
      <c r="AG57" s="530">
        <v>545.24999999999761</v>
      </c>
      <c r="AH57" s="526">
        <f t="shared" si="17"/>
        <v>17</v>
      </c>
      <c r="AI57" s="600"/>
      <c r="AJ57" s="526">
        <v>4</v>
      </c>
      <c r="AK57" s="530">
        <v>2151.0000000000077</v>
      </c>
      <c r="AL57" s="530">
        <v>537.75000000000193</v>
      </c>
      <c r="AM57" s="526">
        <f t="shared" si="19"/>
        <v>18</v>
      </c>
      <c r="AN57" s="600"/>
      <c r="AO57" s="526">
        <v>4</v>
      </c>
      <c r="AP57" s="530">
        <v>2376.0000000000086</v>
      </c>
      <c r="AQ57" s="530">
        <v>594.00000000000216</v>
      </c>
      <c r="AR57" s="526">
        <f t="shared" si="21"/>
        <v>17</v>
      </c>
      <c r="AS57" s="600"/>
      <c r="AT57" s="526">
        <v>4</v>
      </c>
      <c r="AU57" s="530">
        <v>2355.0000000000086</v>
      </c>
      <c r="AV57" s="530">
        <v>588.75000000000216</v>
      </c>
      <c r="AW57" s="526">
        <f t="shared" si="23"/>
        <v>18</v>
      </c>
      <c r="AX57" s="600"/>
      <c r="AZ57" s="526" t="e">
        <f t="shared" si="25"/>
        <v>#N/A</v>
      </c>
      <c r="BA57" s="600"/>
    </row>
    <row r="58" spans="2:53">
      <c r="B58" s="651"/>
      <c r="C58" s="317">
        <v>17</v>
      </c>
      <c r="D58" s="502" t="s">
        <v>776</v>
      </c>
      <c r="E58" s="502">
        <v>3</v>
      </c>
      <c r="F58" s="502">
        <v>2800</v>
      </c>
      <c r="G58" s="182">
        <v>933.33333333333337</v>
      </c>
      <c r="H58" s="600"/>
      <c r="I58" s="513">
        <f t="shared" si="27"/>
        <v>3</v>
      </c>
      <c r="J58" s="513">
        <f t="shared" si="28"/>
        <v>2843.6630434782605</v>
      </c>
      <c r="K58" s="200">
        <f t="shared" si="29"/>
        <v>947.88768115942025</v>
      </c>
      <c r="L58" s="621"/>
      <c r="M58" s="199">
        <f>RANK(K58, K$42:$K$71)</f>
        <v>8</v>
      </c>
      <c r="N58" s="607"/>
      <c r="O58" s="607"/>
      <c r="P58" s="526">
        <v>3</v>
      </c>
      <c r="Q58" s="530">
        <v>2861.3333333333335</v>
      </c>
      <c r="R58" s="530">
        <v>953.77777777777783</v>
      </c>
      <c r="S58" s="526">
        <f t="shared" si="11"/>
        <v>6</v>
      </c>
      <c r="T58" s="600"/>
      <c r="U58" s="526">
        <v>3</v>
      </c>
      <c r="V58" s="530">
        <v>2893.3333333333335</v>
      </c>
      <c r="W58" s="530">
        <v>964.44444444444446</v>
      </c>
      <c r="X58" s="526">
        <f t="shared" si="13"/>
        <v>6</v>
      </c>
      <c r="Y58" s="600"/>
      <c r="Z58" s="526">
        <v>3</v>
      </c>
      <c r="AA58" s="530">
        <v>2813.333333333333</v>
      </c>
      <c r="AB58" s="530">
        <v>937.77777777777771</v>
      </c>
      <c r="AC58" s="526">
        <f t="shared" si="15"/>
        <v>6</v>
      </c>
      <c r="AD58" s="600"/>
      <c r="AE58" s="526">
        <v>3</v>
      </c>
      <c r="AF58" s="530">
        <v>2804.9999999999991</v>
      </c>
      <c r="AG58" s="530">
        <v>934.99999999999966</v>
      </c>
      <c r="AH58" s="526">
        <f t="shared" si="17"/>
        <v>7</v>
      </c>
      <c r="AI58" s="600"/>
      <c r="AJ58" s="526">
        <v>3</v>
      </c>
      <c r="AK58" s="530">
        <v>2768.9999999999991</v>
      </c>
      <c r="AL58" s="530">
        <v>922.99999999999966</v>
      </c>
      <c r="AM58" s="526">
        <f t="shared" si="19"/>
        <v>6</v>
      </c>
      <c r="AN58" s="600"/>
      <c r="AO58" s="526">
        <v>3</v>
      </c>
      <c r="AP58" s="530">
        <v>2856.2500000000009</v>
      </c>
      <c r="AQ58" s="530">
        <v>952.0833333333336</v>
      </c>
      <c r="AR58" s="526">
        <f t="shared" si="21"/>
        <v>6</v>
      </c>
      <c r="AS58" s="600"/>
      <c r="AT58" s="526">
        <v>3</v>
      </c>
      <c r="AU58" s="530">
        <v>2907.391304347826</v>
      </c>
      <c r="AV58" s="530">
        <v>969.13043478260863</v>
      </c>
      <c r="AW58" s="526">
        <f t="shared" si="23"/>
        <v>8</v>
      </c>
      <c r="AX58" s="600"/>
      <c r="AZ58" s="526" t="e">
        <f t="shared" si="25"/>
        <v>#N/A</v>
      </c>
      <c r="BA58" s="600"/>
    </row>
    <row r="59" spans="2:53">
      <c r="B59" s="651"/>
      <c r="C59" s="317">
        <v>18</v>
      </c>
      <c r="D59" s="502" t="s">
        <v>777</v>
      </c>
      <c r="E59" s="502">
        <v>4</v>
      </c>
      <c r="F59" s="502">
        <v>2200</v>
      </c>
      <c r="G59" s="182">
        <v>550</v>
      </c>
      <c r="H59" s="600"/>
      <c r="I59" s="513">
        <f t="shared" si="27"/>
        <v>4</v>
      </c>
      <c r="J59" s="513">
        <f t="shared" si="28"/>
        <v>2212.1632653061179</v>
      </c>
      <c r="K59" s="200">
        <f t="shared" si="29"/>
        <v>553.04081632652947</v>
      </c>
      <c r="L59" s="621"/>
      <c r="M59" s="199">
        <f>RANK(K59, K$42:$K$71)</f>
        <v>18</v>
      </c>
      <c r="N59" s="607"/>
      <c r="O59" s="607"/>
      <c r="P59" s="526">
        <v>4</v>
      </c>
      <c r="Q59" s="530">
        <v>2206.2857142857015</v>
      </c>
      <c r="R59" s="530">
        <v>551.57142857142537</v>
      </c>
      <c r="S59" s="526">
        <f t="shared" si="11"/>
        <v>18</v>
      </c>
      <c r="T59" s="600"/>
      <c r="U59" s="526">
        <v>4</v>
      </c>
      <c r="V59" s="530">
        <v>2158.2857142857019</v>
      </c>
      <c r="W59" s="530">
        <v>539.57142857142549</v>
      </c>
      <c r="X59" s="526">
        <f t="shared" si="13"/>
        <v>17</v>
      </c>
      <c r="Y59" s="600"/>
      <c r="Z59" s="526">
        <v>4</v>
      </c>
      <c r="AA59" s="530">
        <v>2339.9999999999959</v>
      </c>
      <c r="AB59" s="530">
        <v>584.99999999999898</v>
      </c>
      <c r="AC59" s="526">
        <f t="shared" si="15"/>
        <v>17</v>
      </c>
      <c r="AD59" s="600"/>
      <c r="AE59" s="526">
        <v>4</v>
      </c>
      <c r="AF59" s="530">
        <v>2111.9999999999964</v>
      </c>
      <c r="AG59" s="530">
        <v>527.99999999999909</v>
      </c>
      <c r="AH59" s="526">
        <f t="shared" si="17"/>
        <v>18</v>
      </c>
      <c r="AI59" s="600"/>
      <c r="AJ59" s="526">
        <v>4</v>
      </c>
      <c r="AK59" s="530">
        <v>2281.9999999999959</v>
      </c>
      <c r="AL59" s="530">
        <v>570.49999999999898</v>
      </c>
      <c r="AM59" s="526">
        <f t="shared" si="19"/>
        <v>17</v>
      </c>
      <c r="AN59" s="600"/>
      <c r="AO59" s="526">
        <v>4</v>
      </c>
      <c r="AP59" s="530">
        <v>2084.5714285714362</v>
      </c>
      <c r="AQ59" s="530">
        <v>521.14285714285904</v>
      </c>
      <c r="AR59" s="526">
        <f t="shared" si="21"/>
        <v>18</v>
      </c>
      <c r="AS59" s="600"/>
      <c r="AT59" s="526">
        <v>4</v>
      </c>
      <c r="AU59" s="530">
        <v>2301.9999999999959</v>
      </c>
      <c r="AV59" s="530">
        <v>575.49999999999898</v>
      </c>
      <c r="AW59" s="526">
        <f t="shared" si="23"/>
        <v>19</v>
      </c>
      <c r="AX59" s="600"/>
      <c r="AZ59" s="526" t="e">
        <f t="shared" si="25"/>
        <v>#N/A</v>
      </c>
      <c r="BA59" s="600"/>
    </row>
    <row r="60" spans="2:53">
      <c r="B60" s="651"/>
      <c r="C60" s="317">
        <v>19</v>
      </c>
      <c r="D60" s="502" t="s">
        <v>778</v>
      </c>
      <c r="E60" s="502">
        <v>4</v>
      </c>
      <c r="F60" s="502">
        <v>2800</v>
      </c>
      <c r="G60" s="182">
        <v>700</v>
      </c>
      <c r="H60" s="600"/>
      <c r="I60" s="513">
        <f t="shared" si="27"/>
        <v>4</v>
      </c>
      <c r="J60" s="513">
        <f t="shared" si="28"/>
        <v>2856.8612228245029</v>
      </c>
      <c r="K60" s="200">
        <f t="shared" si="29"/>
        <v>714.21530570612572</v>
      </c>
      <c r="L60" s="621"/>
      <c r="M60" s="199">
        <f>RANK(K60, K$42:$K$71)</f>
        <v>16</v>
      </c>
      <c r="N60" s="607"/>
      <c r="O60" s="607"/>
      <c r="P60" s="526">
        <v>4</v>
      </c>
      <c r="Q60" s="530">
        <v>2861.3333333333335</v>
      </c>
      <c r="R60" s="530">
        <v>715.33333333333337</v>
      </c>
      <c r="S60" s="526">
        <f t="shared" si="11"/>
        <v>15</v>
      </c>
      <c r="T60" s="600"/>
      <c r="U60" s="526">
        <v>4</v>
      </c>
      <c r="V60" s="530">
        <v>2840</v>
      </c>
      <c r="W60" s="530">
        <v>710</v>
      </c>
      <c r="X60" s="526">
        <f t="shared" si="13"/>
        <v>15</v>
      </c>
      <c r="Y60" s="600"/>
      <c r="Z60" s="526">
        <v>4</v>
      </c>
      <c r="AA60" s="530">
        <v>2905.1162790697667</v>
      </c>
      <c r="AB60" s="530">
        <v>726.27906976744168</v>
      </c>
      <c r="AC60" s="526">
        <f t="shared" si="15"/>
        <v>14</v>
      </c>
      <c r="AD60" s="600"/>
      <c r="AE60" s="526">
        <v>4</v>
      </c>
      <c r="AF60" s="530">
        <v>2936.8421052631556</v>
      </c>
      <c r="AG60" s="530">
        <v>734.21052631578891</v>
      </c>
      <c r="AH60" s="526">
        <f t="shared" si="17"/>
        <v>14</v>
      </c>
      <c r="AI60" s="600"/>
      <c r="AJ60" s="526">
        <v>4</v>
      </c>
      <c r="AK60" s="530">
        <v>2734.7368421052611</v>
      </c>
      <c r="AL60" s="530">
        <v>683.68421052631527</v>
      </c>
      <c r="AM60" s="526">
        <f t="shared" si="19"/>
        <v>16</v>
      </c>
      <c r="AN60" s="600"/>
      <c r="AO60" s="526">
        <v>4</v>
      </c>
      <c r="AP60" s="530">
        <v>2872</v>
      </c>
      <c r="AQ60" s="530">
        <v>718</v>
      </c>
      <c r="AR60" s="526">
        <f t="shared" si="21"/>
        <v>14</v>
      </c>
      <c r="AS60" s="600"/>
      <c r="AT60" s="526">
        <v>4</v>
      </c>
      <c r="AU60" s="530">
        <v>2848</v>
      </c>
      <c r="AV60" s="530">
        <v>712</v>
      </c>
      <c r="AW60" s="526">
        <f t="shared" si="23"/>
        <v>15</v>
      </c>
      <c r="AX60" s="600"/>
      <c r="AZ60" s="526" t="e">
        <f t="shared" si="25"/>
        <v>#N/A</v>
      </c>
      <c r="BA60" s="600"/>
    </row>
    <row r="61" spans="2:53">
      <c r="B61" s="651"/>
      <c r="C61" s="317">
        <v>20</v>
      </c>
      <c r="D61" s="502" t="s">
        <v>799</v>
      </c>
      <c r="E61" s="502">
        <v>12</v>
      </c>
      <c r="F61" s="502">
        <v>1500</v>
      </c>
      <c r="G61" s="182">
        <v>125</v>
      </c>
      <c r="H61" s="600"/>
      <c r="I61" s="513">
        <f t="shared" si="27"/>
        <v>12.142857142857142</v>
      </c>
      <c r="J61" s="513">
        <f t="shared" si="28"/>
        <v>1253.5496390402056</v>
      </c>
      <c r="K61" s="200">
        <f t="shared" si="29"/>
        <v>103.23709152482742</v>
      </c>
      <c r="L61" s="621"/>
      <c r="M61" s="199">
        <f>RANK(K61, K$42:$K$71)</f>
        <v>22</v>
      </c>
      <c r="N61" s="607"/>
      <c r="O61" s="607"/>
      <c r="P61" s="526">
        <v>12</v>
      </c>
      <c r="Q61" s="530">
        <v>1275.0000000000045</v>
      </c>
      <c r="R61" s="530">
        <v>106.25000000000038</v>
      </c>
      <c r="S61" s="526">
        <f t="shared" si="11"/>
        <v>20</v>
      </c>
      <c r="T61" s="600"/>
      <c r="U61" s="526">
        <v>12</v>
      </c>
      <c r="V61" s="530">
        <v>1287.2727272727318</v>
      </c>
      <c r="W61" s="530">
        <v>107.27272727272765</v>
      </c>
      <c r="X61" s="526">
        <f t="shared" si="13"/>
        <v>20</v>
      </c>
      <c r="Y61" s="600"/>
      <c r="Z61" s="526">
        <v>13</v>
      </c>
      <c r="AA61" s="530">
        <v>1338.1132075471744</v>
      </c>
      <c r="AB61" s="530">
        <v>102.9317851959365</v>
      </c>
      <c r="AC61" s="526">
        <f t="shared" si="15"/>
        <v>21</v>
      </c>
      <c r="AD61" s="600"/>
      <c r="AE61" s="526">
        <v>12</v>
      </c>
      <c r="AF61" s="530">
        <v>1306.153846153851</v>
      </c>
      <c r="AG61" s="530">
        <v>108.84615384615425</v>
      </c>
      <c r="AH61" s="526">
        <f t="shared" si="17"/>
        <v>21</v>
      </c>
      <c r="AI61" s="600"/>
      <c r="AJ61" s="526">
        <v>12</v>
      </c>
      <c r="AK61" s="530">
        <v>1112.3076923076826</v>
      </c>
      <c r="AL61" s="530">
        <v>92.692307692306883</v>
      </c>
      <c r="AM61" s="526">
        <f t="shared" si="19"/>
        <v>21</v>
      </c>
      <c r="AN61" s="600"/>
      <c r="AO61" s="526">
        <v>12</v>
      </c>
      <c r="AP61" s="530">
        <v>1255.9999999999911</v>
      </c>
      <c r="AQ61" s="530">
        <v>104.66666666666593</v>
      </c>
      <c r="AR61" s="526">
        <f t="shared" si="21"/>
        <v>21</v>
      </c>
      <c r="AS61" s="600"/>
      <c r="AT61" s="526">
        <v>12</v>
      </c>
      <c r="AU61" s="530">
        <v>1200.0000000000043</v>
      </c>
      <c r="AV61" s="530">
        <v>100.00000000000036</v>
      </c>
      <c r="AW61" s="526">
        <f t="shared" si="23"/>
        <v>22</v>
      </c>
      <c r="AX61" s="600"/>
      <c r="AZ61" s="526" t="e">
        <f t="shared" si="25"/>
        <v>#N/A</v>
      </c>
      <c r="BA61" s="600"/>
    </row>
    <row r="62" spans="2:53">
      <c r="B62" s="651"/>
      <c r="C62" s="317">
        <v>21</v>
      </c>
      <c r="D62" s="505" t="s">
        <v>811</v>
      </c>
      <c r="E62" s="502">
        <v>12</v>
      </c>
      <c r="F62" s="502">
        <v>1500</v>
      </c>
      <c r="G62" s="182">
        <v>125</v>
      </c>
      <c r="H62" s="600"/>
      <c r="I62" s="513">
        <f t="shared" si="27"/>
        <v>12</v>
      </c>
      <c r="J62" s="513">
        <f t="shared" si="28"/>
        <v>1392.4896376089384</v>
      </c>
      <c r="K62" s="200">
        <f t="shared" si="29"/>
        <v>116.04080313407817</v>
      </c>
      <c r="L62" s="621"/>
      <c r="M62" s="199">
        <f>RANK(K62, K$42:$K$71)</f>
        <v>20</v>
      </c>
      <c r="N62" s="607"/>
      <c r="O62" s="607"/>
      <c r="P62" s="526">
        <v>12</v>
      </c>
      <c r="Q62" s="530">
        <v>1420.2857142857197</v>
      </c>
      <c r="R62" s="530">
        <v>118.3571428571433</v>
      </c>
      <c r="S62" s="526">
        <f t="shared" si="11"/>
        <v>19</v>
      </c>
      <c r="T62" s="600"/>
      <c r="U62" s="526">
        <v>12</v>
      </c>
      <c r="V62" s="530">
        <v>1434.4615384615399</v>
      </c>
      <c r="W62" s="530">
        <v>119.53846153846166</v>
      </c>
      <c r="X62" s="526">
        <f t="shared" si="13"/>
        <v>19</v>
      </c>
      <c r="Y62" s="600"/>
      <c r="Z62" s="526">
        <v>12</v>
      </c>
      <c r="AA62" s="530">
        <v>1404.6428571428582</v>
      </c>
      <c r="AB62" s="530">
        <v>117.05357142857152</v>
      </c>
      <c r="AC62" s="526">
        <f t="shared" si="15"/>
        <v>19</v>
      </c>
      <c r="AD62" s="600"/>
      <c r="AE62" s="526">
        <v>12</v>
      </c>
      <c r="AF62" s="530">
        <v>1400.7272727272737</v>
      </c>
      <c r="AG62" s="530">
        <v>116.7272727272728</v>
      </c>
      <c r="AH62" s="526">
        <f t="shared" si="17"/>
        <v>19</v>
      </c>
      <c r="AI62" s="600"/>
      <c r="AJ62" s="526">
        <v>12</v>
      </c>
      <c r="AK62" s="530">
        <v>1324.800000000009</v>
      </c>
      <c r="AL62" s="530">
        <v>110.40000000000076</v>
      </c>
      <c r="AM62" s="526">
        <f t="shared" si="19"/>
        <v>19</v>
      </c>
      <c r="AN62" s="600"/>
      <c r="AO62" s="526">
        <v>12</v>
      </c>
      <c r="AP62" s="530">
        <v>1310.322580645166</v>
      </c>
      <c r="AQ62" s="530">
        <v>109.19354838709717</v>
      </c>
      <c r="AR62" s="526">
        <f t="shared" si="21"/>
        <v>20</v>
      </c>
      <c r="AS62" s="600"/>
      <c r="AT62" s="526">
        <v>12</v>
      </c>
      <c r="AU62" s="530">
        <v>1452.1875000000018</v>
      </c>
      <c r="AV62" s="530">
        <v>121.01562500000016</v>
      </c>
      <c r="AW62" s="526">
        <f t="shared" si="23"/>
        <v>20</v>
      </c>
      <c r="AX62" s="600"/>
      <c r="AZ62" s="526" t="e">
        <f t="shared" si="25"/>
        <v>#N/A</v>
      </c>
      <c r="BA62" s="600"/>
    </row>
    <row r="63" spans="2:53">
      <c r="B63" s="651"/>
      <c r="C63" s="317">
        <v>22</v>
      </c>
      <c r="D63" s="502" t="s">
        <v>825</v>
      </c>
      <c r="E63" s="502">
        <v>3</v>
      </c>
      <c r="F63" s="502">
        <v>3000</v>
      </c>
      <c r="G63" s="502">
        <v>933.33333333333337</v>
      </c>
      <c r="H63" s="600"/>
      <c r="I63" s="513">
        <f t="shared" si="27"/>
        <v>3</v>
      </c>
      <c r="J63" s="513">
        <f t="shared" si="28"/>
        <v>3044.2499999999991</v>
      </c>
      <c r="K63" s="200">
        <f t="shared" si="29"/>
        <v>1014.7499999999997</v>
      </c>
      <c r="L63" s="621"/>
      <c r="M63" s="199">
        <f>RANK(K63, K$42:$K$71)</f>
        <v>6</v>
      </c>
      <c r="N63" s="607"/>
      <c r="O63" s="607"/>
      <c r="P63" s="526" t="s">
        <v>822</v>
      </c>
      <c r="Q63" s="530" t="s">
        <v>822</v>
      </c>
      <c r="R63" s="530" t="s">
        <v>822</v>
      </c>
      <c r="S63" s="526" t="e">
        <f t="shared" si="11"/>
        <v>#VALUE!</v>
      </c>
      <c r="T63" s="600"/>
      <c r="U63" s="526" t="s">
        <v>822</v>
      </c>
      <c r="V63" s="530" t="s">
        <v>822</v>
      </c>
      <c r="W63" s="530" t="s">
        <v>822</v>
      </c>
      <c r="X63" s="526" t="e">
        <f t="shared" si="13"/>
        <v>#VALUE!</v>
      </c>
      <c r="Y63" s="600"/>
      <c r="Z63" s="526" t="s">
        <v>822</v>
      </c>
      <c r="AA63" s="530" t="s">
        <v>822</v>
      </c>
      <c r="AB63" s="530" t="s">
        <v>822</v>
      </c>
      <c r="AC63" s="526" t="e">
        <f t="shared" si="15"/>
        <v>#VALUE!</v>
      </c>
      <c r="AD63" s="600"/>
      <c r="AE63" s="526" t="s">
        <v>822</v>
      </c>
      <c r="AF63" s="530" t="s">
        <v>822</v>
      </c>
      <c r="AG63" s="530" t="s">
        <v>822</v>
      </c>
      <c r="AH63" s="526" t="e">
        <f t="shared" si="17"/>
        <v>#VALUE!</v>
      </c>
      <c r="AI63" s="600"/>
      <c r="AJ63" s="526" t="s">
        <v>822</v>
      </c>
      <c r="AK63" s="530" t="s">
        <v>822</v>
      </c>
      <c r="AL63" s="530" t="s">
        <v>822</v>
      </c>
      <c r="AM63" s="526" t="e">
        <f t="shared" si="19"/>
        <v>#VALUE!</v>
      </c>
      <c r="AN63" s="600"/>
      <c r="AO63" s="526" t="s">
        <v>822</v>
      </c>
      <c r="AP63" s="530" t="s">
        <v>822</v>
      </c>
      <c r="AQ63" s="530" t="s">
        <v>822</v>
      </c>
      <c r="AR63" s="526" t="e">
        <f t="shared" si="21"/>
        <v>#VALUE!</v>
      </c>
      <c r="AS63" s="600"/>
      <c r="AT63" s="526">
        <v>3</v>
      </c>
      <c r="AU63" s="530">
        <v>3044.2499999999991</v>
      </c>
      <c r="AV63" s="530">
        <v>1014.7499999999997</v>
      </c>
      <c r="AW63" s="526">
        <f t="shared" si="23"/>
        <v>6</v>
      </c>
      <c r="AX63" s="600"/>
      <c r="AZ63" s="526" t="e">
        <f t="shared" si="25"/>
        <v>#N/A</v>
      </c>
      <c r="BA63" s="600"/>
    </row>
    <row r="64" spans="2:53">
      <c r="B64" s="651"/>
      <c r="C64" s="317">
        <v>23</v>
      </c>
      <c r="D64" s="502"/>
      <c r="E64" s="502"/>
      <c r="F64" s="502"/>
      <c r="G64" s="502"/>
      <c r="H64" s="600"/>
      <c r="I64" s="513" t="str">
        <f t="shared" si="27"/>
        <v>-</v>
      </c>
      <c r="J64" s="513" t="str">
        <f t="shared" si="28"/>
        <v>-</v>
      </c>
      <c r="K64" s="200" t="str">
        <f t="shared" si="29"/>
        <v>-</v>
      </c>
      <c r="L64" s="621"/>
      <c r="M64" s="199" t="e">
        <f>RANK(K64, K$42:$K$71)</f>
        <v>#VALUE!</v>
      </c>
      <c r="N64" s="607"/>
      <c r="O64" s="607"/>
      <c r="P64" s="526" t="s">
        <v>822</v>
      </c>
      <c r="Q64" s="530" t="s">
        <v>822</v>
      </c>
      <c r="R64" s="530" t="s">
        <v>822</v>
      </c>
      <c r="S64" s="526" t="e">
        <f t="shared" si="11"/>
        <v>#VALUE!</v>
      </c>
      <c r="T64" s="600"/>
      <c r="U64" s="526" t="s">
        <v>822</v>
      </c>
      <c r="V64" s="530" t="s">
        <v>822</v>
      </c>
      <c r="W64" s="530" t="s">
        <v>822</v>
      </c>
      <c r="X64" s="526" t="e">
        <f t="shared" si="13"/>
        <v>#VALUE!</v>
      </c>
      <c r="Y64" s="600"/>
      <c r="Z64" s="526" t="s">
        <v>822</v>
      </c>
      <c r="AA64" s="530" t="s">
        <v>822</v>
      </c>
      <c r="AB64" s="530" t="s">
        <v>822</v>
      </c>
      <c r="AC64" s="526" t="e">
        <f t="shared" si="15"/>
        <v>#VALUE!</v>
      </c>
      <c r="AD64" s="600"/>
      <c r="AE64" s="526" t="s">
        <v>822</v>
      </c>
      <c r="AF64" s="530" t="s">
        <v>822</v>
      </c>
      <c r="AG64" s="530" t="s">
        <v>822</v>
      </c>
      <c r="AH64" s="526" t="e">
        <f t="shared" si="17"/>
        <v>#VALUE!</v>
      </c>
      <c r="AI64" s="600"/>
      <c r="AJ64" s="526" t="s">
        <v>822</v>
      </c>
      <c r="AK64" s="530" t="s">
        <v>822</v>
      </c>
      <c r="AL64" s="530" t="s">
        <v>822</v>
      </c>
      <c r="AM64" s="526" t="e">
        <f t="shared" si="19"/>
        <v>#VALUE!</v>
      </c>
      <c r="AN64" s="600"/>
      <c r="AO64" s="526" t="s">
        <v>822</v>
      </c>
      <c r="AP64" s="530" t="s">
        <v>822</v>
      </c>
      <c r="AQ64" s="530" t="s">
        <v>822</v>
      </c>
      <c r="AR64" s="526" t="e">
        <f t="shared" si="21"/>
        <v>#VALUE!</v>
      </c>
      <c r="AS64" s="600"/>
      <c r="AT64" s="526" t="s">
        <v>822</v>
      </c>
      <c r="AU64" s="530" t="s">
        <v>822</v>
      </c>
      <c r="AV64" s="530" t="s">
        <v>822</v>
      </c>
      <c r="AW64" s="526" t="e">
        <f t="shared" si="23"/>
        <v>#VALUE!</v>
      </c>
      <c r="AX64" s="600"/>
      <c r="AZ64" s="526" t="e">
        <f t="shared" si="25"/>
        <v>#N/A</v>
      </c>
      <c r="BA64" s="600"/>
    </row>
    <row r="65" spans="2:53">
      <c r="B65" s="651"/>
      <c r="C65" s="317">
        <v>24</v>
      </c>
      <c r="D65" s="502"/>
      <c r="E65" s="502"/>
      <c r="F65" s="502"/>
      <c r="G65" s="502"/>
      <c r="H65" s="600"/>
      <c r="I65" s="513" t="str">
        <f t="shared" si="27"/>
        <v>-</v>
      </c>
      <c r="J65" s="513" t="str">
        <f t="shared" si="28"/>
        <v>-</v>
      </c>
      <c r="K65" s="200" t="str">
        <f t="shared" si="29"/>
        <v>-</v>
      </c>
      <c r="L65" s="621"/>
      <c r="M65" s="199" t="e">
        <f>RANK(K65, K$42:$K$71)</f>
        <v>#VALUE!</v>
      </c>
      <c r="N65" s="607"/>
      <c r="O65" s="607"/>
      <c r="P65" s="526" t="s">
        <v>822</v>
      </c>
      <c r="Q65" s="530" t="s">
        <v>822</v>
      </c>
      <c r="R65" s="530" t="s">
        <v>822</v>
      </c>
      <c r="S65" s="526" t="e">
        <f t="shared" si="11"/>
        <v>#VALUE!</v>
      </c>
      <c r="T65" s="600"/>
      <c r="U65" s="526" t="s">
        <v>822</v>
      </c>
      <c r="V65" s="530" t="s">
        <v>822</v>
      </c>
      <c r="W65" s="530" t="s">
        <v>822</v>
      </c>
      <c r="X65" s="526" t="e">
        <f t="shared" si="13"/>
        <v>#VALUE!</v>
      </c>
      <c r="Y65" s="600"/>
      <c r="Z65" s="526" t="s">
        <v>822</v>
      </c>
      <c r="AA65" s="530" t="s">
        <v>822</v>
      </c>
      <c r="AB65" s="530" t="s">
        <v>822</v>
      </c>
      <c r="AC65" s="526" t="e">
        <f t="shared" si="15"/>
        <v>#VALUE!</v>
      </c>
      <c r="AD65" s="600"/>
      <c r="AE65" s="526" t="s">
        <v>822</v>
      </c>
      <c r="AF65" s="530" t="s">
        <v>822</v>
      </c>
      <c r="AG65" s="530" t="s">
        <v>822</v>
      </c>
      <c r="AH65" s="526" t="e">
        <f t="shared" si="17"/>
        <v>#VALUE!</v>
      </c>
      <c r="AI65" s="600"/>
      <c r="AJ65" s="526" t="s">
        <v>822</v>
      </c>
      <c r="AK65" s="530" t="s">
        <v>822</v>
      </c>
      <c r="AL65" s="530" t="s">
        <v>822</v>
      </c>
      <c r="AM65" s="526" t="e">
        <f t="shared" si="19"/>
        <v>#VALUE!</v>
      </c>
      <c r="AN65" s="600"/>
      <c r="AO65" s="526" t="s">
        <v>822</v>
      </c>
      <c r="AP65" s="530" t="s">
        <v>822</v>
      </c>
      <c r="AQ65" s="530" t="s">
        <v>822</v>
      </c>
      <c r="AR65" s="526" t="e">
        <f t="shared" si="21"/>
        <v>#VALUE!</v>
      </c>
      <c r="AS65" s="600"/>
      <c r="AT65" s="526" t="s">
        <v>822</v>
      </c>
      <c r="AU65" s="530" t="s">
        <v>822</v>
      </c>
      <c r="AV65" s="530" t="s">
        <v>822</v>
      </c>
      <c r="AW65" s="526" t="e">
        <f t="shared" si="23"/>
        <v>#VALUE!</v>
      </c>
      <c r="AX65" s="600"/>
      <c r="AZ65" s="526" t="e">
        <f t="shared" si="25"/>
        <v>#N/A</v>
      </c>
      <c r="BA65" s="600"/>
    </row>
    <row r="66" spans="2:53">
      <c r="B66" s="651"/>
      <c r="C66" s="317">
        <v>25</v>
      </c>
      <c r="D66" s="502"/>
      <c r="E66" s="502"/>
      <c r="F66" s="502"/>
      <c r="G66" s="502"/>
      <c r="H66" s="600"/>
      <c r="I66" s="513" t="str">
        <f t="shared" si="27"/>
        <v>-</v>
      </c>
      <c r="J66" s="513" t="str">
        <f t="shared" si="28"/>
        <v>-</v>
      </c>
      <c r="K66" s="200" t="str">
        <f t="shared" si="29"/>
        <v>-</v>
      </c>
      <c r="L66" s="621"/>
      <c r="M66" s="199" t="e">
        <f>RANK(K66, K$42:$K$71)</f>
        <v>#VALUE!</v>
      </c>
      <c r="N66" s="607"/>
      <c r="O66" s="607"/>
      <c r="P66" s="526" t="s">
        <v>822</v>
      </c>
      <c r="Q66" s="530" t="s">
        <v>822</v>
      </c>
      <c r="R66" s="530" t="s">
        <v>822</v>
      </c>
      <c r="S66" s="526" t="e">
        <f t="shared" si="11"/>
        <v>#VALUE!</v>
      </c>
      <c r="T66" s="600"/>
      <c r="U66" s="526" t="s">
        <v>822</v>
      </c>
      <c r="V66" s="530" t="s">
        <v>822</v>
      </c>
      <c r="W66" s="530" t="s">
        <v>822</v>
      </c>
      <c r="X66" s="526" t="e">
        <f t="shared" si="13"/>
        <v>#VALUE!</v>
      </c>
      <c r="Y66" s="600"/>
      <c r="Z66" s="526" t="s">
        <v>822</v>
      </c>
      <c r="AA66" s="530" t="s">
        <v>822</v>
      </c>
      <c r="AB66" s="530" t="s">
        <v>822</v>
      </c>
      <c r="AC66" s="526" t="e">
        <f t="shared" si="15"/>
        <v>#VALUE!</v>
      </c>
      <c r="AD66" s="600"/>
      <c r="AE66" s="526" t="s">
        <v>822</v>
      </c>
      <c r="AF66" s="530" t="s">
        <v>822</v>
      </c>
      <c r="AG66" s="530" t="s">
        <v>822</v>
      </c>
      <c r="AH66" s="526" t="e">
        <f t="shared" si="17"/>
        <v>#VALUE!</v>
      </c>
      <c r="AI66" s="600"/>
      <c r="AJ66" s="526" t="s">
        <v>822</v>
      </c>
      <c r="AK66" s="530" t="s">
        <v>822</v>
      </c>
      <c r="AL66" s="530" t="s">
        <v>822</v>
      </c>
      <c r="AM66" s="526" t="e">
        <f t="shared" si="19"/>
        <v>#VALUE!</v>
      </c>
      <c r="AN66" s="600"/>
      <c r="AO66" s="526" t="s">
        <v>822</v>
      </c>
      <c r="AP66" s="530" t="s">
        <v>822</v>
      </c>
      <c r="AQ66" s="530" t="s">
        <v>822</v>
      </c>
      <c r="AR66" s="526" t="e">
        <f t="shared" si="21"/>
        <v>#VALUE!</v>
      </c>
      <c r="AS66" s="600"/>
      <c r="AT66" s="526" t="s">
        <v>822</v>
      </c>
      <c r="AU66" s="530" t="s">
        <v>822</v>
      </c>
      <c r="AV66" s="530" t="s">
        <v>822</v>
      </c>
      <c r="AW66" s="526" t="e">
        <f t="shared" si="23"/>
        <v>#VALUE!</v>
      </c>
      <c r="AX66" s="600"/>
      <c r="AZ66" s="526" t="e">
        <f t="shared" si="25"/>
        <v>#N/A</v>
      </c>
      <c r="BA66" s="600"/>
    </row>
    <row r="67" spans="2:53">
      <c r="B67" s="651"/>
      <c r="C67" s="317">
        <v>26</v>
      </c>
      <c r="D67" s="502"/>
      <c r="E67" s="502"/>
      <c r="F67" s="502"/>
      <c r="G67" s="502"/>
      <c r="H67" s="600"/>
      <c r="I67" s="513" t="str">
        <f t="shared" si="27"/>
        <v>-</v>
      </c>
      <c r="J67" s="513" t="str">
        <f t="shared" si="28"/>
        <v>-</v>
      </c>
      <c r="K67" s="200" t="str">
        <f t="shared" si="29"/>
        <v>-</v>
      </c>
      <c r="L67" s="621"/>
      <c r="M67" s="199" t="e">
        <f>RANK(K67, K$42:$K$71)</f>
        <v>#VALUE!</v>
      </c>
      <c r="N67" s="607"/>
      <c r="O67" s="607"/>
      <c r="P67" s="526" t="s">
        <v>822</v>
      </c>
      <c r="Q67" s="530" t="s">
        <v>822</v>
      </c>
      <c r="R67" s="530" t="s">
        <v>822</v>
      </c>
      <c r="S67" s="526" t="e">
        <f t="shared" si="11"/>
        <v>#VALUE!</v>
      </c>
      <c r="T67" s="600"/>
      <c r="U67" s="526" t="s">
        <v>822</v>
      </c>
      <c r="V67" s="530" t="s">
        <v>822</v>
      </c>
      <c r="W67" s="530" t="s">
        <v>822</v>
      </c>
      <c r="X67" s="526" t="e">
        <f t="shared" si="13"/>
        <v>#VALUE!</v>
      </c>
      <c r="Y67" s="600"/>
      <c r="Z67" s="526" t="s">
        <v>822</v>
      </c>
      <c r="AA67" s="530" t="s">
        <v>822</v>
      </c>
      <c r="AB67" s="530" t="s">
        <v>822</v>
      </c>
      <c r="AC67" s="526" t="e">
        <f t="shared" si="15"/>
        <v>#VALUE!</v>
      </c>
      <c r="AD67" s="600"/>
      <c r="AE67" s="526" t="s">
        <v>822</v>
      </c>
      <c r="AF67" s="530" t="s">
        <v>822</v>
      </c>
      <c r="AG67" s="530" t="s">
        <v>822</v>
      </c>
      <c r="AH67" s="526" t="e">
        <f t="shared" si="17"/>
        <v>#VALUE!</v>
      </c>
      <c r="AI67" s="600"/>
      <c r="AJ67" s="526" t="s">
        <v>822</v>
      </c>
      <c r="AK67" s="530" t="s">
        <v>822</v>
      </c>
      <c r="AL67" s="530" t="s">
        <v>822</v>
      </c>
      <c r="AM67" s="526" t="e">
        <f t="shared" si="19"/>
        <v>#VALUE!</v>
      </c>
      <c r="AN67" s="600"/>
      <c r="AO67" s="526" t="s">
        <v>822</v>
      </c>
      <c r="AP67" s="530" t="s">
        <v>822</v>
      </c>
      <c r="AQ67" s="530" t="s">
        <v>822</v>
      </c>
      <c r="AR67" s="526" t="e">
        <f t="shared" si="21"/>
        <v>#VALUE!</v>
      </c>
      <c r="AS67" s="600"/>
      <c r="AT67" s="526" t="s">
        <v>822</v>
      </c>
      <c r="AU67" s="530" t="s">
        <v>822</v>
      </c>
      <c r="AV67" s="530" t="s">
        <v>822</v>
      </c>
      <c r="AW67" s="526" t="e">
        <f t="shared" si="23"/>
        <v>#VALUE!</v>
      </c>
      <c r="AX67" s="600"/>
      <c r="AZ67" s="526" t="e">
        <f t="shared" si="25"/>
        <v>#N/A</v>
      </c>
      <c r="BA67" s="600"/>
    </row>
    <row r="68" spans="2:53">
      <c r="B68" s="651"/>
      <c r="C68" s="317">
        <v>27</v>
      </c>
      <c r="D68" s="502"/>
      <c r="E68" s="502"/>
      <c r="F68" s="502"/>
      <c r="G68" s="502"/>
      <c r="H68" s="600"/>
      <c r="I68" s="513" t="str">
        <f t="shared" si="27"/>
        <v>-</v>
      </c>
      <c r="J68" s="513" t="str">
        <f t="shared" si="28"/>
        <v>-</v>
      </c>
      <c r="K68" s="200" t="str">
        <f t="shared" si="29"/>
        <v>-</v>
      </c>
      <c r="L68" s="621"/>
      <c r="M68" s="199" t="e">
        <f>RANK(K68, K$42:$K$71)</f>
        <v>#VALUE!</v>
      </c>
      <c r="N68" s="607"/>
      <c r="O68" s="607"/>
      <c r="P68" s="526" t="s">
        <v>822</v>
      </c>
      <c r="Q68" s="530" t="s">
        <v>822</v>
      </c>
      <c r="R68" s="530" t="s">
        <v>822</v>
      </c>
      <c r="S68" s="526" t="e">
        <f t="shared" si="11"/>
        <v>#VALUE!</v>
      </c>
      <c r="T68" s="600"/>
      <c r="U68" s="526" t="s">
        <v>822</v>
      </c>
      <c r="V68" s="530" t="s">
        <v>822</v>
      </c>
      <c r="W68" s="530" t="s">
        <v>822</v>
      </c>
      <c r="X68" s="526" t="e">
        <f t="shared" si="13"/>
        <v>#VALUE!</v>
      </c>
      <c r="Y68" s="600"/>
      <c r="Z68" s="526" t="s">
        <v>822</v>
      </c>
      <c r="AA68" s="530" t="s">
        <v>822</v>
      </c>
      <c r="AB68" s="530" t="s">
        <v>822</v>
      </c>
      <c r="AC68" s="526" t="e">
        <f t="shared" si="15"/>
        <v>#VALUE!</v>
      </c>
      <c r="AD68" s="600"/>
      <c r="AE68" s="526" t="s">
        <v>822</v>
      </c>
      <c r="AF68" s="530" t="s">
        <v>822</v>
      </c>
      <c r="AG68" s="530" t="s">
        <v>822</v>
      </c>
      <c r="AH68" s="526" t="e">
        <f t="shared" si="17"/>
        <v>#VALUE!</v>
      </c>
      <c r="AI68" s="600"/>
      <c r="AJ68" s="526" t="s">
        <v>822</v>
      </c>
      <c r="AK68" s="530" t="s">
        <v>822</v>
      </c>
      <c r="AL68" s="530" t="s">
        <v>822</v>
      </c>
      <c r="AM68" s="526" t="e">
        <f t="shared" si="19"/>
        <v>#VALUE!</v>
      </c>
      <c r="AN68" s="600"/>
      <c r="AO68" s="526" t="s">
        <v>822</v>
      </c>
      <c r="AP68" s="530" t="s">
        <v>822</v>
      </c>
      <c r="AQ68" s="530" t="s">
        <v>822</v>
      </c>
      <c r="AR68" s="526" t="e">
        <f t="shared" si="21"/>
        <v>#VALUE!</v>
      </c>
      <c r="AS68" s="600"/>
      <c r="AT68" s="526" t="s">
        <v>822</v>
      </c>
      <c r="AU68" s="530" t="s">
        <v>822</v>
      </c>
      <c r="AV68" s="530" t="s">
        <v>822</v>
      </c>
      <c r="AW68" s="526" t="e">
        <f t="shared" si="23"/>
        <v>#VALUE!</v>
      </c>
      <c r="AX68" s="600"/>
      <c r="AZ68" s="526" t="e">
        <f t="shared" si="25"/>
        <v>#N/A</v>
      </c>
      <c r="BA68" s="600"/>
    </row>
    <row r="69" spans="2:53">
      <c r="B69" s="651"/>
      <c r="C69" s="317">
        <v>28</v>
      </c>
      <c r="D69" s="502"/>
      <c r="E69" s="502"/>
      <c r="F69" s="502"/>
      <c r="G69" s="502"/>
      <c r="H69" s="600"/>
      <c r="I69" s="513" t="str">
        <f t="shared" si="27"/>
        <v>-</v>
      </c>
      <c r="J69" s="513" t="str">
        <f t="shared" si="28"/>
        <v>-</v>
      </c>
      <c r="K69" s="200" t="str">
        <f t="shared" si="29"/>
        <v>-</v>
      </c>
      <c r="L69" s="621"/>
      <c r="M69" s="199" t="e">
        <f>RANK(K69, K$42:$K$71)</f>
        <v>#VALUE!</v>
      </c>
      <c r="N69" s="607"/>
      <c r="O69" s="607"/>
      <c r="P69" s="526" t="s">
        <v>822</v>
      </c>
      <c r="Q69" s="530" t="s">
        <v>822</v>
      </c>
      <c r="R69" s="530" t="s">
        <v>822</v>
      </c>
      <c r="S69" s="526" t="e">
        <f t="shared" si="11"/>
        <v>#VALUE!</v>
      </c>
      <c r="T69" s="600"/>
      <c r="U69" s="526" t="s">
        <v>822</v>
      </c>
      <c r="V69" s="530" t="s">
        <v>822</v>
      </c>
      <c r="W69" s="530" t="s">
        <v>822</v>
      </c>
      <c r="X69" s="526" t="e">
        <f t="shared" si="13"/>
        <v>#VALUE!</v>
      </c>
      <c r="Y69" s="600"/>
      <c r="Z69" s="526" t="s">
        <v>822</v>
      </c>
      <c r="AA69" s="530" t="s">
        <v>822</v>
      </c>
      <c r="AB69" s="530" t="s">
        <v>822</v>
      </c>
      <c r="AC69" s="526" t="e">
        <f t="shared" si="15"/>
        <v>#VALUE!</v>
      </c>
      <c r="AD69" s="600"/>
      <c r="AE69" s="526" t="s">
        <v>822</v>
      </c>
      <c r="AF69" s="530" t="s">
        <v>822</v>
      </c>
      <c r="AG69" s="530" t="s">
        <v>822</v>
      </c>
      <c r="AH69" s="526" t="e">
        <f t="shared" si="17"/>
        <v>#VALUE!</v>
      </c>
      <c r="AI69" s="600"/>
      <c r="AJ69" s="526" t="s">
        <v>822</v>
      </c>
      <c r="AK69" s="530" t="s">
        <v>822</v>
      </c>
      <c r="AL69" s="530" t="s">
        <v>822</v>
      </c>
      <c r="AM69" s="526" t="e">
        <f t="shared" si="19"/>
        <v>#VALUE!</v>
      </c>
      <c r="AN69" s="600"/>
      <c r="AO69" s="526" t="s">
        <v>822</v>
      </c>
      <c r="AP69" s="530" t="s">
        <v>822</v>
      </c>
      <c r="AQ69" s="530" t="s">
        <v>822</v>
      </c>
      <c r="AR69" s="526" t="e">
        <f t="shared" si="21"/>
        <v>#VALUE!</v>
      </c>
      <c r="AS69" s="600"/>
      <c r="AT69" s="526" t="s">
        <v>822</v>
      </c>
      <c r="AU69" s="530" t="s">
        <v>822</v>
      </c>
      <c r="AV69" s="530" t="s">
        <v>822</v>
      </c>
      <c r="AW69" s="526" t="e">
        <f t="shared" si="23"/>
        <v>#VALUE!</v>
      </c>
      <c r="AX69" s="600"/>
      <c r="AZ69" s="526" t="e">
        <f t="shared" si="25"/>
        <v>#N/A</v>
      </c>
      <c r="BA69" s="600"/>
    </row>
    <row r="70" spans="2:53">
      <c r="B70" s="651"/>
      <c r="C70" s="317">
        <v>29</v>
      </c>
      <c r="D70" s="502"/>
      <c r="E70" s="502"/>
      <c r="F70" s="502"/>
      <c r="G70" s="502"/>
      <c r="H70" s="600"/>
      <c r="I70" s="513" t="str">
        <f t="shared" si="27"/>
        <v>-</v>
      </c>
      <c r="J70" s="513" t="str">
        <f t="shared" si="28"/>
        <v>-</v>
      </c>
      <c r="K70" s="200" t="str">
        <f t="shared" si="29"/>
        <v>-</v>
      </c>
      <c r="L70" s="621"/>
      <c r="M70" s="199" t="e">
        <f>RANK(K70, K$42:$K$71)</f>
        <v>#VALUE!</v>
      </c>
      <c r="N70" s="607"/>
      <c r="O70" s="607"/>
      <c r="P70" s="526" t="s">
        <v>822</v>
      </c>
      <c r="Q70" s="530" t="s">
        <v>822</v>
      </c>
      <c r="R70" s="530" t="s">
        <v>822</v>
      </c>
      <c r="S70" s="526" t="e">
        <f t="shared" si="11"/>
        <v>#VALUE!</v>
      </c>
      <c r="T70" s="600"/>
      <c r="U70" s="526" t="s">
        <v>822</v>
      </c>
      <c r="V70" s="530" t="s">
        <v>822</v>
      </c>
      <c r="W70" s="530" t="s">
        <v>822</v>
      </c>
      <c r="X70" s="526" t="e">
        <f t="shared" si="13"/>
        <v>#VALUE!</v>
      </c>
      <c r="Y70" s="600"/>
      <c r="Z70" s="526" t="s">
        <v>822</v>
      </c>
      <c r="AA70" s="530" t="s">
        <v>822</v>
      </c>
      <c r="AB70" s="530" t="s">
        <v>822</v>
      </c>
      <c r="AC70" s="526" t="e">
        <f t="shared" si="15"/>
        <v>#VALUE!</v>
      </c>
      <c r="AD70" s="600"/>
      <c r="AE70" s="526" t="s">
        <v>822</v>
      </c>
      <c r="AF70" s="530" t="s">
        <v>822</v>
      </c>
      <c r="AG70" s="530" t="s">
        <v>822</v>
      </c>
      <c r="AH70" s="526" t="e">
        <f t="shared" si="17"/>
        <v>#VALUE!</v>
      </c>
      <c r="AI70" s="600"/>
      <c r="AJ70" s="526" t="s">
        <v>822</v>
      </c>
      <c r="AK70" s="530" t="s">
        <v>822</v>
      </c>
      <c r="AL70" s="530" t="s">
        <v>822</v>
      </c>
      <c r="AM70" s="526" t="e">
        <f t="shared" si="19"/>
        <v>#VALUE!</v>
      </c>
      <c r="AN70" s="600"/>
      <c r="AO70" s="526" t="s">
        <v>822</v>
      </c>
      <c r="AP70" s="530" t="s">
        <v>822</v>
      </c>
      <c r="AQ70" s="530" t="s">
        <v>822</v>
      </c>
      <c r="AR70" s="526" t="e">
        <f t="shared" si="21"/>
        <v>#VALUE!</v>
      </c>
      <c r="AS70" s="600"/>
      <c r="AT70" s="526" t="s">
        <v>822</v>
      </c>
      <c r="AU70" s="530" t="s">
        <v>822</v>
      </c>
      <c r="AV70" s="530" t="s">
        <v>822</v>
      </c>
      <c r="AW70" s="526" t="e">
        <f t="shared" si="23"/>
        <v>#VALUE!</v>
      </c>
      <c r="AX70" s="600"/>
      <c r="AZ70" s="526" t="e">
        <f t="shared" si="25"/>
        <v>#N/A</v>
      </c>
      <c r="BA70" s="600"/>
    </row>
    <row r="71" spans="2:53">
      <c r="B71" s="652"/>
      <c r="C71" s="317">
        <v>30</v>
      </c>
      <c r="D71" s="502"/>
      <c r="E71" s="502"/>
      <c r="F71" s="502"/>
      <c r="G71" s="502"/>
      <c r="H71" s="601"/>
      <c r="I71" s="513" t="str">
        <f t="shared" si="27"/>
        <v>-</v>
      </c>
      <c r="J71" s="513" t="str">
        <f t="shared" si="28"/>
        <v>-</v>
      </c>
      <c r="K71" s="200" t="str">
        <f t="shared" si="29"/>
        <v>-</v>
      </c>
      <c r="L71" s="622"/>
      <c r="M71" s="199" t="e">
        <f>RANK(K71, K$42:$K$71)</f>
        <v>#VALUE!</v>
      </c>
      <c r="N71" s="608"/>
      <c r="O71" s="608"/>
      <c r="P71" s="526" t="s">
        <v>822</v>
      </c>
      <c r="Q71" s="530" t="s">
        <v>822</v>
      </c>
      <c r="R71" s="530" t="s">
        <v>822</v>
      </c>
      <c r="S71" s="526" t="e">
        <f t="shared" si="11"/>
        <v>#VALUE!</v>
      </c>
      <c r="T71" s="601"/>
      <c r="U71" s="526" t="s">
        <v>822</v>
      </c>
      <c r="V71" s="530" t="s">
        <v>822</v>
      </c>
      <c r="W71" s="530" t="s">
        <v>822</v>
      </c>
      <c r="X71" s="526" t="e">
        <f t="shared" si="13"/>
        <v>#VALUE!</v>
      </c>
      <c r="Y71" s="601"/>
      <c r="Z71" s="526" t="s">
        <v>822</v>
      </c>
      <c r="AA71" s="530" t="s">
        <v>822</v>
      </c>
      <c r="AB71" s="530" t="s">
        <v>822</v>
      </c>
      <c r="AC71" s="526" t="e">
        <f t="shared" si="15"/>
        <v>#VALUE!</v>
      </c>
      <c r="AD71" s="601"/>
      <c r="AE71" s="526" t="s">
        <v>822</v>
      </c>
      <c r="AF71" s="530" t="s">
        <v>822</v>
      </c>
      <c r="AG71" s="530" t="s">
        <v>822</v>
      </c>
      <c r="AH71" s="526" t="e">
        <f t="shared" si="17"/>
        <v>#VALUE!</v>
      </c>
      <c r="AI71" s="601"/>
      <c r="AJ71" s="526" t="s">
        <v>822</v>
      </c>
      <c r="AK71" s="530" t="s">
        <v>822</v>
      </c>
      <c r="AL71" s="530" t="s">
        <v>822</v>
      </c>
      <c r="AM71" s="526" t="e">
        <f t="shared" si="19"/>
        <v>#VALUE!</v>
      </c>
      <c r="AN71" s="601"/>
      <c r="AO71" s="526" t="s">
        <v>822</v>
      </c>
      <c r="AP71" s="530" t="s">
        <v>822</v>
      </c>
      <c r="AQ71" s="530" t="s">
        <v>822</v>
      </c>
      <c r="AR71" s="526" t="e">
        <f t="shared" si="21"/>
        <v>#VALUE!</v>
      </c>
      <c r="AS71" s="601"/>
      <c r="AT71" s="526" t="s">
        <v>822</v>
      </c>
      <c r="AU71" s="530" t="s">
        <v>822</v>
      </c>
      <c r="AV71" s="530" t="s">
        <v>822</v>
      </c>
      <c r="AW71" s="526" t="e">
        <f t="shared" si="23"/>
        <v>#VALUE!</v>
      </c>
      <c r="AX71" s="601"/>
      <c r="AZ71" s="526" t="e">
        <f t="shared" si="25"/>
        <v>#N/A</v>
      </c>
      <c r="BA71" s="601"/>
    </row>
    <row r="72" spans="2:53" ht="15.75">
      <c r="B72" s="648" t="s">
        <v>163</v>
      </c>
      <c r="C72" s="649"/>
      <c r="D72" s="649"/>
      <c r="E72" s="649"/>
      <c r="F72" s="649"/>
      <c r="G72" s="649"/>
      <c r="H72" s="649"/>
      <c r="I72" s="208"/>
      <c r="J72" s="203"/>
      <c r="K72" s="208"/>
      <c r="L72" s="208"/>
      <c r="M72" s="204"/>
      <c r="N72" s="606" t="s">
        <v>156</v>
      </c>
      <c r="O72" s="606" t="s">
        <v>155</v>
      </c>
      <c r="P72" s="632">
        <f>P37+7</f>
        <v>46126</v>
      </c>
      <c r="Q72" s="610"/>
      <c r="R72" s="610"/>
      <c r="S72" s="610"/>
      <c r="T72" s="610"/>
      <c r="U72" s="629">
        <f>P72+1</f>
        <v>46127</v>
      </c>
      <c r="V72" s="630"/>
      <c r="W72" s="630"/>
      <c r="X72" s="630"/>
      <c r="Y72" s="631"/>
      <c r="Z72" s="629">
        <f>U72+1</f>
        <v>46128</v>
      </c>
      <c r="AA72" s="630"/>
      <c r="AB72" s="630"/>
      <c r="AC72" s="630"/>
      <c r="AD72" s="631"/>
      <c r="AE72" s="629">
        <f>Z72+1</f>
        <v>46129</v>
      </c>
      <c r="AF72" s="630"/>
      <c r="AG72" s="630"/>
      <c r="AH72" s="630"/>
      <c r="AI72" s="631"/>
      <c r="AJ72" s="629">
        <f>AE72+1</f>
        <v>46130</v>
      </c>
      <c r="AK72" s="630"/>
      <c r="AL72" s="630"/>
      <c r="AM72" s="630"/>
      <c r="AN72" s="631"/>
      <c r="AO72" s="629">
        <f>AJ72+1</f>
        <v>46131</v>
      </c>
      <c r="AP72" s="630"/>
      <c r="AQ72" s="630"/>
      <c r="AR72" s="630"/>
      <c r="AS72" s="631"/>
      <c r="AT72" s="629">
        <f>AO72+1</f>
        <v>46132</v>
      </c>
      <c r="AU72" s="630"/>
      <c r="AV72" s="630"/>
      <c r="AW72" s="630"/>
      <c r="AX72" s="631"/>
    </row>
    <row r="73" spans="2:53" ht="15.75">
      <c r="B73" s="636"/>
      <c r="C73" s="636"/>
      <c r="D73" s="636"/>
      <c r="E73" s="636"/>
      <c r="F73" s="636"/>
      <c r="G73" s="636"/>
      <c r="H73" s="636"/>
      <c r="I73" s="205"/>
      <c r="J73" s="205"/>
      <c r="K73" s="205"/>
      <c r="L73" s="205"/>
      <c r="M73" s="206"/>
      <c r="N73" s="608"/>
      <c r="O73" s="608"/>
      <c r="P73" s="632" t="s">
        <v>336</v>
      </c>
      <c r="Q73" s="610"/>
      <c r="R73" s="610"/>
      <c r="S73" s="610"/>
      <c r="T73" s="610"/>
      <c r="U73" s="632" t="s">
        <v>337</v>
      </c>
      <c r="V73" s="610"/>
      <c r="W73" s="610"/>
      <c r="X73" s="610"/>
      <c r="Y73" s="610"/>
      <c r="Z73" s="632" t="s">
        <v>338</v>
      </c>
      <c r="AA73" s="610"/>
      <c r="AB73" s="610"/>
      <c r="AC73" s="610"/>
      <c r="AD73" s="610"/>
      <c r="AE73" s="632" t="s">
        <v>339</v>
      </c>
      <c r="AF73" s="610"/>
      <c r="AG73" s="610"/>
      <c r="AH73" s="610"/>
      <c r="AI73" s="610"/>
      <c r="AJ73" s="632" t="s">
        <v>340</v>
      </c>
      <c r="AK73" s="610"/>
      <c r="AL73" s="610"/>
      <c r="AM73" s="610"/>
      <c r="AN73" s="610"/>
      <c r="AO73" s="632" t="s">
        <v>341</v>
      </c>
      <c r="AP73" s="610"/>
      <c r="AQ73" s="610"/>
      <c r="AR73" s="610"/>
      <c r="AS73" s="610"/>
      <c r="AT73" s="632" t="s">
        <v>342</v>
      </c>
      <c r="AU73" s="610"/>
      <c r="AV73" s="610"/>
      <c r="AW73" s="610"/>
      <c r="AX73" s="610"/>
    </row>
    <row r="74" spans="2:53">
      <c r="B74" s="606" t="s">
        <v>530</v>
      </c>
      <c r="C74" s="637" t="s">
        <v>531</v>
      </c>
      <c r="D74" s="653"/>
      <c r="E74" s="623" t="s">
        <v>532</v>
      </c>
      <c r="F74" s="624"/>
      <c r="G74" s="625"/>
      <c r="H74" s="606" t="s">
        <v>533</v>
      </c>
      <c r="I74" s="660" t="s">
        <v>534</v>
      </c>
      <c r="J74" s="661"/>
      <c r="K74" s="662"/>
      <c r="L74" s="642" t="s">
        <v>533</v>
      </c>
      <c r="M74" s="642" t="s">
        <v>535</v>
      </c>
      <c r="N74" s="606"/>
      <c r="O74" s="606" t="s">
        <v>536</v>
      </c>
      <c r="P74" s="623" t="s">
        <v>537</v>
      </c>
      <c r="Q74" s="624"/>
      <c r="R74" s="624"/>
      <c r="S74" s="625"/>
      <c r="T74" s="606" t="s">
        <v>533</v>
      </c>
      <c r="U74" s="623" t="s">
        <v>537</v>
      </c>
      <c r="V74" s="624"/>
      <c r="W74" s="624"/>
      <c r="X74" s="625"/>
      <c r="Y74" s="606" t="s">
        <v>533</v>
      </c>
      <c r="Z74" s="623" t="s">
        <v>537</v>
      </c>
      <c r="AA74" s="624"/>
      <c r="AB74" s="624"/>
      <c r="AC74" s="625"/>
      <c r="AD74" s="606" t="s">
        <v>533</v>
      </c>
      <c r="AE74" s="623" t="s">
        <v>537</v>
      </c>
      <c r="AF74" s="624"/>
      <c r="AG74" s="624"/>
      <c r="AH74" s="625"/>
      <c r="AI74" s="606" t="s">
        <v>533</v>
      </c>
      <c r="AJ74" s="623" t="s">
        <v>537</v>
      </c>
      <c r="AK74" s="624"/>
      <c r="AL74" s="624"/>
      <c r="AM74" s="625"/>
      <c r="AN74" s="606" t="s">
        <v>533</v>
      </c>
      <c r="AO74" s="623" t="s">
        <v>537</v>
      </c>
      <c r="AP74" s="624"/>
      <c r="AQ74" s="624"/>
      <c r="AR74" s="625"/>
      <c r="AS74" s="606" t="s">
        <v>533</v>
      </c>
      <c r="AT74" s="623" t="s">
        <v>537</v>
      </c>
      <c r="AU74" s="624"/>
      <c r="AV74" s="624"/>
      <c r="AW74" s="625"/>
      <c r="AX74" s="606" t="s">
        <v>533</v>
      </c>
      <c r="BA74" s="606" t="s">
        <v>395</v>
      </c>
    </row>
    <row r="75" spans="2:53">
      <c r="B75" s="607"/>
      <c r="C75" s="638"/>
      <c r="D75" s="654"/>
      <c r="E75" s="623" t="s">
        <v>538</v>
      </c>
      <c r="F75" s="624"/>
      <c r="G75" s="625"/>
      <c r="H75" s="607"/>
      <c r="I75" s="660" t="s">
        <v>538</v>
      </c>
      <c r="J75" s="661"/>
      <c r="K75" s="662"/>
      <c r="L75" s="643"/>
      <c r="M75" s="643"/>
      <c r="N75" s="607"/>
      <c r="O75" s="607"/>
      <c r="P75" s="623" t="s">
        <v>539</v>
      </c>
      <c r="Q75" s="624"/>
      <c r="R75" s="624"/>
      <c r="S75" s="625"/>
      <c r="T75" s="607"/>
      <c r="U75" s="623" t="s">
        <v>539</v>
      </c>
      <c r="V75" s="624"/>
      <c r="W75" s="624"/>
      <c r="X75" s="625"/>
      <c r="Y75" s="607"/>
      <c r="Z75" s="623" t="s">
        <v>539</v>
      </c>
      <c r="AA75" s="624"/>
      <c r="AB75" s="624"/>
      <c r="AC75" s="625"/>
      <c r="AD75" s="607"/>
      <c r="AE75" s="623" t="s">
        <v>539</v>
      </c>
      <c r="AF75" s="624"/>
      <c r="AG75" s="624"/>
      <c r="AH75" s="625"/>
      <c r="AI75" s="607"/>
      <c r="AJ75" s="623" t="s">
        <v>539</v>
      </c>
      <c r="AK75" s="624"/>
      <c r="AL75" s="624"/>
      <c r="AM75" s="625"/>
      <c r="AN75" s="607"/>
      <c r="AO75" s="623" t="s">
        <v>539</v>
      </c>
      <c r="AP75" s="624"/>
      <c r="AQ75" s="624"/>
      <c r="AR75" s="625"/>
      <c r="AS75" s="607"/>
      <c r="AT75" s="623" t="s">
        <v>539</v>
      </c>
      <c r="AU75" s="624"/>
      <c r="AV75" s="624"/>
      <c r="AW75" s="625"/>
      <c r="AX75" s="607"/>
      <c r="BA75" s="607"/>
    </row>
    <row r="76" spans="2:53">
      <c r="B76" s="608"/>
      <c r="C76" s="639"/>
      <c r="D76" s="655"/>
      <c r="E76" s="319" t="s">
        <v>540</v>
      </c>
      <c r="F76" s="319" t="s">
        <v>541</v>
      </c>
      <c r="G76" s="319" t="s">
        <v>542</v>
      </c>
      <c r="H76" s="608"/>
      <c r="I76" s="318" t="s">
        <v>540</v>
      </c>
      <c r="J76" s="318" t="s">
        <v>541</v>
      </c>
      <c r="K76" s="318" t="s">
        <v>542</v>
      </c>
      <c r="L76" s="644"/>
      <c r="M76" s="644"/>
      <c r="N76" s="607"/>
      <c r="O76" s="607"/>
      <c r="P76" s="319" t="s">
        <v>540</v>
      </c>
      <c r="Q76" s="319" t="s">
        <v>541</v>
      </c>
      <c r="R76" s="319" t="s">
        <v>542</v>
      </c>
      <c r="S76" s="319" t="s">
        <v>535</v>
      </c>
      <c r="T76" s="608"/>
      <c r="U76" s="319" t="s">
        <v>540</v>
      </c>
      <c r="V76" s="319" t="s">
        <v>541</v>
      </c>
      <c r="W76" s="319" t="s">
        <v>542</v>
      </c>
      <c r="X76" s="319" t="s">
        <v>535</v>
      </c>
      <c r="Y76" s="608"/>
      <c r="Z76" s="319" t="s">
        <v>540</v>
      </c>
      <c r="AA76" s="319" t="s">
        <v>541</v>
      </c>
      <c r="AB76" s="319" t="s">
        <v>542</v>
      </c>
      <c r="AC76" s="319" t="s">
        <v>535</v>
      </c>
      <c r="AD76" s="608"/>
      <c r="AE76" s="319" t="s">
        <v>540</v>
      </c>
      <c r="AF76" s="319" t="s">
        <v>541</v>
      </c>
      <c r="AG76" s="319" t="s">
        <v>542</v>
      </c>
      <c r="AH76" s="319" t="s">
        <v>535</v>
      </c>
      <c r="AI76" s="608"/>
      <c r="AJ76" s="319" t="s">
        <v>540</v>
      </c>
      <c r="AK76" s="319" t="s">
        <v>541</v>
      </c>
      <c r="AL76" s="319" t="s">
        <v>542</v>
      </c>
      <c r="AM76" s="319" t="s">
        <v>535</v>
      </c>
      <c r="AN76" s="608"/>
      <c r="AO76" s="319" t="s">
        <v>540</v>
      </c>
      <c r="AP76" s="319" t="s">
        <v>541</v>
      </c>
      <c r="AQ76" s="319" t="s">
        <v>542</v>
      </c>
      <c r="AR76" s="319" t="s">
        <v>535</v>
      </c>
      <c r="AS76" s="608"/>
      <c r="AT76" s="319" t="s">
        <v>540</v>
      </c>
      <c r="AU76" s="319" t="s">
        <v>541</v>
      </c>
      <c r="AV76" s="319" t="s">
        <v>542</v>
      </c>
      <c r="AW76" s="319" t="s">
        <v>535</v>
      </c>
      <c r="AX76" s="608"/>
      <c r="AZ76" s="527" t="s">
        <v>396</v>
      </c>
      <c r="BA76" s="608"/>
    </row>
    <row r="77" spans="2:53">
      <c r="B77" s="650" t="s">
        <v>150</v>
      </c>
      <c r="C77" s="320">
        <v>1</v>
      </c>
      <c r="D77" s="511" t="s">
        <v>358</v>
      </c>
      <c r="E77" s="511">
        <v>3</v>
      </c>
      <c r="F77" s="511">
        <v>3200</v>
      </c>
      <c r="G77" s="182">
        <v>1066.6666666666667</v>
      </c>
      <c r="H77" s="599">
        <f>AVERAGE(G77:G106)</f>
        <v>732.8125</v>
      </c>
      <c r="I77" s="513">
        <f>IFERROR(AVERAGE(P77,U77,Z77,AE77,AJ77,AO77,AT77),"-")</f>
        <v>3</v>
      </c>
      <c r="J77" s="513">
        <f>IFERROR(AVERAGE(Q77,V77,AA77,AF77,AK77,AP77,AU77),"-")</f>
        <v>3223.8294059525574</v>
      </c>
      <c r="K77" s="200">
        <f>IFERROR(AVERAGE(R77,W77,AB77,AG77,AL77,AQ77,AV77),"-")</f>
        <v>1074.6098019841861</v>
      </c>
      <c r="L77" s="663">
        <f>IFERROR(AVERAGE(K77:K106),"-")</f>
        <v>754.49545714079932</v>
      </c>
      <c r="M77" s="199">
        <f>RANK(K77, K$77:$K$106)</f>
        <v>4</v>
      </c>
      <c r="N77" s="607"/>
      <c r="O77" s="607"/>
      <c r="P77" s="182">
        <v>3</v>
      </c>
      <c r="Q77" s="182">
        <v>3237.8571428571404</v>
      </c>
      <c r="R77" s="182">
        <v>1079.2857142857135</v>
      </c>
      <c r="S77" s="320">
        <f>RANK(R77, R$77:R$106)</f>
        <v>4</v>
      </c>
      <c r="T77" s="599">
        <f>AVERAGE(R77:R106)</f>
        <v>752.91943605607412</v>
      </c>
      <c r="U77" s="531">
        <v>3</v>
      </c>
      <c r="V77" s="533">
        <v>3169.5238095238087</v>
      </c>
      <c r="W77" s="533">
        <v>1056.5079365079362</v>
      </c>
      <c r="X77" s="441">
        <f t="shared" ref="X77:X92" si="30">RANK(W77, W$77:W$106)</f>
        <v>2</v>
      </c>
      <c r="Y77" s="599">
        <f t="shared" ref="Y77" si="31">AVERAGE(W77:W106)</f>
        <v>751.69606398368035</v>
      </c>
      <c r="Z77" s="531">
        <v>3</v>
      </c>
      <c r="AA77" s="533">
        <v>3167.7777777777796</v>
      </c>
      <c r="AB77" s="533">
        <v>1055.9259259259265</v>
      </c>
      <c r="AC77" s="441">
        <f t="shared" ref="AC77:AC92" si="32">RANK(AB77, AB$77:AB$106)</f>
        <v>4</v>
      </c>
      <c r="AD77" s="599">
        <f t="shared" ref="AD77" si="33">AVERAGE(AB77:AB106)</f>
        <v>744.30779913972299</v>
      </c>
      <c r="AE77" s="531">
        <v>3</v>
      </c>
      <c r="AF77" s="533">
        <v>3237.8571428571404</v>
      </c>
      <c r="AG77" s="533">
        <v>1079.2857142857135</v>
      </c>
      <c r="AH77" s="441">
        <f t="shared" ref="AH77:AH92" si="34">RANK(AG77, AG$77:AG$106)</f>
        <v>4</v>
      </c>
      <c r="AI77" s="599">
        <f t="shared" ref="AI77" si="35">AVERAGE(AG77:AG106)</f>
        <v>752.91943605607412</v>
      </c>
      <c r="AJ77" s="531">
        <v>3</v>
      </c>
      <c r="AK77" s="533">
        <v>3224.9999999999964</v>
      </c>
      <c r="AL77" s="533">
        <v>1074.9999999999989</v>
      </c>
      <c r="AM77" s="441">
        <f t="shared" ref="AM77:AM92" si="36">RANK(AL77, AL$77:AL$106)</f>
        <v>5</v>
      </c>
      <c r="AN77" s="599">
        <f t="shared" ref="AN77" si="37">AVERAGE(AL77:AL106)</f>
        <v>755.20719187345969</v>
      </c>
      <c r="AO77" s="531">
        <v>3</v>
      </c>
      <c r="AP77" s="533">
        <v>3225.5172413793084</v>
      </c>
      <c r="AQ77" s="533">
        <v>1075.1724137931028</v>
      </c>
      <c r="AR77" s="441">
        <f t="shared" ref="AR77:AR92" si="38">RANK(AQ77, AQ$77:AQ$106)</f>
        <v>6</v>
      </c>
      <c r="AS77" s="599">
        <f t="shared" ref="AS77" si="39">AVERAGE(AQ77:AQ106)</f>
        <v>769.2764968186699</v>
      </c>
      <c r="AT77" s="531">
        <v>3</v>
      </c>
      <c r="AU77" s="533">
        <v>3303.2727272727293</v>
      </c>
      <c r="AV77" s="533">
        <v>1101.0909090909097</v>
      </c>
      <c r="AW77" s="441">
        <f t="shared" ref="AW77:AW92" si="40">RANK(AV77, AV$77:AV$106)</f>
        <v>2</v>
      </c>
      <c r="AX77" s="599">
        <f t="shared" ref="AX77" si="41">AVERAGE(AV77:AV106)</f>
        <v>763.60446197347437</v>
      </c>
      <c r="AZ77" s="526" t="e">
        <f t="shared" ref="AZ77:AZ106" si="42">RANK(AY77, AY$77:AY$106)</f>
        <v>#N/A</v>
      </c>
      <c r="BA77" s="599" t="e">
        <f t="shared" ref="BA77" si="43">AVERAGE(AY77:AY106)</f>
        <v>#DIV/0!</v>
      </c>
    </row>
    <row r="78" spans="2:53">
      <c r="B78" s="651"/>
      <c r="C78" s="320">
        <v>2</v>
      </c>
      <c r="D78" s="515" t="s">
        <v>359</v>
      </c>
      <c r="E78" s="511">
        <v>3</v>
      </c>
      <c r="F78" s="511">
        <v>3200</v>
      </c>
      <c r="G78" s="182">
        <v>1066.6666666666667</v>
      </c>
      <c r="H78" s="600"/>
      <c r="I78" s="513">
        <f t="shared" ref="I78:I106" si="44">IFERROR(AVERAGE(P78,U78,Z78,AE78,AJ78,AO78,AT78),"-")</f>
        <v>3</v>
      </c>
      <c r="J78" s="513">
        <f t="shared" ref="J78:J106" si="45">IFERROR(AVERAGE(Q78,V78,AA78,AF78,AK78,AP78,AU78),"-")</f>
        <v>3156.7647058823495</v>
      </c>
      <c r="K78" s="200">
        <f t="shared" ref="K78:K106" si="46">IFERROR(AVERAGE(R78,W78,AB78,AG78,AL78,AQ78,AV78),"-")</f>
        <v>1052.2549019607832</v>
      </c>
      <c r="L78" s="664"/>
      <c r="M78" s="199">
        <f>RANK(K78, K$77:$K$106)</f>
        <v>5</v>
      </c>
      <c r="N78" s="607"/>
      <c r="O78" s="607"/>
      <c r="P78" s="182">
        <v>3</v>
      </c>
      <c r="Q78" s="182">
        <v>3049.9999999999977</v>
      </c>
      <c r="R78" s="182">
        <v>1016.6666666666659</v>
      </c>
      <c r="S78" s="326">
        <f t="shared" ref="S78:S106" si="47">RANK(R78, R$77:R$106)</f>
        <v>5</v>
      </c>
      <c r="T78" s="600"/>
      <c r="U78" s="531">
        <v>3</v>
      </c>
      <c r="V78" s="533">
        <v>3126.6666666666642</v>
      </c>
      <c r="W78" s="533">
        <v>1042.2222222222215</v>
      </c>
      <c r="X78" s="441">
        <f t="shared" si="30"/>
        <v>5</v>
      </c>
      <c r="Y78" s="600"/>
      <c r="Z78" s="531">
        <v>3</v>
      </c>
      <c r="AA78" s="533">
        <v>3033.3333333333308</v>
      </c>
      <c r="AB78" s="533">
        <v>1011.1111111111103</v>
      </c>
      <c r="AC78" s="441">
        <f t="shared" si="32"/>
        <v>6</v>
      </c>
      <c r="AD78" s="600"/>
      <c r="AE78" s="531">
        <v>3</v>
      </c>
      <c r="AF78" s="533">
        <v>3049.9999999999977</v>
      </c>
      <c r="AG78" s="533">
        <v>1016.6666666666659</v>
      </c>
      <c r="AH78" s="441">
        <f t="shared" si="34"/>
        <v>5</v>
      </c>
      <c r="AI78" s="600"/>
      <c r="AJ78" s="531">
        <v>3</v>
      </c>
      <c r="AK78" s="533">
        <v>3239.9999999999932</v>
      </c>
      <c r="AL78" s="533">
        <v>1079.9999999999977</v>
      </c>
      <c r="AM78" s="441">
        <f t="shared" si="36"/>
        <v>3</v>
      </c>
      <c r="AN78" s="600"/>
      <c r="AO78" s="531">
        <v>3</v>
      </c>
      <c r="AP78" s="533">
        <v>3282.3529411764666</v>
      </c>
      <c r="AQ78" s="533">
        <v>1094.1176470588223</v>
      </c>
      <c r="AR78" s="441">
        <f t="shared" si="38"/>
        <v>2</v>
      </c>
      <c r="AS78" s="600"/>
      <c r="AT78" s="531">
        <v>3</v>
      </c>
      <c r="AU78" s="533">
        <v>3314.9999999999959</v>
      </c>
      <c r="AV78" s="533">
        <v>1104.9999999999986</v>
      </c>
      <c r="AW78" s="441">
        <f t="shared" si="40"/>
        <v>1</v>
      </c>
      <c r="AX78" s="600"/>
      <c r="AZ78" s="526" t="e">
        <f t="shared" si="42"/>
        <v>#N/A</v>
      </c>
      <c r="BA78" s="600"/>
    </row>
    <row r="79" spans="2:53">
      <c r="B79" s="651"/>
      <c r="C79" s="320">
        <v>3</v>
      </c>
      <c r="D79" s="511" t="s">
        <v>348</v>
      </c>
      <c r="E79" s="511">
        <v>4</v>
      </c>
      <c r="F79" s="511">
        <v>3200</v>
      </c>
      <c r="G79" s="182">
        <v>800</v>
      </c>
      <c r="H79" s="600"/>
      <c r="I79" s="513">
        <f t="shared" si="44"/>
        <v>4</v>
      </c>
      <c r="J79" s="513">
        <f t="shared" si="45"/>
        <v>3215.049274548529</v>
      </c>
      <c r="K79" s="200">
        <f t="shared" si="46"/>
        <v>803.76231863713224</v>
      </c>
      <c r="L79" s="664"/>
      <c r="M79" s="199">
        <f>RANK(K79, K$77:$K$106)</f>
        <v>9</v>
      </c>
      <c r="N79" s="607"/>
      <c r="O79" s="607"/>
      <c r="P79" s="182">
        <v>4</v>
      </c>
      <c r="Q79" s="182">
        <v>3146.6666666666706</v>
      </c>
      <c r="R79" s="182">
        <v>786.66666666666765</v>
      </c>
      <c r="S79" s="326">
        <f t="shared" si="47"/>
        <v>11</v>
      </c>
      <c r="T79" s="600"/>
      <c r="U79" s="531">
        <v>4</v>
      </c>
      <c r="V79" s="533">
        <v>3116.5714285714257</v>
      </c>
      <c r="W79" s="533">
        <v>779.14285714285643</v>
      </c>
      <c r="X79" s="441">
        <f t="shared" si="30"/>
        <v>13</v>
      </c>
      <c r="Y79" s="600"/>
      <c r="Z79" s="531">
        <v>4</v>
      </c>
      <c r="AA79" s="533">
        <v>3157.0588235294081</v>
      </c>
      <c r="AB79" s="533">
        <v>789.26470588235202</v>
      </c>
      <c r="AC79" s="441">
        <f t="shared" si="32"/>
        <v>10</v>
      </c>
      <c r="AD79" s="600"/>
      <c r="AE79" s="531">
        <v>4</v>
      </c>
      <c r="AF79" s="533">
        <v>3146.6666666666706</v>
      </c>
      <c r="AG79" s="533">
        <v>786.66666666666765</v>
      </c>
      <c r="AH79" s="441">
        <f t="shared" si="34"/>
        <v>11</v>
      </c>
      <c r="AI79" s="600"/>
      <c r="AJ79" s="531">
        <v>4</v>
      </c>
      <c r="AK79" s="533">
        <v>3312.8571428571418</v>
      </c>
      <c r="AL79" s="533">
        <v>828.21428571428544</v>
      </c>
      <c r="AM79" s="441">
        <f t="shared" si="36"/>
        <v>9</v>
      </c>
      <c r="AN79" s="600"/>
      <c r="AO79" s="531">
        <v>4</v>
      </c>
      <c r="AP79" s="533">
        <v>3288.7500000000036</v>
      </c>
      <c r="AQ79" s="533">
        <v>822.18750000000091</v>
      </c>
      <c r="AR79" s="441">
        <f t="shared" si="38"/>
        <v>10</v>
      </c>
      <c r="AS79" s="600"/>
      <c r="AT79" s="531">
        <v>4</v>
      </c>
      <c r="AU79" s="533">
        <v>3336.7741935483818</v>
      </c>
      <c r="AV79" s="533">
        <v>834.19354838709546</v>
      </c>
      <c r="AW79" s="441">
        <f t="shared" si="40"/>
        <v>9</v>
      </c>
      <c r="AX79" s="600"/>
      <c r="AZ79" s="526" t="e">
        <f t="shared" si="42"/>
        <v>#N/A</v>
      </c>
      <c r="BA79" s="600"/>
    </row>
    <row r="80" spans="2:53">
      <c r="B80" s="651"/>
      <c r="C80" s="320">
        <v>4</v>
      </c>
      <c r="D80" s="511" t="s">
        <v>360</v>
      </c>
      <c r="E80" s="511">
        <v>3</v>
      </c>
      <c r="F80" s="511">
        <v>3200</v>
      </c>
      <c r="G80" s="182">
        <v>1066.6666666666667</v>
      </c>
      <c r="H80" s="600"/>
      <c r="I80" s="513">
        <f t="shared" si="44"/>
        <v>3</v>
      </c>
      <c r="J80" s="513">
        <f t="shared" si="45"/>
        <v>3228.9006500745636</v>
      </c>
      <c r="K80" s="200">
        <f t="shared" si="46"/>
        <v>1076.3002166915212</v>
      </c>
      <c r="L80" s="664"/>
      <c r="M80" s="199">
        <f>RANK(K80, K$77:$K$106)</f>
        <v>3</v>
      </c>
      <c r="N80" s="607"/>
      <c r="O80" s="607"/>
      <c r="P80" s="182">
        <v>3</v>
      </c>
      <c r="Q80" s="182">
        <v>3255.681818181818</v>
      </c>
      <c r="R80" s="182">
        <v>1085.2272727272727</v>
      </c>
      <c r="S80" s="326">
        <f t="shared" si="47"/>
        <v>2</v>
      </c>
      <c r="T80" s="600"/>
      <c r="U80" s="531">
        <v>3</v>
      </c>
      <c r="V80" s="533">
        <v>3162.6666666666665</v>
      </c>
      <c r="W80" s="533">
        <v>1054.2222222222222</v>
      </c>
      <c r="X80" s="441">
        <f t="shared" si="30"/>
        <v>4</v>
      </c>
      <c r="Y80" s="600"/>
      <c r="Z80" s="531">
        <v>3</v>
      </c>
      <c r="AA80" s="533">
        <v>3180.0000000000023</v>
      </c>
      <c r="AB80" s="533">
        <v>1060.0000000000007</v>
      </c>
      <c r="AC80" s="441">
        <f t="shared" si="32"/>
        <v>2</v>
      </c>
      <c r="AD80" s="600"/>
      <c r="AE80" s="531">
        <v>3</v>
      </c>
      <c r="AF80" s="533">
        <v>3255.681818181818</v>
      </c>
      <c r="AG80" s="533">
        <v>1085.2272727272727</v>
      </c>
      <c r="AH80" s="441">
        <f t="shared" si="34"/>
        <v>2</v>
      </c>
      <c r="AI80" s="600"/>
      <c r="AJ80" s="531">
        <v>3</v>
      </c>
      <c r="AK80" s="533">
        <v>3219.2307692307709</v>
      </c>
      <c r="AL80" s="533">
        <v>1073.0769230769235</v>
      </c>
      <c r="AM80" s="441">
        <f t="shared" si="36"/>
        <v>6</v>
      </c>
      <c r="AN80" s="600"/>
      <c r="AO80" s="531">
        <v>3</v>
      </c>
      <c r="AP80" s="533">
        <v>3253.0434782608695</v>
      </c>
      <c r="AQ80" s="533">
        <v>1084.3478260869565</v>
      </c>
      <c r="AR80" s="441">
        <f t="shared" si="38"/>
        <v>5</v>
      </c>
      <c r="AS80" s="600"/>
      <c r="AT80" s="531">
        <v>3</v>
      </c>
      <c r="AU80" s="533">
        <v>3276</v>
      </c>
      <c r="AV80" s="533">
        <v>1092</v>
      </c>
      <c r="AW80" s="441">
        <f t="shared" si="40"/>
        <v>3</v>
      </c>
      <c r="AX80" s="600"/>
      <c r="AZ80" s="526" t="e">
        <f t="shared" si="42"/>
        <v>#N/A</v>
      </c>
      <c r="BA80" s="600"/>
    </row>
    <row r="81" spans="2:53">
      <c r="B81" s="651"/>
      <c r="C81" s="320">
        <v>5</v>
      </c>
      <c r="D81" s="511" t="s">
        <v>770</v>
      </c>
      <c r="E81" s="511">
        <v>4</v>
      </c>
      <c r="F81" s="511">
        <v>3200</v>
      </c>
      <c r="G81" s="182">
        <v>800</v>
      </c>
      <c r="H81" s="600"/>
      <c r="I81" s="513">
        <f t="shared" si="44"/>
        <v>4</v>
      </c>
      <c r="J81" s="513">
        <f t="shared" si="45"/>
        <v>3203.5234514858553</v>
      </c>
      <c r="K81" s="200">
        <f t="shared" si="46"/>
        <v>800.88086287146382</v>
      </c>
      <c r="L81" s="664"/>
      <c r="M81" s="199">
        <f>RANK(K81, K$77:$K$106)</f>
        <v>11</v>
      </c>
      <c r="N81" s="607"/>
      <c r="O81" s="607"/>
      <c r="P81" s="182">
        <v>4</v>
      </c>
      <c r="Q81" s="182">
        <v>3154.7368421052543</v>
      </c>
      <c r="R81" s="182">
        <v>788.68421052631356</v>
      </c>
      <c r="S81" s="326">
        <f t="shared" si="47"/>
        <v>10</v>
      </c>
      <c r="T81" s="600"/>
      <c r="U81" s="531">
        <v>4</v>
      </c>
      <c r="V81" s="533">
        <v>3194.9999999999918</v>
      </c>
      <c r="W81" s="533">
        <v>798.74999999999795</v>
      </c>
      <c r="X81" s="441">
        <f t="shared" si="30"/>
        <v>11</v>
      </c>
      <c r="Y81" s="600"/>
      <c r="Z81" s="531">
        <v>4</v>
      </c>
      <c r="AA81" s="533">
        <v>3195.0000000000041</v>
      </c>
      <c r="AB81" s="533">
        <v>798.75000000000102</v>
      </c>
      <c r="AC81" s="441">
        <f t="shared" si="32"/>
        <v>9</v>
      </c>
      <c r="AD81" s="600"/>
      <c r="AE81" s="531">
        <v>4</v>
      </c>
      <c r="AF81" s="533">
        <v>3154.7368421052543</v>
      </c>
      <c r="AG81" s="533">
        <v>788.68421052631356</v>
      </c>
      <c r="AH81" s="441">
        <f t="shared" si="34"/>
        <v>10</v>
      </c>
      <c r="AI81" s="600"/>
      <c r="AJ81" s="531">
        <v>4</v>
      </c>
      <c r="AK81" s="533">
        <v>3220.0000000000032</v>
      </c>
      <c r="AL81" s="533">
        <v>805.0000000000008</v>
      </c>
      <c r="AM81" s="441">
        <f t="shared" si="36"/>
        <v>12</v>
      </c>
      <c r="AN81" s="600"/>
      <c r="AO81" s="531">
        <v>4</v>
      </c>
      <c r="AP81" s="533">
        <v>3258.3333333333308</v>
      </c>
      <c r="AQ81" s="533">
        <v>814.58333333333269</v>
      </c>
      <c r="AR81" s="441">
        <f t="shared" si="38"/>
        <v>11</v>
      </c>
      <c r="AS81" s="600"/>
      <c r="AT81" s="531">
        <v>4</v>
      </c>
      <c r="AU81" s="533">
        <v>3246.8571428571468</v>
      </c>
      <c r="AV81" s="533">
        <v>811.71428571428669</v>
      </c>
      <c r="AW81" s="441">
        <f t="shared" si="40"/>
        <v>11</v>
      </c>
      <c r="AX81" s="600"/>
      <c r="AZ81" s="526" t="e">
        <f t="shared" si="42"/>
        <v>#N/A</v>
      </c>
      <c r="BA81" s="600"/>
    </row>
    <row r="82" spans="2:53">
      <c r="B82" s="651"/>
      <c r="C82" s="320">
        <v>6</v>
      </c>
      <c r="D82" s="511" t="s">
        <v>771</v>
      </c>
      <c r="E82" s="511">
        <v>4</v>
      </c>
      <c r="F82" s="511">
        <v>3200</v>
      </c>
      <c r="G82" s="182">
        <v>800</v>
      </c>
      <c r="H82" s="600"/>
      <c r="I82" s="513">
        <f t="shared" si="44"/>
        <v>4</v>
      </c>
      <c r="J82" s="513">
        <f t="shared" si="45"/>
        <v>3196.4202517788717</v>
      </c>
      <c r="K82" s="200">
        <f t="shared" si="46"/>
        <v>799.10506294471793</v>
      </c>
      <c r="L82" s="664"/>
      <c r="M82" s="199">
        <f>RANK(K82, K$77:$K$106)</f>
        <v>12</v>
      </c>
      <c r="N82" s="607"/>
      <c r="O82" s="607"/>
      <c r="P82" s="182">
        <v>4</v>
      </c>
      <c r="Q82" s="182">
        <v>3135.9999999999945</v>
      </c>
      <c r="R82" s="182">
        <v>783.99999999999864</v>
      </c>
      <c r="S82" s="326">
        <f t="shared" si="47"/>
        <v>12</v>
      </c>
      <c r="T82" s="600"/>
      <c r="U82" s="531">
        <v>4</v>
      </c>
      <c r="V82" s="533">
        <v>3200.6896551724158</v>
      </c>
      <c r="W82" s="533">
        <v>800.17241379310394</v>
      </c>
      <c r="X82" s="441">
        <f t="shared" si="30"/>
        <v>10</v>
      </c>
      <c r="Y82" s="600"/>
      <c r="Z82" s="531">
        <v>4</v>
      </c>
      <c r="AA82" s="533">
        <v>3115.555555555557</v>
      </c>
      <c r="AB82" s="533">
        <v>778.88888888888926</v>
      </c>
      <c r="AC82" s="441">
        <f t="shared" si="32"/>
        <v>12</v>
      </c>
      <c r="AD82" s="600"/>
      <c r="AE82" s="531">
        <v>4</v>
      </c>
      <c r="AF82" s="533">
        <v>3135.9999999999945</v>
      </c>
      <c r="AG82" s="533">
        <v>783.99999999999864</v>
      </c>
      <c r="AH82" s="441">
        <f t="shared" si="34"/>
        <v>12</v>
      </c>
      <c r="AI82" s="600"/>
      <c r="AJ82" s="531">
        <v>4</v>
      </c>
      <c r="AK82" s="533">
        <v>3206.8965517241404</v>
      </c>
      <c r="AL82" s="533">
        <v>801.7241379310351</v>
      </c>
      <c r="AM82" s="441">
        <f t="shared" si="36"/>
        <v>13</v>
      </c>
      <c r="AN82" s="600"/>
      <c r="AO82" s="531">
        <v>4</v>
      </c>
      <c r="AP82" s="533">
        <v>3244.8000000000116</v>
      </c>
      <c r="AQ82" s="533">
        <v>811.20000000000289</v>
      </c>
      <c r="AR82" s="441">
        <f t="shared" si="38"/>
        <v>12</v>
      </c>
      <c r="AS82" s="600"/>
      <c r="AT82" s="531">
        <v>4</v>
      </c>
      <c r="AU82" s="533">
        <v>3334.9999999999895</v>
      </c>
      <c r="AV82" s="533">
        <v>833.74999999999739</v>
      </c>
      <c r="AW82" s="441">
        <f t="shared" si="40"/>
        <v>10</v>
      </c>
      <c r="AX82" s="600"/>
      <c r="AZ82" s="526" t="e">
        <f t="shared" si="42"/>
        <v>#N/A</v>
      </c>
      <c r="BA82" s="600"/>
    </row>
    <row r="83" spans="2:53">
      <c r="B83" s="651"/>
      <c r="C83" s="320">
        <v>7</v>
      </c>
      <c r="D83" s="511" t="s">
        <v>361</v>
      </c>
      <c r="E83" s="511">
        <v>4</v>
      </c>
      <c r="F83" s="511">
        <v>2800</v>
      </c>
      <c r="G83" s="182">
        <v>700</v>
      </c>
      <c r="H83" s="600"/>
      <c r="I83" s="513">
        <f t="shared" si="44"/>
        <v>4</v>
      </c>
      <c r="J83" s="513">
        <f t="shared" si="45"/>
        <v>3173.8131868131882</v>
      </c>
      <c r="K83" s="200">
        <f t="shared" si="46"/>
        <v>793.45329670329704</v>
      </c>
      <c r="L83" s="664"/>
      <c r="M83" s="199">
        <f>RANK(K83, K$77:$K$106)</f>
        <v>13</v>
      </c>
      <c r="N83" s="607"/>
      <c r="O83" s="607"/>
      <c r="P83" s="182">
        <v>4</v>
      </c>
      <c r="Q83" s="182">
        <v>3025.7142857142881</v>
      </c>
      <c r="R83" s="182">
        <v>756.42857142857201</v>
      </c>
      <c r="S83" s="326">
        <f t="shared" si="47"/>
        <v>14</v>
      </c>
      <c r="T83" s="600"/>
      <c r="U83" s="531">
        <v>4</v>
      </c>
      <c r="V83" s="533">
        <v>2978.5714285714307</v>
      </c>
      <c r="W83" s="533">
        <v>744.64285714285768</v>
      </c>
      <c r="X83" s="441">
        <f t="shared" si="30"/>
        <v>17</v>
      </c>
      <c r="Y83" s="600"/>
      <c r="Z83" s="531">
        <v>4</v>
      </c>
      <c r="AA83" s="533">
        <v>3087.6923076923094</v>
      </c>
      <c r="AB83" s="533">
        <v>771.92307692307736</v>
      </c>
      <c r="AC83" s="441">
        <f t="shared" si="32"/>
        <v>13</v>
      </c>
      <c r="AD83" s="600"/>
      <c r="AE83" s="531">
        <v>4</v>
      </c>
      <c r="AF83" s="533">
        <v>3025.7142857142881</v>
      </c>
      <c r="AG83" s="533">
        <v>756.42857142857201</v>
      </c>
      <c r="AH83" s="441">
        <f t="shared" si="34"/>
        <v>14</v>
      </c>
      <c r="AI83" s="600"/>
      <c r="AJ83" s="531">
        <v>4</v>
      </c>
      <c r="AK83" s="533">
        <v>3263.9999999999986</v>
      </c>
      <c r="AL83" s="533">
        <v>815.99999999999966</v>
      </c>
      <c r="AM83" s="441">
        <f t="shared" si="36"/>
        <v>10</v>
      </c>
      <c r="AN83" s="600"/>
      <c r="AO83" s="531">
        <v>4</v>
      </c>
      <c r="AP83" s="533">
        <v>3435.0000000000009</v>
      </c>
      <c r="AQ83" s="533">
        <v>858.75000000000023</v>
      </c>
      <c r="AR83" s="441">
        <f t="shared" si="38"/>
        <v>9</v>
      </c>
      <c r="AS83" s="600"/>
      <c r="AT83" s="531">
        <v>4</v>
      </c>
      <c r="AU83" s="533">
        <v>3400.0000000000009</v>
      </c>
      <c r="AV83" s="533">
        <v>850.00000000000023</v>
      </c>
      <c r="AW83" s="441">
        <f t="shared" si="40"/>
        <v>8</v>
      </c>
      <c r="AX83" s="600"/>
      <c r="AZ83" s="526" t="e">
        <f t="shared" si="42"/>
        <v>#N/A</v>
      </c>
      <c r="BA83" s="600"/>
    </row>
    <row r="84" spans="2:53">
      <c r="B84" s="651"/>
      <c r="C84" s="320">
        <v>8</v>
      </c>
      <c r="D84" s="511" t="s">
        <v>362</v>
      </c>
      <c r="E84" s="511">
        <v>3</v>
      </c>
      <c r="F84" s="511">
        <v>3200</v>
      </c>
      <c r="G84" s="182">
        <v>1066.6666666666667</v>
      </c>
      <c r="H84" s="600"/>
      <c r="I84" s="513">
        <f t="shared" si="44"/>
        <v>3</v>
      </c>
      <c r="J84" s="513">
        <f t="shared" si="45"/>
        <v>3238.8684863523595</v>
      </c>
      <c r="K84" s="200">
        <f t="shared" si="46"/>
        <v>1079.6228287841197</v>
      </c>
      <c r="L84" s="664"/>
      <c r="M84" s="199">
        <f>RANK(K84, K$77:$K$106)</f>
        <v>1</v>
      </c>
      <c r="N84" s="607"/>
      <c r="O84" s="607"/>
      <c r="P84" s="182">
        <v>3</v>
      </c>
      <c r="Q84" s="182">
        <v>3272.0000000000032</v>
      </c>
      <c r="R84" s="182">
        <v>1090.6666666666677</v>
      </c>
      <c r="S84" s="326">
        <f t="shared" si="47"/>
        <v>1</v>
      </c>
      <c r="T84" s="600"/>
      <c r="U84" s="531">
        <v>3</v>
      </c>
      <c r="V84" s="533">
        <v>3168.3870967741964</v>
      </c>
      <c r="W84" s="533">
        <v>1056.1290322580655</v>
      </c>
      <c r="X84" s="441">
        <f t="shared" si="30"/>
        <v>3</v>
      </c>
      <c r="Y84" s="600"/>
      <c r="Z84" s="531">
        <v>3</v>
      </c>
      <c r="AA84" s="533">
        <v>3167.9999999999941</v>
      </c>
      <c r="AB84" s="533">
        <v>1055.999999999998</v>
      </c>
      <c r="AC84" s="441">
        <f t="shared" si="32"/>
        <v>3</v>
      </c>
      <c r="AD84" s="600"/>
      <c r="AE84" s="531">
        <v>3</v>
      </c>
      <c r="AF84" s="533">
        <v>3272.0000000000032</v>
      </c>
      <c r="AG84" s="533">
        <v>1090.6666666666677</v>
      </c>
      <c r="AH84" s="441">
        <f t="shared" si="34"/>
        <v>1</v>
      </c>
      <c r="AI84" s="600"/>
      <c r="AJ84" s="531">
        <v>3</v>
      </c>
      <c r="AK84" s="533">
        <v>3237.692307692304</v>
      </c>
      <c r="AL84" s="533">
        <v>1079.2307692307679</v>
      </c>
      <c r="AM84" s="441">
        <f t="shared" si="36"/>
        <v>4</v>
      </c>
      <c r="AN84" s="600"/>
      <c r="AO84" s="531">
        <v>3</v>
      </c>
      <c r="AP84" s="533">
        <v>3290.0000000000073</v>
      </c>
      <c r="AQ84" s="533">
        <v>1096.666666666669</v>
      </c>
      <c r="AR84" s="441">
        <f t="shared" si="38"/>
        <v>1</v>
      </c>
      <c r="AS84" s="600"/>
      <c r="AT84" s="531">
        <v>3</v>
      </c>
      <c r="AU84" s="533">
        <v>3264.0000000000073</v>
      </c>
      <c r="AV84" s="533">
        <v>1088.0000000000025</v>
      </c>
      <c r="AW84" s="441">
        <f t="shared" si="40"/>
        <v>4</v>
      </c>
      <c r="AX84" s="600"/>
      <c r="AZ84" s="526" t="e">
        <f t="shared" si="42"/>
        <v>#N/A</v>
      </c>
      <c r="BA84" s="600"/>
    </row>
    <row r="85" spans="2:53">
      <c r="B85" s="651"/>
      <c r="C85" s="320">
        <v>9</v>
      </c>
      <c r="D85" s="511" t="s">
        <v>363</v>
      </c>
      <c r="E85" s="511">
        <v>3</v>
      </c>
      <c r="F85" s="511">
        <v>2800</v>
      </c>
      <c r="G85" s="182">
        <v>933.33333333333337</v>
      </c>
      <c r="H85" s="600"/>
      <c r="I85" s="513">
        <f t="shared" si="44"/>
        <v>3</v>
      </c>
      <c r="J85" s="513">
        <f t="shared" si="45"/>
        <v>3235.4439393623461</v>
      </c>
      <c r="K85" s="200">
        <f t="shared" si="46"/>
        <v>1078.4813131207818</v>
      </c>
      <c r="L85" s="664"/>
      <c r="M85" s="199">
        <f>RANK(K85, K$77:$K$106)</f>
        <v>2</v>
      </c>
      <c r="N85" s="607"/>
      <c r="O85" s="607"/>
      <c r="P85" s="182">
        <v>3</v>
      </c>
      <c r="Q85" s="182">
        <v>3254.1176470588234</v>
      </c>
      <c r="R85" s="182">
        <v>1084.7058823529412</v>
      </c>
      <c r="S85" s="326">
        <f t="shared" si="47"/>
        <v>3</v>
      </c>
      <c r="T85" s="600"/>
      <c r="U85" s="531">
        <v>3</v>
      </c>
      <c r="V85" s="533">
        <v>3195.3846153846171</v>
      </c>
      <c r="W85" s="533">
        <v>1065.1282051282058</v>
      </c>
      <c r="X85" s="441">
        <f t="shared" si="30"/>
        <v>1</v>
      </c>
      <c r="Y85" s="600"/>
      <c r="Z85" s="531">
        <v>3</v>
      </c>
      <c r="AA85" s="533">
        <v>3138.3333333333339</v>
      </c>
      <c r="AB85" s="533">
        <v>1046.1111111111113</v>
      </c>
      <c r="AC85" s="441">
        <f t="shared" si="32"/>
        <v>5</v>
      </c>
      <c r="AD85" s="600"/>
      <c r="AE85" s="531">
        <v>3</v>
      </c>
      <c r="AF85" s="533">
        <v>3254.1176470588234</v>
      </c>
      <c r="AG85" s="533">
        <v>1084.7058823529412</v>
      </c>
      <c r="AH85" s="441">
        <f t="shared" si="34"/>
        <v>3</v>
      </c>
      <c r="AI85" s="600"/>
      <c r="AJ85" s="531">
        <v>3</v>
      </c>
      <c r="AK85" s="533">
        <v>3294.1935483870957</v>
      </c>
      <c r="AL85" s="533">
        <v>1098.064516129032</v>
      </c>
      <c r="AM85" s="441">
        <f t="shared" si="36"/>
        <v>1</v>
      </c>
      <c r="AN85" s="600"/>
      <c r="AO85" s="531">
        <v>3</v>
      </c>
      <c r="AP85" s="533">
        <v>3266.6666666666674</v>
      </c>
      <c r="AQ85" s="533">
        <v>1088.8888888888891</v>
      </c>
      <c r="AR85" s="441">
        <f t="shared" si="38"/>
        <v>4</v>
      </c>
      <c r="AS85" s="600"/>
      <c r="AT85" s="531">
        <v>3</v>
      </c>
      <c r="AU85" s="533">
        <v>3245.2941176470586</v>
      </c>
      <c r="AV85" s="533">
        <v>1081.7647058823529</v>
      </c>
      <c r="AW85" s="441">
        <f t="shared" si="40"/>
        <v>5</v>
      </c>
      <c r="AX85" s="600"/>
      <c r="AZ85" s="526" t="e">
        <f t="shared" si="42"/>
        <v>#N/A</v>
      </c>
      <c r="BA85" s="600"/>
    </row>
    <row r="86" spans="2:53">
      <c r="B86" s="651"/>
      <c r="C86" s="320">
        <v>10</v>
      </c>
      <c r="D86" s="511" t="s">
        <v>364</v>
      </c>
      <c r="E86" s="511">
        <v>4</v>
      </c>
      <c r="F86" s="511">
        <v>2800</v>
      </c>
      <c r="G86" s="182">
        <v>700</v>
      </c>
      <c r="H86" s="600"/>
      <c r="I86" s="513">
        <f t="shared" si="44"/>
        <v>4</v>
      </c>
      <c r="J86" s="513">
        <f t="shared" si="45"/>
        <v>3208.4298899959272</v>
      </c>
      <c r="K86" s="200">
        <f t="shared" si="46"/>
        <v>802.10747249898179</v>
      </c>
      <c r="L86" s="664"/>
      <c r="M86" s="199">
        <f>RANK(K86, K$77:$K$106)</f>
        <v>10</v>
      </c>
      <c r="N86" s="607"/>
      <c r="O86" s="607"/>
      <c r="P86" s="182">
        <v>4</v>
      </c>
      <c r="Q86" s="182">
        <v>3208.9655172413773</v>
      </c>
      <c r="R86" s="182">
        <v>802.24137931034431</v>
      </c>
      <c r="S86" s="326">
        <f t="shared" si="47"/>
        <v>9</v>
      </c>
      <c r="T86" s="600"/>
      <c r="U86" s="531">
        <v>4</v>
      </c>
      <c r="V86" s="533">
        <v>3182.8571428571458</v>
      </c>
      <c r="W86" s="533">
        <v>795.71428571428646</v>
      </c>
      <c r="X86" s="441">
        <f t="shared" si="30"/>
        <v>12</v>
      </c>
      <c r="Y86" s="600"/>
      <c r="Z86" s="531">
        <v>4</v>
      </c>
      <c r="AA86" s="533">
        <v>3148.4210526315815</v>
      </c>
      <c r="AB86" s="533">
        <v>787.10526315789537</v>
      </c>
      <c r="AC86" s="441">
        <f t="shared" si="32"/>
        <v>11</v>
      </c>
      <c r="AD86" s="600"/>
      <c r="AE86" s="531">
        <v>4</v>
      </c>
      <c r="AF86" s="533">
        <v>3208.9655172413773</v>
      </c>
      <c r="AG86" s="533">
        <v>802.24137931034431</v>
      </c>
      <c r="AH86" s="441">
        <f t="shared" si="34"/>
        <v>9</v>
      </c>
      <c r="AI86" s="600"/>
      <c r="AJ86" s="531">
        <v>4</v>
      </c>
      <c r="AK86" s="533">
        <v>3262.8000000000065</v>
      </c>
      <c r="AL86" s="533">
        <v>815.70000000000164</v>
      </c>
      <c r="AM86" s="441">
        <f t="shared" si="36"/>
        <v>11</v>
      </c>
      <c r="AN86" s="600"/>
      <c r="AO86" s="531">
        <v>4</v>
      </c>
      <c r="AP86" s="533">
        <v>3240.9999999999986</v>
      </c>
      <c r="AQ86" s="533">
        <v>810.24999999999966</v>
      </c>
      <c r="AR86" s="441">
        <f t="shared" si="38"/>
        <v>13</v>
      </c>
      <c r="AS86" s="600"/>
      <c r="AT86" s="531">
        <v>4</v>
      </c>
      <c r="AU86" s="533">
        <v>3205.9999999999986</v>
      </c>
      <c r="AV86" s="533">
        <v>801.49999999999966</v>
      </c>
      <c r="AW86" s="441">
        <f t="shared" si="40"/>
        <v>13</v>
      </c>
      <c r="AX86" s="600"/>
      <c r="AZ86" s="526" t="e">
        <f t="shared" si="42"/>
        <v>#N/A</v>
      </c>
      <c r="BA86" s="600"/>
    </row>
    <row r="87" spans="2:53">
      <c r="B87" s="651"/>
      <c r="C87" s="320">
        <v>11</v>
      </c>
      <c r="D87" s="511" t="s">
        <v>772</v>
      </c>
      <c r="E87" s="511">
        <v>4</v>
      </c>
      <c r="F87" s="511">
        <v>2800</v>
      </c>
      <c r="G87" s="182">
        <v>700</v>
      </c>
      <c r="H87" s="600"/>
      <c r="I87" s="513">
        <f t="shared" si="44"/>
        <v>4</v>
      </c>
      <c r="J87" s="513">
        <f t="shared" si="45"/>
        <v>2803.8550755927286</v>
      </c>
      <c r="K87" s="200">
        <f t="shared" si="46"/>
        <v>700.96376889818214</v>
      </c>
      <c r="L87" s="664"/>
      <c r="M87" s="199">
        <f>RANK(K87, K$77:$K$106)</f>
        <v>19</v>
      </c>
      <c r="N87" s="607"/>
      <c r="O87" s="607"/>
      <c r="P87" s="182">
        <v>4</v>
      </c>
      <c r="Q87" s="182">
        <v>2786.9565217391291</v>
      </c>
      <c r="R87" s="182">
        <v>696.73913043478228</v>
      </c>
      <c r="S87" s="326">
        <f t="shared" si="47"/>
        <v>19</v>
      </c>
      <c r="T87" s="600"/>
      <c r="U87" s="531">
        <v>4</v>
      </c>
      <c r="V87" s="533">
        <v>2799.7058823529428</v>
      </c>
      <c r="W87" s="533">
        <v>699.9264705882357</v>
      </c>
      <c r="X87" s="441">
        <f t="shared" si="30"/>
        <v>18</v>
      </c>
      <c r="Y87" s="600"/>
      <c r="Z87" s="531">
        <v>4</v>
      </c>
      <c r="AA87" s="533">
        <v>2766.3636363636365</v>
      </c>
      <c r="AB87" s="533">
        <v>691.59090909090912</v>
      </c>
      <c r="AC87" s="441">
        <f t="shared" si="32"/>
        <v>18</v>
      </c>
      <c r="AD87" s="600"/>
      <c r="AE87" s="531">
        <v>4</v>
      </c>
      <c r="AF87" s="533">
        <v>2786.9565217391291</v>
      </c>
      <c r="AG87" s="533">
        <v>696.73913043478228</v>
      </c>
      <c r="AH87" s="441">
        <f t="shared" si="34"/>
        <v>19</v>
      </c>
      <c r="AI87" s="600"/>
      <c r="AJ87" s="531">
        <v>4</v>
      </c>
      <c r="AK87" s="533">
        <v>2840.3389830508459</v>
      </c>
      <c r="AL87" s="533">
        <v>710.08474576271146</v>
      </c>
      <c r="AM87" s="441">
        <f t="shared" si="36"/>
        <v>16</v>
      </c>
      <c r="AN87" s="600"/>
      <c r="AO87" s="531">
        <v>4</v>
      </c>
      <c r="AP87" s="533">
        <v>2833.5211267605637</v>
      </c>
      <c r="AQ87" s="533">
        <v>708.38028169014092</v>
      </c>
      <c r="AR87" s="441">
        <f t="shared" si="38"/>
        <v>19</v>
      </c>
      <c r="AS87" s="600"/>
      <c r="AT87" s="531">
        <v>4</v>
      </c>
      <c r="AU87" s="533">
        <v>2813.142857142856</v>
      </c>
      <c r="AV87" s="533">
        <v>703.28571428571399</v>
      </c>
      <c r="AW87" s="441">
        <f t="shared" si="40"/>
        <v>18</v>
      </c>
      <c r="AX87" s="600"/>
      <c r="AZ87" s="526" t="e">
        <f t="shared" si="42"/>
        <v>#N/A</v>
      </c>
      <c r="BA87" s="600"/>
    </row>
    <row r="88" spans="2:53">
      <c r="B88" s="651"/>
      <c r="C88" s="320">
        <v>12</v>
      </c>
      <c r="D88" s="511" t="s">
        <v>773</v>
      </c>
      <c r="E88" s="511">
        <v>4</v>
      </c>
      <c r="F88" s="511">
        <v>2800</v>
      </c>
      <c r="G88" s="182">
        <v>700</v>
      </c>
      <c r="H88" s="600"/>
      <c r="I88" s="513">
        <f t="shared" si="44"/>
        <v>4</v>
      </c>
      <c r="J88" s="513">
        <f t="shared" si="45"/>
        <v>2907.9428571428498</v>
      </c>
      <c r="K88" s="200">
        <f t="shared" si="46"/>
        <v>726.98571428571245</v>
      </c>
      <c r="L88" s="664"/>
      <c r="M88" s="199">
        <f>RANK(K88, K$77:$K$106)</f>
        <v>17</v>
      </c>
      <c r="N88" s="607"/>
      <c r="O88" s="607"/>
      <c r="P88" s="182">
        <v>4</v>
      </c>
      <c r="Q88" s="182">
        <v>3056.9999999999864</v>
      </c>
      <c r="R88" s="182">
        <v>764.24999999999659</v>
      </c>
      <c r="S88" s="326">
        <f t="shared" si="47"/>
        <v>13</v>
      </c>
      <c r="T88" s="600"/>
      <c r="U88" s="531">
        <v>4</v>
      </c>
      <c r="V88" s="533">
        <v>3208.7999999999911</v>
      </c>
      <c r="W88" s="533">
        <v>802.19999999999777</v>
      </c>
      <c r="X88" s="441">
        <f t="shared" si="30"/>
        <v>9</v>
      </c>
      <c r="Y88" s="600"/>
      <c r="Z88" s="531">
        <v>4</v>
      </c>
      <c r="AA88" s="533">
        <v>2907.0000000000105</v>
      </c>
      <c r="AB88" s="533">
        <v>726.75000000000261</v>
      </c>
      <c r="AC88" s="441">
        <f t="shared" si="32"/>
        <v>16</v>
      </c>
      <c r="AD88" s="600"/>
      <c r="AE88" s="531">
        <v>4</v>
      </c>
      <c r="AF88" s="533">
        <v>3056.9999999999864</v>
      </c>
      <c r="AG88" s="533">
        <v>764.24999999999659</v>
      </c>
      <c r="AH88" s="441">
        <f t="shared" si="34"/>
        <v>13</v>
      </c>
      <c r="AI88" s="600"/>
      <c r="AJ88" s="531">
        <v>4</v>
      </c>
      <c r="AK88" s="533">
        <v>2486.3999999999933</v>
      </c>
      <c r="AL88" s="533">
        <v>621.59999999999832</v>
      </c>
      <c r="AM88" s="441">
        <f t="shared" si="36"/>
        <v>19</v>
      </c>
      <c r="AN88" s="600"/>
      <c r="AO88" s="531">
        <v>4</v>
      </c>
      <c r="AP88" s="533">
        <v>3032.9999999999868</v>
      </c>
      <c r="AQ88" s="533">
        <v>758.2499999999967</v>
      </c>
      <c r="AR88" s="441">
        <f t="shared" si="38"/>
        <v>16</v>
      </c>
      <c r="AS88" s="600"/>
      <c r="AT88" s="531">
        <v>4</v>
      </c>
      <c r="AU88" s="533">
        <v>2606.3999999999928</v>
      </c>
      <c r="AV88" s="533">
        <v>651.5999999999982</v>
      </c>
      <c r="AW88" s="441">
        <f t="shared" si="40"/>
        <v>19</v>
      </c>
      <c r="AX88" s="600"/>
      <c r="AZ88" s="526" t="e">
        <f t="shared" si="42"/>
        <v>#N/A</v>
      </c>
      <c r="BA88" s="600"/>
    </row>
    <row r="89" spans="2:53">
      <c r="B89" s="651"/>
      <c r="C89" s="320">
        <v>13</v>
      </c>
      <c r="D89" s="511" t="s">
        <v>774</v>
      </c>
      <c r="E89" s="511">
        <v>3</v>
      </c>
      <c r="F89" s="511">
        <v>2800</v>
      </c>
      <c r="G89" s="182">
        <v>933.33333333333337</v>
      </c>
      <c r="H89" s="600"/>
      <c r="I89" s="513">
        <f t="shared" si="44"/>
        <v>3</v>
      </c>
      <c r="J89" s="513">
        <f t="shared" si="45"/>
        <v>2937.2571428571327</v>
      </c>
      <c r="K89" s="200">
        <f t="shared" si="46"/>
        <v>979.08571428571111</v>
      </c>
      <c r="L89" s="664"/>
      <c r="M89" s="199">
        <f>RANK(K89, K$77:$K$106)</f>
        <v>6</v>
      </c>
      <c r="N89" s="607"/>
      <c r="O89" s="607"/>
      <c r="P89" s="182">
        <v>3</v>
      </c>
      <c r="Q89" s="182">
        <v>2810.3999999999919</v>
      </c>
      <c r="R89" s="182">
        <v>936.79999999999734</v>
      </c>
      <c r="S89" s="326">
        <f t="shared" si="47"/>
        <v>7</v>
      </c>
      <c r="T89" s="600"/>
      <c r="U89" s="531">
        <v>3</v>
      </c>
      <c r="V89" s="533">
        <v>2781.5999999999922</v>
      </c>
      <c r="W89" s="533">
        <v>927.19999999999743</v>
      </c>
      <c r="X89" s="441">
        <f t="shared" si="30"/>
        <v>7</v>
      </c>
      <c r="Y89" s="600"/>
      <c r="Z89" s="531">
        <v>3</v>
      </c>
      <c r="AA89" s="533">
        <v>3200.9999999999854</v>
      </c>
      <c r="AB89" s="533">
        <v>1066.9999999999952</v>
      </c>
      <c r="AC89" s="441">
        <f t="shared" si="32"/>
        <v>1</v>
      </c>
      <c r="AD89" s="600"/>
      <c r="AE89" s="531">
        <v>3</v>
      </c>
      <c r="AF89" s="533">
        <v>2810.3999999999919</v>
      </c>
      <c r="AG89" s="533">
        <v>936.79999999999734</v>
      </c>
      <c r="AH89" s="441">
        <f t="shared" si="34"/>
        <v>7</v>
      </c>
      <c r="AI89" s="600"/>
      <c r="AJ89" s="531">
        <v>3</v>
      </c>
      <c r="AK89" s="533">
        <v>3254.9999999999854</v>
      </c>
      <c r="AL89" s="533">
        <v>1084.9999999999952</v>
      </c>
      <c r="AM89" s="441">
        <f t="shared" si="36"/>
        <v>2</v>
      </c>
      <c r="AN89" s="600"/>
      <c r="AO89" s="531">
        <v>3</v>
      </c>
      <c r="AP89" s="533">
        <v>2771.9999999999923</v>
      </c>
      <c r="AQ89" s="533">
        <v>923.99999999999739</v>
      </c>
      <c r="AR89" s="441">
        <f t="shared" si="38"/>
        <v>8</v>
      </c>
      <c r="AS89" s="600"/>
      <c r="AT89" s="531">
        <v>3</v>
      </c>
      <c r="AU89" s="533">
        <v>2930.3999999999915</v>
      </c>
      <c r="AV89" s="533">
        <v>976.79999999999711</v>
      </c>
      <c r="AW89" s="441">
        <f t="shared" si="40"/>
        <v>6</v>
      </c>
      <c r="AX89" s="600"/>
      <c r="AZ89" s="526" t="e">
        <f t="shared" si="42"/>
        <v>#N/A</v>
      </c>
      <c r="BA89" s="600"/>
    </row>
    <row r="90" spans="2:53">
      <c r="B90" s="651"/>
      <c r="C90" s="320">
        <v>14</v>
      </c>
      <c r="D90" s="511" t="s">
        <v>775</v>
      </c>
      <c r="E90" s="511">
        <v>4</v>
      </c>
      <c r="F90" s="511">
        <v>2200</v>
      </c>
      <c r="G90" s="182">
        <v>550</v>
      </c>
      <c r="H90" s="600"/>
      <c r="I90" s="513">
        <f t="shared" si="44"/>
        <v>3</v>
      </c>
      <c r="J90" s="513">
        <f t="shared" si="45"/>
        <v>2185.1428571428573</v>
      </c>
      <c r="K90" s="200">
        <f t="shared" si="46"/>
        <v>728.38095238095241</v>
      </c>
      <c r="L90" s="664"/>
      <c r="M90" s="199">
        <f>RANK(K90, K$77:$K$106)</f>
        <v>16</v>
      </c>
      <c r="N90" s="607"/>
      <c r="O90" s="607"/>
      <c r="P90" s="182">
        <v>3</v>
      </c>
      <c r="Q90" s="182">
        <v>2252</v>
      </c>
      <c r="R90" s="182">
        <v>750.66666666666663</v>
      </c>
      <c r="S90" s="326">
        <f t="shared" si="47"/>
        <v>16</v>
      </c>
      <c r="T90" s="600"/>
      <c r="U90" s="531">
        <v>3</v>
      </c>
      <c r="V90" s="533">
        <v>2234.666666666667</v>
      </c>
      <c r="W90" s="533">
        <v>744.88888888888903</v>
      </c>
      <c r="X90" s="441">
        <f t="shared" si="30"/>
        <v>16</v>
      </c>
      <c r="Y90" s="600"/>
      <c r="Z90" s="531">
        <v>3</v>
      </c>
      <c r="AA90" s="533">
        <v>2068</v>
      </c>
      <c r="AB90" s="533">
        <v>689.33333333333337</v>
      </c>
      <c r="AC90" s="441">
        <f t="shared" si="32"/>
        <v>19</v>
      </c>
      <c r="AD90" s="600"/>
      <c r="AE90" s="531">
        <v>3</v>
      </c>
      <c r="AF90" s="533">
        <v>2252</v>
      </c>
      <c r="AG90" s="533">
        <v>750.66666666666663</v>
      </c>
      <c r="AH90" s="441">
        <f t="shared" si="34"/>
        <v>16</v>
      </c>
      <c r="AI90" s="600"/>
      <c r="AJ90" s="531">
        <v>3</v>
      </c>
      <c r="AK90" s="533">
        <v>2074.6666666666665</v>
      </c>
      <c r="AL90" s="533">
        <v>691.55555555555554</v>
      </c>
      <c r="AM90" s="441">
        <f t="shared" si="36"/>
        <v>18</v>
      </c>
      <c r="AN90" s="600"/>
      <c r="AO90" s="531">
        <v>3</v>
      </c>
      <c r="AP90" s="533">
        <v>2248</v>
      </c>
      <c r="AQ90" s="533">
        <v>749.33333333333337</v>
      </c>
      <c r="AR90" s="441">
        <f t="shared" si="38"/>
        <v>17</v>
      </c>
      <c r="AS90" s="600"/>
      <c r="AT90" s="531">
        <v>3</v>
      </c>
      <c r="AU90" s="533">
        <v>2166.666666666667</v>
      </c>
      <c r="AV90" s="533">
        <v>722.22222222222229</v>
      </c>
      <c r="AW90" s="441">
        <f t="shared" si="40"/>
        <v>17</v>
      </c>
      <c r="AX90" s="600"/>
      <c r="AZ90" s="526" t="e">
        <f t="shared" si="42"/>
        <v>#N/A</v>
      </c>
      <c r="BA90" s="600"/>
    </row>
    <row r="91" spans="2:53">
      <c r="B91" s="651"/>
      <c r="C91" s="320">
        <v>15</v>
      </c>
      <c r="D91" s="511" t="s">
        <v>641</v>
      </c>
      <c r="E91" s="511">
        <v>8</v>
      </c>
      <c r="F91" s="511">
        <v>1500</v>
      </c>
      <c r="G91" s="182">
        <v>187.5</v>
      </c>
      <c r="H91" s="600"/>
      <c r="I91" s="513">
        <f t="shared" si="44"/>
        <v>9.7142857142857135</v>
      </c>
      <c r="J91" s="513">
        <f t="shared" si="45"/>
        <v>1479.7428571428561</v>
      </c>
      <c r="K91" s="200">
        <f t="shared" si="46"/>
        <v>153.10999999999987</v>
      </c>
      <c r="L91" s="664"/>
      <c r="M91" s="199">
        <f>RANK(K91, K$77:$K$106)</f>
        <v>22</v>
      </c>
      <c r="N91" s="607"/>
      <c r="O91" s="607"/>
      <c r="P91" s="182">
        <v>10</v>
      </c>
      <c r="Q91" s="182">
        <v>1454.0000000000014</v>
      </c>
      <c r="R91" s="182">
        <v>145.40000000000015</v>
      </c>
      <c r="S91" s="326">
        <f t="shared" si="47"/>
        <v>22</v>
      </c>
      <c r="T91" s="600"/>
      <c r="U91" s="531">
        <v>10</v>
      </c>
      <c r="V91" s="533">
        <v>1474.9999999999973</v>
      </c>
      <c r="W91" s="533">
        <v>147.49999999999972</v>
      </c>
      <c r="X91" s="441">
        <f t="shared" si="30"/>
        <v>22</v>
      </c>
      <c r="Y91" s="600"/>
      <c r="Z91" s="531">
        <v>8</v>
      </c>
      <c r="AA91" s="533">
        <v>1437.9999999999973</v>
      </c>
      <c r="AB91" s="533">
        <v>179.74999999999966</v>
      </c>
      <c r="AC91" s="441">
        <f t="shared" si="32"/>
        <v>22</v>
      </c>
      <c r="AD91" s="600"/>
      <c r="AE91" s="531">
        <v>10</v>
      </c>
      <c r="AF91" s="533">
        <v>1454.0000000000014</v>
      </c>
      <c r="AG91" s="533">
        <v>145.40000000000015</v>
      </c>
      <c r="AH91" s="441">
        <f t="shared" si="34"/>
        <v>22</v>
      </c>
      <c r="AI91" s="600"/>
      <c r="AJ91" s="531">
        <v>10</v>
      </c>
      <c r="AK91" s="533">
        <v>1537.2000000000005</v>
      </c>
      <c r="AL91" s="533">
        <v>153.72000000000006</v>
      </c>
      <c r="AM91" s="441">
        <f t="shared" si="36"/>
        <v>22</v>
      </c>
      <c r="AN91" s="600"/>
      <c r="AO91" s="531">
        <v>10</v>
      </c>
      <c r="AP91" s="533">
        <v>1515.9999999999973</v>
      </c>
      <c r="AQ91" s="533">
        <v>151.59999999999974</v>
      </c>
      <c r="AR91" s="441">
        <f t="shared" si="38"/>
        <v>22</v>
      </c>
      <c r="AS91" s="600"/>
      <c r="AT91" s="531">
        <v>10</v>
      </c>
      <c r="AU91" s="533">
        <v>1483.9999999999973</v>
      </c>
      <c r="AV91" s="533">
        <v>148.39999999999972</v>
      </c>
      <c r="AW91" s="441">
        <f t="shared" si="40"/>
        <v>21</v>
      </c>
      <c r="AX91" s="600"/>
      <c r="AZ91" s="526" t="e">
        <f t="shared" si="42"/>
        <v>#N/A</v>
      </c>
      <c r="BA91" s="600"/>
    </row>
    <row r="92" spans="2:53">
      <c r="B92" s="651"/>
      <c r="C92" s="320">
        <v>16</v>
      </c>
      <c r="D92" s="511" t="s">
        <v>677</v>
      </c>
      <c r="E92" s="511">
        <v>4</v>
      </c>
      <c r="F92" s="511">
        <v>2200</v>
      </c>
      <c r="G92" s="182">
        <v>550</v>
      </c>
      <c r="H92" s="600"/>
      <c r="I92" s="513">
        <f t="shared" si="44"/>
        <v>4</v>
      </c>
      <c r="J92" s="513">
        <f t="shared" si="45"/>
        <v>2241.8571428571508</v>
      </c>
      <c r="K92" s="200">
        <f t="shared" si="46"/>
        <v>560.46428571428771</v>
      </c>
      <c r="L92" s="664"/>
      <c r="M92" s="199">
        <f>RANK(K92, K$77:$K$106)</f>
        <v>21</v>
      </c>
      <c r="N92" s="607"/>
      <c r="O92" s="607"/>
      <c r="P92" s="182">
        <v>4</v>
      </c>
      <c r="Q92" s="182">
        <v>2334.0000000000086</v>
      </c>
      <c r="R92" s="182">
        <v>583.50000000000216</v>
      </c>
      <c r="S92" s="326">
        <f t="shared" si="47"/>
        <v>21</v>
      </c>
      <c r="T92" s="600"/>
      <c r="U92" s="531">
        <v>4</v>
      </c>
      <c r="V92" s="533">
        <v>2322.0000000000082</v>
      </c>
      <c r="W92" s="533">
        <v>580.50000000000205</v>
      </c>
      <c r="X92" s="441">
        <f t="shared" si="30"/>
        <v>20</v>
      </c>
      <c r="Y92" s="600"/>
      <c r="Z92" s="531">
        <v>4</v>
      </c>
      <c r="AA92" s="533">
        <v>2139.0000000000077</v>
      </c>
      <c r="AB92" s="533">
        <v>534.75000000000193</v>
      </c>
      <c r="AC92" s="441">
        <f t="shared" si="32"/>
        <v>20</v>
      </c>
      <c r="AD92" s="600"/>
      <c r="AE92" s="531">
        <v>4</v>
      </c>
      <c r="AF92" s="533">
        <v>2334.0000000000086</v>
      </c>
      <c r="AG92" s="533">
        <v>583.50000000000216</v>
      </c>
      <c r="AH92" s="441">
        <f t="shared" si="34"/>
        <v>21</v>
      </c>
      <c r="AI92" s="600"/>
      <c r="AJ92" s="531">
        <v>4</v>
      </c>
      <c r="AK92" s="533">
        <v>2115.0000000000077</v>
      </c>
      <c r="AL92" s="533">
        <v>528.75000000000193</v>
      </c>
      <c r="AM92" s="441">
        <f t="shared" si="36"/>
        <v>20</v>
      </c>
      <c r="AN92" s="600"/>
      <c r="AO92" s="531">
        <v>4</v>
      </c>
      <c r="AP92" s="533">
        <v>2271.0000000000082</v>
      </c>
      <c r="AQ92" s="533">
        <v>567.75000000000205</v>
      </c>
      <c r="AR92" s="441">
        <f t="shared" si="38"/>
        <v>20</v>
      </c>
      <c r="AS92" s="600"/>
      <c r="AT92" s="531">
        <v>4</v>
      </c>
      <c r="AU92" s="533">
        <v>2178.0000000000077</v>
      </c>
      <c r="AV92" s="533">
        <v>544.50000000000193</v>
      </c>
      <c r="AW92" s="441">
        <f t="shared" si="40"/>
        <v>20</v>
      </c>
      <c r="AX92" s="600"/>
      <c r="AZ92" s="526" t="e">
        <f t="shared" si="42"/>
        <v>#N/A</v>
      </c>
      <c r="BA92" s="600"/>
    </row>
    <row r="93" spans="2:53">
      <c r="B93" s="651"/>
      <c r="C93" s="320">
        <v>17</v>
      </c>
      <c r="D93" s="511" t="s">
        <v>776</v>
      </c>
      <c r="E93" s="511">
        <v>3</v>
      </c>
      <c r="F93" s="511">
        <v>2800</v>
      </c>
      <c r="G93" s="182">
        <v>933.33333333333337</v>
      </c>
      <c r="H93" s="600"/>
      <c r="I93" s="513">
        <f t="shared" si="44"/>
        <v>3</v>
      </c>
      <c r="J93" s="513">
        <f t="shared" si="45"/>
        <v>2795.3467464797468</v>
      </c>
      <c r="K93" s="200">
        <f t="shared" si="46"/>
        <v>931.78224882658219</v>
      </c>
      <c r="L93" s="664"/>
      <c r="M93" s="199">
        <f>RANK(K93, K$77:$K$106)</f>
        <v>8</v>
      </c>
      <c r="N93" s="607"/>
      <c r="O93" s="607"/>
      <c r="P93" s="182">
        <v>3</v>
      </c>
      <c r="Q93" s="182">
        <v>2753.7500000000009</v>
      </c>
      <c r="R93" s="182">
        <v>917.91666666666697</v>
      </c>
      <c r="S93" s="326">
        <f t="shared" si="47"/>
        <v>8</v>
      </c>
      <c r="T93" s="600"/>
      <c r="U93" s="531">
        <v>3</v>
      </c>
      <c r="V93" s="533">
        <v>2770.7999999999965</v>
      </c>
      <c r="W93" s="533">
        <v>923.59999999999889</v>
      </c>
      <c r="X93" s="441">
        <f t="shared" ref="X93:X106" si="48">RANK(W93, W$77:W$106)</f>
        <v>8</v>
      </c>
      <c r="Y93" s="600"/>
      <c r="Z93" s="531">
        <v>3</v>
      </c>
      <c r="AA93" s="533">
        <v>2774.0425531914898</v>
      </c>
      <c r="AB93" s="533">
        <v>924.68085106382989</v>
      </c>
      <c r="AC93" s="441">
        <f t="shared" ref="AC93:AC106" si="49">RANK(AB93, AB$77:AB$106)</f>
        <v>8</v>
      </c>
      <c r="AD93" s="600"/>
      <c r="AE93" s="531">
        <v>3</v>
      </c>
      <c r="AF93" s="533">
        <v>2753.7500000000009</v>
      </c>
      <c r="AG93" s="533">
        <v>917.91666666666697</v>
      </c>
      <c r="AH93" s="441">
        <f t="shared" ref="AH93:AH106" si="50">RANK(AG93, AG$77:AG$106)</f>
        <v>8</v>
      </c>
      <c r="AI93" s="600"/>
      <c r="AJ93" s="531">
        <v>3</v>
      </c>
      <c r="AK93" s="533">
        <v>2825.7142857142903</v>
      </c>
      <c r="AL93" s="533">
        <v>941.9047619047634</v>
      </c>
      <c r="AM93" s="441">
        <f t="shared" ref="AM93:AM106" si="51">RANK(AL93, AL$77:AL$106)</f>
        <v>8</v>
      </c>
      <c r="AN93" s="600"/>
      <c r="AO93" s="531">
        <v>3</v>
      </c>
      <c r="AP93" s="533">
        <v>2829.7959183673433</v>
      </c>
      <c r="AQ93" s="533">
        <v>943.26530612244778</v>
      </c>
      <c r="AR93" s="441">
        <f t="shared" ref="AR93:AR106" si="52">RANK(AQ93, AQ$77:AQ$106)</f>
        <v>7</v>
      </c>
      <c r="AS93" s="600"/>
      <c r="AT93" s="531">
        <v>3</v>
      </c>
      <c r="AU93" s="533">
        <v>2859.5744680851067</v>
      </c>
      <c r="AV93" s="533">
        <v>953.19148936170222</v>
      </c>
      <c r="AW93" s="441">
        <f t="shared" ref="AW93:AW106" si="53">RANK(AV93, AV$77:AV$106)</f>
        <v>7</v>
      </c>
      <c r="AX93" s="600"/>
      <c r="AZ93" s="526" t="e">
        <f t="shared" si="42"/>
        <v>#N/A</v>
      </c>
      <c r="BA93" s="600"/>
    </row>
    <row r="94" spans="2:53">
      <c r="B94" s="651"/>
      <c r="C94" s="320">
        <v>18</v>
      </c>
      <c r="D94" s="511" t="s">
        <v>777</v>
      </c>
      <c r="E94" s="511">
        <v>4</v>
      </c>
      <c r="F94" s="511">
        <v>2200</v>
      </c>
      <c r="G94" s="182">
        <v>550</v>
      </c>
      <c r="H94" s="600"/>
      <c r="I94" s="513">
        <f t="shared" si="44"/>
        <v>4</v>
      </c>
      <c r="J94" s="513">
        <f t="shared" si="45"/>
        <v>2241.9999999999959</v>
      </c>
      <c r="K94" s="200">
        <f t="shared" si="46"/>
        <v>560.49999999999898</v>
      </c>
      <c r="L94" s="664"/>
      <c r="M94" s="199">
        <f>RANK(K94, K$77:$K$106)</f>
        <v>20</v>
      </c>
      <c r="N94" s="607"/>
      <c r="O94" s="607"/>
      <c r="P94" s="182">
        <v>4</v>
      </c>
      <c r="Q94" s="182">
        <v>2387.9999999999955</v>
      </c>
      <c r="R94" s="182">
        <v>596.99999999999886</v>
      </c>
      <c r="S94" s="326">
        <f t="shared" si="47"/>
        <v>20</v>
      </c>
      <c r="T94" s="600"/>
      <c r="U94" s="531">
        <v>4</v>
      </c>
      <c r="V94" s="533">
        <v>2297.9999999999959</v>
      </c>
      <c r="W94" s="533">
        <v>574.49999999999898</v>
      </c>
      <c r="X94" s="441">
        <f t="shared" si="48"/>
        <v>21</v>
      </c>
      <c r="Y94" s="600"/>
      <c r="Z94" s="531">
        <v>4</v>
      </c>
      <c r="AA94" s="533">
        <v>2063.9999999999964</v>
      </c>
      <c r="AB94" s="533">
        <v>515.99999999999909</v>
      </c>
      <c r="AC94" s="441">
        <f t="shared" si="49"/>
        <v>21</v>
      </c>
      <c r="AD94" s="600"/>
      <c r="AE94" s="531">
        <v>4</v>
      </c>
      <c r="AF94" s="533">
        <v>2387.9999999999955</v>
      </c>
      <c r="AG94" s="533">
        <v>596.99999999999886</v>
      </c>
      <c r="AH94" s="441">
        <f t="shared" si="50"/>
        <v>20</v>
      </c>
      <c r="AI94" s="600"/>
      <c r="AJ94" s="531">
        <v>4</v>
      </c>
      <c r="AK94" s="533">
        <v>2081.9999999999964</v>
      </c>
      <c r="AL94" s="533">
        <v>520.49999999999909</v>
      </c>
      <c r="AM94" s="441">
        <f t="shared" si="51"/>
        <v>21</v>
      </c>
      <c r="AN94" s="600"/>
      <c r="AO94" s="531">
        <v>4</v>
      </c>
      <c r="AP94" s="533">
        <v>2231.9999999999959</v>
      </c>
      <c r="AQ94" s="533">
        <v>557.99999999999898</v>
      </c>
      <c r="AR94" s="441">
        <f t="shared" si="52"/>
        <v>21</v>
      </c>
      <c r="AS94" s="600"/>
      <c r="AT94" s="531" t="s">
        <v>822</v>
      </c>
      <c r="AU94" s="533" t="s">
        <v>822</v>
      </c>
      <c r="AV94" s="533" t="s">
        <v>822</v>
      </c>
      <c r="AW94" s="441" t="e">
        <f t="shared" si="53"/>
        <v>#VALUE!</v>
      </c>
      <c r="AX94" s="600"/>
      <c r="AZ94" s="526" t="e">
        <f t="shared" si="42"/>
        <v>#N/A</v>
      </c>
      <c r="BA94" s="600"/>
    </row>
    <row r="95" spans="2:53">
      <c r="B95" s="651"/>
      <c r="C95" s="320">
        <v>19</v>
      </c>
      <c r="D95" s="511" t="s">
        <v>778</v>
      </c>
      <c r="E95" s="511">
        <v>4</v>
      </c>
      <c r="F95" s="511">
        <v>2800</v>
      </c>
      <c r="G95" s="182">
        <v>700</v>
      </c>
      <c r="H95" s="600"/>
      <c r="I95" s="513">
        <f t="shared" si="44"/>
        <v>4</v>
      </c>
      <c r="J95" s="513">
        <f t="shared" si="45"/>
        <v>2853.114722122541</v>
      </c>
      <c r="K95" s="200">
        <f t="shared" si="46"/>
        <v>713.27868053063526</v>
      </c>
      <c r="L95" s="664"/>
      <c r="M95" s="199">
        <f>RANK(K95, K$77:$K$106)</f>
        <v>18</v>
      </c>
      <c r="N95" s="607"/>
      <c r="O95" s="607"/>
      <c r="P95" s="182">
        <v>4</v>
      </c>
      <c r="Q95" s="182">
        <v>2891.4285714285706</v>
      </c>
      <c r="R95" s="182">
        <v>722.85714285714266</v>
      </c>
      <c r="S95" s="326">
        <f t="shared" si="47"/>
        <v>18</v>
      </c>
      <c r="T95" s="600"/>
      <c r="U95" s="531">
        <v>4</v>
      </c>
      <c r="V95" s="533">
        <v>2780.9302325581389</v>
      </c>
      <c r="W95" s="533">
        <v>695.23255813953472</v>
      </c>
      <c r="X95" s="441">
        <f t="shared" si="48"/>
        <v>19</v>
      </c>
      <c r="Y95" s="600"/>
      <c r="Z95" s="531">
        <v>4</v>
      </c>
      <c r="AA95" s="533">
        <v>2793.6585365853653</v>
      </c>
      <c r="AB95" s="533">
        <v>698.41463414634131</v>
      </c>
      <c r="AC95" s="441">
        <f t="shared" si="49"/>
        <v>17</v>
      </c>
      <c r="AD95" s="600"/>
      <c r="AE95" s="531">
        <v>4</v>
      </c>
      <c r="AF95" s="533">
        <v>2891.4285714285706</v>
      </c>
      <c r="AG95" s="533">
        <v>722.85714285714266</v>
      </c>
      <c r="AH95" s="441">
        <f t="shared" si="50"/>
        <v>18</v>
      </c>
      <c r="AI95" s="600"/>
      <c r="AJ95" s="531">
        <v>4</v>
      </c>
      <c r="AK95" s="533">
        <v>2833.7142857142862</v>
      </c>
      <c r="AL95" s="533">
        <v>708.42857142857156</v>
      </c>
      <c r="AM95" s="441">
        <f t="shared" si="51"/>
        <v>17</v>
      </c>
      <c r="AN95" s="600"/>
      <c r="AO95" s="531">
        <v>4</v>
      </c>
      <c r="AP95" s="533">
        <v>2857.1428571428564</v>
      </c>
      <c r="AQ95" s="533">
        <v>714.28571428571411</v>
      </c>
      <c r="AR95" s="441">
        <f t="shared" si="52"/>
        <v>18</v>
      </c>
      <c r="AS95" s="600"/>
      <c r="AT95" s="531">
        <v>4</v>
      </c>
      <c r="AU95" s="533">
        <v>2923.4999999999986</v>
      </c>
      <c r="AV95" s="533">
        <v>730.87499999999966</v>
      </c>
      <c r="AW95" s="441">
        <f t="shared" si="53"/>
        <v>16</v>
      </c>
      <c r="AX95" s="600"/>
      <c r="AZ95" s="526" t="e">
        <f t="shared" si="42"/>
        <v>#N/A</v>
      </c>
      <c r="BA95" s="600"/>
    </row>
    <row r="96" spans="2:53">
      <c r="B96" s="651"/>
      <c r="C96" s="320">
        <v>20</v>
      </c>
      <c r="D96" s="511" t="s">
        <v>799</v>
      </c>
      <c r="E96" s="511">
        <v>12</v>
      </c>
      <c r="F96" s="511">
        <v>1500</v>
      </c>
      <c r="G96" s="182">
        <v>125</v>
      </c>
      <c r="H96" s="600"/>
      <c r="I96" s="513">
        <f t="shared" si="44"/>
        <v>12</v>
      </c>
      <c r="J96" s="513">
        <f t="shared" si="45"/>
        <v>1180.8515769944388</v>
      </c>
      <c r="K96" s="200">
        <f t="shared" si="46"/>
        <v>98.4042980828699</v>
      </c>
      <c r="L96" s="664"/>
      <c r="M96" s="199">
        <f>RANK(K96, K$77:$K$106)</f>
        <v>24</v>
      </c>
      <c r="N96" s="607"/>
      <c r="O96" s="607"/>
      <c r="P96" s="182">
        <v>12</v>
      </c>
      <c r="Q96" s="182">
        <v>1238.571428571433</v>
      </c>
      <c r="R96" s="182">
        <v>103.21428571428608</v>
      </c>
      <c r="S96" s="326">
        <f t="shared" si="47"/>
        <v>24</v>
      </c>
      <c r="T96" s="600"/>
      <c r="U96" s="531">
        <v>12</v>
      </c>
      <c r="V96" s="533">
        <v>1260.0000000000214</v>
      </c>
      <c r="W96" s="533">
        <v>105.00000000000178</v>
      </c>
      <c r="X96" s="441">
        <f t="shared" si="48"/>
        <v>23</v>
      </c>
      <c r="Y96" s="600"/>
      <c r="Z96" s="531">
        <v>12</v>
      </c>
      <c r="AA96" s="533">
        <v>1240.0000000000043</v>
      </c>
      <c r="AB96" s="533">
        <v>103.3333333333337</v>
      </c>
      <c r="AC96" s="441">
        <f t="shared" si="49"/>
        <v>23</v>
      </c>
      <c r="AD96" s="600"/>
      <c r="AE96" s="531">
        <v>12</v>
      </c>
      <c r="AF96" s="533">
        <v>1238.571428571433</v>
      </c>
      <c r="AG96" s="533">
        <v>103.21428571428608</v>
      </c>
      <c r="AH96" s="441">
        <f t="shared" si="50"/>
        <v>24</v>
      </c>
      <c r="AI96" s="600"/>
      <c r="AJ96" s="531">
        <v>12</v>
      </c>
      <c r="AK96" s="533">
        <v>1185.0000000000043</v>
      </c>
      <c r="AL96" s="533">
        <v>98.750000000000355</v>
      </c>
      <c r="AM96" s="441">
        <f t="shared" si="51"/>
        <v>24</v>
      </c>
      <c r="AN96" s="600"/>
      <c r="AO96" s="531">
        <v>12</v>
      </c>
      <c r="AP96" s="533">
        <v>1122.0000000000041</v>
      </c>
      <c r="AQ96" s="533">
        <v>93.500000000000341</v>
      </c>
      <c r="AR96" s="441">
        <f t="shared" si="52"/>
        <v>24</v>
      </c>
      <c r="AS96" s="600"/>
      <c r="AT96" s="531">
        <v>12</v>
      </c>
      <c r="AU96" s="533">
        <v>981.81818181817118</v>
      </c>
      <c r="AV96" s="533">
        <v>81.818181818180932</v>
      </c>
      <c r="AW96" s="441">
        <f t="shared" si="53"/>
        <v>23</v>
      </c>
      <c r="AX96" s="600"/>
      <c r="AZ96" s="526" t="e">
        <f t="shared" si="42"/>
        <v>#N/A</v>
      </c>
      <c r="BA96" s="600"/>
    </row>
    <row r="97" spans="2:53">
      <c r="B97" s="651"/>
      <c r="C97" s="320">
        <v>21</v>
      </c>
      <c r="D97" s="516" t="s">
        <v>811</v>
      </c>
      <c r="E97" s="511">
        <v>12</v>
      </c>
      <c r="F97" s="511">
        <v>1500</v>
      </c>
      <c r="G97" s="182">
        <v>125</v>
      </c>
      <c r="H97" s="600"/>
      <c r="I97" s="513">
        <f t="shared" si="44"/>
        <v>12</v>
      </c>
      <c r="J97" s="513">
        <f t="shared" si="45"/>
        <v>1313.9826169343614</v>
      </c>
      <c r="K97" s="200">
        <f t="shared" si="46"/>
        <v>109.49855141119679</v>
      </c>
      <c r="L97" s="664"/>
      <c r="M97" s="199">
        <f>RANK(K97, K$77:$K$106)</f>
        <v>23</v>
      </c>
      <c r="N97" s="607"/>
      <c r="O97" s="607"/>
      <c r="P97" s="182">
        <v>12</v>
      </c>
      <c r="Q97" s="182">
        <v>1332.4999999999989</v>
      </c>
      <c r="R97" s="182">
        <v>111.04166666666657</v>
      </c>
      <c r="S97" s="326">
        <f t="shared" si="47"/>
        <v>23</v>
      </c>
      <c r="T97" s="600"/>
      <c r="U97" s="531">
        <v>12</v>
      </c>
      <c r="V97" s="533">
        <v>1259.1428571428557</v>
      </c>
      <c r="W97" s="533">
        <v>104.92857142857132</v>
      </c>
      <c r="X97" s="441">
        <f t="shared" si="48"/>
        <v>24</v>
      </c>
      <c r="Y97" s="600"/>
      <c r="Z97" s="531">
        <v>12</v>
      </c>
      <c r="AA97" s="533">
        <v>1227.5409836065585</v>
      </c>
      <c r="AB97" s="533">
        <v>102.29508196721321</v>
      </c>
      <c r="AC97" s="441">
        <f t="shared" si="49"/>
        <v>24</v>
      </c>
      <c r="AD97" s="600"/>
      <c r="AE97" s="531">
        <v>12</v>
      </c>
      <c r="AF97" s="533">
        <v>1332.4999999999989</v>
      </c>
      <c r="AG97" s="533">
        <v>111.04166666666657</v>
      </c>
      <c r="AH97" s="441">
        <f t="shared" si="50"/>
        <v>23</v>
      </c>
      <c r="AI97" s="600"/>
      <c r="AJ97" s="531">
        <v>12</v>
      </c>
      <c r="AK97" s="533">
        <v>1237.9591836734696</v>
      </c>
      <c r="AL97" s="533">
        <v>103.16326530612247</v>
      </c>
      <c r="AM97" s="441">
        <f t="shared" si="51"/>
        <v>23</v>
      </c>
      <c r="AN97" s="600"/>
      <c r="AO97" s="531">
        <v>12</v>
      </c>
      <c r="AP97" s="533">
        <v>1381.176470588236</v>
      </c>
      <c r="AQ97" s="533">
        <v>115.09803921568634</v>
      </c>
      <c r="AR97" s="441">
        <f t="shared" si="52"/>
        <v>23</v>
      </c>
      <c r="AS97" s="600"/>
      <c r="AT97" s="531">
        <v>12</v>
      </c>
      <c r="AU97" s="533">
        <v>1427.0588235294124</v>
      </c>
      <c r="AV97" s="533">
        <v>118.92156862745104</v>
      </c>
      <c r="AW97" s="441">
        <f t="shared" si="53"/>
        <v>22</v>
      </c>
      <c r="AX97" s="600"/>
      <c r="AZ97" s="526" t="e">
        <f t="shared" si="42"/>
        <v>#N/A</v>
      </c>
      <c r="BA97" s="600"/>
    </row>
    <row r="98" spans="2:53">
      <c r="B98" s="651"/>
      <c r="C98" s="320">
        <v>22</v>
      </c>
      <c r="D98" s="511" t="s">
        <v>825</v>
      </c>
      <c r="E98" s="511">
        <v>3</v>
      </c>
      <c r="F98" s="511">
        <v>3000</v>
      </c>
      <c r="G98" s="511">
        <v>933.33333333333337</v>
      </c>
      <c r="H98" s="600"/>
      <c r="I98" s="513">
        <f t="shared" si="44"/>
        <v>3</v>
      </c>
      <c r="J98" s="513">
        <f t="shared" si="45"/>
        <v>2925.8932496075317</v>
      </c>
      <c r="K98" s="200">
        <f t="shared" si="46"/>
        <v>975.29774986917721</v>
      </c>
      <c r="L98" s="664"/>
      <c r="M98" s="199">
        <f>RANK(K98, K$77:$K$106)</f>
        <v>7</v>
      </c>
      <c r="N98" s="607"/>
      <c r="O98" s="607"/>
      <c r="P98" s="182">
        <v>3</v>
      </c>
      <c r="Q98" s="533">
        <v>2910.8571428571399</v>
      </c>
      <c r="R98" s="533">
        <v>970.28571428571331</v>
      </c>
      <c r="S98" s="326">
        <f t="shared" si="47"/>
        <v>6</v>
      </c>
      <c r="T98" s="600"/>
      <c r="U98" s="531">
        <v>3</v>
      </c>
      <c r="V98" s="533">
        <v>3125.5384615384573</v>
      </c>
      <c r="W98" s="533">
        <v>1041.8461538461524</v>
      </c>
      <c r="X98" s="441">
        <f t="shared" si="48"/>
        <v>6</v>
      </c>
      <c r="Y98" s="600"/>
      <c r="Z98" s="531">
        <v>3</v>
      </c>
      <c r="AA98" s="533">
        <v>2978.0000000000027</v>
      </c>
      <c r="AB98" s="533">
        <v>992.66666666666754</v>
      </c>
      <c r="AC98" s="441">
        <f t="shared" si="49"/>
        <v>7</v>
      </c>
      <c r="AD98" s="600"/>
      <c r="AE98" s="531">
        <v>3</v>
      </c>
      <c r="AF98" s="533">
        <v>2910.8571428571399</v>
      </c>
      <c r="AG98" s="533">
        <v>970.28571428571331</v>
      </c>
      <c r="AH98" s="441">
        <f t="shared" si="50"/>
        <v>6</v>
      </c>
      <c r="AI98" s="600"/>
      <c r="AJ98" s="531">
        <v>3</v>
      </c>
      <c r="AK98" s="533">
        <v>2867.9999999999991</v>
      </c>
      <c r="AL98" s="533">
        <v>955.99999999999966</v>
      </c>
      <c r="AM98" s="441">
        <f t="shared" si="51"/>
        <v>7</v>
      </c>
      <c r="AN98" s="600"/>
      <c r="AO98" s="531">
        <v>3</v>
      </c>
      <c r="AP98" s="533">
        <v>3267.5999999999908</v>
      </c>
      <c r="AQ98" s="533">
        <v>1089.1999999999969</v>
      </c>
      <c r="AR98" s="441">
        <f t="shared" si="52"/>
        <v>3</v>
      </c>
      <c r="AS98" s="600"/>
      <c r="AT98" s="531">
        <v>3</v>
      </c>
      <c r="AU98" s="533">
        <v>2420.3999999999928</v>
      </c>
      <c r="AV98" s="533">
        <v>806.79999999999757</v>
      </c>
      <c r="AW98" s="441">
        <f t="shared" si="53"/>
        <v>12</v>
      </c>
      <c r="AX98" s="600"/>
      <c r="AZ98" s="526" t="e">
        <f t="shared" si="42"/>
        <v>#N/A</v>
      </c>
      <c r="BA98" s="600"/>
    </row>
    <row r="99" spans="2:53">
      <c r="B99" s="651"/>
      <c r="C99" s="320">
        <v>23</v>
      </c>
      <c r="D99" s="511" t="s">
        <v>836</v>
      </c>
      <c r="E99" s="511">
        <v>4</v>
      </c>
      <c r="F99" s="511">
        <v>3200</v>
      </c>
      <c r="G99" s="511">
        <v>800</v>
      </c>
      <c r="H99" s="600"/>
      <c r="I99" s="513">
        <f t="shared" si="44"/>
        <v>4</v>
      </c>
      <c r="J99" s="513">
        <f t="shared" si="45"/>
        <v>3011.6301211322548</v>
      </c>
      <c r="K99" s="200">
        <f t="shared" si="46"/>
        <v>752.90753028306369</v>
      </c>
      <c r="L99" s="664"/>
      <c r="M99" s="199">
        <f>RANK(K99, K$77:$K$106)</f>
        <v>15</v>
      </c>
      <c r="N99" s="607"/>
      <c r="O99" s="607"/>
      <c r="P99" s="511">
        <v>4</v>
      </c>
      <c r="Q99" s="533">
        <v>2980.465116279066</v>
      </c>
      <c r="R99" s="533">
        <v>745.11627906976651</v>
      </c>
      <c r="S99" s="326">
        <f t="shared" si="47"/>
        <v>17</v>
      </c>
      <c r="T99" s="600"/>
      <c r="U99" s="531">
        <v>4</v>
      </c>
      <c r="V99" s="533">
        <v>3012.289156626508</v>
      </c>
      <c r="W99" s="533">
        <v>753.07228915662699</v>
      </c>
      <c r="X99" s="441">
        <f t="shared" si="48"/>
        <v>14</v>
      </c>
      <c r="Y99" s="600"/>
      <c r="Z99" s="531">
        <v>4</v>
      </c>
      <c r="AA99" s="533">
        <v>2964.2105263157878</v>
      </c>
      <c r="AB99" s="533">
        <v>741.05263157894694</v>
      </c>
      <c r="AC99" s="441">
        <f t="shared" si="49"/>
        <v>14</v>
      </c>
      <c r="AD99" s="600"/>
      <c r="AE99" s="531">
        <v>4</v>
      </c>
      <c r="AF99" s="533">
        <v>2980.465116279066</v>
      </c>
      <c r="AG99" s="533">
        <v>745.11627906976651</v>
      </c>
      <c r="AH99" s="441">
        <f t="shared" si="50"/>
        <v>17</v>
      </c>
      <c r="AI99" s="600"/>
      <c r="AJ99" s="531">
        <v>4</v>
      </c>
      <c r="AK99" s="533">
        <v>3053.4939759036165</v>
      </c>
      <c r="AL99" s="533">
        <v>763.37349397590413</v>
      </c>
      <c r="AM99" s="441">
        <f t="shared" si="51"/>
        <v>15</v>
      </c>
      <c r="AN99" s="600"/>
      <c r="AO99" s="531">
        <v>4</v>
      </c>
      <c r="AP99" s="533">
        <v>3056.0869565217417</v>
      </c>
      <c r="AQ99" s="533">
        <v>764.02173913043544</v>
      </c>
      <c r="AR99" s="441">
        <f t="shared" si="52"/>
        <v>15</v>
      </c>
      <c r="AS99" s="600"/>
      <c r="AT99" s="531">
        <v>4</v>
      </c>
      <c r="AU99" s="533">
        <v>3034.400000000001</v>
      </c>
      <c r="AV99" s="533">
        <v>758.60000000000025</v>
      </c>
      <c r="AW99" s="441">
        <f t="shared" si="53"/>
        <v>15</v>
      </c>
      <c r="AX99" s="600"/>
      <c r="AZ99" s="526" t="e">
        <f t="shared" si="42"/>
        <v>#N/A</v>
      </c>
      <c r="BA99" s="600"/>
    </row>
    <row r="100" spans="2:53">
      <c r="B100" s="651"/>
      <c r="C100" s="320">
        <v>24</v>
      </c>
      <c r="D100" s="511" t="s">
        <v>843</v>
      </c>
      <c r="E100" s="511">
        <v>4</v>
      </c>
      <c r="F100" s="511">
        <v>3200</v>
      </c>
      <c r="G100" s="511">
        <v>800</v>
      </c>
      <c r="H100" s="600"/>
      <c r="I100" s="513">
        <f t="shared" si="44"/>
        <v>4</v>
      </c>
      <c r="J100" s="513">
        <f t="shared" si="45"/>
        <v>3026.6136024553089</v>
      </c>
      <c r="K100" s="200">
        <f t="shared" si="46"/>
        <v>756.65340061382722</v>
      </c>
      <c r="L100" s="664"/>
      <c r="M100" s="199">
        <f>RANK(K100, K$77:$K$106)</f>
        <v>14</v>
      </c>
      <c r="N100" s="607"/>
      <c r="O100" s="607"/>
      <c r="P100" s="511">
        <v>4</v>
      </c>
      <c r="Q100" s="533">
        <v>3002.8235294117644</v>
      </c>
      <c r="R100" s="533">
        <v>750.7058823529411</v>
      </c>
      <c r="S100" s="326">
        <f t="shared" si="47"/>
        <v>15</v>
      </c>
      <c r="T100" s="600"/>
      <c r="U100" s="531">
        <v>4</v>
      </c>
      <c r="V100" s="533">
        <v>2990.7142857142849</v>
      </c>
      <c r="W100" s="533">
        <v>747.67857142857122</v>
      </c>
      <c r="X100" s="441">
        <f t="shared" si="48"/>
        <v>15</v>
      </c>
      <c r="Y100" s="600"/>
      <c r="Z100" s="531">
        <v>4</v>
      </c>
      <c r="AA100" s="533">
        <v>2962.7586206896572</v>
      </c>
      <c r="AB100" s="533">
        <v>740.68965517241429</v>
      </c>
      <c r="AC100" s="441">
        <f t="shared" si="49"/>
        <v>15</v>
      </c>
      <c r="AD100" s="600"/>
      <c r="AE100" s="531">
        <v>4</v>
      </c>
      <c r="AF100" s="533">
        <v>3002.8235294117644</v>
      </c>
      <c r="AG100" s="533">
        <v>750.7058823529411</v>
      </c>
      <c r="AH100" s="441">
        <f t="shared" si="50"/>
        <v>15</v>
      </c>
      <c r="AI100" s="600"/>
      <c r="AJ100" s="531">
        <v>4</v>
      </c>
      <c r="AK100" s="533">
        <v>3080.5263157894783</v>
      </c>
      <c r="AL100" s="533">
        <v>770.13157894736958</v>
      </c>
      <c r="AM100" s="441">
        <f t="shared" si="51"/>
        <v>14</v>
      </c>
      <c r="AN100" s="600"/>
      <c r="AO100" s="531">
        <v>4</v>
      </c>
      <c r="AP100" s="533">
        <v>3079.1489361702083</v>
      </c>
      <c r="AQ100" s="533">
        <v>769.78723404255209</v>
      </c>
      <c r="AR100" s="441">
        <f t="shared" si="52"/>
        <v>14</v>
      </c>
      <c r="AS100" s="600"/>
      <c r="AT100" s="531">
        <v>4</v>
      </c>
      <c r="AU100" s="533">
        <v>3067.500000000005</v>
      </c>
      <c r="AV100" s="533">
        <v>766.87500000000125</v>
      </c>
      <c r="AW100" s="441">
        <f t="shared" si="53"/>
        <v>14</v>
      </c>
      <c r="AX100" s="600"/>
      <c r="AZ100" s="526" t="e">
        <f t="shared" si="42"/>
        <v>#N/A</v>
      </c>
      <c r="BA100" s="600"/>
    </row>
    <row r="101" spans="2:53">
      <c r="B101" s="651"/>
      <c r="C101" s="320">
        <v>25</v>
      </c>
      <c r="D101" s="511"/>
      <c r="E101" s="511"/>
      <c r="F101" s="511"/>
      <c r="G101" s="511"/>
      <c r="H101" s="600"/>
      <c r="I101" s="513" t="str">
        <f t="shared" si="44"/>
        <v>-</v>
      </c>
      <c r="J101" s="513" t="str">
        <f t="shared" si="45"/>
        <v>-</v>
      </c>
      <c r="K101" s="200" t="str">
        <f t="shared" si="46"/>
        <v>-</v>
      </c>
      <c r="L101" s="664"/>
      <c r="M101" s="199" t="e">
        <f>RANK(K101, K$77:$K$106)</f>
        <v>#VALUE!</v>
      </c>
      <c r="N101" s="607"/>
      <c r="O101" s="607"/>
      <c r="P101" s="511"/>
      <c r="Q101" s="511"/>
      <c r="R101" s="511"/>
      <c r="S101" s="326" t="e">
        <f t="shared" si="47"/>
        <v>#N/A</v>
      </c>
      <c r="T101" s="600"/>
      <c r="U101" s="511"/>
      <c r="V101" s="511"/>
      <c r="W101" s="511"/>
      <c r="X101" s="441" t="e">
        <f t="shared" si="48"/>
        <v>#N/A</v>
      </c>
      <c r="Y101" s="600"/>
      <c r="Z101" s="511"/>
      <c r="AA101" s="511"/>
      <c r="AB101" s="511"/>
      <c r="AC101" s="441" t="e">
        <f t="shared" si="49"/>
        <v>#N/A</v>
      </c>
      <c r="AD101" s="600"/>
      <c r="AE101" s="511"/>
      <c r="AF101" s="511"/>
      <c r="AG101" s="511"/>
      <c r="AH101" s="441" t="e">
        <f t="shared" si="50"/>
        <v>#N/A</v>
      </c>
      <c r="AI101" s="600"/>
      <c r="AJ101" s="511"/>
      <c r="AK101" s="511"/>
      <c r="AL101" s="511"/>
      <c r="AM101" s="441" t="e">
        <f t="shared" si="51"/>
        <v>#N/A</v>
      </c>
      <c r="AN101" s="600"/>
      <c r="AO101" s="511"/>
      <c r="AP101" s="511"/>
      <c r="AQ101" s="511"/>
      <c r="AR101" s="441" t="e">
        <f t="shared" si="52"/>
        <v>#N/A</v>
      </c>
      <c r="AS101" s="600"/>
      <c r="AT101" s="511"/>
      <c r="AU101" s="511"/>
      <c r="AV101" s="511"/>
      <c r="AW101" s="441" t="e">
        <f t="shared" si="53"/>
        <v>#N/A</v>
      </c>
      <c r="AX101" s="600"/>
      <c r="AZ101" s="526" t="e">
        <f t="shared" si="42"/>
        <v>#N/A</v>
      </c>
      <c r="BA101" s="600"/>
    </row>
    <row r="102" spans="2:53">
      <c r="B102" s="651"/>
      <c r="C102" s="320">
        <v>26</v>
      </c>
      <c r="D102" s="511"/>
      <c r="E102" s="511"/>
      <c r="F102" s="511"/>
      <c r="G102" s="511"/>
      <c r="H102" s="600"/>
      <c r="I102" s="513" t="str">
        <f t="shared" si="44"/>
        <v>-</v>
      </c>
      <c r="J102" s="513" t="str">
        <f t="shared" si="45"/>
        <v>-</v>
      </c>
      <c r="K102" s="200" t="str">
        <f t="shared" si="46"/>
        <v>-</v>
      </c>
      <c r="L102" s="664"/>
      <c r="M102" s="199" t="e">
        <f>RANK(K102, K$77:$K$106)</f>
        <v>#VALUE!</v>
      </c>
      <c r="N102" s="607"/>
      <c r="O102" s="607"/>
      <c r="P102" s="511"/>
      <c r="Q102" s="511"/>
      <c r="R102" s="511"/>
      <c r="S102" s="326" t="e">
        <f t="shared" si="47"/>
        <v>#N/A</v>
      </c>
      <c r="T102" s="600"/>
      <c r="U102" s="511"/>
      <c r="V102" s="511"/>
      <c r="W102" s="511"/>
      <c r="X102" s="441" t="e">
        <f t="shared" si="48"/>
        <v>#N/A</v>
      </c>
      <c r="Y102" s="600"/>
      <c r="Z102" s="511"/>
      <c r="AA102" s="511"/>
      <c r="AB102" s="511"/>
      <c r="AC102" s="441" t="e">
        <f t="shared" si="49"/>
        <v>#N/A</v>
      </c>
      <c r="AD102" s="600"/>
      <c r="AE102" s="511"/>
      <c r="AF102" s="511"/>
      <c r="AG102" s="511"/>
      <c r="AH102" s="441" t="e">
        <f t="shared" si="50"/>
        <v>#N/A</v>
      </c>
      <c r="AI102" s="600"/>
      <c r="AJ102" s="511"/>
      <c r="AK102" s="511"/>
      <c r="AL102" s="511"/>
      <c r="AM102" s="441" t="e">
        <f t="shared" si="51"/>
        <v>#N/A</v>
      </c>
      <c r="AN102" s="600"/>
      <c r="AO102" s="511"/>
      <c r="AP102" s="511"/>
      <c r="AQ102" s="511"/>
      <c r="AR102" s="441" t="e">
        <f t="shared" si="52"/>
        <v>#N/A</v>
      </c>
      <c r="AS102" s="600"/>
      <c r="AT102" s="511"/>
      <c r="AU102" s="511"/>
      <c r="AV102" s="511"/>
      <c r="AW102" s="441" t="e">
        <f t="shared" si="53"/>
        <v>#N/A</v>
      </c>
      <c r="AX102" s="600"/>
      <c r="AZ102" s="526" t="e">
        <f t="shared" si="42"/>
        <v>#N/A</v>
      </c>
      <c r="BA102" s="600"/>
    </row>
    <row r="103" spans="2:53">
      <c r="B103" s="651"/>
      <c r="C103" s="320">
        <v>27</v>
      </c>
      <c r="D103" s="511"/>
      <c r="E103" s="511"/>
      <c r="F103" s="511"/>
      <c r="G103" s="511"/>
      <c r="H103" s="600"/>
      <c r="I103" s="513" t="str">
        <f t="shared" si="44"/>
        <v>-</v>
      </c>
      <c r="J103" s="513" t="str">
        <f t="shared" si="45"/>
        <v>-</v>
      </c>
      <c r="K103" s="200" t="str">
        <f t="shared" si="46"/>
        <v>-</v>
      </c>
      <c r="L103" s="664"/>
      <c r="M103" s="199" t="e">
        <f>RANK(K103, K$77:$K$106)</f>
        <v>#VALUE!</v>
      </c>
      <c r="N103" s="607"/>
      <c r="O103" s="607"/>
      <c r="P103" s="511"/>
      <c r="Q103" s="511"/>
      <c r="R103" s="511"/>
      <c r="S103" s="326" t="e">
        <f t="shared" si="47"/>
        <v>#N/A</v>
      </c>
      <c r="T103" s="600"/>
      <c r="U103" s="511"/>
      <c r="V103" s="511"/>
      <c r="W103" s="511"/>
      <c r="X103" s="441" t="e">
        <f t="shared" si="48"/>
        <v>#N/A</v>
      </c>
      <c r="Y103" s="600"/>
      <c r="Z103" s="511"/>
      <c r="AA103" s="511"/>
      <c r="AB103" s="511"/>
      <c r="AC103" s="441" t="e">
        <f t="shared" si="49"/>
        <v>#N/A</v>
      </c>
      <c r="AD103" s="600"/>
      <c r="AE103" s="511"/>
      <c r="AF103" s="511"/>
      <c r="AG103" s="511"/>
      <c r="AH103" s="441" t="e">
        <f t="shared" si="50"/>
        <v>#N/A</v>
      </c>
      <c r="AI103" s="600"/>
      <c r="AJ103" s="511"/>
      <c r="AK103" s="511"/>
      <c r="AL103" s="511"/>
      <c r="AM103" s="441" t="e">
        <f t="shared" si="51"/>
        <v>#N/A</v>
      </c>
      <c r="AN103" s="600"/>
      <c r="AO103" s="511"/>
      <c r="AP103" s="511"/>
      <c r="AQ103" s="511"/>
      <c r="AR103" s="441" t="e">
        <f t="shared" si="52"/>
        <v>#N/A</v>
      </c>
      <c r="AS103" s="600"/>
      <c r="AT103" s="511"/>
      <c r="AU103" s="511"/>
      <c r="AV103" s="511"/>
      <c r="AW103" s="441" t="e">
        <f t="shared" si="53"/>
        <v>#N/A</v>
      </c>
      <c r="AX103" s="600"/>
      <c r="AZ103" s="526" t="e">
        <f t="shared" si="42"/>
        <v>#N/A</v>
      </c>
      <c r="BA103" s="600"/>
    </row>
    <row r="104" spans="2:53">
      <c r="B104" s="651"/>
      <c r="C104" s="320">
        <v>28</v>
      </c>
      <c r="D104" s="511"/>
      <c r="E104" s="511"/>
      <c r="F104" s="511"/>
      <c r="G104" s="511"/>
      <c r="H104" s="600"/>
      <c r="I104" s="513" t="str">
        <f t="shared" si="44"/>
        <v>-</v>
      </c>
      <c r="J104" s="513" t="str">
        <f t="shared" si="45"/>
        <v>-</v>
      </c>
      <c r="K104" s="200" t="str">
        <f t="shared" si="46"/>
        <v>-</v>
      </c>
      <c r="L104" s="664"/>
      <c r="M104" s="199" t="e">
        <f>RANK(K104, K$77:$K$106)</f>
        <v>#VALUE!</v>
      </c>
      <c r="N104" s="607"/>
      <c r="O104" s="607"/>
      <c r="P104" s="511"/>
      <c r="Q104" s="511"/>
      <c r="R104" s="511"/>
      <c r="S104" s="326" t="e">
        <f t="shared" si="47"/>
        <v>#N/A</v>
      </c>
      <c r="T104" s="600"/>
      <c r="U104" s="511"/>
      <c r="V104" s="511"/>
      <c r="W104" s="511"/>
      <c r="X104" s="441" t="e">
        <f t="shared" si="48"/>
        <v>#N/A</v>
      </c>
      <c r="Y104" s="600"/>
      <c r="Z104" s="511"/>
      <c r="AA104" s="511"/>
      <c r="AB104" s="511"/>
      <c r="AC104" s="441" t="e">
        <f t="shared" si="49"/>
        <v>#N/A</v>
      </c>
      <c r="AD104" s="600"/>
      <c r="AE104" s="511"/>
      <c r="AF104" s="511"/>
      <c r="AG104" s="511"/>
      <c r="AH104" s="441" t="e">
        <f t="shared" si="50"/>
        <v>#N/A</v>
      </c>
      <c r="AI104" s="600"/>
      <c r="AJ104" s="511"/>
      <c r="AK104" s="511"/>
      <c r="AL104" s="511"/>
      <c r="AM104" s="441" t="e">
        <f t="shared" si="51"/>
        <v>#N/A</v>
      </c>
      <c r="AN104" s="600"/>
      <c r="AO104" s="511"/>
      <c r="AP104" s="511"/>
      <c r="AQ104" s="511"/>
      <c r="AR104" s="441" t="e">
        <f t="shared" si="52"/>
        <v>#N/A</v>
      </c>
      <c r="AS104" s="600"/>
      <c r="AT104" s="511"/>
      <c r="AU104" s="511"/>
      <c r="AV104" s="511"/>
      <c r="AW104" s="441" t="e">
        <f t="shared" si="53"/>
        <v>#N/A</v>
      </c>
      <c r="AX104" s="600"/>
      <c r="AZ104" s="526" t="e">
        <f t="shared" si="42"/>
        <v>#N/A</v>
      </c>
      <c r="BA104" s="600"/>
    </row>
    <row r="105" spans="2:53">
      <c r="B105" s="651"/>
      <c r="C105" s="320">
        <v>29</v>
      </c>
      <c r="D105" s="511"/>
      <c r="E105" s="511"/>
      <c r="F105" s="511"/>
      <c r="G105" s="511"/>
      <c r="H105" s="600"/>
      <c r="I105" s="513" t="str">
        <f t="shared" si="44"/>
        <v>-</v>
      </c>
      <c r="J105" s="513" t="str">
        <f t="shared" si="45"/>
        <v>-</v>
      </c>
      <c r="K105" s="200" t="str">
        <f t="shared" si="46"/>
        <v>-</v>
      </c>
      <c r="L105" s="664"/>
      <c r="M105" s="199" t="e">
        <f>RANK(K105, K$77:$K$106)</f>
        <v>#VALUE!</v>
      </c>
      <c r="N105" s="607"/>
      <c r="O105" s="607"/>
      <c r="P105" s="511"/>
      <c r="Q105" s="511"/>
      <c r="R105" s="511"/>
      <c r="S105" s="326" t="e">
        <f t="shared" si="47"/>
        <v>#N/A</v>
      </c>
      <c r="T105" s="600"/>
      <c r="U105" s="511"/>
      <c r="V105" s="511"/>
      <c r="W105" s="511"/>
      <c r="X105" s="441" t="e">
        <f t="shared" si="48"/>
        <v>#N/A</v>
      </c>
      <c r="Y105" s="600"/>
      <c r="Z105" s="511"/>
      <c r="AA105" s="511"/>
      <c r="AB105" s="511"/>
      <c r="AC105" s="441" t="e">
        <f t="shared" si="49"/>
        <v>#N/A</v>
      </c>
      <c r="AD105" s="600"/>
      <c r="AE105" s="511"/>
      <c r="AF105" s="511"/>
      <c r="AG105" s="511"/>
      <c r="AH105" s="441" t="e">
        <f t="shared" si="50"/>
        <v>#N/A</v>
      </c>
      <c r="AI105" s="600"/>
      <c r="AJ105" s="511"/>
      <c r="AK105" s="511"/>
      <c r="AL105" s="511"/>
      <c r="AM105" s="441" t="e">
        <f t="shared" si="51"/>
        <v>#N/A</v>
      </c>
      <c r="AN105" s="600"/>
      <c r="AO105" s="511"/>
      <c r="AP105" s="511"/>
      <c r="AQ105" s="511"/>
      <c r="AR105" s="441" t="e">
        <f t="shared" si="52"/>
        <v>#N/A</v>
      </c>
      <c r="AS105" s="600"/>
      <c r="AT105" s="511"/>
      <c r="AU105" s="511"/>
      <c r="AV105" s="511"/>
      <c r="AW105" s="441" t="e">
        <f t="shared" si="53"/>
        <v>#N/A</v>
      </c>
      <c r="AX105" s="600"/>
      <c r="AZ105" s="526" t="e">
        <f t="shared" si="42"/>
        <v>#N/A</v>
      </c>
      <c r="BA105" s="600"/>
    </row>
    <row r="106" spans="2:53">
      <c r="B106" s="652"/>
      <c r="C106" s="320">
        <v>30</v>
      </c>
      <c r="D106" s="511"/>
      <c r="E106" s="511"/>
      <c r="F106" s="511"/>
      <c r="G106" s="511"/>
      <c r="H106" s="601"/>
      <c r="I106" s="513" t="str">
        <f t="shared" si="44"/>
        <v>-</v>
      </c>
      <c r="J106" s="513" t="str">
        <f t="shared" si="45"/>
        <v>-</v>
      </c>
      <c r="K106" s="200" t="str">
        <f t="shared" si="46"/>
        <v>-</v>
      </c>
      <c r="L106" s="665"/>
      <c r="M106" s="199" t="e">
        <f>RANK(K106, K$77:$K$106)</f>
        <v>#VALUE!</v>
      </c>
      <c r="N106" s="608"/>
      <c r="O106" s="608"/>
      <c r="P106" s="511"/>
      <c r="Q106" s="511"/>
      <c r="R106" s="511"/>
      <c r="S106" s="326" t="e">
        <f t="shared" si="47"/>
        <v>#N/A</v>
      </c>
      <c r="T106" s="601"/>
      <c r="U106" s="511"/>
      <c r="V106" s="511"/>
      <c r="W106" s="511"/>
      <c r="X106" s="441" t="e">
        <f t="shared" si="48"/>
        <v>#N/A</v>
      </c>
      <c r="Y106" s="601"/>
      <c r="Z106" s="511"/>
      <c r="AA106" s="511"/>
      <c r="AB106" s="511"/>
      <c r="AC106" s="441" t="e">
        <f t="shared" si="49"/>
        <v>#N/A</v>
      </c>
      <c r="AD106" s="601"/>
      <c r="AE106" s="511"/>
      <c r="AF106" s="511"/>
      <c r="AG106" s="511"/>
      <c r="AH106" s="441" t="e">
        <f t="shared" si="50"/>
        <v>#N/A</v>
      </c>
      <c r="AI106" s="601"/>
      <c r="AJ106" s="511"/>
      <c r="AK106" s="511"/>
      <c r="AL106" s="511"/>
      <c r="AM106" s="441" t="e">
        <f t="shared" si="51"/>
        <v>#N/A</v>
      </c>
      <c r="AN106" s="601"/>
      <c r="AO106" s="511"/>
      <c r="AP106" s="511"/>
      <c r="AQ106" s="511"/>
      <c r="AR106" s="441" t="e">
        <f t="shared" si="52"/>
        <v>#N/A</v>
      </c>
      <c r="AS106" s="601"/>
      <c r="AT106" s="511"/>
      <c r="AU106" s="511"/>
      <c r="AV106" s="511"/>
      <c r="AW106" s="441" t="e">
        <f t="shared" si="53"/>
        <v>#N/A</v>
      </c>
      <c r="AX106" s="601"/>
      <c r="AZ106" s="526" t="e">
        <f t="shared" si="42"/>
        <v>#N/A</v>
      </c>
      <c r="BA106" s="601"/>
    </row>
    <row r="107" spans="2:53" ht="15.75">
      <c r="B107" s="633" t="s">
        <v>163</v>
      </c>
      <c r="C107" s="634"/>
      <c r="D107" s="634"/>
      <c r="E107" s="634"/>
      <c r="F107" s="634"/>
      <c r="G107" s="634"/>
      <c r="H107" s="635"/>
      <c r="I107" s="208"/>
      <c r="J107" s="208"/>
      <c r="K107" s="208"/>
      <c r="L107" s="208"/>
      <c r="M107" s="207"/>
      <c r="N107" s="606" t="s">
        <v>156</v>
      </c>
      <c r="O107" s="606" t="s">
        <v>155</v>
      </c>
      <c r="P107" s="632">
        <f>P72+7</f>
        <v>46133</v>
      </c>
      <c r="Q107" s="610"/>
      <c r="R107" s="610"/>
      <c r="S107" s="610"/>
      <c r="T107" s="610"/>
      <c r="U107" s="629">
        <f>P107+1</f>
        <v>46134</v>
      </c>
      <c r="V107" s="630"/>
      <c r="W107" s="630"/>
      <c r="X107" s="630"/>
      <c r="Y107" s="631"/>
      <c r="Z107" s="629">
        <f>U107+1</f>
        <v>46135</v>
      </c>
      <c r="AA107" s="630"/>
      <c r="AB107" s="630"/>
      <c r="AC107" s="630"/>
      <c r="AD107" s="631"/>
      <c r="AE107" s="629">
        <f>Z107+1</f>
        <v>46136</v>
      </c>
      <c r="AF107" s="630"/>
      <c r="AG107" s="630"/>
      <c r="AH107" s="630"/>
      <c r="AI107" s="631"/>
      <c r="AJ107" s="629">
        <f>AE107+1</f>
        <v>46137</v>
      </c>
      <c r="AK107" s="630"/>
      <c r="AL107" s="630"/>
      <c r="AM107" s="630"/>
      <c r="AN107" s="631"/>
      <c r="AO107" s="629">
        <f>AJ107+1</f>
        <v>46138</v>
      </c>
      <c r="AP107" s="630"/>
      <c r="AQ107" s="630"/>
      <c r="AR107" s="630"/>
      <c r="AS107" s="631"/>
      <c r="AT107" s="629">
        <f>AO107+1</f>
        <v>46139</v>
      </c>
      <c r="AU107" s="630"/>
      <c r="AV107" s="630"/>
      <c r="AW107" s="630"/>
      <c r="AX107" s="631"/>
    </row>
    <row r="108" spans="2:53" ht="15.75">
      <c r="B108" s="636"/>
      <c r="C108" s="636"/>
      <c r="D108" s="636"/>
      <c r="E108" s="636"/>
      <c r="F108" s="636"/>
      <c r="G108" s="636"/>
      <c r="H108" s="636"/>
      <c r="I108" s="205"/>
      <c r="J108" s="205"/>
      <c r="K108" s="205"/>
      <c r="L108" s="205"/>
      <c r="M108" s="206"/>
      <c r="N108" s="608"/>
      <c r="O108" s="608"/>
      <c r="P108" s="632" t="s">
        <v>336</v>
      </c>
      <c r="Q108" s="610"/>
      <c r="R108" s="610"/>
      <c r="S108" s="610"/>
      <c r="T108" s="610"/>
      <c r="U108" s="632" t="s">
        <v>337</v>
      </c>
      <c r="V108" s="610"/>
      <c r="W108" s="610"/>
      <c r="X108" s="610"/>
      <c r="Y108" s="610"/>
      <c r="Z108" s="632" t="s">
        <v>338</v>
      </c>
      <c r="AA108" s="610"/>
      <c r="AB108" s="610"/>
      <c r="AC108" s="610"/>
      <c r="AD108" s="610"/>
      <c r="AE108" s="632" t="s">
        <v>339</v>
      </c>
      <c r="AF108" s="610"/>
      <c r="AG108" s="610"/>
      <c r="AH108" s="610"/>
      <c r="AI108" s="610"/>
      <c r="AJ108" s="632" t="s">
        <v>340</v>
      </c>
      <c r="AK108" s="610"/>
      <c r="AL108" s="610"/>
      <c r="AM108" s="610"/>
      <c r="AN108" s="610"/>
      <c r="AO108" s="632" t="s">
        <v>341</v>
      </c>
      <c r="AP108" s="610"/>
      <c r="AQ108" s="610"/>
      <c r="AR108" s="610"/>
      <c r="AS108" s="610"/>
      <c r="AT108" s="632" t="s">
        <v>342</v>
      </c>
      <c r="AU108" s="610"/>
      <c r="AV108" s="610"/>
      <c r="AW108" s="610"/>
      <c r="AX108" s="610"/>
    </row>
    <row r="109" spans="2:53">
      <c r="B109" s="604" t="s">
        <v>398</v>
      </c>
      <c r="C109" s="604" t="s">
        <v>408</v>
      </c>
      <c r="D109" s="604"/>
      <c r="E109" s="604" t="s">
        <v>399</v>
      </c>
      <c r="F109" s="604"/>
      <c r="G109" s="604"/>
      <c r="H109" s="637" t="s">
        <v>395</v>
      </c>
      <c r="I109" s="656" t="s">
        <v>400</v>
      </c>
      <c r="J109" s="656"/>
      <c r="K109" s="656"/>
      <c r="L109" s="657" t="s">
        <v>395</v>
      </c>
      <c r="M109" s="642" t="s">
        <v>396</v>
      </c>
      <c r="N109" s="604"/>
      <c r="O109" s="604" t="s">
        <v>401</v>
      </c>
      <c r="P109" s="623" t="s">
        <v>397</v>
      </c>
      <c r="Q109" s="624"/>
      <c r="R109" s="624"/>
      <c r="S109" s="625"/>
      <c r="T109" s="604" t="s">
        <v>395</v>
      </c>
      <c r="U109" s="623" t="s">
        <v>397</v>
      </c>
      <c r="V109" s="624"/>
      <c r="W109" s="624"/>
      <c r="X109" s="625"/>
      <c r="Y109" s="604" t="s">
        <v>395</v>
      </c>
      <c r="Z109" s="623" t="s">
        <v>397</v>
      </c>
      <c r="AA109" s="624"/>
      <c r="AB109" s="624"/>
      <c r="AC109" s="625"/>
      <c r="AD109" s="604" t="s">
        <v>395</v>
      </c>
      <c r="AE109" s="623" t="s">
        <v>397</v>
      </c>
      <c r="AF109" s="624"/>
      <c r="AG109" s="624"/>
      <c r="AH109" s="625"/>
      <c r="AI109" s="604" t="s">
        <v>395</v>
      </c>
      <c r="AJ109" s="623" t="s">
        <v>397</v>
      </c>
      <c r="AK109" s="624"/>
      <c r="AL109" s="624"/>
      <c r="AM109" s="625"/>
      <c r="AN109" s="604" t="s">
        <v>395</v>
      </c>
      <c r="AO109" s="623" t="s">
        <v>397</v>
      </c>
      <c r="AP109" s="624"/>
      <c r="AQ109" s="624"/>
      <c r="AR109" s="625"/>
      <c r="AS109" s="604" t="s">
        <v>395</v>
      </c>
      <c r="AT109" s="623" t="s">
        <v>397</v>
      </c>
      <c r="AU109" s="624"/>
      <c r="AV109" s="624"/>
      <c r="AW109" s="625"/>
      <c r="AX109" s="604" t="s">
        <v>395</v>
      </c>
      <c r="BA109" s="604" t="s">
        <v>395</v>
      </c>
    </row>
    <row r="110" spans="2:53">
      <c r="B110" s="604"/>
      <c r="C110" s="604"/>
      <c r="D110" s="604"/>
      <c r="E110" s="604" t="s">
        <v>402</v>
      </c>
      <c r="F110" s="604"/>
      <c r="G110" s="604"/>
      <c r="H110" s="638"/>
      <c r="I110" s="656" t="s">
        <v>402</v>
      </c>
      <c r="J110" s="656"/>
      <c r="K110" s="656"/>
      <c r="L110" s="658"/>
      <c r="M110" s="643"/>
      <c r="N110" s="604"/>
      <c r="O110" s="604"/>
      <c r="P110" s="623" t="s">
        <v>403</v>
      </c>
      <c r="Q110" s="624"/>
      <c r="R110" s="624"/>
      <c r="S110" s="625"/>
      <c r="T110" s="604"/>
      <c r="U110" s="623" t="s">
        <v>403</v>
      </c>
      <c r="V110" s="624"/>
      <c r="W110" s="624"/>
      <c r="X110" s="625"/>
      <c r="Y110" s="604"/>
      <c r="Z110" s="623" t="s">
        <v>403</v>
      </c>
      <c r="AA110" s="624"/>
      <c r="AB110" s="624"/>
      <c r="AC110" s="625"/>
      <c r="AD110" s="604"/>
      <c r="AE110" s="623" t="s">
        <v>403</v>
      </c>
      <c r="AF110" s="624"/>
      <c r="AG110" s="624"/>
      <c r="AH110" s="625"/>
      <c r="AI110" s="604"/>
      <c r="AJ110" s="623" t="s">
        <v>403</v>
      </c>
      <c r="AK110" s="624"/>
      <c r="AL110" s="624"/>
      <c r="AM110" s="625"/>
      <c r="AN110" s="604"/>
      <c r="AO110" s="623" t="s">
        <v>403</v>
      </c>
      <c r="AP110" s="624"/>
      <c r="AQ110" s="624"/>
      <c r="AR110" s="625"/>
      <c r="AS110" s="604"/>
      <c r="AT110" s="623" t="s">
        <v>403</v>
      </c>
      <c r="AU110" s="624"/>
      <c r="AV110" s="624"/>
      <c r="AW110" s="625"/>
      <c r="AX110" s="604"/>
      <c r="BA110" s="604"/>
    </row>
    <row r="111" spans="2:53">
      <c r="B111" s="604"/>
      <c r="C111" s="604"/>
      <c r="D111" s="604"/>
      <c r="E111" s="304" t="s">
        <v>404</v>
      </c>
      <c r="F111" s="304" t="s">
        <v>405</v>
      </c>
      <c r="G111" s="304" t="s">
        <v>406</v>
      </c>
      <c r="H111" s="639"/>
      <c r="I111" s="303" t="s">
        <v>404</v>
      </c>
      <c r="J111" s="303" t="s">
        <v>405</v>
      </c>
      <c r="K111" s="303" t="s">
        <v>406</v>
      </c>
      <c r="L111" s="659"/>
      <c r="M111" s="644"/>
      <c r="N111" s="604"/>
      <c r="O111" s="604"/>
      <c r="P111" s="304" t="s">
        <v>404</v>
      </c>
      <c r="Q111" s="304" t="s">
        <v>405</v>
      </c>
      <c r="R111" s="304" t="s">
        <v>406</v>
      </c>
      <c r="S111" s="304" t="s">
        <v>396</v>
      </c>
      <c r="T111" s="604"/>
      <c r="U111" s="304" t="s">
        <v>404</v>
      </c>
      <c r="V111" s="304" t="s">
        <v>405</v>
      </c>
      <c r="W111" s="304" t="s">
        <v>406</v>
      </c>
      <c r="X111" s="304" t="s">
        <v>396</v>
      </c>
      <c r="Y111" s="604"/>
      <c r="Z111" s="304" t="s">
        <v>404</v>
      </c>
      <c r="AA111" s="304" t="s">
        <v>405</v>
      </c>
      <c r="AB111" s="304" t="s">
        <v>406</v>
      </c>
      <c r="AC111" s="304" t="s">
        <v>396</v>
      </c>
      <c r="AD111" s="604"/>
      <c r="AE111" s="304" t="s">
        <v>404</v>
      </c>
      <c r="AF111" s="304" t="s">
        <v>405</v>
      </c>
      <c r="AG111" s="304" t="s">
        <v>406</v>
      </c>
      <c r="AH111" s="304" t="s">
        <v>396</v>
      </c>
      <c r="AI111" s="604"/>
      <c r="AJ111" s="304" t="s">
        <v>404</v>
      </c>
      <c r="AK111" s="304" t="s">
        <v>405</v>
      </c>
      <c r="AL111" s="304" t="s">
        <v>406</v>
      </c>
      <c r="AM111" s="304" t="s">
        <v>396</v>
      </c>
      <c r="AN111" s="604"/>
      <c r="AO111" s="304" t="s">
        <v>404</v>
      </c>
      <c r="AP111" s="304" t="s">
        <v>405</v>
      </c>
      <c r="AQ111" s="304" t="s">
        <v>406</v>
      </c>
      <c r="AR111" s="304" t="s">
        <v>396</v>
      </c>
      <c r="AS111" s="604"/>
      <c r="AT111" s="304" t="s">
        <v>404</v>
      </c>
      <c r="AU111" s="304" t="s">
        <v>405</v>
      </c>
      <c r="AV111" s="304" t="s">
        <v>406</v>
      </c>
      <c r="AW111" s="304" t="s">
        <v>396</v>
      </c>
      <c r="AX111" s="604"/>
      <c r="AZ111" s="527" t="s">
        <v>396</v>
      </c>
      <c r="BA111" s="604"/>
    </row>
    <row r="112" spans="2:53">
      <c r="B112" s="610" t="s">
        <v>150</v>
      </c>
      <c r="C112" s="305">
        <v>1</v>
      </c>
      <c r="D112" s="511" t="s">
        <v>358</v>
      </c>
      <c r="E112" s="511">
        <v>3</v>
      </c>
      <c r="F112" s="511">
        <v>3200</v>
      </c>
      <c r="G112" s="182">
        <v>1066.6666666666667</v>
      </c>
      <c r="H112" s="599">
        <f>AVERAGE(G112:G141)</f>
        <v>754.34027777777783</v>
      </c>
      <c r="I112" s="513">
        <f>IFERROR(AVERAGE(P112,U112,Z112,AE112,AJ112,AO112,AT112),"-")</f>
        <v>3</v>
      </c>
      <c r="J112" s="513">
        <f>IFERROR(AVERAGE(Q112,V112,AA112,AF112,AK112,AP112,AU112),"-")</f>
        <v>3240.8479404181885</v>
      </c>
      <c r="K112" s="200">
        <f>IFERROR(AVERAGE(R112,W112,AB112,AG112,AL112,AQ112,AV112),"-")</f>
        <v>1080.2826468060628</v>
      </c>
      <c r="L112" s="620">
        <f>IFERROR(AVERAGE(K112:K141),"-")</f>
        <v>780.32791225390008</v>
      </c>
      <c r="M112" s="199">
        <f>RANK(K112, K$112:$K$141)</f>
        <v>3</v>
      </c>
      <c r="N112" s="604"/>
      <c r="O112" s="604"/>
      <c r="P112" s="182">
        <v>3</v>
      </c>
      <c r="Q112" s="182">
        <v>3237.9999999999982</v>
      </c>
      <c r="R112" s="182">
        <v>1079.3333333333328</v>
      </c>
      <c r="S112" s="305">
        <f>RANK(R112, R$112:R$141)</f>
        <v>7</v>
      </c>
      <c r="T112" s="599">
        <f>AVERAGE(R112:R141)</f>
        <v>790.84708866350991</v>
      </c>
      <c r="U112" s="182">
        <v>3</v>
      </c>
      <c r="V112" s="182">
        <v>3237.9999999999982</v>
      </c>
      <c r="W112" s="182">
        <v>1079.3333333333328</v>
      </c>
      <c r="X112" s="441">
        <f t="shared" ref="X112:X127" si="54">RANK(W112, W$112:W$141)</f>
        <v>7</v>
      </c>
      <c r="Y112" s="599">
        <f t="shared" ref="Y112" si="55">AVERAGE(W112:W141)</f>
        <v>790.84708866350991</v>
      </c>
      <c r="Z112" s="182">
        <v>3</v>
      </c>
      <c r="AA112" s="182">
        <v>3313.8461538461502</v>
      </c>
      <c r="AB112" s="182">
        <v>1104.6153846153834</v>
      </c>
      <c r="AC112" s="441">
        <f t="shared" ref="AC112:AC127" si="56">RANK(AB112, AB$112:AB$141)</f>
        <v>2</v>
      </c>
      <c r="AD112" s="599">
        <f t="shared" ref="AD112" si="57">AVERAGE(AB112:AB141)</f>
        <v>804.03272222781175</v>
      </c>
      <c r="AE112" s="182">
        <v>3</v>
      </c>
      <c r="AF112" s="182">
        <v>3239.9999999999977</v>
      </c>
      <c r="AG112" s="182">
        <v>1079.9999999999993</v>
      </c>
      <c r="AH112" s="441">
        <f t="shared" ref="AH112:AH127" si="58">RANK(AG112, AG$112:AG$141)</f>
        <v>4</v>
      </c>
      <c r="AI112" s="599">
        <f t="shared" ref="AI112" si="59">AVERAGE(AG112:AG141)</f>
        <v>799.20473721906569</v>
      </c>
      <c r="AJ112" s="182">
        <v>3</v>
      </c>
      <c r="AK112" s="182">
        <v>3236.2499999999955</v>
      </c>
      <c r="AL112" s="182">
        <v>1078.7499999999984</v>
      </c>
      <c r="AM112" s="441">
        <f t="shared" ref="AM112:AM127" si="60">RANK(AL112, AL$112:AL$141)</f>
        <v>3</v>
      </c>
      <c r="AN112" s="599">
        <f t="shared" ref="AN112" si="61">AVERAGE(AL112:AL141)</f>
        <v>780.56879454877253</v>
      </c>
      <c r="AO112" s="182">
        <v>3</v>
      </c>
      <c r="AP112" s="182">
        <v>3214.576271186439</v>
      </c>
      <c r="AQ112" s="182">
        <v>1071.5254237288129</v>
      </c>
      <c r="AR112" s="441">
        <f t="shared" ref="AR112:AR127" si="62">RANK(AQ112, AQ$112:AQ$141)</f>
        <v>5</v>
      </c>
      <c r="AS112" s="599">
        <f t="shared" ref="AS112" si="63">AVERAGE(AQ112:AQ141)</f>
        <v>792.52396840190124</v>
      </c>
      <c r="AT112" s="182">
        <v>3</v>
      </c>
      <c r="AU112" s="182">
        <v>3205.2631578947394</v>
      </c>
      <c r="AV112" s="182">
        <v>1068.4210526315799</v>
      </c>
      <c r="AW112" s="441">
        <f t="shared" ref="AW112:AW127" si="64">RANK(AV112, AV$112:AV$141)</f>
        <v>1</v>
      </c>
      <c r="AX112" s="599">
        <f t="shared" ref="AX112" si="65">AVERAGE(AV112:AV141)</f>
        <v>756.25364728969635</v>
      </c>
      <c r="AZ112" s="526" t="e">
        <f t="shared" ref="AZ112:AZ141" si="66">RANK(AY112, AY$112:AY$141)</f>
        <v>#N/A</v>
      </c>
      <c r="BA112" s="599" t="e">
        <f t="shared" ref="BA112" si="67">AVERAGE(AY112:AY141)</f>
        <v>#DIV/0!</v>
      </c>
    </row>
    <row r="113" spans="2:53">
      <c r="B113" s="610"/>
      <c r="C113" s="305">
        <v>2</v>
      </c>
      <c r="D113" s="515" t="s">
        <v>359</v>
      </c>
      <c r="E113" s="511">
        <v>3</v>
      </c>
      <c r="F113" s="511">
        <v>3200</v>
      </c>
      <c r="G113" s="182">
        <v>1066.6666666666667</v>
      </c>
      <c r="H113" s="600"/>
      <c r="I113" s="513">
        <f t="shared" ref="I113:I141" si="68">IFERROR(AVERAGE(P113,U113,Z113,AE113,AJ113,AO113,AT113),"-")</f>
        <v>3</v>
      </c>
      <c r="J113" s="513">
        <f t="shared" ref="J113:J141" si="69">IFERROR(AVERAGE(Q113,V113,AA113,AF113,AK113,AP113,AU113),"-")</f>
        <v>3297.3942653984591</v>
      </c>
      <c r="K113" s="200">
        <f t="shared" ref="K113:K141" si="70">IFERROR(AVERAGE(R113,W113,AB113,AG113,AL113,AQ113,AV113),"-")</f>
        <v>1099.1314217994866</v>
      </c>
      <c r="L113" s="621"/>
      <c r="M113" s="199">
        <f>RANK(K113, K$112:$K$141)</f>
        <v>1</v>
      </c>
      <c r="N113" s="604"/>
      <c r="O113" s="604"/>
      <c r="P113" s="182">
        <v>3</v>
      </c>
      <c r="Q113" s="182">
        <v>3288.7499999999959</v>
      </c>
      <c r="R113" s="182">
        <v>1096.2499999999986</v>
      </c>
      <c r="S113" s="330">
        <f t="shared" ref="S113:S141" si="71">RANK(R113, R$112:R$141)</f>
        <v>3</v>
      </c>
      <c r="T113" s="600"/>
      <c r="U113" s="182">
        <v>3</v>
      </c>
      <c r="V113" s="182">
        <v>3288.7499999999959</v>
      </c>
      <c r="W113" s="182">
        <v>1096.2499999999986</v>
      </c>
      <c r="X113" s="441">
        <f t="shared" si="54"/>
        <v>3</v>
      </c>
      <c r="Y113" s="600"/>
      <c r="Z113" s="182">
        <v>3</v>
      </c>
      <c r="AA113" s="182">
        <v>3391.9999999999941</v>
      </c>
      <c r="AB113" s="182">
        <v>1130.6666666666647</v>
      </c>
      <c r="AC113" s="441">
        <f t="shared" si="56"/>
        <v>1</v>
      </c>
      <c r="AD113" s="600"/>
      <c r="AE113" s="182">
        <v>3</v>
      </c>
      <c r="AF113" s="182">
        <v>3372.8571428571358</v>
      </c>
      <c r="AG113" s="182">
        <v>1124.2857142857119</v>
      </c>
      <c r="AH113" s="441">
        <f t="shared" si="58"/>
        <v>2</v>
      </c>
      <c r="AI113" s="600"/>
      <c r="AJ113" s="182">
        <v>3</v>
      </c>
      <c r="AK113" s="182">
        <v>3318.4615384615299</v>
      </c>
      <c r="AL113" s="182">
        <v>1106.1538461538432</v>
      </c>
      <c r="AM113" s="441">
        <f t="shared" si="60"/>
        <v>2</v>
      </c>
      <c r="AN113" s="600"/>
      <c r="AO113" s="182">
        <v>3</v>
      </c>
      <c r="AP113" s="182">
        <v>3367.9999999999941</v>
      </c>
      <c r="AQ113" s="182">
        <v>1122.6666666666647</v>
      </c>
      <c r="AR113" s="441">
        <f t="shared" si="62"/>
        <v>1</v>
      </c>
      <c r="AS113" s="600"/>
      <c r="AT113" s="182">
        <v>3</v>
      </c>
      <c r="AU113" s="182">
        <v>3052.9411764705706</v>
      </c>
      <c r="AV113" s="182">
        <v>1017.6470588235235</v>
      </c>
      <c r="AW113" s="441">
        <f t="shared" si="64"/>
        <v>5</v>
      </c>
      <c r="AX113" s="600"/>
      <c r="AZ113" s="526" t="e">
        <f t="shared" si="66"/>
        <v>#N/A</v>
      </c>
      <c r="BA113" s="600"/>
    </row>
    <row r="114" spans="2:53">
      <c r="B114" s="610"/>
      <c r="C114" s="305">
        <v>3</v>
      </c>
      <c r="D114" s="511" t="s">
        <v>348</v>
      </c>
      <c r="E114" s="511">
        <v>4</v>
      </c>
      <c r="F114" s="511">
        <v>3200</v>
      </c>
      <c r="G114" s="182">
        <v>800</v>
      </c>
      <c r="H114" s="600"/>
      <c r="I114" s="513">
        <f t="shared" si="68"/>
        <v>4</v>
      </c>
      <c r="J114" s="513">
        <f t="shared" si="69"/>
        <v>3235.2010163749314</v>
      </c>
      <c r="K114" s="200">
        <f t="shared" si="70"/>
        <v>808.80025409373286</v>
      </c>
      <c r="L114" s="621"/>
      <c r="M114" s="199">
        <f>RANK(K114, K$112:$K$141)</f>
        <v>12</v>
      </c>
      <c r="N114" s="604"/>
      <c r="O114" s="604"/>
      <c r="P114" s="182">
        <v>4</v>
      </c>
      <c r="Q114" s="182">
        <v>3232.8000000000116</v>
      </c>
      <c r="R114" s="182">
        <v>808.20000000000289</v>
      </c>
      <c r="S114" s="330">
        <f t="shared" si="71"/>
        <v>12</v>
      </c>
      <c r="T114" s="600"/>
      <c r="U114" s="182">
        <v>4</v>
      </c>
      <c r="V114" s="182">
        <v>3232.8000000000116</v>
      </c>
      <c r="W114" s="182">
        <v>808.20000000000289</v>
      </c>
      <c r="X114" s="441">
        <f t="shared" si="54"/>
        <v>12</v>
      </c>
      <c r="Y114" s="600"/>
      <c r="Z114" s="182">
        <v>4</v>
      </c>
      <c r="AA114" s="182">
        <v>3313.0434782608581</v>
      </c>
      <c r="AB114" s="182">
        <v>828.26086956521453</v>
      </c>
      <c r="AC114" s="441">
        <f t="shared" si="56"/>
        <v>12</v>
      </c>
      <c r="AD114" s="600"/>
      <c r="AE114" s="182">
        <v>4</v>
      </c>
      <c r="AF114" s="182">
        <v>3256.3636363636365</v>
      </c>
      <c r="AG114" s="182">
        <v>814.09090909090912</v>
      </c>
      <c r="AH114" s="441">
        <f t="shared" si="58"/>
        <v>13</v>
      </c>
      <c r="AI114" s="600"/>
      <c r="AJ114" s="182">
        <v>4</v>
      </c>
      <c r="AK114" s="182">
        <v>3264.0000000000114</v>
      </c>
      <c r="AL114" s="182">
        <v>816.00000000000284</v>
      </c>
      <c r="AM114" s="441">
        <f t="shared" si="60"/>
        <v>12</v>
      </c>
      <c r="AN114" s="600"/>
      <c r="AO114" s="182">
        <v>4</v>
      </c>
      <c r="AP114" s="182">
        <v>3225.0000000000009</v>
      </c>
      <c r="AQ114" s="182">
        <v>806.25000000000023</v>
      </c>
      <c r="AR114" s="441">
        <f t="shared" si="62"/>
        <v>13</v>
      </c>
      <c r="AS114" s="600"/>
      <c r="AT114" s="182">
        <v>4</v>
      </c>
      <c r="AU114" s="182">
        <v>3122.399999999991</v>
      </c>
      <c r="AV114" s="182">
        <v>780.59999999999775</v>
      </c>
      <c r="AW114" s="441">
        <f t="shared" si="64"/>
        <v>11</v>
      </c>
      <c r="AX114" s="600"/>
      <c r="AZ114" s="526" t="e">
        <f t="shared" si="66"/>
        <v>#N/A</v>
      </c>
      <c r="BA114" s="600"/>
    </row>
    <row r="115" spans="2:53">
      <c r="B115" s="610"/>
      <c r="C115" s="305">
        <v>4</v>
      </c>
      <c r="D115" s="511" t="s">
        <v>360</v>
      </c>
      <c r="E115" s="511">
        <v>3</v>
      </c>
      <c r="F115" s="511">
        <v>3200</v>
      </c>
      <c r="G115" s="182">
        <v>1066.6666666666667</v>
      </c>
      <c r="H115" s="600"/>
      <c r="I115" s="513">
        <f t="shared" si="68"/>
        <v>3</v>
      </c>
      <c r="J115" s="513">
        <f t="shared" si="69"/>
        <v>3223.8318322350992</v>
      </c>
      <c r="K115" s="200">
        <f t="shared" si="70"/>
        <v>1074.610610745033</v>
      </c>
      <c r="L115" s="621"/>
      <c r="M115" s="199">
        <f>RANK(K115, K$112:$K$141)</f>
        <v>5</v>
      </c>
      <c r="N115" s="604"/>
      <c r="O115" s="604"/>
      <c r="P115" s="182">
        <v>3</v>
      </c>
      <c r="Q115" s="182">
        <v>3248.666666666667</v>
      </c>
      <c r="R115" s="182">
        <v>1082.8888888888889</v>
      </c>
      <c r="S115" s="330">
        <f t="shared" si="71"/>
        <v>5</v>
      </c>
      <c r="T115" s="600"/>
      <c r="U115" s="182">
        <v>3</v>
      </c>
      <c r="V115" s="182">
        <v>3248.666666666667</v>
      </c>
      <c r="W115" s="182">
        <v>1082.8888888888889</v>
      </c>
      <c r="X115" s="441">
        <f t="shared" si="54"/>
        <v>5</v>
      </c>
      <c r="Y115" s="600"/>
      <c r="Z115" s="182">
        <v>3</v>
      </c>
      <c r="AA115" s="182">
        <v>3226.8292682926849</v>
      </c>
      <c r="AB115" s="182">
        <v>1075.6097560975616</v>
      </c>
      <c r="AC115" s="441">
        <f t="shared" si="56"/>
        <v>4</v>
      </c>
      <c r="AD115" s="600"/>
      <c r="AE115" s="182">
        <v>3</v>
      </c>
      <c r="AF115" s="182">
        <v>3208.0000000000014</v>
      </c>
      <c r="AG115" s="182">
        <v>1069.3333333333337</v>
      </c>
      <c r="AH115" s="441">
        <f t="shared" si="58"/>
        <v>6</v>
      </c>
      <c r="AI115" s="600"/>
      <c r="AJ115" s="182">
        <v>3</v>
      </c>
      <c r="AK115" s="182">
        <v>3202.1917808219155</v>
      </c>
      <c r="AL115" s="182">
        <v>1067.3972602739718</v>
      </c>
      <c r="AM115" s="441">
        <f t="shared" si="60"/>
        <v>6</v>
      </c>
      <c r="AN115" s="600"/>
      <c r="AO115" s="182">
        <v>3</v>
      </c>
      <c r="AP115" s="182">
        <v>3259.5652173913045</v>
      </c>
      <c r="AQ115" s="182">
        <v>1086.5217391304348</v>
      </c>
      <c r="AR115" s="441">
        <f t="shared" si="62"/>
        <v>3</v>
      </c>
      <c r="AS115" s="600"/>
      <c r="AT115" s="182">
        <v>3</v>
      </c>
      <c r="AU115" s="182">
        <v>3172.9032258064522</v>
      </c>
      <c r="AV115" s="182">
        <v>1057.6344086021506</v>
      </c>
      <c r="AW115" s="441">
        <f t="shared" si="64"/>
        <v>2</v>
      </c>
      <c r="AX115" s="600"/>
      <c r="AZ115" s="526" t="e">
        <f t="shared" si="66"/>
        <v>#N/A</v>
      </c>
      <c r="BA115" s="600"/>
    </row>
    <row r="116" spans="2:53">
      <c r="B116" s="610"/>
      <c r="C116" s="305">
        <v>5</v>
      </c>
      <c r="D116" s="511" t="s">
        <v>770</v>
      </c>
      <c r="E116" s="511">
        <v>4</v>
      </c>
      <c r="F116" s="511">
        <v>3200</v>
      </c>
      <c r="G116" s="182">
        <v>800</v>
      </c>
      <c r="H116" s="600"/>
      <c r="I116" s="513">
        <f t="shared" si="68"/>
        <v>4</v>
      </c>
      <c r="J116" s="513">
        <f t="shared" si="69"/>
        <v>3233.2604076113244</v>
      </c>
      <c r="K116" s="200">
        <f t="shared" si="70"/>
        <v>808.31510190283109</v>
      </c>
      <c r="L116" s="621"/>
      <c r="M116" s="199">
        <f>RANK(K116, K$112:$K$141)</f>
        <v>13</v>
      </c>
      <c r="N116" s="604"/>
      <c r="O116" s="604"/>
      <c r="P116" s="182">
        <v>4</v>
      </c>
      <c r="Q116" s="182">
        <v>3221.6666666666711</v>
      </c>
      <c r="R116" s="182">
        <v>805.41666666666777</v>
      </c>
      <c r="S116" s="330">
        <f t="shared" si="71"/>
        <v>14</v>
      </c>
      <c r="T116" s="600"/>
      <c r="U116" s="182">
        <v>4</v>
      </c>
      <c r="V116" s="182">
        <v>3221.6666666666711</v>
      </c>
      <c r="W116" s="182">
        <v>805.41666666666777</v>
      </c>
      <c r="X116" s="441">
        <f t="shared" si="54"/>
        <v>14</v>
      </c>
      <c r="Y116" s="600"/>
      <c r="Z116" s="182">
        <v>4</v>
      </c>
      <c r="AA116" s="182">
        <v>3245.2941176470631</v>
      </c>
      <c r="AB116" s="182">
        <v>811.32352941176578</v>
      </c>
      <c r="AC116" s="441">
        <f t="shared" si="56"/>
        <v>14</v>
      </c>
      <c r="AD116" s="600"/>
      <c r="AE116" s="182">
        <v>4</v>
      </c>
      <c r="AF116" s="182">
        <v>3295.8620689655199</v>
      </c>
      <c r="AG116" s="182">
        <v>823.96551724137998</v>
      </c>
      <c r="AH116" s="441">
        <f t="shared" si="58"/>
        <v>12</v>
      </c>
      <c r="AI116" s="600"/>
      <c r="AJ116" s="182">
        <v>4</v>
      </c>
      <c r="AK116" s="182">
        <v>3320.0000000000018</v>
      </c>
      <c r="AL116" s="182">
        <v>830.00000000000045</v>
      </c>
      <c r="AM116" s="441">
        <f t="shared" si="60"/>
        <v>10</v>
      </c>
      <c r="AN116" s="600"/>
      <c r="AO116" s="182">
        <v>4</v>
      </c>
      <c r="AP116" s="182">
        <v>3208.333333333338</v>
      </c>
      <c r="AQ116" s="182">
        <v>802.08333333333451</v>
      </c>
      <c r="AR116" s="441">
        <f t="shared" si="62"/>
        <v>14</v>
      </c>
      <c r="AS116" s="600"/>
      <c r="AT116" s="182">
        <v>4</v>
      </c>
      <c r="AU116" s="182">
        <v>3120.0000000000041</v>
      </c>
      <c r="AV116" s="182">
        <v>780.00000000000102</v>
      </c>
      <c r="AW116" s="441">
        <f t="shared" si="64"/>
        <v>12</v>
      </c>
      <c r="AX116" s="600"/>
      <c r="AZ116" s="526" t="e">
        <f t="shared" si="66"/>
        <v>#N/A</v>
      </c>
      <c r="BA116" s="600"/>
    </row>
    <row r="117" spans="2:53">
      <c r="B117" s="610"/>
      <c r="C117" s="305">
        <v>6</v>
      </c>
      <c r="D117" s="511" t="s">
        <v>771</v>
      </c>
      <c r="E117" s="511">
        <v>4</v>
      </c>
      <c r="F117" s="511">
        <v>3200</v>
      </c>
      <c r="G117" s="182">
        <v>800</v>
      </c>
      <c r="H117" s="600"/>
      <c r="I117" s="513">
        <f t="shared" si="68"/>
        <v>4</v>
      </c>
      <c r="J117" s="513">
        <f t="shared" si="69"/>
        <v>3295.8323080428349</v>
      </c>
      <c r="K117" s="200">
        <f t="shared" si="70"/>
        <v>823.95807701070873</v>
      </c>
      <c r="L117" s="621"/>
      <c r="M117" s="199">
        <f>RANK(K117, K$112:$K$141)</f>
        <v>10</v>
      </c>
      <c r="N117" s="604"/>
      <c r="O117" s="604"/>
      <c r="P117" s="182">
        <v>4</v>
      </c>
      <c r="Q117" s="182">
        <v>3315.0000000000118</v>
      </c>
      <c r="R117" s="182">
        <v>828.75000000000296</v>
      </c>
      <c r="S117" s="330">
        <f t="shared" si="71"/>
        <v>11</v>
      </c>
      <c r="T117" s="600"/>
      <c r="U117" s="182">
        <v>4</v>
      </c>
      <c r="V117" s="182">
        <v>3315.0000000000118</v>
      </c>
      <c r="W117" s="182">
        <v>828.75000000000296</v>
      </c>
      <c r="X117" s="441">
        <f t="shared" si="54"/>
        <v>11</v>
      </c>
      <c r="Y117" s="600"/>
      <c r="Z117" s="182">
        <v>4</v>
      </c>
      <c r="AA117" s="182">
        <v>3336.6666666666638</v>
      </c>
      <c r="AB117" s="182">
        <v>834.16666666666595</v>
      </c>
      <c r="AC117" s="441">
        <f t="shared" si="56"/>
        <v>11</v>
      </c>
      <c r="AD117" s="600"/>
      <c r="AE117" s="182">
        <v>4</v>
      </c>
      <c r="AF117" s="182">
        <v>3234.5454545454422</v>
      </c>
      <c r="AG117" s="182">
        <v>808.63636363636056</v>
      </c>
      <c r="AH117" s="441">
        <f t="shared" si="58"/>
        <v>14</v>
      </c>
      <c r="AI117" s="600"/>
      <c r="AJ117" s="182">
        <v>4</v>
      </c>
      <c r="AK117" s="182">
        <v>3304.0000000000118</v>
      </c>
      <c r="AL117" s="182">
        <v>826.00000000000296</v>
      </c>
      <c r="AM117" s="441">
        <f t="shared" si="60"/>
        <v>11</v>
      </c>
      <c r="AN117" s="600"/>
      <c r="AO117" s="182">
        <v>4</v>
      </c>
      <c r="AP117" s="182">
        <v>3366.6666666666638</v>
      </c>
      <c r="AQ117" s="182">
        <v>841.66666666666595</v>
      </c>
      <c r="AR117" s="441">
        <f t="shared" si="62"/>
        <v>10</v>
      </c>
      <c r="AS117" s="600"/>
      <c r="AT117" s="182">
        <v>4</v>
      </c>
      <c r="AU117" s="182">
        <v>3198.947368421037</v>
      </c>
      <c r="AV117" s="182">
        <v>799.73684210525926</v>
      </c>
      <c r="AW117" s="441">
        <f t="shared" si="64"/>
        <v>9</v>
      </c>
      <c r="AX117" s="600"/>
      <c r="AZ117" s="526" t="e">
        <f t="shared" si="66"/>
        <v>#N/A</v>
      </c>
      <c r="BA117" s="600"/>
    </row>
    <row r="118" spans="2:53">
      <c r="B118" s="610"/>
      <c r="C118" s="305">
        <v>7</v>
      </c>
      <c r="D118" s="511" t="s">
        <v>361</v>
      </c>
      <c r="E118" s="511">
        <v>4</v>
      </c>
      <c r="F118" s="511">
        <v>2800</v>
      </c>
      <c r="G118" s="182">
        <v>700</v>
      </c>
      <c r="H118" s="600"/>
      <c r="I118" s="513">
        <f t="shared" si="68"/>
        <v>4</v>
      </c>
      <c r="J118" s="513">
        <f t="shared" si="69"/>
        <v>3071.6267942583736</v>
      </c>
      <c r="K118" s="200">
        <f t="shared" si="70"/>
        <v>767.9066985645934</v>
      </c>
      <c r="L118" s="621"/>
      <c r="M118" s="199">
        <f>RANK(K118, K$112:$K$141)</f>
        <v>14</v>
      </c>
      <c r="N118" s="604"/>
      <c r="O118" s="604"/>
      <c r="P118" s="182">
        <v>4</v>
      </c>
      <c r="Q118" s="182">
        <v>3360.0000000000009</v>
      </c>
      <c r="R118" s="182">
        <v>840.00000000000023</v>
      </c>
      <c r="S118" s="330">
        <f t="shared" si="71"/>
        <v>10</v>
      </c>
      <c r="T118" s="600"/>
      <c r="U118" s="182">
        <v>4</v>
      </c>
      <c r="V118" s="182">
        <v>3360.0000000000009</v>
      </c>
      <c r="W118" s="182">
        <v>840.00000000000023</v>
      </c>
      <c r="X118" s="441">
        <f t="shared" si="54"/>
        <v>10</v>
      </c>
      <c r="Y118" s="600"/>
      <c r="Z118" s="182">
        <v>4</v>
      </c>
      <c r="AA118" s="182">
        <v>3452.727272727273</v>
      </c>
      <c r="AB118" s="182">
        <v>863.18181818181824</v>
      </c>
      <c r="AC118" s="441">
        <f t="shared" si="56"/>
        <v>10</v>
      </c>
      <c r="AD118" s="600"/>
      <c r="AE118" s="182">
        <v>4</v>
      </c>
      <c r="AF118" s="182">
        <v>3321.818181818182</v>
      </c>
      <c r="AG118" s="182">
        <v>830.4545454545455</v>
      </c>
      <c r="AH118" s="441">
        <f t="shared" si="58"/>
        <v>10</v>
      </c>
      <c r="AI118" s="600"/>
      <c r="AJ118" s="182">
        <v>4</v>
      </c>
      <c r="AK118" s="182">
        <v>1676.8421052631568</v>
      </c>
      <c r="AL118" s="182">
        <v>419.2105263157892</v>
      </c>
      <c r="AM118" s="441">
        <f t="shared" si="60"/>
        <v>20</v>
      </c>
      <c r="AN118" s="600"/>
      <c r="AO118" s="182">
        <v>4</v>
      </c>
      <c r="AP118" s="182">
        <v>3270.0000000000009</v>
      </c>
      <c r="AQ118" s="182">
        <v>817.50000000000023</v>
      </c>
      <c r="AR118" s="441">
        <f t="shared" si="62"/>
        <v>11</v>
      </c>
      <c r="AS118" s="600"/>
      <c r="AT118" s="182">
        <v>4</v>
      </c>
      <c r="AU118" s="182">
        <v>3060.0000000000018</v>
      </c>
      <c r="AV118" s="182">
        <v>765.00000000000045</v>
      </c>
      <c r="AW118" s="441">
        <f t="shared" si="64"/>
        <v>13</v>
      </c>
      <c r="AX118" s="600"/>
      <c r="AZ118" s="526" t="e">
        <f t="shared" si="66"/>
        <v>#N/A</v>
      </c>
      <c r="BA118" s="600"/>
    </row>
    <row r="119" spans="2:53">
      <c r="B119" s="610"/>
      <c r="C119" s="305">
        <v>8</v>
      </c>
      <c r="D119" s="511" t="s">
        <v>362</v>
      </c>
      <c r="E119" s="511">
        <v>3</v>
      </c>
      <c r="F119" s="511">
        <v>3200</v>
      </c>
      <c r="G119" s="182">
        <v>1066.6666666666667</v>
      </c>
      <c r="H119" s="600"/>
      <c r="I119" s="513">
        <f t="shared" si="68"/>
        <v>3</v>
      </c>
      <c r="J119" s="513">
        <f t="shared" si="69"/>
        <v>3224.1840775464821</v>
      </c>
      <c r="K119" s="200">
        <f t="shared" si="70"/>
        <v>1074.7280258488274</v>
      </c>
      <c r="L119" s="621"/>
      <c r="M119" s="199">
        <f>RANK(K119, K$112:$K$141)</f>
        <v>4</v>
      </c>
      <c r="N119" s="604"/>
      <c r="O119" s="604"/>
      <c r="P119" s="182">
        <v>3</v>
      </c>
      <c r="Q119" s="182">
        <v>3240.0000000000073</v>
      </c>
      <c r="R119" s="182">
        <v>1080.0000000000025</v>
      </c>
      <c r="S119" s="330">
        <f t="shared" si="71"/>
        <v>6</v>
      </c>
      <c r="T119" s="600"/>
      <c r="U119" s="182">
        <v>3</v>
      </c>
      <c r="V119" s="182">
        <v>3240.0000000000073</v>
      </c>
      <c r="W119" s="182">
        <v>1080.0000000000025</v>
      </c>
      <c r="X119" s="441">
        <f t="shared" si="54"/>
        <v>6</v>
      </c>
      <c r="Y119" s="600"/>
      <c r="Z119" s="182">
        <v>3</v>
      </c>
      <c r="AA119" s="182">
        <v>3215.1724137931014</v>
      </c>
      <c r="AB119" s="182">
        <v>1071.7241379310337</v>
      </c>
      <c r="AC119" s="441">
        <f t="shared" si="56"/>
        <v>6</v>
      </c>
      <c r="AD119" s="600"/>
      <c r="AE119" s="182">
        <v>3</v>
      </c>
      <c r="AF119" s="182">
        <v>3219.9999999999968</v>
      </c>
      <c r="AG119" s="182">
        <v>1073.3333333333323</v>
      </c>
      <c r="AH119" s="441">
        <f t="shared" si="58"/>
        <v>5</v>
      </c>
      <c r="AI119" s="600"/>
      <c r="AJ119" s="182">
        <v>3</v>
      </c>
      <c r="AK119" s="182">
        <v>3321.6000000000008</v>
      </c>
      <c r="AL119" s="182">
        <v>1107.2000000000003</v>
      </c>
      <c r="AM119" s="441">
        <f t="shared" si="60"/>
        <v>1</v>
      </c>
      <c r="AN119" s="600"/>
      <c r="AO119" s="182">
        <v>3</v>
      </c>
      <c r="AP119" s="182">
        <v>3228.0000000000073</v>
      </c>
      <c r="AQ119" s="182">
        <v>1076.0000000000025</v>
      </c>
      <c r="AR119" s="441">
        <f t="shared" si="62"/>
        <v>4</v>
      </c>
      <c r="AS119" s="600"/>
      <c r="AT119" s="182">
        <v>3</v>
      </c>
      <c r="AU119" s="182">
        <v>3104.516129032253</v>
      </c>
      <c r="AV119" s="182">
        <v>1034.8387096774177</v>
      </c>
      <c r="AW119" s="441">
        <f t="shared" si="64"/>
        <v>4</v>
      </c>
      <c r="AX119" s="600"/>
      <c r="AZ119" s="526" t="e">
        <f t="shared" si="66"/>
        <v>#N/A</v>
      </c>
      <c r="BA119" s="600"/>
    </row>
    <row r="120" spans="2:53">
      <c r="B120" s="610"/>
      <c r="C120" s="305">
        <v>9</v>
      </c>
      <c r="D120" s="511" t="s">
        <v>363</v>
      </c>
      <c r="E120" s="511">
        <v>3</v>
      </c>
      <c r="F120" s="511">
        <v>2800</v>
      </c>
      <c r="G120" s="182">
        <v>933.33333333333337</v>
      </c>
      <c r="H120" s="600"/>
      <c r="I120" s="513">
        <f t="shared" si="68"/>
        <v>3</v>
      </c>
      <c r="J120" s="513">
        <f t="shared" si="69"/>
        <v>3258.8276928326186</v>
      </c>
      <c r="K120" s="200">
        <f t="shared" si="70"/>
        <v>1086.2758976108728</v>
      </c>
      <c r="L120" s="621"/>
      <c r="M120" s="199">
        <f>RANK(K120, K$112:$K$141)</f>
        <v>2</v>
      </c>
      <c r="N120" s="604"/>
      <c r="O120" s="604"/>
      <c r="P120" s="182">
        <v>3</v>
      </c>
      <c r="Q120" s="182">
        <v>3289.7142857142862</v>
      </c>
      <c r="R120" s="182">
        <v>1096.5714285714287</v>
      </c>
      <c r="S120" s="330">
        <f t="shared" si="71"/>
        <v>2</v>
      </c>
      <c r="T120" s="600"/>
      <c r="U120" s="182">
        <v>3</v>
      </c>
      <c r="V120" s="182">
        <v>3289.7142857142862</v>
      </c>
      <c r="W120" s="182">
        <v>1096.5714285714287</v>
      </c>
      <c r="X120" s="441">
        <f t="shared" si="54"/>
        <v>2</v>
      </c>
      <c r="Y120" s="600"/>
      <c r="Z120" s="182">
        <v>3</v>
      </c>
      <c r="AA120" s="182">
        <v>3276.3636363636365</v>
      </c>
      <c r="AB120" s="182">
        <v>1092.1212121212122</v>
      </c>
      <c r="AC120" s="441">
        <f t="shared" si="56"/>
        <v>3</v>
      </c>
      <c r="AD120" s="600"/>
      <c r="AE120" s="182">
        <v>3</v>
      </c>
      <c r="AF120" s="182">
        <v>3388.9655172413773</v>
      </c>
      <c r="AG120" s="182">
        <v>1129.6551724137923</v>
      </c>
      <c r="AH120" s="441">
        <f t="shared" si="58"/>
        <v>1</v>
      </c>
      <c r="AI120" s="600"/>
      <c r="AJ120" s="182">
        <v>3</v>
      </c>
      <c r="AK120" s="182">
        <v>3229.6551724137912</v>
      </c>
      <c r="AL120" s="182">
        <v>1076.5517241379305</v>
      </c>
      <c r="AM120" s="441">
        <f t="shared" si="60"/>
        <v>4</v>
      </c>
      <c r="AN120" s="600"/>
      <c r="AO120" s="182">
        <v>3</v>
      </c>
      <c r="AP120" s="182">
        <v>3205.7142857142862</v>
      </c>
      <c r="AQ120" s="182">
        <v>1068.5714285714287</v>
      </c>
      <c r="AR120" s="441">
        <f t="shared" si="62"/>
        <v>6</v>
      </c>
      <c r="AS120" s="600"/>
      <c r="AT120" s="182">
        <v>3</v>
      </c>
      <c r="AU120" s="182">
        <v>3131.6666666666674</v>
      </c>
      <c r="AV120" s="182">
        <v>1043.8888888888891</v>
      </c>
      <c r="AW120" s="441">
        <f t="shared" si="64"/>
        <v>3</v>
      </c>
      <c r="AX120" s="600"/>
      <c r="AZ120" s="526" t="e">
        <f t="shared" si="66"/>
        <v>#N/A</v>
      </c>
      <c r="BA120" s="600"/>
    </row>
    <row r="121" spans="2:53">
      <c r="B121" s="610"/>
      <c r="C121" s="305">
        <v>10</v>
      </c>
      <c r="D121" s="511" t="s">
        <v>364</v>
      </c>
      <c r="E121" s="511">
        <v>4</v>
      </c>
      <c r="F121" s="511">
        <v>2800</v>
      </c>
      <c r="G121" s="182">
        <v>700</v>
      </c>
      <c r="H121" s="600"/>
      <c r="I121" s="513">
        <f t="shared" si="68"/>
        <v>4</v>
      </c>
      <c r="J121" s="513">
        <f t="shared" si="69"/>
        <v>3240.462836532181</v>
      </c>
      <c r="K121" s="200">
        <f t="shared" si="70"/>
        <v>810.11570913304524</v>
      </c>
      <c r="L121" s="621"/>
      <c r="M121" s="199">
        <f>RANK(K121, K$112:$K$141)</f>
        <v>11</v>
      </c>
      <c r="N121" s="604"/>
      <c r="O121" s="604"/>
      <c r="P121" s="182">
        <v>4</v>
      </c>
      <c r="Q121" s="182">
        <v>3224.7457627118629</v>
      </c>
      <c r="R121" s="182">
        <v>806.18644067796572</v>
      </c>
      <c r="S121" s="330">
        <f t="shared" si="71"/>
        <v>13</v>
      </c>
      <c r="T121" s="600"/>
      <c r="U121" s="182">
        <v>4</v>
      </c>
      <c r="V121" s="182">
        <v>3224.7457627118629</v>
      </c>
      <c r="W121" s="182">
        <v>806.18644067796572</v>
      </c>
      <c r="X121" s="441">
        <f t="shared" si="54"/>
        <v>13</v>
      </c>
      <c r="Y121" s="600"/>
      <c r="Z121" s="182">
        <v>4</v>
      </c>
      <c r="AA121" s="182">
        <v>3273.962264150945</v>
      </c>
      <c r="AB121" s="182">
        <v>818.49056603773624</v>
      </c>
      <c r="AC121" s="441">
        <f t="shared" si="56"/>
        <v>13</v>
      </c>
      <c r="AD121" s="600"/>
      <c r="AE121" s="182">
        <v>4</v>
      </c>
      <c r="AF121" s="182">
        <v>3299.9999999999955</v>
      </c>
      <c r="AG121" s="182">
        <v>824.99999999999886</v>
      </c>
      <c r="AH121" s="441">
        <f t="shared" si="58"/>
        <v>11</v>
      </c>
      <c r="AI121" s="600"/>
      <c r="AJ121" s="182">
        <v>4</v>
      </c>
      <c r="AK121" s="182">
        <v>3215.5102040816337</v>
      </c>
      <c r="AL121" s="182">
        <v>803.87755102040842</v>
      </c>
      <c r="AM121" s="441">
        <f t="shared" si="60"/>
        <v>13</v>
      </c>
      <c r="AN121" s="600"/>
      <c r="AO121" s="182">
        <v>4</v>
      </c>
      <c r="AP121" s="182">
        <v>3248.2758620689679</v>
      </c>
      <c r="AQ121" s="182">
        <v>812.06896551724196</v>
      </c>
      <c r="AR121" s="441">
        <f t="shared" si="62"/>
        <v>12</v>
      </c>
      <c r="AS121" s="600"/>
      <c r="AT121" s="182">
        <v>4</v>
      </c>
      <c r="AU121" s="182">
        <v>3195.9999999999986</v>
      </c>
      <c r="AV121" s="182">
        <v>798.99999999999966</v>
      </c>
      <c r="AW121" s="441">
        <f t="shared" si="64"/>
        <v>10</v>
      </c>
      <c r="AX121" s="600"/>
      <c r="AZ121" s="526" t="e">
        <f t="shared" si="66"/>
        <v>#N/A</v>
      </c>
      <c r="BA121" s="600"/>
    </row>
    <row r="122" spans="2:53">
      <c r="B122" s="610"/>
      <c r="C122" s="305">
        <v>11</v>
      </c>
      <c r="D122" s="511" t="s">
        <v>772</v>
      </c>
      <c r="E122" s="511">
        <v>4</v>
      </c>
      <c r="F122" s="511">
        <v>2800</v>
      </c>
      <c r="G122" s="182">
        <v>700</v>
      </c>
      <c r="H122" s="600"/>
      <c r="I122" s="513">
        <f t="shared" si="68"/>
        <v>4</v>
      </c>
      <c r="J122" s="513">
        <f t="shared" si="69"/>
        <v>2830.9852996494878</v>
      </c>
      <c r="K122" s="200">
        <f t="shared" si="70"/>
        <v>707.74632491237196</v>
      </c>
      <c r="L122" s="621"/>
      <c r="M122" s="199">
        <f>RANK(K122, K$112:$K$141)</f>
        <v>19</v>
      </c>
      <c r="N122" s="604"/>
      <c r="O122" s="604"/>
      <c r="P122" s="182">
        <v>4</v>
      </c>
      <c r="Q122" s="182">
        <v>2868.3582089552224</v>
      </c>
      <c r="R122" s="182">
        <v>717.0895522388056</v>
      </c>
      <c r="S122" s="330">
        <f t="shared" si="71"/>
        <v>19</v>
      </c>
      <c r="T122" s="600"/>
      <c r="U122" s="182">
        <v>4</v>
      </c>
      <c r="V122" s="182">
        <v>2868.3582089552224</v>
      </c>
      <c r="W122" s="182">
        <v>717.0895522388056</v>
      </c>
      <c r="X122" s="441">
        <f t="shared" si="54"/>
        <v>19</v>
      </c>
      <c r="Y122" s="600"/>
      <c r="Z122" s="182">
        <v>4</v>
      </c>
      <c r="AA122" s="182">
        <v>2848.5714285714294</v>
      </c>
      <c r="AB122" s="182">
        <v>712.14285714285734</v>
      </c>
      <c r="AC122" s="441">
        <f t="shared" si="56"/>
        <v>19</v>
      </c>
      <c r="AD122" s="600"/>
      <c r="AE122" s="182">
        <v>4</v>
      </c>
      <c r="AF122" s="182">
        <v>2816.9491525423714</v>
      </c>
      <c r="AG122" s="182">
        <v>704.23728813559285</v>
      </c>
      <c r="AH122" s="441">
        <f t="shared" si="58"/>
        <v>19</v>
      </c>
      <c r="AI122" s="600"/>
      <c r="AJ122" s="182">
        <v>4</v>
      </c>
      <c r="AK122" s="182">
        <v>2835.5172413793089</v>
      </c>
      <c r="AL122" s="182">
        <v>708.87931034482722</v>
      </c>
      <c r="AM122" s="441">
        <f t="shared" si="60"/>
        <v>18</v>
      </c>
      <c r="AN122" s="600"/>
      <c r="AO122" s="182">
        <v>4</v>
      </c>
      <c r="AP122" s="182">
        <v>2805.428571428572</v>
      </c>
      <c r="AQ122" s="182">
        <v>701.357142857143</v>
      </c>
      <c r="AR122" s="441">
        <f t="shared" si="62"/>
        <v>20</v>
      </c>
      <c r="AS122" s="600"/>
      <c r="AT122" s="182">
        <v>4</v>
      </c>
      <c r="AU122" s="182">
        <v>2773.7142857142862</v>
      </c>
      <c r="AV122" s="182">
        <v>693.42857142857156</v>
      </c>
      <c r="AW122" s="441">
        <f t="shared" si="64"/>
        <v>18</v>
      </c>
      <c r="AX122" s="600"/>
      <c r="AZ122" s="526" t="e">
        <f t="shared" si="66"/>
        <v>#N/A</v>
      </c>
      <c r="BA122" s="600"/>
    </row>
    <row r="123" spans="2:53">
      <c r="B123" s="610"/>
      <c r="C123" s="305">
        <v>12</v>
      </c>
      <c r="D123" s="511" t="s">
        <v>773</v>
      </c>
      <c r="E123" s="511">
        <v>4</v>
      </c>
      <c r="F123" s="511">
        <v>2800</v>
      </c>
      <c r="G123" s="182">
        <v>700</v>
      </c>
      <c r="H123" s="600"/>
      <c r="I123" s="513">
        <f t="shared" si="68"/>
        <v>4</v>
      </c>
      <c r="J123" s="513">
        <f t="shared" si="69"/>
        <v>2896.2857142857174</v>
      </c>
      <c r="K123" s="200">
        <f t="shared" si="70"/>
        <v>724.07142857142935</v>
      </c>
      <c r="L123" s="621"/>
      <c r="M123" s="199">
        <f>RANK(K123, K$112:$K$141)</f>
        <v>18</v>
      </c>
      <c r="N123" s="604"/>
      <c r="O123" s="604"/>
      <c r="P123" s="182">
        <v>4</v>
      </c>
      <c r="Q123" s="182">
        <v>2955.0000000000105</v>
      </c>
      <c r="R123" s="182">
        <v>738.75000000000261</v>
      </c>
      <c r="S123" s="330">
        <f t="shared" si="71"/>
        <v>17</v>
      </c>
      <c r="T123" s="600"/>
      <c r="U123" s="182">
        <v>4</v>
      </c>
      <c r="V123" s="182">
        <v>2955.0000000000105</v>
      </c>
      <c r="W123" s="182">
        <v>738.75000000000261</v>
      </c>
      <c r="X123" s="441">
        <f t="shared" si="54"/>
        <v>17</v>
      </c>
      <c r="Y123" s="600"/>
      <c r="Z123" s="182">
        <v>4</v>
      </c>
      <c r="AA123" s="182">
        <v>2769.0000000000095</v>
      </c>
      <c r="AB123" s="182">
        <v>692.25000000000239</v>
      </c>
      <c r="AC123" s="441">
        <f t="shared" si="56"/>
        <v>20</v>
      </c>
      <c r="AD123" s="600"/>
      <c r="AE123" s="182">
        <v>4</v>
      </c>
      <c r="AF123" s="182">
        <v>2772.00000000001</v>
      </c>
      <c r="AG123" s="182">
        <v>693.0000000000025</v>
      </c>
      <c r="AH123" s="441">
        <f t="shared" si="58"/>
        <v>20</v>
      </c>
      <c r="AI123" s="600"/>
      <c r="AJ123" s="182">
        <v>4</v>
      </c>
      <c r="AK123" s="182">
        <v>2859.00000000001</v>
      </c>
      <c r="AL123" s="182">
        <v>714.7500000000025</v>
      </c>
      <c r="AM123" s="441">
        <f t="shared" si="60"/>
        <v>17</v>
      </c>
      <c r="AN123" s="600"/>
      <c r="AO123" s="182">
        <v>4</v>
      </c>
      <c r="AP123" s="182">
        <v>2990.9999999999868</v>
      </c>
      <c r="AQ123" s="182">
        <v>747.7499999999967</v>
      </c>
      <c r="AR123" s="441">
        <f t="shared" si="62"/>
        <v>18</v>
      </c>
      <c r="AS123" s="600"/>
      <c r="AT123" s="182">
        <v>4</v>
      </c>
      <c r="AU123" s="182">
        <v>2972.9999999999868</v>
      </c>
      <c r="AV123" s="182">
        <v>743.2499999999967</v>
      </c>
      <c r="AW123" s="441">
        <f t="shared" si="64"/>
        <v>15</v>
      </c>
      <c r="AX123" s="600"/>
      <c r="AZ123" s="526" t="e">
        <f t="shared" si="66"/>
        <v>#N/A</v>
      </c>
      <c r="BA123" s="600"/>
    </row>
    <row r="124" spans="2:53">
      <c r="B124" s="610"/>
      <c r="C124" s="305">
        <v>13</v>
      </c>
      <c r="D124" s="511" t="s">
        <v>774</v>
      </c>
      <c r="E124" s="511">
        <v>3</v>
      </c>
      <c r="F124" s="511">
        <v>2800</v>
      </c>
      <c r="G124" s="182">
        <v>933.33333333333337</v>
      </c>
      <c r="H124" s="600"/>
      <c r="I124" s="513">
        <f t="shared" si="68"/>
        <v>3</v>
      </c>
      <c r="J124" s="513">
        <f t="shared" si="69"/>
        <v>3120.1714285714161</v>
      </c>
      <c r="K124" s="200">
        <f t="shared" si="70"/>
        <v>1040.0571428571388</v>
      </c>
      <c r="L124" s="621"/>
      <c r="M124" s="199">
        <f>RANK(K124, K$112:$K$141)</f>
        <v>6</v>
      </c>
      <c r="N124" s="604"/>
      <c r="O124" s="604"/>
      <c r="P124" s="182">
        <v>3</v>
      </c>
      <c r="Q124" s="182">
        <v>3398.999999999985</v>
      </c>
      <c r="R124" s="182">
        <v>1132.999999999995</v>
      </c>
      <c r="S124" s="330">
        <f t="shared" si="71"/>
        <v>1</v>
      </c>
      <c r="T124" s="600"/>
      <c r="U124" s="182">
        <v>3</v>
      </c>
      <c r="V124" s="182">
        <v>3398.999999999985</v>
      </c>
      <c r="W124" s="182">
        <v>1132.999999999995</v>
      </c>
      <c r="X124" s="441">
        <f t="shared" si="54"/>
        <v>1</v>
      </c>
      <c r="Y124" s="600"/>
      <c r="Z124" s="182">
        <v>3</v>
      </c>
      <c r="AA124" s="182">
        <v>3155.9999999999859</v>
      </c>
      <c r="AB124" s="182">
        <v>1051.9999999999952</v>
      </c>
      <c r="AC124" s="441">
        <f t="shared" si="56"/>
        <v>7</v>
      </c>
      <c r="AD124" s="600"/>
      <c r="AE124" s="182">
        <v>3</v>
      </c>
      <c r="AF124" s="182">
        <v>3206.9999999999854</v>
      </c>
      <c r="AG124" s="182">
        <v>1068.9999999999952</v>
      </c>
      <c r="AH124" s="441">
        <f t="shared" si="58"/>
        <v>7</v>
      </c>
      <c r="AI124" s="600"/>
      <c r="AJ124" s="182">
        <v>3</v>
      </c>
      <c r="AK124" s="182">
        <v>3164.9999999999859</v>
      </c>
      <c r="AL124" s="182">
        <v>1054.9999999999952</v>
      </c>
      <c r="AM124" s="441">
        <f t="shared" si="60"/>
        <v>7</v>
      </c>
      <c r="AN124" s="600"/>
      <c r="AO124" s="182">
        <v>3</v>
      </c>
      <c r="AP124" s="182">
        <v>2719.1999999999925</v>
      </c>
      <c r="AQ124" s="182">
        <v>906.39999999999748</v>
      </c>
      <c r="AR124" s="441">
        <f t="shared" si="62"/>
        <v>9</v>
      </c>
      <c r="AS124" s="600"/>
      <c r="AT124" s="182">
        <v>3</v>
      </c>
      <c r="AU124" s="182">
        <v>2795.9999999999918</v>
      </c>
      <c r="AV124" s="182">
        <v>931.99999999999727</v>
      </c>
      <c r="AW124" s="441">
        <f t="shared" si="64"/>
        <v>7</v>
      </c>
      <c r="AX124" s="600"/>
      <c r="AZ124" s="526" t="e">
        <f t="shared" si="66"/>
        <v>#N/A</v>
      </c>
      <c r="BA124" s="600"/>
    </row>
    <row r="125" spans="2:53">
      <c r="B125" s="610"/>
      <c r="C125" s="305">
        <v>14</v>
      </c>
      <c r="D125" s="511" t="s">
        <v>775</v>
      </c>
      <c r="E125" s="511">
        <v>4</v>
      </c>
      <c r="F125" s="511">
        <v>2200</v>
      </c>
      <c r="G125" s="182">
        <v>550</v>
      </c>
      <c r="H125" s="600"/>
      <c r="I125" s="513">
        <f t="shared" si="68"/>
        <v>3</v>
      </c>
      <c r="J125" s="513">
        <f t="shared" si="69"/>
        <v>2243.4761904761899</v>
      </c>
      <c r="K125" s="200">
        <f t="shared" si="70"/>
        <v>747.82539682539675</v>
      </c>
      <c r="L125" s="621"/>
      <c r="M125" s="199">
        <f>RANK(K125, K$112:$K$141)</f>
        <v>17</v>
      </c>
      <c r="N125" s="604"/>
      <c r="O125" s="604"/>
      <c r="P125" s="182">
        <v>3</v>
      </c>
      <c r="Q125" s="182">
        <v>2164</v>
      </c>
      <c r="R125" s="182">
        <v>721.33333333333337</v>
      </c>
      <c r="S125" s="330">
        <f t="shared" si="71"/>
        <v>18</v>
      </c>
      <c r="T125" s="600"/>
      <c r="U125" s="182">
        <v>3</v>
      </c>
      <c r="V125" s="182">
        <v>2164</v>
      </c>
      <c r="W125" s="182">
        <v>721.33333333333337</v>
      </c>
      <c r="X125" s="441">
        <f t="shared" si="54"/>
        <v>18</v>
      </c>
      <c r="Y125" s="600"/>
      <c r="Z125" s="182">
        <v>3</v>
      </c>
      <c r="AA125" s="182">
        <v>2251.4999999999991</v>
      </c>
      <c r="AB125" s="182">
        <v>750.49999999999966</v>
      </c>
      <c r="AC125" s="441">
        <f t="shared" si="56"/>
        <v>17</v>
      </c>
      <c r="AD125" s="600"/>
      <c r="AE125" s="182">
        <v>3</v>
      </c>
      <c r="AF125" s="182">
        <v>2252.9999999999995</v>
      </c>
      <c r="AG125" s="182">
        <v>750.99999999999989</v>
      </c>
      <c r="AH125" s="441">
        <f t="shared" si="58"/>
        <v>17</v>
      </c>
      <c r="AI125" s="600"/>
      <c r="AJ125" s="182">
        <v>3</v>
      </c>
      <c r="AK125" s="182">
        <v>2350.4999999999991</v>
      </c>
      <c r="AL125" s="182">
        <v>783.49999999999966</v>
      </c>
      <c r="AM125" s="441">
        <f t="shared" si="60"/>
        <v>14</v>
      </c>
      <c r="AN125" s="600"/>
      <c r="AO125" s="182">
        <v>3</v>
      </c>
      <c r="AP125" s="182">
        <v>2276</v>
      </c>
      <c r="AQ125" s="182">
        <v>758.66666666666663</v>
      </c>
      <c r="AR125" s="441">
        <f t="shared" si="62"/>
        <v>15</v>
      </c>
      <c r="AS125" s="600"/>
      <c r="AT125" s="182">
        <v>3</v>
      </c>
      <c r="AU125" s="182">
        <v>2245.3333333333335</v>
      </c>
      <c r="AV125" s="182">
        <v>748.44444444444446</v>
      </c>
      <c r="AW125" s="441">
        <f t="shared" si="64"/>
        <v>14</v>
      </c>
      <c r="AX125" s="600"/>
      <c r="AZ125" s="526" t="e">
        <f t="shared" si="66"/>
        <v>#N/A</v>
      </c>
      <c r="BA125" s="600"/>
    </row>
    <row r="126" spans="2:53">
      <c r="B126" s="610"/>
      <c r="C126" s="305">
        <v>15</v>
      </c>
      <c r="D126" s="511" t="s">
        <v>641</v>
      </c>
      <c r="E126" s="511">
        <v>8</v>
      </c>
      <c r="F126" s="511">
        <v>1500</v>
      </c>
      <c r="G126" s="182">
        <v>187.5</v>
      </c>
      <c r="H126" s="600"/>
      <c r="I126" s="513">
        <f t="shared" si="68"/>
        <v>10</v>
      </c>
      <c r="J126" s="513">
        <f t="shared" si="69"/>
        <v>1531.0675324675326</v>
      </c>
      <c r="K126" s="200">
        <f t="shared" si="70"/>
        <v>153.10675324675327</v>
      </c>
      <c r="L126" s="621"/>
      <c r="M126" s="199">
        <f>RANK(K126, K$112:$K$141)</f>
        <v>22</v>
      </c>
      <c r="N126" s="604"/>
      <c r="O126" s="604"/>
      <c r="P126" s="182">
        <v>10</v>
      </c>
      <c r="Q126" s="182">
        <v>1468.0000000000014</v>
      </c>
      <c r="R126" s="182">
        <v>146.80000000000013</v>
      </c>
      <c r="S126" s="330">
        <f t="shared" si="71"/>
        <v>22</v>
      </c>
      <c r="T126" s="600"/>
      <c r="U126" s="182">
        <v>10</v>
      </c>
      <c r="V126" s="182">
        <v>1468.0000000000014</v>
      </c>
      <c r="W126" s="182">
        <v>146.80000000000013</v>
      </c>
      <c r="X126" s="441">
        <f t="shared" si="54"/>
        <v>22</v>
      </c>
      <c r="Y126" s="600"/>
      <c r="Z126" s="182">
        <v>10</v>
      </c>
      <c r="AA126" s="182">
        <v>1531.6363636363646</v>
      </c>
      <c r="AB126" s="182">
        <v>153.16363636363647</v>
      </c>
      <c r="AC126" s="441">
        <f t="shared" si="56"/>
        <v>21</v>
      </c>
      <c r="AD126" s="600"/>
      <c r="AE126" s="182">
        <v>10</v>
      </c>
      <c r="AF126" s="182">
        <v>1570.8000000000004</v>
      </c>
      <c r="AG126" s="182">
        <v>157.08000000000004</v>
      </c>
      <c r="AH126" s="441">
        <f t="shared" si="58"/>
        <v>21</v>
      </c>
      <c r="AI126" s="600"/>
      <c r="AJ126" s="182">
        <v>10</v>
      </c>
      <c r="AK126" s="182">
        <v>1520.4000000000003</v>
      </c>
      <c r="AL126" s="182">
        <v>152.04000000000002</v>
      </c>
      <c r="AM126" s="441">
        <f t="shared" si="60"/>
        <v>21</v>
      </c>
      <c r="AN126" s="600"/>
      <c r="AO126" s="182">
        <v>10</v>
      </c>
      <c r="AP126" s="182">
        <v>1627.6363636363649</v>
      </c>
      <c r="AQ126" s="182">
        <v>162.76363636363649</v>
      </c>
      <c r="AR126" s="441">
        <f t="shared" si="62"/>
        <v>21</v>
      </c>
      <c r="AS126" s="600"/>
      <c r="AT126" s="182">
        <v>10</v>
      </c>
      <c r="AU126" s="182">
        <v>1530.9999999999973</v>
      </c>
      <c r="AV126" s="182">
        <v>153.09999999999974</v>
      </c>
      <c r="AW126" s="441">
        <f t="shared" si="64"/>
        <v>21</v>
      </c>
      <c r="AX126" s="600"/>
      <c r="AZ126" s="526" t="e">
        <f t="shared" si="66"/>
        <v>#N/A</v>
      </c>
      <c r="BA126" s="600"/>
    </row>
    <row r="127" spans="2:53">
      <c r="B127" s="610"/>
      <c r="C127" s="305">
        <v>16</v>
      </c>
      <c r="D127" s="511" t="s">
        <v>677</v>
      </c>
      <c r="E127" s="511">
        <v>4</v>
      </c>
      <c r="F127" s="511">
        <v>2200</v>
      </c>
      <c r="G127" s="182">
        <v>550</v>
      </c>
      <c r="H127" s="600"/>
      <c r="I127" s="513">
        <f t="shared" si="68"/>
        <v>4</v>
      </c>
      <c r="J127" s="513">
        <f t="shared" si="69"/>
        <v>2148.0000000000073</v>
      </c>
      <c r="K127" s="200">
        <f t="shared" si="70"/>
        <v>537.00000000000182</v>
      </c>
      <c r="L127" s="621"/>
      <c r="M127" s="199">
        <f>RANK(K127, K$112:$K$141)</f>
        <v>21</v>
      </c>
      <c r="N127" s="604"/>
      <c r="O127" s="604"/>
      <c r="P127" s="182">
        <v>4</v>
      </c>
      <c r="Q127" s="182">
        <v>2148.0000000000073</v>
      </c>
      <c r="R127" s="182">
        <v>537.00000000000182</v>
      </c>
      <c r="S127" s="330">
        <f t="shared" si="71"/>
        <v>21</v>
      </c>
      <c r="T127" s="600"/>
      <c r="U127" s="182">
        <v>4</v>
      </c>
      <c r="V127" s="182">
        <v>2148.0000000000073</v>
      </c>
      <c r="W127" s="182">
        <v>537.00000000000182</v>
      </c>
      <c r="X127" s="441">
        <f t="shared" si="54"/>
        <v>21</v>
      </c>
      <c r="Y127" s="600"/>
      <c r="Z127" s="182" t="s">
        <v>822</v>
      </c>
      <c r="AA127" s="182" t="s">
        <v>822</v>
      </c>
      <c r="AB127" s="182" t="s">
        <v>822</v>
      </c>
      <c r="AC127" s="441" t="e">
        <f t="shared" si="56"/>
        <v>#VALUE!</v>
      </c>
      <c r="AD127" s="600"/>
      <c r="AE127" s="182" t="s">
        <v>822</v>
      </c>
      <c r="AF127" s="182" t="s">
        <v>822</v>
      </c>
      <c r="AG127" s="182" t="s">
        <v>822</v>
      </c>
      <c r="AH127" s="441" t="e">
        <f t="shared" si="58"/>
        <v>#VALUE!</v>
      </c>
      <c r="AI127" s="600"/>
      <c r="AJ127" s="182" t="s">
        <v>822</v>
      </c>
      <c r="AK127" s="182" t="s">
        <v>822</v>
      </c>
      <c r="AL127" s="182" t="s">
        <v>822</v>
      </c>
      <c r="AM127" s="441" t="e">
        <f t="shared" si="60"/>
        <v>#VALUE!</v>
      </c>
      <c r="AN127" s="600"/>
      <c r="AO127" s="182" t="s">
        <v>822</v>
      </c>
      <c r="AP127" s="182" t="s">
        <v>822</v>
      </c>
      <c r="AQ127" s="182" t="s">
        <v>822</v>
      </c>
      <c r="AR127" s="441" t="e">
        <f t="shared" si="62"/>
        <v>#VALUE!</v>
      </c>
      <c r="AS127" s="600"/>
      <c r="AT127" s="182" t="s">
        <v>822</v>
      </c>
      <c r="AU127" s="182" t="s">
        <v>822</v>
      </c>
      <c r="AV127" s="182" t="s">
        <v>822</v>
      </c>
      <c r="AW127" s="441" t="e">
        <f t="shared" si="64"/>
        <v>#VALUE!</v>
      </c>
      <c r="AX127" s="600"/>
      <c r="AZ127" s="526" t="e">
        <f t="shared" si="66"/>
        <v>#N/A</v>
      </c>
      <c r="BA127" s="600"/>
    </row>
    <row r="128" spans="2:53">
      <c r="B128" s="610"/>
      <c r="C128" s="305">
        <v>17</v>
      </c>
      <c r="D128" s="511" t="s">
        <v>776</v>
      </c>
      <c r="E128" s="511">
        <v>3</v>
      </c>
      <c r="F128" s="511">
        <v>2800</v>
      </c>
      <c r="G128" s="182">
        <v>933.33333333333337</v>
      </c>
      <c r="H128" s="600"/>
      <c r="I128" s="513">
        <f t="shared" si="68"/>
        <v>3</v>
      </c>
      <c r="J128" s="513">
        <f t="shared" si="69"/>
        <v>2848.8907188803273</v>
      </c>
      <c r="K128" s="200">
        <f t="shared" si="70"/>
        <v>949.63023962677573</v>
      </c>
      <c r="L128" s="621"/>
      <c r="M128" s="199">
        <f>RANK(K128, K$112:$K$141)</f>
        <v>9</v>
      </c>
      <c r="N128" s="604"/>
      <c r="O128" s="604"/>
      <c r="P128" s="182">
        <v>3</v>
      </c>
      <c r="Q128" s="182">
        <v>2857.0212765957449</v>
      </c>
      <c r="R128" s="182">
        <v>952.340425531915</v>
      </c>
      <c r="S128" s="330">
        <f t="shared" si="71"/>
        <v>9</v>
      </c>
      <c r="T128" s="600"/>
      <c r="U128" s="182">
        <v>3</v>
      </c>
      <c r="V128" s="182">
        <v>2857.0212765957449</v>
      </c>
      <c r="W128" s="182">
        <v>952.340425531915</v>
      </c>
      <c r="X128" s="441">
        <f t="shared" ref="X128:X141" si="72">RANK(W128, W$112:W$141)</f>
        <v>9</v>
      </c>
      <c r="Y128" s="600"/>
      <c r="Z128" s="182">
        <v>3</v>
      </c>
      <c r="AA128" s="182">
        <v>2906.5116279069762</v>
      </c>
      <c r="AB128" s="182">
        <v>968.83720930232539</v>
      </c>
      <c r="AC128" s="441">
        <f t="shared" ref="AC128:AC141" si="73">RANK(AB128, AB$112:AB$141)</f>
        <v>9</v>
      </c>
      <c r="AD128" s="600"/>
      <c r="AE128" s="182">
        <v>3</v>
      </c>
      <c r="AF128" s="182">
        <v>2891.9999999999991</v>
      </c>
      <c r="AG128" s="182">
        <v>963.99999999999966</v>
      </c>
      <c r="AH128" s="441">
        <f t="shared" ref="AH128:AH141" si="74">RANK(AG128, AG$112:AG$141)</f>
        <v>8</v>
      </c>
      <c r="AI128" s="600"/>
      <c r="AJ128" s="182">
        <v>3</v>
      </c>
      <c r="AK128" s="182">
        <v>2804.9999999999991</v>
      </c>
      <c r="AL128" s="182">
        <v>934.99999999999966</v>
      </c>
      <c r="AM128" s="441">
        <f t="shared" ref="AM128:AM141" si="75">RANK(AL128, AL$112:AL$141)</f>
        <v>9</v>
      </c>
      <c r="AN128" s="600"/>
      <c r="AO128" s="182">
        <v>3</v>
      </c>
      <c r="AP128" s="182">
        <v>2835.3191489361707</v>
      </c>
      <c r="AQ128" s="182">
        <v>945.10638297872356</v>
      </c>
      <c r="AR128" s="441">
        <f t="shared" ref="AR128:AR141" si="76">RANK(AQ128, AQ$112:AQ$141)</f>
        <v>8</v>
      </c>
      <c r="AS128" s="600"/>
      <c r="AT128" s="182">
        <v>3</v>
      </c>
      <c r="AU128" s="182">
        <v>2789.3617021276555</v>
      </c>
      <c r="AV128" s="182">
        <v>929.78723404255186</v>
      </c>
      <c r="AW128" s="441">
        <f t="shared" ref="AW128:AW141" si="77">RANK(AV128, AV$112:AV$141)</f>
        <v>8</v>
      </c>
      <c r="AX128" s="600"/>
      <c r="AZ128" s="526" t="e">
        <f t="shared" si="66"/>
        <v>#N/A</v>
      </c>
      <c r="BA128" s="600"/>
    </row>
    <row r="129" spans="2:53">
      <c r="B129" s="610"/>
      <c r="C129" s="305">
        <v>18</v>
      </c>
      <c r="D129" s="511" t="s">
        <v>778</v>
      </c>
      <c r="E129" s="511">
        <v>4</v>
      </c>
      <c r="F129" s="511">
        <v>2800</v>
      </c>
      <c r="G129" s="182">
        <v>700</v>
      </c>
      <c r="H129" s="600"/>
      <c r="I129" s="513">
        <f t="shared" si="68"/>
        <v>4</v>
      </c>
      <c r="J129" s="513">
        <f t="shared" si="69"/>
        <v>2824.0032352385288</v>
      </c>
      <c r="K129" s="200">
        <f t="shared" si="70"/>
        <v>706.00080880963219</v>
      </c>
      <c r="L129" s="621"/>
      <c r="M129" s="199">
        <f>RANK(K129, K$112:$K$141)</f>
        <v>20</v>
      </c>
      <c r="N129" s="604"/>
      <c r="O129" s="604"/>
      <c r="P129" s="182">
        <v>4</v>
      </c>
      <c r="Q129" s="182">
        <v>2804.9999999999991</v>
      </c>
      <c r="R129" s="182">
        <v>701.24999999999977</v>
      </c>
      <c r="S129" s="330">
        <f t="shared" si="71"/>
        <v>20</v>
      </c>
      <c r="T129" s="600"/>
      <c r="U129" s="182">
        <v>4</v>
      </c>
      <c r="V129" s="182">
        <v>2804.9999999999991</v>
      </c>
      <c r="W129" s="182">
        <v>701.24999999999977</v>
      </c>
      <c r="X129" s="441">
        <f t="shared" si="72"/>
        <v>20</v>
      </c>
      <c r="Y129" s="600"/>
      <c r="Z129" s="182">
        <v>4</v>
      </c>
      <c r="AA129" s="182">
        <v>2860.5405405405413</v>
      </c>
      <c r="AB129" s="182">
        <v>715.13513513513533</v>
      </c>
      <c r="AC129" s="441">
        <f t="shared" si="73"/>
        <v>18</v>
      </c>
      <c r="AD129" s="600"/>
      <c r="AE129" s="182">
        <v>4</v>
      </c>
      <c r="AF129" s="182">
        <v>2844.7058823529374</v>
      </c>
      <c r="AG129" s="182">
        <v>711.17647058823434</v>
      </c>
      <c r="AH129" s="441">
        <f t="shared" si="74"/>
        <v>18</v>
      </c>
      <c r="AI129" s="600"/>
      <c r="AJ129" s="182">
        <v>4</v>
      </c>
      <c r="AK129" s="182">
        <v>2814.5454545454572</v>
      </c>
      <c r="AL129" s="182">
        <v>703.63636363636431</v>
      </c>
      <c r="AM129" s="441">
        <f t="shared" si="75"/>
        <v>19</v>
      </c>
      <c r="AN129" s="600"/>
      <c r="AO129" s="182">
        <v>4</v>
      </c>
      <c r="AP129" s="182">
        <v>2869.2307692307677</v>
      </c>
      <c r="AQ129" s="182">
        <v>717.30769230769192</v>
      </c>
      <c r="AR129" s="441">
        <f t="shared" si="76"/>
        <v>19</v>
      </c>
      <c r="AS129" s="600"/>
      <c r="AT129" s="182">
        <v>4</v>
      </c>
      <c r="AU129" s="182">
        <v>2768.9999999999991</v>
      </c>
      <c r="AV129" s="182">
        <v>692.24999999999977</v>
      </c>
      <c r="AW129" s="441">
        <f t="shared" si="77"/>
        <v>19</v>
      </c>
      <c r="AX129" s="600"/>
      <c r="AZ129" s="526" t="e">
        <f t="shared" si="66"/>
        <v>#N/A</v>
      </c>
      <c r="BA129" s="600"/>
    </row>
    <row r="130" spans="2:53">
      <c r="B130" s="610"/>
      <c r="C130" s="305">
        <v>19</v>
      </c>
      <c r="D130" s="511" t="s">
        <v>799</v>
      </c>
      <c r="E130" s="511">
        <v>12</v>
      </c>
      <c r="F130" s="511">
        <v>1500</v>
      </c>
      <c r="G130" s="182">
        <v>125</v>
      </c>
      <c r="H130" s="600"/>
      <c r="I130" s="513">
        <f t="shared" si="68"/>
        <v>12</v>
      </c>
      <c r="J130" s="513">
        <f t="shared" si="69"/>
        <v>1207.0748299319771</v>
      </c>
      <c r="K130" s="200">
        <f t="shared" si="70"/>
        <v>100.58956916099808</v>
      </c>
      <c r="L130" s="621"/>
      <c r="M130" s="199">
        <f>RANK(K130, K$112:$K$141)</f>
        <v>24</v>
      </c>
      <c r="N130" s="604"/>
      <c r="O130" s="604"/>
      <c r="P130" s="182">
        <v>12</v>
      </c>
      <c r="Q130" s="182">
        <v>1213.3333333333376</v>
      </c>
      <c r="R130" s="182">
        <v>101.11111111111147</v>
      </c>
      <c r="S130" s="330">
        <f t="shared" si="71"/>
        <v>24</v>
      </c>
      <c r="T130" s="600"/>
      <c r="U130" s="182">
        <v>12</v>
      </c>
      <c r="V130" s="182">
        <v>1213.3333333333376</v>
      </c>
      <c r="W130" s="182">
        <v>101.11111111111147</v>
      </c>
      <c r="X130" s="441">
        <f t="shared" si="72"/>
        <v>24</v>
      </c>
      <c r="Y130" s="600"/>
      <c r="Z130" s="182">
        <v>12</v>
      </c>
      <c r="AA130" s="182">
        <v>1114.2857142857183</v>
      </c>
      <c r="AB130" s="182">
        <v>92.857142857143188</v>
      </c>
      <c r="AC130" s="441">
        <f t="shared" si="73"/>
        <v>23</v>
      </c>
      <c r="AD130" s="600"/>
      <c r="AE130" s="182">
        <v>12</v>
      </c>
      <c r="AF130" s="182">
        <v>1240.0000000000043</v>
      </c>
      <c r="AG130" s="182">
        <v>103.3333333333337</v>
      </c>
      <c r="AH130" s="441">
        <f t="shared" si="74"/>
        <v>23</v>
      </c>
      <c r="AI130" s="600"/>
      <c r="AJ130" s="182">
        <v>12</v>
      </c>
      <c r="AK130" s="182">
        <v>1105.7142857142896</v>
      </c>
      <c r="AL130" s="182">
        <v>92.142857142857466</v>
      </c>
      <c r="AM130" s="441">
        <f t="shared" si="75"/>
        <v>23</v>
      </c>
      <c r="AN130" s="600"/>
      <c r="AO130" s="182">
        <v>12</v>
      </c>
      <c r="AP130" s="182">
        <v>1354.285714285719</v>
      </c>
      <c r="AQ130" s="182">
        <v>112.85714285714324</v>
      </c>
      <c r="AR130" s="441">
        <f t="shared" si="76"/>
        <v>22</v>
      </c>
      <c r="AS130" s="600"/>
      <c r="AT130" s="182">
        <v>12</v>
      </c>
      <c r="AU130" s="182">
        <v>1208.5714285714328</v>
      </c>
      <c r="AV130" s="182">
        <v>100.71428571428606</v>
      </c>
      <c r="AW130" s="441">
        <f t="shared" si="77"/>
        <v>23</v>
      </c>
      <c r="AX130" s="600"/>
      <c r="AZ130" s="526" t="e">
        <f t="shared" si="66"/>
        <v>#N/A</v>
      </c>
      <c r="BA130" s="600"/>
    </row>
    <row r="131" spans="2:53">
      <c r="B131" s="610"/>
      <c r="C131" s="305">
        <v>20</v>
      </c>
      <c r="D131" s="511" t="s">
        <v>811</v>
      </c>
      <c r="E131" s="511">
        <v>12</v>
      </c>
      <c r="F131" s="511">
        <v>1500</v>
      </c>
      <c r="G131" s="182">
        <v>125</v>
      </c>
      <c r="H131" s="600"/>
      <c r="I131" s="513">
        <f t="shared" si="68"/>
        <v>12</v>
      </c>
      <c r="J131" s="513">
        <f t="shared" si="69"/>
        <v>1376.3402254744894</v>
      </c>
      <c r="K131" s="200">
        <f t="shared" si="70"/>
        <v>114.69501878954081</v>
      </c>
      <c r="L131" s="621"/>
      <c r="M131" s="199">
        <f>RANK(K131, K$112:$K$141)</f>
        <v>23</v>
      </c>
      <c r="N131" s="604"/>
      <c r="O131" s="604"/>
      <c r="P131" s="182">
        <v>12</v>
      </c>
      <c r="Q131" s="182">
        <v>1479.1836734693882</v>
      </c>
      <c r="R131" s="182">
        <v>123.26530612244902</v>
      </c>
      <c r="S131" s="330">
        <f t="shared" si="71"/>
        <v>23</v>
      </c>
      <c r="T131" s="600"/>
      <c r="U131" s="182">
        <v>12</v>
      </c>
      <c r="V131" s="182">
        <v>1479.1836734693882</v>
      </c>
      <c r="W131" s="182">
        <v>123.26530612244902</v>
      </c>
      <c r="X131" s="441">
        <f t="shared" si="72"/>
        <v>23</v>
      </c>
      <c r="Y131" s="600"/>
      <c r="Z131" s="182">
        <v>12</v>
      </c>
      <c r="AA131" s="182">
        <v>1330.909090909091</v>
      </c>
      <c r="AB131" s="182">
        <v>110.90909090909092</v>
      </c>
      <c r="AC131" s="441">
        <f t="shared" si="73"/>
        <v>22</v>
      </c>
      <c r="AD131" s="600"/>
      <c r="AE131" s="182">
        <v>12</v>
      </c>
      <c r="AF131" s="182">
        <v>1384.7368421052622</v>
      </c>
      <c r="AG131" s="182">
        <v>115.39473684210519</v>
      </c>
      <c r="AH131" s="441">
        <f t="shared" si="74"/>
        <v>22</v>
      </c>
      <c r="AI131" s="600"/>
      <c r="AJ131" s="182">
        <v>12</v>
      </c>
      <c r="AK131" s="182">
        <v>1332.3076923076917</v>
      </c>
      <c r="AL131" s="182">
        <v>111.02564102564098</v>
      </c>
      <c r="AM131" s="441">
        <f t="shared" si="75"/>
        <v>22</v>
      </c>
      <c r="AN131" s="600"/>
      <c r="AO131" s="182">
        <v>12</v>
      </c>
      <c r="AP131" s="182">
        <v>1305.3333333333335</v>
      </c>
      <c r="AQ131" s="182">
        <v>108.77777777777779</v>
      </c>
      <c r="AR131" s="441">
        <f t="shared" si="76"/>
        <v>23</v>
      </c>
      <c r="AS131" s="600"/>
      <c r="AT131" s="182">
        <v>12</v>
      </c>
      <c r="AU131" s="182">
        <v>1322.7272727272727</v>
      </c>
      <c r="AV131" s="182">
        <v>110.22727272727273</v>
      </c>
      <c r="AW131" s="441">
        <f t="shared" si="77"/>
        <v>22</v>
      </c>
      <c r="AX131" s="600"/>
      <c r="AZ131" s="526" t="e">
        <f t="shared" si="66"/>
        <v>#N/A</v>
      </c>
      <c r="BA131" s="600"/>
    </row>
    <row r="132" spans="2:53">
      <c r="B132" s="610"/>
      <c r="C132" s="305">
        <v>21</v>
      </c>
      <c r="D132" s="516" t="s">
        <v>825</v>
      </c>
      <c r="E132" s="511">
        <v>3</v>
      </c>
      <c r="F132" s="511">
        <v>3000</v>
      </c>
      <c r="G132" s="182">
        <v>933.33333333333337</v>
      </c>
      <c r="H132" s="600"/>
      <c r="I132" s="513">
        <f t="shared" si="68"/>
        <v>3</v>
      </c>
      <c r="J132" s="513">
        <f t="shared" si="69"/>
        <v>2949.3673469387736</v>
      </c>
      <c r="K132" s="200">
        <f t="shared" si="70"/>
        <v>983.12244897959135</v>
      </c>
      <c r="L132" s="621"/>
      <c r="M132" s="199">
        <f>RANK(K132, K$112:$K$141)</f>
        <v>8</v>
      </c>
      <c r="N132" s="604"/>
      <c r="O132" s="604"/>
      <c r="P132" s="182">
        <v>3</v>
      </c>
      <c r="Q132" s="182">
        <v>2980.4999999999991</v>
      </c>
      <c r="R132" s="182">
        <v>993.49999999999966</v>
      </c>
      <c r="S132" s="330">
        <f t="shared" si="71"/>
        <v>8</v>
      </c>
      <c r="T132" s="600"/>
      <c r="U132" s="182">
        <v>3</v>
      </c>
      <c r="V132" s="182">
        <v>2980.4999999999991</v>
      </c>
      <c r="W132" s="182">
        <v>993.49999999999966</v>
      </c>
      <c r="X132" s="441">
        <f t="shared" si="72"/>
        <v>8</v>
      </c>
      <c r="Y132" s="600"/>
      <c r="Z132" s="182">
        <v>3</v>
      </c>
      <c r="AA132" s="182">
        <v>3054.8571428571395</v>
      </c>
      <c r="AB132" s="182">
        <v>1018.2857142857132</v>
      </c>
      <c r="AC132" s="441">
        <f t="shared" si="73"/>
        <v>8</v>
      </c>
      <c r="AD132" s="600"/>
      <c r="AE132" s="182">
        <v>3</v>
      </c>
      <c r="AF132" s="182">
        <v>2785.7142857142831</v>
      </c>
      <c r="AG132" s="182">
        <v>928.57142857142765</v>
      </c>
      <c r="AH132" s="441">
        <f t="shared" si="74"/>
        <v>9</v>
      </c>
      <c r="AI132" s="600"/>
      <c r="AJ132" s="182">
        <v>3</v>
      </c>
      <c r="AK132" s="182">
        <v>2975.9999999999973</v>
      </c>
      <c r="AL132" s="182">
        <v>991.99999999999909</v>
      </c>
      <c r="AM132" s="441">
        <f t="shared" si="75"/>
        <v>8</v>
      </c>
      <c r="AN132" s="600"/>
      <c r="AO132" s="182">
        <v>3</v>
      </c>
      <c r="AP132" s="182">
        <v>2905.4999999999991</v>
      </c>
      <c r="AQ132" s="182">
        <v>968.49999999999966</v>
      </c>
      <c r="AR132" s="441">
        <f t="shared" si="76"/>
        <v>7</v>
      </c>
      <c r="AS132" s="600"/>
      <c r="AT132" s="182">
        <v>3</v>
      </c>
      <c r="AU132" s="182">
        <v>2962.4999999999991</v>
      </c>
      <c r="AV132" s="182">
        <v>987.49999999999966</v>
      </c>
      <c r="AW132" s="441">
        <f t="shared" si="77"/>
        <v>6</v>
      </c>
      <c r="AX132" s="600"/>
      <c r="AZ132" s="526" t="e">
        <f t="shared" si="66"/>
        <v>#N/A</v>
      </c>
      <c r="BA132" s="600"/>
    </row>
    <row r="133" spans="2:53">
      <c r="B133" s="610"/>
      <c r="C133" s="305">
        <v>22</v>
      </c>
      <c r="D133" s="511" t="s">
        <v>836</v>
      </c>
      <c r="E133" s="511">
        <v>4</v>
      </c>
      <c r="F133" s="511">
        <v>3200</v>
      </c>
      <c r="G133" s="511">
        <v>800</v>
      </c>
      <c r="H133" s="600"/>
      <c r="I133" s="513">
        <f t="shared" si="68"/>
        <v>4</v>
      </c>
      <c r="J133" s="513">
        <f t="shared" si="69"/>
        <v>3017.7660513347291</v>
      </c>
      <c r="K133" s="200">
        <f t="shared" si="70"/>
        <v>754.44151283368228</v>
      </c>
      <c r="L133" s="621"/>
      <c r="M133" s="199">
        <f>RANK(K133, K$112:$K$141)</f>
        <v>15</v>
      </c>
      <c r="N133" s="604"/>
      <c r="O133" s="604"/>
      <c r="P133" s="182">
        <v>4</v>
      </c>
      <c r="Q133" s="182">
        <v>3014.4303797468338</v>
      </c>
      <c r="R133" s="182">
        <v>753.60759493670844</v>
      </c>
      <c r="S133" s="330">
        <f t="shared" si="71"/>
        <v>16</v>
      </c>
      <c r="T133" s="600"/>
      <c r="U133" s="182">
        <v>4</v>
      </c>
      <c r="V133" s="182">
        <v>3014.4303797468338</v>
      </c>
      <c r="W133" s="182">
        <v>753.60759493670844</v>
      </c>
      <c r="X133" s="441">
        <f t="shared" si="72"/>
        <v>16</v>
      </c>
      <c r="Y133" s="600"/>
      <c r="Z133" s="182">
        <v>4</v>
      </c>
      <c r="AA133" s="182">
        <v>3073.3333333333339</v>
      </c>
      <c r="AB133" s="182">
        <v>768.33333333333348</v>
      </c>
      <c r="AC133" s="441">
        <f t="shared" si="73"/>
        <v>15</v>
      </c>
      <c r="AD133" s="600"/>
      <c r="AE133" s="182">
        <v>4</v>
      </c>
      <c r="AF133" s="182">
        <v>3032.7272727272757</v>
      </c>
      <c r="AG133" s="182">
        <v>758.18181818181893</v>
      </c>
      <c r="AH133" s="441">
        <f t="shared" si="74"/>
        <v>15</v>
      </c>
      <c r="AI133" s="600"/>
      <c r="AJ133" s="182">
        <v>4</v>
      </c>
      <c r="AK133" s="182">
        <v>3014.0000000000032</v>
      </c>
      <c r="AL133" s="182">
        <v>753.5000000000008</v>
      </c>
      <c r="AM133" s="441">
        <f t="shared" si="75"/>
        <v>15</v>
      </c>
      <c r="AN133" s="600"/>
      <c r="AO133" s="182">
        <v>4</v>
      </c>
      <c r="AP133" s="182">
        <v>3014.5714285714321</v>
      </c>
      <c r="AQ133" s="182">
        <v>753.64285714285802</v>
      </c>
      <c r="AR133" s="441">
        <f t="shared" si="76"/>
        <v>16</v>
      </c>
      <c r="AS133" s="600"/>
      <c r="AT133" s="182">
        <v>4</v>
      </c>
      <c r="AU133" s="182">
        <v>2960.8695652173915</v>
      </c>
      <c r="AV133" s="182">
        <v>740.21739130434787</v>
      </c>
      <c r="AW133" s="441">
        <f t="shared" si="77"/>
        <v>17</v>
      </c>
      <c r="AX133" s="600"/>
      <c r="AZ133" s="526" t="e">
        <f t="shared" si="66"/>
        <v>#N/A</v>
      </c>
      <c r="BA133" s="600"/>
    </row>
    <row r="134" spans="2:53">
      <c r="B134" s="610"/>
      <c r="C134" s="305">
        <v>23</v>
      </c>
      <c r="D134" s="511" t="s">
        <v>843</v>
      </c>
      <c r="E134" s="511">
        <v>4</v>
      </c>
      <c r="F134" s="511">
        <v>3200</v>
      </c>
      <c r="G134" s="511">
        <v>800</v>
      </c>
      <c r="H134" s="600"/>
      <c r="I134" s="513">
        <f t="shared" si="68"/>
        <v>4</v>
      </c>
      <c r="J134" s="513">
        <f t="shared" si="69"/>
        <v>3008.3315380037457</v>
      </c>
      <c r="K134" s="200">
        <f t="shared" si="70"/>
        <v>752.08288450093642</v>
      </c>
      <c r="L134" s="621"/>
      <c r="M134" s="199">
        <f>RANK(K134, K$112:$K$141)</f>
        <v>16</v>
      </c>
      <c r="N134" s="604"/>
      <c r="O134" s="604"/>
      <c r="P134" s="511">
        <v>4</v>
      </c>
      <c r="Q134" s="511">
        <v>3016.7441860465115</v>
      </c>
      <c r="R134" s="512">
        <v>754.18604651162786</v>
      </c>
      <c r="S134" s="330">
        <f t="shared" si="71"/>
        <v>15</v>
      </c>
      <c r="T134" s="600"/>
      <c r="U134" s="511">
        <v>4</v>
      </c>
      <c r="V134" s="511">
        <v>3016.7441860465115</v>
      </c>
      <c r="W134" s="512">
        <v>754.18604651162786</v>
      </c>
      <c r="X134" s="441">
        <f t="shared" si="72"/>
        <v>15</v>
      </c>
      <c r="Y134" s="600"/>
      <c r="Z134" s="511">
        <v>4</v>
      </c>
      <c r="AA134" s="511">
        <v>3014.2499999999991</v>
      </c>
      <c r="AB134" s="512">
        <v>753.56249999999977</v>
      </c>
      <c r="AC134" s="441">
        <f t="shared" si="73"/>
        <v>16</v>
      </c>
      <c r="AD134" s="600"/>
      <c r="AE134" s="511">
        <v>4</v>
      </c>
      <c r="AF134" s="511">
        <v>3024.8571428571463</v>
      </c>
      <c r="AG134" s="512">
        <v>756.21428571428658</v>
      </c>
      <c r="AH134" s="441">
        <f t="shared" si="74"/>
        <v>16</v>
      </c>
      <c r="AI134" s="600"/>
      <c r="AJ134" s="511">
        <v>4</v>
      </c>
      <c r="AK134" s="511">
        <v>3006.1764705882392</v>
      </c>
      <c r="AL134" s="512">
        <v>751.54411764705981</v>
      </c>
      <c r="AM134" s="441">
        <f t="shared" si="75"/>
        <v>16</v>
      </c>
      <c r="AN134" s="600"/>
      <c r="AO134" s="511">
        <v>4</v>
      </c>
      <c r="AP134" s="511">
        <v>3008.0487804878094</v>
      </c>
      <c r="AQ134" s="512">
        <v>752.01219512195235</v>
      </c>
      <c r="AR134" s="441">
        <f t="shared" si="76"/>
        <v>17</v>
      </c>
      <c r="AS134" s="600"/>
      <c r="AT134" s="511">
        <v>4</v>
      </c>
      <c r="AU134" s="511">
        <v>2971.4999999999991</v>
      </c>
      <c r="AV134" s="512">
        <v>742.87499999999977</v>
      </c>
      <c r="AW134" s="441">
        <f t="shared" si="77"/>
        <v>16</v>
      </c>
      <c r="AX134" s="600"/>
      <c r="AZ134" s="526" t="e">
        <f t="shared" si="66"/>
        <v>#N/A</v>
      </c>
      <c r="BA134" s="600"/>
    </row>
    <row r="135" spans="2:53">
      <c r="B135" s="610"/>
      <c r="C135" s="305">
        <v>24</v>
      </c>
      <c r="D135" s="511" t="s">
        <v>884</v>
      </c>
      <c r="E135" s="511">
        <v>3</v>
      </c>
      <c r="F135" s="511">
        <v>3200</v>
      </c>
      <c r="G135" s="511">
        <v>1066.6666666666667</v>
      </c>
      <c r="H135" s="600"/>
      <c r="I135" s="513">
        <f t="shared" si="68"/>
        <v>3</v>
      </c>
      <c r="J135" s="513">
        <f t="shared" si="69"/>
        <v>3070.1277643924682</v>
      </c>
      <c r="K135" s="200">
        <f t="shared" si="70"/>
        <v>1023.3759214641559</v>
      </c>
      <c r="L135" s="621"/>
      <c r="M135" s="199">
        <f>RANK(K135, K$112:$K$141)</f>
        <v>7</v>
      </c>
      <c r="N135" s="604"/>
      <c r="O135" s="604"/>
      <c r="P135" s="511">
        <v>3</v>
      </c>
      <c r="Q135" s="511">
        <v>3250.4999999999991</v>
      </c>
      <c r="R135" s="511">
        <v>1083.4999999999998</v>
      </c>
      <c r="S135" s="330">
        <f t="shared" si="71"/>
        <v>4</v>
      </c>
      <c r="T135" s="600"/>
      <c r="U135" s="511">
        <v>3</v>
      </c>
      <c r="V135" s="511">
        <v>3250.4999999999991</v>
      </c>
      <c r="W135" s="511">
        <v>1083.4999999999998</v>
      </c>
      <c r="X135" s="441">
        <f t="shared" si="72"/>
        <v>4</v>
      </c>
      <c r="Y135" s="600"/>
      <c r="Z135" s="511">
        <v>3</v>
      </c>
      <c r="AA135" s="511">
        <v>3223.8461538461502</v>
      </c>
      <c r="AB135" s="511">
        <v>1074.6153846153834</v>
      </c>
      <c r="AC135" s="441">
        <f t="shared" si="73"/>
        <v>5</v>
      </c>
      <c r="AD135" s="600"/>
      <c r="AE135" s="511">
        <v>3</v>
      </c>
      <c r="AF135" s="511">
        <v>3275.2941176470549</v>
      </c>
      <c r="AG135" s="511">
        <v>1091.7647058823516</v>
      </c>
      <c r="AH135" s="441">
        <f t="shared" si="74"/>
        <v>3</v>
      </c>
      <c r="AI135" s="600"/>
      <c r="AJ135" s="511">
        <v>3</v>
      </c>
      <c r="AK135" s="511">
        <v>3206.7692307692269</v>
      </c>
      <c r="AL135" s="511">
        <v>1068.9230769230755</v>
      </c>
      <c r="AM135" s="441">
        <f t="shared" si="75"/>
        <v>5</v>
      </c>
      <c r="AN135" s="600"/>
      <c r="AO135" s="511">
        <v>3</v>
      </c>
      <c r="AP135" s="511">
        <v>3264.1666666666642</v>
      </c>
      <c r="AQ135" s="511">
        <v>1088.0555555555547</v>
      </c>
      <c r="AR135" s="441">
        <f t="shared" si="76"/>
        <v>2</v>
      </c>
      <c r="AS135" s="600"/>
      <c r="AT135" s="511">
        <v>3</v>
      </c>
      <c r="AU135" s="511">
        <v>2019.8181818181802</v>
      </c>
      <c r="AV135" s="511">
        <v>673.27272727272668</v>
      </c>
      <c r="AW135" s="441">
        <f t="shared" si="77"/>
        <v>20</v>
      </c>
      <c r="AX135" s="600"/>
      <c r="AZ135" s="526" t="e">
        <f t="shared" si="66"/>
        <v>#N/A</v>
      </c>
      <c r="BA135" s="600"/>
    </row>
    <row r="136" spans="2:53">
      <c r="B136" s="610"/>
      <c r="C136" s="305">
        <v>25</v>
      </c>
      <c r="D136" s="511"/>
      <c r="E136" s="511"/>
      <c r="F136" s="511"/>
      <c r="G136" s="511"/>
      <c r="H136" s="600"/>
      <c r="I136" s="513" t="str">
        <f t="shared" si="68"/>
        <v>-</v>
      </c>
      <c r="J136" s="513" t="str">
        <f t="shared" si="69"/>
        <v>-</v>
      </c>
      <c r="K136" s="200" t="str">
        <f t="shared" si="70"/>
        <v>-</v>
      </c>
      <c r="L136" s="621"/>
      <c r="M136" s="199" t="e">
        <f>RANK(K136, K$112:$K$141)</f>
        <v>#VALUE!</v>
      </c>
      <c r="N136" s="604"/>
      <c r="O136" s="604"/>
      <c r="P136" s="511"/>
      <c r="Q136" s="511"/>
      <c r="R136" s="511"/>
      <c r="S136" s="330" t="e">
        <f t="shared" si="71"/>
        <v>#N/A</v>
      </c>
      <c r="T136" s="600"/>
      <c r="U136" s="511"/>
      <c r="V136" s="511"/>
      <c r="W136" s="511"/>
      <c r="X136" s="441" t="e">
        <f t="shared" si="72"/>
        <v>#N/A</v>
      </c>
      <c r="Y136" s="600"/>
      <c r="Z136" s="511"/>
      <c r="AA136" s="511"/>
      <c r="AB136" s="511"/>
      <c r="AC136" s="441" t="e">
        <f t="shared" si="73"/>
        <v>#N/A</v>
      </c>
      <c r="AD136" s="600"/>
      <c r="AE136" s="511"/>
      <c r="AF136" s="511"/>
      <c r="AG136" s="511"/>
      <c r="AH136" s="441" t="e">
        <f t="shared" si="74"/>
        <v>#N/A</v>
      </c>
      <c r="AI136" s="600"/>
      <c r="AJ136" s="511"/>
      <c r="AK136" s="511"/>
      <c r="AL136" s="511"/>
      <c r="AM136" s="441" t="e">
        <f t="shared" si="75"/>
        <v>#N/A</v>
      </c>
      <c r="AN136" s="600"/>
      <c r="AO136" s="511"/>
      <c r="AP136" s="511"/>
      <c r="AQ136" s="511"/>
      <c r="AR136" s="441" t="e">
        <f t="shared" si="76"/>
        <v>#N/A</v>
      </c>
      <c r="AS136" s="600"/>
      <c r="AT136" s="511"/>
      <c r="AU136" s="511"/>
      <c r="AV136" s="511"/>
      <c r="AW136" s="441" t="e">
        <f t="shared" si="77"/>
        <v>#N/A</v>
      </c>
      <c r="AX136" s="600"/>
      <c r="AZ136" s="526" t="e">
        <f t="shared" si="66"/>
        <v>#N/A</v>
      </c>
      <c r="BA136" s="600"/>
    </row>
    <row r="137" spans="2:53">
      <c r="B137" s="610"/>
      <c r="C137" s="305">
        <v>26</v>
      </c>
      <c r="D137" s="511"/>
      <c r="E137" s="511"/>
      <c r="F137" s="511"/>
      <c r="G137" s="511"/>
      <c r="H137" s="600"/>
      <c r="I137" s="513" t="str">
        <f t="shared" si="68"/>
        <v>-</v>
      </c>
      <c r="J137" s="513" t="str">
        <f t="shared" si="69"/>
        <v>-</v>
      </c>
      <c r="K137" s="200" t="str">
        <f t="shared" si="70"/>
        <v>-</v>
      </c>
      <c r="L137" s="621"/>
      <c r="M137" s="199" t="e">
        <f>RANK(K137, K$112:$K$141)</f>
        <v>#VALUE!</v>
      </c>
      <c r="N137" s="604"/>
      <c r="O137" s="604"/>
      <c r="P137" s="511"/>
      <c r="Q137" s="511"/>
      <c r="R137" s="511"/>
      <c r="S137" s="330" t="e">
        <f t="shared" si="71"/>
        <v>#N/A</v>
      </c>
      <c r="T137" s="600"/>
      <c r="U137" s="511"/>
      <c r="V137" s="511"/>
      <c r="W137" s="511"/>
      <c r="X137" s="441" t="e">
        <f t="shared" si="72"/>
        <v>#N/A</v>
      </c>
      <c r="Y137" s="600"/>
      <c r="Z137" s="511"/>
      <c r="AA137" s="511"/>
      <c r="AB137" s="511"/>
      <c r="AC137" s="441" t="e">
        <f t="shared" si="73"/>
        <v>#N/A</v>
      </c>
      <c r="AD137" s="600"/>
      <c r="AE137" s="511"/>
      <c r="AF137" s="511"/>
      <c r="AG137" s="511"/>
      <c r="AH137" s="441" t="e">
        <f t="shared" si="74"/>
        <v>#N/A</v>
      </c>
      <c r="AI137" s="600"/>
      <c r="AJ137" s="511"/>
      <c r="AK137" s="511"/>
      <c r="AL137" s="511"/>
      <c r="AM137" s="441" t="e">
        <f t="shared" si="75"/>
        <v>#N/A</v>
      </c>
      <c r="AN137" s="600"/>
      <c r="AO137" s="511"/>
      <c r="AP137" s="511"/>
      <c r="AQ137" s="511"/>
      <c r="AR137" s="441" t="e">
        <f t="shared" si="76"/>
        <v>#N/A</v>
      </c>
      <c r="AS137" s="600"/>
      <c r="AT137" s="511"/>
      <c r="AU137" s="511"/>
      <c r="AV137" s="511"/>
      <c r="AW137" s="441" t="e">
        <f t="shared" si="77"/>
        <v>#N/A</v>
      </c>
      <c r="AX137" s="600"/>
      <c r="AZ137" s="526" t="e">
        <f t="shared" si="66"/>
        <v>#N/A</v>
      </c>
      <c r="BA137" s="600"/>
    </row>
    <row r="138" spans="2:53">
      <c r="B138" s="610"/>
      <c r="C138" s="305">
        <v>27</v>
      </c>
      <c r="D138" s="511"/>
      <c r="E138" s="511"/>
      <c r="F138" s="511"/>
      <c r="G138" s="511"/>
      <c r="H138" s="600"/>
      <c r="I138" s="513" t="str">
        <f t="shared" si="68"/>
        <v>-</v>
      </c>
      <c r="J138" s="513" t="str">
        <f t="shared" si="69"/>
        <v>-</v>
      </c>
      <c r="K138" s="200" t="str">
        <f t="shared" si="70"/>
        <v>-</v>
      </c>
      <c r="L138" s="621"/>
      <c r="M138" s="199" t="e">
        <f>RANK(K138, K$112:$K$141)</f>
        <v>#VALUE!</v>
      </c>
      <c r="N138" s="604"/>
      <c r="O138" s="604"/>
      <c r="P138" s="511"/>
      <c r="Q138" s="511"/>
      <c r="R138" s="511"/>
      <c r="S138" s="330" t="e">
        <f t="shared" si="71"/>
        <v>#N/A</v>
      </c>
      <c r="T138" s="600"/>
      <c r="U138" s="511"/>
      <c r="V138" s="511"/>
      <c r="W138" s="511"/>
      <c r="X138" s="441" t="e">
        <f t="shared" si="72"/>
        <v>#N/A</v>
      </c>
      <c r="Y138" s="600"/>
      <c r="Z138" s="511"/>
      <c r="AA138" s="511"/>
      <c r="AB138" s="511"/>
      <c r="AC138" s="441" t="e">
        <f t="shared" si="73"/>
        <v>#N/A</v>
      </c>
      <c r="AD138" s="600"/>
      <c r="AE138" s="511"/>
      <c r="AF138" s="511"/>
      <c r="AG138" s="511"/>
      <c r="AH138" s="441" t="e">
        <f t="shared" si="74"/>
        <v>#N/A</v>
      </c>
      <c r="AI138" s="600"/>
      <c r="AJ138" s="511"/>
      <c r="AK138" s="511"/>
      <c r="AL138" s="511"/>
      <c r="AM138" s="441" t="e">
        <f t="shared" si="75"/>
        <v>#N/A</v>
      </c>
      <c r="AN138" s="600"/>
      <c r="AO138" s="511"/>
      <c r="AP138" s="511"/>
      <c r="AQ138" s="511"/>
      <c r="AR138" s="441" t="e">
        <f t="shared" si="76"/>
        <v>#N/A</v>
      </c>
      <c r="AS138" s="600"/>
      <c r="AT138" s="511"/>
      <c r="AU138" s="511"/>
      <c r="AV138" s="511"/>
      <c r="AW138" s="441" t="e">
        <f t="shared" si="77"/>
        <v>#N/A</v>
      </c>
      <c r="AX138" s="600"/>
      <c r="AZ138" s="526" t="e">
        <f t="shared" si="66"/>
        <v>#N/A</v>
      </c>
      <c r="BA138" s="600"/>
    </row>
    <row r="139" spans="2:53">
      <c r="B139" s="610"/>
      <c r="C139" s="305">
        <v>28</v>
      </c>
      <c r="D139" s="511"/>
      <c r="E139" s="511"/>
      <c r="F139" s="511"/>
      <c r="G139" s="511"/>
      <c r="H139" s="600"/>
      <c r="I139" s="513" t="str">
        <f t="shared" si="68"/>
        <v>-</v>
      </c>
      <c r="J139" s="513" t="str">
        <f t="shared" si="69"/>
        <v>-</v>
      </c>
      <c r="K139" s="200" t="str">
        <f t="shared" si="70"/>
        <v>-</v>
      </c>
      <c r="L139" s="621"/>
      <c r="M139" s="199" t="e">
        <f>RANK(K139, K$112:$K$141)</f>
        <v>#VALUE!</v>
      </c>
      <c r="N139" s="604"/>
      <c r="O139" s="604"/>
      <c r="P139" s="511"/>
      <c r="Q139" s="511"/>
      <c r="R139" s="511"/>
      <c r="S139" s="330" t="e">
        <f t="shared" si="71"/>
        <v>#N/A</v>
      </c>
      <c r="T139" s="600"/>
      <c r="U139" s="511"/>
      <c r="V139" s="511"/>
      <c r="W139" s="511"/>
      <c r="X139" s="441" t="e">
        <f t="shared" si="72"/>
        <v>#N/A</v>
      </c>
      <c r="Y139" s="600"/>
      <c r="Z139" s="511"/>
      <c r="AA139" s="511"/>
      <c r="AB139" s="511"/>
      <c r="AC139" s="441" t="e">
        <f t="shared" si="73"/>
        <v>#N/A</v>
      </c>
      <c r="AD139" s="600"/>
      <c r="AE139" s="511"/>
      <c r="AF139" s="511"/>
      <c r="AG139" s="511"/>
      <c r="AH139" s="441" t="e">
        <f t="shared" si="74"/>
        <v>#N/A</v>
      </c>
      <c r="AI139" s="600"/>
      <c r="AJ139" s="511"/>
      <c r="AK139" s="511"/>
      <c r="AL139" s="511"/>
      <c r="AM139" s="441" t="e">
        <f t="shared" si="75"/>
        <v>#N/A</v>
      </c>
      <c r="AN139" s="600"/>
      <c r="AO139" s="511"/>
      <c r="AP139" s="511"/>
      <c r="AQ139" s="511"/>
      <c r="AR139" s="441" t="e">
        <f t="shared" si="76"/>
        <v>#N/A</v>
      </c>
      <c r="AS139" s="600"/>
      <c r="AT139" s="511"/>
      <c r="AU139" s="511"/>
      <c r="AV139" s="511"/>
      <c r="AW139" s="441" t="e">
        <f t="shared" si="77"/>
        <v>#N/A</v>
      </c>
      <c r="AX139" s="600"/>
      <c r="AZ139" s="526" t="e">
        <f t="shared" si="66"/>
        <v>#N/A</v>
      </c>
      <c r="BA139" s="600"/>
    </row>
    <row r="140" spans="2:53">
      <c r="B140" s="610"/>
      <c r="C140" s="305">
        <v>29</v>
      </c>
      <c r="D140" s="511"/>
      <c r="E140" s="511"/>
      <c r="F140" s="511"/>
      <c r="G140" s="511"/>
      <c r="H140" s="600"/>
      <c r="I140" s="513" t="str">
        <f t="shared" si="68"/>
        <v>-</v>
      </c>
      <c r="J140" s="513" t="str">
        <f t="shared" si="69"/>
        <v>-</v>
      </c>
      <c r="K140" s="200" t="str">
        <f t="shared" si="70"/>
        <v>-</v>
      </c>
      <c r="L140" s="621"/>
      <c r="M140" s="199" t="e">
        <f>RANK(K140, K$112:$K$141)</f>
        <v>#VALUE!</v>
      </c>
      <c r="N140" s="604"/>
      <c r="O140" s="604"/>
      <c r="P140" s="511"/>
      <c r="Q140" s="511"/>
      <c r="R140" s="511"/>
      <c r="S140" s="330" t="e">
        <f t="shared" si="71"/>
        <v>#N/A</v>
      </c>
      <c r="T140" s="600"/>
      <c r="U140" s="511"/>
      <c r="V140" s="511"/>
      <c r="W140" s="511"/>
      <c r="X140" s="441" t="e">
        <f t="shared" si="72"/>
        <v>#N/A</v>
      </c>
      <c r="Y140" s="600"/>
      <c r="Z140" s="511"/>
      <c r="AA140" s="511"/>
      <c r="AB140" s="511"/>
      <c r="AC140" s="441" t="e">
        <f t="shared" si="73"/>
        <v>#N/A</v>
      </c>
      <c r="AD140" s="600"/>
      <c r="AE140" s="511"/>
      <c r="AF140" s="511"/>
      <c r="AG140" s="511"/>
      <c r="AH140" s="441" t="e">
        <f t="shared" si="74"/>
        <v>#N/A</v>
      </c>
      <c r="AI140" s="600"/>
      <c r="AJ140" s="511"/>
      <c r="AK140" s="511"/>
      <c r="AL140" s="511"/>
      <c r="AM140" s="441" t="e">
        <f t="shared" si="75"/>
        <v>#N/A</v>
      </c>
      <c r="AN140" s="600"/>
      <c r="AO140" s="511"/>
      <c r="AP140" s="511"/>
      <c r="AQ140" s="511"/>
      <c r="AR140" s="441" t="e">
        <f t="shared" si="76"/>
        <v>#N/A</v>
      </c>
      <c r="AS140" s="600"/>
      <c r="AT140" s="511"/>
      <c r="AU140" s="511"/>
      <c r="AV140" s="511"/>
      <c r="AW140" s="441" t="e">
        <f t="shared" si="77"/>
        <v>#N/A</v>
      </c>
      <c r="AX140" s="600"/>
      <c r="AZ140" s="526" t="e">
        <f t="shared" si="66"/>
        <v>#N/A</v>
      </c>
      <c r="BA140" s="600"/>
    </row>
    <row r="141" spans="2:53">
      <c r="B141" s="610"/>
      <c r="C141" s="305">
        <v>30</v>
      </c>
      <c r="D141" s="511"/>
      <c r="E141" s="511"/>
      <c r="F141" s="511"/>
      <c r="G141" s="511"/>
      <c r="H141" s="601"/>
      <c r="I141" s="513" t="str">
        <f t="shared" si="68"/>
        <v>-</v>
      </c>
      <c r="J141" s="513" t="str">
        <f t="shared" si="69"/>
        <v>-</v>
      </c>
      <c r="K141" s="200" t="str">
        <f t="shared" si="70"/>
        <v>-</v>
      </c>
      <c r="L141" s="622"/>
      <c r="M141" s="199" t="e">
        <f>RANK(K141, K$112:$K$141)</f>
        <v>#VALUE!</v>
      </c>
      <c r="N141" s="604"/>
      <c r="O141" s="604"/>
      <c r="P141" s="511"/>
      <c r="Q141" s="511"/>
      <c r="R141" s="511"/>
      <c r="S141" s="330" t="e">
        <f t="shared" si="71"/>
        <v>#N/A</v>
      </c>
      <c r="T141" s="601"/>
      <c r="U141" s="511"/>
      <c r="V141" s="511"/>
      <c r="W141" s="511"/>
      <c r="X141" s="441" t="e">
        <f t="shared" si="72"/>
        <v>#N/A</v>
      </c>
      <c r="Y141" s="601"/>
      <c r="Z141" s="511"/>
      <c r="AA141" s="511"/>
      <c r="AB141" s="511"/>
      <c r="AC141" s="441" t="e">
        <f t="shared" si="73"/>
        <v>#N/A</v>
      </c>
      <c r="AD141" s="601"/>
      <c r="AE141" s="511"/>
      <c r="AF141" s="511"/>
      <c r="AG141" s="511"/>
      <c r="AH141" s="441" t="e">
        <f t="shared" si="74"/>
        <v>#N/A</v>
      </c>
      <c r="AI141" s="601"/>
      <c r="AJ141" s="511"/>
      <c r="AK141" s="511"/>
      <c r="AL141" s="511"/>
      <c r="AM141" s="441" t="e">
        <f t="shared" si="75"/>
        <v>#N/A</v>
      </c>
      <c r="AN141" s="601"/>
      <c r="AO141" s="511"/>
      <c r="AP141" s="511"/>
      <c r="AQ141" s="511"/>
      <c r="AR141" s="441" t="e">
        <f t="shared" si="76"/>
        <v>#N/A</v>
      </c>
      <c r="AS141" s="601"/>
      <c r="AT141" s="511"/>
      <c r="AU141" s="511"/>
      <c r="AV141" s="511"/>
      <c r="AW141" s="441" t="e">
        <f t="shared" si="77"/>
        <v>#N/A</v>
      </c>
      <c r="AX141" s="601"/>
      <c r="AZ141" s="526" t="e">
        <f t="shared" si="66"/>
        <v>#N/A</v>
      </c>
      <c r="BA141" s="601"/>
    </row>
    <row r="142" spans="2:53" ht="15.75">
      <c r="B142" s="633" t="s">
        <v>163</v>
      </c>
      <c r="C142" s="634"/>
      <c r="D142" s="634"/>
      <c r="E142" s="634"/>
      <c r="F142" s="634"/>
      <c r="G142" s="634"/>
      <c r="H142" s="635"/>
      <c r="I142" s="208"/>
      <c r="J142" s="208"/>
      <c r="K142" s="208"/>
      <c r="L142" s="208"/>
      <c r="M142" s="207"/>
      <c r="N142" s="606" t="s">
        <v>156</v>
      </c>
      <c r="O142" s="606" t="s">
        <v>155</v>
      </c>
      <c r="P142" s="632">
        <f>P107+7</f>
        <v>46140</v>
      </c>
      <c r="Q142" s="610"/>
      <c r="R142" s="610"/>
      <c r="S142" s="610"/>
      <c r="T142" s="610"/>
      <c r="U142" s="629">
        <f>P142+1</f>
        <v>46141</v>
      </c>
      <c r="V142" s="630"/>
      <c r="W142" s="630"/>
      <c r="X142" s="630"/>
      <c r="Y142" s="631"/>
      <c r="Z142" s="629">
        <f>U142+1</f>
        <v>46142</v>
      </c>
      <c r="AA142" s="630"/>
      <c r="AB142" s="630"/>
      <c r="AC142" s="630"/>
      <c r="AD142" s="631"/>
      <c r="AE142" s="629">
        <f>Z142+1</f>
        <v>46143</v>
      </c>
      <c r="AF142" s="630"/>
      <c r="AG142" s="630"/>
      <c r="AH142" s="630"/>
      <c r="AI142" s="631"/>
      <c r="AJ142" s="629">
        <f>AE142+1</f>
        <v>46144</v>
      </c>
      <c r="AK142" s="630"/>
      <c r="AL142" s="630"/>
      <c r="AM142" s="630"/>
      <c r="AN142" s="631"/>
      <c r="AO142" s="629">
        <f>AJ142+1</f>
        <v>46145</v>
      </c>
      <c r="AP142" s="630"/>
      <c r="AQ142" s="630"/>
      <c r="AR142" s="630"/>
      <c r="AS142" s="631"/>
      <c r="AT142" s="629">
        <f>AO142+1</f>
        <v>46146</v>
      </c>
      <c r="AU142" s="630"/>
      <c r="AV142" s="630"/>
      <c r="AW142" s="630"/>
      <c r="AX142" s="631"/>
    </row>
    <row r="143" spans="2:53" ht="15.75">
      <c r="B143" s="636"/>
      <c r="C143" s="636"/>
      <c r="D143" s="636"/>
      <c r="E143" s="636"/>
      <c r="F143" s="636"/>
      <c r="G143" s="636"/>
      <c r="H143" s="636"/>
      <c r="I143" s="205"/>
      <c r="J143" s="205"/>
      <c r="K143" s="205"/>
      <c r="L143" s="205"/>
      <c r="M143" s="206"/>
      <c r="N143" s="608"/>
      <c r="O143" s="608"/>
      <c r="P143" s="632" t="s">
        <v>336</v>
      </c>
      <c r="Q143" s="610"/>
      <c r="R143" s="610"/>
      <c r="S143" s="610"/>
      <c r="T143" s="610"/>
      <c r="U143" s="632" t="s">
        <v>337</v>
      </c>
      <c r="V143" s="610"/>
      <c r="W143" s="610"/>
      <c r="X143" s="610"/>
      <c r="Y143" s="610"/>
      <c r="Z143" s="632" t="s">
        <v>338</v>
      </c>
      <c r="AA143" s="610"/>
      <c r="AB143" s="610"/>
      <c r="AC143" s="610"/>
      <c r="AD143" s="610"/>
      <c r="AE143" s="632" t="s">
        <v>339</v>
      </c>
      <c r="AF143" s="610"/>
      <c r="AG143" s="610"/>
      <c r="AH143" s="610"/>
      <c r="AI143" s="610"/>
      <c r="AJ143" s="632" t="s">
        <v>340</v>
      </c>
      <c r="AK143" s="610"/>
      <c r="AL143" s="610"/>
      <c r="AM143" s="610"/>
      <c r="AN143" s="610"/>
      <c r="AO143" s="632" t="s">
        <v>341</v>
      </c>
      <c r="AP143" s="610"/>
      <c r="AQ143" s="610"/>
      <c r="AR143" s="610"/>
      <c r="AS143" s="610"/>
      <c r="AT143" s="632" t="s">
        <v>342</v>
      </c>
      <c r="AU143" s="610"/>
      <c r="AV143" s="610"/>
      <c r="AW143" s="610"/>
      <c r="AX143" s="610"/>
    </row>
    <row r="144" spans="2:53">
      <c r="B144" s="604" t="s">
        <v>423</v>
      </c>
      <c r="C144" s="604" t="s">
        <v>424</v>
      </c>
      <c r="D144" s="604"/>
      <c r="E144" s="604" t="s">
        <v>425</v>
      </c>
      <c r="F144" s="604"/>
      <c r="G144" s="604"/>
      <c r="H144" s="637" t="s">
        <v>426</v>
      </c>
      <c r="I144" s="656" t="s">
        <v>427</v>
      </c>
      <c r="J144" s="656"/>
      <c r="K144" s="656"/>
      <c r="L144" s="657" t="s">
        <v>426</v>
      </c>
      <c r="M144" s="642" t="s">
        <v>428</v>
      </c>
      <c r="N144" s="604"/>
      <c r="O144" s="604" t="s">
        <v>429</v>
      </c>
      <c r="P144" s="623" t="s">
        <v>430</v>
      </c>
      <c r="Q144" s="624"/>
      <c r="R144" s="624"/>
      <c r="S144" s="625"/>
      <c r="T144" s="604" t="s">
        <v>426</v>
      </c>
      <c r="U144" s="623" t="s">
        <v>430</v>
      </c>
      <c r="V144" s="624"/>
      <c r="W144" s="624"/>
      <c r="X144" s="625"/>
      <c r="Y144" s="604" t="s">
        <v>426</v>
      </c>
      <c r="Z144" s="623" t="s">
        <v>430</v>
      </c>
      <c r="AA144" s="624"/>
      <c r="AB144" s="624"/>
      <c r="AC144" s="625"/>
      <c r="AD144" s="604" t="s">
        <v>426</v>
      </c>
      <c r="AE144" s="623" t="s">
        <v>430</v>
      </c>
      <c r="AF144" s="624"/>
      <c r="AG144" s="624"/>
      <c r="AH144" s="625"/>
      <c r="AI144" s="604" t="s">
        <v>426</v>
      </c>
      <c r="AJ144" s="623" t="s">
        <v>430</v>
      </c>
      <c r="AK144" s="624"/>
      <c r="AL144" s="624"/>
      <c r="AM144" s="625"/>
      <c r="AN144" s="604" t="s">
        <v>426</v>
      </c>
      <c r="AO144" s="623" t="s">
        <v>430</v>
      </c>
      <c r="AP144" s="624"/>
      <c r="AQ144" s="624"/>
      <c r="AR144" s="625"/>
      <c r="AS144" s="604" t="s">
        <v>426</v>
      </c>
      <c r="AT144" s="623" t="s">
        <v>430</v>
      </c>
      <c r="AU144" s="624"/>
      <c r="AV144" s="624"/>
      <c r="AW144" s="625"/>
      <c r="AX144" s="604" t="s">
        <v>426</v>
      </c>
      <c r="BA144" s="604" t="s">
        <v>395</v>
      </c>
    </row>
    <row r="145" spans="2:53">
      <c r="B145" s="604"/>
      <c r="C145" s="604"/>
      <c r="D145" s="604"/>
      <c r="E145" s="604" t="s">
        <v>431</v>
      </c>
      <c r="F145" s="604"/>
      <c r="G145" s="604"/>
      <c r="H145" s="638"/>
      <c r="I145" s="656" t="s">
        <v>431</v>
      </c>
      <c r="J145" s="656"/>
      <c r="K145" s="656"/>
      <c r="L145" s="658"/>
      <c r="M145" s="643"/>
      <c r="N145" s="604"/>
      <c r="O145" s="604"/>
      <c r="P145" s="623" t="s">
        <v>432</v>
      </c>
      <c r="Q145" s="624"/>
      <c r="R145" s="624"/>
      <c r="S145" s="625"/>
      <c r="T145" s="604"/>
      <c r="U145" s="623" t="s">
        <v>432</v>
      </c>
      <c r="V145" s="624"/>
      <c r="W145" s="624"/>
      <c r="X145" s="625"/>
      <c r="Y145" s="604"/>
      <c r="Z145" s="623" t="s">
        <v>432</v>
      </c>
      <c r="AA145" s="624"/>
      <c r="AB145" s="624"/>
      <c r="AC145" s="625"/>
      <c r="AD145" s="604"/>
      <c r="AE145" s="623" t="s">
        <v>432</v>
      </c>
      <c r="AF145" s="624"/>
      <c r="AG145" s="624"/>
      <c r="AH145" s="625"/>
      <c r="AI145" s="604"/>
      <c r="AJ145" s="623" t="s">
        <v>432</v>
      </c>
      <c r="AK145" s="624"/>
      <c r="AL145" s="624"/>
      <c r="AM145" s="625"/>
      <c r="AN145" s="604"/>
      <c r="AO145" s="623" t="s">
        <v>432</v>
      </c>
      <c r="AP145" s="624"/>
      <c r="AQ145" s="624"/>
      <c r="AR145" s="625"/>
      <c r="AS145" s="604"/>
      <c r="AT145" s="623" t="s">
        <v>432</v>
      </c>
      <c r="AU145" s="624"/>
      <c r="AV145" s="624"/>
      <c r="AW145" s="625"/>
      <c r="AX145" s="604"/>
      <c r="BA145" s="604"/>
    </row>
    <row r="146" spans="2:53">
      <c r="B146" s="604"/>
      <c r="C146" s="604"/>
      <c r="D146" s="604"/>
      <c r="E146" s="298" t="s">
        <v>433</v>
      </c>
      <c r="F146" s="298" t="s">
        <v>434</v>
      </c>
      <c r="G146" s="298" t="s">
        <v>435</v>
      </c>
      <c r="H146" s="639"/>
      <c r="I146" s="299" t="s">
        <v>433</v>
      </c>
      <c r="J146" s="299" t="s">
        <v>434</v>
      </c>
      <c r="K146" s="299" t="s">
        <v>435</v>
      </c>
      <c r="L146" s="659"/>
      <c r="M146" s="644"/>
      <c r="N146" s="604"/>
      <c r="O146" s="604"/>
      <c r="P146" s="298" t="s">
        <v>433</v>
      </c>
      <c r="Q146" s="298" t="s">
        <v>434</v>
      </c>
      <c r="R146" s="298" t="s">
        <v>435</v>
      </c>
      <c r="S146" s="298" t="s">
        <v>428</v>
      </c>
      <c r="T146" s="604"/>
      <c r="U146" s="298" t="s">
        <v>433</v>
      </c>
      <c r="V146" s="298" t="s">
        <v>434</v>
      </c>
      <c r="W146" s="298" t="s">
        <v>435</v>
      </c>
      <c r="X146" s="298" t="s">
        <v>428</v>
      </c>
      <c r="Y146" s="604"/>
      <c r="Z146" s="298" t="s">
        <v>433</v>
      </c>
      <c r="AA146" s="298" t="s">
        <v>434</v>
      </c>
      <c r="AB146" s="298" t="s">
        <v>435</v>
      </c>
      <c r="AC146" s="298" t="s">
        <v>428</v>
      </c>
      <c r="AD146" s="604"/>
      <c r="AE146" s="298" t="s">
        <v>433</v>
      </c>
      <c r="AF146" s="298" t="s">
        <v>434</v>
      </c>
      <c r="AG146" s="298" t="s">
        <v>435</v>
      </c>
      <c r="AH146" s="298" t="s">
        <v>428</v>
      </c>
      <c r="AI146" s="604"/>
      <c r="AJ146" s="298" t="s">
        <v>433</v>
      </c>
      <c r="AK146" s="298" t="s">
        <v>434</v>
      </c>
      <c r="AL146" s="298" t="s">
        <v>435</v>
      </c>
      <c r="AM146" s="298" t="s">
        <v>428</v>
      </c>
      <c r="AN146" s="604"/>
      <c r="AO146" s="298" t="s">
        <v>433</v>
      </c>
      <c r="AP146" s="298" t="s">
        <v>434</v>
      </c>
      <c r="AQ146" s="298" t="s">
        <v>435</v>
      </c>
      <c r="AR146" s="298" t="s">
        <v>428</v>
      </c>
      <c r="AS146" s="604"/>
      <c r="AT146" s="298" t="s">
        <v>433</v>
      </c>
      <c r="AU146" s="298" t="s">
        <v>434</v>
      </c>
      <c r="AV146" s="298" t="s">
        <v>435</v>
      </c>
      <c r="AW146" s="298" t="s">
        <v>428</v>
      </c>
      <c r="AX146" s="604"/>
      <c r="AZ146" s="527" t="s">
        <v>396</v>
      </c>
      <c r="BA146" s="604"/>
    </row>
    <row r="147" spans="2:53">
      <c r="B147" s="610" t="s">
        <v>150</v>
      </c>
      <c r="C147" s="297">
        <v>1</v>
      </c>
      <c r="D147" s="500"/>
      <c r="E147" s="500"/>
      <c r="F147" s="500"/>
      <c r="G147" s="182"/>
      <c r="H147" s="599" t="e">
        <f>AVERAGE(G147:G176)</f>
        <v>#DIV/0!</v>
      </c>
      <c r="I147" s="513" t="str">
        <f>IFERROR(AVERAGE(P147,U147,Z147,AE147,AJ147,AO147,AT147),"-")</f>
        <v>-</v>
      </c>
      <c r="J147" s="513" t="str">
        <f>IFERROR(AVERAGE(Q147,V147,AA147,AF147,AK147,AP147,AU147),"-")</f>
        <v>-</v>
      </c>
      <c r="K147" s="200" t="str">
        <f>IFERROR(AVERAGE(R147,W147,AB147,AG147,AL147,AQ147,AV147),"-")</f>
        <v>-</v>
      </c>
      <c r="L147" s="620" t="str">
        <f>IFERROR(AVERAGE(K147:K176),"-")</f>
        <v>-</v>
      </c>
      <c r="M147" s="199" t="e">
        <f>RANK(K147, K$147:$K$176)</f>
        <v>#VALUE!</v>
      </c>
      <c r="N147" s="604"/>
      <c r="O147" s="604"/>
      <c r="P147" s="407"/>
      <c r="Q147" s="182"/>
      <c r="R147" s="182"/>
      <c r="S147" s="297" t="e">
        <f>RANK(R147, R$147:R$176)</f>
        <v>#N/A</v>
      </c>
      <c r="T147" s="599" t="e">
        <f>AVERAGE(R147:R176)</f>
        <v>#DIV/0!</v>
      </c>
      <c r="U147" s="407"/>
      <c r="V147" s="182"/>
      <c r="W147" s="182"/>
      <c r="X147" s="441" t="e">
        <f t="shared" ref="X147:X162" si="78">RANK(W147, W$147:W$176)</f>
        <v>#N/A</v>
      </c>
      <c r="Y147" s="599" t="e">
        <f t="shared" ref="Y147" si="79">AVERAGE(W147:W176)</f>
        <v>#DIV/0!</v>
      </c>
      <c r="Z147" s="407"/>
      <c r="AA147" s="182"/>
      <c r="AB147" s="182"/>
      <c r="AC147" s="441" t="e">
        <f t="shared" ref="AC147:AC162" si="80">RANK(AB147, AB$147:AB$176)</f>
        <v>#N/A</v>
      </c>
      <c r="AD147" s="599" t="e">
        <f t="shared" ref="AD147" si="81">AVERAGE(AB147:AB176)</f>
        <v>#DIV/0!</v>
      </c>
      <c r="AE147" s="407"/>
      <c r="AF147" s="182"/>
      <c r="AG147" s="182"/>
      <c r="AH147" s="441" t="e">
        <f t="shared" ref="AH147:AH162" si="82">RANK(AG147, AG$147:AG$176)</f>
        <v>#N/A</v>
      </c>
      <c r="AI147" s="599" t="e">
        <f t="shared" ref="AI147" si="83">AVERAGE(AG147:AG176)</f>
        <v>#DIV/0!</v>
      </c>
      <c r="AJ147" s="407"/>
      <c r="AK147" s="182"/>
      <c r="AL147" s="182"/>
      <c r="AM147" s="441" t="e">
        <f t="shared" ref="AM147:AM162" si="84">RANK(AL147, AL$147:AL$176)</f>
        <v>#N/A</v>
      </c>
      <c r="AN147" s="599" t="e">
        <f t="shared" ref="AN147" si="85">AVERAGE(AL147:AL176)</f>
        <v>#DIV/0!</v>
      </c>
      <c r="AO147" s="407"/>
      <c r="AP147" s="182"/>
      <c r="AQ147" s="182"/>
      <c r="AR147" s="441" t="e">
        <f t="shared" ref="AR147:AR162" si="86">RANK(AQ147, AQ$147:AQ$176)</f>
        <v>#N/A</v>
      </c>
      <c r="AS147" s="599" t="e">
        <f t="shared" ref="AS147" si="87">AVERAGE(AQ147:AQ176)</f>
        <v>#DIV/0!</v>
      </c>
      <c r="AT147" s="407"/>
      <c r="AU147" s="182"/>
      <c r="AV147" s="182"/>
      <c r="AW147" s="441" t="e">
        <f t="shared" ref="AW147:AW162" si="88">RANK(AV147, AV$147:AV$176)</f>
        <v>#N/A</v>
      </c>
      <c r="AX147" s="599" t="e">
        <f t="shared" ref="AX147" si="89">AVERAGE(AV147:AV176)</f>
        <v>#DIV/0!</v>
      </c>
      <c r="AZ147" s="526" t="e">
        <f t="shared" ref="AZ147:AZ176" si="90">RANK(AY147, AY$147:AY$176)</f>
        <v>#N/A</v>
      </c>
      <c r="BA147" s="599" t="e">
        <f t="shared" ref="BA147" si="91">AVERAGE(AY147:AY176)</f>
        <v>#DIV/0!</v>
      </c>
    </row>
    <row r="148" spans="2:53">
      <c r="B148" s="610"/>
      <c r="C148" s="297">
        <v>2</v>
      </c>
      <c r="D148" s="499"/>
      <c r="E148" s="500"/>
      <c r="F148" s="500"/>
      <c r="G148" s="182"/>
      <c r="H148" s="600"/>
      <c r="I148" s="513" t="str">
        <f t="shared" ref="I148:I176" si="92">IFERROR(AVERAGE(P148,U148,Z148,AE148,AJ148,AO148,AT148),"-")</f>
        <v>-</v>
      </c>
      <c r="J148" s="513" t="str">
        <f t="shared" ref="J148:J176" si="93">IFERROR(AVERAGE(Q148,V148,AA148,AF148,AK148,AP148,AU148),"-")</f>
        <v>-</v>
      </c>
      <c r="K148" s="200" t="str">
        <f t="shared" ref="K148:K176" si="94">IFERROR(AVERAGE(R148,W148,AB148,AG148,AL148,AQ148,AV148),"-")</f>
        <v>-</v>
      </c>
      <c r="L148" s="621"/>
      <c r="M148" s="199" t="e">
        <f>RANK(K148, K$147:$K$176)</f>
        <v>#VALUE!</v>
      </c>
      <c r="N148" s="604"/>
      <c r="O148" s="604"/>
      <c r="P148" s="182"/>
      <c r="Q148" s="182"/>
      <c r="R148" s="182"/>
      <c r="S148" s="297" t="e">
        <f t="shared" ref="S148:S176" si="95">RANK(R148, R$147:R$176)</f>
        <v>#N/A</v>
      </c>
      <c r="T148" s="600"/>
      <c r="U148" s="182"/>
      <c r="V148" s="182"/>
      <c r="W148" s="182"/>
      <c r="X148" s="441" t="e">
        <f t="shared" si="78"/>
        <v>#N/A</v>
      </c>
      <c r="Y148" s="600"/>
      <c r="Z148" s="182"/>
      <c r="AA148" s="182"/>
      <c r="AB148" s="182"/>
      <c r="AC148" s="441" t="e">
        <f t="shared" si="80"/>
        <v>#N/A</v>
      </c>
      <c r="AD148" s="600"/>
      <c r="AE148" s="182"/>
      <c r="AF148" s="182"/>
      <c r="AG148" s="182"/>
      <c r="AH148" s="441" t="e">
        <f t="shared" si="82"/>
        <v>#N/A</v>
      </c>
      <c r="AI148" s="600"/>
      <c r="AJ148" s="182"/>
      <c r="AK148" s="182"/>
      <c r="AL148" s="182"/>
      <c r="AM148" s="441" t="e">
        <f t="shared" si="84"/>
        <v>#N/A</v>
      </c>
      <c r="AN148" s="600"/>
      <c r="AO148" s="182"/>
      <c r="AP148" s="182"/>
      <c r="AQ148" s="182"/>
      <c r="AR148" s="441" t="e">
        <f t="shared" si="86"/>
        <v>#N/A</v>
      </c>
      <c r="AS148" s="600"/>
      <c r="AT148" s="182"/>
      <c r="AU148" s="182"/>
      <c r="AV148" s="182"/>
      <c r="AW148" s="441" t="e">
        <f t="shared" si="88"/>
        <v>#N/A</v>
      </c>
      <c r="AX148" s="600"/>
      <c r="AZ148" s="526" t="e">
        <f t="shared" si="90"/>
        <v>#N/A</v>
      </c>
      <c r="BA148" s="600"/>
    </row>
    <row r="149" spans="2:53">
      <c r="B149" s="610"/>
      <c r="C149" s="297">
        <v>3</v>
      </c>
      <c r="D149" s="500"/>
      <c r="E149" s="500"/>
      <c r="F149" s="500"/>
      <c r="G149" s="182"/>
      <c r="H149" s="600"/>
      <c r="I149" s="513" t="str">
        <f t="shared" si="92"/>
        <v>-</v>
      </c>
      <c r="J149" s="513" t="str">
        <f t="shared" si="93"/>
        <v>-</v>
      </c>
      <c r="K149" s="200" t="str">
        <f t="shared" si="94"/>
        <v>-</v>
      </c>
      <c r="L149" s="621"/>
      <c r="M149" s="199" t="e">
        <f>RANK(K149, K$147:$K$176)</f>
        <v>#VALUE!</v>
      </c>
      <c r="N149" s="604"/>
      <c r="O149" s="604"/>
      <c r="P149" s="182"/>
      <c r="Q149" s="182"/>
      <c r="R149" s="182"/>
      <c r="S149" s="297" t="e">
        <f t="shared" si="95"/>
        <v>#N/A</v>
      </c>
      <c r="T149" s="600"/>
      <c r="U149" s="182"/>
      <c r="V149" s="182"/>
      <c r="W149" s="182"/>
      <c r="X149" s="441" t="e">
        <f t="shared" si="78"/>
        <v>#N/A</v>
      </c>
      <c r="Y149" s="600"/>
      <c r="Z149" s="182"/>
      <c r="AA149" s="182"/>
      <c r="AB149" s="182"/>
      <c r="AC149" s="441" t="e">
        <f t="shared" si="80"/>
        <v>#N/A</v>
      </c>
      <c r="AD149" s="600"/>
      <c r="AE149" s="182"/>
      <c r="AF149" s="182"/>
      <c r="AG149" s="182"/>
      <c r="AH149" s="441" t="e">
        <f t="shared" si="82"/>
        <v>#N/A</v>
      </c>
      <c r="AI149" s="600"/>
      <c r="AJ149" s="182"/>
      <c r="AK149" s="182"/>
      <c r="AL149" s="182"/>
      <c r="AM149" s="441" t="e">
        <f t="shared" si="84"/>
        <v>#N/A</v>
      </c>
      <c r="AN149" s="600"/>
      <c r="AO149" s="182"/>
      <c r="AP149" s="182"/>
      <c r="AQ149" s="182"/>
      <c r="AR149" s="441" t="e">
        <f t="shared" si="86"/>
        <v>#N/A</v>
      </c>
      <c r="AS149" s="600"/>
      <c r="AT149" s="182"/>
      <c r="AU149" s="182"/>
      <c r="AV149" s="182"/>
      <c r="AW149" s="441" t="e">
        <f t="shared" si="88"/>
        <v>#N/A</v>
      </c>
      <c r="AX149" s="600"/>
      <c r="AZ149" s="526" t="e">
        <f t="shared" si="90"/>
        <v>#N/A</v>
      </c>
      <c r="BA149" s="600"/>
    </row>
    <row r="150" spans="2:53">
      <c r="B150" s="610"/>
      <c r="C150" s="297">
        <v>4</v>
      </c>
      <c r="D150" s="500"/>
      <c r="E150" s="500"/>
      <c r="F150" s="500"/>
      <c r="G150" s="182"/>
      <c r="H150" s="600"/>
      <c r="I150" s="513" t="str">
        <f t="shared" si="92"/>
        <v>-</v>
      </c>
      <c r="J150" s="513" t="str">
        <f t="shared" si="93"/>
        <v>-</v>
      </c>
      <c r="K150" s="200" t="str">
        <f t="shared" si="94"/>
        <v>-</v>
      </c>
      <c r="L150" s="621"/>
      <c r="M150" s="199" t="e">
        <f>RANK(K150, K$147:$K$176)</f>
        <v>#VALUE!</v>
      </c>
      <c r="N150" s="604"/>
      <c r="O150" s="604"/>
      <c r="P150" s="182"/>
      <c r="Q150" s="182"/>
      <c r="R150" s="182"/>
      <c r="S150" s="297" t="e">
        <f t="shared" si="95"/>
        <v>#N/A</v>
      </c>
      <c r="T150" s="600"/>
      <c r="U150" s="182"/>
      <c r="V150" s="182"/>
      <c r="W150" s="182"/>
      <c r="X150" s="441" t="e">
        <f t="shared" si="78"/>
        <v>#N/A</v>
      </c>
      <c r="Y150" s="600"/>
      <c r="Z150" s="182"/>
      <c r="AA150" s="182"/>
      <c r="AB150" s="182"/>
      <c r="AC150" s="441" t="e">
        <f t="shared" si="80"/>
        <v>#N/A</v>
      </c>
      <c r="AD150" s="600"/>
      <c r="AE150" s="182"/>
      <c r="AF150" s="182"/>
      <c r="AG150" s="182"/>
      <c r="AH150" s="441" t="e">
        <f t="shared" si="82"/>
        <v>#N/A</v>
      </c>
      <c r="AI150" s="600"/>
      <c r="AJ150" s="182"/>
      <c r="AK150" s="182"/>
      <c r="AL150" s="182"/>
      <c r="AM150" s="441" t="e">
        <f t="shared" si="84"/>
        <v>#N/A</v>
      </c>
      <c r="AN150" s="600"/>
      <c r="AO150" s="182"/>
      <c r="AP150" s="182"/>
      <c r="AQ150" s="182"/>
      <c r="AR150" s="441" t="e">
        <f t="shared" si="86"/>
        <v>#N/A</v>
      </c>
      <c r="AS150" s="600"/>
      <c r="AT150" s="182"/>
      <c r="AU150" s="182"/>
      <c r="AV150" s="182"/>
      <c r="AW150" s="441" t="e">
        <f t="shared" si="88"/>
        <v>#N/A</v>
      </c>
      <c r="AX150" s="600"/>
      <c r="AZ150" s="526" t="e">
        <f t="shared" si="90"/>
        <v>#N/A</v>
      </c>
      <c r="BA150" s="600"/>
    </row>
    <row r="151" spans="2:53">
      <c r="B151" s="610"/>
      <c r="C151" s="297">
        <v>5</v>
      </c>
      <c r="D151" s="500"/>
      <c r="E151" s="500"/>
      <c r="F151" s="500"/>
      <c r="G151" s="182"/>
      <c r="H151" s="600"/>
      <c r="I151" s="513" t="str">
        <f t="shared" si="92"/>
        <v>-</v>
      </c>
      <c r="J151" s="513" t="str">
        <f t="shared" si="93"/>
        <v>-</v>
      </c>
      <c r="K151" s="200" t="str">
        <f t="shared" si="94"/>
        <v>-</v>
      </c>
      <c r="L151" s="621"/>
      <c r="M151" s="199" t="e">
        <f>RANK(K151, K$147:$K$176)</f>
        <v>#VALUE!</v>
      </c>
      <c r="N151" s="604"/>
      <c r="O151" s="604"/>
      <c r="P151" s="182"/>
      <c r="Q151" s="182"/>
      <c r="R151" s="182"/>
      <c r="S151" s="297" t="e">
        <f t="shared" si="95"/>
        <v>#N/A</v>
      </c>
      <c r="T151" s="600"/>
      <c r="U151" s="182"/>
      <c r="V151" s="182"/>
      <c r="W151" s="182"/>
      <c r="X151" s="441" t="e">
        <f t="shared" si="78"/>
        <v>#N/A</v>
      </c>
      <c r="Y151" s="600"/>
      <c r="Z151" s="182"/>
      <c r="AA151" s="182"/>
      <c r="AB151" s="182"/>
      <c r="AC151" s="441" t="e">
        <f t="shared" si="80"/>
        <v>#N/A</v>
      </c>
      <c r="AD151" s="600"/>
      <c r="AE151" s="182"/>
      <c r="AF151" s="182"/>
      <c r="AG151" s="182"/>
      <c r="AH151" s="441" t="e">
        <f t="shared" si="82"/>
        <v>#N/A</v>
      </c>
      <c r="AI151" s="600"/>
      <c r="AJ151" s="182"/>
      <c r="AK151" s="182"/>
      <c r="AL151" s="182"/>
      <c r="AM151" s="441" t="e">
        <f t="shared" si="84"/>
        <v>#N/A</v>
      </c>
      <c r="AN151" s="600"/>
      <c r="AO151" s="182"/>
      <c r="AP151" s="182"/>
      <c r="AQ151" s="182"/>
      <c r="AR151" s="441" t="e">
        <f t="shared" si="86"/>
        <v>#N/A</v>
      </c>
      <c r="AS151" s="600"/>
      <c r="AT151" s="182"/>
      <c r="AU151" s="182"/>
      <c r="AV151" s="182"/>
      <c r="AW151" s="441" t="e">
        <f t="shared" si="88"/>
        <v>#N/A</v>
      </c>
      <c r="AX151" s="600"/>
      <c r="AZ151" s="526" t="e">
        <f t="shared" si="90"/>
        <v>#N/A</v>
      </c>
      <c r="BA151" s="600"/>
    </row>
    <row r="152" spans="2:53">
      <c r="B152" s="610"/>
      <c r="C152" s="297">
        <v>6</v>
      </c>
      <c r="D152" s="500"/>
      <c r="E152" s="500"/>
      <c r="F152" s="500"/>
      <c r="G152" s="182"/>
      <c r="H152" s="600"/>
      <c r="I152" s="513" t="str">
        <f t="shared" si="92"/>
        <v>-</v>
      </c>
      <c r="J152" s="513" t="str">
        <f t="shared" si="93"/>
        <v>-</v>
      </c>
      <c r="K152" s="200" t="str">
        <f t="shared" si="94"/>
        <v>-</v>
      </c>
      <c r="L152" s="621"/>
      <c r="M152" s="199" t="e">
        <f>RANK(K152, K$147:$K$176)</f>
        <v>#VALUE!</v>
      </c>
      <c r="N152" s="604"/>
      <c r="O152" s="604"/>
      <c r="P152" s="182"/>
      <c r="Q152" s="182"/>
      <c r="R152" s="182"/>
      <c r="S152" s="297" t="e">
        <f t="shared" si="95"/>
        <v>#N/A</v>
      </c>
      <c r="T152" s="600"/>
      <c r="U152" s="182"/>
      <c r="V152" s="182"/>
      <c r="W152" s="182"/>
      <c r="X152" s="441" t="e">
        <f t="shared" si="78"/>
        <v>#N/A</v>
      </c>
      <c r="Y152" s="600"/>
      <c r="Z152" s="182"/>
      <c r="AA152" s="182"/>
      <c r="AB152" s="182"/>
      <c r="AC152" s="441" t="e">
        <f t="shared" si="80"/>
        <v>#N/A</v>
      </c>
      <c r="AD152" s="600"/>
      <c r="AE152" s="182"/>
      <c r="AF152" s="182"/>
      <c r="AG152" s="182"/>
      <c r="AH152" s="441" t="e">
        <f t="shared" si="82"/>
        <v>#N/A</v>
      </c>
      <c r="AI152" s="600"/>
      <c r="AJ152" s="182"/>
      <c r="AK152" s="182"/>
      <c r="AL152" s="182"/>
      <c r="AM152" s="441" t="e">
        <f t="shared" si="84"/>
        <v>#N/A</v>
      </c>
      <c r="AN152" s="600"/>
      <c r="AO152" s="182"/>
      <c r="AP152" s="182"/>
      <c r="AQ152" s="182"/>
      <c r="AR152" s="441" t="e">
        <f t="shared" si="86"/>
        <v>#N/A</v>
      </c>
      <c r="AS152" s="600"/>
      <c r="AT152" s="182"/>
      <c r="AU152" s="182"/>
      <c r="AV152" s="182"/>
      <c r="AW152" s="441" t="e">
        <f t="shared" si="88"/>
        <v>#N/A</v>
      </c>
      <c r="AX152" s="600"/>
      <c r="AZ152" s="526" t="e">
        <f t="shared" si="90"/>
        <v>#N/A</v>
      </c>
      <c r="BA152" s="600"/>
    </row>
    <row r="153" spans="2:53">
      <c r="B153" s="610"/>
      <c r="C153" s="297">
        <v>7</v>
      </c>
      <c r="D153" s="500"/>
      <c r="E153" s="500"/>
      <c r="F153" s="500"/>
      <c r="G153" s="182"/>
      <c r="H153" s="600"/>
      <c r="I153" s="513" t="str">
        <f t="shared" si="92"/>
        <v>-</v>
      </c>
      <c r="J153" s="513" t="str">
        <f t="shared" si="93"/>
        <v>-</v>
      </c>
      <c r="K153" s="200" t="str">
        <f t="shared" si="94"/>
        <v>-</v>
      </c>
      <c r="L153" s="621"/>
      <c r="M153" s="199" t="e">
        <f>RANK(K153, K$147:$K$176)</f>
        <v>#VALUE!</v>
      </c>
      <c r="N153" s="604"/>
      <c r="O153" s="604"/>
      <c r="P153" s="182"/>
      <c r="Q153" s="182"/>
      <c r="R153" s="182"/>
      <c r="S153" s="297" t="e">
        <f t="shared" si="95"/>
        <v>#N/A</v>
      </c>
      <c r="T153" s="600"/>
      <c r="U153" s="182"/>
      <c r="V153" s="182"/>
      <c r="W153" s="182"/>
      <c r="X153" s="441" t="e">
        <f t="shared" si="78"/>
        <v>#N/A</v>
      </c>
      <c r="Y153" s="600"/>
      <c r="Z153" s="182"/>
      <c r="AA153" s="182"/>
      <c r="AB153" s="182"/>
      <c r="AC153" s="441" t="e">
        <f t="shared" si="80"/>
        <v>#N/A</v>
      </c>
      <c r="AD153" s="600"/>
      <c r="AE153" s="182"/>
      <c r="AF153" s="182"/>
      <c r="AG153" s="182"/>
      <c r="AH153" s="441" t="e">
        <f t="shared" si="82"/>
        <v>#N/A</v>
      </c>
      <c r="AI153" s="600"/>
      <c r="AJ153" s="182"/>
      <c r="AK153" s="182"/>
      <c r="AL153" s="182"/>
      <c r="AM153" s="441" t="e">
        <f t="shared" si="84"/>
        <v>#N/A</v>
      </c>
      <c r="AN153" s="600"/>
      <c r="AO153" s="182"/>
      <c r="AP153" s="182"/>
      <c r="AQ153" s="182"/>
      <c r="AR153" s="441" t="e">
        <f t="shared" si="86"/>
        <v>#N/A</v>
      </c>
      <c r="AS153" s="600"/>
      <c r="AT153" s="182"/>
      <c r="AU153" s="182"/>
      <c r="AV153" s="182"/>
      <c r="AW153" s="441" t="e">
        <f t="shared" si="88"/>
        <v>#N/A</v>
      </c>
      <c r="AX153" s="600"/>
      <c r="AZ153" s="526" t="e">
        <f t="shared" si="90"/>
        <v>#N/A</v>
      </c>
      <c r="BA153" s="600"/>
    </row>
    <row r="154" spans="2:53">
      <c r="B154" s="610"/>
      <c r="C154" s="297">
        <v>8</v>
      </c>
      <c r="D154" s="500"/>
      <c r="E154" s="500"/>
      <c r="F154" s="500"/>
      <c r="G154" s="182"/>
      <c r="H154" s="600"/>
      <c r="I154" s="513" t="str">
        <f t="shared" si="92"/>
        <v>-</v>
      </c>
      <c r="J154" s="513" t="str">
        <f t="shared" si="93"/>
        <v>-</v>
      </c>
      <c r="K154" s="200" t="str">
        <f t="shared" si="94"/>
        <v>-</v>
      </c>
      <c r="L154" s="621"/>
      <c r="M154" s="199" t="e">
        <f>RANK(K154, K$147:$K$176)</f>
        <v>#VALUE!</v>
      </c>
      <c r="N154" s="604"/>
      <c r="O154" s="604"/>
      <c r="P154" s="182"/>
      <c r="Q154" s="182"/>
      <c r="R154" s="182"/>
      <c r="S154" s="297" t="e">
        <f t="shared" si="95"/>
        <v>#N/A</v>
      </c>
      <c r="T154" s="600"/>
      <c r="U154" s="182"/>
      <c r="V154" s="182"/>
      <c r="W154" s="182"/>
      <c r="X154" s="441" t="e">
        <f t="shared" si="78"/>
        <v>#N/A</v>
      </c>
      <c r="Y154" s="600"/>
      <c r="Z154" s="182"/>
      <c r="AA154" s="182"/>
      <c r="AB154" s="182"/>
      <c r="AC154" s="441" t="e">
        <f t="shared" si="80"/>
        <v>#N/A</v>
      </c>
      <c r="AD154" s="600"/>
      <c r="AE154" s="182"/>
      <c r="AF154" s="182"/>
      <c r="AG154" s="182"/>
      <c r="AH154" s="441" t="e">
        <f t="shared" si="82"/>
        <v>#N/A</v>
      </c>
      <c r="AI154" s="600"/>
      <c r="AJ154" s="182"/>
      <c r="AK154" s="182"/>
      <c r="AL154" s="182"/>
      <c r="AM154" s="441" t="e">
        <f t="shared" si="84"/>
        <v>#N/A</v>
      </c>
      <c r="AN154" s="600"/>
      <c r="AO154" s="182"/>
      <c r="AP154" s="182"/>
      <c r="AQ154" s="182"/>
      <c r="AR154" s="441" t="e">
        <f t="shared" si="86"/>
        <v>#N/A</v>
      </c>
      <c r="AS154" s="600"/>
      <c r="AT154" s="182"/>
      <c r="AU154" s="182"/>
      <c r="AV154" s="182"/>
      <c r="AW154" s="441" t="e">
        <f t="shared" si="88"/>
        <v>#N/A</v>
      </c>
      <c r="AX154" s="600"/>
      <c r="AZ154" s="526" t="e">
        <f t="shared" si="90"/>
        <v>#N/A</v>
      </c>
      <c r="BA154" s="600"/>
    </row>
    <row r="155" spans="2:53">
      <c r="B155" s="610"/>
      <c r="C155" s="297">
        <v>9</v>
      </c>
      <c r="D155" s="500"/>
      <c r="E155" s="500"/>
      <c r="F155" s="500"/>
      <c r="G155" s="182"/>
      <c r="H155" s="600"/>
      <c r="I155" s="513" t="str">
        <f t="shared" si="92"/>
        <v>-</v>
      </c>
      <c r="J155" s="513" t="str">
        <f t="shared" si="93"/>
        <v>-</v>
      </c>
      <c r="K155" s="200" t="str">
        <f t="shared" si="94"/>
        <v>-</v>
      </c>
      <c r="L155" s="621"/>
      <c r="M155" s="199" t="e">
        <f>RANK(K155, K$147:$K$176)</f>
        <v>#VALUE!</v>
      </c>
      <c r="N155" s="604"/>
      <c r="O155" s="604"/>
      <c r="P155" s="182"/>
      <c r="Q155" s="182"/>
      <c r="R155" s="182"/>
      <c r="S155" s="297" t="e">
        <f t="shared" si="95"/>
        <v>#N/A</v>
      </c>
      <c r="T155" s="600"/>
      <c r="U155" s="182"/>
      <c r="V155" s="182"/>
      <c r="W155" s="182"/>
      <c r="X155" s="441" t="e">
        <f t="shared" si="78"/>
        <v>#N/A</v>
      </c>
      <c r="Y155" s="600"/>
      <c r="Z155" s="182"/>
      <c r="AA155" s="182"/>
      <c r="AB155" s="182"/>
      <c r="AC155" s="441" t="e">
        <f t="shared" si="80"/>
        <v>#N/A</v>
      </c>
      <c r="AD155" s="600"/>
      <c r="AE155" s="182"/>
      <c r="AF155" s="182"/>
      <c r="AG155" s="182"/>
      <c r="AH155" s="441" t="e">
        <f t="shared" si="82"/>
        <v>#N/A</v>
      </c>
      <c r="AI155" s="600"/>
      <c r="AJ155" s="182"/>
      <c r="AK155" s="182"/>
      <c r="AL155" s="182"/>
      <c r="AM155" s="441" t="e">
        <f t="shared" si="84"/>
        <v>#N/A</v>
      </c>
      <c r="AN155" s="600"/>
      <c r="AO155" s="182"/>
      <c r="AP155" s="182"/>
      <c r="AQ155" s="182"/>
      <c r="AR155" s="441" t="e">
        <f t="shared" si="86"/>
        <v>#N/A</v>
      </c>
      <c r="AS155" s="600"/>
      <c r="AT155" s="182"/>
      <c r="AU155" s="182"/>
      <c r="AV155" s="182"/>
      <c r="AW155" s="441" t="e">
        <f t="shared" si="88"/>
        <v>#N/A</v>
      </c>
      <c r="AX155" s="600"/>
      <c r="AZ155" s="526" t="e">
        <f t="shared" si="90"/>
        <v>#N/A</v>
      </c>
      <c r="BA155" s="600"/>
    </row>
    <row r="156" spans="2:53">
      <c r="B156" s="610"/>
      <c r="C156" s="297">
        <v>10</v>
      </c>
      <c r="D156" s="500"/>
      <c r="E156" s="500"/>
      <c r="F156" s="500"/>
      <c r="G156" s="182"/>
      <c r="H156" s="600"/>
      <c r="I156" s="513" t="str">
        <f t="shared" si="92"/>
        <v>-</v>
      </c>
      <c r="J156" s="513" t="str">
        <f t="shared" si="93"/>
        <v>-</v>
      </c>
      <c r="K156" s="200" t="str">
        <f t="shared" si="94"/>
        <v>-</v>
      </c>
      <c r="L156" s="621"/>
      <c r="M156" s="199" t="e">
        <f>RANK(K156, K$147:$K$176)</f>
        <v>#VALUE!</v>
      </c>
      <c r="N156" s="604"/>
      <c r="O156" s="604"/>
      <c r="P156" s="182"/>
      <c r="Q156" s="182"/>
      <c r="R156" s="182"/>
      <c r="S156" s="297" t="e">
        <f t="shared" si="95"/>
        <v>#N/A</v>
      </c>
      <c r="T156" s="600"/>
      <c r="U156" s="182"/>
      <c r="V156" s="182"/>
      <c r="W156" s="182"/>
      <c r="X156" s="441" t="e">
        <f t="shared" si="78"/>
        <v>#N/A</v>
      </c>
      <c r="Y156" s="600"/>
      <c r="Z156" s="182"/>
      <c r="AA156" s="182"/>
      <c r="AB156" s="182"/>
      <c r="AC156" s="441" t="e">
        <f t="shared" si="80"/>
        <v>#N/A</v>
      </c>
      <c r="AD156" s="600"/>
      <c r="AE156" s="182"/>
      <c r="AF156" s="182"/>
      <c r="AG156" s="182"/>
      <c r="AH156" s="441" t="e">
        <f t="shared" si="82"/>
        <v>#N/A</v>
      </c>
      <c r="AI156" s="600"/>
      <c r="AJ156" s="182"/>
      <c r="AK156" s="182"/>
      <c r="AL156" s="182"/>
      <c r="AM156" s="441" t="e">
        <f t="shared" si="84"/>
        <v>#N/A</v>
      </c>
      <c r="AN156" s="600"/>
      <c r="AO156" s="182"/>
      <c r="AP156" s="182"/>
      <c r="AQ156" s="182"/>
      <c r="AR156" s="441" t="e">
        <f t="shared" si="86"/>
        <v>#N/A</v>
      </c>
      <c r="AS156" s="600"/>
      <c r="AT156" s="182"/>
      <c r="AU156" s="182"/>
      <c r="AV156" s="182"/>
      <c r="AW156" s="441" t="e">
        <f t="shared" si="88"/>
        <v>#N/A</v>
      </c>
      <c r="AX156" s="600"/>
      <c r="AZ156" s="526" t="e">
        <f t="shared" si="90"/>
        <v>#N/A</v>
      </c>
      <c r="BA156" s="600"/>
    </row>
    <row r="157" spans="2:53">
      <c r="B157" s="610"/>
      <c r="C157" s="297">
        <v>11</v>
      </c>
      <c r="D157" s="500"/>
      <c r="E157" s="500"/>
      <c r="F157" s="500"/>
      <c r="G157" s="182"/>
      <c r="H157" s="600"/>
      <c r="I157" s="513" t="str">
        <f t="shared" si="92"/>
        <v>-</v>
      </c>
      <c r="J157" s="513" t="str">
        <f t="shared" si="93"/>
        <v>-</v>
      </c>
      <c r="K157" s="200" t="str">
        <f t="shared" si="94"/>
        <v>-</v>
      </c>
      <c r="L157" s="621"/>
      <c r="M157" s="199" t="e">
        <f>RANK(K157, K$147:$K$176)</f>
        <v>#VALUE!</v>
      </c>
      <c r="N157" s="604"/>
      <c r="O157" s="604"/>
      <c r="P157" s="182"/>
      <c r="Q157" s="182"/>
      <c r="R157" s="182"/>
      <c r="S157" s="297" t="e">
        <f t="shared" si="95"/>
        <v>#N/A</v>
      </c>
      <c r="T157" s="600"/>
      <c r="U157" s="182"/>
      <c r="V157" s="182"/>
      <c r="W157" s="182"/>
      <c r="X157" s="441" t="e">
        <f t="shared" si="78"/>
        <v>#N/A</v>
      </c>
      <c r="Y157" s="600"/>
      <c r="Z157" s="182"/>
      <c r="AA157" s="182"/>
      <c r="AB157" s="182"/>
      <c r="AC157" s="441" t="e">
        <f t="shared" si="80"/>
        <v>#N/A</v>
      </c>
      <c r="AD157" s="600"/>
      <c r="AE157" s="182"/>
      <c r="AF157" s="182"/>
      <c r="AG157" s="182"/>
      <c r="AH157" s="441" t="e">
        <f t="shared" si="82"/>
        <v>#N/A</v>
      </c>
      <c r="AI157" s="600"/>
      <c r="AJ157" s="182"/>
      <c r="AK157" s="182"/>
      <c r="AL157" s="182"/>
      <c r="AM157" s="441" t="e">
        <f t="shared" si="84"/>
        <v>#N/A</v>
      </c>
      <c r="AN157" s="600"/>
      <c r="AO157" s="182"/>
      <c r="AP157" s="182"/>
      <c r="AQ157" s="182"/>
      <c r="AR157" s="441" t="e">
        <f t="shared" si="86"/>
        <v>#N/A</v>
      </c>
      <c r="AS157" s="600"/>
      <c r="AT157" s="182"/>
      <c r="AU157" s="182"/>
      <c r="AV157" s="182"/>
      <c r="AW157" s="441" t="e">
        <f t="shared" si="88"/>
        <v>#N/A</v>
      </c>
      <c r="AX157" s="600"/>
      <c r="AZ157" s="526" t="e">
        <f t="shared" si="90"/>
        <v>#N/A</v>
      </c>
      <c r="BA157" s="600"/>
    </row>
    <row r="158" spans="2:53">
      <c r="B158" s="610"/>
      <c r="C158" s="297">
        <v>12</v>
      </c>
      <c r="D158" s="500"/>
      <c r="E158" s="500"/>
      <c r="F158" s="500"/>
      <c r="G158" s="182"/>
      <c r="H158" s="600"/>
      <c r="I158" s="513" t="str">
        <f t="shared" si="92"/>
        <v>-</v>
      </c>
      <c r="J158" s="513" t="str">
        <f t="shared" si="93"/>
        <v>-</v>
      </c>
      <c r="K158" s="200" t="str">
        <f t="shared" si="94"/>
        <v>-</v>
      </c>
      <c r="L158" s="621"/>
      <c r="M158" s="199" t="e">
        <f>RANK(K158, K$147:$K$176)</f>
        <v>#VALUE!</v>
      </c>
      <c r="N158" s="604"/>
      <c r="O158" s="604"/>
      <c r="P158" s="182"/>
      <c r="Q158" s="182"/>
      <c r="R158" s="182"/>
      <c r="S158" s="297" t="e">
        <f t="shared" si="95"/>
        <v>#N/A</v>
      </c>
      <c r="T158" s="600"/>
      <c r="U158" s="182"/>
      <c r="V158" s="182"/>
      <c r="W158" s="182"/>
      <c r="X158" s="441" t="e">
        <f t="shared" si="78"/>
        <v>#N/A</v>
      </c>
      <c r="Y158" s="600"/>
      <c r="Z158" s="182"/>
      <c r="AA158" s="182"/>
      <c r="AB158" s="182"/>
      <c r="AC158" s="441" t="e">
        <f t="shared" si="80"/>
        <v>#N/A</v>
      </c>
      <c r="AD158" s="600"/>
      <c r="AE158" s="182"/>
      <c r="AF158" s="182"/>
      <c r="AG158" s="182"/>
      <c r="AH158" s="441" t="e">
        <f t="shared" si="82"/>
        <v>#N/A</v>
      </c>
      <c r="AI158" s="600"/>
      <c r="AJ158" s="182"/>
      <c r="AK158" s="182"/>
      <c r="AL158" s="182"/>
      <c r="AM158" s="441" t="e">
        <f t="shared" si="84"/>
        <v>#N/A</v>
      </c>
      <c r="AN158" s="600"/>
      <c r="AO158" s="182"/>
      <c r="AP158" s="182"/>
      <c r="AQ158" s="182"/>
      <c r="AR158" s="441" t="e">
        <f t="shared" si="86"/>
        <v>#N/A</v>
      </c>
      <c r="AS158" s="600"/>
      <c r="AT158" s="182"/>
      <c r="AU158" s="182"/>
      <c r="AV158" s="182"/>
      <c r="AW158" s="441" t="e">
        <f t="shared" si="88"/>
        <v>#N/A</v>
      </c>
      <c r="AX158" s="600"/>
      <c r="AZ158" s="526" t="e">
        <f t="shared" si="90"/>
        <v>#N/A</v>
      </c>
      <c r="BA158" s="600"/>
    </row>
    <row r="159" spans="2:53">
      <c r="B159" s="610"/>
      <c r="C159" s="297">
        <v>13</v>
      </c>
      <c r="D159" s="500"/>
      <c r="E159" s="500"/>
      <c r="F159" s="500"/>
      <c r="G159" s="182"/>
      <c r="H159" s="600"/>
      <c r="I159" s="513" t="str">
        <f t="shared" si="92"/>
        <v>-</v>
      </c>
      <c r="J159" s="513" t="str">
        <f t="shared" si="93"/>
        <v>-</v>
      </c>
      <c r="K159" s="200" t="str">
        <f t="shared" si="94"/>
        <v>-</v>
      </c>
      <c r="L159" s="621"/>
      <c r="M159" s="199" t="e">
        <f>RANK(K159, K$147:$K$176)</f>
        <v>#VALUE!</v>
      </c>
      <c r="N159" s="604"/>
      <c r="O159" s="604"/>
      <c r="P159" s="182"/>
      <c r="Q159" s="182"/>
      <c r="R159" s="182"/>
      <c r="S159" s="297" t="e">
        <f t="shared" si="95"/>
        <v>#N/A</v>
      </c>
      <c r="T159" s="600"/>
      <c r="U159" s="182"/>
      <c r="V159" s="182"/>
      <c r="W159" s="182"/>
      <c r="X159" s="441" t="e">
        <f t="shared" si="78"/>
        <v>#N/A</v>
      </c>
      <c r="Y159" s="600"/>
      <c r="Z159" s="182"/>
      <c r="AA159" s="182"/>
      <c r="AB159" s="182"/>
      <c r="AC159" s="441" t="e">
        <f t="shared" si="80"/>
        <v>#N/A</v>
      </c>
      <c r="AD159" s="600"/>
      <c r="AE159" s="182"/>
      <c r="AF159" s="182"/>
      <c r="AG159" s="182"/>
      <c r="AH159" s="441" t="e">
        <f t="shared" si="82"/>
        <v>#N/A</v>
      </c>
      <c r="AI159" s="600"/>
      <c r="AJ159" s="182"/>
      <c r="AK159" s="182"/>
      <c r="AL159" s="182"/>
      <c r="AM159" s="441" t="e">
        <f t="shared" si="84"/>
        <v>#N/A</v>
      </c>
      <c r="AN159" s="600"/>
      <c r="AO159" s="182"/>
      <c r="AP159" s="182"/>
      <c r="AQ159" s="182"/>
      <c r="AR159" s="441" t="e">
        <f t="shared" si="86"/>
        <v>#N/A</v>
      </c>
      <c r="AS159" s="600"/>
      <c r="AT159" s="182"/>
      <c r="AU159" s="182"/>
      <c r="AV159" s="182"/>
      <c r="AW159" s="441" t="e">
        <f t="shared" si="88"/>
        <v>#N/A</v>
      </c>
      <c r="AX159" s="600"/>
      <c r="AZ159" s="526" t="e">
        <f t="shared" si="90"/>
        <v>#N/A</v>
      </c>
      <c r="BA159" s="600"/>
    </row>
    <row r="160" spans="2:53">
      <c r="B160" s="610"/>
      <c r="C160" s="297">
        <v>14</v>
      </c>
      <c r="D160" s="500"/>
      <c r="E160" s="500"/>
      <c r="F160" s="500"/>
      <c r="G160" s="182"/>
      <c r="H160" s="600"/>
      <c r="I160" s="513" t="str">
        <f t="shared" si="92"/>
        <v>-</v>
      </c>
      <c r="J160" s="513" t="str">
        <f t="shared" si="93"/>
        <v>-</v>
      </c>
      <c r="K160" s="200" t="str">
        <f t="shared" si="94"/>
        <v>-</v>
      </c>
      <c r="L160" s="621"/>
      <c r="M160" s="199" t="e">
        <f>RANK(K160, K$147:$K$176)</f>
        <v>#VALUE!</v>
      </c>
      <c r="N160" s="604"/>
      <c r="O160" s="604"/>
      <c r="P160" s="182"/>
      <c r="Q160" s="182"/>
      <c r="R160" s="182"/>
      <c r="S160" s="297" t="e">
        <f t="shared" si="95"/>
        <v>#N/A</v>
      </c>
      <c r="T160" s="600"/>
      <c r="U160" s="182"/>
      <c r="V160" s="182"/>
      <c r="W160" s="182"/>
      <c r="X160" s="441" t="e">
        <f t="shared" si="78"/>
        <v>#N/A</v>
      </c>
      <c r="Y160" s="600"/>
      <c r="Z160" s="182"/>
      <c r="AA160" s="182"/>
      <c r="AB160" s="182"/>
      <c r="AC160" s="441" t="e">
        <f t="shared" si="80"/>
        <v>#N/A</v>
      </c>
      <c r="AD160" s="600"/>
      <c r="AE160" s="182"/>
      <c r="AF160" s="182"/>
      <c r="AG160" s="182"/>
      <c r="AH160" s="441" t="e">
        <f t="shared" si="82"/>
        <v>#N/A</v>
      </c>
      <c r="AI160" s="600"/>
      <c r="AJ160" s="182"/>
      <c r="AK160" s="182"/>
      <c r="AL160" s="182"/>
      <c r="AM160" s="441" t="e">
        <f t="shared" si="84"/>
        <v>#N/A</v>
      </c>
      <c r="AN160" s="600"/>
      <c r="AO160" s="182"/>
      <c r="AP160" s="182"/>
      <c r="AQ160" s="182"/>
      <c r="AR160" s="441" t="e">
        <f t="shared" si="86"/>
        <v>#N/A</v>
      </c>
      <c r="AS160" s="600"/>
      <c r="AT160" s="182"/>
      <c r="AU160" s="182"/>
      <c r="AV160" s="182"/>
      <c r="AW160" s="441" t="e">
        <f t="shared" si="88"/>
        <v>#N/A</v>
      </c>
      <c r="AX160" s="600"/>
      <c r="AZ160" s="526" t="e">
        <f t="shared" si="90"/>
        <v>#N/A</v>
      </c>
      <c r="BA160" s="600"/>
    </row>
    <row r="161" spans="2:53">
      <c r="B161" s="610"/>
      <c r="C161" s="297">
        <v>15</v>
      </c>
      <c r="D161" s="500"/>
      <c r="E161" s="500"/>
      <c r="F161" s="500"/>
      <c r="G161" s="182"/>
      <c r="H161" s="600"/>
      <c r="I161" s="513" t="str">
        <f t="shared" si="92"/>
        <v>-</v>
      </c>
      <c r="J161" s="513" t="str">
        <f t="shared" si="93"/>
        <v>-</v>
      </c>
      <c r="K161" s="200" t="str">
        <f t="shared" si="94"/>
        <v>-</v>
      </c>
      <c r="L161" s="621"/>
      <c r="M161" s="199" t="e">
        <f>RANK(K161, K$147:$K$176)</f>
        <v>#VALUE!</v>
      </c>
      <c r="N161" s="604"/>
      <c r="O161" s="604"/>
      <c r="P161" s="182"/>
      <c r="Q161" s="182"/>
      <c r="R161" s="182"/>
      <c r="S161" s="297" t="e">
        <f t="shared" ref="S161:S175" si="96">RANK(R161, R$147:R$176)</f>
        <v>#N/A</v>
      </c>
      <c r="T161" s="600"/>
      <c r="U161" s="182"/>
      <c r="V161" s="182"/>
      <c r="W161" s="182"/>
      <c r="X161" s="441" t="e">
        <f t="shared" si="78"/>
        <v>#N/A</v>
      </c>
      <c r="Y161" s="600"/>
      <c r="Z161" s="182"/>
      <c r="AA161" s="182"/>
      <c r="AB161" s="182"/>
      <c r="AC161" s="441" t="e">
        <f t="shared" si="80"/>
        <v>#N/A</v>
      </c>
      <c r="AD161" s="600"/>
      <c r="AE161" s="182"/>
      <c r="AF161" s="182"/>
      <c r="AG161" s="182"/>
      <c r="AH161" s="441" t="e">
        <f t="shared" si="82"/>
        <v>#N/A</v>
      </c>
      <c r="AI161" s="600"/>
      <c r="AJ161" s="182"/>
      <c r="AK161" s="182"/>
      <c r="AL161" s="182"/>
      <c r="AM161" s="441" t="e">
        <f t="shared" si="84"/>
        <v>#N/A</v>
      </c>
      <c r="AN161" s="600"/>
      <c r="AO161" s="182"/>
      <c r="AP161" s="182"/>
      <c r="AQ161" s="182"/>
      <c r="AR161" s="441" t="e">
        <f t="shared" si="86"/>
        <v>#N/A</v>
      </c>
      <c r="AS161" s="600"/>
      <c r="AT161" s="182"/>
      <c r="AU161" s="182"/>
      <c r="AV161" s="182"/>
      <c r="AW161" s="441" t="e">
        <f t="shared" si="88"/>
        <v>#N/A</v>
      </c>
      <c r="AX161" s="600"/>
      <c r="AZ161" s="526" t="e">
        <f t="shared" si="90"/>
        <v>#N/A</v>
      </c>
      <c r="BA161" s="600"/>
    </row>
    <row r="162" spans="2:53">
      <c r="B162" s="610"/>
      <c r="C162" s="297">
        <v>16</v>
      </c>
      <c r="D162" s="500"/>
      <c r="E162" s="500"/>
      <c r="F162" s="500"/>
      <c r="G162" s="182"/>
      <c r="H162" s="600"/>
      <c r="I162" s="513" t="str">
        <f t="shared" si="92"/>
        <v>-</v>
      </c>
      <c r="J162" s="513" t="str">
        <f t="shared" si="93"/>
        <v>-</v>
      </c>
      <c r="K162" s="200" t="str">
        <f t="shared" si="94"/>
        <v>-</v>
      </c>
      <c r="L162" s="621"/>
      <c r="M162" s="199" t="e">
        <f>RANK(K162, K$147:$K$176)</f>
        <v>#VALUE!</v>
      </c>
      <c r="N162" s="604"/>
      <c r="O162" s="604"/>
      <c r="P162" s="182"/>
      <c r="Q162" s="182"/>
      <c r="R162" s="182"/>
      <c r="S162" s="297" t="e">
        <f t="shared" si="96"/>
        <v>#N/A</v>
      </c>
      <c r="T162" s="600"/>
      <c r="U162" s="182"/>
      <c r="V162" s="182"/>
      <c r="W162" s="182"/>
      <c r="X162" s="441" t="e">
        <f t="shared" si="78"/>
        <v>#N/A</v>
      </c>
      <c r="Y162" s="600"/>
      <c r="Z162" s="182"/>
      <c r="AA162" s="182"/>
      <c r="AB162" s="182"/>
      <c r="AC162" s="441" t="e">
        <f t="shared" si="80"/>
        <v>#N/A</v>
      </c>
      <c r="AD162" s="600"/>
      <c r="AE162" s="182"/>
      <c r="AF162" s="182"/>
      <c r="AG162" s="182"/>
      <c r="AH162" s="441" t="e">
        <f t="shared" si="82"/>
        <v>#N/A</v>
      </c>
      <c r="AI162" s="600"/>
      <c r="AJ162" s="182"/>
      <c r="AK162" s="182"/>
      <c r="AL162" s="182"/>
      <c r="AM162" s="441" t="e">
        <f t="shared" si="84"/>
        <v>#N/A</v>
      </c>
      <c r="AN162" s="600"/>
      <c r="AO162" s="182"/>
      <c r="AP162" s="182"/>
      <c r="AQ162" s="182"/>
      <c r="AR162" s="441" t="e">
        <f t="shared" si="86"/>
        <v>#N/A</v>
      </c>
      <c r="AS162" s="600"/>
      <c r="AT162" s="182"/>
      <c r="AU162" s="182"/>
      <c r="AV162" s="182"/>
      <c r="AW162" s="441" t="e">
        <f t="shared" si="88"/>
        <v>#N/A</v>
      </c>
      <c r="AX162" s="600"/>
      <c r="AZ162" s="526" t="e">
        <f t="shared" si="90"/>
        <v>#N/A</v>
      </c>
      <c r="BA162" s="600"/>
    </row>
    <row r="163" spans="2:53">
      <c r="B163" s="610"/>
      <c r="C163" s="297">
        <v>17</v>
      </c>
      <c r="D163" s="500"/>
      <c r="E163" s="500"/>
      <c r="F163" s="500"/>
      <c r="G163" s="182"/>
      <c r="H163" s="600"/>
      <c r="I163" s="513" t="str">
        <f t="shared" si="92"/>
        <v>-</v>
      </c>
      <c r="J163" s="513" t="str">
        <f t="shared" si="93"/>
        <v>-</v>
      </c>
      <c r="K163" s="200" t="str">
        <f t="shared" si="94"/>
        <v>-</v>
      </c>
      <c r="L163" s="621"/>
      <c r="M163" s="199" t="e">
        <f>RANK(K163, K$147:$K$176)</f>
        <v>#VALUE!</v>
      </c>
      <c r="N163" s="604"/>
      <c r="O163" s="604"/>
      <c r="P163" s="182"/>
      <c r="Q163" s="182"/>
      <c r="R163" s="182"/>
      <c r="S163" s="297" t="e">
        <f t="shared" si="96"/>
        <v>#N/A</v>
      </c>
      <c r="T163" s="600"/>
      <c r="U163" s="182"/>
      <c r="V163" s="182"/>
      <c r="W163" s="182"/>
      <c r="X163" s="441" t="e">
        <f t="shared" ref="X163:X176" si="97">RANK(W163, W$147:W$176)</f>
        <v>#N/A</v>
      </c>
      <c r="Y163" s="600"/>
      <c r="Z163" s="182"/>
      <c r="AA163" s="182"/>
      <c r="AB163" s="182"/>
      <c r="AC163" s="441" t="e">
        <f t="shared" ref="AC163:AC176" si="98">RANK(AB163, AB$147:AB$176)</f>
        <v>#N/A</v>
      </c>
      <c r="AD163" s="600"/>
      <c r="AE163" s="182"/>
      <c r="AF163" s="182"/>
      <c r="AG163" s="182"/>
      <c r="AH163" s="441" t="e">
        <f t="shared" ref="AH163:AH176" si="99">RANK(AG163, AG$147:AG$176)</f>
        <v>#N/A</v>
      </c>
      <c r="AI163" s="600"/>
      <c r="AJ163" s="182"/>
      <c r="AK163" s="182"/>
      <c r="AL163" s="182"/>
      <c r="AM163" s="441" t="e">
        <f t="shared" ref="AM163:AM176" si="100">RANK(AL163, AL$147:AL$176)</f>
        <v>#N/A</v>
      </c>
      <c r="AN163" s="600"/>
      <c r="AO163" s="182"/>
      <c r="AP163" s="182"/>
      <c r="AQ163" s="182"/>
      <c r="AR163" s="441" t="e">
        <f t="shared" ref="AR163:AR176" si="101">RANK(AQ163, AQ$147:AQ$176)</f>
        <v>#N/A</v>
      </c>
      <c r="AS163" s="600"/>
      <c r="AT163" s="182"/>
      <c r="AU163" s="182"/>
      <c r="AV163" s="182"/>
      <c r="AW163" s="441" t="e">
        <f t="shared" ref="AW163:AW176" si="102">RANK(AV163, AV$147:AV$176)</f>
        <v>#N/A</v>
      </c>
      <c r="AX163" s="600"/>
      <c r="AZ163" s="526" t="e">
        <f t="shared" si="90"/>
        <v>#N/A</v>
      </c>
      <c r="BA163" s="600"/>
    </row>
    <row r="164" spans="2:53">
      <c r="B164" s="610"/>
      <c r="C164" s="297">
        <v>18</v>
      </c>
      <c r="D164" s="500"/>
      <c r="E164" s="500"/>
      <c r="F164" s="500"/>
      <c r="G164" s="182"/>
      <c r="H164" s="600"/>
      <c r="I164" s="513" t="str">
        <f t="shared" si="92"/>
        <v>-</v>
      </c>
      <c r="J164" s="513" t="str">
        <f t="shared" si="93"/>
        <v>-</v>
      </c>
      <c r="K164" s="200" t="str">
        <f t="shared" si="94"/>
        <v>-</v>
      </c>
      <c r="L164" s="621"/>
      <c r="M164" s="199" t="e">
        <f>RANK(K164, K$147:$K$176)</f>
        <v>#VALUE!</v>
      </c>
      <c r="N164" s="604"/>
      <c r="O164" s="604"/>
      <c r="P164" s="182"/>
      <c r="Q164" s="182"/>
      <c r="R164" s="182"/>
      <c r="S164" s="297" t="e">
        <f t="shared" si="96"/>
        <v>#N/A</v>
      </c>
      <c r="T164" s="600"/>
      <c r="U164" s="182"/>
      <c r="V164" s="182"/>
      <c r="W164" s="182"/>
      <c r="X164" s="441" t="e">
        <f t="shared" si="97"/>
        <v>#N/A</v>
      </c>
      <c r="Y164" s="600"/>
      <c r="Z164" s="182"/>
      <c r="AA164" s="182"/>
      <c r="AB164" s="182"/>
      <c r="AC164" s="441" t="e">
        <f t="shared" si="98"/>
        <v>#N/A</v>
      </c>
      <c r="AD164" s="600"/>
      <c r="AE164" s="182"/>
      <c r="AF164" s="182"/>
      <c r="AG164" s="182"/>
      <c r="AH164" s="441" t="e">
        <f t="shared" si="99"/>
        <v>#N/A</v>
      </c>
      <c r="AI164" s="600"/>
      <c r="AJ164" s="182"/>
      <c r="AK164" s="182"/>
      <c r="AL164" s="182"/>
      <c r="AM164" s="441" t="e">
        <f t="shared" si="100"/>
        <v>#N/A</v>
      </c>
      <c r="AN164" s="600"/>
      <c r="AO164" s="182"/>
      <c r="AP164" s="182"/>
      <c r="AQ164" s="182"/>
      <c r="AR164" s="441" t="e">
        <f t="shared" si="101"/>
        <v>#N/A</v>
      </c>
      <c r="AS164" s="600"/>
      <c r="AT164" s="182"/>
      <c r="AU164" s="182"/>
      <c r="AV164" s="182"/>
      <c r="AW164" s="441" t="e">
        <f t="shared" si="102"/>
        <v>#N/A</v>
      </c>
      <c r="AX164" s="600"/>
      <c r="AZ164" s="526" t="e">
        <f t="shared" si="90"/>
        <v>#N/A</v>
      </c>
      <c r="BA164" s="600"/>
    </row>
    <row r="165" spans="2:53">
      <c r="B165" s="610"/>
      <c r="C165" s="297">
        <v>19</v>
      </c>
      <c r="D165" s="500"/>
      <c r="E165" s="500"/>
      <c r="F165" s="500"/>
      <c r="G165" s="182"/>
      <c r="H165" s="600"/>
      <c r="I165" s="513" t="str">
        <f t="shared" si="92"/>
        <v>-</v>
      </c>
      <c r="J165" s="513" t="str">
        <f t="shared" si="93"/>
        <v>-</v>
      </c>
      <c r="K165" s="200" t="str">
        <f t="shared" si="94"/>
        <v>-</v>
      </c>
      <c r="L165" s="621"/>
      <c r="M165" s="199" t="e">
        <f>RANK(K165, K$147:$K$176)</f>
        <v>#VALUE!</v>
      </c>
      <c r="N165" s="604"/>
      <c r="O165" s="604"/>
      <c r="P165" s="182"/>
      <c r="Q165" s="182"/>
      <c r="R165" s="182"/>
      <c r="S165" s="297" t="e">
        <f t="shared" si="96"/>
        <v>#N/A</v>
      </c>
      <c r="T165" s="600"/>
      <c r="U165" s="182"/>
      <c r="V165" s="182"/>
      <c r="W165" s="182"/>
      <c r="X165" s="441" t="e">
        <f t="shared" si="97"/>
        <v>#N/A</v>
      </c>
      <c r="Y165" s="600"/>
      <c r="Z165" s="182"/>
      <c r="AA165" s="182"/>
      <c r="AB165" s="182"/>
      <c r="AC165" s="441" t="e">
        <f t="shared" si="98"/>
        <v>#N/A</v>
      </c>
      <c r="AD165" s="600"/>
      <c r="AE165" s="182"/>
      <c r="AF165" s="182"/>
      <c r="AG165" s="182"/>
      <c r="AH165" s="441" t="e">
        <f t="shared" si="99"/>
        <v>#N/A</v>
      </c>
      <c r="AI165" s="600"/>
      <c r="AJ165" s="182"/>
      <c r="AK165" s="182"/>
      <c r="AL165" s="182"/>
      <c r="AM165" s="441" t="e">
        <f t="shared" si="100"/>
        <v>#N/A</v>
      </c>
      <c r="AN165" s="600"/>
      <c r="AO165" s="182"/>
      <c r="AP165" s="182"/>
      <c r="AQ165" s="182"/>
      <c r="AR165" s="441" t="e">
        <f t="shared" si="101"/>
        <v>#N/A</v>
      </c>
      <c r="AS165" s="600"/>
      <c r="AT165" s="182"/>
      <c r="AU165" s="182"/>
      <c r="AV165" s="182"/>
      <c r="AW165" s="441" t="e">
        <f t="shared" si="102"/>
        <v>#N/A</v>
      </c>
      <c r="AX165" s="600"/>
      <c r="AZ165" s="526" t="e">
        <f t="shared" si="90"/>
        <v>#N/A</v>
      </c>
      <c r="BA165" s="600"/>
    </row>
    <row r="166" spans="2:53">
      <c r="B166" s="610"/>
      <c r="C166" s="297">
        <v>20</v>
      </c>
      <c r="D166" s="500"/>
      <c r="E166" s="500"/>
      <c r="F166" s="500"/>
      <c r="G166" s="182"/>
      <c r="H166" s="600"/>
      <c r="I166" s="513" t="str">
        <f t="shared" si="92"/>
        <v>-</v>
      </c>
      <c r="J166" s="513" t="str">
        <f t="shared" si="93"/>
        <v>-</v>
      </c>
      <c r="K166" s="200" t="str">
        <f t="shared" si="94"/>
        <v>-</v>
      </c>
      <c r="L166" s="621"/>
      <c r="M166" s="199" t="e">
        <f>RANK(K166, K$147:$K$176)</f>
        <v>#VALUE!</v>
      </c>
      <c r="N166" s="604"/>
      <c r="O166" s="604"/>
      <c r="P166" s="182"/>
      <c r="Q166" s="182"/>
      <c r="R166" s="182"/>
      <c r="S166" s="297" t="e">
        <f t="shared" si="96"/>
        <v>#N/A</v>
      </c>
      <c r="T166" s="600"/>
      <c r="U166" s="182"/>
      <c r="V166" s="182"/>
      <c r="W166" s="182"/>
      <c r="X166" s="441" t="e">
        <f t="shared" si="97"/>
        <v>#N/A</v>
      </c>
      <c r="Y166" s="600"/>
      <c r="Z166" s="182"/>
      <c r="AA166" s="182"/>
      <c r="AB166" s="182"/>
      <c r="AC166" s="441" t="e">
        <f t="shared" si="98"/>
        <v>#N/A</v>
      </c>
      <c r="AD166" s="600"/>
      <c r="AE166" s="182"/>
      <c r="AF166" s="182"/>
      <c r="AG166" s="182"/>
      <c r="AH166" s="441" t="e">
        <f t="shared" si="99"/>
        <v>#N/A</v>
      </c>
      <c r="AI166" s="600"/>
      <c r="AJ166" s="182"/>
      <c r="AK166" s="182"/>
      <c r="AL166" s="182"/>
      <c r="AM166" s="441" t="e">
        <f t="shared" si="100"/>
        <v>#N/A</v>
      </c>
      <c r="AN166" s="600"/>
      <c r="AO166" s="182"/>
      <c r="AP166" s="182"/>
      <c r="AQ166" s="182"/>
      <c r="AR166" s="441" t="e">
        <f t="shared" si="101"/>
        <v>#N/A</v>
      </c>
      <c r="AS166" s="600"/>
      <c r="AT166" s="182"/>
      <c r="AU166" s="182"/>
      <c r="AV166" s="182"/>
      <c r="AW166" s="441" t="e">
        <f t="shared" si="102"/>
        <v>#N/A</v>
      </c>
      <c r="AX166" s="600"/>
      <c r="AZ166" s="526" t="e">
        <f t="shared" si="90"/>
        <v>#N/A</v>
      </c>
      <c r="BA166" s="600"/>
    </row>
    <row r="167" spans="2:53">
      <c r="B167" s="610"/>
      <c r="C167" s="297">
        <v>21</v>
      </c>
      <c r="D167" s="501"/>
      <c r="E167" s="500"/>
      <c r="F167" s="500"/>
      <c r="G167" s="182"/>
      <c r="H167" s="600"/>
      <c r="I167" s="513" t="str">
        <f t="shared" si="92"/>
        <v>-</v>
      </c>
      <c r="J167" s="513" t="str">
        <f t="shared" si="93"/>
        <v>-</v>
      </c>
      <c r="K167" s="200" t="str">
        <f t="shared" si="94"/>
        <v>-</v>
      </c>
      <c r="L167" s="621"/>
      <c r="M167" s="199" t="e">
        <f>RANK(K167, K$147:$K$176)</f>
        <v>#VALUE!</v>
      </c>
      <c r="N167" s="604"/>
      <c r="O167" s="604"/>
      <c r="P167" s="502"/>
      <c r="Q167" s="182"/>
      <c r="R167" s="503"/>
      <c r="S167" s="297" t="e">
        <f t="shared" si="96"/>
        <v>#N/A</v>
      </c>
      <c r="T167" s="600"/>
      <c r="U167" s="502"/>
      <c r="V167" s="182"/>
      <c r="W167" s="503"/>
      <c r="X167" s="441" t="e">
        <f t="shared" si="97"/>
        <v>#N/A</v>
      </c>
      <c r="Y167" s="600"/>
      <c r="Z167" s="502"/>
      <c r="AA167" s="182"/>
      <c r="AB167" s="503"/>
      <c r="AC167" s="441" t="e">
        <f t="shared" si="98"/>
        <v>#N/A</v>
      </c>
      <c r="AD167" s="600"/>
      <c r="AE167" s="502"/>
      <c r="AF167" s="182"/>
      <c r="AG167" s="503"/>
      <c r="AH167" s="441" t="e">
        <f t="shared" si="99"/>
        <v>#N/A</v>
      </c>
      <c r="AI167" s="600"/>
      <c r="AJ167" s="502"/>
      <c r="AK167" s="182"/>
      <c r="AL167" s="503"/>
      <c r="AM167" s="441" t="e">
        <f t="shared" si="100"/>
        <v>#N/A</v>
      </c>
      <c r="AN167" s="600"/>
      <c r="AO167" s="502"/>
      <c r="AP167" s="182"/>
      <c r="AQ167" s="503"/>
      <c r="AR167" s="441" t="e">
        <f t="shared" si="101"/>
        <v>#N/A</v>
      </c>
      <c r="AS167" s="600"/>
      <c r="AT167" s="502"/>
      <c r="AU167" s="182"/>
      <c r="AV167" s="503"/>
      <c r="AW167" s="441" t="e">
        <f t="shared" si="102"/>
        <v>#N/A</v>
      </c>
      <c r="AX167" s="600"/>
      <c r="AZ167" s="526" t="e">
        <f t="shared" si="90"/>
        <v>#N/A</v>
      </c>
      <c r="BA167" s="600"/>
    </row>
    <row r="168" spans="2:53">
      <c r="B168" s="610"/>
      <c r="C168" s="297">
        <v>22</v>
      </c>
      <c r="D168" s="297"/>
      <c r="E168" s="297"/>
      <c r="F168" s="297"/>
      <c r="G168" s="297"/>
      <c r="H168" s="600"/>
      <c r="I168" s="513" t="str">
        <f t="shared" si="92"/>
        <v>-</v>
      </c>
      <c r="J168" s="513" t="str">
        <f t="shared" si="93"/>
        <v>-</v>
      </c>
      <c r="K168" s="200" t="str">
        <f t="shared" si="94"/>
        <v>-</v>
      </c>
      <c r="L168" s="621"/>
      <c r="M168" s="199" t="e">
        <f>RANK(K168, K$147:$K$176)</f>
        <v>#VALUE!</v>
      </c>
      <c r="N168" s="604"/>
      <c r="O168" s="604"/>
      <c r="P168" s="502"/>
      <c r="Q168" s="182"/>
      <c r="R168" s="503"/>
      <c r="S168" s="297" t="e">
        <f t="shared" si="96"/>
        <v>#N/A</v>
      </c>
      <c r="T168" s="600"/>
      <c r="U168" s="502"/>
      <c r="V168" s="182"/>
      <c r="W168" s="503"/>
      <c r="X168" s="441" t="e">
        <f t="shared" si="97"/>
        <v>#N/A</v>
      </c>
      <c r="Y168" s="600"/>
      <c r="Z168" s="502"/>
      <c r="AA168" s="182"/>
      <c r="AB168" s="503"/>
      <c r="AC168" s="441" t="e">
        <f t="shared" si="98"/>
        <v>#N/A</v>
      </c>
      <c r="AD168" s="600"/>
      <c r="AE168" s="502"/>
      <c r="AF168" s="182"/>
      <c r="AG168" s="503"/>
      <c r="AH168" s="441" t="e">
        <f t="shared" si="99"/>
        <v>#N/A</v>
      </c>
      <c r="AI168" s="600"/>
      <c r="AJ168" s="502"/>
      <c r="AK168" s="182"/>
      <c r="AL168" s="503"/>
      <c r="AM168" s="441" t="e">
        <f t="shared" si="100"/>
        <v>#N/A</v>
      </c>
      <c r="AN168" s="600"/>
      <c r="AO168" s="502"/>
      <c r="AP168" s="182"/>
      <c r="AQ168" s="503"/>
      <c r="AR168" s="441" t="e">
        <f t="shared" si="101"/>
        <v>#N/A</v>
      </c>
      <c r="AS168" s="600"/>
      <c r="AT168" s="502"/>
      <c r="AU168" s="182"/>
      <c r="AV168" s="503"/>
      <c r="AW168" s="441" t="e">
        <f t="shared" si="102"/>
        <v>#N/A</v>
      </c>
      <c r="AX168" s="600"/>
      <c r="AZ168" s="526" t="e">
        <f t="shared" si="90"/>
        <v>#N/A</v>
      </c>
      <c r="BA168" s="600"/>
    </row>
    <row r="169" spans="2:53">
      <c r="B169" s="610"/>
      <c r="C169" s="297">
        <v>23</v>
      </c>
      <c r="D169" s="297"/>
      <c r="E169" s="297"/>
      <c r="F169" s="297"/>
      <c r="G169" s="297"/>
      <c r="H169" s="600"/>
      <c r="I169" s="513" t="str">
        <f t="shared" si="92"/>
        <v>-</v>
      </c>
      <c r="J169" s="513" t="str">
        <f t="shared" si="93"/>
        <v>-</v>
      </c>
      <c r="K169" s="200" t="str">
        <f t="shared" si="94"/>
        <v>-</v>
      </c>
      <c r="L169" s="621"/>
      <c r="M169" s="199" t="e">
        <f>RANK(K169, K$147:$K$176)</f>
        <v>#VALUE!</v>
      </c>
      <c r="N169" s="604"/>
      <c r="O169" s="604"/>
      <c r="P169" s="502"/>
      <c r="Q169" s="182"/>
      <c r="R169" s="503"/>
      <c r="S169" s="297" t="e">
        <f t="shared" si="96"/>
        <v>#N/A</v>
      </c>
      <c r="T169" s="600"/>
      <c r="U169" s="502"/>
      <c r="V169" s="182"/>
      <c r="W169" s="503"/>
      <c r="X169" s="441" t="e">
        <f t="shared" si="97"/>
        <v>#N/A</v>
      </c>
      <c r="Y169" s="600"/>
      <c r="Z169" s="502"/>
      <c r="AA169" s="182"/>
      <c r="AB169" s="503"/>
      <c r="AC169" s="441" t="e">
        <f t="shared" si="98"/>
        <v>#N/A</v>
      </c>
      <c r="AD169" s="600"/>
      <c r="AE169" s="502"/>
      <c r="AF169" s="182"/>
      <c r="AG169" s="503"/>
      <c r="AH169" s="441" t="e">
        <f t="shared" si="99"/>
        <v>#N/A</v>
      </c>
      <c r="AI169" s="600"/>
      <c r="AJ169" s="502"/>
      <c r="AK169" s="182"/>
      <c r="AL169" s="503"/>
      <c r="AM169" s="441" t="e">
        <f t="shared" si="100"/>
        <v>#N/A</v>
      </c>
      <c r="AN169" s="600"/>
      <c r="AO169" s="502"/>
      <c r="AP169" s="182"/>
      <c r="AQ169" s="503"/>
      <c r="AR169" s="441" t="e">
        <f t="shared" si="101"/>
        <v>#N/A</v>
      </c>
      <c r="AS169" s="600"/>
      <c r="AT169" s="502"/>
      <c r="AU169" s="182"/>
      <c r="AV169" s="503"/>
      <c r="AW169" s="441" t="e">
        <f t="shared" si="102"/>
        <v>#N/A</v>
      </c>
      <c r="AX169" s="600"/>
      <c r="AZ169" s="526" t="e">
        <f t="shared" si="90"/>
        <v>#N/A</v>
      </c>
      <c r="BA169" s="600"/>
    </row>
    <row r="170" spans="2:53">
      <c r="B170" s="610"/>
      <c r="C170" s="297">
        <v>24</v>
      </c>
      <c r="D170" s="297"/>
      <c r="E170" s="297"/>
      <c r="F170" s="297"/>
      <c r="G170" s="297"/>
      <c r="H170" s="600"/>
      <c r="I170" s="513" t="str">
        <f t="shared" si="92"/>
        <v>-</v>
      </c>
      <c r="J170" s="513" t="str">
        <f t="shared" si="93"/>
        <v>-</v>
      </c>
      <c r="K170" s="200" t="str">
        <f t="shared" si="94"/>
        <v>-</v>
      </c>
      <c r="L170" s="621"/>
      <c r="M170" s="199" t="e">
        <f>RANK(K170, K$147:$K$176)</f>
        <v>#VALUE!</v>
      </c>
      <c r="N170" s="604"/>
      <c r="O170" s="604"/>
      <c r="P170" s="502"/>
      <c r="Q170" s="182"/>
      <c r="R170" s="503"/>
      <c r="S170" s="297" t="e">
        <f t="shared" si="96"/>
        <v>#N/A</v>
      </c>
      <c r="T170" s="600"/>
      <c r="U170" s="502"/>
      <c r="V170" s="182"/>
      <c r="W170" s="503"/>
      <c r="X170" s="441" t="e">
        <f t="shared" si="97"/>
        <v>#N/A</v>
      </c>
      <c r="Y170" s="600"/>
      <c r="Z170" s="502"/>
      <c r="AA170" s="182"/>
      <c r="AB170" s="503"/>
      <c r="AC170" s="441" t="e">
        <f t="shared" si="98"/>
        <v>#N/A</v>
      </c>
      <c r="AD170" s="600"/>
      <c r="AE170" s="502"/>
      <c r="AF170" s="182"/>
      <c r="AG170" s="503"/>
      <c r="AH170" s="441" t="e">
        <f t="shared" si="99"/>
        <v>#N/A</v>
      </c>
      <c r="AI170" s="600"/>
      <c r="AJ170" s="502"/>
      <c r="AK170" s="182"/>
      <c r="AL170" s="503"/>
      <c r="AM170" s="441" t="e">
        <f t="shared" si="100"/>
        <v>#N/A</v>
      </c>
      <c r="AN170" s="600"/>
      <c r="AO170" s="502"/>
      <c r="AP170" s="182"/>
      <c r="AQ170" s="503"/>
      <c r="AR170" s="441" t="e">
        <f t="shared" si="101"/>
        <v>#N/A</v>
      </c>
      <c r="AS170" s="600"/>
      <c r="AT170" s="502"/>
      <c r="AU170" s="182"/>
      <c r="AV170" s="503"/>
      <c r="AW170" s="441" t="e">
        <f t="shared" si="102"/>
        <v>#N/A</v>
      </c>
      <c r="AX170" s="600"/>
      <c r="AZ170" s="526" t="e">
        <f t="shared" si="90"/>
        <v>#N/A</v>
      </c>
      <c r="BA170" s="600"/>
    </row>
    <row r="171" spans="2:53">
      <c r="B171" s="610"/>
      <c r="C171" s="297">
        <v>25</v>
      </c>
      <c r="D171" s="297"/>
      <c r="E171" s="297"/>
      <c r="F171" s="297"/>
      <c r="G171" s="297"/>
      <c r="H171" s="600"/>
      <c r="I171" s="513" t="str">
        <f t="shared" si="92"/>
        <v>-</v>
      </c>
      <c r="J171" s="513" t="str">
        <f t="shared" si="93"/>
        <v>-</v>
      </c>
      <c r="K171" s="200" t="str">
        <f t="shared" si="94"/>
        <v>-</v>
      </c>
      <c r="L171" s="621"/>
      <c r="M171" s="199" t="e">
        <f>RANK(K171, K$147:$K$176)</f>
        <v>#VALUE!</v>
      </c>
      <c r="N171" s="604"/>
      <c r="O171" s="604"/>
      <c r="P171" s="502"/>
      <c r="Q171" s="182"/>
      <c r="R171" s="503"/>
      <c r="S171" s="297" t="e">
        <f t="shared" si="96"/>
        <v>#N/A</v>
      </c>
      <c r="T171" s="600"/>
      <c r="U171" s="502"/>
      <c r="V171" s="182"/>
      <c r="W171" s="503"/>
      <c r="X171" s="441" t="e">
        <f t="shared" si="97"/>
        <v>#N/A</v>
      </c>
      <c r="Y171" s="600"/>
      <c r="Z171" s="502"/>
      <c r="AA171" s="182"/>
      <c r="AB171" s="503"/>
      <c r="AC171" s="441" t="e">
        <f t="shared" si="98"/>
        <v>#N/A</v>
      </c>
      <c r="AD171" s="600"/>
      <c r="AE171" s="502"/>
      <c r="AF171" s="182"/>
      <c r="AG171" s="503"/>
      <c r="AH171" s="441" t="e">
        <f t="shared" si="99"/>
        <v>#N/A</v>
      </c>
      <c r="AI171" s="600"/>
      <c r="AJ171" s="502"/>
      <c r="AK171" s="182"/>
      <c r="AL171" s="503"/>
      <c r="AM171" s="441" t="e">
        <f t="shared" si="100"/>
        <v>#N/A</v>
      </c>
      <c r="AN171" s="600"/>
      <c r="AO171" s="502"/>
      <c r="AP171" s="182"/>
      <c r="AQ171" s="503"/>
      <c r="AR171" s="441" t="e">
        <f t="shared" si="101"/>
        <v>#N/A</v>
      </c>
      <c r="AS171" s="600"/>
      <c r="AT171" s="502"/>
      <c r="AU171" s="182"/>
      <c r="AV171" s="503"/>
      <c r="AW171" s="441" t="e">
        <f t="shared" si="102"/>
        <v>#N/A</v>
      </c>
      <c r="AX171" s="600"/>
      <c r="AZ171" s="526" t="e">
        <f t="shared" si="90"/>
        <v>#N/A</v>
      </c>
      <c r="BA171" s="600"/>
    </row>
    <row r="172" spans="2:53">
      <c r="B172" s="610"/>
      <c r="C172" s="297">
        <v>26</v>
      </c>
      <c r="D172" s="297"/>
      <c r="E172" s="297"/>
      <c r="F172" s="297"/>
      <c r="G172" s="297"/>
      <c r="H172" s="600"/>
      <c r="I172" s="513" t="str">
        <f t="shared" si="92"/>
        <v>-</v>
      </c>
      <c r="J172" s="513" t="str">
        <f t="shared" si="93"/>
        <v>-</v>
      </c>
      <c r="K172" s="200" t="str">
        <f t="shared" si="94"/>
        <v>-</v>
      </c>
      <c r="L172" s="621"/>
      <c r="M172" s="199" t="e">
        <f>RANK(K172, K$147:$K$176)</f>
        <v>#VALUE!</v>
      </c>
      <c r="N172" s="604"/>
      <c r="O172" s="604"/>
      <c r="P172" s="502"/>
      <c r="Q172" s="182"/>
      <c r="R172" s="503"/>
      <c r="S172" s="297" t="e">
        <f t="shared" si="96"/>
        <v>#N/A</v>
      </c>
      <c r="T172" s="600"/>
      <c r="U172" s="502"/>
      <c r="V172" s="182"/>
      <c r="W172" s="503"/>
      <c r="X172" s="441" t="e">
        <f t="shared" si="97"/>
        <v>#N/A</v>
      </c>
      <c r="Y172" s="600"/>
      <c r="Z172" s="502"/>
      <c r="AA172" s="182"/>
      <c r="AB172" s="503"/>
      <c r="AC172" s="441" t="e">
        <f t="shared" si="98"/>
        <v>#N/A</v>
      </c>
      <c r="AD172" s="600"/>
      <c r="AE172" s="502"/>
      <c r="AF172" s="182"/>
      <c r="AG172" s="503"/>
      <c r="AH172" s="441" t="e">
        <f t="shared" si="99"/>
        <v>#N/A</v>
      </c>
      <c r="AI172" s="600"/>
      <c r="AJ172" s="502"/>
      <c r="AK172" s="182"/>
      <c r="AL172" s="503"/>
      <c r="AM172" s="441" t="e">
        <f t="shared" si="100"/>
        <v>#N/A</v>
      </c>
      <c r="AN172" s="600"/>
      <c r="AO172" s="502"/>
      <c r="AP172" s="182"/>
      <c r="AQ172" s="503"/>
      <c r="AR172" s="441" t="e">
        <f t="shared" si="101"/>
        <v>#N/A</v>
      </c>
      <c r="AS172" s="600"/>
      <c r="AT172" s="502"/>
      <c r="AU172" s="182"/>
      <c r="AV172" s="503"/>
      <c r="AW172" s="441" t="e">
        <f t="shared" si="102"/>
        <v>#N/A</v>
      </c>
      <c r="AX172" s="600"/>
      <c r="AZ172" s="526" t="e">
        <f t="shared" si="90"/>
        <v>#N/A</v>
      </c>
      <c r="BA172" s="600"/>
    </row>
    <row r="173" spans="2:53">
      <c r="B173" s="610"/>
      <c r="C173" s="297">
        <v>27</v>
      </c>
      <c r="D173" s="297"/>
      <c r="E173" s="297"/>
      <c r="F173" s="297"/>
      <c r="G173" s="297"/>
      <c r="H173" s="600"/>
      <c r="I173" s="513" t="str">
        <f t="shared" si="92"/>
        <v>-</v>
      </c>
      <c r="J173" s="513" t="str">
        <f t="shared" si="93"/>
        <v>-</v>
      </c>
      <c r="K173" s="200" t="str">
        <f t="shared" si="94"/>
        <v>-</v>
      </c>
      <c r="L173" s="621"/>
      <c r="M173" s="199" t="e">
        <f>RANK(K173, K$147:$K$176)</f>
        <v>#VALUE!</v>
      </c>
      <c r="N173" s="604"/>
      <c r="O173" s="604"/>
      <c r="P173" s="502"/>
      <c r="Q173" s="182"/>
      <c r="R173" s="503"/>
      <c r="S173" s="297" t="e">
        <f t="shared" si="96"/>
        <v>#N/A</v>
      </c>
      <c r="T173" s="600"/>
      <c r="U173" s="502"/>
      <c r="V173" s="182"/>
      <c r="W173" s="503"/>
      <c r="X173" s="441" t="e">
        <f t="shared" si="97"/>
        <v>#N/A</v>
      </c>
      <c r="Y173" s="600"/>
      <c r="Z173" s="502"/>
      <c r="AA173" s="182"/>
      <c r="AB173" s="503"/>
      <c r="AC173" s="441" t="e">
        <f t="shared" si="98"/>
        <v>#N/A</v>
      </c>
      <c r="AD173" s="600"/>
      <c r="AE173" s="502"/>
      <c r="AF173" s="182"/>
      <c r="AG173" s="503"/>
      <c r="AH173" s="441" t="e">
        <f t="shared" si="99"/>
        <v>#N/A</v>
      </c>
      <c r="AI173" s="600"/>
      <c r="AJ173" s="502"/>
      <c r="AK173" s="182"/>
      <c r="AL173" s="503"/>
      <c r="AM173" s="441" t="e">
        <f t="shared" si="100"/>
        <v>#N/A</v>
      </c>
      <c r="AN173" s="600"/>
      <c r="AO173" s="502"/>
      <c r="AP173" s="182"/>
      <c r="AQ173" s="503"/>
      <c r="AR173" s="441" t="e">
        <f t="shared" si="101"/>
        <v>#N/A</v>
      </c>
      <c r="AS173" s="600"/>
      <c r="AT173" s="502"/>
      <c r="AU173" s="182"/>
      <c r="AV173" s="503"/>
      <c r="AW173" s="441" t="e">
        <f t="shared" si="102"/>
        <v>#N/A</v>
      </c>
      <c r="AX173" s="600"/>
      <c r="AZ173" s="526" t="e">
        <f t="shared" si="90"/>
        <v>#N/A</v>
      </c>
      <c r="BA173" s="600"/>
    </row>
    <row r="174" spans="2:53">
      <c r="B174" s="610"/>
      <c r="C174" s="297">
        <v>28</v>
      </c>
      <c r="D174" s="297"/>
      <c r="E174" s="297"/>
      <c r="F174" s="297"/>
      <c r="G174" s="297"/>
      <c r="H174" s="600"/>
      <c r="I174" s="513" t="str">
        <f t="shared" si="92"/>
        <v>-</v>
      </c>
      <c r="J174" s="513" t="str">
        <f t="shared" si="93"/>
        <v>-</v>
      </c>
      <c r="K174" s="200" t="str">
        <f t="shared" si="94"/>
        <v>-</v>
      </c>
      <c r="L174" s="621"/>
      <c r="M174" s="199" t="e">
        <f>RANK(K174, K$147:$K$176)</f>
        <v>#VALUE!</v>
      </c>
      <c r="N174" s="604"/>
      <c r="O174" s="604"/>
      <c r="P174" s="502"/>
      <c r="Q174" s="182"/>
      <c r="R174" s="503"/>
      <c r="S174" s="297" t="e">
        <f t="shared" si="96"/>
        <v>#N/A</v>
      </c>
      <c r="T174" s="600"/>
      <c r="U174" s="502"/>
      <c r="V174" s="182"/>
      <c r="W174" s="503"/>
      <c r="X174" s="441" t="e">
        <f t="shared" si="97"/>
        <v>#N/A</v>
      </c>
      <c r="Y174" s="600"/>
      <c r="Z174" s="502"/>
      <c r="AA174" s="182"/>
      <c r="AB174" s="503"/>
      <c r="AC174" s="441" t="e">
        <f t="shared" si="98"/>
        <v>#N/A</v>
      </c>
      <c r="AD174" s="600"/>
      <c r="AE174" s="502"/>
      <c r="AF174" s="182"/>
      <c r="AG174" s="503"/>
      <c r="AH174" s="441" t="e">
        <f t="shared" si="99"/>
        <v>#N/A</v>
      </c>
      <c r="AI174" s="600"/>
      <c r="AJ174" s="502"/>
      <c r="AK174" s="182"/>
      <c r="AL174" s="503"/>
      <c r="AM174" s="441" t="e">
        <f t="shared" si="100"/>
        <v>#N/A</v>
      </c>
      <c r="AN174" s="600"/>
      <c r="AO174" s="502"/>
      <c r="AP174" s="182"/>
      <c r="AQ174" s="503"/>
      <c r="AR174" s="441" t="e">
        <f t="shared" si="101"/>
        <v>#N/A</v>
      </c>
      <c r="AS174" s="600"/>
      <c r="AT174" s="502"/>
      <c r="AU174" s="182"/>
      <c r="AV174" s="503"/>
      <c r="AW174" s="441" t="e">
        <f t="shared" si="102"/>
        <v>#N/A</v>
      </c>
      <c r="AX174" s="600"/>
      <c r="AZ174" s="526" t="e">
        <f t="shared" si="90"/>
        <v>#N/A</v>
      </c>
      <c r="BA174" s="600"/>
    </row>
    <row r="175" spans="2:53">
      <c r="B175" s="610"/>
      <c r="C175" s="297">
        <v>29</v>
      </c>
      <c r="D175" s="297"/>
      <c r="E175" s="297"/>
      <c r="F175" s="297"/>
      <c r="G175" s="297"/>
      <c r="H175" s="600"/>
      <c r="I175" s="513" t="str">
        <f t="shared" si="92"/>
        <v>-</v>
      </c>
      <c r="J175" s="513" t="str">
        <f t="shared" si="93"/>
        <v>-</v>
      </c>
      <c r="K175" s="200" t="str">
        <f t="shared" si="94"/>
        <v>-</v>
      </c>
      <c r="L175" s="621"/>
      <c r="M175" s="199" t="e">
        <f>RANK(K175, K$147:$K$176)</f>
        <v>#VALUE!</v>
      </c>
      <c r="N175" s="604"/>
      <c r="O175" s="604"/>
      <c r="P175" s="502"/>
      <c r="Q175" s="182"/>
      <c r="R175" s="503"/>
      <c r="S175" s="297" t="e">
        <f t="shared" si="96"/>
        <v>#N/A</v>
      </c>
      <c r="T175" s="600"/>
      <c r="U175" s="502"/>
      <c r="V175" s="182"/>
      <c r="W175" s="503"/>
      <c r="X175" s="441" t="e">
        <f t="shared" si="97"/>
        <v>#N/A</v>
      </c>
      <c r="Y175" s="600"/>
      <c r="Z175" s="502"/>
      <c r="AA175" s="182"/>
      <c r="AB175" s="503"/>
      <c r="AC175" s="441" t="e">
        <f t="shared" si="98"/>
        <v>#N/A</v>
      </c>
      <c r="AD175" s="600"/>
      <c r="AE175" s="502"/>
      <c r="AF175" s="182"/>
      <c r="AG175" s="503"/>
      <c r="AH175" s="441" t="e">
        <f t="shared" si="99"/>
        <v>#N/A</v>
      </c>
      <c r="AI175" s="600"/>
      <c r="AJ175" s="502"/>
      <c r="AK175" s="182"/>
      <c r="AL175" s="503"/>
      <c r="AM175" s="441" t="e">
        <f t="shared" si="100"/>
        <v>#N/A</v>
      </c>
      <c r="AN175" s="600"/>
      <c r="AO175" s="502"/>
      <c r="AP175" s="182"/>
      <c r="AQ175" s="503"/>
      <c r="AR175" s="441" t="e">
        <f t="shared" si="101"/>
        <v>#N/A</v>
      </c>
      <c r="AS175" s="600"/>
      <c r="AT175" s="502"/>
      <c r="AU175" s="182"/>
      <c r="AV175" s="503"/>
      <c r="AW175" s="441" t="e">
        <f t="shared" si="102"/>
        <v>#N/A</v>
      </c>
      <c r="AX175" s="600"/>
      <c r="AZ175" s="526" t="e">
        <f t="shared" si="90"/>
        <v>#N/A</v>
      </c>
      <c r="BA175" s="600"/>
    </row>
    <row r="176" spans="2:53">
      <c r="B176" s="610"/>
      <c r="C176" s="297">
        <v>30</v>
      </c>
      <c r="D176" s="297"/>
      <c r="E176" s="297"/>
      <c r="F176" s="297"/>
      <c r="G176" s="297"/>
      <c r="H176" s="601"/>
      <c r="I176" s="513" t="str">
        <f t="shared" si="92"/>
        <v>-</v>
      </c>
      <c r="J176" s="513" t="str">
        <f t="shared" si="93"/>
        <v>-</v>
      </c>
      <c r="K176" s="200" t="str">
        <f t="shared" si="94"/>
        <v>-</v>
      </c>
      <c r="L176" s="622"/>
      <c r="M176" s="199" t="e">
        <f>RANK(K176, K$147:$K$176)</f>
        <v>#VALUE!</v>
      </c>
      <c r="N176" s="604"/>
      <c r="O176" s="604"/>
      <c r="P176" s="502"/>
      <c r="Q176" s="182"/>
      <c r="R176" s="503"/>
      <c r="S176" s="297" t="e">
        <f t="shared" si="95"/>
        <v>#N/A</v>
      </c>
      <c r="T176" s="601"/>
      <c r="U176" s="502"/>
      <c r="V176" s="182"/>
      <c r="W176" s="503"/>
      <c r="X176" s="441" t="e">
        <f t="shared" si="97"/>
        <v>#N/A</v>
      </c>
      <c r="Y176" s="601"/>
      <c r="Z176" s="502"/>
      <c r="AA176" s="182"/>
      <c r="AB176" s="503"/>
      <c r="AC176" s="441" t="e">
        <f t="shared" si="98"/>
        <v>#N/A</v>
      </c>
      <c r="AD176" s="601"/>
      <c r="AE176" s="502"/>
      <c r="AF176" s="182"/>
      <c r="AG176" s="503"/>
      <c r="AH176" s="441" t="e">
        <f t="shared" si="99"/>
        <v>#N/A</v>
      </c>
      <c r="AI176" s="601"/>
      <c r="AJ176" s="502"/>
      <c r="AK176" s="182"/>
      <c r="AL176" s="503"/>
      <c r="AM176" s="441" t="e">
        <f t="shared" si="100"/>
        <v>#N/A</v>
      </c>
      <c r="AN176" s="601"/>
      <c r="AO176" s="502"/>
      <c r="AP176" s="182"/>
      <c r="AQ176" s="503"/>
      <c r="AR176" s="441" t="e">
        <f t="shared" si="101"/>
        <v>#N/A</v>
      </c>
      <c r="AS176" s="601"/>
      <c r="AT176" s="502"/>
      <c r="AU176" s="182"/>
      <c r="AV176" s="503"/>
      <c r="AW176" s="441" t="e">
        <f t="shared" si="102"/>
        <v>#N/A</v>
      </c>
      <c r="AX176" s="601"/>
      <c r="AZ176" s="526" t="e">
        <f t="shared" si="90"/>
        <v>#N/A</v>
      </c>
      <c r="BA176" s="601"/>
    </row>
    <row r="177" spans="2:53" ht="15.75">
      <c r="B177" s="633" t="s">
        <v>163</v>
      </c>
      <c r="C177" s="634"/>
      <c r="D177" s="634"/>
      <c r="E177" s="634"/>
      <c r="F177" s="634"/>
      <c r="G177" s="634"/>
      <c r="H177" s="635"/>
      <c r="I177" s="208"/>
      <c r="J177" s="208"/>
      <c r="K177" s="208"/>
      <c r="L177" s="208"/>
      <c r="M177" s="207"/>
      <c r="N177" s="606" t="s">
        <v>156</v>
      </c>
      <c r="O177" s="606" t="s">
        <v>105</v>
      </c>
      <c r="P177" s="632">
        <f>P142+7</f>
        <v>46147</v>
      </c>
      <c r="Q177" s="610"/>
      <c r="R177" s="610"/>
      <c r="S177" s="610"/>
      <c r="T177" s="610"/>
      <c r="U177" s="629">
        <f>P177+1</f>
        <v>46148</v>
      </c>
      <c r="V177" s="630"/>
      <c r="W177" s="630"/>
      <c r="X177" s="630"/>
      <c r="Y177" s="631"/>
      <c r="Z177" s="629">
        <f>U177+1</f>
        <v>46149</v>
      </c>
      <c r="AA177" s="630"/>
      <c r="AB177" s="630"/>
      <c r="AC177" s="630"/>
      <c r="AD177" s="631"/>
      <c r="AE177" s="629">
        <f>Z177+1</f>
        <v>46150</v>
      </c>
      <c r="AF177" s="630"/>
      <c r="AG177" s="630"/>
      <c r="AH177" s="630"/>
      <c r="AI177" s="631"/>
      <c r="AJ177" s="629">
        <f>AE177+1</f>
        <v>46151</v>
      </c>
      <c r="AK177" s="630"/>
      <c r="AL177" s="630"/>
      <c r="AM177" s="630"/>
      <c r="AN177" s="631"/>
      <c r="AO177" s="629">
        <f>AJ177+1</f>
        <v>46152</v>
      </c>
      <c r="AP177" s="630"/>
      <c r="AQ177" s="630"/>
      <c r="AR177" s="630"/>
      <c r="AS177" s="631"/>
      <c r="AT177" s="629">
        <f>AO177+1</f>
        <v>46153</v>
      </c>
      <c r="AU177" s="630"/>
      <c r="AV177" s="630"/>
      <c r="AW177" s="630"/>
      <c r="AX177" s="631"/>
    </row>
    <row r="178" spans="2:53" ht="15.75">
      <c r="B178" s="636"/>
      <c r="C178" s="636"/>
      <c r="D178" s="636"/>
      <c r="E178" s="636"/>
      <c r="F178" s="636"/>
      <c r="G178" s="636"/>
      <c r="H178" s="636"/>
      <c r="I178" s="205"/>
      <c r="J178" s="205"/>
      <c r="K178" s="205"/>
      <c r="L178" s="205"/>
      <c r="M178" s="206"/>
      <c r="N178" s="608"/>
      <c r="O178" s="608"/>
      <c r="P178" s="632" t="s">
        <v>158</v>
      </c>
      <c r="Q178" s="610"/>
      <c r="R178" s="610"/>
      <c r="S178" s="610"/>
      <c r="T178" s="610"/>
      <c r="U178" s="632" t="s">
        <v>114</v>
      </c>
      <c r="V178" s="610"/>
      <c r="W178" s="610"/>
      <c r="X178" s="610"/>
      <c r="Y178" s="610"/>
      <c r="Z178" s="632" t="s">
        <v>159</v>
      </c>
      <c r="AA178" s="610"/>
      <c r="AB178" s="610"/>
      <c r="AC178" s="610"/>
      <c r="AD178" s="610"/>
      <c r="AE178" s="632" t="s">
        <v>157</v>
      </c>
      <c r="AF178" s="610"/>
      <c r="AG178" s="610"/>
      <c r="AH178" s="610"/>
      <c r="AI178" s="610"/>
      <c r="AJ178" s="632" t="s">
        <v>160</v>
      </c>
      <c r="AK178" s="610"/>
      <c r="AL178" s="610"/>
      <c r="AM178" s="610"/>
      <c r="AN178" s="610"/>
      <c r="AO178" s="632" t="s">
        <v>115</v>
      </c>
      <c r="AP178" s="610"/>
      <c r="AQ178" s="610"/>
      <c r="AR178" s="610"/>
      <c r="AS178" s="610"/>
      <c r="AT178" s="632" t="s">
        <v>162</v>
      </c>
      <c r="AU178" s="610"/>
      <c r="AV178" s="610"/>
      <c r="AW178" s="610"/>
      <c r="AX178" s="610"/>
    </row>
    <row r="179" spans="2:53">
      <c r="B179" s="604" t="s">
        <v>154</v>
      </c>
      <c r="C179" s="604" t="s">
        <v>408</v>
      </c>
      <c r="D179" s="604"/>
      <c r="E179" s="604" t="s">
        <v>399</v>
      </c>
      <c r="F179" s="604"/>
      <c r="G179" s="604"/>
      <c r="H179" s="637" t="s">
        <v>395</v>
      </c>
      <c r="I179" s="604" t="s">
        <v>400</v>
      </c>
      <c r="J179" s="604"/>
      <c r="K179" s="604"/>
      <c r="L179" s="637" t="s">
        <v>395</v>
      </c>
      <c r="M179" s="606" t="s">
        <v>396</v>
      </c>
      <c r="N179" s="604"/>
      <c r="O179" s="604" t="s">
        <v>401</v>
      </c>
      <c r="P179" s="623" t="s">
        <v>397</v>
      </c>
      <c r="Q179" s="624"/>
      <c r="R179" s="624"/>
      <c r="S179" s="625"/>
      <c r="T179" s="604" t="s">
        <v>395</v>
      </c>
      <c r="U179" s="623" t="s">
        <v>397</v>
      </c>
      <c r="V179" s="624"/>
      <c r="W179" s="624"/>
      <c r="X179" s="625"/>
      <c r="Y179" s="604" t="s">
        <v>395</v>
      </c>
      <c r="Z179" s="623" t="s">
        <v>397</v>
      </c>
      <c r="AA179" s="624"/>
      <c r="AB179" s="624"/>
      <c r="AC179" s="625"/>
      <c r="AD179" s="604" t="s">
        <v>395</v>
      </c>
      <c r="AE179" s="623" t="s">
        <v>397</v>
      </c>
      <c r="AF179" s="624"/>
      <c r="AG179" s="624"/>
      <c r="AH179" s="625"/>
      <c r="AI179" s="604" t="s">
        <v>395</v>
      </c>
      <c r="AJ179" s="623" t="s">
        <v>397</v>
      </c>
      <c r="AK179" s="624"/>
      <c r="AL179" s="624"/>
      <c r="AM179" s="625"/>
      <c r="AN179" s="604" t="s">
        <v>395</v>
      </c>
      <c r="AO179" s="623" t="s">
        <v>397</v>
      </c>
      <c r="AP179" s="624"/>
      <c r="AQ179" s="624"/>
      <c r="AR179" s="625"/>
      <c r="AS179" s="604" t="s">
        <v>395</v>
      </c>
      <c r="AT179" s="626" t="s">
        <v>397</v>
      </c>
      <c r="AU179" s="627"/>
      <c r="AV179" s="627"/>
      <c r="AW179" s="628"/>
      <c r="AX179" s="602" t="s">
        <v>395</v>
      </c>
      <c r="BA179" s="602" t="s">
        <v>395</v>
      </c>
    </row>
    <row r="180" spans="2:53">
      <c r="B180" s="604"/>
      <c r="C180" s="604"/>
      <c r="D180" s="604"/>
      <c r="E180" s="604" t="s">
        <v>402</v>
      </c>
      <c r="F180" s="604"/>
      <c r="G180" s="604"/>
      <c r="H180" s="638"/>
      <c r="I180" s="604" t="s">
        <v>402</v>
      </c>
      <c r="J180" s="604"/>
      <c r="K180" s="604"/>
      <c r="L180" s="638"/>
      <c r="M180" s="607"/>
      <c r="N180" s="604"/>
      <c r="O180" s="604"/>
      <c r="P180" s="623" t="s">
        <v>403</v>
      </c>
      <c r="Q180" s="624"/>
      <c r="R180" s="624"/>
      <c r="S180" s="625"/>
      <c r="T180" s="604"/>
      <c r="U180" s="623" t="s">
        <v>403</v>
      </c>
      <c r="V180" s="624"/>
      <c r="W180" s="624"/>
      <c r="X180" s="625"/>
      <c r="Y180" s="604"/>
      <c r="Z180" s="623" t="s">
        <v>403</v>
      </c>
      <c r="AA180" s="624"/>
      <c r="AB180" s="624"/>
      <c r="AC180" s="625"/>
      <c r="AD180" s="604"/>
      <c r="AE180" s="623" t="s">
        <v>403</v>
      </c>
      <c r="AF180" s="624"/>
      <c r="AG180" s="624"/>
      <c r="AH180" s="625"/>
      <c r="AI180" s="604"/>
      <c r="AJ180" s="623" t="s">
        <v>403</v>
      </c>
      <c r="AK180" s="624"/>
      <c r="AL180" s="624"/>
      <c r="AM180" s="625"/>
      <c r="AN180" s="604"/>
      <c r="AO180" s="623" t="s">
        <v>403</v>
      </c>
      <c r="AP180" s="624"/>
      <c r="AQ180" s="624"/>
      <c r="AR180" s="625"/>
      <c r="AS180" s="604"/>
      <c r="AT180" s="626" t="s">
        <v>403</v>
      </c>
      <c r="AU180" s="627"/>
      <c r="AV180" s="627"/>
      <c r="AW180" s="628"/>
      <c r="AX180" s="602"/>
      <c r="BA180" s="602"/>
    </row>
    <row r="181" spans="2:53">
      <c r="B181" s="604"/>
      <c r="C181" s="604"/>
      <c r="D181" s="604"/>
      <c r="E181" s="446" t="s">
        <v>404</v>
      </c>
      <c r="F181" s="446" t="s">
        <v>405</v>
      </c>
      <c r="G181" s="446" t="s">
        <v>406</v>
      </c>
      <c r="H181" s="639"/>
      <c r="I181" s="446" t="s">
        <v>404</v>
      </c>
      <c r="J181" s="446" t="s">
        <v>405</v>
      </c>
      <c r="K181" s="446" t="s">
        <v>406</v>
      </c>
      <c r="L181" s="639"/>
      <c r="M181" s="608"/>
      <c r="N181" s="604"/>
      <c r="O181" s="604"/>
      <c r="P181" s="446" t="s">
        <v>404</v>
      </c>
      <c r="Q181" s="446" t="s">
        <v>405</v>
      </c>
      <c r="R181" s="446" t="s">
        <v>406</v>
      </c>
      <c r="S181" s="446" t="s">
        <v>396</v>
      </c>
      <c r="T181" s="604"/>
      <c r="U181" s="446" t="s">
        <v>404</v>
      </c>
      <c r="V181" s="446" t="s">
        <v>405</v>
      </c>
      <c r="W181" s="446" t="s">
        <v>406</v>
      </c>
      <c r="X181" s="446" t="s">
        <v>396</v>
      </c>
      <c r="Y181" s="604"/>
      <c r="Z181" s="446" t="s">
        <v>404</v>
      </c>
      <c r="AA181" s="446" t="s">
        <v>405</v>
      </c>
      <c r="AB181" s="446" t="s">
        <v>406</v>
      </c>
      <c r="AC181" s="446" t="s">
        <v>396</v>
      </c>
      <c r="AD181" s="604"/>
      <c r="AE181" s="446" t="s">
        <v>404</v>
      </c>
      <c r="AF181" s="446" t="s">
        <v>405</v>
      </c>
      <c r="AG181" s="446" t="s">
        <v>406</v>
      </c>
      <c r="AH181" s="446" t="s">
        <v>396</v>
      </c>
      <c r="AI181" s="604"/>
      <c r="AJ181" s="446" t="s">
        <v>404</v>
      </c>
      <c r="AK181" s="446" t="s">
        <v>405</v>
      </c>
      <c r="AL181" s="446" t="s">
        <v>406</v>
      </c>
      <c r="AM181" s="446" t="s">
        <v>396</v>
      </c>
      <c r="AN181" s="604"/>
      <c r="AO181" s="446" t="s">
        <v>404</v>
      </c>
      <c r="AP181" s="446" t="s">
        <v>405</v>
      </c>
      <c r="AQ181" s="446" t="s">
        <v>406</v>
      </c>
      <c r="AR181" s="446" t="s">
        <v>396</v>
      </c>
      <c r="AS181" s="604"/>
      <c r="AT181" s="450" t="s">
        <v>404</v>
      </c>
      <c r="AU181" s="450" t="s">
        <v>405</v>
      </c>
      <c r="AV181" s="450" t="s">
        <v>406</v>
      </c>
      <c r="AW181" s="450" t="s">
        <v>396</v>
      </c>
      <c r="AX181" s="602"/>
      <c r="AZ181" s="528" t="s">
        <v>396</v>
      </c>
      <c r="BA181" s="602"/>
    </row>
    <row r="182" spans="2:53">
      <c r="B182" s="609" t="s">
        <v>570</v>
      </c>
      <c r="C182" s="451">
        <v>1</v>
      </c>
      <c r="D182" s="511"/>
      <c r="E182" s="511"/>
      <c r="F182" s="511"/>
      <c r="G182" s="182"/>
      <c r="H182" s="618" t="e">
        <f>AVERAGE(G182:G211)</f>
        <v>#DIV/0!</v>
      </c>
      <c r="I182" s="513" t="str">
        <f>IFERROR(AVERAGE(P182,U182,Z182,AE182,AJ182,AO182,AT182),"-")</f>
        <v>-</v>
      </c>
      <c r="J182" s="513" t="str">
        <f>IFERROR(AVERAGE(Q182,V182,AA182,AF182,AK182,AP182,AU182),"-")</f>
        <v>-</v>
      </c>
      <c r="K182" s="200" t="str">
        <f>IFERROR(AVERAGE(R182,W182,AB182,AG182,AL182,AQ182,AV182),"-")</f>
        <v>-</v>
      </c>
      <c r="L182" s="620" t="str">
        <f>IFERROR(AVERAGE(K182:K211),"-")</f>
        <v>-</v>
      </c>
      <c r="M182" s="452" t="e">
        <f>RANK(K182, K$182:$K$211)</f>
        <v>#VALUE!</v>
      </c>
      <c r="N182" s="604"/>
      <c r="O182" s="604"/>
      <c r="P182" s="182"/>
      <c r="Q182" s="182"/>
      <c r="R182" s="182"/>
      <c r="S182" s="451" t="e">
        <f>RANK(R182, R$112:R$141)</f>
        <v>#N/A</v>
      </c>
      <c r="T182" s="612" t="e">
        <f>AVERAGE(R182:R211)</f>
        <v>#DIV/0!</v>
      </c>
      <c r="U182" s="182"/>
      <c r="V182" s="182"/>
      <c r="W182" s="182"/>
      <c r="X182" s="451" t="e">
        <f>RANK(W182, W$112:W$141)</f>
        <v>#N/A</v>
      </c>
      <c r="Y182" s="612" t="e">
        <f>AVERAGE(W182:W211)</f>
        <v>#DIV/0!</v>
      </c>
      <c r="Z182" s="182"/>
      <c r="AA182" s="182"/>
      <c r="AB182" s="182"/>
      <c r="AC182" s="451" t="e">
        <f>RANK(AB182, AB$112:AB$141)</f>
        <v>#N/A</v>
      </c>
      <c r="AD182" s="612" t="e">
        <f>AVERAGE(AB182:AB211)</f>
        <v>#DIV/0!</v>
      </c>
      <c r="AE182" s="182"/>
      <c r="AF182" s="182"/>
      <c r="AG182" s="182"/>
      <c r="AH182" s="451" t="e">
        <f>RANK(AG182, AG$112:AG$141)</f>
        <v>#N/A</v>
      </c>
      <c r="AI182" s="612" t="e">
        <f>AVERAGE(AG182:AG211)</f>
        <v>#DIV/0!</v>
      </c>
      <c r="AJ182" s="182"/>
      <c r="AK182" s="182"/>
      <c r="AL182" s="182"/>
      <c r="AM182" s="451" t="e">
        <f>RANK(AL182, AL$112:AL$141)</f>
        <v>#N/A</v>
      </c>
      <c r="AN182" s="612" t="e">
        <f>AVERAGE(AL182:AL211)</f>
        <v>#DIV/0!</v>
      </c>
      <c r="AO182" s="182"/>
      <c r="AP182" s="182"/>
      <c r="AQ182" s="182"/>
      <c r="AR182" s="451" t="e">
        <f>RANK(AQ182, AQ$112:AQ$141)</f>
        <v>#N/A</v>
      </c>
      <c r="AS182" s="612" t="e">
        <f>AVERAGE(AQ182:AQ211)</f>
        <v>#DIV/0!</v>
      </c>
      <c r="AT182" s="182"/>
      <c r="AU182" s="182"/>
      <c r="AV182" s="182"/>
      <c r="AW182" s="454" t="e">
        <f>RANK(AV182, AV$112:AV$141)</f>
        <v>#N/A</v>
      </c>
      <c r="AX182" s="603" t="e">
        <f>AVERAGE(AV182:AV211)</f>
        <v>#DIV/0!</v>
      </c>
      <c r="AZ182" s="454" t="e">
        <f>RANK(AY182, AY$112:AY$141)</f>
        <v>#N/A</v>
      </c>
      <c r="BA182" s="603" t="e">
        <f>AVERAGE(AY182:AY211)</f>
        <v>#DIV/0!</v>
      </c>
    </row>
    <row r="183" spans="2:53">
      <c r="B183" s="640"/>
      <c r="C183" s="451">
        <v>2</v>
      </c>
      <c r="D183" s="515"/>
      <c r="E183" s="511"/>
      <c r="F183" s="511"/>
      <c r="G183" s="182"/>
      <c r="H183" s="619"/>
      <c r="I183" s="513" t="str">
        <f t="shared" ref="I183:I211" si="103">IFERROR(AVERAGE(P183,U183,Z183,AE183,AJ183,AO183,AT183),"-")</f>
        <v>-</v>
      </c>
      <c r="J183" s="513" t="str">
        <f t="shared" ref="J183:J211" si="104">IFERROR(AVERAGE(Q183,V183,AA183,AF183,AK183,AP183,AU183),"-")</f>
        <v>-</v>
      </c>
      <c r="K183" s="200" t="str">
        <f t="shared" ref="K183:K211" si="105">IFERROR(AVERAGE(R183,W183,AB183,AG183,AL183,AQ183,AV183),"-")</f>
        <v>-</v>
      </c>
      <c r="L183" s="621"/>
      <c r="M183" s="452" t="e">
        <f>RANK(K183, K$182:$K$211)</f>
        <v>#VALUE!</v>
      </c>
      <c r="N183" s="604"/>
      <c r="O183" s="604"/>
      <c r="P183" s="182"/>
      <c r="Q183" s="182"/>
      <c r="R183" s="182"/>
      <c r="S183" s="451" t="e">
        <f t="shared" ref="S183:S211" si="106">RANK(R183, R$112:R$141)</f>
        <v>#N/A</v>
      </c>
      <c r="T183" s="612"/>
      <c r="U183" s="182"/>
      <c r="V183" s="182"/>
      <c r="W183" s="182"/>
      <c r="X183" s="451" t="e">
        <f t="shared" ref="X183:X211" si="107">RANK(W183, W$112:W$141)</f>
        <v>#N/A</v>
      </c>
      <c r="Y183" s="612"/>
      <c r="Z183" s="182"/>
      <c r="AA183" s="182"/>
      <c r="AB183" s="182"/>
      <c r="AC183" s="451" t="e">
        <f t="shared" ref="AC183:AC211" si="108">RANK(AB183, AB$112:AB$141)</f>
        <v>#N/A</v>
      </c>
      <c r="AD183" s="612"/>
      <c r="AE183" s="182"/>
      <c r="AF183" s="182"/>
      <c r="AG183" s="182"/>
      <c r="AH183" s="451" t="e">
        <f t="shared" ref="AH183:AH211" si="109">RANK(AG183, AG$112:AG$141)</f>
        <v>#N/A</v>
      </c>
      <c r="AI183" s="612"/>
      <c r="AJ183" s="182"/>
      <c r="AK183" s="182"/>
      <c r="AL183" s="182"/>
      <c r="AM183" s="451" t="e">
        <f t="shared" ref="AM183:AM211" si="110">RANK(AL183, AL$112:AL$141)</f>
        <v>#N/A</v>
      </c>
      <c r="AN183" s="612"/>
      <c r="AO183" s="182"/>
      <c r="AP183" s="182"/>
      <c r="AQ183" s="182"/>
      <c r="AR183" s="451" t="e">
        <f t="shared" ref="AR183:AR211" si="111">RANK(AQ183, AQ$112:AQ$141)</f>
        <v>#N/A</v>
      </c>
      <c r="AS183" s="612"/>
      <c r="AT183" s="182"/>
      <c r="AU183" s="182"/>
      <c r="AV183" s="182"/>
      <c r="AW183" s="454" t="e">
        <f t="shared" ref="AW183:AW211" si="112">RANK(AV183, AV$112:AV$141)</f>
        <v>#N/A</v>
      </c>
      <c r="AX183" s="603"/>
      <c r="AZ183" s="454" t="e">
        <f t="shared" ref="AZ183:AZ211" si="113">RANK(AY183, AY$112:AY$141)</f>
        <v>#N/A</v>
      </c>
      <c r="BA183" s="603"/>
    </row>
    <row r="184" spans="2:53">
      <c r="B184" s="640"/>
      <c r="C184" s="451">
        <v>3</v>
      </c>
      <c r="D184" s="511"/>
      <c r="E184" s="511"/>
      <c r="F184" s="511"/>
      <c r="G184" s="182"/>
      <c r="H184" s="619"/>
      <c r="I184" s="513" t="str">
        <f t="shared" si="103"/>
        <v>-</v>
      </c>
      <c r="J184" s="513" t="str">
        <f t="shared" si="104"/>
        <v>-</v>
      </c>
      <c r="K184" s="200" t="str">
        <f t="shared" si="105"/>
        <v>-</v>
      </c>
      <c r="L184" s="621"/>
      <c r="M184" s="452" t="e">
        <f>RANK(K184, K$182:$K$211)</f>
        <v>#VALUE!</v>
      </c>
      <c r="N184" s="604"/>
      <c r="O184" s="604"/>
      <c r="P184" s="182"/>
      <c r="Q184" s="182"/>
      <c r="R184" s="182"/>
      <c r="S184" s="451" t="e">
        <f t="shared" si="106"/>
        <v>#N/A</v>
      </c>
      <c r="T184" s="612"/>
      <c r="U184" s="182"/>
      <c r="V184" s="182"/>
      <c r="W184" s="182"/>
      <c r="X184" s="451" t="e">
        <f t="shared" si="107"/>
        <v>#N/A</v>
      </c>
      <c r="Y184" s="612"/>
      <c r="Z184" s="182"/>
      <c r="AA184" s="182"/>
      <c r="AB184" s="182"/>
      <c r="AC184" s="451" t="e">
        <f t="shared" si="108"/>
        <v>#N/A</v>
      </c>
      <c r="AD184" s="612"/>
      <c r="AE184" s="182"/>
      <c r="AF184" s="182"/>
      <c r="AG184" s="182"/>
      <c r="AH184" s="451" t="e">
        <f t="shared" si="109"/>
        <v>#N/A</v>
      </c>
      <c r="AI184" s="612"/>
      <c r="AJ184" s="182"/>
      <c r="AK184" s="182"/>
      <c r="AL184" s="182"/>
      <c r="AM184" s="451" t="e">
        <f t="shared" si="110"/>
        <v>#N/A</v>
      </c>
      <c r="AN184" s="612"/>
      <c r="AO184" s="182"/>
      <c r="AP184" s="182"/>
      <c r="AQ184" s="182"/>
      <c r="AR184" s="451" t="e">
        <f t="shared" si="111"/>
        <v>#N/A</v>
      </c>
      <c r="AS184" s="612"/>
      <c r="AT184" s="182"/>
      <c r="AU184" s="182"/>
      <c r="AV184" s="182"/>
      <c r="AW184" s="454" t="e">
        <f t="shared" si="112"/>
        <v>#N/A</v>
      </c>
      <c r="AX184" s="603"/>
      <c r="AZ184" s="454" t="e">
        <f t="shared" si="113"/>
        <v>#N/A</v>
      </c>
      <c r="BA184" s="603"/>
    </row>
    <row r="185" spans="2:53">
      <c r="B185" s="640"/>
      <c r="C185" s="451">
        <v>4</v>
      </c>
      <c r="D185" s="511"/>
      <c r="E185" s="511"/>
      <c r="F185" s="511"/>
      <c r="G185" s="182"/>
      <c r="H185" s="619"/>
      <c r="I185" s="513" t="str">
        <f t="shared" si="103"/>
        <v>-</v>
      </c>
      <c r="J185" s="513" t="str">
        <f t="shared" si="104"/>
        <v>-</v>
      </c>
      <c r="K185" s="200" t="str">
        <f t="shared" si="105"/>
        <v>-</v>
      </c>
      <c r="L185" s="621"/>
      <c r="M185" s="452" t="e">
        <f>RANK(K185, K$182:$K$211)</f>
        <v>#VALUE!</v>
      </c>
      <c r="N185" s="604"/>
      <c r="O185" s="604"/>
      <c r="P185" s="182"/>
      <c r="Q185" s="182"/>
      <c r="R185" s="182"/>
      <c r="S185" s="451" t="e">
        <f t="shared" si="106"/>
        <v>#N/A</v>
      </c>
      <c r="T185" s="612"/>
      <c r="U185" s="182"/>
      <c r="V185" s="182"/>
      <c r="W185" s="182"/>
      <c r="X185" s="451" t="e">
        <f t="shared" si="107"/>
        <v>#N/A</v>
      </c>
      <c r="Y185" s="612"/>
      <c r="Z185" s="182"/>
      <c r="AA185" s="182"/>
      <c r="AB185" s="182"/>
      <c r="AC185" s="451" t="e">
        <f t="shared" si="108"/>
        <v>#N/A</v>
      </c>
      <c r="AD185" s="612"/>
      <c r="AE185" s="182"/>
      <c r="AF185" s="182"/>
      <c r="AG185" s="182"/>
      <c r="AH185" s="451" t="e">
        <f t="shared" si="109"/>
        <v>#N/A</v>
      </c>
      <c r="AI185" s="612"/>
      <c r="AJ185" s="182"/>
      <c r="AK185" s="182"/>
      <c r="AL185" s="182"/>
      <c r="AM185" s="451" t="e">
        <f t="shared" si="110"/>
        <v>#N/A</v>
      </c>
      <c r="AN185" s="612"/>
      <c r="AO185" s="182"/>
      <c r="AP185" s="182"/>
      <c r="AQ185" s="182"/>
      <c r="AR185" s="451" t="e">
        <f t="shared" si="111"/>
        <v>#N/A</v>
      </c>
      <c r="AS185" s="612"/>
      <c r="AT185" s="182"/>
      <c r="AU185" s="182"/>
      <c r="AV185" s="182"/>
      <c r="AW185" s="454" t="e">
        <f t="shared" si="112"/>
        <v>#N/A</v>
      </c>
      <c r="AX185" s="603"/>
      <c r="AZ185" s="454" t="e">
        <f t="shared" si="113"/>
        <v>#N/A</v>
      </c>
      <c r="BA185" s="603"/>
    </row>
    <row r="186" spans="2:53">
      <c r="B186" s="640"/>
      <c r="C186" s="451">
        <v>5</v>
      </c>
      <c r="D186" s="511"/>
      <c r="E186" s="511"/>
      <c r="F186" s="511"/>
      <c r="G186" s="182"/>
      <c r="H186" s="619"/>
      <c r="I186" s="513" t="str">
        <f t="shared" si="103"/>
        <v>-</v>
      </c>
      <c r="J186" s="513" t="str">
        <f t="shared" si="104"/>
        <v>-</v>
      </c>
      <c r="K186" s="200" t="str">
        <f t="shared" si="105"/>
        <v>-</v>
      </c>
      <c r="L186" s="621"/>
      <c r="M186" s="452" t="e">
        <f>RANK(K186, K$182:$K$211)</f>
        <v>#VALUE!</v>
      </c>
      <c r="N186" s="604"/>
      <c r="O186" s="604"/>
      <c r="P186" s="182"/>
      <c r="Q186" s="182"/>
      <c r="R186" s="182"/>
      <c r="S186" s="451" t="e">
        <f t="shared" si="106"/>
        <v>#N/A</v>
      </c>
      <c r="T186" s="612"/>
      <c r="U186" s="182"/>
      <c r="V186" s="182"/>
      <c r="W186" s="182"/>
      <c r="X186" s="451" t="e">
        <f t="shared" si="107"/>
        <v>#N/A</v>
      </c>
      <c r="Y186" s="612"/>
      <c r="Z186" s="182"/>
      <c r="AA186" s="182"/>
      <c r="AB186" s="182"/>
      <c r="AC186" s="451" t="e">
        <f t="shared" si="108"/>
        <v>#N/A</v>
      </c>
      <c r="AD186" s="612"/>
      <c r="AE186" s="182"/>
      <c r="AF186" s="182"/>
      <c r="AG186" s="182"/>
      <c r="AH186" s="451" t="e">
        <f t="shared" si="109"/>
        <v>#N/A</v>
      </c>
      <c r="AI186" s="612"/>
      <c r="AJ186" s="182"/>
      <c r="AK186" s="182"/>
      <c r="AL186" s="182"/>
      <c r="AM186" s="451" t="e">
        <f t="shared" si="110"/>
        <v>#N/A</v>
      </c>
      <c r="AN186" s="612"/>
      <c r="AO186" s="182"/>
      <c r="AP186" s="182"/>
      <c r="AQ186" s="182"/>
      <c r="AR186" s="451" t="e">
        <f t="shared" si="111"/>
        <v>#N/A</v>
      </c>
      <c r="AS186" s="612"/>
      <c r="AT186" s="182"/>
      <c r="AU186" s="182"/>
      <c r="AV186" s="182"/>
      <c r="AW186" s="454" t="e">
        <f t="shared" si="112"/>
        <v>#N/A</v>
      </c>
      <c r="AX186" s="603"/>
      <c r="AZ186" s="454" t="e">
        <f t="shared" si="113"/>
        <v>#N/A</v>
      </c>
      <c r="BA186" s="603"/>
    </row>
    <row r="187" spans="2:53">
      <c r="B187" s="640"/>
      <c r="C187" s="451">
        <v>6</v>
      </c>
      <c r="D187" s="511"/>
      <c r="E187" s="511"/>
      <c r="F187" s="511"/>
      <c r="G187" s="182"/>
      <c r="H187" s="619"/>
      <c r="I187" s="513" t="str">
        <f t="shared" si="103"/>
        <v>-</v>
      </c>
      <c r="J187" s="513" t="str">
        <f t="shared" si="104"/>
        <v>-</v>
      </c>
      <c r="K187" s="200" t="str">
        <f t="shared" si="105"/>
        <v>-</v>
      </c>
      <c r="L187" s="621"/>
      <c r="M187" s="452" t="e">
        <f>RANK(K187, K$182:$K$211)</f>
        <v>#VALUE!</v>
      </c>
      <c r="N187" s="604"/>
      <c r="O187" s="604"/>
      <c r="P187" s="182"/>
      <c r="Q187" s="182"/>
      <c r="R187" s="182"/>
      <c r="S187" s="451" t="e">
        <f t="shared" si="106"/>
        <v>#N/A</v>
      </c>
      <c r="T187" s="612"/>
      <c r="U187" s="182"/>
      <c r="V187" s="182"/>
      <c r="W187" s="182"/>
      <c r="X187" s="451" t="e">
        <f t="shared" si="107"/>
        <v>#N/A</v>
      </c>
      <c r="Y187" s="612"/>
      <c r="Z187" s="182"/>
      <c r="AA187" s="182"/>
      <c r="AB187" s="182"/>
      <c r="AC187" s="451" t="e">
        <f t="shared" si="108"/>
        <v>#N/A</v>
      </c>
      <c r="AD187" s="612"/>
      <c r="AE187" s="182"/>
      <c r="AF187" s="182"/>
      <c r="AG187" s="182"/>
      <c r="AH187" s="451" t="e">
        <f t="shared" si="109"/>
        <v>#N/A</v>
      </c>
      <c r="AI187" s="612"/>
      <c r="AJ187" s="182"/>
      <c r="AK187" s="182"/>
      <c r="AL187" s="182"/>
      <c r="AM187" s="451" t="e">
        <f t="shared" si="110"/>
        <v>#N/A</v>
      </c>
      <c r="AN187" s="612"/>
      <c r="AO187" s="182"/>
      <c r="AP187" s="182"/>
      <c r="AQ187" s="182"/>
      <c r="AR187" s="451" t="e">
        <f t="shared" si="111"/>
        <v>#N/A</v>
      </c>
      <c r="AS187" s="612"/>
      <c r="AT187" s="182"/>
      <c r="AU187" s="182"/>
      <c r="AV187" s="182"/>
      <c r="AW187" s="454" t="e">
        <f t="shared" si="112"/>
        <v>#N/A</v>
      </c>
      <c r="AX187" s="603"/>
      <c r="AZ187" s="454" t="e">
        <f t="shared" si="113"/>
        <v>#N/A</v>
      </c>
      <c r="BA187" s="603"/>
    </row>
    <row r="188" spans="2:53">
      <c r="B188" s="640"/>
      <c r="C188" s="451">
        <v>7</v>
      </c>
      <c r="D188" s="511"/>
      <c r="E188" s="511"/>
      <c r="F188" s="511"/>
      <c r="G188" s="182"/>
      <c r="H188" s="619"/>
      <c r="I188" s="513" t="str">
        <f t="shared" si="103"/>
        <v>-</v>
      </c>
      <c r="J188" s="513" t="str">
        <f t="shared" si="104"/>
        <v>-</v>
      </c>
      <c r="K188" s="200" t="str">
        <f t="shared" si="105"/>
        <v>-</v>
      </c>
      <c r="L188" s="621"/>
      <c r="M188" s="452" t="e">
        <f>RANK(K188, K$182:$K$211)</f>
        <v>#VALUE!</v>
      </c>
      <c r="N188" s="604"/>
      <c r="O188" s="604"/>
      <c r="P188" s="182"/>
      <c r="Q188" s="182"/>
      <c r="R188" s="182"/>
      <c r="S188" s="451" t="e">
        <f t="shared" si="106"/>
        <v>#N/A</v>
      </c>
      <c r="T188" s="612"/>
      <c r="U188" s="182"/>
      <c r="V188" s="182"/>
      <c r="W188" s="182"/>
      <c r="X188" s="451" t="e">
        <f t="shared" si="107"/>
        <v>#N/A</v>
      </c>
      <c r="Y188" s="612"/>
      <c r="Z188" s="182"/>
      <c r="AA188" s="182"/>
      <c r="AB188" s="182"/>
      <c r="AC188" s="451" t="e">
        <f t="shared" si="108"/>
        <v>#N/A</v>
      </c>
      <c r="AD188" s="612"/>
      <c r="AE188" s="182"/>
      <c r="AF188" s="182"/>
      <c r="AG188" s="182"/>
      <c r="AH188" s="451" t="e">
        <f t="shared" si="109"/>
        <v>#N/A</v>
      </c>
      <c r="AI188" s="612"/>
      <c r="AJ188" s="182"/>
      <c r="AK188" s="182"/>
      <c r="AL188" s="182"/>
      <c r="AM188" s="451" t="e">
        <f t="shared" si="110"/>
        <v>#N/A</v>
      </c>
      <c r="AN188" s="612"/>
      <c r="AO188" s="182"/>
      <c r="AP188" s="182"/>
      <c r="AQ188" s="182"/>
      <c r="AR188" s="451" t="e">
        <f t="shared" si="111"/>
        <v>#N/A</v>
      </c>
      <c r="AS188" s="612"/>
      <c r="AT188" s="182"/>
      <c r="AU188" s="182"/>
      <c r="AV188" s="182"/>
      <c r="AW188" s="454" t="e">
        <f t="shared" si="112"/>
        <v>#N/A</v>
      </c>
      <c r="AX188" s="603"/>
      <c r="AZ188" s="454" t="e">
        <f t="shared" si="113"/>
        <v>#N/A</v>
      </c>
      <c r="BA188" s="603"/>
    </row>
    <row r="189" spans="2:53">
      <c r="B189" s="640"/>
      <c r="C189" s="451">
        <v>8</v>
      </c>
      <c r="D189" s="511"/>
      <c r="E189" s="511"/>
      <c r="F189" s="511"/>
      <c r="G189" s="182"/>
      <c r="H189" s="619"/>
      <c r="I189" s="513" t="str">
        <f t="shared" si="103"/>
        <v>-</v>
      </c>
      <c r="J189" s="513" t="str">
        <f t="shared" si="104"/>
        <v>-</v>
      </c>
      <c r="K189" s="200" t="str">
        <f t="shared" si="105"/>
        <v>-</v>
      </c>
      <c r="L189" s="621"/>
      <c r="M189" s="452" t="e">
        <f>RANK(K189, K$182:$K$211)</f>
        <v>#VALUE!</v>
      </c>
      <c r="N189" s="604"/>
      <c r="O189" s="604"/>
      <c r="P189" s="182"/>
      <c r="Q189" s="182"/>
      <c r="R189" s="182"/>
      <c r="S189" s="451" t="e">
        <f t="shared" si="106"/>
        <v>#N/A</v>
      </c>
      <c r="T189" s="612"/>
      <c r="U189" s="182"/>
      <c r="V189" s="182"/>
      <c r="W189" s="182"/>
      <c r="X189" s="451" t="e">
        <f t="shared" si="107"/>
        <v>#N/A</v>
      </c>
      <c r="Y189" s="612"/>
      <c r="Z189" s="182"/>
      <c r="AA189" s="182"/>
      <c r="AB189" s="182"/>
      <c r="AC189" s="451" t="e">
        <f t="shared" si="108"/>
        <v>#N/A</v>
      </c>
      <c r="AD189" s="612"/>
      <c r="AE189" s="182"/>
      <c r="AF189" s="182"/>
      <c r="AG189" s="182"/>
      <c r="AH189" s="451" t="e">
        <f t="shared" si="109"/>
        <v>#N/A</v>
      </c>
      <c r="AI189" s="612"/>
      <c r="AJ189" s="182"/>
      <c r="AK189" s="182"/>
      <c r="AL189" s="182"/>
      <c r="AM189" s="451" t="e">
        <f t="shared" si="110"/>
        <v>#N/A</v>
      </c>
      <c r="AN189" s="612"/>
      <c r="AO189" s="182"/>
      <c r="AP189" s="182"/>
      <c r="AQ189" s="182"/>
      <c r="AR189" s="451" t="e">
        <f t="shared" si="111"/>
        <v>#N/A</v>
      </c>
      <c r="AS189" s="612"/>
      <c r="AT189" s="182"/>
      <c r="AU189" s="182"/>
      <c r="AV189" s="182"/>
      <c r="AW189" s="454" t="e">
        <f t="shared" si="112"/>
        <v>#N/A</v>
      </c>
      <c r="AX189" s="603"/>
      <c r="AZ189" s="454" t="e">
        <f t="shared" si="113"/>
        <v>#N/A</v>
      </c>
      <c r="BA189" s="603"/>
    </row>
    <row r="190" spans="2:53">
      <c r="B190" s="640"/>
      <c r="C190" s="451">
        <v>9</v>
      </c>
      <c r="D190" s="511"/>
      <c r="E190" s="511"/>
      <c r="F190" s="511"/>
      <c r="G190" s="182"/>
      <c r="H190" s="619"/>
      <c r="I190" s="513" t="str">
        <f t="shared" si="103"/>
        <v>-</v>
      </c>
      <c r="J190" s="513" t="str">
        <f t="shared" si="104"/>
        <v>-</v>
      </c>
      <c r="K190" s="200" t="str">
        <f t="shared" si="105"/>
        <v>-</v>
      </c>
      <c r="L190" s="621"/>
      <c r="M190" s="452" t="e">
        <f>RANK(K190, K$182:$K$211)</f>
        <v>#VALUE!</v>
      </c>
      <c r="N190" s="604"/>
      <c r="O190" s="604"/>
      <c r="P190" s="182"/>
      <c r="Q190" s="182"/>
      <c r="R190" s="182"/>
      <c r="S190" s="451" t="e">
        <f t="shared" si="106"/>
        <v>#N/A</v>
      </c>
      <c r="T190" s="612"/>
      <c r="U190" s="182"/>
      <c r="V190" s="182"/>
      <c r="W190" s="182"/>
      <c r="X190" s="451" t="e">
        <f t="shared" si="107"/>
        <v>#N/A</v>
      </c>
      <c r="Y190" s="612"/>
      <c r="Z190" s="182"/>
      <c r="AA190" s="182"/>
      <c r="AB190" s="182"/>
      <c r="AC190" s="451" t="e">
        <f t="shared" si="108"/>
        <v>#N/A</v>
      </c>
      <c r="AD190" s="612"/>
      <c r="AE190" s="182"/>
      <c r="AF190" s="182"/>
      <c r="AG190" s="182"/>
      <c r="AH190" s="451" t="e">
        <f t="shared" si="109"/>
        <v>#N/A</v>
      </c>
      <c r="AI190" s="612"/>
      <c r="AJ190" s="182"/>
      <c r="AK190" s="182"/>
      <c r="AL190" s="182"/>
      <c r="AM190" s="451" t="e">
        <f t="shared" si="110"/>
        <v>#N/A</v>
      </c>
      <c r="AN190" s="612"/>
      <c r="AO190" s="182"/>
      <c r="AP190" s="182"/>
      <c r="AQ190" s="182"/>
      <c r="AR190" s="451" t="e">
        <f t="shared" si="111"/>
        <v>#N/A</v>
      </c>
      <c r="AS190" s="612"/>
      <c r="AT190" s="182"/>
      <c r="AU190" s="182"/>
      <c r="AV190" s="182"/>
      <c r="AW190" s="454" t="e">
        <f t="shared" si="112"/>
        <v>#N/A</v>
      </c>
      <c r="AX190" s="603"/>
      <c r="AZ190" s="454" t="e">
        <f t="shared" si="113"/>
        <v>#N/A</v>
      </c>
      <c r="BA190" s="603"/>
    </row>
    <row r="191" spans="2:53">
      <c r="B191" s="640"/>
      <c r="C191" s="451">
        <v>10</v>
      </c>
      <c r="D191" s="511"/>
      <c r="E191" s="511"/>
      <c r="F191" s="511"/>
      <c r="G191" s="182"/>
      <c r="H191" s="619"/>
      <c r="I191" s="513" t="str">
        <f t="shared" si="103"/>
        <v>-</v>
      </c>
      <c r="J191" s="513" t="str">
        <f t="shared" si="104"/>
        <v>-</v>
      </c>
      <c r="K191" s="200" t="str">
        <f t="shared" si="105"/>
        <v>-</v>
      </c>
      <c r="L191" s="621"/>
      <c r="M191" s="452" t="e">
        <f>RANK(K191, K$182:$K$211)</f>
        <v>#VALUE!</v>
      </c>
      <c r="N191" s="604"/>
      <c r="O191" s="604"/>
      <c r="P191" s="182"/>
      <c r="Q191" s="182"/>
      <c r="R191" s="182"/>
      <c r="S191" s="451" t="e">
        <f t="shared" si="106"/>
        <v>#N/A</v>
      </c>
      <c r="T191" s="612"/>
      <c r="U191" s="182"/>
      <c r="V191" s="182"/>
      <c r="W191" s="182"/>
      <c r="X191" s="451" t="e">
        <f t="shared" si="107"/>
        <v>#N/A</v>
      </c>
      <c r="Y191" s="612"/>
      <c r="Z191" s="182"/>
      <c r="AA191" s="182"/>
      <c r="AB191" s="182"/>
      <c r="AC191" s="451" t="e">
        <f t="shared" si="108"/>
        <v>#N/A</v>
      </c>
      <c r="AD191" s="612"/>
      <c r="AE191" s="182"/>
      <c r="AF191" s="182"/>
      <c r="AG191" s="182"/>
      <c r="AH191" s="451" t="e">
        <f t="shared" si="109"/>
        <v>#N/A</v>
      </c>
      <c r="AI191" s="612"/>
      <c r="AJ191" s="182"/>
      <c r="AK191" s="182"/>
      <c r="AL191" s="182"/>
      <c r="AM191" s="451" t="e">
        <f t="shared" si="110"/>
        <v>#N/A</v>
      </c>
      <c r="AN191" s="612"/>
      <c r="AO191" s="182"/>
      <c r="AP191" s="182"/>
      <c r="AQ191" s="182"/>
      <c r="AR191" s="451" t="e">
        <f t="shared" si="111"/>
        <v>#N/A</v>
      </c>
      <c r="AS191" s="612"/>
      <c r="AT191" s="182"/>
      <c r="AU191" s="182"/>
      <c r="AV191" s="182"/>
      <c r="AW191" s="454" t="e">
        <f t="shared" si="112"/>
        <v>#N/A</v>
      </c>
      <c r="AX191" s="603"/>
      <c r="AZ191" s="454" t="e">
        <f t="shared" si="113"/>
        <v>#N/A</v>
      </c>
      <c r="BA191" s="603"/>
    </row>
    <row r="192" spans="2:53">
      <c r="B192" s="640"/>
      <c r="C192" s="451">
        <v>11</v>
      </c>
      <c r="D192" s="511"/>
      <c r="E192" s="511"/>
      <c r="F192" s="511"/>
      <c r="G192" s="182"/>
      <c r="H192" s="619"/>
      <c r="I192" s="513" t="str">
        <f t="shared" si="103"/>
        <v>-</v>
      </c>
      <c r="J192" s="513" t="str">
        <f t="shared" si="104"/>
        <v>-</v>
      </c>
      <c r="K192" s="200" t="str">
        <f t="shared" si="105"/>
        <v>-</v>
      </c>
      <c r="L192" s="621"/>
      <c r="M192" s="452" t="e">
        <f>RANK(K192, K$182:$K$211)</f>
        <v>#VALUE!</v>
      </c>
      <c r="N192" s="604"/>
      <c r="O192" s="604"/>
      <c r="P192" s="182"/>
      <c r="Q192" s="182"/>
      <c r="R192" s="182"/>
      <c r="S192" s="451" t="e">
        <f t="shared" si="106"/>
        <v>#N/A</v>
      </c>
      <c r="T192" s="612"/>
      <c r="U192" s="182"/>
      <c r="V192" s="182"/>
      <c r="W192" s="182"/>
      <c r="X192" s="451" t="e">
        <f t="shared" si="107"/>
        <v>#N/A</v>
      </c>
      <c r="Y192" s="612"/>
      <c r="Z192" s="182"/>
      <c r="AA192" s="182"/>
      <c r="AB192" s="182"/>
      <c r="AC192" s="451" t="e">
        <f t="shared" si="108"/>
        <v>#N/A</v>
      </c>
      <c r="AD192" s="612"/>
      <c r="AE192" s="182"/>
      <c r="AF192" s="182"/>
      <c r="AG192" s="182"/>
      <c r="AH192" s="451" t="e">
        <f t="shared" si="109"/>
        <v>#N/A</v>
      </c>
      <c r="AI192" s="612"/>
      <c r="AJ192" s="182"/>
      <c r="AK192" s="182"/>
      <c r="AL192" s="182"/>
      <c r="AM192" s="451" t="e">
        <f t="shared" si="110"/>
        <v>#N/A</v>
      </c>
      <c r="AN192" s="612"/>
      <c r="AO192" s="182"/>
      <c r="AP192" s="182"/>
      <c r="AQ192" s="182"/>
      <c r="AR192" s="451" t="e">
        <f t="shared" si="111"/>
        <v>#N/A</v>
      </c>
      <c r="AS192" s="612"/>
      <c r="AT192" s="182"/>
      <c r="AU192" s="182"/>
      <c r="AV192" s="182"/>
      <c r="AW192" s="454" t="e">
        <f t="shared" si="112"/>
        <v>#N/A</v>
      </c>
      <c r="AX192" s="603"/>
      <c r="AZ192" s="454" t="e">
        <f t="shared" si="113"/>
        <v>#N/A</v>
      </c>
      <c r="BA192" s="603"/>
    </row>
    <row r="193" spans="2:53">
      <c r="B193" s="640"/>
      <c r="C193" s="451">
        <v>12</v>
      </c>
      <c r="D193" s="511"/>
      <c r="E193" s="511"/>
      <c r="F193" s="511"/>
      <c r="G193" s="182"/>
      <c r="H193" s="619"/>
      <c r="I193" s="513" t="str">
        <f t="shared" si="103"/>
        <v>-</v>
      </c>
      <c r="J193" s="513" t="str">
        <f t="shared" si="104"/>
        <v>-</v>
      </c>
      <c r="K193" s="200" t="str">
        <f t="shared" si="105"/>
        <v>-</v>
      </c>
      <c r="L193" s="621"/>
      <c r="M193" s="452" t="e">
        <f>RANK(K193, K$182:$K$211)</f>
        <v>#VALUE!</v>
      </c>
      <c r="N193" s="604"/>
      <c r="O193" s="604"/>
      <c r="P193" s="182"/>
      <c r="Q193" s="182"/>
      <c r="R193" s="182"/>
      <c r="S193" s="451" t="e">
        <f t="shared" si="106"/>
        <v>#N/A</v>
      </c>
      <c r="T193" s="612"/>
      <c r="U193" s="182"/>
      <c r="V193" s="182"/>
      <c r="W193" s="182"/>
      <c r="X193" s="451" t="e">
        <f t="shared" si="107"/>
        <v>#N/A</v>
      </c>
      <c r="Y193" s="612"/>
      <c r="Z193" s="182"/>
      <c r="AA193" s="182"/>
      <c r="AB193" s="182"/>
      <c r="AC193" s="451" t="e">
        <f t="shared" si="108"/>
        <v>#N/A</v>
      </c>
      <c r="AD193" s="612"/>
      <c r="AE193" s="182"/>
      <c r="AF193" s="182"/>
      <c r="AG193" s="182"/>
      <c r="AH193" s="451" t="e">
        <f t="shared" si="109"/>
        <v>#N/A</v>
      </c>
      <c r="AI193" s="612"/>
      <c r="AJ193" s="182"/>
      <c r="AK193" s="182"/>
      <c r="AL193" s="182"/>
      <c r="AM193" s="451" t="e">
        <f t="shared" si="110"/>
        <v>#N/A</v>
      </c>
      <c r="AN193" s="612"/>
      <c r="AO193" s="182"/>
      <c r="AP193" s="182"/>
      <c r="AQ193" s="182"/>
      <c r="AR193" s="451" t="e">
        <f t="shared" si="111"/>
        <v>#N/A</v>
      </c>
      <c r="AS193" s="612"/>
      <c r="AT193" s="182"/>
      <c r="AU193" s="182"/>
      <c r="AV193" s="182"/>
      <c r="AW193" s="454" t="e">
        <f t="shared" si="112"/>
        <v>#N/A</v>
      </c>
      <c r="AX193" s="603"/>
      <c r="AZ193" s="454" t="e">
        <f t="shared" si="113"/>
        <v>#N/A</v>
      </c>
      <c r="BA193" s="603"/>
    </row>
    <row r="194" spans="2:53">
      <c r="B194" s="640"/>
      <c r="C194" s="451">
        <v>13</v>
      </c>
      <c r="D194" s="511"/>
      <c r="E194" s="511"/>
      <c r="F194" s="511"/>
      <c r="G194" s="182"/>
      <c r="H194" s="619"/>
      <c r="I194" s="513" t="str">
        <f t="shared" si="103"/>
        <v>-</v>
      </c>
      <c r="J194" s="513" t="str">
        <f t="shared" si="104"/>
        <v>-</v>
      </c>
      <c r="K194" s="200" t="str">
        <f t="shared" si="105"/>
        <v>-</v>
      </c>
      <c r="L194" s="621"/>
      <c r="M194" s="452" t="e">
        <f>RANK(K194, K$182:$K$211)</f>
        <v>#VALUE!</v>
      </c>
      <c r="N194" s="604"/>
      <c r="O194" s="604"/>
      <c r="P194" s="182"/>
      <c r="Q194" s="182"/>
      <c r="R194" s="182"/>
      <c r="S194" s="451" t="e">
        <f t="shared" si="106"/>
        <v>#N/A</v>
      </c>
      <c r="T194" s="612"/>
      <c r="U194" s="182"/>
      <c r="V194" s="182"/>
      <c r="W194" s="182"/>
      <c r="X194" s="451" t="e">
        <f t="shared" si="107"/>
        <v>#N/A</v>
      </c>
      <c r="Y194" s="612"/>
      <c r="Z194" s="182"/>
      <c r="AA194" s="182"/>
      <c r="AB194" s="182"/>
      <c r="AC194" s="451" t="e">
        <f t="shared" si="108"/>
        <v>#N/A</v>
      </c>
      <c r="AD194" s="612"/>
      <c r="AE194" s="182"/>
      <c r="AF194" s="182"/>
      <c r="AG194" s="182"/>
      <c r="AH194" s="451" t="e">
        <f t="shared" si="109"/>
        <v>#N/A</v>
      </c>
      <c r="AI194" s="612"/>
      <c r="AJ194" s="182"/>
      <c r="AK194" s="182"/>
      <c r="AL194" s="182"/>
      <c r="AM194" s="451" t="e">
        <f t="shared" si="110"/>
        <v>#N/A</v>
      </c>
      <c r="AN194" s="612"/>
      <c r="AO194" s="182"/>
      <c r="AP194" s="182"/>
      <c r="AQ194" s="182"/>
      <c r="AR194" s="451" t="e">
        <f t="shared" si="111"/>
        <v>#N/A</v>
      </c>
      <c r="AS194" s="612"/>
      <c r="AT194" s="182"/>
      <c r="AU194" s="182"/>
      <c r="AV194" s="182"/>
      <c r="AW194" s="454" t="e">
        <f t="shared" si="112"/>
        <v>#N/A</v>
      </c>
      <c r="AX194" s="603"/>
      <c r="AZ194" s="454" t="e">
        <f t="shared" si="113"/>
        <v>#N/A</v>
      </c>
      <c r="BA194" s="603"/>
    </row>
    <row r="195" spans="2:53">
      <c r="B195" s="640"/>
      <c r="C195" s="451">
        <v>14</v>
      </c>
      <c r="D195" s="511"/>
      <c r="E195" s="511"/>
      <c r="F195" s="511"/>
      <c r="G195" s="182"/>
      <c r="H195" s="619"/>
      <c r="I195" s="513" t="str">
        <f t="shared" si="103"/>
        <v>-</v>
      </c>
      <c r="J195" s="513" t="str">
        <f t="shared" si="104"/>
        <v>-</v>
      </c>
      <c r="K195" s="200" t="str">
        <f t="shared" si="105"/>
        <v>-</v>
      </c>
      <c r="L195" s="621"/>
      <c r="M195" s="452" t="e">
        <f>RANK(K195, K$182:$K$211)</f>
        <v>#VALUE!</v>
      </c>
      <c r="N195" s="604"/>
      <c r="O195" s="604"/>
      <c r="P195" s="182"/>
      <c r="Q195" s="182"/>
      <c r="R195" s="182"/>
      <c r="S195" s="451" t="e">
        <f t="shared" si="106"/>
        <v>#N/A</v>
      </c>
      <c r="T195" s="612"/>
      <c r="U195" s="182"/>
      <c r="V195" s="182"/>
      <c r="W195" s="182"/>
      <c r="X195" s="451" t="e">
        <f t="shared" si="107"/>
        <v>#N/A</v>
      </c>
      <c r="Y195" s="612"/>
      <c r="Z195" s="182"/>
      <c r="AA195" s="182"/>
      <c r="AB195" s="182"/>
      <c r="AC195" s="451" t="e">
        <f t="shared" si="108"/>
        <v>#N/A</v>
      </c>
      <c r="AD195" s="612"/>
      <c r="AE195" s="182"/>
      <c r="AF195" s="182"/>
      <c r="AG195" s="182"/>
      <c r="AH195" s="451" t="e">
        <f t="shared" si="109"/>
        <v>#N/A</v>
      </c>
      <c r="AI195" s="612"/>
      <c r="AJ195" s="182"/>
      <c r="AK195" s="182"/>
      <c r="AL195" s="182"/>
      <c r="AM195" s="451" t="e">
        <f t="shared" si="110"/>
        <v>#N/A</v>
      </c>
      <c r="AN195" s="612"/>
      <c r="AO195" s="182"/>
      <c r="AP195" s="182"/>
      <c r="AQ195" s="182"/>
      <c r="AR195" s="451" t="e">
        <f t="shared" si="111"/>
        <v>#N/A</v>
      </c>
      <c r="AS195" s="612"/>
      <c r="AT195" s="182"/>
      <c r="AU195" s="182"/>
      <c r="AV195" s="182"/>
      <c r="AW195" s="454" t="e">
        <f t="shared" si="112"/>
        <v>#N/A</v>
      </c>
      <c r="AX195" s="603"/>
      <c r="AZ195" s="454" t="e">
        <f t="shared" si="113"/>
        <v>#N/A</v>
      </c>
      <c r="BA195" s="603"/>
    </row>
    <row r="196" spans="2:53">
      <c r="B196" s="640"/>
      <c r="C196" s="451">
        <v>15</v>
      </c>
      <c r="D196" s="511"/>
      <c r="E196" s="511"/>
      <c r="F196" s="511"/>
      <c r="G196" s="182"/>
      <c r="H196" s="619"/>
      <c r="I196" s="513" t="str">
        <f t="shared" si="103"/>
        <v>-</v>
      </c>
      <c r="J196" s="513" t="str">
        <f t="shared" si="104"/>
        <v>-</v>
      </c>
      <c r="K196" s="200" t="str">
        <f t="shared" si="105"/>
        <v>-</v>
      </c>
      <c r="L196" s="621"/>
      <c r="M196" s="452" t="e">
        <f>RANK(K196, K$182:$K$211)</f>
        <v>#VALUE!</v>
      </c>
      <c r="N196" s="604"/>
      <c r="O196" s="604"/>
      <c r="P196" s="182"/>
      <c r="Q196" s="182"/>
      <c r="R196" s="182"/>
      <c r="S196" s="451" t="e">
        <f t="shared" si="106"/>
        <v>#N/A</v>
      </c>
      <c r="T196" s="612"/>
      <c r="U196" s="182"/>
      <c r="V196" s="182"/>
      <c r="W196" s="182"/>
      <c r="X196" s="451" t="e">
        <f t="shared" si="107"/>
        <v>#N/A</v>
      </c>
      <c r="Y196" s="612"/>
      <c r="Z196" s="182"/>
      <c r="AA196" s="182"/>
      <c r="AB196" s="182"/>
      <c r="AC196" s="451" t="e">
        <f t="shared" si="108"/>
        <v>#N/A</v>
      </c>
      <c r="AD196" s="612"/>
      <c r="AE196" s="182"/>
      <c r="AF196" s="182"/>
      <c r="AG196" s="182"/>
      <c r="AH196" s="451" t="e">
        <f t="shared" si="109"/>
        <v>#N/A</v>
      </c>
      <c r="AI196" s="612"/>
      <c r="AJ196" s="182"/>
      <c r="AK196" s="182"/>
      <c r="AL196" s="182"/>
      <c r="AM196" s="451" t="e">
        <f t="shared" si="110"/>
        <v>#N/A</v>
      </c>
      <c r="AN196" s="612"/>
      <c r="AO196" s="182"/>
      <c r="AP196" s="182"/>
      <c r="AQ196" s="182"/>
      <c r="AR196" s="451" t="e">
        <f t="shared" si="111"/>
        <v>#N/A</v>
      </c>
      <c r="AS196" s="612"/>
      <c r="AT196" s="182"/>
      <c r="AU196" s="182"/>
      <c r="AV196" s="182"/>
      <c r="AW196" s="454" t="e">
        <f t="shared" si="112"/>
        <v>#N/A</v>
      </c>
      <c r="AX196" s="603"/>
      <c r="AZ196" s="454" t="e">
        <f t="shared" si="113"/>
        <v>#N/A</v>
      </c>
      <c r="BA196" s="603"/>
    </row>
    <row r="197" spans="2:53">
      <c r="B197" s="640"/>
      <c r="C197" s="451">
        <v>16</v>
      </c>
      <c r="D197" s="511"/>
      <c r="E197" s="511"/>
      <c r="F197" s="511"/>
      <c r="G197" s="182"/>
      <c r="H197" s="619"/>
      <c r="I197" s="513" t="str">
        <f t="shared" si="103"/>
        <v>-</v>
      </c>
      <c r="J197" s="513" t="str">
        <f t="shared" si="104"/>
        <v>-</v>
      </c>
      <c r="K197" s="200" t="str">
        <f t="shared" si="105"/>
        <v>-</v>
      </c>
      <c r="L197" s="621"/>
      <c r="M197" s="452" t="e">
        <f>RANK(K197, K$182:$K$211)</f>
        <v>#VALUE!</v>
      </c>
      <c r="N197" s="604"/>
      <c r="O197" s="604"/>
      <c r="P197" s="182"/>
      <c r="Q197" s="182"/>
      <c r="R197" s="182"/>
      <c r="S197" s="451" t="e">
        <f t="shared" si="106"/>
        <v>#N/A</v>
      </c>
      <c r="T197" s="612"/>
      <c r="U197" s="182"/>
      <c r="V197" s="182"/>
      <c r="W197" s="182"/>
      <c r="X197" s="451" t="e">
        <f t="shared" si="107"/>
        <v>#N/A</v>
      </c>
      <c r="Y197" s="612"/>
      <c r="Z197" s="182"/>
      <c r="AA197" s="182"/>
      <c r="AB197" s="182"/>
      <c r="AC197" s="451" t="e">
        <f t="shared" si="108"/>
        <v>#N/A</v>
      </c>
      <c r="AD197" s="612"/>
      <c r="AE197" s="182"/>
      <c r="AF197" s="182"/>
      <c r="AG197" s="182"/>
      <c r="AH197" s="451" t="e">
        <f t="shared" si="109"/>
        <v>#N/A</v>
      </c>
      <c r="AI197" s="612"/>
      <c r="AJ197" s="182"/>
      <c r="AK197" s="182"/>
      <c r="AL197" s="182"/>
      <c r="AM197" s="451" t="e">
        <f t="shared" si="110"/>
        <v>#N/A</v>
      </c>
      <c r="AN197" s="612"/>
      <c r="AO197" s="182"/>
      <c r="AP197" s="182"/>
      <c r="AQ197" s="182"/>
      <c r="AR197" s="451" t="e">
        <f t="shared" si="111"/>
        <v>#N/A</v>
      </c>
      <c r="AS197" s="612"/>
      <c r="AT197" s="182"/>
      <c r="AU197" s="182"/>
      <c r="AV197" s="182"/>
      <c r="AW197" s="454" t="e">
        <f t="shared" si="112"/>
        <v>#N/A</v>
      </c>
      <c r="AX197" s="603"/>
      <c r="AZ197" s="454" t="e">
        <f t="shared" si="113"/>
        <v>#N/A</v>
      </c>
      <c r="BA197" s="603"/>
    </row>
    <row r="198" spans="2:53">
      <c r="B198" s="640"/>
      <c r="C198" s="451">
        <v>17</v>
      </c>
      <c r="D198" s="511"/>
      <c r="E198" s="511"/>
      <c r="F198" s="511"/>
      <c r="G198" s="182"/>
      <c r="H198" s="619"/>
      <c r="I198" s="513" t="str">
        <f t="shared" si="103"/>
        <v>-</v>
      </c>
      <c r="J198" s="513" t="str">
        <f t="shared" si="104"/>
        <v>-</v>
      </c>
      <c r="K198" s="200" t="str">
        <f t="shared" si="105"/>
        <v>-</v>
      </c>
      <c r="L198" s="621"/>
      <c r="M198" s="452" t="e">
        <f>RANK(K198, K$182:$K$211)</f>
        <v>#VALUE!</v>
      </c>
      <c r="N198" s="604"/>
      <c r="O198" s="604"/>
      <c r="P198" s="182"/>
      <c r="Q198" s="182"/>
      <c r="R198" s="182"/>
      <c r="S198" s="451" t="e">
        <f t="shared" si="106"/>
        <v>#N/A</v>
      </c>
      <c r="T198" s="612"/>
      <c r="U198" s="182"/>
      <c r="V198" s="182"/>
      <c r="W198" s="182"/>
      <c r="X198" s="451" t="e">
        <f t="shared" si="107"/>
        <v>#N/A</v>
      </c>
      <c r="Y198" s="612"/>
      <c r="Z198" s="182"/>
      <c r="AA198" s="182"/>
      <c r="AB198" s="182"/>
      <c r="AC198" s="451" t="e">
        <f t="shared" si="108"/>
        <v>#N/A</v>
      </c>
      <c r="AD198" s="612"/>
      <c r="AE198" s="182"/>
      <c r="AF198" s="182"/>
      <c r="AG198" s="182"/>
      <c r="AH198" s="451" t="e">
        <f t="shared" si="109"/>
        <v>#N/A</v>
      </c>
      <c r="AI198" s="612"/>
      <c r="AJ198" s="182"/>
      <c r="AK198" s="182"/>
      <c r="AL198" s="182"/>
      <c r="AM198" s="451" t="e">
        <f t="shared" si="110"/>
        <v>#N/A</v>
      </c>
      <c r="AN198" s="612"/>
      <c r="AO198" s="182"/>
      <c r="AP198" s="182"/>
      <c r="AQ198" s="182"/>
      <c r="AR198" s="451" t="e">
        <f t="shared" si="111"/>
        <v>#N/A</v>
      </c>
      <c r="AS198" s="612"/>
      <c r="AT198" s="182"/>
      <c r="AU198" s="182"/>
      <c r="AV198" s="182"/>
      <c r="AW198" s="454" t="e">
        <f t="shared" si="112"/>
        <v>#N/A</v>
      </c>
      <c r="AX198" s="603"/>
      <c r="AZ198" s="454" t="e">
        <f t="shared" si="113"/>
        <v>#N/A</v>
      </c>
      <c r="BA198" s="603"/>
    </row>
    <row r="199" spans="2:53">
      <c r="B199" s="640"/>
      <c r="C199" s="451">
        <v>18</v>
      </c>
      <c r="D199" s="511"/>
      <c r="E199" s="511"/>
      <c r="F199" s="511"/>
      <c r="G199" s="182"/>
      <c r="H199" s="619"/>
      <c r="I199" s="513" t="str">
        <f t="shared" si="103"/>
        <v>-</v>
      </c>
      <c r="J199" s="513" t="str">
        <f t="shared" si="104"/>
        <v>-</v>
      </c>
      <c r="K199" s="200" t="str">
        <f t="shared" si="105"/>
        <v>-</v>
      </c>
      <c r="L199" s="621"/>
      <c r="M199" s="452" t="e">
        <f>RANK(K199, K$182:$K$211)</f>
        <v>#VALUE!</v>
      </c>
      <c r="N199" s="604"/>
      <c r="O199" s="604"/>
      <c r="P199" s="182"/>
      <c r="Q199" s="182"/>
      <c r="R199" s="182"/>
      <c r="S199" s="451" t="e">
        <f t="shared" si="106"/>
        <v>#N/A</v>
      </c>
      <c r="T199" s="612"/>
      <c r="U199" s="182"/>
      <c r="V199" s="182"/>
      <c r="W199" s="182"/>
      <c r="X199" s="451" t="e">
        <f t="shared" si="107"/>
        <v>#N/A</v>
      </c>
      <c r="Y199" s="612"/>
      <c r="Z199" s="182"/>
      <c r="AA199" s="182"/>
      <c r="AB199" s="182"/>
      <c r="AC199" s="451" t="e">
        <f t="shared" si="108"/>
        <v>#N/A</v>
      </c>
      <c r="AD199" s="612"/>
      <c r="AE199" s="182"/>
      <c r="AF199" s="182"/>
      <c r="AG199" s="182"/>
      <c r="AH199" s="451" t="e">
        <f t="shared" si="109"/>
        <v>#N/A</v>
      </c>
      <c r="AI199" s="612"/>
      <c r="AJ199" s="182"/>
      <c r="AK199" s="182"/>
      <c r="AL199" s="182"/>
      <c r="AM199" s="451" t="e">
        <f t="shared" si="110"/>
        <v>#N/A</v>
      </c>
      <c r="AN199" s="612"/>
      <c r="AO199" s="182"/>
      <c r="AP199" s="182"/>
      <c r="AQ199" s="182"/>
      <c r="AR199" s="451" t="e">
        <f t="shared" si="111"/>
        <v>#N/A</v>
      </c>
      <c r="AS199" s="612"/>
      <c r="AT199" s="182"/>
      <c r="AU199" s="182"/>
      <c r="AV199" s="182"/>
      <c r="AW199" s="454" t="e">
        <f t="shared" si="112"/>
        <v>#N/A</v>
      </c>
      <c r="AX199" s="603"/>
      <c r="AZ199" s="454" t="e">
        <f t="shared" si="113"/>
        <v>#N/A</v>
      </c>
      <c r="BA199" s="603"/>
    </row>
    <row r="200" spans="2:53">
      <c r="B200" s="640"/>
      <c r="C200" s="451">
        <v>19</v>
      </c>
      <c r="D200" s="511"/>
      <c r="E200" s="511"/>
      <c r="F200" s="511"/>
      <c r="G200" s="182"/>
      <c r="H200" s="619"/>
      <c r="I200" s="513" t="str">
        <f t="shared" si="103"/>
        <v>-</v>
      </c>
      <c r="J200" s="513" t="str">
        <f t="shared" si="104"/>
        <v>-</v>
      </c>
      <c r="K200" s="200" t="str">
        <f t="shared" si="105"/>
        <v>-</v>
      </c>
      <c r="L200" s="621"/>
      <c r="M200" s="452" t="e">
        <f>RANK(K200, K$182:$K$211)</f>
        <v>#VALUE!</v>
      </c>
      <c r="N200" s="604"/>
      <c r="O200" s="604"/>
      <c r="P200" s="182"/>
      <c r="Q200" s="182"/>
      <c r="R200" s="182"/>
      <c r="S200" s="451" t="e">
        <f t="shared" si="106"/>
        <v>#N/A</v>
      </c>
      <c r="T200" s="612"/>
      <c r="U200" s="182"/>
      <c r="V200" s="182"/>
      <c r="W200" s="182"/>
      <c r="X200" s="451" t="e">
        <f t="shared" si="107"/>
        <v>#N/A</v>
      </c>
      <c r="Y200" s="612"/>
      <c r="Z200" s="182"/>
      <c r="AA200" s="182"/>
      <c r="AB200" s="182"/>
      <c r="AC200" s="451" t="e">
        <f t="shared" si="108"/>
        <v>#N/A</v>
      </c>
      <c r="AD200" s="612"/>
      <c r="AE200" s="182"/>
      <c r="AF200" s="182"/>
      <c r="AG200" s="182"/>
      <c r="AH200" s="451" t="e">
        <f t="shared" si="109"/>
        <v>#N/A</v>
      </c>
      <c r="AI200" s="612"/>
      <c r="AJ200" s="182"/>
      <c r="AK200" s="182"/>
      <c r="AL200" s="182"/>
      <c r="AM200" s="451" t="e">
        <f t="shared" si="110"/>
        <v>#N/A</v>
      </c>
      <c r="AN200" s="612"/>
      <c r="AO200" s="182"/>
      <c r="AP200" s="182"/>
      <c r="AQ200" s="182"/>
      <c r="AR200" s="451" t="e">
        <f t="shared" si="111"/>
        <v>#N/A</v>
      </c>
      <c r="AS200" s="612"/>
      <c r="AT200" s="182"/>
      <c r="AU200" s="182"/>
      <c r="AV200" s="182"/>
      <c r="AW200" s="454" t="e">
        <f t="shared" si="112"/>
        <v>#N/A</v>
      </c>
      <c r="AX200" s="603"/>
      <c r="AZ200" s="454" t="e">
        <f t="shared" si="113"/>
        <v>#N/A</v>
      </c>
      <c r="BA200" s="603"/>
    </row>
    <row r="201" spans="2:53">
      <c r="B201" s="640"/>
      <c r="C201" s="451">
        <v>20</v>
      </c>
      <c r="D201" s="511"/>
      <c r="E201" s="511"/>
      <c r="F201" s="511"/>
      <c r="G201" s="182"/>
      <c r="H201" s="619"/>
      <c r="I201" s="513" t="str">
        <f t="shared" si="103"/>
        <v>-</v>
      </c>
      <c r="J201" s="513" t="str">
        <f t="shared" si="104"/>
        <v>-</v>
      </c>
      <c r="K201" s="200" t="str">
        <f t="shared" si="105"/>
        <v>-</v>
      </c>
      <c r="L201" s="621"/>
      <c r="M201" s="452" t="e">
        <f>RANK(K201, K$182:$K$211)</f>
        <v>#VALUE!</v>
      </c>
      <c r="N201" s="604"/>
      <c r="O201" s="604"/>
      <c r="P201" s="182"/>
      <c r="Q201" s="182"/>
      <c r="R201" s="182"/>
      <c r="S201" s="451" t="e">
        <f t="shared" si="106"/>
        <v>#N/A</v>
      </c>
      <c r="T201" s="612"/>
      <c r="U201" s="182"/>
      <c r="V201" s="182"/>
      <c r="W201" s="182"/>
      <c r="X201" s="451" t="e">
        <f t="shared" si="107"/>
        <v>#N/A</v>
      </c>
      <c r="Y201" s="612"/>
      <c r="Z201" s="182"/>
      <c r="AA201" s="182"/>
      <c r="AB201" s="182"/>
      <c r="AC201" s="451" t="e">
        <f t="shared" si="108"/>
        <v>#N/A</v>
      </c>
      <c r="AD201" s="612"/>
      <c r="AE201" s="182"/>
      <c r="AF201" s="182"/>
      <c r="AG201" s="182"/>
      <c r="AH201" s="451" t="e">
        <f t="shared" si="109"/>
        <v>#N/A</v>
      </c>
      <c r="AI201" s="612"/>
      <c r="AJ201" s="182"/>
      <c r="AK201" s="182"/>
      <c r="AL201" s="182"/>
      <c r="AM201" s="451" t="e">
        <f t="shared" si="110"/>
        <v>#N/A</v>
      </c>
      <c r="AN201" s="612"/>
      <c r="AO201" s="182"/>
      <c r="AP201" s="182"/>
      <c r="AQ201" s="182"/>
      <c r="AR201" s="451" t="e">
        <f t="shared" si="111"/>
        <v>#N/A</v>
      </c>
      <c r="AS201" s="612"/>
      <c r="AT201" s="182"/>
      <c r="AU201" s="182"/>
      <c r="AV201" s="182"/>
      <c r="AW201" s="454" t="e">
        <f t="shared" si="112"/>
        <v>#N/A</v>
      </c>
      <c r="AX201" s="603"/>
      <c r="AZ201" s="454" t="e">
        <f t="shared" si="113"/>
        <v>#N/A</v>
      </c>
      <c r="BA201" s="603"/>
    </row>
    <row r="202" spans="2:53">
      <c r="B202" s="640"/>
      <c r="C202" s="451">
        <v>21</v>
      </c>
      <c r="D202" s="516"/>
      <c r="E202" s="511"/>
      <c r="F202" s="511"/>
      <c r="G202" s="182"/>
      <c r="H202" s="619"/>
      <c r="I202" s="513" t="str">
        <f t="shared" si="103"/>
        <v>-</v>
      </c>
      <c r="J202" s="513" t="str">
        <f t="shared" si="104"/>
        <v>-</v>
      </c>
      <c r="K202" s="200" t="str">
        <f t="shared" si="105"/>
        <v>-</v>
      </c>
      <c r="L202" s="621"/>
      <c r="M202" s="452" t="e">
        <f>RANK(K202, K$182:$K$211)</f>
        <v>#VALUE!</v>
      </c>
      <c r="N202" s="604"/>
      <c r="O202" s="604"/>
      <c r="P202" s="460"/>
      <c r="Q202" s="182"/>
      <c r="R202" s="462"/>
      <c r="S202" s="451" t="e">
        <f t="shared" si="106"/>
        <v>#N/A</v>
      </c>
      <c r="T202" s="612"/>
      <c r="U202" s="460"/>
      <c r="V202" s="182"/>
      <c r="W202" s="462"/>
      <c r="X202" s="451" t="e">
        <f t="shared" si="107"/>
        <v>#N/A</v>
      </c>
      <c r="Y202" s="612"/>
      <c r="Z202" s="460"/>
      <c r="AA202" s="182"/>
      <c r="AB202" s="462"/>
      <c r="AC202" s="451" t="e">
        <f t="shared" si="108"/>
        <v>#N/A</v>
      </c>
      <c r="AD202" s="612"/>
      <c r="AE202" s="460"/>
      <c r="AF202" s="182"/>
      <c r="AG202" s="462"/>
      <c r="AH202" s="451" t="e">
        <f t="shared" si="109"/>
        <v>#N/A</v>
      </c>
      <c r="AI202" s="612"/>
      <c r="AJ202" s="460"/>
      <c r="AK202" s="182"/>
      <c r="AL202" s="462"/>
      <c r="AM202" s="451" t="e">
        <f t="shared" si="110"/>
        <v>#N/A</v>
      </c>
      <c r="AN202" s="612"/>
      <c r="AO202" s="460"/>
      <c r="AP202" s="182"/>
      <c r="AQ202" s="462"/>
      <c r="AR202" s="451" t="e">
        <f t="shared" si="111"/>
        <v>#N/A</v>
      </c>
      <c r="AS202" s="612"/>
      <c r="AT202" s="460"/>
      <c r="AU202" s="182"/>
      <c r="AV202" s="462"/>
      <c r="AW202" s="454" t="e">
        <f t="shared" si="112"/>
        <v>#N/A</v>
      </c>
      <c r="AX202" s="603"/>
      <c r="AZ202" s="454" t="e">
        <f t="shared" si="113"/>
        <v>#N/A</v>
      </c>
      <c r="BA202" s="603"/>
    </row>
    <row r="203" spans="2:53">
      <c r="B203" s="640"/>
      <c r="C203" s="451">
        <v>22</v>
      </c>
      <c r="D203" s="511"/>
      <c r="E203" s="511"/>
      <c r="F203" s="511"/>
      <c r="G203" s="511"/>
      <c r="H203" s="619"/>
      <c r="I203" s="513" t="str">
        <f t="shared" si="103"/>
        <v>-</v>
      </c>
      <c r="J203" s="513" t="str">
        <f t="shared" si="104"/>
        <v>-</v>
      </c>
      <c r="K203" s="200" t="str">
        <f t="shared" si="105"/>
        <v>-</v>
      </c>
      <c r="L203" s="621"/>
      <c r="M203" s="452" t="e">
        <f>RANK(K203, K$182:$K$211)</f>
        <v>#VALUE!</v>
      </c>
      <c r="N203" s="604"/>
      <c r="O203" s="604"/>
      <c r="P203" s="460"/>
      <c r="Q203" s="182"/>
      <c r="R203" s="462"/>
      <c r="S203" s="451" t="e">
        <f t="shared" si="106"/>
        <v>#N/A</v>
      </c>
      <c r="T203" s="612"/>
      <c r="U203" s="460"/>
      <c r="V203" s="182"/>
      <c r="W203" s="462"/>
      <c r="X203" s="451" t="e">
        <f t="shared" si="107"/>
        <v>#N/A</v>
      </c>
      <c r="Y203" s="612"/>
      <c r="Z203" s="460"/>
      <c r="AA203" s="182"/>
      <c r="AB203" s="462"/>
      <c r="AC203" s="451" t="e">
        <f t="shared" si="108"/>
        <v>#N/A</v>
      </c>
      <c r="AD203" s="612"/>
      <c r="AE203" s="460"/>
      <c r="AF203" s="182"/>
      <c r="AG203" s="462"/>
      <c r="AH203" s="451" t="e">
        <f t="shared" si="109"/>
        <v>#N/A</v>
      </c>
      <c r="AI203" s="612"/>
      <c r="AJ203" s="460"/>
      <c r="AK203" s="182"/>
      <c r="AL203" s="462"/>
      <c r="AM203" s="451" t="e">
        <f t="shared" si="110"/>
        <v>#N/A</v>
      </c>
      <c r="AN203" s="612"/>
      <c r="AO203" s="460"/>
      <c r="AP203" s="182"/>
      <c r="AQ203" s="462"/>
      <c r="AR203" s="451" t="e">
        <f t="shared" si="111"/>
        <v>#N/A</v>
      </c>
      <c r="AS203" s="612"/>
      <c r="AT203" s="460"/>
      <c r="AU203" s="182"/>
      <c r="AV203" s="462"/>
      <c r="AW203" s="454" t="e">
        <f t="shared" si="112"/>
        <v>#N/A</v>
      </c>
      <c r="AX203" s="603"/>
      <c r="AZ203" s="454" t="e">
        <f t="shared" si="113"/>
        <v>#N/A</v>
      </c>
      <c r="BA203" s="603"/>
    </row>
    <row r="204" spans="2:53">
      <c r="B204" s="640"/>
      <c r="C204" s="451">
        <v>23</v>
      </c>
      <c r="D204" s="511"/>
      <c r="E204" s="511"/>
      <c r="F204" s="511"/>
      <c r="G204" s="511"/>
      <c r="H204" s="619"/>
      <c r="I204" s="513" t="str">
        <f t="shared" si="103"/>
        <v>-</v>
      </c>
      <c r="J204" s="513" t="str">
        <f t="shared" si="104"/>
        <v>-</v>
      </c>
      <c r="K204" s="200" t="str">
        <f t="shared" si="105"/>
        <v>-</v>
      </c>
      <c r="L204" s="621"/>
      <c r="M204" s="452" t="e">
        <f>RANK(K204, K$182:$K$211)</f>
        <v>#VALUE!</v>
      </c>
      <c r="N204" s="604"/>
      <c r="O204" s="604"/>
      <c r="P204" s="460"/>
      <c r="Q204" s="460"/>
      <c r="R204" s="462"/>
      <c r="S204" s="451" t="e">
        <f t="shared" si="106"/>
        <v>#N/A</v>
      </c>
      <c r="T204" s="612"/>
      <c r="U204" s="460"/>
      <c r="V204" s="460"/>
      <c r="W204" s="462"/>
      <c r="X204" s="451" t="e">
        <f t="shared" si="107"/>
        <v>#N/A</v>
      </c>
      <c r="Y204" s="612"/>
      <c r="Z204" s="460"/>
      <c r="AA204" s="460"/>
      <c r="AB204" s="462"/>
      <c r="AC204" s="451" t="e">
        <f t="shared" si="108"/>
        <v>#N/A</v>
      </c>
      <c r="AD204" s="612"/>
      <c r="AE204" s="460"/>
      <c r="AF204" s="460"/>
      <c r="AG204" s="462"/>
      <c r="AH204" s="451" t="e">
        <f t="shared" si="109"/>
        <v>#N/A</v>
      </c>
      <c r="AI204" s="612"/>
      <c r="AJ204" s="460"/>
      <c r="AK204" s="460"/>
      <c r="AL204" s="462"/>
      <c r="AM204" s="451" t="e">
        <f t="shared" si="110"/>
        <v>#N/A</v>
      </c>
      <c r="AN204" s="612"/>
      <c r="AO204" s="460"/>
      <c r="AP204" s="460"/>
      <c r="AQ204" s="462"/>
      <c r="AR204" s="451" t="e">
        <f t="shared" si="111"/>
        <v>#N/A</v>
      </c>
      <c r="AS204" s="612"/>
      <c r="AT204" s="460"/>
      <c r="AU204" s="460"/>
      <c r="AV204" s="462"/>
      <c r="AW204" s="454" t="e">
        <f t="shared" si="112"/>
        <v>#N/A</v>
      </c>
      <c r="AX204" s="603"/>
      <c r="AZ204" s="454" t="e">
        <f t="shared" si="113"/>
        <v>#N/A</v>
      </c>
      <c r="BA204" s="603"/>
    </row>
    <row r="205" spans="2:53">
      <c r="B205" s="640"/>
      <c r="C205" s="451">
        <v>24</v>
      </c>
      <c r="D205" s="511"/>
      <c r="E205" s="511"/>
      <c r="F205" s="511"/>
      <c r="G205" s="511"/>
      <c r="H205" s="619"/>
      <c r="I205" s="513" t="str">
        <f t="shared" si="103"/>
        <v>-</v>
      </c>
      <c r="J205" s="513" t="str">
        <f t="shared" si="104"/>
        <v>-</v>
      </c>
      <c r="K205" s="200" t="str">
        <f t="shared" si="105"/>
        <v>-</v>
      </c>
      <c r="L205" s="621"/>
      <c r="M205" s="452" t="e">
        <f>RANK(K205, K$182:$K$211)</f>
        <v>#VALUE!</v>
      </c>
      <c r="N205" s="604"/>
      <c r="O205" s="604"/>
      <c r="P205" s="460"/>
      <c r="Q205" s="460"/>
      <c r="R205" s="460"/>
      <c r="S205" s="451" t="e">
        <f t="shared" si="106"/>
        <v>#N/A</v>
      </c>
      <c r="T205" s="612"/>
      <c r="U205" s="460"/>
      <c r="V205" s="460"/>
      <c r="W205" s="460"/>
      <c r="X205" s="451" t="e">
        <f t="shared" si="107"/>
        <v>#N/A</v>
      </c>
      <c r="Y205" s="612"/>
      <c r="Z205" s="460"/>
      <c r="AA205" s="460"/>
      <c r="AB205" s="460"/>
      <c r="AC205" s="451" t="e">
        <f t="shared" si="108"/>
        <v>#N/A</v>
      </c>
      <c r="AD205" s="612"/>
      <c r="AE205" s="460"/>
      <c r="AF205" s="460"/>
      <c r="AG205" s="460"/>
      <c r="AH205" s="451" t="e">
        <f t="shared" si="109"/>
        <v>#N/A</v>
      </c>
      <c r="AI205" s="612"/>
      <c r="AJ205" s="460"/>
      <c r="AK205" s="460"/>
      <c r="AL205" s="460"/>
      <c r="AM205" s="451" t="e">
        <f t="shared" si="110"/>
        <v>#N/A</v>
      </c>
      <c r="AN205" s="612"/>
      <c r="AO205" s="460"/>
      <c r="AP205" s="460"/>
      <c r="AQ205" s="460"/>
      <c r="AR205" s="451" t="e">
        <f t="shared" si="111"/>
        <v>#N/A</v>
      </c>
      <c r="AS205" s="612"/>
      <c r="AT205" s="460"/>
      <c r="AU205" s="460"/>
      <c r="AV205" s="460"/>
      <c r="AW205" s="454" t="e">
        <f t="shared" si="112"/>
        <v>#N/A</v>
      </c>
      <c r="AX205" s="603"/>
      <c r="AZ205" s="454" t="e">
        <f t="shared" si="113"/>
        <v>#N/A</v>
      </c>
      <c r="BA205" s="603"/>
    </row>
    <row r="206" spans="2:53">
      <c r="B206" s="640"/>
      <c r="C206" s="451">
        <v>25</v>
      </c>
      <c r="D206" s="511"/>
      <c r="E206" s="511"/>
      <c r="F206" s="511"/>
      <c r="G206" s="511"/>
      <c r="H206" s="619"/>
      <c r="I206" s="513" t="str">
        <f t="shared" si="103"/>
        <v>-</v>
      </c>
      <c r="J206" s="513" t="str">
        <f t="shared" si="104"/>
        <v>-</v>
      </c>
      <c r="K206" s="200" t="str">
        <f t="shared" si="105"/>
        <v>-</v>
      </c>
      <c r="L206" s="621"/>
      <c r="M206" s="452" t="e">
        <f>RANK(K206, K$182:$K$211)</f>
        <v>#VALUE!</v>
      </c>
      <c r="N206" s="604"/>
      <c r="O206" s="604"/>
      <c r="P206" s="460"/>
      <c r="Q206" s="460"/>
      <c r="R206" s="460"/>
      <c r="S206" s="451" t="e">
        <f t="shared" si="106"/>
        <v>#N/A</v>
      </c>
      <c r="T206" s="612"/>
      <c r="U206" s="460"/>
      <c r="V206" s="460"/>
      <c r="W206" s="460"/>
      <c r="X206" s="451" t="e">
        <f t="shared" si="107"/>
        <v>#N/A</v>
      </c>
      <c r="Y206" s="612"/>
      <c r="Z206" s="460"/>
      <c r="AA206" s="460"/>
      <c r="AB206" s="460"/>
      <c r="AC206" s="451" t="e">
        <f t="shared" si="108"/>
        <v>#N/A</v>
      </c>
      <c r="AD206" s="612"/>
      <c r="AE206" s="460"/>
      <c r="AF206" s="460"/>
      <c r="AG206" s="460"/>
      <c r="AH206" s="451" t="e">
        <f t="shared" si="109"/>
        <v>#N/A</v>
      </c>
      <c r="AI206" s="612"/>
      <c r="AJ206" s="460"/>
      <c r="AK206" s="460"/>
      <c r="AL206" s="460"/>
      <c r="AM206" s="451" t="e">
        <f t="shared" si="110"/>
        <v>#N/A</v>
      </c>
      <c r="AN206" s="612"/>
      <c r="AO206" s="460"/>
      <c r="AP206" s="460"/>
      <c r="AQ206" s="460"/>
      <c r="AR206" s="451" t="e">
        <f t="shared" si="111"/>
        <v>#N/A</v>
      </c>
      <c r="AS206" s="612"/>
      <c r="AT206" s="460"/>
      <c r="AU206" s="460"/>
      <c r="AV206" s="460"/>
      <c r="AW206" s="454" t="e">
        <f t="shared" si="112"/>
        <v>#N/A</v>
      </c>
      <c r="AX206" s="603"/>
      <c r="AZ206" s="454" t="e">
        <f t="shared" si="113"/>
        <v>#N/A</v>
      </c>
      <c r="BA206" s="603"/>
    </row>
    <row r="207" spans="2:53">
      <c r="B207" s="640"/>
      <c r="C207" s="451">
        <v>26</v>
      </c>
      <c r="D207" s="511"/>
      <c r="E207" s="511"/>
      <c r="F207" s="511"/>
      <c r="G207" s="511"/>
      <c r="H207" s="619"/>
      <c r="I207" s="513" t="str">
        <f t="shared" si="103"/>
        <v>-</v>
      </c>
      <c r="J207" s="513" t="str">
        <f t="shared" si="104"/>
        <v>-</v>
      </c>
      <c r="K207" s="200" t="str">
        <f t="shared" si="105"/>
        <v>-</v>
      </c>
      <c r="L207" s="621"/>
      <c r="M207" s="452" t="e">
        <f>RANK(K207, K$182:$K$211)</f>
        <v>#VALUE!</v>
      </c>
      <c r="N207" s="604"/>
      <c r="O207" s="604"/>
      <c r="P207" s="460"/>
      <c r="Q207" s="460"/>
      <c r="R207" s="460"/>
      <c r="S207" s="451" t="e">
        <f t="shared" si="106"/>
        <v>#N/A</v>
      </c>
      <c r="T207" s="612"/>
      <c r="U207" s="460"/>
      <c r="V207" s="460"/>
      <c r="W207" s="460"/>
      <c r="X207" s="451" t="e">
        <f t="shared" si="107"/>
        <v>#N/A</v>
      </c>
      <c r="Y207" s="612"/>
      <c r="Z207" s="460"/>
      <c r="AA207" s="460"/>
      <c r="AB207" s="460"/>
      <c r="AC207" s="451" t="e">
        <f t="shared" si="108"/>
        <v>#N/A</v>
      </c>
      <c r="AD207" s="612"/>
      <c r="AE207" s="460"/>
      <c r="AF207" s="460"/>
      <c r="AG207" s="460"/>
      <c r="AH207" s="451" t="e">
        <f t="shared" si="109"/>
        <v>#N/A</v>
      </c>
      <c r="AI207" s="612"/>
      <c r="AJ207" s="460"/>
      <c r="AK207" s="460"/>
      <c r="AL207" s="460"/>
      <c r="AM207" s="451" t="e">
        <f t="shared" si="110"/>
        <v>#N/A</v>
      </c>
      <c r="AN207" s="612"/>
      <c r="AO207" s="460"/>
      <c r="AP207" s="460"/>
      <c r="AQ207" s="460"/>
      <c r="AR207" s="451" t="e">
        <f t="shared" si="111"/>
        <v>#N/A</v>
      </c>
      <c r="AS207" s="612"/>
      <c r="AT207" s="460"/>
      <c r="AU207" s="460"/>
      <c r="AV207" s="460"/>
      <c r="AW207" s="454" t="e">
        <f t="shared" si="112"/>
        <v>#N/A</v>
      </c>
      <c r="AX207" s="603"/>
      <c r="AZ207" s="454" t="e">
        <f t="shared" si="113"/>
        <v>#N/A</v>
      </c>
      <c r="BA207" s="603"/>
    </row>
    <row r="208" spans="2:53">
      <c r="B208" s="640"/>
      <c r="C208" s="451">
        <v>27</v>
      </c>
      <c r="D208" s="511"/>
      <c r="E208" s="511"/>
      <c r="F208" s="511"/>
      <c r="G208" s="511"/>
      <c r="H208" s="619"/>
      <c r="I208" s="513" t="str">
        <f t="shared" si="103"/>
        <v>-</v>
      </c>
      <c r="J208" s="513" t="str">
        <f t="shared" si="104"/>
        <v>-</v>
      </c>
      <c r="K208" s="200" t="str">
        <f t="shared" si="105"/>
        <v>-</v>
      </c>
      <c r="L208" s="621"/>
      <c r="M208" s="452" t="e">
        <f>RANK(K208, K$182:$K$211)</f>
        <v>#VALUE!</v>
      </c>
      <c r="N208" s="604"/>
      <c r="O208" s="604"/>
      <c r="P208" s="460"/>
      <c r="Q208" s="460"/>
      <c r="R208" s="460"/>
      <c r="S208" s="451" t="e">
        <f t="shared" si="106"/>
        <v>#N/A</v>
      </c>
      <c r="T208" s="612"/>
      <c r="U208" s="460"/>
      <c r="V208" s="460"/>
      <c r="W208" s="460"/>
      <c r="X208" s="451" t="e">
        <f t="shared" si="107"/>
        <v>#N/A</v>
      </c>
      <c r="Y208" s="612"/>
      <c r="Z208" s="460"/>
      <c r="AA208" s="460"/>
      <c r="AB208" s="460"/>
      <c r="AC208" s="451" t="e">
        <f t="shared" si="108"/>
        <v>#N/A</v>
      </c>
      <c r="AD208" s="612"/>
      <c r="AE208" s="460"/>
      <c r="AF208" s="460"/>
      <c r="AG208" s="460"/>
      <c r="AH208" s="451" t="e">
        <f t="shared" si="109"/>
        <v>#N/A</v>
      </c>
      <c r="AI208" s="612"/>
      <c r="AJ208" s="460"/>
      <c r="AK208" s="460"/>
      <c r="AL208" s="460"/>
      <c r="AM208" s="451" t="e">
        <f t="shared" si="110"/>
        <v>#N/A</v>
      </c>
      <c r="AN208" s="612"/>
      <c r="AO208" s="460"/>
      <c r="AP208" s="460"/>
      <c r="AQ208" s="460"/>
      <c r="AR208" s="451" t="e">
        <f t="shared" si="111"/>
        <v>#N/A</v>
      </c>
      <c r="AS208" s="612"/>
      <c r="AT208" s="460"/>
      <c r="AU208" s="460"/>
      <c r="AV208" s="460"/>
      <c r="AW208" s="454" t="e">
        <f t="shared" si="112"/>
        <v>#N/A</v>
      </c>
      <c r="AX208" s="603"/>
      <c r="AZ208" s="454" t="e">
        <f t="shared" si="113"/>
        <v>#N/A</v>
      </c>
      <c r="BA208" s="603"/>
    </row>
    <row r="209" spans="2:53">
      <c r="B209" s="640"/>
      <c r="C209" s="451">
        <v>28</v>
      </c>
      <c r="D209" s="511"/>
      <c r="E209" s="511"/>
      <c r="F209" s="511"/>
      <c r="G209" s="511"/>
      <c r="H209" s="619"/>
      <c r="I209" s="513" t="str">
        <f t="shared" si="103"/>
        <v>-</v>
      </c>
      <c r="J209" s="513" t="str">
        <f t="shared" si="104"/>
        <v>-</v>
      </c>
      <c r="K209" s="200" t="str">
        <f t="shared" si="105"/>
        <v>-</v>
      </c>
      <c r="L209" s="621"/>
      <c r="M209" s="452" t="e">
        <f>RANK(K209, K$182:$K$211)</f>
        <v>#VALUE!</v>
      </c>
      <c r="N209" s="604"/>
      <c r="O209" s="604"/>
      <c r="P209" s="460"/>
      <c r="Q209" s="460"/>
      <c r="R209" s="460"/>
      <c r="S209" s="451" t="e">
        <f t="shared" si="106"/>
        <v>#N/A</v>
      </c>
      <c r="T209" s="612"/>
      <c r="U209" s="460"/>
      <c r="V209" s="460"/>
      <c r="W209" s="460"/>
      <c r="X209" s="451" t="e">
        <f t="shared" si="107"/>
        <v>#N/A</v>
      </c>
      <c r="Y209" s="612"/>
      <c r="Z209" s="460"/>
      <c r="AA209" s="460"/>
      <c r="AB209" s="460"/>
      <c r="AC209" s="451" t="e">
        <f t="shared" si="108"/>
        <v>#N/A</v>
      </c>
      <c r="AD209" s="612"/>
      <c r="AE209" s="460"/>
      <c r="AF209" s="460"/>
      <c r="AG209" s="460"/>
      <c r="AH209" s="451" t="e">
        <f t="shared" si="109"/>
        <v>#N/A</v>
      </c>
      <c r="AI209" s="612"/>
      <c r="AJ209" s="460"/>
      <c r="AK209" s="460"/>
      <c r="AL209" s="460"/>
      <c r="AM209" s="451" t="e">
        <f t="shared" si="110"/>
        <v>#N/A</v>
      </c>
      <c r="AN209" s="612"/>
      <c r="AO209" s="460"/>
      <c r="AP209" s="460"/>
      <c r="AQ209" s="460"/>
      <c r="AR209" s="451" t="e">
        <f t="shared" si="111"/>
        <v>#N/A</v>
      </c>
      <c r="AS209" s="612"/>
      <c r="AT209" s="460"/>
      <c r="AU209" s="460"/>
      <c r="AV209" s="460"/>
      <c r="AW209" s="454" t="e">
        <f t="shared" si="112"/>
        <v>#N/A</v>
      </c>
      <c r="AX209" s="603"/>
      <c r="AZ209" s="454" t="e">
        <f t="shared" si="113"/>
        <v>#N/A</v>
      </c>
      <c r="BA209" s="603"/>
    </row>
    <row r="210" spans="2:53">
      <c r="B210" s="640"/>
      <c r="C210" s="451">
        <v>29</v>
      </c>
      <c r="D210" s="511"/>
      <c r="E210" s="511"/>
      <c r="F210" s="511"/>
      <c r="G210" s="511"/>
      <c r="H210" s="619"/>
      <c r="I210" s="513" t="str">
        <f t="shared" si="103"/>
        <v>-</v>
      </c>
      <c r="J210" s="513" t="str">
        <f t="shared" si="104"/>
        <v>-</v>
      </c>
      <c r="K210" s="200" t="str">
        <f t="shared" si="105"/>
        <v>-</v>
      </c>
      <c r="L210" s="621"/>
      <c r="M210" s="452" t="e">
        <f>RANK(K210, K$182:$K$211)</f>
        <v>#VALUE!</v>
      </c>
      <c r="N210" s="604"/>
      <c r="O210" s="604"/>
      <c r="P210" s="460"/>
      <c r="Q210" s="460"/>
      <c r="R210" s="460"/>
      <c r="S210" s="451" t="e">
        <f t="shared" si="106"/>
        <v>#N/A</v>
      </c>
      <c r="T210" s="612"/>
      <c r="U210" s="460"/>
      <c r="V210" s="460"/>
      <c r="W210" s="460"/>
      <c r="X210" s="451" t="e">
        <f t="shared" si="107"/>
        <v>#N/A</v>
      </c>
      <c r="Y210" s="612"/>
      <c r="Z210" s="460"/>
      <c r="AA210" s="460"/>
      <c r="AB210" s="460"/>
      <c r="AC210" s="451" t="e">
        <f t="shared" si="108"/>
        <v>#N/A</v>
      </c>
      <c r="AD210" s="612"/>
      <c r="AE210" s="460"/>
      <c r="AF210" s="460"/>
      <c r="AG210" s="460"/>
      <c r="AH210" s="451" t="e">
        <f t="shared" si="109"/>
        <v>#N/A</v>
      </c>
      <c r="AI210" s="612"/>
      <c r="AJ210" s="460"/>
      <c r="AK210" s="460"/>
      <c r="AL210" s="460"/>
      <c r="AM210" s="451" t="e">
        <f t="shared" si="110"/>
        <v>#N/A</v>
      </c>
      <c r="AN210" s="612"/>
      <c r="AO210" s="460"/>
      <c r="AP210" s="460"/>
      <c r="AQ210" s="460"/>
      <c r="AR210" s="451" t="e">
        <f t="shared" si="111"/>
        <v>#N/A</v>
      </c>
      <c r="AS210" s="612"/>
      <c r="AT210" s="460"/>
      <c r="AU210" s="460"/>
      <c r="AV210" s="460"/>
      <c r="AW210" s="454" t="e">
        <f t="shared" si="112"/>
        <v>#N/A</v>
      </c>
      <c r="AX210" s="603"/>
      <c r="AZ210" s="454" t="e">
        <f t="shared" si="113"/>
        <v>#N/A</v>
      </c>
      <c r="BA210" s="603"/>
    </row>
    <row r="211" spans="2:53">
      <c r="B211" s="640"/>
      <c r="C211" s="451">
        <v>30</v>
      </c>
      <c r="D211" s="511"/>
      <c r="E211" s="511"/>
      <c r="F211" s="511"/>
      <c r="G211" s="511"/>
      <c r="H211" s="619"/>
      <c r="I211" s="513" t="str">
        <f t="shared" si="103"/>
        <v>-</v>
      </c>
      <c r="J211" s="513" t="str">
        <f t="shared" si="104"/>
        <v>-</v>
      </c>
      <c r="K211" s="200" t="str">
        <f t="shared" si="105"/>
        <v>-</v>
      </c>
      <c r="L211" s="622"/>
      <c r="M211" s="452" t="e">
        <f>RANK(K211, K$182:$K$211)</f>
        <v>#VALUE!</v>
      </c>
      <c r="N211" s="604"/>
      <c r="O211" s="604"/>
      <c r="P211" s="460"/>
      <c r="Q211" s="460"/>
      <c r="R211" s="460"/>
      <c r="S211" s="451" t="e">
        <f t="shared" si="106"/>
        <v>#N/A</v>
      </c>
      <c r="T211" s="612"/>
      <c r="U211" s="460"/>
      <c r="V211" s="460"/>
      <c r="W211" s="460"/>
      <c r="X211" s="451" t="e">
        <f t="shared" si="107"/>
        <v>#N/A</v>
      </c>
      <c r="Y211" s="612"/>
      <c r="Z211" s="460"/>
      <c r="AA211" s="460"/>
      <c r="AB211" s="460"/>
      <c r="AC211" s="451" t="e">
        <f t="shared" si="108"/>
        <v>#N/A</v>
      </c>
      <c r="AD211" s="612"/>
      <c r="AE211" s="460"/>
      <c r="AF211" s="460"/>
      <c r="AG211" s="460"/>
      <c r="AH211" s="451" t="e">
        <f t="shared" si="109"/>
        <v>#N/A</v>
      </c>
      <c r="AI211" s="612"/>
      <c r="AJ211" s="460"/>
      <c r="AK211" s="460"/>
      <c r="AL211" s="460"/>
      <c r="AM211" s="451" t="e">
        <f t="shared" si="110"/>
        <v>#N/A</v>
      </c>
      <c r="AN211" s="612"/>
      <c r="AO211" s="460"/>
      <c r="AP211" s="460"/>
      <c r="AQ211" s="460"/>
      <c r="AR211" s="451" t="e">
        <f t="shared" si="111"/>
        <v>#N/A</v>
      </c>
      <c r="AS211" s="612"/>
      <c r="AT211" s="460"/>
      <c r="AU211" s="460"/>
      <c r="AV211" s="460"/>
      <c r="AW211" s="454" t="e">
        <f t="shared" si="112"/>
        <v>#N/A</v>
      </c>
      <c r="AX211" s="603"/>
      <c r="AZ211" s="454" t="e">
        <f t="shared" si="113"/>
        <v>#N/A</v>
      </c>
      <c r="BA211" s="603"/>
    </row>
    <row r="213" spans="2:53" ht="15.75">
      <c r="B213" s="613" t="s">
        <v>559</v>
      </c>
      <c r="C213" s="614"/>
      <c r="D213" s="614"/>
      <c r="E213" s="614"/>
      <c r="F213" s="614"/>
      <c r="G213" s="614"/>
      <c r="H213" s="615"/>
      <c r="I213" s="337"/>
      <c r="J213" s="337"/>
      <c r="K213" s="337"/>
      <c r="L213" s="337"/>
      <c r="M213" s="338"/>
    </row>
    <row r="214" spans="2:53" ht="15.75">
      <c r="B214" s="616"/>
      <c r="C214" s="616"/>
      <c r="D214" s="616"/>
      <c r="E214" s="616"/>
      <c r="F214" s="616"/>
      <c r="G214" s="616"/>
      <c r="H214" s="616"/>
      <c r="I214" s="339"/>
      <c r="J214" s="339"/>
      <c r="K214" s="339"/>
      <c r="L214" s="339"/>
      <c r="M214" s="340"/>
    </row>
    <row r="215" spans="2:53">
      <c r="B215" s="604" t="s">
        <v>560</v>
      </c>
      <c r="C215" s="604" t="s">
        <v>561</v>
      </c>
      <c r="D215" s="604"/>
      <c r="E215" s="604" t="s">
        <v>562</v>
      </c>
      <c r="F215" s="604"/>
      <c r="G215" s="604"/>
      <c r="H215" s="604" t="s">
        <v>563</v>
      </c>
      <c r="I215" s="617" t="s">
        <v>564</v>
      </c>
      <c r="J215" s="617"/>
      <c r="K215" s="617"/>
      <c r="L215" s="617" t="s">
        <v>563</v>
      </c>
      <c r="M215" s="617" t="s">
        <v>565</v>
      </c>
    </row>
    <row r="216" spans="2:53">
      <c r="B216" s="604"/>
      <c r="C216" s="604"/>
      <c r="D216" s="604"/>
      <c r="E216" s="604" t="s">
        <v>566</v>
      </c>
      <c r="F216" s="604"/>
      <c r="G216" s="604"/>
      <c r="H216" s="604"/>
      <c r="I216" s="617" t="s">
        <v>566</v>
      </c>
      <c r="J216" s="617"/>
      <c r="K216" s="617"/>
      <c r="L216" s="617"/>
      <c r="M216" s="617"/>
    </row>
    <row r="217" spans="2:53">
      <c r="B217" s="604"/>
      <c r="C217" s="604"/>
      <c r="D217" s="604"/>
      <c r="E217" s="334" t="s">
        <v>567</v>
      </c>
      <c r="F217" s="334" t="s">
        <v>568</v>
      </c>
      <c r="G217" s="334" t="s">
        <v>569</v>
      </c>
      <c r="H217" s="604"/>
      <c r="I217" s="341" t="s">
        <v>567</v>
      </c>
      <c r="J217" s="341" t="s">
        <v>568</v>
      </c>
      <c r="K217" s="341" t="s">
        <v>569</v>
      </c>
      <c r="L217" s="617"/>
      <c r="M217" s="617"/>
    </row>
    <row r="218" spans="2:53">
      <c r="B218" s="609" t="s">
        <v>570</v>
      </c>
      <c r="C218" s="333">
        <v>1</v>
      </c>
      <c r="D218" s="333"/>
      <c r="E218" s="333"/>
      <c r="F218" s="333"/>
      <c r="G218" s="333"/>
      <c r="H218" s="605" t="e">
        <f>AVERAGE(G218:G247)</f>
        <v>#DIV/0!</v>
      </c>
      <c r="I218" s="199" t="e">
        <f t="shared" ref="I218:K240" si="114">AVERAGEIF($D$7:$D$211,$D218,I$7:I$211)</f>
        <v>#DIV/0!</v>
      </c>
      <c r="J218" s="199" t="e">
        <f t="shared" si="114"/>
        <v>#DIV/0!</v>
      </c>
      <c r="K218" s="199" t="e">
        <f>AVERAGEIF($D$7:$D$211,$D218,K$7:K$211)</f>
        <v>#DIV/0!</v>
      </c>
      <c r="L218" s="611" t="e">
        <f>AVERAGE(K218:K247)</f>
        <v>#DIV/0!</v>
      </c>
      <c r="M218" s="199" t="e">
        <f>RANK(K218, K$218:$K$247)</f>
        <v>#DIV/0!</v>
      </c>
    </row>
    <row r="219" spans="2:53">
      <c r="B219" s="610"/>
      <c r="C219" s="333">
        <v>2</v>
      </c>
      <c r="D219" s="333"/>
      <c r="E219" s="333"/>
      <c r="F219" s="333"/>
      <c r="G219" s="483"/>
      <c r="H219" s="605"/>
      <c r="I219" s="199" t="e">
        <f t="shared" si="114"/>
        <v>#DIV/0!</v>
      </c>
      <c r="J219" s="199" t="e">
        <f t="shared" si="114"/>
        <v>#DIV/0!</v>
      </c>
      <c r="K219" s="199" t="e">
        <f t="shared" si="114"/>
        <v>#DIV/0!</v>
      </c>
      <c r="L219" s="611"/>
      <c r="M219" s="199" t="e">
        <f>RANK(K219, K$218:$K$247)</f>
        <v>#DIV/0!</v>
      </c>
    </row>
    <row r="220" spans="2:53">
      <c r="B220" s="610"/>
      <c r="C220" s="333">
        <v>3</v>
      </c>
      <c r="D220" s="333"/>
      <c r="E220" s="333"/>
      <c r="F220" s="483"/>
      <c r="G220" s="333"/>
      <c r="H220" s="605"/>
      <c r="I220" s="199" t="e">
        <f t="shared" si="114"/>
        <v>#DIV/0!</v>
      </c>
      <c r="J220" s="199" t="e">
        <f t="shared" si="114"/>
        <v>#DIV/0!</v>
      </c>
      <c r="K220" s="199" t="e">
        <f t="shared" si="114"/>
        <v>#DIV/0!</v>
      </c>
      <c r="L220" s="611"/>
      <c r="M220" s="199" t="e">
        <f>RANK(K220, K$218:$K$247)</f>
        <v>#DIV/0!</v>
      </c>
    </row>
    <row r="221" spans="2:53">
      <c r="B221" s="610"/>
      <c r="C221" s="333">
        <v>4</v>
      </c>
      <c r="D221" s="333"/>
      <c r="E221" s="333"/>
      <c r="F221" s="483"/>
      <c r="G221" s="483"/>
      <c r="H221" s="605"/>
      <c r="I221" s="199" t="e">
        <f t="shared" si="114"/>
        <v>#DIV/0!</v>
      </c>
      <c r="J221" s="199" t="e">
        <f t="shared" si="114"/>
        <v>#DIV/0!</v>
      </c>
      <c r="K221" s="199" t="e">
        <f t="shared" si="114"/>
        <v>#DIV/0!</v>
      </c>
      <c r="L221" s="611"/>
      <c r="M221" s="199" t="e">
        <f>RANK(K221, K$218:$K$247)</f>
        <v>#DIV/0!</v>
      </c>
    </row>
    <row r="222" spans="2:53">
      <c r="B222" s="610"/>
      <c r="C222" s="333">
        <v>5</v>
      </c>
      <c r="D222" s="333"/>
      <c r="E222" s="333"/>
      <c r="F222" s="483"/>
      <c r="G222" s="483"/>
      <c r="H222" s="605"/>
      <c r="I222" s="199" t="e">
        <f t="shared" si="114"/>
        <v>#DIV/0!</v>
      </c>
      <c r="J222" s="199" t="e">
        <f t="shared" si="114"/>
        <v>#DIV/0!</v>
      </c>
      <c r="K222" s="199" t="e">
        <f t="shared" si="114"/>
        <v>#DIV/0!</v>
      </c>
      <c r="L222" s="611"/>
      <c r="M222" s="199" t="e">
        <f>RANK(K222, K$218:$K$247)</f>
        <v>#DIV/0!</v>
      </c>
    </row>
    <row r="223" spans="2:53">
      <c r="B223" s="610"/>
      <c r="C223" s="333">
        <v>6</v>
      </c>
      <c r="D223" s="333"/>
      <c r="E223" s="333"/>
      <c r="F223" s="483"/>
      <c r="G223" s="483"/>
      <c r="H223" s="605"/>
      <c r="I223" s="199" t="e">
        <f t="shared" si="114"/>
        <v>#DIV/0!</v>
      </c>
      <c r="J223" s="199" t="e">
        <f t="shared" si="114"/>
        <v>#DIV/0!</v>
      </c>
      <c r="K223" s="199" t="e">
        <f t="shared" si="114"/>
        <v>#DIV/0!</v>
      </c>
      <c r="L223" s="611"/>
      <c r="M223" s="199" t="e">
        <f>RANK(K223, K$218:$K$247)</f>
        <v>#DIV/0!</v>
      </c>
    </row>
    <row r="224" spans="2:53">
      <c r="B224" s="610"/>
      <c r="C224" s="333">
        <v>7</v>
      </c>
      <c r="D224" s="482"/>
      <c r="E224" s="333"/>
      <c r="F224" s="483"/>
      <c r="G224" s="483"/>
      <c r="H224" s="605"/>
      <c r="I224" s="199" t="e">
        <f t="shared" si="114"/>
        <v>#DIV/0!</v>
      </c>
      <c r="J224" s="199" t="e">
        <f t="shared" si="114"/>
        <v>#DIV/0!</v>
      </c>
      <c r="K224" s="199" t="e">
        <f t="shared" si="114"/>
        <v>#DIV/0!</v>
      </c>
      <c r="L224" s="611"/>
      <c r="M224" s="199" t="e">
        <f>RANK(K224, K$218:$K$247)</f>
        <v>#DIV/0!</v>
      </c>
    </row>
    <row r="225" spans="2:39">
      <c r="B225" s="610"/>
      <c r="C225" s="333">
        <v>8</v>
      </c>
      <c r="D225" s="482"/>
      <c r="E225" s="333"/>
      <c r="F225" s="483"/>
      <c r="G225" s="483"/>
      <c r="H225" s="605"/>
      <c r="I225" s="199" t="e">
        <f t="shared" si="114"/>
        <v>#DIV/0!</v>
      </c>
      <c r="J225" s="199" t="e">
        <f t="shared" si="114"/>
        <v>#DIV/0!</v>
      </c>
      <c r="K225" s="199" t="e">
        <f t="shared" si="114"/>
        <v>#DIV/0!</v>
      </c>
      <c r="L225" s="611"/>
      <c r="M225" s="199" t="e">
        <f>RANK(K225, K$218:$K$247)</f>
        <v>#DIV/0!</v>
      </c>
      <c r="N225" s="108"/>
      <c r="O225" s="108"/>
      <c r="P225" s="108"/>
      <c r="Q225" s="108"/>
      <c r="R225" s="108"/>
      <c r="S225" s="108"/>
      <c r="T225" s="108"/>
      <c r="X225" s="108"/>
      <c r="AC225" s="108"/>
      <c r="AH225" s="108"/>
      <c r="AM225" s="108"/>
    </row>
    <row r="226" spans="2:39">
      <c r="B226" s="610"/>
      <c r="C226" s="333">
        <v>9</v>
      </c>
      <c r="D226" s="333"/>
      <c r="E226" s="333"/>
      <c r="F226" s="333"/>
      <c r="G226" s="333"/>
      <c r="H226" s="605"/>
      <c r="I226" s="199" t="e">
        <f t="shared" si="114"/>
        <v>#DIV/0!</v>
      </c>
      <c r="J226" s="199" t="e">
        <f t="shared" si="114"/>
        <v>#DIV/0!</v>
      </c>
      <c r="K226" s="199" t="e">
        <f t="shared" si="114"/>
        <v>#DIV/0!</v>
      </c>
      <c r="L226" s="611"/>
      <c r="M226" s="199" t="e">
        <f>RANK(K226, K$218:$K$247)</f>
        <v>#DIV/0!</v>
      </c>
      <c r="N226" s="108"/>
      <c r="O226" s="108"/>
      <c r="P226" s="108"/>
      <c r="Q226" s="108"/>
      <c r="R226" s="108"/>
      <c r="S226" s="108"/>
      <c r="T226" s="108"/>
      <c r="X226" s="108"/>
      <c r="AC226" s="108"/>
      <c r="AH226" s="108"/>
      <c r="AM226" s="108"/>
    </row>
    <row r="227" spans="2:39">
      <c r="B227" s="610"/>
      <c r="C227" s="333">
        <v>10</v>
      </c>
      <c r="D227" s="333"/>
      <c r="E227" s="333"/>
      <c r="F227" s="333"/>
      <c r="G227" s="333"/>
      <c r="H227" s="605"/>
      <c r="I227" s="199" t="e">
        <f t="shared" si="114"/>
        <v>#DIV/0!</v>
      </c>
      <c r="J227" s="199" t="e">
        <f t="shared" si="114"/>
        <v>#DIV/0!</v>
      </c>
      <c r="K227" s="199" t="e">
        <f t="shared" si="114"/>
        <v>#DIV/0!</v>
      </c>
      <c r="L227" s="611"/>
      <c r="M227" s="199" t="e">
        <f>RANK(K227, K$218:$K$247)</f>
        <v>#DIV/0!</v>
      </c>
      <c r="N227" s="108"/>
      <c r="O227" s="108"/>
      <c r="P227" s="108"/>
      <c r="Q227" s="108"/>
      <c r="R227" s="108"/>
      <c r="S227" s="108"/>
      <c r="T227" s="108"/>
      <c r="X227" s="108"/>
      <c r="AC227" s="108"/>
      <c r="AH227" s="108"/>
      <c r="AM227" s="108"/>
    </row>
    <row r="228" spans="2:39">
      <c r="B228" s="610"/>
      <c r="C228" s="333">
        <v>11</v>
      </c>
      <c r="D228" s="333"/>
      <c r="E228" s="333"/>
      <c r="F228" s="333"/>
      <c r="G228" s="333"/>
      <c r="H228" s="605"/>
      <c r="I228" s="199" t="e">
        <f t="shared" si="114"/>
        <v>#DIV/0!</v>
      </c>
      <c r="J228" s="199" t="e">
        <f t="shared" si="114"/>
        <v>#DIV/0!</v>
      </c>
      <c r="K228" s="199" t="e">
        <f t="shared" si="114"/>
        <v>#DIV/0!</v>
      </c>
      <c r="L228" s="611"/>
      <c r="M228" s="199" t="e">
        <f>RANK(K228, K$218:$K$247)</f>
        <v>#DIV/0!</v>
      </c>
      <c r="N228" s="108"/>
      <c r="O228" s="108"/>
      <c r="P228" s="108"/>
      <c r="Q228" s="108"/>
      <c r="R228" s="108"/>
      <c r="S228" s="108"/>
      <c r="T228" s="108"/>
      <c r="X228" s="108"/>
      <c r="AC228" s="108"/>
      <c r="AH228" s="108"/>
      <c r="AM228" s="108"/>
    </row>
    <row r="229" spans="2:39">
      <c r="B229" s="610"/>
      <c r="C229" s="333">
        <v>12</v>
      </c>
      <c r="D229" s="333"/>
      <c r="E229" s="333"/>
      <c r="F229" s="333"/>
      <c r="G229" s="333"/>
      <c r="H229" s="605"/>
      <c r="I229" s="199" t="e">
        <f t="shared" si="114"/>
        <v>#DIV/0!</v>
      </c>
      <c r="J229" s="199" t="e">
        <f t="shared" si="114"/>
        <v>#DIV/0!</v>
      </c>
      <c r="K229" s="199" t="e">
        <f t="shared" si="114"/>
        <v>#DIV/0!</v>
      </c>
      <c r="L229" s="611"/>
      <c r="M229" s="199" t="e">
        <f>RANK(K229, K$218:$K$247)</f>
        <v>#DIV/0!</v>
      </c>
      <c r="N229" s="108"/>
      <c r="O229" s="108"/>
      <c r="P229" s="108"/>
      <c r="Q229" s="108"/>
      <c r="R229" s="108"/>
      <c r="S229" s="108"/>
      <c r="T229" s="108"/>
      <c r="X229" s="108"/>
      <c r="AC229" s="108"/>
      <c r="AH229" s="108"/>
      <c r="AM229" s="108"/>
    </row>
    <row r="230" spans="2:39">
      <c r="B230" s="610"/>
      <c r="C230" s="333">
        <v>13</v>
      </c>
      <c r="D230" s="333"/>
      <c r="E230" s="333"/>
      <c r="F230" s="333"/>
      <c r="G230" s="333"/>
      <c r="H230" s="605"/>
      <c r="I230" s="199" t="e">
        <f t="shared" si="114"/>
        <v>#DIV/0!</v>
      </c>
      <c r="J230" s="199" t="e">
        <f t="shared" si="114"/>
        <v>#DIV/0!</v>
      </c>
      <c r="K230" s="199" t="e">
        <f t="shared" si="114"/>
        <v>#DIV/0!</v>
      </c>
      <c r="L230" s="611"/>
      <c r="M230" s="199" t="e">
        <f>RANK(K230, K$218:$K$247)</f>
        <v>#DIV/0!</v>
      </c>
      <c r="N230" s="108"/>
      <c r="O230" s="108"/>
      <c r="P230" s="108"/>
      <c r="Q230" s="108"/>
      <c r="R230" s="108"/>
      <c r="S230" s="108"/>
      <c r="T230" s="108"/>
      <c r="X230" s="108"/>
      <c r="AC230" s="108"/>
      <c r="AH230" s="108"/>
      <c r="AM230" s="108"/>
    </row>
    <row r="231" spans="2:39">
      <c r="B231" s="610"/>
      <c r="C231" s="333">
        <v>14</v>
      </c>
      <c r="D231" s="333"/>
      <c r="E231" s="333"/>
      <c r="F231" s="333"/>
      <c r="G231" s="333"/>
      <c r="H231" s="605"/>
      <c r="I231" s="199" t="e">
        <f t="shared" si="114"/>
        <v>#DIV/0!</v>
      </c>
      <c r="J231" s="199" t="e">
        <f t="shared" si="114"/>
        <v>#DIV/0!</v>
      </c>
      <c r="K231" s="199" t="e">
        <f t="shared" si="114"/>
        <v>#DIV/0!</v>
      </c>
      <c r="L231" s="611"/>
      <c r="M231" s="199" t="e">
        <f>RANK(K231, K$218:$K$247)</f>
        <v>#DIV/0!</v>
      </c>
      <c r="N231" s="108"/>
      <c r="O231" s="108"/>
      <c r="P231" s="108"/>
      <c r="Q231" s="108"/>
      <c r="R231" s="108"/>
      <c r="S231" s="108"/>
      <c r="T231" s="108"/>
      <c r="X231" s="108"/>
      <c r="AC231" s="108"/>
      <c r="AH231" s="108"/>
      <c r="AM231" s="108"/>
    </row>
    <row r="232" spans="2:39">
      <c r="B232" s="610"/>
      <c r="C232" s="333">
        <v>15</v>
      </c>
      <c r="D232" s="333"/>
      <c r="E232" s="333"/>
      <c r="F232" s="333"/>
      <c r="G232" s="333"/>
      <c r="H232" s="605"/>
      <c r="I232" s="199" t="e">
        <f t="shared" si="114"/>
        <v>#DIV/0!</v>
      </c>
      <c r="J232" s="199" t="e">
        <f t="shared" si="114"/>
        <v>#DIV/0!</v>
      </c>
      <c r="K232" s="199" t="e">
        <f t="shared" si="114"/>
        <v>#DIV/0!</v>
      </c>
      <c r="L232" s="611"/>
      <c r="M232" s="199" t="e">
        <f>RANK(K232, K$218:$K$247)</f>
        <v>#DIV/0!</v>
      </c>
      <c r="N232" s="108"/>
      <c r="O232" s="108"/>
      <c r="P232" s="108"/>
      <c r="Q232" s="108"/>
      <c r="R232" s="108"/>
      <c r="S232" s="108"/>
      <c r="T232" s="108"/>
      <c r="X232" s="108"/>
      <c r="AC232" s="108"/>
      <c r="AH232" s="108"/>
      <c r="AM232" s="108"/>
    </row>
    <row r="233" spans="2:39">
      <c r="B233" s="610"/>
      <c r="C233" s="333">
        <v>16</v>
      </c>
      <c r="D233" s="333"/>
      <c r="E233" s="333"/>
      <c r="F233" s="333"/>
      <c r="G233" s="333"/>
      <c r="H233" s="605"/>
      <c r="I233" s="199" t="e">
        <f t="shared" si="114"/>
        <v>#DIV/0!</v>
      </c>
      <c r="J233" s="199" t="e">
        <f t="shared" si="114"/>
        <v>#DIV/0!</v>
      </c>
      <c r="K233" s="199" t="e">
        <f t="shared" si="114"/>
        <v>#DIV/0!</v>
      </c>
      <c r="L233" s="611"/>
      <c r="M233" s="199" t="e">
        <f>RANK(K233, K$218:$K$247)</f>
        <v>#DIV/0!</v>
      </c>
      <c r="N233" s="108"/>
      <c r="O233" s="108"/>
      <c r="P233" s="108"/>
      <c r="Q233" s="108"/>
      <c r="R233" s="108"/>
      <c r="S233" s="108"/>
      <c r="T233" s="108"/>
      <c r="X233" s="108"/>
      <c r="AC233" s="108"/>
      <c r="AH233" s="108"/>
      <c r="AM233" s="108"/>
    </row>
    <row r="234" spans="2:39">
      <c r="B234" s="610"/>
      <c r="C234" s="333">
        <v>17</v>
      </c>
      <c r="D234" s="333"/>
      <c r="E234" s="333"/>
      <c r="F234" s="333"/>
      <c r="G234" s="333"/>
      <c r="H234" s="605"/>
      <c r="I234" s="199" t="e">
        <f t="shared" si="114"/>
        <v>#DIV/0!</v>
      </c>
      <c r="J234" s="199" t="e">
        <f t="shared" si="114"/>
        <v>#DIV/0!</v>
      </c>
      <c r="K234" s="199" t="e">
        <f t="shared" si="114"/>
        <v>#DIV/0!</v>
      </c>
      <c r="L234" s="611"/>
      <c r="M234" s="199" t="e">
        <f>RANK(K234, K$218:$K$247)</f>
        <v>#DIV/0!</v>
      </c>
      <c r="N234" s="108"/>
      <c r="O234" s="108"/>
      <c r="P234" s="108"/>
      <c r="Q234" s="108"/>
      <c r="R234" s="108"/>
      <c r="S234" s="108"/>
      <c r="T234" s="108"/>
      <c r="X234" s="108"/>
      <c r="AC234" s="108"/>
      <c r="AH234" s="108"/>
      <c r="AM234" s="108"/>
    </row>
    <row r="235" spans="2:39">
      <c r="B235" s="610"/>
      <c r="C235" s="333">
        <v>18</v>
      </c>
      <c r="D235" s="333"/>
      <c r="E235" s="333"/>
      <c r="F235" s="333"/>
      <c r="G235" s="333"/>
      <c r="H235" s="605"/>
      <c r="I235" s="199" t="e">
        <f t="shared" si="114"/>
        <v>#DIV/0!</v>
      </c>
      <c r="J235" s="199" t="e">
        <f t="shared" si="114"/>
        <v>#DIV/0!</v>
      </c>
      <c r="K235" s="199" t="e">
        <f t="shared" si="114"/>
        <v>#DIV/0!</v>
      </c>
      <c r="L235" s="611"/>
      <c r="M235" s="199" t="e">
        <f>RANK(K235, K$218:$K$247)</f>
        <v>#DIV/0!</v>
      </c>
      <c r="N235" s="108"/>
      <c r="O235" s="108"/>
      <c r="P235" s="108"/>
      <c r="Q235" s="108"/>
      <c r="R235" s="108"/>
      <c r="S235" s="108"/>
      <c r="T235" s="108"/>
      <c r="X235" s="108"/>
      <c r="AC235" s="108"/>
      <c r="AH235" s="108"/>
      <c r="AM235" s="108"/>
    </row>
    <row r="236" spans="2:39">
      <c r="B236" s="610"/>
      <c r="C236" s="333">
        <v>19</v>
      </c>
      <c r="D236" s="333"/>
      <c r="E236" s="333"/>
      <c r="F236" s="333"/>
      <c r="G236" s="333"/>
      <c r="H236" s="605"/>
      <c r="I236" s="199" t="e">
        <f t="shared" si="114"/>
        <v>#DIV/0!</v>
      </c>
      <c r="J236" s="199" t="e">
        <f t="shared" si="114"/>
        <v>#DIV/0!</v>
      </c>
      <c r="K236" s="199" t="e">
        <f t="shared" si="114"/>
        <v>#DIV/0!</v>
      </c>
      <c r="L236" s="611"/>
      <c r="M236" s="199" t="e">
        <f>RANK(K236, K$218:$K$247)</f>
        <v>#DIV/0!</v>
      </c>
      <c r="N236" s="108"/>
      <c r="O236" s="108"/>
      <c r="P236" s="108"/>
      <c r="Q236" s="108"/>
      <c r="R236" s="108"/>
      <c r="S236" s="108"/>
      <c r="T236" s="108"/>
      <c r="X236" s="108"/>
      <c r="AC236" s="108"/>
      <c r="AH236" s="108"/>
      <c r="AM236" s="108"/>
    </row>
    <row r="237" spans="2:39">
      <c r="B237" s="610"/>
      <c r="C237" s="333">
        <v>20</v>
      </c>
      <c r="D237" s="333"/>
      <c r="E237" s="333"/>
      <c r="F237" s="333"/>
      <c r="G237" s="333"/>
      <c r="H237" s="605"/>
      <c r="I237" s="199" t="e">
        <f t="shared" si="114"/>
        <v>#DIV/0!</v>
      </c>
      <c r="J237" s="199" t="e">
        <f t="shared" si="114"/>
        <v>#DIV/0!</v>
      </c>
      <c r="K237" s="199" t="e">
        <f t="shared" si="114"/>
        <v>#DIV/0!</v>
      </c>
      <c r="L237" s="611"/>
      <c r="M237" s="199" t="e">
        <f>RANK(K237, K$218:$K$247)</f>
        <v>#DIV/0!</v>
      </c>
      <c r="N237" s="108"/>
      <c r="O237" s="108"/>
      <c r="P237" s="108"/>
      <c r="Q237" s="108"/>
      <c r="R237" s="108"/>
      <c r="S237" s="108"/>
      <c r="T237" s="108"/>
      <c r="X237" s="108"/>
      <c r="AC237" s="108"/>
      <c r="AH237" s="108"/>
      <c r="AM237" s="108"/>
    </row>
    <row r="238" spans="2:39">
      <c r="B238" s="610"/>
      <c r="C238" s="333">
        <v>21</v>
      </c>
      <c r="D238" s="333"/>
      <c r="E238" s="333"/>
      <c r="F238" s="333"/>
      <c r="G238" s="333"/>
      <c r="H238" s="605"/>
      <c r="I238" s="199" t="e">
        <f t="shared" si="114"/>
        <v>#DIV/0!</v>
      </c>
      <c r="J238" s="199" t="e">
        <f t="shared" si="114"/>
        <v>#DIV/0!</v>
      </c>
      <c r="K238" s="199" t="e">
        <f t="shared" si="114"/>
        <v>#DIV/0!</v>
      </c>
      <c r="L238" s="611"/>
      <c r="M238" s="199" t="e">
        <f>RANK(K238, K$218:$K$247)</f>
        <v>#DIV/0!</v>
      </c>
      <c r="N238" s="108"/>
      <c r="O238" s="108"/>
      <c r="P238" s="108"/>
      <c r="Q238" s="108"/>
      <c r="R238" s="108"/>
      <c r="S238" s="108"/>
      <c r="T238" s="108"/>
      <c r="X238" s="108"/>
      <c r="AC238" s="108"/>
      <c r="AH238" s="108"/>
      <c r="AM238" s="108"/>
    </row>
    <row r="239" spans="2:39">
      <c r="B239" s="610"/>
      <c r="C239" s="333">
        <v>22</v>
      </c>
      <c r="D239" s="333"/>
      <c r="E239" s="333"/>
      <c r="F239" s="333"/>
      <c r="G239" s="333"/>
      <c r="H239" s="605"/>
      <c r="I239" s="199" t="e">
        <f t="shared" si="114"/>
        <v>#DIV/0!</v>
      </c>
      <c r="J239" s="199" t="e">
        <f t="shared" si="114"/>
        <v>#DIV/0!</v>
      </c>
      <c r="K239" s="199" t="e">
        <f t="shared" si="114"/>
        <v>#DIV/0!</v>
      </c>
      <c r="L239" s="611"/>
      <c r="M239" s="199" t="e">
        <f>RANK(K239, K$218:$K$247)</f>
        <v>#DIV/0!</v>
      </c>
      <c r="N239" s="108"/>
      <c r="O239" s="108"/>
      <c r="P239" s="108"/>
      <c r="Q239" s="108"/>
      <c r="R239" s="108"/>
      <c r="S239" s="108"/>
      <c r="T239" s="108"/>
      <c r="X239" s="108"/>
      <c r="AC239" s="108"/>
      <c r="AH239" s="108"/>
      <c r="AM239" s="108"/>
    </row>
    <row r="240" spans="2:39">
      <c r="B240" s="610"/>
      <c r="C240" s="333">
        <v>23</v>
      </c>
      <c r="D240" s="333"/>
      <c r="E240" s="333"/>
      <c r="F240" s="333"/>
      <c r="G240" s="333"/>
      <c r="H240" s="605"/>
      <c r="I240" s="199" t="e">
        <f t="shared" si="114"/>
        <v>#DIV/0!</v>
      </c>
      <c r="J240" s="199" t="e">
        <f t="shared" si="114"/>
        <v>#DIV/0!</v>
      </c>
      <c r="K240" s="199" t="e">
        <f t="shared" si="114"/>
        <v>#DIV/0!</v>
      </c>
      <c r="L240" s="611"/>
      <c r="M240" s="199" t="e">
        <f>RANK(K240, K$218:$K$247)</f>
        <v>#DIV/0!</v>
      </c>
      <c r="N240" s="108"/>
      <c r="O240" s="108"/>
      <c r="P240" s="108"/>
      <c r="Q240" s="108"/>
      <c r="R240" s="108"/>
      <c r="S240" s="108"/>
      <c r="T240" s="108"/>
      <c r="X240" s="108"/>
      <c r="AC240" s="108"/>
      <c r="AH240" s="108"/>
      <c r="AM240" s="108"/>
    </row>
    <row r="241" spans="2:39">
      <c r="B241" s="610"/>
      <c r="C241" s="333">
        <v>24</v>
      </c>
      <c r="D241" s="333"/>
      <c r="E241" s="333"/>
      <c r="F241" s="333"/>
      <c r="G241" s="333"/>
      <c r="H241" s="605"/>
      <c r="I241" s="199"/>
      <c r="J241" s="199"/>
      <c r="K241" s="199"/>
      <c r="L241" s="611"/>
      <c r="M241" s="199" t="e">
        <f>RANK(K241, K$218:$K$247)</f>
        <v>#DIV/0!</v>
      </c>
      <c r="N241" s="108"/>
      <c r="O241" s="108"/>
      <c r="P241" s="108"/>
      <c r="Q241" s="108"/>
      <c r="R241" s="108"/>
      <c r="S241" s="108"/>
      <c r="T241" s="108"/>
      <c r="X241" s="108"/>
      <c r="AC241" s="108"/>
      <c r="AH241" s="108"/>
      <c r="AM241" s="108"/>
    </row>
    <row r="242" spans="2:39">
      <c r="B242" s="610"/>
      <c r="C242" s="333">
        <v>25</v>
      </c>
      <c r="D242" s="333"/>
      <c r="E242" s="333"/>
      <c r="F242" s="333"/>
      <c r="G242" s="333"/>
      <c r="H242" s="605"/>
      <c r="I242" s="199"/>
      <c r="J242" s="199"/>
      <c r="K242" s="199"/>
      <c r="L242" s="611"/>
      <c r="M242" s="199" t="e">
        <f>RANK(K242, K$218:$K$247)</f>
        <v>#DIV/0!</v>
      </c>
      <c r="N242" s="108"/>
      <c r="O242" s="108"/>
      <c r="P242" s="108"/>
      <c r="Q242" s="108"/>
      <c r="R242" s="108"/>
      <c r="S242" s="108"/>
      <c r="T242" s="108"/>
      <c r="X242" s="108"/>
      <c r="AC242" s="108"/>
      <c r="AH242" s="108"/>
      <c r="AM242" s="108"/>
    </row>
    <row r="243" spans="2:39">
      <c r="B243" s="610"/>
      <c r="C243" s="333">
        <v>26</v>
      </c>
      <c r="D243" s="333"/>
      <c r="E243" s="333"/>
      <c r="F243" s="333"/>
      <c r="G243" s="333"/>
      <c r="H243" s="605"/>
      <c r="I243" s="199"/>
      <c r="J243" s="199"/>
      <c r="K243" s="199"/>
      <c r="L243" s="611"/>
      <c r="M243" s="199" t="e">
        <f>RANK(K243, K$218:$K$247)</f>
        <v>#DIV/0!</v>
      </c>
      <c r="N243" s="108"/>
      <c r="O243" s="108"/>
      <c r="P243" s="108"/>
      <c r="Q243" s="108"/>
      <c r="R243" s="108"/>
      <c r="S243" s="108"/>
      <c r="T243" s="108"/>
      <c r="X243" s="108"/>
      <c r="AC243" s="108"/>
      <c r="AH243" s="108"/>
      <c r="AM243" s="108"/>
    </row>
    <row r="244" spans="2:39">
      <c r="B244" s="610"/>
      <c r="C244" s="333">
        <v>27</v>
      </c>
      <c r="D244" s="333"/>
      <c r="E244" s="333"/>
      <c r="F244" s="333"/>
      <c r="G244" s="333"/>
      <c r="H244" s="605"/>
      <c r="I244" s="199"/>
      <c r="J244" s="199"/>
      <c r="K244" s="199"/>
      <c r="L244" s="611"/>
      <c r="M244" s="199" t="e">
        <f>RANK(K244, K$218:$K$247)</f>
        <v>#DIV/0!</v>
      </c>
      <c r="N244" s="108"/>
      <c r="O244" s="108"/>
      <c r="P244" s="108"/>
      <c r="Q244" s="108"/>
      <c r="R244" s="108"/>
      <c r="S244" s="108"/>
      <c r="T244" s="108"/>
      <c r="X244" s="108"/>
      <c r="AC244" s="108"/>
      <c r="AH244" s="108"/>
      <c r="AM244" s="108"/>
    </row>
    <row r="245" spans="2:39">
      <c r="B245" s="610"/>
      <c r="C245" s="333">
        <v>28</v>
      </c>
      <c r="D245" s="333"/>
      <c r="E245" s="333"/>
      <c r="F245" s="333"/>
      <c r="G245" s="333"/>
      <c r="H245" s="605"/>
      <c r="I245" s="199"/>
      <c r="J245" s="199"/>
      <c r="K245" s="199"/>
      <c r="L245" s="611"/>
      <c r="M245" s="199" t="e">
        <f>RANK(K245, K$218:$K$247)</f>
        <v>#DIV/0!</v>
      </c>
      <c r="N245" s="108"/>
      <c r="O245" s="108"/>
      <c r="P245" s="108"/>
      <c r="Q245" s="108"/>
      <c r="R245" s="108"/>
      <c r="S245" s="108"/>
      <c r="T245" s="108"/>
      <c r="X245" s="108"/>
      <c r="AC245" s="108"/>
      <c r="AH245" s="108"/>
      <c r="AM245" s="108"/>
    </row>
    <row r="246" spans="2:39">
      <c r="B246" s="610"/>
      <c r="C246" s="333">
        <v>29</v>
      </c>
      <c r="D246" s="333"/>
      <c r="E246" s="333"/>
      <c r="F246" s="333"/>
      <c r="G246" s="333"/>
      <c r="H246" s="605"/>
      <c r="I246" s="199"/>
      <c r="J246" s="199"/>
      <c r="K246" s="199"/>
      <c r="L246" s="611"/>
      <c r="M246" s="199" t="e">
        <f>RANK(K246, K$218:$K$247)</f>
        <v>#DIV/0!</v>
      </c>
      <c r="N246" s="108"/>
      <c r="O246" s="108"/>
      <c r="P246" s="108"/>
      <c r="Q246" s="108"/>
      <c r="R246" s="108"/>
      <c r="S246" s="108"/>
      <c r="T246" s="108"/>
      <c r="X246" s="108"/>
      <c r="AC246" s="108"/>
      <c r="AH246" s="108"/>
      <c r="AM246" s="108"/>
    </row>
    <row r="247" spans="2:39">
      <c r="B247" s="610"/>
      <c r="C247" s="333">
        <v>30</v>
      </c>
      <c r="D247" s="333"/>
      <c r="E247" s="333"/>
      <c r="F247" s="333"/>
      <c r="G247" s="333"/>
      <c r="H247" s="605"/>
      <c r="I247" s="199"/>
      <c r="J247" s="199"/>
      <c r="K247" s="199"/>
      <c r="L247" s="611"/>
      <c r="M247" s="199" t="e">
        <f>RANK(K247, K$218:$K$247)</f>
        <v>#DIV/0!</v>
      </c>
      <c r="N247" s="108"/>
      <c r="O247" s="108"/>
      <c r="P247" s="108"/>
      <c r="Q247" s="108"/>
      <c r="R247" s="108"/>
      <c r="S247" s="108"/>
      <c r="T247" s="108"/>
      <c r="X247" s="108"/>
      <c r="AC247" s="108"/>
      <c r="AH247" s="108"/>
      <c r="AM247" s="108"/>
    </row>
    <row r="250" spans="2:39">
      <c r="D250" s="483" t="s">
        <v>361</v>
      </c>
      <c r="E250" s="483">
        <v>4</v>
      </c>
      <c r="F250" s="483">
        <v>2700</v>
      </c>
      <c r="G250" s="483">
        <f>F250/E250</f>
        <v>675</v>
      </c>
      <c r="H250" s="107">
        <v>704.2</v>
      </c>
      <c r="N250" s="108"/>
      <c r="O250" s="108"/>
      <c r="P250" s="108"/>
      <c r="Q250" s="108"/>
      <c r="R250" s="108"/>
      <c r="S250" s="108"/>
      <c r="T250" s="108"/>
      <c r="X250" s="108"/>
      <c r="AC250" s="108"/>
      <c r="AH250" s="108"/>
      <c r="AM250" s="108"/>
    </row>
    <row r="251" spans="2:39">
      <c r="D251" s="483" t="s">
        <v>363</v>
      </c>
      <c r="E251" s="483">
        <v>3</v>
      </c>
      <c r="F251" s="483">
        <v>2700</v>
      </c>
      <c r="G251" s="483">
        <f t="shared" ref="G251:G255" si="115">F251/E251</f>
        <v>900</v>
      </c>
      <c r="N251" s="108"/>
      <c r="O251" s="108"/>
      <c r="P251" s="108"/>
      <c r="Q251" s="108"/>
      <c r="R251" s="108"/>
      <c r="S251" s="108"/>
      <c r="T251" s="108"/>
      <c r="X251" s="108"/>
      <c r="AC251" s="108"/>
      <c r="AH251" s="108"/>
      <c r="AM251" s="108"/>
    </row>
    <row r="252" spans="2:39">
      <c r="D252" s="483" t="s">
        <v>364</v>
      </c>
      <c r="E252" s="483">
        <v>4</v>
      </c>
      <c r="F252" s="483">
        <v>2700</v>
      </c>
      <c r="G252" s="483">
        <f t="shared" si="115"/>
        <v>675</v>
      </c>
      <c r="N252" s="108"/>
      <c r="O252" s="108"/>
      <c r="P252" s="108"/>
      <c r="Q252" s="108"/>
      <c r="R252" s="108"/>
      <c r="S252" s="108"/>
      <c r="T252" s="108"/>
      <c r="X252" s="108"/>
      <c r="AC252" s="108"/>
      <c r="AH252" s="108"/>
      <c r="AM252" s="108"/>
    </row>
    <row r="253" spans="2:39">
      <c r="D253" s="483" t="s">
        <v>641</v>
      </c>
      <c r="E253" s="483">
        <v>4</v>
      </c>
      <c r="F253" s="483">
        <v>2700</v>
      </c>
      <c r="G253" s="483">
        <f t="shared" si="115"/>
        <v>675</v>
      </c>
      <c r="N253" s="108"/>
      <c r="O253" s="108"/>
      <c r="P253" s="108"/>
      <c r="Q253" s="108"/>
      <c r="R253" s="108"/>
      <c r="S253" s="108"/>
      <c r="T253" s="108"/>
      <c r="X253" s="108"/>
      <c r="AC253" s="108"/>
      <c r="AH253" s="108"/>
      <c r="AM253" s="108"/>
    </row>
    <row r="254" spans="2:39">
      <c r="D254" s="482" t="s">
        <v>744</v>
      </c>
      <c r="E254" s="483">
        <v>4</v>
      </c>
      <c r="F254" s="483">
        <v>2600</v>
      </c>
      <c r="G254" s="483">
        <f t="shared" si="115"/>
        <v>650</v>
      </c>
      <c r="N254" s="108"/>
      <c r="O254" s="108"/>
      <c r="P254" s="108"/>
      <c r="Q254" s="108"/>
      <c r="R254" s="108"/>
      <c r="S254" s="108"/>
      <c r="T254" s="108"/>
      <c r="X254" s="108"/>
      <c r="AC254" s="108"/>
      <c r="AH254" s="108"/>
      <c r="AM254" s="108"/>
    </row>
    <row r="255" spans="2:39">
      <c r="D255" s="482" t="s">
        <v>745</v>
      </c>
      <c r="E255" s="483">
        <v>4</v>
      </c>
      <c r="F255" s="483">
        <v>2600</v>
      </c>
      <c r="G255" s="483">
        <f t="shared" si="115"/>
        <v>650</v>
      </c>
      <c r="N255" s="108"/>
      <c r="O255" s="108"/>
      <c r="P255" s="108"/>
      <c r="Q255" s="108"/>
      <c r="R255" s="108"/>
      <c r="S255" s="108"/>
      <c r="T255" s="108"/>
      <c r="X255" s="108"/>
      <c r="AC255" s="108"/>
      <c r="AH255" s="108"/>
      <c r="AM255" s="108"/>
    </row>
    <row r="257" spans="4:8" s="108" customFormat="1">
      <c r="D257" s="483" t="s">
        <v>361</v>
      </c>
      <c r="E257" s="483">
        <v>4</v>
      </c>
      <c r="F257" s="483">
        <v>3300</v>
      </c>
      <c r="G257" s="483">
        <f>F257/E257</f>
        <v>825</v>
      </c>
      <c r="H257" s="107">
        <v>845.8</v>
      </c>
    </row>
    <row r="258" spans="4:8" s="108" customFormat="1">
      <c r="D258" s="483" t="s">
        <v>363</v>
      </c>
      <c r="E258" s="483">
        <v>3</v>
      </c>
      <c r="F258" s="483">
        <v>3300</v>
      </c>
      <c r="G258" s="483">
        <f t="shared" ref="G258:G262" si="116">F258/E258</f>
        <v>1100</v>
      </c>
      <c r="H258" s="107"/>
    </row>
    <row r="259" spans="4:8" s="108" customFormat="1">
      <c r="D259" s="483" t="s">
        <v>364</v>
      </c>
      <c r="E259" s="483">
        <v>4</v>
      </c>
      <c r="F259" s="483">
        <v>3300</v>
      </c>
      <c r="G259" s="483">
        <f t="shared" si="116"/>
        <v>825</v>
      </c>
      <c r="H259" s="107"/>
    </row>
    <row r="260" spans="4:8" s="108" customFormat="1">
      <c r="D260" s="483" t="s">
        <v>641</v>
      </c>
      <c r="E260" s="483">
        <v>4</v>
      </c>
      <c r="F260" s="483">
        <v>3100</v>
      </c>
      <c r="G260" s="483">
        <f t="shared" si="116"/>
        <v>775</v>
      </c>
      <c r="H260" s="107"/>
    </row>
    <row r="261" spans="4:8" s="108" customFormat="1">
      <c r="D261" s="482" t="s">
        <v>744</v>
      </c>
      <c r="E261" s="483">
        <v>4</v>
      </c>
      <c r="F261" s="483">
        <v>3100</v>
      </c>
      <c r="G261" s="483">
        <f t="shared" si="116"/>
        <v>775</v>
      </c>
      <c r="H261" s="107"/>
    </row>
    <row r="262" spans="4:8" s="108" customFormat="1">
      <c r="D262" s="482" t="s">
        <v>745</v>
      </c>
      <c r="E262" s="483">
        <v>4</v>
      </c>
      <c r="F262" s="483">
        <v>3100</v>
      </c>
      <c r="G262" s="483">
        <f t="shared" si="116"/>
        <v>775</v>
      </c>
      <c r="H262" s="107"/>
    </row>
  </sheetData>
  <mergeCells count="379">
    <mergeCell ref="L112:L141"/>
    <mergeCell ref="I144:K144"/>
    <mergeCell ref="L144:L146"/>
    <mergeCell ref="I145:K145"/>
    <mergeCell ref="L147:L176"/>
    <mergeCell ref="I39:K39"/>
    <mergeCell ref="L39:L41"/>
    <mergeCell ref="I40:K40"/>
    <mergeCell ref="L42:L71"/>
    <mergeCell ref="I74:K74"/>
    <mergeCell ref="L74:L76"/>
    <mergeCell ref="I75:K75"/>
    <mergeCell ref="L77:L106"/>
    <mergeCell ref="I109:K109"/>
    <mergeCell ref="L109:L111"/>
    <mergeCell ref="I110:K110"/>
    <mergeCell ref="AJ110:AM110"/>
    <mergeCell ref="AO110:AR110"/>
    <mergeCell ref="AT110:AW110"/>
    <mergeCell ref="T109:T111"/>
    <mergeCell ref="Y109:Y111"/>
    <mergeCell ref="I4:K4"/>
    <mergeCell ref="L4:L6"/>
    <mergeCell ref="I5:K5"/>
    <mergeCell ref="L7:L36"/>
    <mergeCell ref="AN39:AN41"/>
    <mergeCell ref="AO109:AR109"/>
    <mergeCell ref="AT109:AW109"/>
    <mergeCell ref="P110:S110"/>
    <mergeCell ref="U110:X110"/>
    <mergeCell ref="Z110:AC110"/>
    <mergeCell ref="AE110:AH110"/>
    <mergeCell ref="AE72:AI72"/>
    <mergeCell ref="AE107:AI107"/>
    <mergeCell ref="AS74:AS76"/>
    <mergeCell ref="AE74:AH74"/>
    <mergeCell ref="AI74:AI76"/>
    <mergeCell ref="AN74:AN76"/>
    <mergeCell ref="AJ74:AM74"/>
    <mergeCell ref="AE108:AI108"/>
    <mergeCell ref="AO144:AR144"/>
    <mergeCell ref="AT144:AW144"/>
    <mergeCell ref="P145:S145"/>
    <mergeCell ref="U145:X145"/>
    <mergeCell ref="Z145:AC145"/>
    <mergeCell ref="AE145:AH145"/>
    <mergeCell ref="AJ145:AM145"/>
    <mergeCell ref="AO145:AR145"/>
    <mergeCell ref="AT145:AW145"/>
    <mergeCell ref="P144:S144"/>
    <mergeCell ref="U144:X144"/>
    <mergeCell ref="AD144:AD146"/>
    <mergeCell ref="AI144:AI146"/>
    <mergeCell ref="AN144:AN146"/>
    <mergeCell ref="Z144:AC144"/>
    <mergeCell ref="AE144:AH144"/>
    <mergeCell ref="AJ144:AM144"/>
    <mergeCell ref="M144:M146"/>
    <mergeCell ref="AO75:AR75"/>
    <mergeCell ref="AT75:AW75"/>
    <mergeCell ref="AE39:AH39"/>
    <mergeCell ref="AJ39:AM39"/>
    <mergeCell ref="AO39:AR39"/>
    <mergeCell ref="AT39:AW39"/>
    <mergeCell ref="P40:S40"/>
    <mergeCell ref="U40:X40"/>
    <mergeCell ref="Z40:AC40"/>
    <mergeCell ref="AE40:AH40"/>
    <mergeCell ref="AJ40:AM40"/>
    <mergeCell ref="AO40:AR40"/>
    <mergeCell ref="P73:T73"/>
    <mergeCell ref="U73:Y73"/>
    <mergeCell ref="AO74:AR74"/>
    <mergeCell ref="AT74:AW74"/>
    <mergeCell ref="AS39:AS41"/>
    <mergeCell ref="AN42:AN71"/>
    <mergeCell ref="AS42:AS71"/>
    <mergeCell ref="T42:T71"/>
    <mergeCell ref="Y42:Y71"/>
    <mergeCell ref="AD42:AD71"/>
    <mergeCell ref="AI42:AI71"/>
    <mergeCell ref="B147:B176"/>
    <mergeCell ref="H147:H176"/>
    <mergeCell ref="P5:S5"/>
    <mergeCell ref="P4:S4"/>
    <mergeCell ref="U4:X4"/>
    <mergeCell ref="U5:X5"/>
    <mergeCell ref="P39:S39"/>
    <mergeCell ref="U39:X39"/>
    <mergeCell ref="P74:S74"/>
    <mergeCell ref="U74:X74"/>
    <mergeCell ref="B112:B141"/>
    <mergeCell ref="H112:H141"/>
    <mergeCell ref="B142:H143"/>
    <mergeCell ref="B144:B146"/>
    <mergeCell ref="C144:D146"/>
    <mergeCell ref="E144:G144"/>
    <mergeCell ref="H144:H146"/>
    <mergeCell ref="E145:G145"/>
    <mergeCell ref="P75:S75"/>
    <mergeCell ref="U75:X75"/>
    <mergeCell ref="M39:M41"/>
    <mergeCell ref="M74:M76"/>
    <mergeCell ref="M109:M111"/>
    <mergeCell ref="C39:D41"/>
    <mergeCell ref="E39:G39"/>
    <mergeCell ref="H39:H41"/>
    <mergeCell ref="E40:G40"/>
    <mergeCell ref="N72:N73"/>
    <mergeCell ref="O72:O73"/>
    <mergeCell ref="P72:T72"/>
    <mergeCell ref="U72:Y72"/>
    <mergeCell ref="Z72:AD72"/>
    <mergeCell ref="Z143:AD143"/>
    <mergeCell ref="Z75:AC75"/>
    <mergeCell ref="Z107:AD107"/>
    <mergeCell ref="Z74:AC74"/>
    <mergeCell ref="AD74:AD76"/>
    <mergeCell ref="N74:N106"/>
    <mergeCell ref="O74:O106"/>
    <mergeCell ref="T74:T76"/>
    <mergeCell ref="Y74:Y76"/>
    <mergeCell ref="T77:T106"/>
    <mergeCell ref="Y77:Y106"/>
    <mergeCell ref="P108:T108"/>
    <mergeCell ref="U108:Y108"/>
    <mergeCell ref="Z108:AD108"/>
    <mergeCell ref="N39:N71"/>
    <mergeCell ref="O39:O71"/>
    <mergeCell ref="AE143:AI143"/>
    <mergeCell ref="AJ143:AN143"/>
    <mergeCell ref="AO143:AS143"/>
    <mergeCell ref="AD112:AD141"/>
    <mergeCell ref="AI112:AI141"/>
    <mergeCell ref="AT2:AX2"/>
    <mergeCell ref="AT3:AX3"/>
    <mergeCell ref="AX4:AX6"/>
    <mergeCell ref="AX7:AX36"/>
    <mergeCell ref="AT4:AW4"/>
    <mergeCell ref="AT5:AW5"/>
    <mergeCell ref="AO2:AS2"/>
    <mergeCell ref="AO3:AS3"/>
    <mergeCell ref="AS4:AS6"/>
    <mergeCell ref="AS7:AS36"/>
    <mergeCell ref="AO4:AR4"/>
    <mergeCell ref="AO5:AR5"/>
    <mergeCell ref="AE4:AH4"/>
    <mergeCell ref="AE5:AH5"/>
    <mergeCell ref="AJ4:AM4"/>
    <mergeCell ref="AJ5:AM5"/>
    <mergeCell ref="AE75:AH75"/>
    <mergeCell ref="AT37:AX37"/>
    <mergeCell ref="AT38:AX38"/>
    <mergeCell ref="AX39:AX41"/>
    <mergeCell ref="AX42:AX71"/>
    <mergeCell ref="AT40:AW40"/>
    <mergeCell ref="B77:B106"/>
    <mergeCell ref="H77:H106"/>
    <mergeCell ref="B107:H108"/>
    <mergeCell ref="B109:B111"/>
    <mergeCell ref="C109:D111"/>
    <mergeCell ref="E109:G109"/>
    <mergeCell ref="H109:H111"/>
    <mergeCell ref="E110:G110"/>
    <mergeCell ref="B42:B71"/>
    <mergeCell ref="H42:H71"/>
    <mergeCell ref="B72:H73"/>
    <mergeCell ref="B74:B76"/>
    <mergeCell ref="C74:D76"/>
    <mergeCell ref="E74:G74"/>
    <mergeCell ref="H74:H76"/>
    <mergeCell ref="E75:G75"/>
    <mergeCell ref="AJ75:AM75"/>
    <mergeCell ref="N107:N108"/>
    <mergeCell ref="O107:O108"/>
    <mergeCell ref="P107:T107"/>
    <mergeCell ref="U107:Y107"/>
    <mergeCell ref="B37:H38"/>
    <mergeCell ref="B39:B41"/>
    <mergeCell ref="AX144:AX146"/>
    <mergeCell ref="AX147:AX176"/>
    <mergeCell ref="AT107:AX107"/>
    <mergeCell ref="AT108:AX108"/>
    <mergeCell ref="AX109:AX111"/>
    <mergeCell ref="AX112:AX141"/>
    <mergeCell ref="AT72:AX72"/>
    <mergeCell ref="AT73:AX73"/>
    <mergeCell ref="AX74:AX76"/>
    <mergeCell ref="AX77:AX106"/>
    <mergeCell ref="AT142:AX142"/>
    <mergeCell ref="AT143:AX143"/>
    <mergeCell ref="N144:N176"/>
    <mergeCell ref="O144:O176"/>
    <mergeCell ref="T144:T146"/>
    <mergeCell ref="Y144:Y146"/>
    <mergeCell ref="T147:T176"/>
    <mergeCell ref="Y147:Y176"/>
    <mergeCell ref="T112:T141"/>
    <mergeCell ref="Y112:Y141"/>
    <mergeCell ref="P143:T143"/>
    <mergeCell ref="U143:Y143"/>
    <mergeCell ref="AJ2:AN2"/>
    <mergeCell ref="AJ3:AN3"/>
    <mergeCell ref="AN4:AN6"/>
    <mergeCell ref="AN7:AN36"/>
    <mergeCell ref="AD147:AD176"/>
    <mergeCell ref="AI147:AI176"/>
    <mergeCell ref="AN147:AN176"/>
    <mergeCell ref="AS147:AS176"/>
    <mergeCell ref="AS144:AS146"/>
    <mergeCell ref="AJ142:AN142"/>
    <mergeCell ref="AO142:AS142"/>
    <mergeCell ref="AJ107:AN107"/>
    <mergeCell ref="AO107:AS107"/>
    <mergeCell ref="AJ72:AN72"/>
    <mergeCell ref="AO72:AS72"/>
    <mergeCell ref="Z73:AD73"/>
    <mergeCell ref="AE73:AI73"/>
    <mergeCell ref="AJ73:AN73"/>
    <mergeCell ref="AO73:AS73"/>
    <mergeCell ref="AJ37:AN37"/>
    <mergeCell ref="AO37:AS37"/>
    <mergeCell ref="AJ38:AN38"/>
    <mergeCell ref="AO38:AS38"/>
    <mergeCell ref="AE37:AI37"/>
    <mergeCell ref="AN112:AN141"/>
    <mergeCell ref="AS112:AS141"/>
    <mergeCell ref="AO108:AS108"/>
    <mergeCell ref="AD77:AD106"/>
    <mergeCell ref="AI77:AI106"/>
    <mergeCell ref="AN77:AN106"/>
    <mergeCell ref="AS77:AS106"/>
    <mergeCell ref="N142:N143"/>
    <mergeCell ref="O142:O143"/>
    <mergeCell ref="P142:T142"/>
    <mergeCell ref="U142:Y142"/>
    <mergeCell ref="Z142:AD142"/>
    <mergeCell ref="AE142:AI142"/>
    <mergeCell ref="AS109:AS111"/>
    <mergeCell ref="P109:S109"/>
    <mergeCell ref="U109:X109"/>
    <mergeCell ref="AD109:AD111"/>
    <mergeCell ref="AI109:AI111"/>
    <mergeCell ref="AN109:AN111"/>
    <mergeCell ref="Z109:AC109"/>
    <mergeCell ref="AE109:AH109"/>
    <mergeCell ref="AJ109:AM109"/>
    <mergeCell ref="N109:N141"/>
    <mergeCell ref="O109:O141"/>
    <mergeCell ref="AJ108:AN108"/>
    <mergeCell ref="Y39:Y41"/>
    <mergeCell ref="AD39:AD41"/>
    <mergeCell ref="AI39:AI41"/>
    <mergeCell ref="Z39:AC39"/>
    <mergeCell ref="P38:T38"/>
    <mergeCell ref="U38:Y38"/>
    <mergeCell ref="Z38:AD38"/>
    <mergeCell ref="AE38:AI38"/>
    <mergeCell ref="T39:T41"/>
    <mergeCell ref="U3:Y3"/>
    <mergeCell ref="Z3:AD3"/>
    <mergeCell ref="AE3:AI3"/>
    <mergeCell ref="N37:N38"/>
    <mergeCell ref="O37:O38"/>
    <mergeCell ref="P37:T37"/>
    <mergeCell ref="U37:Y37"/>
    <mergeCell ref="Z37:AD37"/>
    <mergeCell ref="Z2:AD2"/>
    <mergeCell ref="AD4:AD6"/>
    <mergeCell ref="AD7:AD36"/>
    <mergeCell ref="AE2:AI2"/>
    <mergeCell ref="AI4:AI6"/>
    <mergeCell ref="AI7:AI36"/>
    <mergeCell ref="P2:T2"/>
    <mergeCell ref="Z4:AC4"/>
    <mergeCell ref="Z5:AC5"/>
    <mergeCell ref="U2:Y2"/>
    <mergeCell ref="Y4:Y6"/>
    <mergeCell ref="Y7:Y36"/>
    <mergeCell ref="N2:N3"/>
    <mergeCell ref="B2:H3"/>
    <mergeCell ref="B7:B36"/>
    <mergeCell ref="B4:B6"/>
    <mergeCell ref="C4:D6"/>
    <mergeCell ref="H4:H6"/>
    <mergeCell ref="H7:H36"/>
    <mergeCell ref="E5:G5"/>
    <mergeCell ref="M4:M6"/>
    <mergeCell ref="T4:T6"/>
    <mergeCell ref="T7:T36"/>
    <mergeCell ref="N4:N36"/>
    <mergeCell ref="O4:O36"/>
    <mergeCell ref="E4:G4"/>
    <mergeCell ref="O2:O3"/>
    <mergeCell ref="P3:T3"/>
    <mergeCell ref="B177:H178"/>
    <mergeCell ref="N177:N178"/>
    <mergeCell ref="O177:O178"/>
    <mergeCell ref="P177:T177"/>
    <mergeCell ref="U177:Y177"/>
    <mergeCell ref="Z177:AD177"/>
    <mergeCell ref="B179:B181"/>
    <mergeCell ref="C179:D181"/>
    <mergeCell ref="E179:G179"/>
    <mergeCell ref="H179:H181"/>
    <mergeCell ref="I179:K179"/>
    <mergeCell ref="L179:L181"/>
    <mergeCell ref="M179:M181"/>
    <mergeCell ref="N179:N211"/>
    <mergeCell ref="O179:O211"/>
    <mergeCell ref="P179:S179"/>
    <mergeCell ref="T179:T181"/>
    <mergeCell ref="U179:X179"/>
    <mergeCell ref="Y179:Y181"/>
    <mergeCell ref="Z179:AC179"/>
    <mergeCell ref="AD179:AD181"/>
    <mergeCell ref="E180:G180"/>
    <mergeCell ref="I180:K180"/>
    <mergeCell ref="B182:B211"/>
    <mergeCell ref="AE177:AI177"/>
    <mergeCell ref="AJ177:AN177"/>
    <mergeCell ref="AO177:AS177"/>
    <mergeCell ref="AT177:AX177"/>
    <mergeCell ref="P178:T178"/>
    <mergeCell ref="U178:Y178"/>
    <mergeCell ref="Z178:AD178"/>
    <mergeCell ref="AE178:AI178"/>
    <mergeCell ref="AJ178:AN178"/>
    <mergeCell ref="AO178:AS178"/>
    <mergeCell ref="AT178:AX178"/>
    <mergeCell ref="AE179:AH179"/>
    <mergeCell ref="AI179:AI181"/>
    <mergeCell ref="AJ179:AM179"/>
    <mergeCell ref="AN179:AN181"/>
    <mergeCell ref="AO179:AR179"/>
    <mergeCell ref="AS179:AS181"/>
    <mergeCell ref="AT179:AW179"/>
    <mergeCell ref="AX179:AX181"/>
    <mergeCell ref="P180:S180"/>
    <mergeCell ref="U180:X180"/>
    <mergeCell ref="Z180:AC180"/>
    <mergeCell ref="AE180:AH180"/>
    <mergeCell ref="AJ180:AM180"/>
    <mergeCell ref="AO180:AR180"/>
    <mergeCell ref="AT180:AW180"/>
    <mergeCell ref="AX182:AX211"/>
    <mergeCell ref="B213:H214"/>
    <mergeCell ref="B215:B217"/>
    <mergeCell ref="C215:D217"/>
    <mergeCell ref="E215:G215"/>
    <mergeCell ref="H215:H217"/>
    <mergeCell ref="I215:K215"/>
    <mergeCell ref="L215:L217"/>
    <mergeCell ref="M215:M217"/>
    <mergeCell ref="E216:G216"/>
    <mergeCell ref="I216:K216"/>
    <mergeCell ref="H182:H211"/>
    <mergeCell ref="L182:L211"/>
    <mergeCell ref="B218:B247"/>
    <mergeCell ref="H218:H247"/>
    <mergeCell ref="L218:L247"/>
    <mergeCell ref="T182:T211"/>
    <mergeCell ref="Y182:Y211"/>
    <mergeCell ref="AD182:AD211"/>
    <mergeCell ref="AI182:AI211"/>
    <mergeCell ref="AN182:AN211"/>
    <mergeCell ref="AS182:AS211"/>
    <mergeCell ref="BA147:BA176"/>
    <mergeCell ref="BA179:BA181"/>
    <mergeCell ref="BA182:BA211"/>
    <mergeCell ref="BA4:BA6"/>
    <mergeCell ref="BA7:BA36"/>
    <mergeCell ref="BA39:BA41"/>
    <mergeCell ref="BA42:BA71"/>
    <mergeCell ref="BA74:BA76"/>
    <mergeCell ref="BA77:BA106"/>
    <mergeCell ref="BA109:BA111"/>
    <mergeCell ref="BA112:BA141"/>
    <mergeCell ref="BA144:BA14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A142"/>
  <sheetViews>
    <sheetView zoomScale="40" zoomScaleNormal="40" workbookViewId="0">
      <pane xSplit="15" topLeftCell="P1" activePane="topRight" state="frozen"/>
      <selection activeCell="L7" sqref="L7:L36"/>
      <selection pane="topRight" activeCell="T67" activeCellId="3" sqref="AH67:AI81 AC67:AD81 X67:Y81 S67:T81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51" width="8.85546875" style="108"/>
    <col min="52" max="52" width="5.42578125" style="108" customWidth="1"/>
    <col min="53" max="53" width="13.140625" style="108" customWidth="1"/>
    <col min="54" max="16384" width="8.85546875" style="108"/>
  </cols>
  <sheetData>
    <row r="1" spans="1:53" ht="24">
      <c r="A1" s="75"/>
      <c r="B1" s="221" t="s">
        <v>332</v>
      </c>
      <c r="C1" s="220">
        <f>AVERAGE(L7,L27,L47,L87,L87,L107)</f>
        <v>182.50487018249518</v>
      </c>
    </row>
    <row r="2" spans="1:53" ht="15.75">
      <c r="A2" s="81"/>
      <c r="B2" s="633" t="s">
        <v>163</v>
      </c>
      <c r="C2" s="633"/>
      <c r="D2" s="633"/>
      <c r="E2" s="633"/>
      <c r="F2" s="633"/>
      <c r="G2" s="633"/>
      <c r="H2" s="633"/>
      <c r="I2" s="306"/>
      <c r="J2" s="306"/>
      <c r="K2" s="306"/>
      <c r="L2" s="306"/>
      <c r="M2" s="197"/>
      <c r="N2" s="606" t="s">
        <v>156</v>
      </c>
      <c r="O2" s="606" t="s">
        <v>155</v>
      </c>
      <c r="P2" s="645">
        <v>46112</v>
      </c>
      <c r="Q2" s="646"/>
      <c r="R2" s="646"/>
      <c r="S2" s="646"/>
      <c r="T2" s="647"/>
      <c r="U2" s="632">
        <f>P2+1</f>
        <v>46113</v>
      </c>
      <c r="V2" s="610"/>
      <c r="W2" s="610"/>
      <c r="X2" s="610"/>
      <c r="Y2" s="610"/>
      <c r="Z2" s="632">
        <f>U2+1</f>
        <v>46114</v>
      </c>
      <c r="AA2" s="610"/>
      <c r="AB2" s="610"/>
      <c r="AC2" s="610"/>
      <c r="AD2" s="610"/>
      <c r="AE2" s="632">
        <f>Z2+1</f>
        <v>46115</v>
      </c>
      <c r="AF2" s="610"/>
      <c r="AG2" s="610"/>
      <c r="AH2" s="610"/>
      <c r="AI2" s="610"/>
      <c r="AJ2" s="632">
        <f>AE2+1</f>
        <v>46116</v>
      </c>
      <c r="AK2" s="610"/>
      <c r="AL2" s="610"/>
      <c r="AM2" s="610"/>
      <c r="AN2" s="610"/>
      <c r="AO2" s="632">
        <f>AJ2+1</f>
        <v>46117</v>
      </c>
      <c r="AP2" s="610"/>
      <c r="AQ2" s="610"/>
      <c r="AR2" s="610"/>
      <c r="AS2" s="610"/>
      <c r="AT2" s="629">
        <f>AO2+1</f>
        <v>46118</v>
      </c>
      <c r="AU2" s="630"/>
      <c r="AV2" s="630"/>
      <c r="AW2" s="630"/>
      <c r="AX2" s="631"/>
    </row>
    <row r="3" spans="1:53" ht="15.75">
      <c r="A3" s="81"/>
      <c r="B3" s="641"/>
      <c r="C3" s="641"/>
      <c r="D3" s="641"/>
      <c r="E3" s="641"/>
      <c r="F3" s="641"/>
      <c r="G3" s="641"/>
      <c r="H3" s="641"/>
      <c r="I3" s="307"/>
      <c r="J3" s="307"/>
      <c r="K3" s="307"/>
      <c r="L3" s="307"/>
      <c r="M3" s="198"/>
      <c r="N3" s="608"/>
      <c r="O3" s="608"/>
      <c r="P3" s="632" t="s">
        <v>158</v>
      </c>
      <c r="Q3" s="610"/>
      <c r="R3" s="610"/>
      <c r="S3" s="610"/>
      <c r="T3" s="610"/>
      <c r="U3" s="632" t="s">
        <v>114</v>
      </c>
      <c r="V3" s="610"/>
      <c r="W3" s="610"/>
      <c r="X3" s="610"/>
      <c r="Y3" s="610"/>
      <c r="Z3" s="632" t="s">
        <v>159</v>
      </c>
      <c r="AA3" s="610"/>
      <c r="AB3" s="610"/>
      <c r="AC3" s="610"/>
      <c r="AD3" s="610"/>
      <c r="AE3" s="632" t="s">
        <v>157</v>
      </c>
      <c r="AF3" s="610"/>
      <c r="AG3" s="610"/>
      <c r="AH3" s="610"/>
      <c r="AI3" s="610"/>
      <c r="AJ3" s="632" t="s">
        <v>160</v>
      </c>
      <c r="AK3" s="610"/>
      <c r="AL3" s="610"/>
      <c r="AM3" s="610"/>
      <c r="AN3" s="610"/>
      <c r="AO3" s="632" t="s">
        <v>115</v>
      </c>
      <c r="AP3" s="610"/>
      <c r="AQ3" s="610"/>
      <c r="AR3" s="610"/>
      <c r="AS3" s="610"/>
      <c r="AT3" s="632" t="s">
        <v>162</v>
      </c>
      <c r="AU3" s="610"/>
      <c r="AV3" s="610"/>
      <c r="AW3" s="610"/>
      <c r="AX3" s="610"/>
    </row>
    <row r="4" spans="1:53" ht="14.25">
      <c r="A4" s="81"/>
      <c r="B4" s="604" t="s">
        <v>711</v>
      </c>
      <c r="C4" s="604" t="s">
        <v>712</v>
      </c>
      <c r="D4" s="604"/>
      <c r="E4" s="604" t="s">
        <v>713</v>
      </c>
      <c r="F4" s="604"/>
      <c r="G4" s="604"/>
      <c r="H4" s="637" t="s">
        <v>714</v>
      </c>
      <c r="I4" s="604" t="s">
        <v>715</v>
      </c>
      <c r="J4" s="604"/>
      <c r="K4" s="604"/>
      <c r="L4" s="637" t="s">
        <v>714</v>
      </c>
      <c r="M4" s="606" t="s">
        <v>716</v>
      </c>
      <c r="N4" s="604"/>
      <c r="O4" s="604" t="s">
        <v>717</v>
      </c>
      <c r="P4" s="623" t="s">
        <v>718</v>
      </c>
      <c r="Q4" s="624"/>
      <c r="R4" s="624"/>
      <c r="S4" s="625"/>
      <c r="T4" s="604" t="s">
        <v>714</v>
      </c>
      <c r="U4" s="623" t="s">
        <v>718</v>
      </c>
      <c r="V4" s="624"/>
      <c r="W4" s="624"/>
      <c r="X4" s="625"/>
      <c r="Y4" s="604" t="s">
        <v>714</v>
      </c>
      <c r="Z4" s="623" t="s">
        <v>718</v>
      </c>
      <c r="AA4" s="624"/>
      <c r="AB4" s="624"/>
      <c r="AC4" s="625"/>
      <c r="AD4" s="604" t="s">
        <v>714</v>
      </c>
      <c r="AE4" s="623" t="s">
        <v>718</v>
      </c>
      <c r="AF4" s="624"/>
      <c r="AG4" s="624"/>
      <c r="AH4" s="625"/>
      <c r="AI4" s="604" t="s">
        <v>714</v>
      </c>
      <c r="AJ4" s="623" t="s">
        <v>718</v>
      </c>
      <c r="AK4" s="624"/>
      <c r="AL4" s="624"/>
      <c r="AM4" s="625"/>
      <c r="AN4" s="604" t="s">
        <v>714</v>
      </c>
      <c r="AO4" s="623" t="s">
        <v>718</v>
      </c>
      <c r="AP4" s="624"/>
      <c r="AQ4" s="624"/>
      <c r="AR4" s="625"/>
      <c r="AS4" s="604" t="s">
        <v>714</v>
      </c>
      <c r="AT4" s="623" t="s">
        <v>718</v>
      </c>
      <c r="AU4" s="624"/>
      <c r="AV4" s="624"/>
      <c r="AW4" s="625"/>
      <c r="AX4" s="604" t="s">
        <v>714</v>
      </c>
      <c r="BA4" s="604" t="s">
        <v>395</v>
      </c>
    </row>
    <row r="5" spans="1:53" ht="14.25">
      <c r="A5" s="81"/>
      <c r="B5" s="604"/>
      <c r="C5" s="604"/>
      <c r="D5" s="604"/>
      <c r="E5" s="604" t="s">
        <v>719</v>
      </c>
      <c r="F5" s="604"/>
      <c r="G5" s="604"/>
      <c r="H5" s="638"/>
      <c r="I5" s="604" t="s">
        <v>719</v>
      </c>
      <c r="J5" s="604"/>
      <c r="K5" s="604"/>
      <c r="L5" s="638"/>
      <c r="M5" s="607"/>
      <c r="N5" s="604"/>
      <c r="O5" s="604"/>
      <c r="P5" s="623" t="s">
        <v>720</v>
      </c>
      <c r="Q5" s="624"/>
      <c r="R5" s="624"/>
      <c r="S5" s="625"/>
      <c r="T5" s="604"/>
      <c r="U5" s="623" t="s">
        <v>720</v>
      </c>
      <c r="V5" s="624"/>
      <c r="W5" s="624"/>
      <c r="X5" s="625"/>
      <c r="Y5" s="604"/>
      <c r="Z5" s="623" t="s">
        <v>720</v>
      </c>
      <c r="AA5" s="624"/>
      <c r="AB5" s="624"/>
      <c r="AC5" s="625"/>
      <c r="AD5" s="604"/>
      <c r="AE5" s="623" t="s">
        <v>720</v>
      </c>
      <c r="AF5" s="624"/>
      <c r="AG5" s="624"/>
      <c r="AH5" s="625"/>
      <c r="AI5" s="604"/>
      <c r="AJ5" s="623" t="s">
        <v>720</v>
      </c>
      <c r="AK5" s="624"/>
      <c r="AL5" s="624"/>
      <c r="AM5" s="625"/>
      <c r="AN5" s="604"/>
      <c r="AO5" s="623" t="s">
        <v>720</v>
      </c>
      <c r="AP5" s="624"/>
      <c r="AQ5" s="624"/>
      <c r="AR5" s="625"/>
      <c r="AS5" s="604"/>
      <c r="AT5" s="623" t="s">
        <v>720</v>
      </c>
      <c r="AU5" s="624"/>
      <c r="AV5" s="624"/>
      <c r="AW5" s="625"/>
      <c r="AX5" s="604"/>
      <c r="BA5" s="604"/>
    </row>
    <row r="6" spans="1:53" ht="14.25">
      <c r="A6" s="79"/>
      <c r="B6" s="604"/>
      <c r="C6" s="604"/>
      <c r="D6" s="604"/>
      <c r="E6" s="459" t="s">
        <v>721</v>
      </c>
      <c r="F6" s="459" t="s">
        <v>722</v>
      </c>
      <c r="G6" s="459" t="s">
        <v>723</v>
      </c>
      <c r="H6" s="639"/>
      <c r="I6" s="459" t="s">
        <v>721</v>
      </c>
      <c r="J6" s="459" t="s">
        <v>722</v>
      </c>
      <c r="K6" s="459" t="s">
        <v>723</v>
      </c>
      <c r="L6" s="639"/>
      <c r="M6" s="608"/>
      <c r="N6" s="604"/>
      <c r="O6" s="604"/>
      <c r="P6" s="459" t="s">
        <v>721</v>
      </c>
      <c r="Q6" s="459" t="s">
        <v>722</v>
      </c>
      <c r="R6" s="459" t="s">
        <v>723</v>
      </c>
      <c r="S6" s="459" t="s">
        <v>716</v>
      </c>
      <c r="T6" s="604"/>
      <c r="U6" s="459" t="s">
        <v>721</v>
      </c>
      <c r="V6" s="459" t="s">
        <v>722</v>
      </c>
      <c r="W6" s="459" t="s">
        <v>723</v>
      </c>
      <c r="X6" s="459" t="s">
        <v>716</v>
      </c>
      <c r="Y6" s="604"/>
      <c r="Z6" s="459" t="s">
        <v>721</v>
      </c>
      <c r="AA6" s="459" t="s">
        <v>722</v>
      </c>
      <c r="AB6" s="459" t="s">
        <v>723</v>
      </c>
      <c r="AC6" s="459" t="s">
        <v>716</v>
      </c>
      <c r="AD6" s="604"/>
      <c r="AE6" s="459" t="s">
        <v>721</v>
      </c>
      <c r="AF6" s="459" t="s">
        <v>722</v>
      </c>
      <c r="AG6" s="459" t="s">
        <v>723</v>
      </c>
      <c r="AH6" s="459" t="s">
        <v>716</v>
      </c>
      <c r="AI6" s="604"/>
      <c r="AJ6" s="459" t="s">
        <v>721</v>
      </c>
      <c r="AK6" s="459" t="s">
        <v>722</v>
      </c>
      <c r="AL6" s="459" t="s">
        <v>723</v>
      </c>
      <c r="AM6" s="459" t="s">
        <v>716</v>
      </c>
      <c r="AN6" s="604"/>
      <c r="AO6" s="459" t="s">
        <v>721</v>
      </c>
      <c r="AP6" s="459" t="s">
        <v>722</v>
      </c>
      <c r="AQ6" s="459" t="s">
        <v>723</v>
      </c>
      <c r="AR6" s="459" t="s">
        <v>716</v>
      </c>
      <c r="AS6" s="604"/>
      <c r="AT6" s="459" t="s">
        <v>721</v>
      </c>
      <c r="AU6" s="459" t="s">
        <v>722</v>
      </c>
      <c r="AV6" s="459" t="s">
        <v>723</v>
      </c>
      <c r="AW6" s="459" t="s">
        <v>716</v>
      </c>
      <c r="AX6" s="604"/>
      <c r="AZ6" s="527" t="s">
        <v>396</v>
      </c>
      <c r="BA6" s="604"/>
    </row>
    <row r="7" spans="1:53" ht="14.25">
      <c r="A7" s="81"/>
      <c r="B7" s="666" t="s">
        <v>724</v>
      </c>
      <c r="C7" s="461">
        <v>1</v>
      </c>
      <c r="D7" s="455" t="s">
        <v>779</v>
      </c>
      <c r="E7" s="464">
        <v>10</v>
      </c>
      <c r="F7" s="464">
        <v>1500</v>
      </c>
      <c r="G7" s="464">
        <v>150</v>
      </c>
      <c r="H7" s="618">
        <f>AVERAGE(G7:G21)</f>
        <v>157.14285714285714</v>
      </c>
      <c r="I7" s="513">
        <f t="shared" ref="I7:I21" si="0">IFERROR(AVERAGE(P7,U7,Z7,AE7,AJ7,AO7,AT7),"-")</f>
        <v>10</v>
      </c>
      <c r="J7" s="513">
        <f t="shared" ref="J7:J21" si="1">IFERROR(AVERAGE(Q7,V7,AA7,AF7,AK7,AP7,AU7),"-")</f>
        <v>1516.1142857142841</v>
      </c>
      <c r="K7" s="200">
        <f t="shared" ref="K7:K21" si="2">IFERROR(AVERAGE(R7,W7,AB7,AG7,AL7,AQ7,AV7),"-")</f>
        <v>151.61142857142843</v>
      </c>
      <c r="L7" s="618">
        <f>IFERROR(AVERAGE(K7:K21),"-")</f>
        <v>170.93067830417365</v>
      </c>
      <c r="M7" s="463">
        <f>RANK(K7, K$7:$K$21)</f>
        <v>4</v>
      </c>
      <c r="N7" s="604"/>
      <c r="O7" s="604"/>
      <c r="P7" s="461">
        <v>10</v>
      </c>
      <c r="Q7" s="464">
        <v>1593.5999999999954</v>
      </c>
      <c r="R7" s="464">
        <v>159.35999999999953</v>
      </c>
      <c r="S7" s="460">
        <f>RANK(R7, R$7:R$21)</f>
        <v>3</v>
      </c>
      <c r="T7" s="612">
        <f>AVERAGE(R7:R21)</f>
        <v>168.74553714980007</v>
      </c>
      <c r="U7" s="517">
        <v>10</v>
      </c>
      <c r="V7" s="518">
        <v>1461.6000000000004</v>
      </c>
      <c r="W7" s="518">
        <v>146.16000000000003</v>
      </c>
      <c r="X7" s="511">
        <f t="shared" ref="X7:X21" si="3">RANK(W7, W$7:W$21)</f>
        <v>5</v>
      </c>
      <c r="Y7" s="612">
        <f t="shared" ref="Y7" si="4">AVERAGE(W7:W21)</f>
        <v>172.82071987769473</v>
      </c>
      <c r="Z7" s="521">
        <v>10</v>
      </c>
      <c r="AA7" s="182">
        <v>1601.999999999993</v>
      </c>
      <c r="AB7" s="182">
        <v>160.19999999999931</v>
      </c>
      <c r="AC7" s="511">
        <f t="shared" ref="AC7:AC21" si="5">RANK(AB7, AB$7:AB$21)</f>
        <v>3</v>
      </c>
      <c r="AD7" s="612">
        <f t="shared" ref="AD7" si="6">AVERAGE(AB7:AB21)</f>
        <v>169.14285714285708</v>
      </c>
      <c r="AE7" s="521">
        <v>10</v>
      </c>
      <c r="AF7" s="182">
        <v>1533.0000000000055</v>
      </c>
      <c r="AG7" s="182">
        <v>153.30000000000055</v>
      </c>
      <c r="AH7" s="511">
        <f t="shared" ref="AH7:AH21" si="7">RANK(AG7, AG$7:AG$21)</f>
        <v>4</v>
      </c>
      <c r="AI7" s="612">
        <f t="shared" ref="AI7" si="8">AVERAGE(AG7:AG21)</f>
        <v>173.65831001296849</v>
      </c>
      <c r="AJ7" s="521">
        <v>10</v>
      </c>
      <c r="AK7" s="182">
        <v>1355.9999999999995</v>
      </c>
      <c r="AL7" s="182">
        <v>135.59999999999997</v>
      </c>
      <c r="AM7" s="511">
        <f t="shared" ref="AM7:AM21" si="9">RANK(AL7, AL$7:AL$21)</f>
        <v>5</v>
      </c>
      <c r="AN7" s="612">
        <f t="shared" ref="AN7" si="10">AVERAGE(AL7:AL21)</f>
        <v>165.15879120879123</v>
      </c>
      <c r="AO7" s="521">
        <v>10</v>
      </c>
      <c r="AP7" s="182">
        <v>1544.9999999999993</v>
      </c>
      <c r="AQ7" s="182">
        <v>154.49999999999994</v>
      </c>
      <c r="AR7" s="511">
        <f t="shared" ref="AR7:AR21" si="11">RANK(AQ7, AQ$7:AQ$21)</f>
        <v>4</v>
      </c>
      <c r="AS7" s="612">
        <f t="shared" ref="AS7" si="12">AVERAGE(AQ7:AQ21)</f>
        <v>180.05456448313609</v>
      </c>
      <c r="AT7" s="521">
        <v>10</v>
      </c>
      <c r="AU7" s="182">
        <v>1521.5999999999958</v>
      </c>
      <c r="AV7" s="182">
        <v>152.15999999999957</v>
      </c>
      <c r="AW7" s="511">
        <f t="shared" ref="AW7:AW21" si="13">RANK(AV7, AV$7:AV$21)</f>
        <v>3</v>
      </c>
      <c r="AX7" s="612">
        <f t="shared" ref="AX7" si="14">AVERAGE(AV7:AV21)</f>
        <v>166.93396825396823</v>
      </c>
      <c r="AZ7" s="526" t="e">
        <f t="shared" ref="AZ7:AZ21" si="15">RANK(AY7, AY$7:AY$21)</f>
        <v>#N/A</v>
      </c>
      <c r="BA7" s="612" t="e">
        <f t="shared" ref="BA7" si="16">AVERAGE(AY7:AY21)</f>
        <v>#DIV/0!</v>
      </c>
    </row>
    <row r="8" spans="1:53" ht="15" customHeight="1">
      <c r="A8" s="81"/>
      <c r="B8" s="640"/>
      <c r="C8" s="461">
        <v>2</v>
      </c>
      <c r="D8" s="455" t="s">
        <v>780</v>
      </c>
      <c r="E8" s="464">
        <v>15</v>
      </c>
      <c r="F8" s="464">
        <v>1800</v>
      </c>
      <c r="G8" s="464">
        <v>120</v>
      </c>
      <c r="H8" s="619"/>
      <c r="I8" s="513">
        <f t="shared" si="0"/>
        <v>12.142857142857142</v>
      </c>
      <c r="J8" s="513">
        <f t="shared" si="1"/>
        <v>1776.9965986394543</v>
      </c>
      <c r="K8" s="200">
        <f t="shared" si="2"/>
        <v>146.48414878772013</v>
      </c>
      <c r="L8" s="619"/>
      <c r="M8" s="463">
        <f>RANK(K8, K$7:$K$21)</f>
        <v>5</v>
      </c>
      <c r="N8" s="604"/>
      <c r="O8" s="604"/>
      <c r="P8" s="461">
        <v>12</v>
      </c>
      <c r="Q8" s="464">
        <v>1797.1428571428564</v>
      </c>
      <c r="R8" s="464">
        <v>149.7619047619047</v>
      </c>
      <c r="S8" s="460">
        <f t="shared" ref="S8:S21" si="17">RANK(R8, R$7:R$21)</f>
        <v>5</v>
      </c>
      <c r="T8" s="612"/>
      <c r="U8" s="517">
        <v>12</v>
      </c>
      <c r="V8" s="518">
        <v>1813.4999999999995</v>
      </c>
      <c r="W8" s="518">
        <v>151.12499999999997</v>
      </c>
      <c r="X8" s="511">
        <f t="shared" si="3"/>
        <v>4</v>
      </c>
      <c r="Y8" s="612"/>
      <c r="Z8" s="521">
        <v>12</v>
      </c>
      <c r="AA8" s="182">
        <v>1790.9999999999957</v>
      </c>
      <c r="AB8" s="182">
        <v>149.24999999999963</v>
      </c>
      <c r="AC8" s="511">
        <f t="shared" si="5"/>
        <v>5</v>
      </c>
      <c r="AD8" s="612"/>
      <c r="AE8" s="521">
        <v>12</v>
      </c>
      <c r="AF8" s="182">
        <v>1837.4999999999993</v>
      </c>
      <c r="AG8" s="182">
        <v>153.12499999999994</v>
      </c>
      <c r="AH8" s="511">
        <f t="shared" si="7"/>
        <v>5</v>
      </c>
      <c r="AI8" s="612"/>
      <c r="AJ8" s="521">
        <v>12</v>
      </c>
      <c r="AK8" s="182">
        <v>1732.4999999999957</v>
      </c>
      <c r="AL8" s="182">
        <v>144.37499999999963</v>
      </c>
      <c r="AM8" s="511">
        <f t="shared" si="9"/>
        <v>4</v>
      </c>
      <c r="AN8" s="612"/>
      <c r="AO8" s="521">
        <v>13</v>
      </c>
      <c r="AP8" s="182">
        <v>1745.9999999999995</v>
      </c>
      <c r="AQ8" s="182">
        <v>134.30769230769226</v>
      </c>
      <c r="AR8" s="511">
        <f t="shared" si="11"/>
        <v>6</v>
      </c>
      <c r="AS8" s="612"/>
      <c r="AT8" s="521">
        <v>12</v>
      </c>
      <c r="AU8" s="182">
        <v>1721.3333333333335</v>
      </c>
      <c r="AV8" s="182">
        <v>143.44444444444446</v>
      </c>
      <c r="AW8" s="511">
        <f t="shared" si="13"/>
        <v>5</v>
      </c>
      <c r="AX8" s="612"/>
      <c r="AZ8" s="526" t="e">
        <f t="shared" si="15"/>
        <v>#N/A</v>
      </c>
      <c r="BA8" s="612"/>
    </row>
    <row r="9" spans="1:53" ht="14.25">
      <c r="A9" s="81"/>
      <c r="B9" s="640"/>
      <c r="C9" s="461">
        <v>3</v>
      </c>
      <c r="D9" s="455" t="s">
        <v>366</v>
      </c>
      <c r="E9" s="464">
        <v>15</v>
      </c>
      <c r="F9" s="464">
        <v>1800</v>
      </c>
      <c r="G9" s="464">
        <v>120</v>
      </c>
      <c r="H9" s="619"/>
      <c r="I9" s="513">
        <f t="shared" si="0"/>
        <v>12.142857142857142</v>
      </c>
      <c r="J9" s="513">
        <f t="shared" si="1"/>
        <v>1841.8167220376513</v>
      </c>
      <c r="K9" s="200">
        <f t="shared" si="2"/>
        <v>151.81027628702037</v>
      </c>
      <c r="L9" s="619"/>
      <c r="M9" s="463">
        <f>RANK(K9, K$7:$K$21)</f>
        <v>3</v>
      </c>
      <c r="N9" s="604"/>
      <c r="O9" s="604"/>
      <c r="P9" s="461">
        <v>12</v>
      </c>
      <c r="Q9" s="464">
        <v>1834.8837209302324</v>
      </c>
      <c r="R9" s="464">
        <v>152.90697674418604</v>
      </c>
      <c r="S9" s="460">
        <f t="shared" si="17"/>
        <v>4</v>
      </c>
      <c r="T9" s="612"/>
      <c r="U9" s="517">
        <v>12</v>
      </c>
      <c r="V9" s="518">
        <v>1909.5000000000032</v>
      </c>
      <c r="W9" s="518">
        <v>159.12500000000026</v>
      </c>
      <c r="X9" s="511">
        <f t="shared" si="3"/>
        <v>3</v>
      </c>
      <c r="Y9" s="612"/>
      <c r="Z9" s="521">
        <v>12</v>
      </c>
      <c r="AA9" s="182">
        <v>1885.4999999999955</v>
      </c>
      <c r="AB9" s="182">
        <v>157.12499999999963</v>
      </c>
      <c r="AC9" s="511">
        <f t="shared" si="5"/>
        <v>4</v>
      </c>
      <c r="AD9" s="612"/>
      <c r="AE9" s="521">
        <v>12</v>
      </c>
      <c r="AF9" s="182">
        <v>1852.4999999999993</v>
      </c>
      <c r="AG9" s="182">
        <v>154.37499999999994</v>
      </c>
      <c r="AH9" s="511">
        <f t="shared" si="7"/>
        <v>3</v>
      </c>
      <c r="AI9" s="612"/>
      <c r="AJ9" s="521">
        <v>12</v>
      </c>
      <c r="AK9" s="182">
        <v>1816.4999999999955</v>
      </c>
      <c r="AL9" s="182">
        <v>151.37499999999963</v>
      </c>
      <c r="AM9" s="511">
        <f t="shared" si="9"/>
        <v>3</v>
      </c>
      <c r="AN9" s="612"/>
      <c r="AO9" s="521">
        <v>13</v>
      </c>
      <c r="AP9" s="182">
        <v>1828.4999999999995</v>
      </c>
      <c r="AQ9" s="182">
        <v>140.65384615384613</v>
      </c>
      <c r="AR9" s="511">
        <f t="shared" si="11"/>
        <v>5</v>
      </c>
      <c r="AS9" s="612"/>
      <c r="AT9" s="521">
        <v>12</v>
      </c>
      <c r="AU9" s="182">
        <v>1765.3333333333333</v>
      </c>
      <c r="AV9" s="182">
        <v>147.11111111111111</v>
      </c>
      <c r="AW9" s="511">
        <f t="shared" si="13"/>
        <v>4</v>
      </c>
      <c r="AX9" s="612"/>
      <c r="AZ9" s="526" t="e">
        <f t="shared" si="15"/>
        <v>#N/A</v>
      </c>
      <c r="BA9" s="612"/>
    </row>
    <row r="10" spans="1:53" ht="14.25">
      <c r="A10" s="81"/>
      <c r="B10" s="640"/>
      <c r="C10" s="461">
        <v>4</v>
      </c>
      <c r="D10" s="455" t="s">
        <v>638</v>
      </c>
      <c r="E10" s="464">
        <v>6</v>
      </c>
      <c r="F10" s="464">
        <v>1500</v>
      </c>
      <c r="G10" s="464">
        <v>250</v>
      </c>
      <c r="H10" s="619"/>
      <c r="I10" s="513">
        <f t="shared" si="0"/>
        <v>6</v>
      </c>
      <c r="J10" s="513">
        <f t="shared" si="1"/>
        <v>1513.4170247046197</v>
      </c>
      <c r="K10" s="200">
        <f t="shared" si="2"/>
        <v>252.23617078410325</v>
      </c>
      <c r="L10" s="619"/>
      <c r="M10" s="463">
        <f>RANK(K10, K$7:$K$21)</f>
        <v>2</v>
      </c>
      <c r="N10" s="604"/>
      <c r="O10" s="604"/>
      <c r="P10" s="461">
        <v>6</v>
      </c>
      <c r="Q10" s="464">
        <v>1430.5263157894726</v>
      </c>
      <c r="R10" s="464">
        <v>238.42105263157876</v>
      </c>
      <c r="S10" s="460">
        <f t="shared" si="17"/>
        <v>2</v>
      </c>
      <c r="T10" s="612"/>
      <c r="U10" s="517">
        <v>6</v>
      </c>
      <c r="V10" s="518">
        <v>1567.5000000000018</v>
      </c>
      <c r="W10" s="518">
        <v>261.25000000000028</v>
      </c>
      <c r="X10" s="511">
        <f t="shared" si="3"/>
        <v>2</v>
      </c>
      <c r="Y10" s="612"/>
      <c r="Z10" s="521">
        <v>6</v>
      </c>
      <c r="AA10" s="182">
        <v>1473.7500000000018</v>
      </c>
      <c r="AB10" s="182">
        <v>245.62500000000031</v>
      </c>
      <c r="AC10" s="511">
        <f t="shared" si="5"/>
        <v>2</v>
      </c>
      <c r="AD10" s="612"/>
      <c r="AE10" s="521">
        <v>6</v>
      </c>
      <c r="AF10" s="182">
        <v>1568.5714285714298</v>
      </c>
      <c r="AG10" s="182">
        <v>261.42857142857162</v>
      </c>
      <c r="AH10" s="511">
        <f t="shared" si="7"/>
        <v>2</v>
      </c>
      <c r="AI10" s="612"/>
      <c r="AJ10" s="521">
        <v>6</v>
      </c>
      <c r="AK10" s="182">
        <v>1545.0000000000005</v>
      </c>
      <c r="AL10" s="182">
        <v>257.50000000000006</v>
      </c>
      <c r="AM10" s="511">
        <f t="shared" si="9"/>
        <v>2</v>
      </c>
      <c r="AN10" s="612"/>
      <c r="AO10" s="521">
        <v>6</v>
      </c>
      <c r="AP10" s="182">
        <v>1508.5714285714298</v>
      </c>
      <c r="AQ10" s="182">
        <v>251.42857142857164</v>
      </c>
      <c r="AR10" s="511">
        <f t="shared" si="11"/>
        <v>2</v>
      </c>
      <c r="AS10" s="612"/>
      <c r="AT10" s="521">
        <v>6</v>
      </c>
      <c r="AU10" s="182">
        <v>1500.0000000000018</v>
      </c>
      <c r="AV10" s="182">
        <v>250.00000000000031</v>
      </c>
      <c r="AW10" s="511">
        <f t="shared" si="13"/>
        <v>2</v>
      </c>
      <c r="AX10" s="612"/>
      <c r="AZ10" s="526" t="e">
        <f t="shared" si="15"/>
        <v>#N/A</v>
      </c>
      <c r="BA10" s="612"/>
    </row>
    <row r="11" spans="1:53" ht="14.25">
      <c r="A11" s="81"/>
      <c r="B11" s="640"/>
      <c r="C11" s="461">
        <v>5</v>
      </c>
      <c r="D11" s="455" t="s">
        <v>579</v>
      </c>
      <c r="E11" s="464">
        <v>5</v>
      </c>
      <c r="F11" s="464">
        <v>1500</v>
      </c>
      <c r="G11" s="464">
        <v>300</v>
      </c>
      <c r="H11" s="619"/>
      <c r="I11" s="513">
        <f t="shared" si="0"/>
        <v>5</v>
      </c>
      <c r="J11" s="513">
        <f t="shared" si="1"/>
        <v>1507.1334462638824</v>
      </c>
      <c r="K11" s="200">
        <f t="shared" si="2"/>
        <v>301.4266892527765</v>
      </c>
      <c r="L11" s="619"/>
      <c r="M11" s="463">
        <f>RANK(K11, K$7:$K$21)</f>
        <v>1</v>
      </c>
      <c r="N11" s="604"/>
      <c r="O11" s="604"/>
      <c r="P11" s="461">
        <v>5</v>
      </c>
      <c r="Q11" s="464">
        <v>1476.0000000000014</v>
      </c>
      <c r="R11" s="464">
        <v>295.20000000000027</v>
      </c>
      <c r="S11" s="460">
        <f t="shared" si="17"/>
        <v>1</v>
      </c>
      <c r="T11" s="612"/>
      <c r="U11" s="517">
        <v>5</v>
      </c>
      <c r="V11" s="518">
        <v>1522.2222222222231</v>
      </c>
      <c r="W11" s="518">
        <v>304.44444444444463</v>
      </c>
      <c r="X11" s="511">
        <f t="shared" si="3"/>
        <v>1</v>
      </c>
      <c r="Y11" s="612"/>
      <c r="Z11" s="521">
        <v>5</v>
      </c>
      <c r="AA11" s="182">
        <v>1495.0000000000027</v>
      </c>
      <c r="AB11" s="182">
        <v>299.00000000000057</v>
      </c>
      <c r="AC11" s="511">
        <f t="shared" si="5"/>
        <v>1</v>
      </c>
      <c r="AD11" s="612"/>
      <c r="AE11" s="521">
        <v>5</v>
      </c>
      <c r="AF11" s="182">
        <v>1554.7826086956522</v>
      </c>
      <c r="AG11" s="182">
        <v>310.95652173913044</v>
      </c>
      <c r="AH11" s="511">
        <f t="shared" si="7"/>
        <v>1</v>
      </c>
      <c r="AI11" s="612"/>
      <c r="AJ11" s="521">
        <v>5</v>
      </c>
      <c r="AK11" s="182">
        <v>1509.0000000000025</v>
      </c>
      <c r="AL11" s="182">
        <v>301.80000000000052</v>
      </c>
      <c r="AM11" s="511">
        <f t="shared" si="9"/>
        <v>1</v>
      </c>
      <c r="AN11" s="612"/>
      <c r="AO11" s="521">
        <v>5</v>
      </c>
      <c r="AP11" s="182">
        <v>1521.8181818181845</v>
      </c>
      <c r="AQ11" s="182">
        <v>304.36363636363689</v>
      </c>
      <c r="AR11" s="511">
        <f t="shared" si="11"/>
        <v>1</v>
      </c>
      <c r="AS11" s="612"/>
      <c r="AT11" s="521">
        <v>5</v>
      </c>
      <c r="AU11" s="182">
        <v>1471.1111111111118</v>
      </c>
      <c r="AV11" s="182">
        <v>294.22222222222234</v>
      </c>
      <c r="AW11" s="511">
        <f t="shared" si="13"/>
        <v>1</v>
      </c>
      <c r="AX11" s="612"/>
      <c r="AZ11" s="526" t="e">
        <f t="shared" si="15"/>
        <v>#N/A</v>
      </c>
      <c r="BA11" s="612"/>
    </row>
    <row r="12" spans="1:53" ht="14.25">
      <c r="A12" s="81"/>
      <c r="B12" s="640"/>
      <c r="C12" s="461">
        <v>6</v>
      </c>
      <c r="D12" s="455" t="s">
        <v>781</v>
      </c>
      <c r="E12" s="464">
        <v>15</v>
      </c>
      <c r="F12" s="464">
        <v>1200</v>
      </c>
      <c r="G12" s="464">
        <v>80</v>
      </c>
      <c r="H12" s="619"/>
      <c r="I12" s="513">
        <f t="shared" si="0"/>
        <v>13</v>
      </c>
      <c r="J12" s="513">
        <f t="shared" si="1"/>
        <v>1323.8224489795932</v>
      </c>
      <c r="K12" s="200">
        <f t="shared" si="2"/>
        <v>101.83249607535332</v>
      </c>
      <c r="L12" s="619"/>
      <c r="M12" s="463">
        <f>RANK(K12, K$7:$K$21)</f>
        <v>6</v>
      </c>
      <c r="N12" s="604"/>
      <c r="O12" s="604"/>
      <c r="P12" s="461">
        <v>13</v>
      </c>
      <c r="Q12" s="464">
        <v>1246.4999999999995</v>
      </c>
      <c r="R12" s="464">
        <v>95.884615384615344</v>
      </c>
      <c r="S12" s="460">
        <f t="shared" si="17"/>
        <v>6</v>
      </c>
      <c r="T12" s="612"/>
      <c r="U12" s="517">
        <v>13</v>
      </c>
      <c r="V12" s="518">
        <v>1254.8571428571415</v>
      </c>
      <c r="W12" s="518">
        <v>96.527472527472426</v>
      </c>
      <c r="X12" s="511">
        <f t="shared" si="3"/>
        <v>6</v>
      </c>
      <c r="Y12" s="612"/>
      <c r="Z12" s="521">
        <v>13</v>
      </c>
      <c r="AA12" s="182">
        <v>1058.4000000000003</v>
      </c>
      <c r="AB12" s="182">
        <v>81.415384615384639</v>
      </c>
      <c r="AC12" s="511">
        <f t="shared" si="5"/>
        <v>7</v>
      </c>
      <c r="AD12" s="612"/>
      <c r="AE12" s="521">
        <v>13</v>
      </c>
      <c r="AF12" s="182">
        <v>1157.9999999999995</v>
      </c>
      <c r="AG12" s="182">
        <v>89.076923076923038</v>
      </c>
      <c r="AH12" s="511">
        <f t="shared" si="7"/>
        <v>7</v>
      </c>
      <c r="AI12" s="612"/>
      <c r="AJ12" s="521">
        <v>13</v>
      </c>
      <c r="AK12" s="182">
        <v>987.00000000000364</v>
      </c>
      <c r="AL12" s="182">
        <v>75.923076923077204</v>
      </c>
      <c r="AM12" s="511">
        <f t="shared" si="9"/>
        <v>7</v>
      </c>
      <c r="AN12" s="612"/>
      <c r="AO12" s="521">
        <v>13</v>
      </c>
      <c r="AP12" s="182">
        <v>2466.0000000000086</v>
      </c>
      <c r="AQ12" s="182">
        <v>189.69230769230836</v>
      </c>
      <c r="AR12" s="511">
        <f t="shared" si="11"/>
        <v>3</v>
      </c>
      <c r="AS12" s="612"/>
      <c r="AT12" s="521">
        <v>13</v>
      </c>
      <c r="AU12" s="182">
        <v>1095.999999999998</v>
      </c>
      <c r="AV12" s="182">
        <v>84.30769230769215</v>
      </c>
      <c r="AW12" s="511">
        <f t="shared" si="13"/>
        <v>7</v>
      </c>
      <c r="AX12" s="612"/>
      <c r="AZ12" s="526" t="e">
        <f t="shared" si="15"/>
        <v>#N/A</v>
      </c>
      <c r="BA12" s="612"/>
    </row>
    <row r="13" spans="1:53" ht="14.25">
      <c r="A13" s="81"/>
      <c r="B13" s="640"/>
      <c r="C13" s="461">
        <v>7</v>
      </c>
      <c r="D13" s="455" t="s">
        <v>800</v>
      </c>
      <c r="E13" s="464">
        <v>15</v>
      </c>
      <c r="F13" s="464">
        <v>1200</v>
      </c>
      <c r="G13" s="464">
        <v>80</v>
      </c>
      <c r="H13" s="619"/>
      <c r="I13" s="513">
        <f t="shared" si="0"/>
        <v>13</v>
      </c>
      <c r="J13" s="513">
        <f t="shared" si="1"/>
        <v>1184.4759988205806</v>
      </c>
      <c r="K13" s="200">
        <f t="shared" si="2"/>
        <v>91.113538370813899</v>
      </c>
      <c r="L13" s="619"/>
      <c r="M13" s="463">
        <f>RANK(K13, K$7:$K$21)</f>
        <v>7</v>
      </c>
      <c r="N13" s="604"/>
      <c r="O13" s="604"/>
      <c r="P13" s="461">
        <v>13</v>
      </c>
      <c r="Q13" s="464">
        <v>1165.8947368421054</v>
      </c>
      <c r="R13" s="464">
        <v>89.684210526315809</v>
      </c>
      <c r="S13" s="460">
        <f t="shared" si="17"/>
        <v>7</v>
      </c>
      <c r="T13" s="612"/>
      <c r="U13" s="517">
        <v>13</v>
      </c>
      <c r="V13" s="518">
        <v>1184.4705882352928</v>
      </c>
      <c r="W13" s="518">
        <v>91.113122171945605</v>
      </c>
      <c r="X13" s="511">
        <f t="shared" si="3"/>
        <v>7</v>
      </c>
      <c r="Y13" s="612"/>
      <c r="Z13" s="521">
        <v>13</v>
      </c>
      <c r="AA13" s="182">
        <v>1188</v>
      </c>
      <c r="AB13" s="182">
        <v>91.384615384615387</v>
      </c>
      <c r="AC13" s="511">
        <f t="shared" si="5"/>
        <v>6</v>
      </c>
      <c r="AD13" s="612"/>
      <c r="AE13" s="521">
        <v>13</v>
      </c>
      <c r="AF13" s="182">
        <v>1213.4999999999995</v>
      </c>
      <c r="AG13" s="182">
        <v>93.346153846153811</v>
      </c>
      <c r="AH13" s="511">
        <f t="shared" si="7"/>
        <v>6</v>
      </c>
      <c r="AI13" s="612"/>
      <c r="AJ13" s="521">
        <v>13</v>
      </c>
      <c r="AK13" s="182">
        <v>1164.0000000000018</v>
      </c>
      <c r="AL13" s="182">
        <v>89.538461538461675</v>
      </c>
      <c r="AM13" s="511">
        <f t="shared" si="9"/>
        <v>6</v>
      </c>
      <c r="AN13" s="612"/>
      <c r="AO13" s="521">
        <v>13</v>
      </c>
      <c r="AP13" s="182">
        <v>1110.6666666666667</v>
      </c>
      <c r="AQ13" s="182">
        <v>85.435897435897445</v>
      </c>
      <c r="AR13" s="511">
        <f t="shared" si="11"/>
        <v>7</v>
      </c>
      <c r="AS13" s="612"/>
      <c r="AT13" s="521">
        <v>13</v>
      </c>
      <c r="AU13" s="182">
        <v>1264.7999999999984</v>
      </c>
      <c r="AV13" s="182">
        <v>97.29230769230756</v>
      </c>
      <c r="AW13" s="511">
        <f t="shared" si="13"/>
        <v>6</v>
      </c>
      <c r="AX13" s="612"/>
      <c r="AZ13" s="526" t="e">
        <f t="shared" si="15"/>
        <v>#N/A</v>
      </c>
      <c r="BA13" s="612"/>
    </row>
    <row r="14" spans="1:53" ht="14.25">
      <c r="A14" s="81"/>
      <c r="B14" s="640"/>
      <c r="C14" s="461">
        <v>8</v>
      </c>
      <c r="D14" s="342"/>
      <c r="E14" s="464"/>
      <c r="F14" s="464"/>
      <c r="G14" s="464"/>
      <c r="H14" s="619"/>
      <c r="I14" s="513" t="str">
        <f t="shared" si="0"/>
        <v>-</v>
      </c>
      <c r="J14" s="513" t="str">
        <f t="shared" si="1"/>
        <v>-</v>
      </c>
      <c r="K14" s="200" t="str">
        <f t="shared" si="2"/>
        <v>-</v>
      </c>
      <c r="L14" s="619"/>
      <c r="M14" s="463" t="e">
        <f>RANK(K14, K$7:$K$21)</f>
        <v>#VALUE!</v>
      </c>
      <c r="N14" s="604"/>
      <c r="O14" s="604"/>
      <c r="P14" s="461"/>
      <c r="Q14" s="464"/>
      <c r="R14" s="464"/>
      <c r="S14" s="460" t="e">
        <f t="shared" si="17"/>
        <v>#N/A</v>
      </c>
      <c r="T14" s="612"/>
      <c r="U14" s="517"/>
      <c r="V14" s="518"/>
      <c r="W14" s="518"/>
      <c r="X14" s="511" t="e">
        <f t="shared" si="3"/>
        <v>#N/A</v>
      </c>
      <c r="Y14" s="612"/>
      <c r="Z14" s="517"/>
      <c r="AA14" s="518"/>
      <c r="AB14" s="518"/>
      <c r="AC14" s="511" t="e">
        <f t="shared" si="5"/>
        <v>#N/A</v>
      </c>
      <c r="AD14" s="612"/>
      <c r="AE14" s="517"/>
      <c r="AF14" s="518"/>
      <c r="AG14" s="518"/>
      <c r="AH14" s="511" t="e">
        <f t="shared" si="7"/>
        <v>#N/A</v>
      </c>
      <c r="AI14" s="612"/>
      <c r="AJ14" s="517"/>
      <c r="AK14" s="518"/>
      <c r="AL14" s="518"/>
      <c r="AM14" s="511" t="e">
        <f t="shared" si="9"/>
        <v>#N/A</v>
      </c>
      <c r="AN14" s="612"/>
      <c r="AO14" s="517"/>
      <c r="AP14" s="518"/>
      <c r="AQ14" s="518"/>
      <c r="AR14" s="511" t="e">
        <f t="shared" si="11"/>
        <v>#N/A</v>
      </c>
      <c r="AS14" s="612"/>
      <c r="AT14" s="517"/>
      <c r="AU14" s="518"/>
      <c r="AV14" s="518"/>
      <c r="AW14" s="511" t="e">
        <f t="shared" si="13"/>
        <v>#N/A</v>
      </c>
      <c r="AX14" s="612"/>
      <c r="AZ14" s="526" t="e">
        <f t="shared" si="15"/>
        <v>#N/A</v>
      </c>
      <c r="BA14" s="612"/>
    </row>
    <row r="15" spans="1:53" ht="14.25">
      <c r="A15" s="81"/>
      <c r="B15" s="640"/>
      <c r="C15" s="461">
        <v>9</v>
      </c>
      <c r="D15" s="455"/>
      <c r="E15" s="464"/>
      <c r="F15" s="464"/>
      <c r="G15" s="464"/>
      <c r="H15" s="619"/>
      <c r="I15" s="513" t="str">
        <f t="shared" si="0"/>
        <v>-</v>
      </c>
      <c r="J15" s="513" t="str">
        <f t="shared" si="1"/>
        <v>-</v>
      </c>
      <c r="K15" s="200" t="str">
        <f t="shared" si="2"/>
        <v>-</v>
      </c>
      <c r="L15" s="619"/>
      <c r="M15" s="463" t="e">
        <f>RANK(K15, K$7:$K$21)</f>
        <v>#VALUE!</v>
      </c>
      <c r="N15" s="604"/>
      <c r="O15" s="604"/>
      <c r="P15" s="461"/>
      <c r="Q15" s="464"/>
      <c r="R15" s="464"/>
      <c r="S15" s="460" t="e">
        <f t="shared" si="17"/>
        <v>#N/A</v>
      </c>
      <c r="T15" s="612"/>
      <c r="U15" s="517"/>
      <c r="V15" s="518"/>
      <c r="W15" s="518"/>
      <c r="X15" s="511" t="e">
        <f t="shared" si="3"/>
        <v>#N/A</v>
      </c>
      <c r="Y15" s="612"/>
      <c r="Z15" s="517"/>
      <c r="AA15" s="518"/>
      <c r="AB15" s="518"/>
      <c r="AC15" s="511" t="e">
        <f t="shared" si="5"/>
        <v>#N/A</v>
      </c>
      <c r="AD15" s="612"/>
      <c r="AE15" s="517"/>
      <c r="AF15" s="518"/>
      <c r="AG15" s="518"/>
      <c r="AH15" s="511" t="e">
        <f t="shared" si="7"/>
        <v>#N/A</v>
      </c>
      <c r="AI15" s="612"/>
      <c r="AJ15" s="517"/>
      <c r="AK15" s="518"/>
      <c r="AL15" s="518"/>
      <c r="AM15" s="511" t="e">
        <f t="shared" si="9"/>
        <v>#N/A</v>
      </c>
      <c r="AN15" s="612"/>
      <c r="AO15" s="517"/>
      <c r="AP15" s="518"/>
      <c r="AQ15" s="518"/>
      <c r="AR15" s="511" t="e">
        <f t="shared" si="11"/>
        <v>#N/A</v>
      </c>
      <c r="AS15" s="612"/>
      <c r="AT15" s="517"/>
      <c r="AU15" s="518"/>
      <c r="AV15" s="518"/>
      <c r="AW15" s="511" t="e">
        <f t="shared" si="13"/>
        <v>#N/A</v>
      </c>
      <c r="AX15" s="612"/>
      <c r="AZ15" s="526" t="e">
        <f t="shared" si="15"/>
        <v>#N/A</v>
      </c>
      <c r="BA15" s="612"/>
    </row>
    <row r="16" spans="1:53" ht="14.25">
      <c r="A16" s="81"/>
      <c r="B16" s="640"/>
      <c r="C16" s="461">
        <v>10</v>
      </c>
      <c r="D16" s="455"/>
      <c r="E16" s="464"/>
      <c r="F16" s="464"/>
      <c r="G16" s="464"/>
      <c r="H16" s="619"/>
      <c r="I16" s="513" t="str">
        <f t="shared" si="0"/>
        <v>-</v>
      </c>
      <c r="J16" s="513" t="str">
        <f t="shared" si="1"/>
        <v>-</v>
      </c>
      <c r="K16" s="200" t="str">
        <f t="shared" si="2"/>
        <v>-</v>
      </c>
      <c r="L16" s="619"/>
      <c r="M16" s="463" t="e">
        <f>RANK(K16, K$7:$K$21)</f>
        <v>#VALUE!</v>
      </c>
      <c r="N16" s="604"/>
      <c r="O16" s="604"/>
      <c r="P16" s="461"/>
      <c r="Q16" s="464"/>
      <c r="R16" s="464"/>
      <c r="S16" s="460" t="e">
        <f t="shared" si="17"/>
        <v>#N/A</v>
      </c>
      <c r="T16" s="612"/>
      <c r="U16" s="517"/>
      <c r="V16" s="518"/>
      <c r="W16" s="518"/>
      <c r="X16" s="511" t="e">
        <f t="shared" si="3"/>
        <v>#N/A</v>
      </c>
      <c r="Y16" s="612"/>
      <c r="Z16" s="517"/>
      <c r="AA16" s="518"/>
      <c r="AB16" s="518"/>
      <c r="AC16" s="511" t="e">
        <f t="shared" si="5"/>
        <v>#N/A</v>
      </c>
      <c r="AD16" s="612"/>
      <c r="AE16" s="517"/>
      <c r="AF16" s="518"/>
      <c r="AG16" s="518"/>
      <c r="AH16" s="511" t="e">
        <f t="shared" si="7"/>
        <v>#N/A</v>
      </c>
      <c r="AI16" s="612"/>
      <c r="AJ16" s="517"/>
      <c r="AK16" s="518"/>
      <c r="AL16" s="518"/>
      <c r="AM16" s="511" t="e">
        <f t="shared" si="9"/>
        <v>#N/A</v>
      </c>
      <c r="AN16" s="612"/>
      <c r="AO16" s="517"/>
      <c r="AP16" s="518"/>
      <c r="AQ16" s="518"/>
      <c r="AR16" s="511" t="e">
        <f t="shared" si="11"/>
        <v>#N/A</v>
      </c>
      <c r="AS16" s="612"/>
      <c r="AT16" s="517"/>
      <c r="AU16" s="518"/>
      <c r="AV16" s="518"/>
      <c r="AW16" s="511" t="e">
        <f t="shared" si="13"/>
        <v>#N/A</v>
      </c>
      <c r="AX16" s="612"/>
      <c r="AZ16" s="526" t="e">
        <f t="shared" si="15"/>
        <v>#N/A</v>
      </c>
      <c r="BA16" s="612"/>
    </row>
    <row r="17" spans="2:53">
      <c r="B17" s="640"/>
      <c r="C17" s="461">
        <v>11</v>
      </c>
      <c r="D17" s="455"/>
      <c r="E17" s="464"/>
      <c r="F17" s="464"/>
      <c r="G17" s="464"/>
      <c r="H17" s="619"/>
      <c r="I17" s="513" t="str">
        <f t="shared" si="0"/>
        <v>-</v>
      </c>
      <c r="J17" s="513" t="str">
        <f t="shared" si="1"/>
        <v>-</v>
      </c>
      <c r="K17" s="200" t="str">
        <f t="shared" si="2"/>
        <v>-</v>
      </c>
      <c r="L17" s="619"/>
      <c r="M17" s="463" t="e">
        <f>RANK(K17, K$7:$K$21)</f>
        <v>#VALUE!</v>
      </c>
      <c r="N17" s="604"/>
      <c r="O17" s="604"/>
      <c r="P17" s="461"/>
      <c r="Q17" s="464"/>
      <c r="R17" s="464"/>
      <c r="S17" s="460" t="e">
        <f t="shared" si="17"/>
        <v>#N/A</v>
      </c>
      <c r="T17" s="612"/>
      <c r="U17" s="517"/>
      <c r="V17" s="518"/>
      <c r="W17" s="518"/>
      <c r="X17" s="511" t="e">
        <f t="shared" si="3"/>
        <v>#N/A</v>
      </c>
      <c r="Y17" s="612"/>
      <c r="Z17" s="517"/>
      <c r="AA17" s="518"/>
      <c r="AB17" s="518"/>
      <c r="AC17" s="511" t="e">
        <f t="shared" si="5"/>
        <v>#N/A</v>
      </c>
      <c r="AD17" s="612"/>
      <c r="AE17" s="517"/>
      <c r="AF17" s="518"/>
      <c r="AG17" s="518"/>
      <c r="AH17" s="511" t="e">
        <f t="shared" si="7"/>
        <v>#N/A</v>
      </c>
      <c r="AI17" s="612"/>
      <c r="AJ17" s="517"/>
      <c r="AK17" s="518"/>
      <c r="AL17" s="518"/>
      <c r="AM17" s="511" t="e">
        <f t="shared" si="9"/>
        <v>#N/A</v>
      </c>
      <c r="AN17" s="612"/>
      <c r="AO17" s="517"/>
      <c r="AP17" s="518"/>
      <c r="AQ17" s="518"/>
      <c r="AR17" s="511" t="e">
        <f t="shared" si="11"/>
        <v>#N/A</v>
      </c>
      <c r="AS17" s="612"/>
      <c r="AT17" s="517"/>
      <c r="AU17" s="518"/>
      <c r="AV17" s="518"/>
      <c r="AW17" s="511" t="e">
        <f t="shared" si="13"/>
        <v>#N/A</v>
      </c>
      <c r="AX17" s="612"/>
      <c r="AZ17" s="526" t="e">
        <f t="shared" si="15"/>
        <v>#N/A</v>
      </c>
      <c r="BA17" s="612"/>
    </row>
    <row r="18" spans="2:53">
      <c r="B18" s="640"/>
      <c r="C18" s="461">
        <v>12</v>
      </c>
      <c r="D18" s="455"/>
      <c r="E18" s="464"/>
      <c r="F18" s="464"/>
      <c r="G18" s="464"/>
      <c r="H18" s="619"/>
      <c r="I18" s="513" t="str">
        <f t="shared" si="0"/>
        <v>-</v>
      </c>
      <c r="J18" s="513" t="str">
        <f t="shared" si="1"/>
        <v>-</v>
      </c>
      <c r="K18" s="200" t="str">
        <f t="shared" si="2"/>
        <v>-</v>
      </c>
      <c r="L18" s="619"/>
      <c r="M18" s="463" t="e">
        <f>RANK(K18, K$7:$K$21)</f>
        <v>#VALUE!</v>
      </c>
      <c r="N18" s="604"/>
      <c r="O18" s="604"/>
      <c r="P18" s="461"/>
      <c r="Q18" s="464"/>
      <c r="R18" s="464"/>
      <c r="S18" s="460" t="e">
        <f t="shared" si="17"/>
        <v>#N/A</v>
      </c>
      <c r="T18" s="612"/>
      <c r="U18" s="517"/>
      <c r="V18" s="518"/>
      <c r="W18" s="518"/>
      <c r="X18" s="511" t="e">
        <f t="shared" si="3"/>
        <v>#N/A</v>
      </c>
      <c r="Y18" s="612"/>
      <c r="Z18" s="517"/>
      <c r="AA18" s="518"/>
      <c r="AB18" s="518"/>
      <c r="AC18" s="511" t="e">
        <f t="shared" si="5"/>
        <v>#N/A</v>
      </c>
      <c r="AD18" s="612"/>
      <c r="AE18" s="517"/>
      <c r="AF18" s="518"/>
      <c r="AG18" s="518"/>
      <c r="AH18" s="511" t="e">
        <f t="shared" si="7"/>
        <v>#N/A</v>
      </c>
      <c r="AI18" s="612"/>
      <c r="AJ18" s="517"/>
      <c r="AK18" s="518"/>
      <c r="AL18" s="518"/>
      <c r="AM18" s="511" t="e">
        <f t="shared" si="9"/>
        <v>#N/A</v>
      </c>
      <c r="AN18" s="612"/>
      <c r="AO18" s="517"/>
      <c r="AP18" s="518"/>
      <c r="AQ18" s="518"/>
      <c r="AR18" s="511" t="e">
        <f t="shared" si="11"/>
        <v>#N/A</v>
      </c>
      <c r="AS18" s="612"/>
      <c r="AT18" s="517"/>
      <c r="AU18" s="518"/>
      <c r="AV18" s="518"/>
      <c r="AW18" s="511" t="e">
        <f t="shared" si="13"/>
        <v>#N/A</v>
      </c>
      <c r="AX18" s="612"/>
      <c r="AZ18" s="526" t="e">
        <f t="shared" si="15"/>
        <v>#N/A</v>
      </c>
      <c r="BA18" s="612"/>
    </row>
    <row r="19" spans="2:53">
      <c r="B19" s="640"/>
      <c r="C19" s="461">
        <v>13</v>
      </c>
      <c r="D19" s="455"/>
      <c r="E19" s="464"/>
      <c r="F19" s="464"/>
      <c r="G19" s="464"/>
      <c r="H19" s="619"/>
      <c r="I19" s="513" t="str">
        <f t="shared" si="0"/>
        <v>-</v>
      </c>
      <c r="J19" s="513" t="str">
        <f t="shared" si="1"/>
        <v>-</v>
      </c>
      <c r="K19" s="200" t="str">
        <f t="shared" si="2"/>
        <v>-</v>
      </c>
      <c r="L19" s="619"/>
      <c r="M19" s="463" t="e">
        <f>RANK(K19, K$7:$K$21)</f>
        <v>#VALUE!</v>
      </c>
      <c r="N19" s="604"/>
      <c r="O19" s="604"/>
      <c r="P19" s="461"/>
      <c r="Q19" s="464"/>
      <c r="R19" s="464"/>
      <c r="S19" s="460" t="e">
        <f t="shared" si="17"/>
        <v>#N/A</v>
      </c>
      <c r="T19" s="612"/>
      <c r="U19" s="517"/>
      <c r="V19" s="518"/>
      <c r="W19" s="518"/>
      <c r="X19" s="511" t="e">
        <f t="shared" si="3"/>
        <v>#N/A</v>
      </c>
      <c r="Y19" s="612"/>
      <c r="Z19" s="517"/>
      <c r="AA19" s="518"/>
      <c r="AB19" s="518"/>
      <c r="AC19" s="511" t="e">
        <f t="shared" si="5"/>
        <v>#N/A</v>
      </c>
      <c r="AD19" s="612"/>
      <c r="AE19" s="517"/>
      <c r="AF19" s="518"/>
      <c r="AG19" s="518"/>
      <c r="AH19" s="511" t="e">
        <f t="shared" si="7"/>
        <v>#N/A</v>
      </c>
      <c r="AI19" s="612"/>
      <c r="AJ19" s="517"/>
      <c r="AK19" s="518"/>
      <c r="AL19" s="518"/>
      <c r="AM19" s="511" t="e">
        <f t="shared" si="9"/>
        <v>#N/A</v>
      </c>
      <c r="AN19" s="612"/>
      <c r="AO19" s="517"/>
      <c r="AP19" s="518"/>
      <c r="AQ19" s="518"/>
      <c r="AR19" s="511" t="e">
        <f t="shared" si="11"/>
        <v>#N/A</v>
      </c>
      <c r="AS19" s="612"/>
      <c r="AT19" s="517"/>
      <c r="AU19" s="518"/>
      <c r="AV19" s="518"/>
      <c r="AW19" s="511" t="e">
        <f t="shared" si="13"/>
        <v>#N/A</v>
      </c>
      <c r="AX19" s="612"/>
      <c r="AZ19" s="526" t="e">
        <f t="shared" si="15"/>
        <v>#N/A</v>
      </c>
      <c r="BA19" s="612"/>
    </row>
    <row r="20" spans="2:53">
      <c r="B20" s="640"/>
      <c r="C20" s="461">
        <v>14</v>
      </c>
      <c r="D20" s="455"/>
      <c r="E20" s="464"/>
      <c r="F20" s="464"/>
      <c r="G20" s="464"/>
      <c r="H20" s="619"/>
      <c r="I20" s="513" t="str">
        <f t="shared" si="0"/>
        <v>-</v>
      </c>
      <c r="J20" s="513" t="str">
        <f t="shared" si="1"/>
        <v>-</v>
      </c>
      <c r="K20" s="200" t="str">
        <f t="shared" si="2"/>
        <v>-</v>
      </c>
      <c r="L20" s="619"/>
      <c r="M20" s="463" t="e">
        <f>RANK(K20, K$7:$K$21)</f>
        <v>#VALUE!</v>
      </c>
      <c r="N20" s="604"/>
      <c r="O20" s="604"/>
      <c r="P20" s="461"/>
      <c r="Q20" s="464"/>
      <c r="R20" s="464"/>
      <c r="S20" s="460" t="e">
        <f t="shared" si="17"/>
        <v>#N/A</v>
      </c>
      <c r="T20" s="612"/>
      <c r="U20" s="517"/>
      <c r="V20" s="518"/>
      <c r="W20" s="518"/>
      <c r="X20" s="511" t="e">
        <f t="shared" si="3"/>
        <v>#N/A</v>
      </c>
      <c r="Y20" s="612"/>
      <c r="Z20" s="517"/>
      <c r="AA20" s="518"/>
      <c r="AB20" s="518"/>
      <c r="AC20" s="511" t="e">
        <f t="shared" si="5"/>
        <v>#N/A</v>
      </c>
      <c r="AD20" s="612"/>
      <c r="AE20" s="517"/>
      <c r="AF20" s="518"/>
      <c r="AG20" s="518"/>
      <c r="AH20" s="511" t="e">
        <f t="shared" si="7"/>
        <v>#N/A</v>
      </c>
      <c r="AI20" s="612"/>
      <c r="AJ20" s="517"/>
      <c r="AK20" s="518"/>
      <c r="AL20" s="518"/>
      <c r="AM20" s="511" t="e">
        <f t="shared" si="9"/>
        <v>#N/A</v>
      </c>
      <c r="AN20" s="612"/>
      <c r="AO20" s="517"/>
      <c r="AP20" s="518"/>
      <c r="AQ20" s="518"/>
      <c r="AR20" s="511" t="e">
        <f t="shared" si="11"/>
        <v>#N/A</v>
      </c>
      <c r="AS20" s="612"/>
      <c r="AT20" s="517"/>
      <c r="AU20" s="518"/>
      <c r="AV20" s="518"/>
      <c r="AW20" s="511" t="e">
        <f t="shared" si="13"/>
        <v>#N/A</v>
      </c>
      <c r="AX20" s="612"/>
      <c r="AZ20" s="526" t="e">
        <f t="shared" si="15"/>
        <v>#N/A</v>
      </c>
      <c r="BA20" s="612"/>
    </row>
    <row r="21" spans="2:53">
      <c r="B21" s="640"/>
      <c r="C21" s="461">
        <v>15</v>
      </c>
      <c r="D21" s="455"/>
      <c r="E21" s="464"/>
      <c r="F21" s="464"/>
      <c r="G21" s="464"/>
      <c r="H21" s="679"/>
      <c r="I21" s="513" t="str">
        <f t="shared" si="0"/>
        <v>-</v>
      </c>
      <c r="J21" s="513" t="str">
        <f t="shared" si="1"/>
        <v>-</v>
      </c>
      <c r="K21" s="200" t="str">
        <f t="shared" si="2"/>
        <v>-</v>
      </c>
      <c r="L21" s="679"/>
      <c r="M21" s="463" t="e">
        <f>RANK(K21, K$7:$K$21)</f>
        <v>#VALUE!</v>
      </c>
      <c r="N21" s="604"/>
      <c r="O21" s="604"/>
      <c r="P21" s="461"/>
      <c r="Q21" s="464"/>
      <c r="R21" s="464"/>
      <c r="S21" s="460" t="e">
        <f t="shared" si="17"/>
        <v>#N/A</v>
      </c>
      <c r="T21" s="612"/>
      <c r="U21" s="517"/>
      <c r="V21" s="518"/>
      <c r="W21" s="518"/>
      <c r="X21" s="511" t="e">
        <f t="shared" si="3"/>
        <v>#N/A</v>
      </c>
      <c r="Y21" s="612"/>
      <c r="Z21" s="517"/>
      <c r="AA21" s="518"/>
      <c r="AB21" s="518"/>
      <c r="AC21" s="511" t="e">
        <f t="shared" si="5"/>
        <v>#N/A</v>
      </c>
      <c r="AD21" s="612"/>
      <c r="AE21" s="517"/>
      <c r="AF21" s="518"/>
      <c r="AG21" s="518"/>
      <c r="AH21" s="511" t="e">
        <f t="shared" si="7"/>
        <v>#N/A</v>
      </c>
      <c r="AI21" s="612"/>
      <c r="AJ21" s="517"/>
      <c r="AK21" s="518"/>
      <c r="AL21" s="518"/>
      <c r="AM21" s="511" t="e">
        <f t="shared" si="9"/>
        <v>#N/A</v>
      </c>
      <c r="AN21" s="612"/>
      <c r="AO21" s="517"/>
      <c r="AP21" s="518"/>
      <c r="AQ21" s="518"/>
      <c r="AR21" s="511" t="e">
        <f t="shared" si="11"/>
        <v>#N/A</v>
      </c>
      <c r="AS21" s="612"/>
      <c r="AT21" s="517"/>
      <c r="AU21" s="518"/>
      <c r="AV21" s="518"/>
      <c r="AW21" s="511" t="e">
        <f t="shared" si="13"/>
        <v>#N/A</v>
      </c>
      <c r="AX21" s="612"/>
      <c r="AZ21" s="526" t="e">
        <f t="shared" si="15"/>
        <v>#N/A</v>
      </c>
      <c r="BA21" s="612"/>
    </row>
    <row r="22" spans="2:53" ht="15.75">
      <c r="B22" s="648" t="s">
        <v>163</v>
      </c>
      <c r="C22" s="649"/>
      <c r="D22" s="649"/>
      <c r="E22" s="649"/>
      <c r="F22" s="649"/>
      <c r="G22" s="649"/>
      <c r="H22" s="649"/>
      <c r="I22" s="203"/>
      <c r="J22" s="203"/>
      <c r="K22" s="203"/>
      <c r="L22" s="203"/>
      <c r="M22" s="204"/>
      <c r="N22" s="606" t="s">
        <v>156</v>
      </c>
      <c r="O22" s="606" t="s">
        <v>105</v>
      </c>
      <c r="P22" s="632">
        <f>P2+7</f>
        <v>46119</v>
      </c>
      <c r="Q22" s="610"/>
      <c r="R22" s="610"/>
      <c r="S22" s="610"/>
      <c r="T22" s="610"/>
      <c r="U22" s="629">
        <f>P22+1</f>
        <v>46120</v>
      </c>
      <c r="V22" s="630"/>
      <c r="W22" s="630"/>
      <c r="X22" s="630"/>
      <c r="Y22" s="631"/>
      <c r="Z22" s="629">
        <f>U22+1</f>
        <v>46121</v>
      </c>
      <c r="AA22" s="630"/>
      <c r="AB22" s="630"/>
      <c r="AC22" s="630"/>
      <c r="AD22" s="631"/>
      <c r="AE22" s="629">
        <f>Z22+1</f>
        <v>46122</v>
      </c>
      <c r="AF22" s="630"/>
      <c r="AG22" s="630"/>
      <c r="AH22" s="630"/>
      <c r="AI22" s="631"/>
      <c r="AJ22" s="629">
        <f>AE22+1</f>
        <v>46123</v>
      </c>
      <c r="AK22" s="630"/>
      <c r="AL22" s="630"/>
      <c r="AM22" s="630"/>
      <c r="AN22" s="631"/>
      <c r="AO22" s="629">
        <f>AJ22+1</f>
        <v>46124</v>
      </c>
      <c r="AP22" s="630"/>
      <c r="AQ22" s="630"/>
      <c r="AR22" s="630"/>
      <c r="AS22" s="631"/>
      <c r="AT22" s="629">
        <f>AO22+1</f>
        <v>46125</v>
      </c>
      <c r="AU22" s="630"/>
      <c r="AV22" s="630"/>
      <c r="AW22" s="630"/>
      <c r="AX22" s="631"/>
    </row>
    <row r="23" spans="2:53" ht="15.75">
      <c r="B23" s="636"/>
      <c r="C23" s="636"/>
      <c r="D23" s="636"/>
      <c r="E23" s="636"/>
      <c r="F23" s="636"/>
      <c r="G23" s="636"/>
      <c r="H23" s="636"/>
      <c r="I23" s="205"/>
      <c r="J23" s="205"/>
      <c r="K23" s="205"/>
      <c r="L23" s="205"/>
      <c r="M23" s="206"/>
      <c r="N23" s="608"/>
      <c r="O23" s="608"/>
      <c r="P23" s="632" t="s">
        <v>336</v>
      </c>
      <c r="Q23" s="610"/>
      <c r="R23" s="610"/>
      <c r="S23" s="610"/>
      <c r="T23" s="610"/>
      <c r="U23" s="632" t="s">
        <v>337</v>
      </c>
      <c r="V23" s="610"/>
      <c r="W23" s="610"/>
      <c r="X23" s="610"/>
      <c r="Y23" s="610"/>
      <c r="Z23" s="632" t="s">
        <v>338</v>
      </c>
      <c r="AA23" s="610"/>
      <c r="AB23" s="610"/>
      <c r="AC23" s="610"/>
      <c r="AD23" s="610"/>
      <c r="AE23" s="632" t="s">
        <v>339</v>
      </c>
      <c r="AF23" s="610"/>
      <c r="AG23" s="610"/>
      <c r="AH23" s="610"/>
      <c r="AI23" s="610"/>
      <c r="AJ23" s="632" t="s">
        <v>340</v>
      </c>
      <c r="AK23" s="610"/>
      <c r="AL23" s="610"/>
      <c r="AM23" s="610"/>
      <c r="AN23" s="610"/>
      <c r="AO23" s="632" t="s">
        <v>341</v>
      </c>
      <c r="AP23" s="610"/>
      <c r="AQ23" s="610"/>
      <c r="AR23" s="610"/>
      <c r="AS23" s="610"/>
      <c r="AT23" s="632" t="s">
        <v>342</v>
      </c>
      <c r="AU23" s="610"/>
      <c r="AV23" s="610"/>
      <c r="AW23" s="610"/>
      <c r="AX23" s="610"/>
    </row>
    <row r="24" spans="2:53">
      <c r="B24" s="604" t="s">
        <v>725</v>
      </c>
      <c r="C24" s="604" t="s">
        <v>726</v>
      </c>
      <c r="D24" s="604"/>
      <c r="E24" s="604" t="s">
        <v>727</v>
      </c>
      <c r="F24" s="604"/>
      <c r="G24" s="604"/>
      <c r="H24" s="637" t="s">
        <v>728</v>
      </c>
      <c r="I24" s="656" t="s">
        <v>729</v>
      </c>
      <c r="J24" s="656"/>
      <c r="K24" s="656"/>
      <c r="L24" s="657" t="s">
        <v>728</v>
      </c>
      <c r="M24" s="642" t="s">
        <v>730</v>
      </c>
      <c r="N24" s="604"/>
      <c r="O24" s="604" t="s">
        <v>731</v>
      </c>
      <c r="P24" s="623" t="s">
        <v>732</v>
      </c>
      <c r="Q24" s="624"/>
      <c r="R24" s="624"/>
      <c r="S24" s="625"/>
      <c r="T24" s="604" t="s">
        <v>728</v>
      </c>
      <c r="U24" s="623" t="s">
        <v>732</v>
      </c>
      <c r="V24" s="624"/>
      <c r="W24" s="624"/>
      <c r="X24" s="625"/>
      <c r="Y24" s="604" t="s">
        <v>728</v>
      </c>
      <c r="Z24" s="623" t="s">
        <v>732</v>
      </c>
      <c r="AA24" s="624"/>
      <c r="AB24" s="624"/>
      <c r="AC24" s="625"/>
      <c r="AD24" s="604" t="s">
        <v>728</v>
      </c>
      <c r="AE24" s="623" t="s">
        <v>732</v>
      </c>
      <c r="AF24" s="624"/>
      <c r="AG24" s="624"/>
      <c r="AH24" s="625"/>
      <c r="AI24" s="604" t="s">
        <v>728</v>
      </c>
      <c r="AJ24" s="623" t="s">
        <v>732</v>
      </c>
      <c r="AK24" s="624"/>
      <c r="AL24" s="624"/>
      <c r="AM24" s="625"/>
      <c r="AN24" s="604" t="s">
        <v>728</v>
      </c>
      <c r="AO24" s="623" t="s">
        <v>732</v>
      </c>
      <c r="AP24" s="624"/>
      <c r="AQ24" s="624"/>
      <c r="AR24" s="625"/>
      <c r="AS24" s="604" t="s">
        <v>728</v>
      </c>
      <c r="AT24" s="623" t="s">
        <v>732</v>
      </c>
      <c r="AU24" s="624"/>
      <c r="AV24" s="624"/>
      <c r="AW24" s="625"/>
      <c r="AX24" s="604" t="s">
        <v>728</v>
      </c>
      <c r="BA24" s="604" t="s">
        <v>395</v>
      </c>
    </row>
    <row r="25" spans="2:53">
      <c r="B25" s="604"/>
      <c r="C25" s="604"/>
      <c r="D25" s="604"/>
      <c r="E25" s="604" t="s">
        <v>733</v>
      </c>
      <c r="F25" s="604"/>
      <c r="G25" s="604"/>
      <c r="H25" s="638"/>
      <c r="I25" s="656" t="s">
        <v>733</v>
      </c>
      <c r="J25" s="656"/>
      <c r="K25" s="656"/>
      <c r="L25" s="658"/>
      <c r="M25" s="643"/>
      <c r="N25" s="604"/>
      <c r="O25" s="604"/>
      <c r="P25" s="623" t="s">
        <v>734</v>
      </c>
      <c r="Q25" s="624"/>
      <c r="R25" s="624"/>
      <c r="S25" s="625"/>
      <c r="T25" s="604"/>
      <c r="U25" s="623" t="s">
        <v>734</v>
      </c>
      <c r="V25" s="624"/>
      <c r="W25" s="624"/>
      <c r="X25" s="625"/>
      <c r="Y25" s="604"/>
      <c r="Z25" s="623" t="s">
        <v>734</v>
      </c>
      <c r="AA25" s="624"/>
      <c r="AB25" s="624"/>
      <c r="AC25" s="625"/>
      <c r="AD25" s="604"/>
      <c r="AE25" s="623" t="s">
        <v>734</v>
      </c>
      <c r="AF25" s="624"/>
      <c r="AG25" s="624"/>
      <c r="AH25" s="625"/>
      <c r="AI25" s="604"/>
      <c r="AJ25" s="623" t="s">
        <v>734</v>
      </c>
      <c r="AK25" s="624"/>
      <c r="AL25" s="624"/>
      <c r="AM25" s="625"/>
      <c r="AN25" s="604"/>
      <c r="AO25" s="623" t="s">
        <v>734</v>
      </c>
      <c r="AP25" s="624"/>
      <c r="AQ25" s="624"/>
      <c r="AR25" s="625"/>
      <c r="AS25" s="604"/>
      <c r="AT25" s="623" t="s">
        <v>734</v>
      </c>
      <c r="AU25" s="624"/>
      <c r="AV25" s="624"/>
      <c r="AW25" s="625"/>
      <c r="AX25" s="604"/>
      <c r="BA25" s="604"/>
    </row>
    <row r="26" spans="2:53">
      <c r="B26" s="604"/>
      <c r="C26" s="604"/>
      <c r="D26" s="604"/>
      <c r="E26" s="475" t="s">
        <v>735</v>
      </c>
      <c r="F26" s="475" t="s">
        <v>736</v>
      </c>
      <c r="G26" s="475" t="s">
        <v>737</v>
      </c>
      <c r="H26" s="639"/>
      <c r="I26" s="474" t="s">
        <v>735</v>
      </c>
      <c r="J26" s="474" t="s">
        <v>736</v>
      </c>
      <c r="K26" s="474" t="s">
        <v>737</v>
      </c>
      <c r="L26" s="659"/>
      <c r="M26" s="644"/>
      <c r="N26" s="604"/>
      <c r="O26" s="604"/>
      <c r="P26" s="475" t="s">
        <v>735</v>
      </c>
      <c r="Q26" s="475" t="s">
        <v>736</v>
      </c>
      <c r="R26" s="475" t="s">
        <v>737</v>
      </c>
      <c r="S26" s="475" t="s">
        <v>730</v>
      </c>
      <c r="T26" s="604"/>
      <c r="U26" s="475" t="s">
        <v>735</v>
      </c>
      <c r="V26" s="475" t="s">
        <v>736</v>
      </c>
      <c r="W26" s="475" t="s">
        <v>737</v>
      </c>
      <c r="X26" s="475" t="s">
        <v>730</v>
      </c>
      <c r="Y26" s="604"/>
      <c r="Z26" s="475" t="s">
        <v>735</v>
      </c>
      <c r="AA26" s="475" t="s">
        <v>736</v>
      </c>
      <c r="AB26" s="475" t="s">
        <v>737</v>
      </c>
      <c r="AC26" s="475" t="s">
        <v>730</v>
      </c>
      <c r="AD26" s="604"/>
      <c r="AE26" s="475" t="s">
        <v>735</v>
      </c>
      <c r="AF26" s="475" t="s">
        <v>736</v>
      </c>
      <c r="AG26" s="475" t="s">
        <v>737</v>
      </c>
      <c r="AH26" s="475" t="s">
        <v>730</v>
      </c>
      <c r="AI26" s="604"/>
      <c r="AJ26" s="475" t="s">
        <v>735</v>
      </c>
      <c r="AK26" s="475" t="s">
        <v>736</v>
      </c>
      <c r="AL26" s="475" t="s">
        <v>737</v>
      </c>
      <c r="AM26" s="475" t="s">
        <v>730</v>
      </c>
      <c r="AN26" s="604"/>
      <c r="AO26" s="475" t="s">
        <v>735</v>
      </c>
      <c r="AP26" s="475" t="s">
        <v>736</v>
      </c>
      <c r="AQ26" s="475" t="s">
        <v>737</v>
      </c>
      <c r="AR26" s="475" t="s">
        <v>730</v>
      </c>
      <c r="AS26" s="604"/>
      <c r="AT26" s="475" t="s">
        <v>735</v>
      </c>
      <c r="AU26" s="475" t="s">
        <v>736</v>
      </c>
      <c r="AV26" s="475" t="s">
        <v>737</v>
      </c>
      <c r="AW26" s="475" t="s">
        <v>730</v>
      </c>
      <c r="AX26" s="604"/>
      <c r="AZ26" s="527" t="s">
        <v>396</v>
      </c>
      <c r="BA26" s="604"/>
    </row>
    <row r="27" spans="2:53">
      <c r="B27" s="666" t="s">
        <v>738</v>
      </c>
      <c r="C27" s="476">
        <v>1</v>
      </c>
      <c r="D27" s="455" t="s">
        <v>779</v>
      </c>
      <c r="E27" s="518">
        <v>10</v>
      </c>
      <c r="F27" s="518">
        <v>1500</v>
      </c>
      <c r="G27" s="518">
        <v>150</v>
      </c>
      <c r="H27" s="680">
        <f>AVERAGE(G27:G41)</f>
        <v>157.14285714285714</v>
      </c>
      <c r="I27" s="513">
        <f t="shared" ref="I27:I41" si="18">IFERROR(AVERAGE(P27,U27,Z27,AE27,AJ27,AO27,AT27),"-")</f>
        <v>10</v>
      </c>
      <c r="J27" s="513">
        <f t="shared" ref="J27:J41" si="19">IFERROR(AVERAGE(Q27,V27,AA27,AF27,AK27,AP27,AU27),"-")</f>
        <v>1319.9803294584974</v>
      </c>
      <c r="K27" s="200">
        <f t="shared" ref="K27:K41" si="20">IFERROR(AVERAGE(R27,W27,AB27,AG27,AL27,AQ27,AV27),"-")</f>
        <v>131.9980329458497</v>
      </c>
      <c r="L27" s="620">
        <f>IFERROR(AVERAGE(K27:K41),"-")</f>
        <v>179.60390052009265</v>
      </c>
      <c r="M27" s="478">
        <f>RANK(K27, K$27:$K$41)</f>
        <v>5</v>
      </c>
      <c r="N27" s="604"/>
      <c r="O27" s="604"/>
      <c r="P27" s="526">
        <v>10</v>
      </c>
      <c r="Q27" s="530">
        <v>1379.9999999999957</v>
      </c>
      <c r="R27" s="530">
        <v>137.99999999999957</v>
      </c>
      <c r="S27" s="526">
        <f t="shared" ref="S27:S41" si="21">RANK(R27, R$27:R$41)</f>
        <v>5</v>
      </c>
      <c r="T27" s="599">
        <f t="shared" ref="T27" si="22">AVERAGE(R27:R41)</f>
        <v>187.62466422466417</v>
      </c>
      <c r="U27" s="526">
        <v>10</v>
      </c>
      <c r="V27" s="530">
        <v>1339.1999999999875</v>
      </c>
      <c r="W27" s="530">
        <v>133.91999999999877</v>
      </c>
      <c r="X27" s="526">
        <f t="shared" ref="X27:X41" si="23">RANK(W27, W$27:W$41)</f>
        <v>5</v>
      </c>
      <c r="Y27" s="599">
        <f t="shared" ref="Y27" si="24">AVERAGE(W27:W41)</f>
        <v>187.37585557299843</v>
      </c>
      <c r="Z27" s="526">
        <v>10</v>
      </c>
      <c r="AA27" s="530">
        <v>1246.1538461538353</v>
      </c>
      <c r="AB27" s="530">
        <v>124.61538461538353</v>
      </c>
      <c r="AC27" s="526">
        <f t="shared" ref="AC27:AC41" si="25">RANK(AB27, AB$27:AB$41)</f>
        <v>5</v>
      </c>
      <c r="AD27" s="599">
        <f t="shared" ref="AD27" si="26">AVERAGE(AB27:AB41)</f>
        <v>180.96558596682812</v>
      </c>
      <c r="AE27" s="526">
        <v>10</v>
      </c>
      <c r="AF27" s="530">
        <v>1288.6956521738996</v>
      </c>
      <c r="AG27" s="530">
        <v>128.86956521738995</v>
      </c>
      <c r="AH27" s="526">
        <f t="shared" ref="AH27:AH41" si="27">RANK(AG27, AG$27:AG$41)</f>
        <v>5</v>
      </c>
      <c r="AI27" s="599">
        <f t="shared" ref="AI27" si="28">AVERAGE(AG27:AG41)</f>
        <v>163.33654699337907</v>
      </c>
      <c r="AJ27" s="526">
        <v>10</v>
      </c>
      <c r="AK27" s="530">
        <v>1359.9999999999945</v>
      </c>
      <c r="AL27" s="530">
        <v>135.99999999999946</v>
      </c>
      <c r="AM27" s="526">
        <f t="shared" ref="AM27:AM41" si="29">RANK(AL27, AL$27:AL$41)</f>
        <v>5</v>
      </c>
      <c r="AN27" s="599">
        <f t="shared" ref="AN27" si="30">AVERAGE(AL27:AL41)</f>
        <v>175.63559297844998</v>
      </c>
      <c r="AO27" s="526">
        <v>10</v>
      </c>
      <c r="AP27" s="530">
        <v>1297.2413793103422</v>
      </c>
      <c r="AQ27" s="530">
        <v>129.72413793103422</v>
      </c>
      <c r="AR27" s="526">
        <f t="shared" ref="AR27:AR41" si="31">RANK(AQ27, AQ$27:AQ$41)</f>
        <v>5</v>
      </c>
      <c r="AS27" s="599">
        <f t="shared" ref="AS27" si="32">AVERAGE(AQ27:AQ41)</f>
        <v>182.33913639726447</v>
      </c>
      <c r="AT27" s="526">
        <v>10</v>
      </c>
      <c r="AU27" s="530">
        <v>1328.5714285714257</v>
      </c>
      <c r="AV27" s="530">
        <v>132.85714285714258</v>
      </c>
      <c r="AW27" s="526">
        <f t="shared" ref="AW27:AW41" si="33">RANK(AV27, AV$27:AV$41)</f>
        <v>5</v>
      </c>
      <c r="AX27" s="599">
        <f t="shared" ref="AX27" si="34">AVERAGE(AV27:AV41)</f>
        <v>179.94992150706437</v>
      </c>
      <c r="AZ27" s="526" t="e">
        <f t="shared" ref="AZ27:AZ41" si="35">RANK(AY27, AY$27:AY$41)</f>
        <v>#N/A</v>
      </c>
      <c r="BA27" s="599" t="e">
        <f t="shared" ref="BA27" si="36">AVERAGE(AY27:AY41)</f>
        <v>#DIV/0!</v>
      </c>
    </row>
    <row r="28" spans="2:53">
      <c r="B28" s="610"/>
      <c r="C28" s="476">
        <v>2</v>
      </c>
      <c r="D28" s="455" t="s">
        <v>780</v>
      </c>
      <c r="E28" s="518">
        <v>15</v>
      </c>
      <c r="F28" s="518">
        <v>1800</v>
      </c>
      <c r="G28" s="518">
        <v>120</v>
      </c>
      <c r="H28" s="681"/>
      <c r="I28" s="513">
        <f t="shared" si="18"/>
        <v>12.714285714285714</v>
      </c>
      <c r="J28" s="513">
        <f t="shared" si="19"/>
        <v>2471.1758503401356</v>
      </c>
      <c r="K28" s="200">
        <f t="shared" si="20"/>
        <v>194.65626199197624</v>
      </c>
      <c r="L28" s="621"/>
      <c r="M28" s="478">
        <f>RANK(K28, K$27:$K$41)</f>
        <v>3</v>
      </c>
      <c r="N28" s="604"/>
      <c r="O28" s="604"/>
      <c r="P28" s="526">
        <v>12</v>
      </c>
      <c r="Q28" s="530">
        <v>2476.6666666666665</v>
      </c>
      <c r="R28" s="530">
        <v>206.38888888888889</v>
      </c>
      <c r="S28" s="526">
        <f t="shared" si="21"/>
        <v>3</v>
      </c>
      <c r="T28" s="600"/>
      <c r="U28" s="526">
        <v>12</v>
      </c>
      <c r="V28" s="530">
        <v>2509.2000000000007</v>
      </c>
      <c r="W28" s="530">
        <v>209.10000000000005</v>
      </c>
      <c r="X28" s="526">
        <f t="shared" si="23"/>
        <v>3</v>
      </c>
      <c r="Y28" s="600"/>
      <c r="Z28" s="526">
        <v>13</v>
      </c>
      <c r="AA28" s="530">
        <v>2498.400000000001</v>
      </c>
      <c r="AB28" s="530">
        <v>192.18461538461546</v>
      </c>
      <c r="AC28" s="526">
        <f t="shared" si="25"/>
        <v>4</v>
      </c>
      <c r="AD28" s="600"/>
      <c r="AE28" s="526">
        <v>13</v>
      </c>
      <c r="AF28" s="530">
        <v>2420.2499999999991</v>
      </c>
      <c r="AG28" s="530">
        <v>186.17307692307685</v>
      </c>
      <c r="AH28" s="526">
        <f t="shared" si="27"/>
        <v>3</v>
      </c>
      <c r="AI28" s="600"/>
      <c r="AJ28" s="526">
        <v>13</v>
      </c>
      <c r="AK28" s="530">
        <v>2450.400000000001</v>
      </c>
      <c r="AL28" s="530">
        <v>188.49230769230778</v>
      </c>
      <c r="AM28" s="526">
        <f t="shared" si="29"/>
        <v>3</v>
      </c>
      <c r="AN28" s="600"/>
      <c r="AO28" s="526">
        <v>13</v>
      </c>
      <c r="AP28" s="530">
        <v>2509.7142857142831</v>
      </c>
      <c r="AQ28" s="530">
        <v>193.05494505494485</v>
      </c>
      <c r="AR28" s="526">
        <f t="shared" si="31"/>
        <v>3</v>
      </c>
      <c r="AS28" s="600"/>
      <c r="AT28" s="526">
        <v>13</v>
      </c>
      <c r="AU28" s="530">
        <v>2433.5999999999981</v>
      </c>
      <c r="AV28" s="530">
        <v>187.19999999999985</v>
      </c>
      <c r="AW28" s="526">
        <f t="shared" si="33"/>
        <v>4</v>
      </c>
      <c r="AX28" s="600"/>
      <c r="AZ28" s="526" t="e">
        <f t="shared" si="35"/>
        <v>#N/A</v>
      </c>
      <c r="BA28" s="600"/>
    </row>
    <row r="29" spans="2:53">
      <c r="B29" s="610"/>
      <c r="C29" s="476">
        <v>3</v>
      </c>
      <c r="D29" s="455" t="s">
        <v>366</v>
      </c>
      <c r="E29" s="518">
        <v>15</v>
      </c>
      <c r="F29" s="518">
        <v>1800</v>
      </c>
      <c r="G29" s="518">
        <v>120</v>
      </c>
      <c r="H29" s="681"/>
      <c r="I29" s="513">
        <f t="shared" si="18"/>
        <v>12.714285714285714</v>
      </c>
      <c r="J29" s="513">
        <f t="shared" si="19"/>
        <v>2407.6571428571438</v>
      </c>
      <c r="K29" s="200">
        <f t="shared" si="20"/>
        <v>189.74200244200256</v>
      </c>
      <c r="L29" s="621"/>
      <c r="M29" s="478">
        <f>RANK(K29, K$27:$K$41)</f>
        <v>4</v>
      </c>
      <c r="N29" s="604"/>
      <c r="O29" s="604"/>
      <c r="P29" s="526">
        <v>12</v>
      </c>
      <c r="Q29" s="530">
        <v>2468.666666666667</v>
      </c>
      <c r="R29" s="530">
        <v>205.72222222222226</v>
      </c>
      <c r="S29" s="526">
        <f t="shared" si="21"/>
        <v>4</v>
      </c>
      <c r="T29" s="600"/>
      <c r="U29" s="526">
        <v>12</v>
      </c>
      <c r="V29" s="530">
        <v>2486.4000000000087</v>
      </c>
      <c r="W29" s="530">
        <v>207.20000000000073</v>
      </c>
      <c r="X29" s="526">
        <f t="shared" si="23"/>
        <v>4</v>
      </c>
      <c r="Y29" s="600"/>
      <c r="Z29" s="526">
        <v>13</v>
      </c>
      <c r="AA29" s="530">
        <v>2503.2000000000007</v>
      </c>
      <c r="AB29" s="530">
        <v>192.55384615384622</v>
      </c>
      <c r="AC29" s="526">
        <f t="shared" si="25"/>
        <v>3</v>
      </c>
      <c r="AD29" s="600"/>
      <c r="AE29" s="526">
        <v>13</v>
      </c>
      <c r="AF29" s="530">
        <v>2095.3333333333335</v>
      </c>
      <c r="AG29" s="530">
        <v>161.17948717948718</v>
      </c>
      <c r="AH29" s="526">
        <f t="shared" si="27"/>
        <v>4</v>
      </c>
      <c r="AI29" s="600"/>
      <c r="AJ29" s="526">
        <v>13</v>
      </c>
      <c r="AK29" s="530">
        <v>2364.8000000000034</v>
      </c>
      <c r="AL29" s="530">
        <v>181.90769230769257</v>
      </c>
      <c r="AM29" s="526">
        <f t="shared" si="29"/>
        <v>4</v>
      </c>
      <c r="AN29" s="600"/>
      <c r="AO29" s="526">
        <v>13</v>
      </c>
      <c r="AP29" s="530">
        <v>2487.9999999999973</v>
      </c>
      <c r="AQ29" s="530">
        <v>191.38461538461519</v>
      </c>
      <c r="AR29" s="526">
        <f t="shared" si="31"/>
        <v>4</v>
      </c>
      <c r="AS29" s="600"/>
      <c r="AT29" s="526">
        <v>13</v>
      </c>
      <c r="AU29" s="530">
        <v>2447.199999999998</v>
      </c>
      <c r="AV29" s="530">
        <v>188.2461538461537</v>
      </c>
      <c r="AW29" s="526">
        <f t="shared" si="33"/>
        <v>3</v>
      </c>
      <c r="AX29" s="600"/>
      <c r="AZ29" s="526" t="e">
        <f t="shared" si="35"/>
        <v>#N/A</v>
      </c>
      <c r="BA29" s="600"/>
    </row>
    <row r="30" spans="2:53">
      <c r="B30" s="610"/>
      <c r="C30" s="476">
        <v>4</v>
      </c>
      <c r="D30" s="455" t="s">
        <v>638</v>
      </c>
      <c r="E30" s="518">
        <v>6</v>
      </c>
      <c r="F30" s="518">
        <v>1500</v>
      </c>
      <c r="G30" s="518">
        <v>250</v>
      </c>
      <c r="H30" s="681"/>
      <c r="I30" s="513">
        <f t="shared" si="18"/>
        <v>6</v>
      </c>
      <c r="J30" s="513">
        <f t="shared" si="19"/>
        <v>1557.4028828314551</v>
      </c>
      <c r="K30" s="200">
        <f t="shared" si="20"/>
        <v>259.56714713857582</v>
      </c>
      <c r="L30" s="621"/>
      <c r="M30" s="478">
        <f>RANK(K30, K$27:$K$41)</f>
        <v>2</v>
      </c>
      <c r="N30" s="604"/>
      <c r="O30" s="604"/>
      <c r="P30" s="526">
        <v>6</v>
      </c>
      <c r="Q30" s="530">
        <v>1606.1538461538471</v>
      </c>
      <c r="R30" s="530">
        <v>267.69230769230785</v>
      </c>
      <c r="S30" s="526">
        <f t="shared" si="21"/>
        <v>2</v>
      </c>
      <c r="T30" s="600"/>
      <c r="U30" s="526">
        <v>6</v>
      </c>
      <c r="V30" s="530">
        <v>1517.1428571428582</v>
      </c>
      <c r="W30" s="530">
        <v>252.85714285714303</v>
      </c>
      <c r="X30" s="526">
        <f t="shared" si="23"/>
        <v>2</v>
      </c>
      <c r="Y30" s="600"/>
      <c r="Z30" s="526">
        <v>6</v>
      </c>
      <c r="AA30" s="530">
        <v>1594.2857142857154</v>
      </c>
      <c r="AB30" s="530">
        <v>265.71428571428589</v>
      </c>
      <c r="AC30" s="526">
        <f t="shared" si="25"/>
        <v>2</v>
      </c>
      <c r="AD30" s="600"/>
      <c r="AE30" s="526">
        <v>6</v>
      </c>
      <c r="AF30" s="530">
        <v>1510.0000000000005</v>
      </c>
      <c r="AG30" s="530">
        <v>251.66666666666674</v>
      </c>
      <c r="AH30" s="526">
        <f t="shared" si="27"/>
        <v>2</v>
      </c>
      <c r="AI30" s="600"/>
      <c r="AJ30" s="526">
        <v>6</v>
      </c>
      <c r="AK30" s="530">
        <v>1494.5454545454545</v>
      </c>
      <c r="AL30" s="530">
        <v>249.09090909090909</v>
      </c>
      <c r="AM30" s="526">
        <f t="shared" si="29"/>
        <v>2</v>
      </c>
      <c r="AN30" s="600"/>
      <c r="AO30" s="526">
        <v>6</v>
      </c>
      <c r="AP30" s="530">
        <v>1592.0000000000016</v>
      </c>
      <c r="AQ30" s="530">
        <v>265.3333333333336</v>
      </c>
      <c r="AR30" s="526">
        <f t="shared" si="31"/>
        <v>2</v>
      </c>
      <c r="AS30" s="600"/>
      <c r="AT30" s="526">
        <v>6</v>
      </c>
      <c r="AU30" s="530">
        <v>1587.6923076923088</v>
      </c>
      <c r="AV30" s="530">
        <v>264.61538461538481</v>
      </c>
      <c r="AW30" s="526">
        <f t="shared" si="33"/>
        <v>2</v>
      </c>
      <c r="AX30" s="600"/>
      <c r="AZ30" s="526" t="e">
        <f t="shared" si="35"/>
        <v>#N/A</v>
      </c>
      <c r="BA30" s="600"/>
    </row>
    <row r="31" spans="2:53">
      <c r="B31" s="610"/>
      <c r="C31" s="476">
        <v>5</v>
      </c>
      <c r="D31" s="455" t="s">
        <v>579</v>
      </c>
      <c r="E31" s="518">
        <v>5</v>
      </c>
      <c r="F31" s="518">
        <v>1500</v>
      </c>
      <c r="G31" s="518">
        <v>300</v>
      </c>
      <c r="H31" s="681"/>
      <c r="I31" s="513">
        <f t="shared" si="18"/>
        <v>5</v>
      </c>
      <c r="J31" s="513">
        <f t="shared" si="19"/>
        <v>1523.535936113575</v>
      </c>
      <c r="K31" s="200">
        <f t="shared" si="20"/>
        <v>304.70718722271505</v>
      </c>
      <c r="L31" s="621"/>
      <c r="M31" s="478">
        <f>RANK(K31, K$27:$K$41)</f>
        <v>1</v>
      </c>
      <c r="N31" s="604"/>
      <c r="O31" s="604"/>
      <c r="P31" s="526">
        <v>5</v>
      </c>
      <c r="Q31" s="530">
        <v>1539.9999999999977</v>
      </c>
      <c r="R31" s="530">
        <v>307.99999999999955</v>
      </c>
      <c r="S31" s="526">
        <f t="shared" si="21"/>
        <v>1</v>
      </c>
      <c r="T31" s="600"/>
      <c r="U31" s="526">
        <v>5</v>
      </c>
      <c r="V31" s="530">
        <v>1505.0000000000005</v>
      </c>
      <c r="W31" s="530">
        <v>301.00000000000011</v>
      </c>
      <c r="X31" s="526">
        <f t="shared" si="23"/>
        <v>1</v>
      </c>
      <c r="Y31" s="600"/>
      <c r="Z31" s="526">
        <v>5</v>
      </c>
      <c r="AA31" s="530">
        <v>1562.608695652174</v>
      </c>
      <c r="AB31" s="530">
        <v>312.52173913043481</v>
      </c>
      <c r="AC31" s="526">
        <f t="shared" si="25"/>
        <v>1</v>
      </c>
      <c r="AD31" s="600"/>
      <c r="AE31" s="526">
        <v>5</v>
      </c>
      <c r="AF31" s="530">
        <v>1517.1428571428567</v>
      </c>
      <c r="AG31" s="530">
        <v>303.42857142857133</v>
      </c>
      <c r="AH31" s="526">
        <f t="shared" si="27"/>
        <v>1</v>
      </c>
      <c r="AI31" s="600"/>
      <c r="AJ31" s="526">
        <v>5</v>
      </c>
      <c r="AK31" s="530">
        <v>1460.9999999999964</v>
      </c>
      <c r="AL31" s="530">
        <v>292.19999999999925</v>
      </c>
      <c r="AM31" s="526">
        <f t="shared" si="29"/>
        <v>1</v>
      </c>
      <c r="AN31" s="600"/>
      <c r="AO31" s="526">
        <v>5</v>
      </c>
      <c r="AP31" s="530">
        <v>1524.0000000000005</v>
      </c>
      <c r="AQ31" s="530">
        <v>304.80000000000007</v>
      </c>
      <c r="AR31" s="526">
        <f t="shared" si="31"/>
        <v>1</v>
      </c>
      <c r="AS31" s="600"/>
      <c r="AT31" s="526">
        <v>5</v>
      </c>
      <c r="AU31" s="530">
        <v>1555.0000000000005</v>
      </c>
      <c r="AV31" s="530">
        <v>311.00000000000011</v>
      </c>
      <c r="AW31" s="526">
        <f t="shared" si="33"/>
        <v>1</v>
      </c>
      <c r="AX31" s="600"/>
      <c r="AZ31" s="526" t="e">
        <f t="shared" si="35"/>
        <v>#N/A</v>
      </c>
      <c r="BA31" s="600"/>
    </row>
    <row r="32" spans="2:53">
      <c r="B32" s="610"/>
      <c r="C32" s="476">
        <v>6</v>
      </c>
      <c r="D32" s="455" t="s">
        <v>781</v>
      </c>
      <c r="E32" s="518">
        <v>15</v>
      </c>
      <c r="F32" s="518">
        <v>1200</v>
      </c>
      <c r="G32" s="518">
        <v>80</v>
      </c>
      <c r="H32" s="681"/>
      <c r="I32" s="513">
        <f t="shared" si="18"/>
        <v>13</v>
      </c>
      <c r="J32" s="513">
        <f t="shared" si="19"/>
        <v>1104.1000000000008</v>
      </c>
      <c r="K32" s="200">
        <f t="shared" si="20"/>
        <v>84.9307692307693</v>
      </c>
      <c r="L32" s="621"/>
      <c r="M32" s="478">
        <f>RANK(K32, K$27:$K$41)</f>
        <v>7</v>
      </c>
      <c r="N32" s="604"/>
      <c r="O32" s="604"/>
      <c r="P32" s="526">
        <v>13</v>
      </c>
      <c r="Q32" s="530">
        <v>1195.2000000000041</v>
      </c>
      <c r="R32" s="530">
        <v>91.938461538461851</v>
      </c>
      <c r="S32" s="526">
        <f t="shared" si="21"/>
        <v>7</v>
      </c>
      <c r="T32" s="600"/>
      <c r="U32" s="526">
        <v>13</v>
      </c>
      <c r="V32" s="530">
        <v>1502.9999999999993</v>
      </c>
      <c r="W32" s="530">
        <v>115.61538461538456</v>
      </c>
      <c r="X32" s="526">
        <f t="shared" si="23"/>
        <v>6</v>
      </c>
      <c r="Y32" s="600"/>
      <c r="Z32" s="526">
        <v>13</v>
      </c>
      <c r="AA32" s="530">
        <v>1152.0000000000005</v>
      </c>
      <c r="AB32" s="530">
        <v>88.615384615384656</v>
      </c>
      <c r="AC32" s="526">
        <f t="shared" si="25"/>
        <v>7</v>
      </c>
      <c r="AD32" s="600"/>
      <c r="AE32" s="526">
        <v>13</v>
      </c>
      <c r="AF32" s="530">
        <v>271.49999999999989</v>
      </c>
      <c r="AG32" s="530">
        <v>20.884615384615376</v>
      </c>
      <c r="AH32" s="526">
        <f t="shared" si="27"/>
        <v>7</v>
      </c>
      <c r="AI32" s="600"/>
      <c r="AJ32" s="526">
        <v>13</v>
      </c>
      <c r="AK32" s="530">
        <v>1203.999999999998</v>
      </c>
      <c r="AL32" s="530">
        <v>92.615384615384457</v>
      </c>
      <c r="AM32" s="526">
        <f t="shared" si="29"/>
        <v>6</v>
      </c>
      <c r="AN32" s="600"/>
      <c r="AO32" s="526">
        <v>13</v>
      </c>
      <c r="AP32" s="530">
        <v>1269.0000000000045</v>
      </c>
      <c r="AQ32" s="530">
        <v>97.615384615384968</v>
      </c>
      <c r="AR32" s="526">
        <f t="shared" si="31"/>
        <v>6</v>
      </c>
      <c r="AS32" s="600"/>
      <c r="AT32" s="526">
        <v>13</v>
      </c>
      <c r="AU32" s="530">
        <v>1133.9999999999998</v>
      </c>
      <c r="AV32" s="530">
        <v>87.230769230769212</v>
      </c>
      <c r="AW32" s="526">
        <f t="shared" si="33"/>
        <v>7</v>
      </c>
      <c r="AX32" s="600"/>
      <c r="AZ32" s="526" t="e">
        <f t="shared" si="35"/>
        <v>#N/A</v>
      </c>
      <c r="BA32" s="600"/>
    </row>
    <row r="33" spans="2:53">
      <c r="B33" s="610"/>
      <c r="C33" s="476">
        <v>7</v>
      </c>
      <c r="D33" s="455" t="s">
        <v>800</v>
      </c>
      <c r="E33" s="518">
        <v>15</v>
      </c>
      <c r="F33" s="518">
        <v>1200</v>
      </c>
      <c r="G33" s="518">
        <v>80</v>
      </c>
      <c r="H33" s="681"/>
      <c r="I33" s="513">
        <f t="shared" si="18"/>
        <v>13</v>
      </c>
      <c r="J33" s="513">
        <f t="shared" si="19"/>
        <v>1191.136734693878</v>
      </c>
      <c r="K33" s="200">
        <f t="shared" si="20"/>
        <v>91.625902668759849</v>
      </c>
      <c r="L33" s="621"/>
      <c r="M33" s="478">
        <f>RANK(K33, K$27:$K$41)</f>
        <v>6</v>
      </c>
      <c r="N33" s="604"/>
      <c r="O33" s="604"/>
      <c r="P33" s="526">
        <v>13</v>
      </c>
      <c r="Q33" s="530">
        <v>1243.2000000000025</v>
      </c>
      <c r="R33" s="530">
        <v>95.630769230769431</v>
      </c>
      <c r="S33" s="526">
        <f t="shared" si="21"/>
        <v>6</v>
      </c>
      <c r="T33" s="600"/>
      <c r="U33" s="526">
        <v>13</v>
      </c>
      <c r="V33" s="530">
        <v>1195.2000000000025</v>
      </c>
      <c r="W33" s="530">
        <v>91.938461538461738</v>
      </c>
      <c r="X33" s="526">
        <f t="shared" si="23"/>
        <v>7</v>
      </c>
      <c r="Y33" s="600"/>
      <c r="Z33" s="526">
        <v>13</v>
      </c>
      <c r="AA33" s="530">
        <v>1177.2000000000003</v>
      </c>
      <c r="AB33" s="530">
        <v>90.55384615384618</v>
      </c>
      <c r="AC33" s="526">
        <f t="shared" si="25"/>
        <v>6</v>
      </c>
      <c r="AD33" s="600"/>
      <c r="AE33" s="526">
        <v>13</v>
      </c>
      <c r="AF33" s="530">
        <v>1184.999999999997</v>
      </c>
      <c r="AG33" s="530">
        <v>91.153846153845933</v>
      </c>
      <c r="AH33" s="526">
        <f t="shared" si="27"/>
        <v>6</v>
      </c>
      <c r="AI33" s="600"/>
      <c r="AJ33" s="526">
        <v>13</v>
      </c>
      <c r="AK33" s="530">
        <v>1158.8571428571443</v>
      </c>
      <c r="AL33" s="530">
        <v>89.142857142857252</v>
      </c>
      <c r="AM33" s="526">
        <f t="shared" si="29"/>
        <v>7</v>
      </c>
      <c r="AN33" s="600"/>
      <c r="AO33" s="526">
        <v>13</v>
      </c>
      <c r="AP33" s="530">
        <v>1227.9999999999977</v>
      </c>
      <c r="AQ33" s="530">
        <v>94.461538461538282</v>
      </c>
      <c r="AR33" s="526">
        <f t="shared" si="31"/>
        <v>7</v>
      </c>
      <c r="AS33" s="600"/>
      <c r="AT33" s="526">
        <v>13</v>
      </c>
      <c r="AU33" s="530">
        <v>1150.5000000000018</v>
      </c>
      <c r="AV33" s="530">
        <v>88.500000000000142</v>
      </c>
      <c r="AW33" s="526">
        <f t="shared" si="33"/>
        <v>6</v>
      </c>
      <c r="AX33" s="600"/>
      <c r="AZ33" s="526" t="e">
        <f t="shared" si="35"/>
        <v>#N/A</v>
      </c>
      <c r="BA33" s="600"/>
    </row>
    <row r="34" spans="2:53">
      <c r="B34" s="610"/>
      <c r="C34" s="476">
        <v>8</v>
      </c>
      <c r="D34" s="342"/>
      <c r="E34" s="518"/>
      <c r="F34" s="518"/>
      <c r="G34" s="518"/>
      <c r="H34" s="681"/>
      <c r="I34" s="513" t="str">
        <f t="shared" si="18"/>
        <v>-</v>
      </c>
      <c r="J34" s="513" t="str">
        <f t="shared" si="19"/>
        <v>-</v>
      </c>
      <c r="K34" s="200" t="str">
        <f t="shared" si="20"/>
        <v>-</v>
      </c>
      <c r="L34" s="621"/>
      <c r="M34" s="478" t="e">
        <f>RANK(K34, K$27:$K$41)</f>
        <v>#VALUE!</v>
      </c>
      <c r="N34" s="604"/>
      <c r="O34" s="604"/>
      <c r="P34" s="526" t="s">
        <v>822</v>
      </c>
      <c r="Q34" s="530" t="s">
        <v>822</v>
      </c>
      <c r="R34" s="530" t="s">
        <v>822</v>
      </c>
      <c r="S34" s="526" t="e">
        <f t="shared" si="21"/>
        <v>#VALUE!</v>
      </c>
      <c r="T34" s="600"/>
      <c r="U34" s="526" t="s">
        <v>822</v>
      </c>
      <c r="V34" s="530" t="s">
        <v>822</v>
      </c>
      <c r="W34" s="530" t="s">
        <v>822</v>
      </c>
      <c r="X34" s="526" t="e">
        <f t="shared" si="23"/>
        <v>#VALUE!</v>
      </c>
      <c r="Y34" s="600"/>
      <c r="Z34" s="526" t="s">
        <v>822</v>
      </c>
      <c r="AA34" s="530" t="s">
        <v>822</v>
      </c>
      <c r="AB34" s="530" t="s">
        <v>822</v>
      </c>
      <c r="AC34" s="526" t="e">
        <f t="shared" si="25"/>
        <v>#VALUE!</v>
      </c>
      <c r="AD34" s="600"/>
      <c r="AE34" s="526" t="s">
        <v>822</v>
      </c>
      <c r="AF34" s="530" t="s">
        <v>822</v>
      </c>
      <c r="AG34" s="530" t="s">
        <v>822</v>
      </c>
      <c r="AH34" s="526" t="e">
        <f t="shared" si="27"/>
        <v>#VALUE!</v>
      </c>
      <c r="AI34" s="600"/>
      <c r="AJ34" s="526" t="s">
        <v>822</v>
      </c>
      <c r="AK34" s="530" t="s">
        <v>822</v>
      </c>
      <c r="AL34" s="530" t="s">
        <v>822</v>
      </c>
      <c r="AM34" s="526" t="e">
        <f t="shared" si="29"/>
        <v>#VALUE!</v>
      </c>
      <c r="AN34" s="600"/>
      <c r="AO34" s="526" t="s">
        <v>822</v>
      </c>
      <c r="AP34" s="530" t="s">
        <v>822</v>
      </c>
      <c r="AQ34" s="530" t="s">
        <v>822</v>
      </c>
      <c r="AR34" s="526" t="e">
        <f t="shared" si="31"/>
        <v>#VALUE!</v>
      </c>
      <c r="AS34" s="600"/>
      <c r="AT34" s="526" t="s">
        <v>822</v>
      </c>
      <c r="AU34" s="530" t="s">
        <v>822</v>
      </c>
      <c r="AV34" s="530" t="s">
        <v>822</v>
      </c>
      <c r="AW34" s="526" t="e">
        <f t="shared" si="33"/>
        <v>#VALUE!</v>
      </c>
      <c r="AX34" s="600"/>
      <c r="AZ34" s="526" t="e">
        <f t="shared" si="35"/>
        <v>#N/A</v>
      </c>
      <c r="BA34" s="600"/>
    </row>
    <row r="35" spans="2:53">
      <c r="B35" s="610"/>
      <c r="C35" s="476">
        <v>9</v>
      </c>
      <c r="D35" s="455"/>
      <c r="E35" s="518"/>
      <c r="F35" s="518"/>
      <c r="G35" s="518"/>
      <c r="H35" s="681"/>
      <c r="I35" s="513" t="str">
        <f t="shared" si="18"/>
        <v>-</v>
      </c>
      <c r="J35" s="513" t="str">
        <f t="shared" si="19"/>
        <v>-</v>
      </c>
      <c r="K35" s="200" t="str">
        <f t="shared" si="20"/>
        <v>-</v>
      </c>
      <c r="L35" s="621"/>
      <c r="M35" s="478" t="e">
        <f>RANK(K35, K$27:$K$41)</f>
        <v>#VALUE!</v>
      </c>
      <c r="N35" s="604"/>
      <c r="O35" s="604"/>
      <c r="P35" s="526" t="s">
        <v>822</v>
      </c>
      <c r="Q35" s="530" t="s">
        <v>822</v>
      </c>
      <c r="R35" s="530" t="s">
        <v>822</v>
      </c>
      <c r="S35" s="526" t="e">
        <f t="shared" si="21"/>
        <v>#VALUE!</v>
      </c>
      <c r="T35" s="600"/>
      <c r="U35" s="526" t="s">
        <v>822</v>
      </c>
      <c r="V35" s="530" t="s">
        <v>822</v>
      </c>
      <c r="W35" s="530" t="s">
        <v>822</v>
      </c>
      <c r="X35" s="526" t="e">
        <f t="shared" si="23"/>
        <v>#VALUE!</v>
      </c>
      <c r="Y35" s="600"/>
      <c r="Z35" s="526" t="s">
        <v>822</v>
      </c>
      <c r="AA35" s="530" t="s">
        <v>822</v>
      </c>
      <c r="AB35" s="530" t="s">
        <v>822</v>
      </c>
      <c r="AC35" s="526" t="e">
        <f t="shared" si="25"/>
        <v>#VALUE!</v>
      </c>
      <c r="AD35" s="600"/>
      <c r="AE35" s="526" t="s">
        <v>822</v>
      </c>
      <c r="AF35" s="530" t="s">
        <v>822</v>
      </c>
      <c r="AG35" s="530" t="s">
        <v>822</v>
      </c>
      <c r="AH35" s="526" t="e">
        <f t="shared" si="27"/>
        <v>#VALUE!</v>
      </c>
      <c r="AI35" s="600"/>
      <c r="AJ35" s="526" t="s">
        <v>822</v>
      </c>
      <c r="AK35" s="530" t="s">
        <v>822</v>
      </c>
      <c r="AL35" s="530" t="s">
        <v>822</v>
      </c>
      <c r="AM35" s="526" t="e">
        <f t="shared" si="29"/>
        <v>#VALUE!</v>
      </c>
      <c r="AN35" s="600"/>
      <c r="AO35" s="526" t="s">
        <v>822</v>
      </c>
      <c r="AP35" s="530" t="s">
        <v>822</v>
      </c>
      <c r="AQ35" s="530" t="s">
        <v>822</v>
      </c>
      <c r="AR35" s="526" t="e">
        <f t="shared" si="31"/>
        <v>#VALUE!</v>
      </c>
      <c r="AS35" s="600"/>
      <c r="AT35" s="526" t="s">
        <v>822</v>
      </c>
      <c r="AU35" s="530" t="s">
        <v>822</v>
      </c>
      <c r="AV35" s="530" t="s">
        <v>822</v>
      </c>
      <c r="AW35" s="526" t="e">
        <f t="shared" si="33"/>
        <v>#VALUE!</v>
      </c>
      <c r="AX35" s="600"/>
      <c r="AZ35" s="526" t="e">
        <f t="shared" si="35"/>
        <v>#N/A</v>
      </c>
      <c r="BA35" s="600"/>
    </row>
    <row r="36" spans="2:53">
      <c r="B36" s="610"/>
      <c r="C36" s="476">
        <v>10</v>
      </c>
      <c r="D36" s="455"/>
      <c r="E36" s="518"/>
      <c r="F36" s="518"/>
      <c r="G36" s="518"/>
      <c r="H36" s="681"/>
      <c r="I36" s="513" t="str">
        <f t="shared" si="18"/>
        <v>-</v>
      </c>
      <c r="J36" s="513" t="str">
        <f t="shared" si="19"/>
        <v>-</v>
      </c>
      <c r="K36" s="200" t="str">
        <f t="shared" si="20"/>
        <v>-</v>
      </c>
      <c r="L36" s="621"/>
      <c r="M36" s="478" t="e">
        <f>RANK(K36, K$27:$K$41)</f>
        <v>#VALUE!</v>
      </c>
      <c r="N36" s="604"/>
      <c r="O36" s="604"/>
      <c r="P36" s="526" t="s">
        <v>822</v>
      </c>
      <c r="Q36" s="530" t="s">
        <v>822</v>
      </c>
      <c r="R36" s="530" t="s">
        <v>822</v>
      </c>
      <c r="S36" s="526" t="e">
        <f t="shared" si="21"/>
        <v>#VALUE!</v>
      </c>
      <c r="T36" s="600"/>
      <c r="U36" s="526" t="s">
        <v>822</v>
      </c>
      <c r="V36" s="530" t="s">
        <v>822</v>
      </c>
      <c r="W36" s="530" t="s">
        <v>822</v>
      </c>
      <c r="X36" s="526" t="e">
        <f t="shared" si="23"/>
        <v>#VALUE!</v>
      </c>
      <c r="Y36" s="600"/>
      <c r="Z36" s="526" t="s">
        <v>822</v>
      </c>
      <c r="AA36" s="530" t="s">
        <v>822</v>
      </c>
      <c r="AB36" s="530" t="s">
        <v>822</v>
      </c>
      <c r="AC36" s="526" t="e">
        <f t="shared" si="25"/>
        <v>#VALUE!</v>
      </c>
      <c r="AD36" s="600"/>
      <c r="AE36" s="526" t="s">
        <v>822</v>
      </c>
      <c r="AF36" s="530" t="s">
        <v>822</v>
      </c>
      <c r="AG36" s="530" t="s">
        <v>822</v>
      </c>
      <c r="AH36" s="526" t="e">
        <f t="shared" si="27"/>
        <v>#VALUE!</v>
      </c>
      <c r="AI36" s="600"/>
      <c r="AJ36" s="526" t="s">
        <v>822</v>
      </c>
      <c r="AK36" s="530" t="s">
        <v>822</v>
      </c>
      <c r="AL36" s="530" t="s">
        <v>822</v>
      </c>
      <c r="AM36" s="526" t="e">
        <f t="shared" si="29"/>
        <v>#VALUE!</v>
      </c>
      <c r="AN36" s="600"/>
      <c r="AO36" s="526" t="s">
        <v>822</v>
      </c>
      <c r="AP36" s="530" t="s">
        <v>822</v>
      </c>
      <c r="AQ36" s="530" t="s">
        <v>822</v>
      </c>
      <c r="AR36" s="526" t="e">
        <f t="shared" si="31"/>
        <v>#VALUE!</v>
      </c>
      <c r="AS36" s="600"/>
      <c r="AT36" s="526" t="s">
        <v>822</v>
      </c>
      <c r="AU36" s="530" t="s">
        <v>822</v>
      </c>
      <c r="AV36" s="530" t="s">
        <v>822</v>
      </c>
      <c r="AW36" s="526" t="e">
        <f t="shared" si="33"/>
        <v>#VALUE!</v>
      </c>
      <c r="AX36" s="600"/>
      <c r="AZ36" s="526" t="e">
        <f t="shared" si="35"/>
        <v>#N/A</v>
      </c>
      <c r="BA36" s="600"/>
    </row>
    <row r="37" spans="2:53">
      <c r="B37" s="610"/>
      <c r="C37" s="476">
        <v>11</v>
      </c>
      <c r="D37" s="455"/>
      <c r="E37" s="518"/>
      <c r="F37" s="518"/>
      <c r="G37" s="518"/>
      <c r="H37" s="681"/>
      <c r="I37" s="513" t="str">
        <f t="shared" si="18"/>
        <v>-</v>
      </c>
      <c r="J37" s="513" t="str">
        <f t="shared" si="19"/>
        <v>-</v>
      </c>
      <c r="K37" s="200" t="str">
        <f t="shared" si="20"/>
        <v>-</v>
      </c>
      <c r="L37" s="621"/>
      <c r="M37" s="478" t="e">
        <f>RANK(K37, K$27:$K$41)</f>
        <v>#VALUE!</v>
      </c>
      <c r="N37" s="604"/>
      <c r="O37" s="604"/>
      <c r="P37" s="526" t="s">
        <v>822</v>
      </c>
      <c r="Q37" s="530" t="s">
        <v>822</v>
      </c>
      <c r="R37" s="530" t="s">
        <v>822</v>
      </c>
      <c r="S37" s="526" t="e">
        <f t="shared" si="21"/>
        <v>#VALUE!</v>
      </c>
      <c r="T37" s="600"/>
      <c r="U37" s="526" t="s">
        <v>822</v>
      </c>
      <c r="V37" s="530" t="s">
        <v>822</v>
      </c>
      <c r="W37" s="530" t="s">
        <v>822</v>
      </c>
      <c r="X37" s="526" t="e">
        <f t="shared" si="23"/>
        <v>#VALUE!</v>
      </c>
      <c r="Y37" s="600"/>
      <c r="Z37" s="526" t="s">
        <v>822</v>
      </c>
      <c r="AA37" s="530" t="s">
        <v>822</v>
      </c>
      <c r="AB37" s="530" t="s">
        <v>822</v>
      </c>
      <c r="AC37" s="526" t="e">
        <f t="shared" si="25"/>
        <v>#VALUE!</v>
      </c>
      <c r="AD37" s="600"/>
      <c r="AE37" s="526" t="s">
        <v>822</v>
      </c>
      <c r="AF37" s="530" t="s">
        <v>822</v>
      </c>
      <c r="AG37" s="530" t="s">
        <v>822</v>
      </c>
      <c r="AH37" s="526" t="e">
        <f t="shared" si="27"/>
        <v>#VALUE!</v>
      </c>
      <c r="AI37" s="600"/>
      <c r="AJ37" s="526" t="s">
        <v>822</v>
      </c>
      <c r="AK37" s="530" t="s">
        <v>822</v>
      </c>
      <c r="AL37" s="530" t="s">
        <v>822</v>
      </c>
      <c r="AM37" s="526" t="e">
        <f t="shared" si="29"/>
        <v>#VALUE!</v>
      </c>
      <c r="AN37" s="600"/>
      <c r="AO37" s="526" t="s">
        <v>822</v>
      </c>
      <c r="AP37" s="530" t="s">
        <v>822</v>
      </c>
      <c r="AQ37" s="530" t="s">
        <v>822</v>
      </c>
      <c r="AR37" s="526" t="e">
        <f t="shared" si="31"/>
        <v>#VALUE!</v>
      </c>
      <c r="AS37" s="600"/>
      <c r="AT37" s="526" t="s">
        <v>822</v>
      </c>
      <c r="AU37" s="530" t="s">
        <v>822</v>
      </c>
      <c r="AV37" s="530" t="s">
        <v>822</v>
      </c>
      <c r="AW37" s="526" t="e">
        <f t="shared" si="33"/>
        <v>#VALUE!</v>
      </c>
      <c r="AX37" s="600"/>
      <c r="AZ37" s="526" t="e">
        <f t="shared" si="35"/>
        <v>#N/A</v>
      </c>
      <c r="BA37" s="600"/>
    </row>
    <row r="38" spans="2:53">
      <c r="B38" s="610"/>
      <c r="C38" s="476">
        <v>12</v>
      </c>
      <c r="D38" s="455"/>
      <c r="E38" s="518"/>
      <c r="F38" s="518"/>
      <c r="G38" s="518"/>
      <c r="H38" s="681"/>
      <c r="I38" s="513" t="str">
        <f t="shared" si="18"/>
        <v>-</v>
      </c>
      <c r="J38" s="513" t="str">
        <f t="shared" si="19"/>
        <v>-</v>
      </c>
      <c r="K38" s="200" t="str">
        <f t="shared" si="20"/>
        <v>-</v>
      </c>
      <c r="L38" s="621"/>
      <c r="M38" s="478" t="e">
        <f>RANK(K38, K$27:$K$41)</f>
        <v>#VALUE!</v>
      </c>
      <c r="N38" s="604"/>
      <c r="O38" s="604"/>
      <c r="P38" s="526" t="s">
        <v>822</v>
      </c>
      <c r="Q38" s="530" t="s">
        <v>822</v>
      </c>
      <c r="R38" s="530" t="s">
        <v>822</v>
      </c>
      <c r="S38" s="526" t="e">
        <f t="shared" si="21"/>
        <v>#VALUE!</v>
      </c>
      <c r="T38" s="600"/>
      <c r="U38" s="526" t="s">
        <v>822</v>
      </c>
      <c r="V38" s="530" t="s">
        <v>822</v>
      </c>
      <c r="W38" s="530" t="s">
        <v>822</v>
      </c>
      <c r="X38" s="526" t="e">
        <f t="shared" si="23"/>
        <v>#VALUE!</v>
      </c>
      <c r="Y38" s="600"/>
      <c r="Z38" s="526" t="s">
        <v>822</v>
      </c>
      <c r="AA38" s="530" t="s">
        <v>822</v>
      </c>
      <c r="AB38" s="530" t="s">
        <v>822</v>
      </c>
      <c r="AC38" s="526" t="e">
        <f t="shared" si="25"/>
        <v>#VALUE!</v>
      </c>
      <c r="AD38" s="600"/>
      <c r="AE38" s="526" t="s">
        <v>822</v>
      </c>
      <c r="AF38" s="530" t="s">
        <v>822</v>
      </c>
      <c r="AG38" s="530" t="s">
        <v>822</v>
      </c>
      <c r="AH38" s="526" t="e">
        <f t="shared" si="27"/>
        <v>#VALUE!</v>
      </c>
      <c r="AI38" s="600"/>
      <c r="AJ38" s="526" t="s">
        <v>822</v>
      </c>
      <c r="AK38" s="530" t="s">
        <v>822</v>
      </c>
      <c r="AL38" s="530" t="s">
        <v>822</v>
      </c>
      <c r="AM38" s="526" t="e">
        <f t="shared" si="29"/>
        <v>#VALUE!</v>
      </c>
      <c r="AN38" s="600"/>
      <c r="AO38" s="526" t="s">
        <v>822</v>
      </c>
      <c r="AP38" s="530" t="s">
        <v>822</v>
      </c>
      <c r="AQ38" s="530" t="s">
        <v>822</v>
      </c>
      <c r="AR38" s="526" t="e">
        <f t="shared" si="31"/>
        <v>#VALUE!</v>
      </c>
      <c r="AS38" s="600"/>
      <c r="AT38" s="526" t="s">
        <v>822</v>
      </c>
      <c r="AU38" s="530" t="s">
        <v>822</v>
      </c>
      <c r="AV38" s="530" t="s">
        <v>822</v>
      </c>
      <c r="AW38" s="526" t="e">
        <f t="shared" si="33"/>
        <v>#VALUE!</v>
      </c>
      <c r="AX38" s="600"/>
      <c r="AZ38" s="526" t="e">
        <f t="shared" si="35"/>
        <v>#N/A</v>
      </c>
      <c r="BA38" s="600"/>
    </row>
    <row r="39" spans="2:53">
      <c r="B39" s="610"/>
      <c r="C39" s="476">
        <v>13</v>
      </c>
      <c r="D39" s="455"/>
      <c r="E39" s="518"/>
      <c r="F39" s="518"/>
      <c r="G39" s="518"/>
      <c r="H39" s="681"/>
      <c r="I39" s="513" t="str">
        <f t="shared" si="18"/>
        <v>-</v>
      </c>
      <c r="J39" s="513" t="str">
        <f t="shared" si="19"/>
        <v>-</v>
      </c>
      <c r="K39" s="200" t="str">
        <f t="shared" si="20"/>
        <v>-</v>
      </c>
      <c r="L39" s="621"/>
      <c r="M39" s="478" t="e">
        <f>RANK(K39, K$27:$K$41)</f>
        <v>#VALUE!</v>
      </c>
      <c r="N39" s="604"/>
      <c r="O39" s="604"/>
      <c r="P39" s="526" t="s">
        <v>822</v>
      </c>
      <c r="Q39" s="530" t="s">
        <v>822</v>
      </c>
      <c r="R39" s="530" t="s">
        <v>822</v>
      </c>
      <c r="S39" s="526" t="e">
        <f t="shared" si="21"/>
        <v>#VALUE!</v>
      </c>
      <c r="T39" s="600"/>
      <c r="U39" s="526" t="s">
        <v>822</v>
      </c>
      <c r="V39" s="530" t="s">
        <v>822</v>
      </c>
      <c r="W39" s="530" t="s">
        <v>822</v>
      </c>
      <c r="X39" s="526" t="e">
        <f t="shared" si="23"/>
        <v>#VALUE!</v>
      </c>
      <c r="Y39" s="600"/>
      <c r="Z39" s="526" t="s">
        <v>822</v>
      </c>
      <c r="AA39" s="530" t="s">
        <v>822</v>
      </c>
      <c r="AB39" s="530" t="s">
        <v>822</v>
      </c>
      <c r="AC39" s="526" t="e">
        <f t="shared" si="25"/>
        <v>#VALUE!</v>
      </c>
      <c r="AD39" s="600"/>
      <c r="AE39" s="526" t="s">
        <v>822</v>
      </c>
      <c r="AF39" s="530" t="s">
        <v>822</v>
      </c>
      <c r="AG39" s="530" t="s">
        <v>822</v>
      </c>
      <c r="AH39" s="526" t="e">
        <f t="shared" si="27"/>
        <v>#VALUE!</v>
      </c>
      <c r="AI39" s="600"/>
      <c r="AJ39" s="526" t="s">
        <v>822</v>
      </c>
      <c r="AK39" s="530" t="s">
        <v>822</v>
      </c>
      <c r="AL39" s="530" t="s">
        <v>822</v>
      </c>
      <c r="AM39" s="526" t="e">
        <f t="shared" si="29"/>
        <v>#VALUE!</v>
      </c>
      <c r="AN39" s="600"/>
      <c r="AO39" s="526" t="s">
        <v>822</v>
      </c>
      <c r="AP39" s="530" t="s">
        <v>822</v>
      </c>
      <c r="AQ39" s="530" t="s">
        <v>822</v>
      </c>
      <c r="AR39" s="526" t="e">
        <f t="shared" si="31"/>
        <v>#VALUE!</v>
      </c>
      <c r="AS39" s="600"/>
      <c r="AT39" s="526" t="s">
        <v>822</v>
      </c>
      <c r="AU39" s="530" t="s">
        <v>822</v>
      </c>
      <c r="AV39" s="530" t="s">
        <v>822</v>
      </c>
      <c r="AW39" s="526" t="e">
        <f t="shared" si="33"/>
        <v>#VALUE!</v>
      </c>
      <c r="AX39" s="600"/>
      <c r="AZ39" s="526" t="e">
        <f t="shared" si="35"/>
        <v>#N/A</v>
      </c>
      <c r="BA39" s="600"/>
    </row>
    <row r="40" spans="2:53">
      <c r="B40" s="610"/>
      <c r="C40" s="476">
        <v>14</v>
      </c>
      <c r="D40" s="455"/>
      <c r="E40" s="518"/>
      <c r="F40" s="518"/>
      <c r="G40" s="518"/>
      <c r="H40" s="681"/>
      <c r="I40" s="513" t="str">
        <f t="shared" si="18"/>
        <v>-</v>
      </c>
      <c r="J40" s="513" t="str">
        <f t="shared" si="19"/>
        <v>-</v>
      </c>
      <c r="K40" s="200" t="str">
        <f t="shared" si="20"/>
        <v>-</v>
      </c>
      <c r="L40" s="621"/>
      <c r="M40" s="478" t="e">
        <f>RANK(K40, K$27:$K$41)</f>
        <v>#VALUE!</v>
      </c>
      <c r="N40" s="604"/>
      <c r="O40" s="604"/>
      <c r="P40" s="526" t="s">
        <v>822</v>
      </c>
      <c r="Q40" s="530" t="s">
        <v>822</v>
      </c>
      <c r="R40" s="530" t="s">
        <v>822</v>
      </c>
      <c r="S40" s="526" t="e">
        <f t="shared" si="21"/>
        <v>#VALUE!</v>
      </c>
      <c r="T40" s="600"/>
      <c r="U40" s="526" t="s">
        <v>822</v>
      </c>
      <c r="V40" s="530" t="s">
        <v>822</v>
      </c>
      <c r="W40" s="530" t="s">
        <v>822</v>
      </c>
      <c r="X40" s="526" t="e">
        <f t="shared" si="23"/>
        <v>#VALUE!</v>
      </c>
      <c r="Y40" s="600"/>
      <c r="Z40" s="526" t="s">
        <v>822</v>
      </c>
      <c r="AA40" s="530" t="s">
        <v>822</v>
      </c>
      <c r="AB40" s="530" t="s">
        <v>822</v>
      </c>
      <c r="AC40" s="526" t="e">
        <f t="shared" si="25"/>
        <v>#VALUE!</v>
      </c>
      <c r="AD40" s="600"/>
      <c r="AE40" s="526" t="s">
        <v>822</v>
      </c>
      <c r="AF40" s="530" t="s">
        <v>822</v>
      </c>
      <c r="AG40" s="530" t="s">
        <v>822</v>
      </c>
      <c r="AH40" s="526" t="e">
        <f t="shared" si="27"/>
        <v>#VALUE!</v>
      </c>
      <c r="AI40" s="600"/>
      <c r="AJ40" s="526" t="s">
        <v>822</v>
      </c>
      <c r="AK40" s="530" t="s">
        <v>822</v>
      </c>
      <c r="AL40" s="530" t="s">
        <v>822</v>
      </c>
      <c r="AM40" s="526" t="e">
        <f t="shared" si="29"/>
        <v>#VALUE!</v>
      </c>
      <c r="AN40" s="600"/>
      <c r="AO40" s="526" t="s">
        <v>822</v>
      </c>
      <c r="AP40" s="530" t="s">
        <v>822</v>
      </c>
      <c r="AQ40" s="530" t="s">
        <v>822</v>
      </c>
      <c r="AR40" s="526" t="e">
        <f t="shared" si="31"/>
        <v>#VALUE!</v>
      </c>
      <c r="AS40" s="600"/>
      <c r="AT40" s="526" t="s">
        <v>822</v>
      </c>
      <c r="AU40" s="530" t="s">
        <v>822</v>
      </c>
      <c r="AV40" s="530" t="s">
        <v>822</v>
      </c>
      <c r="AW40" s="526" t="e">
        <f t="shared" si="33"/>
        <v>#VALUE!</v>
      </c>
      <c r="AX40" s="600"/>
      <c r="AZ40" s="526" t="e">
        <f t="shared" si="35"/>
        <v>#N/A</v>
      </c>
      <c r="BA40" s="600"/>
    </row>
    <row r="41" spans="2:53">
      <c r="B41" s="610"/>
      <c r="C41" s="476">
        <v>15</v>
      </c>
      <c r="D41" s="455"/>
      <c r="E41" s="518"/>
      <c r="F41" s="518"/>
      <c r="G41" s="518"/>
      <c r="H41" s="682"/>
      <c r="I41" s="513" t="str">
        <f t="shared" si="18"/>
        <v>-</v>
      </c>
      <c r="J41" s="513" t="str">
        <f t="shared" si="19"/>
        <v>-</v>
      </c>
      <c r="K41" s="200" t="str">
        <f t="shared" si="20"/>
        <v>-</v>
      </c>
      <c r="L41" s="622"/>
      <c r="M41" s="477" t="e">
        <f>RANK(K41, K$27:$K$41)</f>
        <v>#VALUE!</v>
      </c>
      <c r="N41" s="604"/>
      <c r="O41" s="604"/>
      <c r="P41" s="526" t="s">
        <v>822</v>
      </c>
      <c r="Q41" s="530" t="s">
        <v>822</v>
      </c>
      <c r="R41" s="530" t="s">
        <v>822</v>
      </c>
      <c r="S41" s="526" t="e">
        <f t="shared" si="21"/>
        <v>#VALUE!</v>
      </c>
      <c r="T41" s="601"/>
      <c r="U41" s="526" t="s">
        <v>822</v>
      </c>
      <c r="V41" s="530" t="s">
        <v>822</v>
      </c>
      <c r="W41" s="530" t="s">
        <v>822</v>
      </c>
      <c r="X41" s="526" t="e">
        <f t="shared" si="23"/>
        <v>#VALUE!</v>
      </c>
      <c r="Y41" s="601"/>
      <c r="Z41" s="526" t="s">
        <v>822</v>
      </c>
      <c r="AA41" s="530" t="s">
        <v>822</v>
      </c>
      <c r="AB41" s="530" t="s">
        <v>822</v>
      </c>
      <c r="AC41" s="526" t="e">
        <f t="shared" si="25"/>
        <v>#VALUE!</v>
      </c>
      <c r="AD41" s="601"/>
      <c r="AE41" s="526" t="s">
        <v>822</v>
      </c>
      <c r="AF41" s="530" t="s">
        <v>822</v>
      </c>
      <c r="AG41" s="530" t="s">
        <v>822</v>
      </c>
      <c r="AH41" s="526" t="e">
        <f t="shared" si="27"/>
        <v>#VALUE!</v>
      </c>
      <c r="AI41" s="601"/>
      <c r="AJ41" s="526" t="s">
        <v>822</v>
      </c>
      <c r="AK41" s="530" t="s">
        <v>822</v>
      </c>
      <c r="AL41" s="530" t="s">
        <v>822</v>
      </c>
      <c r="AM41" s="526" t="e">
        <f t="shared" si="29"/>
        <v>#VALUE!</v>
      </c>
      <c r="AN41" s="601"/>
      <c r="AO41" s="526" t="s">
        <v>822</v>
      </c>
      <c r="AP41" s="530" t="s">
        <v>822</v>
      </c>
      <c r="AQ41" s="530" t="s">
        <v>822</v>
      </c>
      <c r="AR41" s="526" t="e">
        <f t="shared" si="31"/>
        <v>#VALUE!</v>
      </c>
      <c r="AS41" s="601"/>
      <c r="AT41" s="526" t="s">
        <v>822</v>
      </c>
      <c r="AU41" s="530" t="s">
        <v>822</v>
      </c>
      <c r="AV41" s="530" t="s">
        <v>822</v>
      </c>
      <c r="AW41" s="526" t="e">
        <f t="shared" si="33"/>
        <v>#VALUE!</v>
      </c>
      <c r="AX41" s="601"/>
      <c r="AZ41" s="526" t="e">
        <f t="shared" si="35"/>
        <v>#N/A</v>
      </c>
      <c r="BA41" s="601"/>
    </row>
    <row r="42" spans="2:53" ht="15.75">
      <c r="B42" s="648" t="s">
        <v>163</v>
      </c>
      <c r="C42" s="649"/>
      <c r="D42" s="649"/>
      <c r="E42" s="649"/>
      <c r="F42" s="649"/>
      <c r="G42" s="649"/>
      <c r="H42" s="649"/>
      <c r="I42" s="208"/>
      <c r="J42" s="203"/>
      <c r="K42" s="208"/>
      <c r="L42" s="208"/>
      <c r="M42" s="204"/>
      <c r="N42" s="606" t="s">
        <v>156</v>
      </c>
      <c r="O42" s="606" t="s">
        <v>105</v>
      </c>
      <c r="P42" s="632">
        <f>P22+7</f>
        <v>46126</v>
      </c>
      <c r="Q42" s="610"/>
      <c r="R42" s="610"/>
      <c r="S42" s="610"/>
      <c r="T42" s="610"/>
      <c r="U42" s="629">
        <f>P42+1</f>
        <v>46127</v>
      </c>
      <c r="V42" s="630"/>
      <c r="W42" s="630"/>
      <c r="X42" s="630"/>
      <c r="Y42" s="631"/>
      <c r="Z42" s="629">
        <f>U42+1</f>
        <v>46128</v>
      </c>
      <c r="AA42" s="630"/>
      <c r="AB42" s="630"/>
      <c r="AC42" s="630"/>
      <c r="AD42" s="631"/>
      <c r="AE42" s="629">
        <f>Z42+1</f>
        <v>46129</v>
      </c>
      <c r="AF42" s="630"/>
      <c r="AG42" s="630"/>
      <c r="AH42" s="630"/>
      <c r="AI42" s="631"/>
      <c r="AJ42" s="629">
        <f>AE42+1</f>
        <v>46130</v>
      </c>
      <c r="AK42" s="630"/>
      <c r="AL42" s="630"/>
      <c r="AM42" s="630"/>
      <c r="AN42" s="631"/>
      <c r="AO42" s="629">
        <f>AJ42+1</f>
        <v>46131</v>
      </c>
      <c r="AP42" s="630"/>
      <c r="AQ42" s="630"/>
      <c r="AR42" s="630"/>
      <c r="AS42" s="631"/>
      <c r="AT42" s="629">
        <f>AO42+1</f>
        <v>46132</v>
      </c>
      <c r="AU42" s="630"/>
      <c r="AV42" s="630"/>
      <c r="AW42" s="630"/>
      <c r="AX42" s="631"/>
    </row>
    <row r="43" spans="2:53" ht="15.75">
      <c r="B43" s="636"/>
      <c r="C43" s="636"/>
      <c r="D43" s="636"/>
      <c r="E43" s="636"/>
      <c r="F43" s="636"/>
      <c r="G43" s="636"/>
      <c r="H43" s="636"/>
      <c r="I43" s="205"/>
      <c r="J43" s="205"/>
      <c r="K43" s="205"/>
      <c r="L43" s="205"/>
      <c r="M43" s="206"/>
      <c r="N43" s="608"/>
      <c r="O43" s="608"/>
      <c r="P43" s="632" t="s">
        <v>336</v>
      </c>
      <c r="Q43" s="610"/>
      <c r="R43" s="610"/>
      <c r="S43" s="610"/>
      <c r="T43" s="610"/>
      <c r="U43" s="632" t="s">
        <v>337</v>
      </c>
      <c r="V43" s="610"/>
      <c r="W43" s="610"/>
      <c r="X43" s="610"/>
      <c r="Y43" s="610"/>
      <c r="Z43" s="632" t="s">
        <v>338</v>
      </c>
      <c r="AA43" s="610"/>
      <c r="AB43" s="610"/>
      <c r="AC43" s="610"/>
      <c r="AD43" s="610"/>
      <c r="AE43" s="632" t="s">
        <v>339</v>
      </c>
      <c r="AF43" s="610"/>
      <c r="AG43" s="610"/>
      <c r="AH43" s="610"/>
      <c r="AI43" s="610"/>
      <c r="AJ43" s="632" t="s">
        <v>340</v>
      </c>
      <c r="AK43" s="610"/>
      <c r="AL43" s="610"/>
      <c r="AM43" s="610"/>
      <c r="AN43" s="610"/>
      <c r="AO43" s="632" t="s">
        <v>341</v>
      </c>
      <c r="AP43" s="610"/>
      <c r="AQ43" s="610"/>
      <c r="AR43" s="610"/>
      <c r="AS43" s="610"/>
      <c r="AT43" s="632" t="s">
        <v>342</v>
      </c>
      <c r="AU43" s="610"/>
      <c r="AV43" s="610"/>
      <c r="AW43" s="610"/>
      <c r="AX43" s="610"/>
    </row>
    <row r="44" spans="2:53">
      <c r="B44" s="604" t="s">
        <v>547</v>
      </c>
      <c r="C44" s="604" t="s">
        <v>548</v>
      </c>
      <c r="D44" s="604"/>
      <c r="E44" s="604" t="s">
        <v>549</v>
      </c>
      <c r="F44" s="604"/>
      <c r="G44" s="604"/>
      <c r="H44" s="637" t="s">
        <v>550</v>
      </c>
      <c r="I44" s="656" t="s">
        <v>551</v>
      </c>
      <c r="J44" s="656"/>
      <c r="K44" s="656"/>
      <c r="L44" s="657" t="s">
        <v>550</v>
      </c>
      <c r="M44" s="642" t="s">
        <v>552</v>
      </c>
      <c r="N44" s="604"/>
      <c r="O44" s="604" t="s">
        <v>553</v>
      </c>
      <c r="P44" s="623" t="s">
        <v>755</v>
      </c>
      <c r="Q44" s="624"/>
      <c r="R44" s="624"/>
      <c r="S44" s="625"/>
      <c r="T44" s="604" t="s">
        <v>756</v>
      </c>
      <c r="U44" s="623" t="s">
        <v>755</v>
      </c>
      <c r="V44" s="624"/>
      <c r="W44" s="624"/>
      <c r="X44" s="625"/>
      <c r="Y44" s="604" t="s">
        <v>756</v>
      </c>
      <c r="Z44" s="623" t="s">
        <v>755</v>
      </c>
      <c r="AA44" s="624"/>
      <c r="AB44" s="624"/>
      <c r="AC44" s="625"/>
      <c r="AD44" s="604" t="s">
        <v>756</v>
      </c>
      <c r="AE44" s="623" t="s">
        <v>755</v>
      </c>
      <c r="AF44" s="624"/>
      <c r="AG44" s="624"/>
      <c r="AH44" s="625"/>
      <c r="AI44" s="604" t="s">
        <v>756</v>
      </c>
      <c r="AJ44" s="623" t="s">
        <v>755</v>
      </c>
      <c r="AK44" s="624"/>
      <c r="AL44" s="624"/>
      <c r="AM44" s="625"/>
      <c r="AN44" s="604" t="s">
        <v>756</v>
      </c>
      <c r="AO44" s="623" t="s">
        <v>755</v>
      </c>
      <c r="AP44" s="624"/>
      <c r="AQ44" s="624"/>
      <c r="AR44" s="625"/>
      <c r="AS44" s="604" t="s">
        <v>756</v>
      </c>
      <c r="AT44" s="623" t="s">
        <v>755</v>
      </c>
      <c r="AU44" s="624"/>
      <c r="AV44" s="624"/>
      <c r="AW44" s="625"/>
      <c r="AX44" s="604" t="s">
        <v>756</v>
      </c>
      <c r="BA44" s="604" t="s">
        <v>395</v>
      </c>
    </row>
    <row r="45" spans="2:53">
      <c r="B45" s="604"/>
      <c r="C45" s="604"/>
      <c r="D45" s="604"/>
      <c r="E45" s="604" t="s">
        <v>554</v>
      </c>
      <c r="F45" s="604"/>
      <c r="G45" s="604"/>
      <c r="H45" s="638"/>
      <c r="I45" s="656" t="s">
        <v>554</v>
      </c>
      <c r="J45" s="656"/>
      <c r="K45" s="656"/>
      <c r="L45" s="658"/>
      <c r="M45" s="643"/>
      <c r="N45" s="604"/>
      <c r="O45" s="604"/>
      <c r="P45" s="623" t="s">
        <v>757</v>
      </c>
      <c r="Q45" s="624"/>
      <c r="R45" s="624"/>
      <c r="S45" s="625"/>
      <c r="T45" s="604"/>
      <c r="U45" s="623" t="s">
        <v>757</v>
      </c>
      <c r="V45" s="624"/>
      <c r="W45" s="624"/>
      <c r="X45" s="625"/>
      <c r="Y45" s="604"/>
      <c r="Z45" s="623" t="s">
        <v>757</v>
      </c>
      <c r="AA45" s="624"/>
      <c r="AB45" s="624"/>
      <c r="AC45" s="625"/>
      <c r="AD45" s="604"/>
      <c r="AE45" s="623" t="s">
        <v>757</v>
      </c>
      <c r="AF45" s="624"/>
      <c r="AG45" s="624"/>
      <c r="AH45" s="625"/>
      <c r="AI45" s="604"/>
      <c r="AJ45" s="623" t="s">
        <v>757</v>
      </c>
      <c r="AK45" s="624"/>
      <c r="AL45" s="624"/>
      <c r="AM45" s="625"/>
      <c r="AN45" s="604"/>
      <c r="AO45" s="623" t="s">
        <v>757</v>
      </c>
      <c r="AP45" s="624"/>
      <c r="AQ45" s="624"/>
      <c r="AR45" s="625"/>
      <c r="AS45" s="604"/>
      <c r="AT45" s="623" t="s">
        <v>757</v>
      </c>
      <c r="AU45" s="624"/>
      <c r="AV45" s="624"/>
      <c r="AW45" s="625"/>
      <c r="AX45" s="604"/>
      <c r="BA45" s="604"/>
    </row>
    <row r="46" spans="2:53">
      <c r="B46" s="604"/>
      <c r="C46" s="604"/>
      <c r="D46" s="604"/>
      <c r="E46" s="327" t="s">
        <v>555</v>
      </c>
      <c r="F46" s="327" t="s">
        <v>556</v>
      </c>
      <c r="G46" s="327" t="s">
        <v>557</v>
      </c>
      <c r="H46" s="639"/>
      <c r="I46" s="328" t="s">
        <v>555</v>
      </c>
      <c r="J46" s="328" t="s">
        <v>556</v>
      </c>
      <c r="K46" s="328" t="s">
        <v>557</v>
      </c>
      <c r="L46" s="659"/>
      <c r="M46" s="644"/>
      <c r="N46" s="604"/>
      <c r="O46" s="604"/>
      <c r="P46" s="484" t="s">
        <v>758</v>
      </c>
      <c r="Q46" s="484" t="s">
        <v>759</v>
      </c>
      <c r="R46" s="484" t="s">
        <v>760</v>
      </c>
      <c r="S46" s="484" t="s">
        <v>761</v>
      </c>
      <c r="T46" s="604"/>
      <c r="U46" s="484" t="s">
        <v>758</v>
      </c>
      <c r="V46" s="484" t="s">
        <v>759</v>
      </c>
      <c r="W46" s="484" t="s">
        <v>760</v>
      </c>
      <c r="X46" s="484" t="s">
        <v>761</v>
      </c>
      <c r="Y46" s="604"/>
      <c r="Z46" s="484" t="s">
        <v>758</v>
      </c>
      <c r="AA46" s="484" t="s">
        <v>759</v>
      </c>
      <c r="AB46" s="484" t="s">
        <v>760</v>
      </c>
      <c r="AC46" s="484" t="s">
        <v>761</v>
      </c>
      <c r="AD46" s="604"/>
      <c r="AE46" s="484" t="s">
        <v>758</v>
      </c>
      <c r="AF46" s="484" t="s">
        <v>759</v>
      </c>
      <c r="AG46" s="484" t="s">
        <v>760</v>
      </c>
      <c r="AH46" s="484" t="s">
        <v>761</v>
      </c>
      <c r="AI46" s="604"/>
      <c r="AJ46" s="484" t="s">
        <v>758</v>
      </c>
      <c r="AK46" s="484" t="s">
        <v>759</v>
      </c>
      <c r="AL46" s="484" t="s">
        <v>760</v>
      </c>
      <c r="AM46" s="484" t="s">
        <v>761</v>
      </c>
      <c r="AN46" s="604"/>
      <c r="AO46" s="484" t="s">
        <v>758</v>
      </c>
      <c r="AP46" s="484" t="s">
        <v>759</v>
      </c>
      <c r="AQ46" s="484" t="s">
        <v>760</v>
      </c>
      <c r="AR46" s="484" t="s">
        <v>761</v>
      </c>
      <c r="AS46" s="604"/>
      <c r="AT46" s="484" t="s">
        <v>758</v>
      </c>
      <c r="AU46" s="484" t="s">
        <v>759</v>
      </c>
      <c r="AV46" s="484" t="s">
        <v>760</v>
      </c>
      <c r="AW46" s="484" t="s">
        <v>761</v>
      </c>
      <c r="AX46" s="604"/>
      <c r="AZ46" s="527" t="s">
        <v>396</v>
      </c>
      <c r="BA46" s="604"/>
    </row>
    <row r="47" spans="2:53">
      <c r="B47" s="666" t="s">
        <v>558</v>
      </c>
      <c r="C47" s="326">
        <v>1</v>
      </c>
      <c r="D47" s="455" t="s">
        <v>779</v>
      </c>
      <c r="E47" s="518">
        <v>10</v>
      </c>
      <c r="F47" s="518">
        <v>1500</v>
      </c>
      <c r="G47" s="518">
        <v>150</v>
      </c>
      <c r="H47" s="667">
        <f>AVERAGE(G47:G61)</f>
        <v>188</v>
      </c>
      <c r="I47" s="513">
        <f t="shared" ref="I47:I61" si="37">IFERROR(AVERAGE(P47,U47,Z47,AE47,AJ47,AO47,AT47),"-")</f>
        <v>10</v>
      </c>
      <c r="J47" s="513">
        <f t="shared" ref="J47:J61" si="38">IFERROR(AVERAGE(Q47,V47,AA47,AF47,AK47,AP47,AU47),"-")</f>
        <v>1370.4994483138296</v>
      </c>
      <c r="K47" s="200">
        <f t="shared" ref="K47:K61" si="39">IFERROR(AVERAGE(R47,W47,AB47,AG47,AL47,AQ47,AV47),"-")</f>
        <v>137.04994483138296</v>
      </c>
      <c r="L47" s="620">
        <f>IFERROR(AVERAGE(K47:K61),"-")</f>
        <v>196.98003172321924</v>
      </c>
      <c r="M47" s="201">
        <f>RANK(K47, K$47:$K$61)</f>
        <v>5</v>
      </c>
      <c r="N47" s="604"/>
      <c r="O47" s="604"/>
      <c r="P47" s="531">
        <v>10</v>
      </c>
      <c r="Q47" s="533">
        <v>1411.4999999999995</v>
      </c>
      <c r="R47" s="533">
        <v>141.14999999999995</v>
      </c>
      <c r="S47" s="532">
        <f t="shared" ref="S47:S53" si="40">RANK(R47, R$47:R$61)</f>
        <v>5</v>
      </c>
      <c r="T47" s="599">
        <f t="shared" ref="T47" si="41">AVERAGE(R47:R61)</f>
        <v>200.22636158811343</v>
      </c>
      <c r="U47" s="531">
        <v>10</v>
      </c>
      <c r="V47" s="533">
        <v>1403.4146341463411</v>
      </c>
      <c r="W47" s="533">
        <v>140.34146341463412</v>
      </c>
      <c r="X47" s="532">
        <f t="shared" ref="X47:X53" si="42">RANK(W47, W$47:W$61)</f>
        <v>5</v>
      </c>
      <c r="Y47" s="599">
        <f t="shared" ref="Y47" si="43">AVERAGE(W47:W61)</f>
        <v>195.71681296060311</v>
      </c>
      <c r="Z47" s="531">
        <v>10</v>
      </c>
      <c r="AA47" s="533">
        <v>1392.3076923076917</v>
      </c>
      <c r="AB47" s="533">
        <v>139.23076923076917</v>
      </c>
      <c r="AC47" s="532">
        <f t="shared" ref="AC47:AC53" si="44">RANK(AB47, AB$47:AB$61)</f>
        <v>3</v>
      </c>
      <c r="AD47" s="599">
        <f t="shared" ref="AD47" si="45">AVERAGE(AB47:AB61)</f>
        <v>188.30598290598303</v>
      </c>
      <c r="AE47" s="531">
        <v>10</v>
      </c>
      <c r="AF47" s="533">
        <v>1389.599999999996</v>
      </c>
      <c r="AG47" s="533">
        <v>138.95999999999961</v>
      </c>
      <c r="AH47" s="532">
        <f t="shared" ref="AH47:AH53" si="46">RANK(AG47, AG$47:AG$61)</f>
        <v>5</v>
      </c>
      <c r="AI47" s="599">
        <f t="shared" ref="AI47" si="47">AVERAGE(AG47:AG61)</f>
        <v>192.61725252525235</v>
      </c>
      <c r="AJ47" s="531">
        <v>10</v>
      </c>
      <c r="AK47" s="533">
        <v>1177.241379310349</v>
      </c>
      <c r="AL47" s="533">
        <v>117.7241379310349</v>
      </c>
      <c r="AM47" s="532">
        <f t="shared" ref="AM47:AM53" si="48">RANK(AL47, AL$47:AL$61)</f>
        <v>5</v>
      </c>
      <c r="AN47" s="599">
        <f t="shared" ref="AN47" si="49">AVERAGE(AL47:AL61)</f>
        <v>198.36098920236847</v>
      </c>
      <c r="AO47" s="531">
        <v>10</v>
      </c>
      <c r="AP47" s="533">
        <v>1406.9999999999995</v>
      </c>
      <c r="AQ47" s="533">
        <v>140.69999999999996</v>
      </c>
      <c r="AR47" s="532">
        <f t="shared" ref="AR47:AR53" si="50">RANK(AQ47, AQ$47:AQ$61)</f>
        <v>5</v>
      </c>
      <c r="AS47" s="599">
        <f t="shared" ref="AS47" si="51">AVERAGE(AQ47:AQ61)</f>
        <v>201.11069597069607</v>
      </c>
      <c r="AT47" s="531">
        <v>10</v>
      </c>
      <c r="AU47" s="533">
        <v>1412.4324324324314</v>
      </c>
      <c r="AV47" s="533">
        <v>141.24324324324314</v>
      </c>
      <c r="AW47" s="532">
        <f t="shared" ref="AW47:AW53" si="52">RANK(AV47, AV$47:AV$61)</f>
        <v>5</v>
      </c>
      <c r="AX47" s="599">
        <f t="shared" ref="AX47" si="53">AVERAGE(AV47:AV61)</f>
        <v>202.52212690951811</v>
      </c>
      <c r="AZ47" s="529" t="e">
        <f t="shared" ref="AZ47:AZ53" si="54">RANK(AY47, AY$47:AY$61)</f>
        <v>#N/A</v>
      </c>
      <c r="BA47" s="599" t="e">
        <f t="shared" ref="BA47" si="55">AVERAGE(AY47:AY61)</f>
        <v>#DIV/0!</v>
      </c>
    </row>
    <row r="48" spans="2:53">
      <c r="B48" s="610"/>
      <c r="C48" s="326">
        <v>2</v>
      </c>
      <c r="D48" s="455" t="s">
        <v>844</v>
      </c>
      <c r="E48" s="518">
        <v>15</v>
      </c>
      <c r="F48" s="518">
        <v>1800</v>
      </c>
      <c r="G48" s="518">
        <v>120</v>
      </c>
      <c r="H48" s="668"/>
      <c r="I48" s="513">
        <f t="shared" si="37"/>
        <v>12.142857142857142</v>
      </c>
      <c r="J48" s="513">
        <f t="shared" si="38"/>
        <v>1785.891097308489</v>
      </c>
      <c r="K48" s="200">
        <f t="shared" si="39"/>
        <v>147.25969766948032</v>
      </c>
      <c r="L48" s="621"/>
      <c r="M48" s="201">
        <f>RANK(K48, K$47:$K$61)</f>
        <v>3</v>
      </c>
      <c r="N48" s="604"/>
      <c r="O48" s="604"/>
      <c r="P48" s="531">
        <v>12</v>
      </c>
      <c r="Q48" s="533">
        <v>1802.4999999999993</v>
      </c>
      <c r="R48" s="533">
        <v>150.20833333333329</v>
      </c>
      <c r="S48" s="532">
        <f t="shared" si="40"/>
        <v>3</v>
      </c>
      <c r="T48" s="600"/>
      <c r="U48" s="531">
        <v>12</v>
      </c>
      <c r="V48" s="533">
        <v>1795.3043478260884</v>
      </c>
      <c r="W48" s="533">
        <v>149.60869565217402</v>
      </c>
      <c r="X48" s="532">
        <f t="shared" si="42"/>
        <v>3</v>
      </c>
      <c r="Y48" s="600"/>
      <c r="Z48" s="531">
        <v>13</v>
      </c>
      <c r="AA48" s="533">
        <v>1708.4999999999993</v>
      </c>
      <c r="AB48" s="533">
        <v>131.42307692307688</v>
      </c>
      <c r="AC48" s="532">
        <f t="shared" si="44"/>
        <v>5</v>
      </c>
      <c r="AD48" s="600"/>
      <c r="AE48" s="531">
        <v>12</v>
      </c>
      <c r="AF48" s="533">
        <v>1776.6666666666667</v>
      </c>
      <c r="AG48" s="533">
        <v>148.05555555555557</v>
      </c>
      <c r="AH48" s="532">
        <f t="shared" si="46"/>
        <v>3</v>
      </c>
      <c r="AI48" s="600"/>
      <c r="AJ48" s="531">
        <v>12</v>
      </c>
      <c r="AK48" s="533">
        <v>1778.6666666666683</v>
      </c>
      <c r="AL48" s="533">
        <v>148.22222222222237</v>
      </c>
      <c r="AM48" s="532">
        <f t="shared" si="48"/>
        <v>3</v>
      </c>
      <c r="AN48" s="600"/>
      <c r="AO48" s="531">
        <v>12</v>
      </c>
      <c r="AP48" s="533">
        <v>1812.0000000000009</v>
      </c>
      <c r="AQ48" s="533">
        <v>151.00000000000009</v>
      </c>
      <c r="AR48" s="532">
        <f t="shared" si="50"/>
        <v>3</v>
      </c>
      <c r="AS48" s="600"/>
      <c r="AT48" s="531">
        <v>12</v>
      </c>
      <c r="AU48" s="533">
        <v>1827.5999999999992</v>
      </c>
      <c r="AV48" s="533">
        <v>152.29999999999993</v>
      </c>
      <c r="AW48" s="532">
        <f t="shared" si="52"/>
        <v>3</v>
      </c>
      <c r="AX48" s="600"/>
      <c r="AZ48" s="529" t="e">
        <f t="shared" si="54"/>
        <v>#N/A</v>
      </c>
      <c r="BA48" s="600"/>
    </row>
    <row r="49" spans="2:53">
      <c r="B49" s="610"/>
      <c r="C49" s="326">
        <v>3</v>
      </c>
      <c r="D49" s="455" t="s">
        <v>845</v>
      </c>
      <c r="E49" s="518">
        <v>15</v>
      </c>
      <c r="F49" s="518">
        <v>1800</v>
      </c>
      <c r="G49" s="518">
        <v>120</v>
      </c>
      <c r="H49" s="668"/>
      <c r="I49" s="513">
        <f t="shared" si="37"/>
        <v>12.142857142857142</v>
      </c>
      <c r="J49" s="513">
        <f t="shared" si="38"/>
        <v>1726.3934043182492</v>
      </c>
      <c r="K49" s="200">
        <f t="shared" si="39"/>
        <v>142.28690457230832</v>
      </c>
      <c r="L49" s="621"/>
      <c r="M49" s="201">
        <f>RANK(K49, K$47:$K$61)</f>
        <v>4</v>
      </c>
      <c r="N49" s="604"/>
      <c r="O49" s="604"/>
      <c r="P49" s="531">
        <v>12</v>
      </c>
      <c r="Q49" s="533">
        <v>1779.1304347826076</v>
      </c>
      <c r="R49" s="533">
        <v>148.26086956521729</v>
      </c>
      <c r="S49" s="532">
        <f t="shared" si="40"/>
        <v>4</v>
      </c>
      <c r="T49" s="600"/>
      <c r="U49" s="531">
        <v>12</v>
      </c>
      <c r="V49" s="533">
        <v>1759.3043478260859</v>
      </c>
      <c r="W49" s="533">
        <v>146.60869565217382</v>
      </c>
      <c r="X49" s="532">
        <f t="shared" si="42"/>
        <v>4</v>
      </c>
      <c r="Y49" s="600"/>
      <c r="Z49" s="531">
        <v>13</v>
      </c>
      <c r="AA49" s="533">
        <v>1724.5000000000018</v>
      </c>
      <c r="AB49" s="533">
        <v>132.6538461538463</v>
      </c>
      <c r="AC49" s="532">
        <f t="shared" si="44"/>
        <v>4</v>
      </c>
      <c r="AD49" s="600"/>
      <c r="AE49" s="531">
        <v>12</v>
      </c>
      <c r="AF49" s="533">
        <v>1678.6666666666667</v>
      </c>
      <c r="AG49" s="533">
        <v>139.88888888888889</v>
      </c>
      <c r="AH49" s="532">
        <f t="shared" si="46"/>
        <v>4</v>
      </c>
      <c r="AI49" s="600"/>
      <c r="AJ49" s="531">
        <v>12</v>
      </c>
      <c r="AK49" s="533">
        <v>1718.6666666666667</v>
      </c>
      <c r="AL49" s="533">
        <v>143.22222222222223</v>
      </c>
      <c r="AM49" s="532">
        <f t="shared" si="48"/>
        <v>4</v>
      </c>
      <c r="AN49" s="600"/>
      <c r="AO49" s="531">
        <v>12</v>
      </c>
      <c r="AP49" s="533">
        <v>1722.2857142857151</v>
      </c>
      <c r="AQ49" s="533">
        <v>143.5238095238096</v>
      </c>
      <c r="AR49" s="532">
        <f t="shared" si="50"/>
        <v>4</v>
      </c>
      <c r="AS49" s="600"/>
      <c r="AT49" s="531">
        <v>12</v>
      </c>
      <c r="AU49" s="533">
        <v>1702.2000000000005</v>
      </c>
      <c r="AV49" s="533">
        <v>141.85000000000005</v>
      </c>
      <c r="AW49" s="532">
        <f t="shared" si="52"/>
        <v>4</v>
      </c>
      <c r="AX49" s="600"/>
      <c r="AZ49" s="529" t="e">
        <f t="shared" si="54"/>
        <v>#N/A</v>
      </c>
      <c r="BA49" s="600"/>
    </row>
    <row r="50" spans="2:53">
      <c r="B50" s="610"/>
      <c r="C50" s="326">
        <v>4</v>
      </c>
      <c r="D50" s="455" t="s">
        <v>638</v>
      </c>
      <c r="E50" s="518">
        <v>6</v>
      </c>
      <c r="F50" s="518">
        <v>1500</v>
      </c>
      <c r="G50" s="518">
        <v>250</v>
      </c>
      <c r="H50" s="668"/>
      <c r="I50" s="513">
        <f t="shared" si="37"/>
        <v>6</v>
      </c>
      <c r="J50" s="513">
        <f t="shared" si="38"/>
        <v>1524.1492960820692</v>
      </c>
      <c r="K50" s="200">
        <f t="shared" si="39"/>
        <v>254.02488268034492</v>
      </c>
      <c r="L50" s="621"/>
      <c r="M50" s="201">
        <f>RANK(K50, K$47:$K$61)</f>
        <v>2</v>
      </c>
      <c r="N50" s="604"/>
      <c r="O50" s="604"/>
      <c r="P50" s="531">
        <v>6</v>
      </c>
      <c r="Q50" s="533">
        <v>1517.6470588235275</v>
      </c>
      <c r="R50" s="533">
        <v>252.94117647058792</v>
      </c>
      <c r="S50" s="532">
        <f t="shared" si="40"/>
        <v>2</v>
      </c>
      <c r="T50" s="600"/>
      <c r="U50" s="531">
        <v>6</v>
      </c>
      <c r="V50" s="533">
        <v>1475.294117647057</v>
      </c>
      <c r="W50" s="533">
        <v>245.88235294117615</v>
      </c>
      <c r="X50" s="532">
        <f t="shared" si="42"/>
        <v>2</v>
      </c>
      <c r="Y50" s="600"/>
      <c r="Z50" s="531">
        <v>6</v>
      </c>
      <c r="AA50" s="533">
        <v>1440.0000000000018</v>
      </c>
      <c r="AB50" s="533">
        <v>240.00000000000031</v>
      </c>
      <c r="AC50" s="532">
        <f t="shared" si="44"/>
        <v>2</v>
      </c>
      <c r="AD50" s="600"/>
      <c r="AE50" s="531">
        <v>6</v>
      </c>
      <c r="AF50" s="533">
        <v>1440.0000000000009</v>
      </c>
      <c r="AG50" s="533">
        <v>240.00000000000014</v>
      </c>
      <c r="AH50" s="532">
        <f t="shared" si="46"/>
        <v>2</v>
      </c>
      <c r="AI50" s="600"/>
      <c r="AJ50" s="531">
        <v>6</v>
      </c>
      <c r="AK50" s="533">
        <v>1641.8181818181818</v>
      </c>
      <c r="AL50" s="533">
        <v>273.63636363636363</v>
      </c>
      <c r="AM50" s="532">
        <f t="shared" si="48"/>
        <v>2</v>
      </c>
      <c r="AN50" s="600"/>
      <c r="AO50" s="531">
        <v>6</v>
      </c>
      <c r="AP50" s="533">
        <v>1594.2857142857154</v>
      </c>
      <c r="AQ50" s="533">
        <v>265.71428571428589</v>
      </c>
      <c r="AR50" s="532">
        <f t="shared" si="50"/>
        <v>2</v>
      </c>
      <c r="AS50" s="600"/>
      <c r="AT50" s="531">
        <v>6</v>
      </c>
      <c r="AU50" s="533">
        <v>1560.0000000000009</v>
      </c>
      <c r="AV50" s="533">
        <v>260.00000000000017</v>
      </c>
      <c r="AW50" s="532">
        <f t="shared" si="52"/>
        <v>2</v>
      </c>
      <c r="AX50" s="600"/>
      <c r="AZ50" s="529" t="e">
        <f t="shared" si="54"/>
        <v>#N/A</v>
      </c>
      <c r="BA50" s="600"/>
    </row>
    <row r="51" spans="2:53">
      <c r="B51" s="610"/>
      <c r="C51" s="326">
        <v>5</v>
      </c>
      <c r="D51" s="455" t="s">
        <v>579</v>
      </c>
      <c r="E51" s="518">
        <v>5</v>
      </c>
      <c r="F51" s="518">
        <v>1500</v>
      </c>
      <c r="G51" s="518">
        <v>300</v>
      </c>
      <c r="H51" s="668"/>
      <c r="I51" s="513">
        <f t="shared" si="37"/>
        <v>5</v>
      </c>
      <c r="J51" s="513">
        <f t="shared" si="38"/>
        <v>1521.3936443128982</v>
      </c>
      <c r="K51" s="200">
        <f t="shared" si="39"/>
        <v>304.27872886257961</v>
      </c>
      <c r="L51" s="621"/>
      <c r="M51" s="201">
        <f>RANK(K51, K$47:$K$61)</f>
        <v>1</v>
      </c>
      <c r="N51" s="604"/>
      <c r="O51" s="604"/>
      <c r="P51" s="531">
        <v>5</v>
      </c>
      <c r="Q51" s="533">
        <v>1542.857142857144</v>
      </c>
      <c r="R51" s="533">
        <v>308.57142857142878</v>
      </c>
      <c r="S51" s="532">
        <f t="shared" si="40"/>
        <v>1</v>
      </c>
      <c r="T51" s="600"/>
      <c r="U51" s="531">
        <v>5</v>
      </c>
      <c r="V51" s="533">
        <v>1480.7142857142869</v>
      </c>
      <c r="W51" s="533">
        <v>296.14285714285739</v>
      </c>
      <c r="X51" s="532">
        <f t="shared" si="42"/>
        <v>1</v>
      </c>
      <c r="Y51" s="600"/>
      <c r="Z51" s="531">
        <v>5</v>
      </c>
      <c r="AA51" s="533">
        <v>1491.111111111112</v>
      </c>
      <c r="AB51" s="533">
        <v>298.2222222222224</v>
      </c>
      <c r="AC51" s="532">
        <f t="shared" si="44"/>
        <v>1</v>
      </c>
      <c r="AD51" s="600"/>
      <c r="AE51" s="531">
        <v>5</v>
      </c>
      <c r="AF51" s="533">
        <v>1480.909090909088</v>
      </c>
      <c r="AG51" s="533">
        <v>296.18181818181762</v>
      </c>
      <c r="AH51" s="532">
        <f t="shared" si="46"/>
        <v>1</v>
      </c>
      <c r="AI51" s="600"/>
      <c r="AJ51" s="531">
        <v>5</v>
      </c>
      <c r="AK51" s="533">
        <v>1544.9999999999961</v>
      </c>
      <c r="AL51" s="533">
        <v>308.9999999999992</v>
      </c>
      <c r="AM51" s="532">
        <f t="shared" si="48"/>
        <v>1</v>
      </c>
      <c r="AN51" s="600"/>
      <c r="AO51" s="531">
        <v>5</v>
      </c>
      <c r="AP51" s="533">
        <v>1523.0769230769238</v>
      </c>
      <c r="AQ51" s="533">
        <v>304.61538461538476</v>
      </c>
      <c r="AR51" s="532">
        <f t="shared" si="50"/>
        <v>1</v>
      </c>
      <c r="AS51" s="600"/>
      <c r="AT51" s="531">
        <v>5</v>
      </c>
      <c r="AU51" s="533">
        <v>1586.0869565217363</v>
      </c>
      <c r="AV51" s="533">
        <v>317.21739130434725</v>
      </c>
      <c r="AW51" s="532">
        <f t="shared" si="52"/>
        <v>1</v>
      </c>
      <c r="AX51" s="600"/>
      <c r="AZ51" s="529" t="e">
        <f t="shared" si="54"/>
        <v>#N/A</v>
      </c>
      <c r="BA51" s="600"/>
    </row>
    <row r="52" spans="2:53">
      <c r="B52" s="610"/>
      <c r="C52" s="326">
        <v>6</v>
      </c>
      <c r="D52" s="455"/>
      <c r="E52" s="518"/>
      <c r="F52" s="518"/>
      <c r="G52" s="518"/>
      <c r="H52" s="668"/>
      <c r="I52" s="513" t="str">
        <f t="shared" si="37"/>
        <v>-</v>
      </c>
      <c r="J52" s="513" t="str">
        <f t="shared" si="38"/>
        <v>-</v>
      </c>
      <c r="K52" s="200" t="str">
        <f t="shared" si="39"/>
        <v>-</v>
      </c>
      <c r="L52" s="621"/>
      <c r="M52" s="201" t="e">
        <f>RANK(K52, K$47:$K$61)</f>
        <v>#VALUE!</v>
      </c>
      <c r="N52" s="604"/>
      <c r="O52" s="604"/>
      <c r="P52" s="531" t="s">
        <v>822</v>
      </c>
      <c r="Q52" s="533" t="s">
        <v>822</v>
      </c>
      <c r="R52" s="533" t="s">
        <v>822</v>
      </c>
      <c r="S52" s="532" t="e">
        <f t="shared" si="40"/>
        <v>#VALUE!</v>
      </c>
      <c r="T52" s="600"/>
      <c r="U52" s="531" t="s">
        <v>822</v>
      </c>
      <c r="V52" s="533" t="s">
        <v>822</v>
      </c>
      <c r="W52" s="533" t="s">
        <v>822</v>
      </c>
      <c r="X52" s="532" t="e">
        <f t="shared" si="42"/>
        <v>#VALUE!</v>
      </c>
      <c r="Y52" s="600"/>
      <c r="Z52" s="531" t="s">
        <v>822</v>
      </c>
      <c r="AA52" s="533" t="s">
        <v>822</v>
      </c>
      <c r="AB52" s="533" t="s">
        <v>822</v>
      </c>
      <c r="AC52" s="532" t="e">
        <f t="shared" si="44"/>
        <v>#VALUE!</v>
      </c>
      <c r="AD52" s="600"/>
      <c r="AE52" s="531" t="s">
        <v>822</v>
      </c>
      <c r="AF52" s="533" t="s">
        <v>822</v>
      </c>
      <c r="AG52" s="533" t="s">
        <v>822</v>
      </c>
      <c r="AH52" s="532" t="e">
        <f t="shared" si="46"/>
        <v>#VALUE!</v>
      </c>
      <c r="AI52" s="600"/>
      <c r="AJ52" s="531" t="s">
        <v>822</v>
      </c>
      <c r="AK52" s="533" t="s">
        <v>822</v>
      </c>
      <c r="AL52" s="533" t="s">
        <v>822</v>
      </c>
      <c r="AM52" s="532" t="e">
        <f t="shared" si="48"/>
        <v>#VALUE!</v>
      </c>
      <c r="AN52" s="600"/>
      <c r="AO52" s="531" t="s">
        <v>822</v>
      </c>
      <c r="AP52" s="533" t="s">
        <v>822</v>
      </c>
      <c r="AQ52" s="533" t="s">
        <v>822</v>
      </c>
      <c r="AR52" s="532" t="e">
        <f t="shared" si="50"/>
        <v>#VALUE!</v>
      </c>
      <c r="AS52" s="600"/>
      <c r="AT52" s="531" t="s">
        <v>822</v>
      </c>
      <c r="AU52" s="533" t="s">
        <v>822</v>
      </c>
      <c r="AV52" s="533" t="s">
        <v>822</v>
      </c>
      <c r="AW52" s="532" t="e">
        <f t="shared" si="52"/>
        <v>#VALUE!</v>
      </c>
      <c r="AX52" s="600"/>
      <c r="AZ52" s="529" t="e">
        <f t="shared" si="54"/>
        <v>#N/A</v>
      </c>
      <c r="BA52" s="600"/>
    </row>
    <row r="53" spans="2:53">
      <c r="B53" s="610"/>
      <c r="C53" s="326">
        <v>7</v>
      </c>
      <c r="D53" s="455"/>
      <c r="E53" s="518"/>
      <c r="F53" s="518"/>
      <c r="G53" s="518"/>
      <c r="H53" s="668"/>
      <c r="I53" s="513" t="str">
        <f t="shared" si="37"/>
        <v>-</v>
      </c>
      <c r="J53" s="513" t="str">
        <f t="shared" si="38"/>
        <v>-</v>
      </c>
      <c r="K53" s="200" t="str">
        <f t="shared" si="39"/>
        <v>-</v>
      </c>
      <c r="L53" s="621"/>
      <c r="M53" s="201" t="e">
        <f>RANK(K53, K$47:$K$61)</f>
        <v>#VALUE!</v>
      </c>
      <c r="N53" s="604"/>
      <c r="O53" s="604"/>
      <c r="P53" s="531" t="s">
        <v>822</v>
      </c>
      <c r="Q53" s="533" t="s">
        <v>822</v>
      </c>
      <c r="R53" s="533" t="s">
        <v>822</v>
      </c>
      <c r="S53" s="532" t="e">
        <f t="shared" si="40"/>
        <v>#VALUE!</v>
      </c>
      <c r="T53" s="600"/>
      <c r="U53" s="531" t="s">
        <v>822</v>
      </c>
      <c r="V53" s="533" t="s">
        <v>822</v>
      </c>
      <c r="W53" s="533" t="s">
        <v>822</v>
      </c>
      <c r="X53" s="532" t="e">
        <f t="shared" si="42"/>
        <v>#VALUE!</v>
      </c>
      <c r="Y53" s="600"/>
      <c r="Z53" s="531" t="s">
        <v>822</v>
      </c>
      <c r="AA53" s="533" t="s">
        <v>822</v>
      </c>
      <c r="AB53" s="533" t="s">
        <v>822</v>
      </c>
      <c r="AC53" s="532" t="e">
        <f t="shared" si="44"/>
        <v>#VALUE!</v>
      </c>
      <c r="AD53" s="600"/>
      <c r="AE53" s="531" t="s">
        <v>822</v>
      </c>
      <c r="AF53" s="533" t="s">
        <v>822</v>
      </c>
      <c r="AG53" s="533" t="s">
        <v>822</v>
      </c>
      <c r="AH53" s="532" t="e">
        <f t="shared" si="46"/>
        <v>#VALUE!</v>
      </c>
      <c r="AI53" s="600"/>
      <c r="AJ53" s="531" t="s">
        <v>822</v>
      </c>
      <c r="AK53" s="533" t="s">
        <v>822</v>
      </c>
      <c r="AL53" s="533" t="s">
        <v>822</v>
      </c>
      <c r="AM53" s="532" t="e">
        <f t="shared" si="48"/>
        <v>#VALUE!</v>
      </c>
      <c r="AN53" s="600"/>
      <c r="AO53" s="531" t="s">
        <v>822</v>
      </c>
      <c r="AP53" s="533" t="s">
        <v>822</v>
      </c>
      <c r="AQ53" s="533" t="s">
        <v>822</v>
      </c>
      <c r="AR53" s="532" t="e">
        <f t="shared" si="50"/>
        <v>#VALUE!</v>
      </c>
      <c r="AS53" s="600"/>
      <c r="AT53" s="531" t="s">
        <v>822</v>
      </c>
      <c r="AU53" s="533" t="s">
        <v>822</v>
      </c>
      <c r="AV53" s="533" t="s">
        <v>822</v>
      </c>
      <c r="AW53" s="532" t="e">
        <f t="shared" si="52"/>
        <v>#VALUE!</v>
      </c>
      <c r="AX53" s="600"/>
      <c r="AZ53" s="529" t="e">
        <f t="shared" si="54"/>
        <v>#N/A</v>
      </c>
      <c r="BA53" s="600"/>
    </row>
    <row r="54" spans="2:53">
      <c r="B54" s="610"/>
      <c r="C54" s="326">
        <v>8</v>
      </c>
      <c r="D54" s="342"/>
      <c r="E54" s="518"/>
      <c r="F54" s="518"/>
      <c r="G54" s="518"/>
      <c r="H54" s="668"/>
      <c r="I54" s="513" t="str">
        <f t="shared" si="37"/>
        <v>-</v>
      </c>
      <c r="J54" s="513" t="str">
        <f t="shared" si="38"/>
        <v>-</v>
      </c>
      <c r="K54" s="200" t="str">
        <f t="shared" si="39"/>
        <v>-</v>
      </c>
      <c r="L54" s="621"/>
      <c r="M54" s="201" t="e">
        <f>RANK(K54, K$47:$K$61)</f>
        <v>#VALUE!</v>
      </c>
      <c r="N54" s="604"/>
      <c r="O54" s="604"/>
      <c r="P54" s="531" t="s">
        <v>822</v>
      </c>
      <c r="Q54" s="533" t="s">
        <v>822</v>
      </c>
      <c r="R54" s="533" t="s">
        <v>822</v>
      </c>
      <c r="S54" s="532"/>
      <c r="T54" s="600"/>
      <c r="U54" s="531" t="s">
        <v>822</v>
      </c>
      <c r="V54" s="533" t="s">
        <v>822</v>
      </c>
      <c r="W54" s="533" t="s">
        <v>822</v>
      </c>
      <c r="X54" s="532"/>
      <c r="Y54" s="600"/>
      <c r="Z54" s="531" t="s">
        <v>822</v>
      </c>
      <c r="AA54" s="533" t="s">
        <v>822</v>
      </c>
      <c r="AB54" s="533" t="s">
        <v>822</v>
      </c>
      <c r="AC54" s="532"/>
      <c r="AD54" s="600"/>
      <c r="AE54" s="531" t="s">
        <v>822</v>
      </c>
      <c r="AF54" s="533" t="s">
        <v>822</v>
      </c>
      <c r="AG54" s="533" t="s">
        <v>822</v>
      </c>
      <c r="AH54" s="532"/>
      <c r="AI54" s="600"/>
      <c r="AJ54" s="531" t="s">
        <v>822</v>
      </c>
      <c r="AK54" s="533" t="s">
        <v>822</v>
      </c>
      <c r="AL54" s="533" t="s">
        <v>822</v>
      </c>
      <c r="AM54" s="532"/>
      <c r="AN54" s="600"/>
      <c r="AO54" s="531" t="s">
        <v>822</v>
      </c>
      <c r="AP54" s="533" t="s">
        <v>822</v>
      </c>
      <c r="AQ54" s="533" t="s">
        <v>822</v>
      </c>
      <c r="AR54" s="532"/>
      <c r="AS54" s="600"/>
      <c r="AT54" s="531" t="s">
        <v>822</v>
      </c>
      <c r="AU54" s="533" t="s">
        <v>822</v>
      </c>
      <c r="AV54" s="533" t="s">
        <v>822</v>
      </c>
      <c r="AW54" s="532"/>
      <c r="AX54" s="600"/>
      <c r="AZ54" s="529"/>
      <c r="BA54" s="600"/>
    </row>
    <row r="55" spans="2:53">
      <c r="B55" s="610"/>
      <c r="C55" s="326">
        <v>9</v>
      </c>
      <c r="D55" s="455"/>
      <c r="E55" s="518"/>
      <c r="F55" s="518"/>
      <c r="G55" s="518"/>
      <c r="H55" s="668"/>
      <c r="I55" s="513" t="str">
        <f t="shared" si="37"/>
        <v>-</v>
      </c>
      <c r="J55" s="513" t="str">
        <f t="shared" si="38"/>
        <v>-</v>
      </c>
      <c r="K55" s="200" t="str">
        <f t="shared" si="39"/>
        <v>-</v>
      </c>
      <c r="L55" s="621"/>
      <c r="M55" s="201" t="e">
        <f>RANK(K55, K$47:$K$61)</f>
        <v>#VALUE!</v>
      </c>
      <c r="N55" s="604"/>
      <c r="O55" s="604"/>
      <c r="P55" s="531" t="s">
        <v>822</v>
      </c>
      <c r="Q55" s="533" t="s">
        <v>822</v>
      </c>
      <c r="R55" s="533" t="s">
        <v>822</v>
      </c>
      <c r="S55" s="532"/>
      <c r="T55" s="600"/>
      <c r="U55" s="531" t="s">
        <v>822</v>
      </c>
      <c r="V55" s="533" t="s">
        <v>822</v>
      </c>
      <c r="W55" s="533" t="s">
        <v>822</v>
      </c>
      <c r="X55" s="532"/>
      <c r="Y55" s="600"/>
      <c r="Z55" s="531" t="s">
        <v>822</v>
      </c>
      <c r="AA55" s="533" t="s">
        <v>822</v>
      </c>
      <c r="AB55" s="533" t="s">
        <v>822</v>
      </c>
      <c r="AC55" s="532"/>
      <c r="AD55" s="600"/>
      <c r="AE55" s="531" t="s">
        <v>822</v>
      </c>
      <c r="AF55" s="533" t="s">
        <v>822</v>
      </c>
      <c r="AG55" s="533" t="s">
        <v>822</v>
      </c>
      <c r="AH55" s="532"/>
      <c r="AI55" s="600"/>
      <c r="AJ55" s="531" t="s">
        <v>822</v>
      </c>
      <c r="AK55" s="533" t="s">
        <v>822</v>
      </c>
      <c r="AL55" s="533" t="s">
        <v>822</v>
      </c>
      <c r="AM55" s="532"/>
      <c r="AN55" s="600"/>
      <c r="AO55" s="531" t="s">
        <v>822</v>
      </c>
      <c r="AP55" s="533" t="s">
        <v>822</v>
      </c>
      <c r="AQ55" s="533" t="s">
        <v>822</v>
      </c>
      <c r="AR55" s="532"/>
      <c r="AS55" s="600"/>
      <c r="AT55" s="531" t="s">
        <v>822</v>
      </c>
      <c r="AU55" s="533" t="s">
        <v>822</v>
      </c>
      <c r="AV55" s="533" t="s">
        <v>822</v>
      </c>
      <c r="AW55" s="532"/>
      <c r="AX55" s="600"/>
      <c r="AZ55" s="529"/>
      <c r="BA55" s="600"/>
    </row>
    <row r="56" spans="2:53">
      <c r="B56" s="610"/>
      <c r="C56" s="326">
        <v>10</v>
      </c>
      <c r="D56" s="455"/>
      <c r="E56" s="518"/>
      <c r="F56" s="518"/>
      <c r="G56" s="518"/>
      <c r="H56" s="668"/>
      <c r="I56" s="513" t="str">
        <f t="shared" si="37"/>
        <v>-</v>
      </c>
      <c r="J56" s="513" t="str">
        <f t="shared" si="38"/>
        <v>-</v>
      </c>
      <c r="K56" s="200" t="str">
        <f t="shared" si="39"/>
        <v>-</v>
      </c>
      <c r="L56" s="621"/>
      <c r="M56" s="201" t="e">
        <f>RANK(K56, K$47:$K$61)</f>
        <v>#VALUE!</v>
      </c>
      <c r="N56" s="604"/>
      <c r="O56" s="604"/>
      <c r="P56" s="531" t="s">
        <v>822</v>
      </c>
      <c r="Q56" s="533" t="s">
        <v>822</v>
      </c>
      <c r="R56" s="533" t="s">
        <v>822</v>
      </c>
      <c r="S56" s="532"/>
      <c r="T56" s="600"/>
      <c r="U56" s="531" t="s">
        <v>822</v>
      </c>
      <c r="V56" s="533" t="s">
        <v>822</v>
      </c>
      <c r="W56" s="533" t="s">
        <v>822</v>
      </c>
      <c r="X56" s="532"/>
      <c r="Y56" s="600"/>
      <c r="Z56" s="531" t="s">
        <v>822</v>
      </c>
      <c r="AA56" s="533" t="s">
        <v>822</v>
      </c>
      <c r="AB56" s="533" t="s">
        <v>822</v>
      </c>
      <c r="AC56" s="532"/>
      <c r="AD56" s="600"/>
      <c r="AE56" s="531" t="s">
        <v>822</v>
      </c>
      <c r="AF56" s="533" t="s">
        <v>822</v>
      </c>
      <c r="AG56" s="533" t="s">
        <v>822</v>
      </c>
      <c r="AH56" s="532"/>
      <c r="AI56" s="600"/>
      <c r="AJ56" s="531" t="s">
        <v>822</v>
      </c>
      <c r="AK56" s="533" t="s">
        <v>822</v>
      </c>
      <c r="AL56" s="533" t="s">
        <v>822</v>
      </c>
      <c r="AM56" s="532"/>
      <c r="AN56" s="600"/>
      <c r="AO56" s="531" t="s">
        <v>822</v>
      </c>
      <c r="AP56" s="533" t="s">
        <v>822</v>
      </c>
      <c r="AQ56" s="533" t="s">
        <v>822</v>
      </c>
      <c r="AR56" s="532"/>
      <c r="AS56" s="600"/>
      <c r="AT56" s="531" t="s">
        <v>822</v>
      </c>
      <c r="AU56" s="533" t="s">
        <v>822</v>
      </c>
      <c r="AV56" s="533" t="s">
        <v>822</v>
      </c>
      <c r="AW56" s="532"/>
      <c r="AX56" s="600"/>
      <c r="AZ56" s="529"/>
      <c r="BA56" s="600"/>
    </row>
    <row r="57" spans="2:53">
      <c r="B57" s="610"/>
      <c r="C57" s="326">
        <v>11</v>
      </c>
      <c r="D57" s="455"/>
      <c r="E57" s="518"/>
      <c r="F57" s="518"/>
      <c r="G57" s="518"/>
      <c r="H57" s="668"/>
      <c r="I57" s="513" t="str">
        <f t="shared" si="37"/>
        <v>-</v>
      </c>
      <c r="J57" s="513" t="str">
        <f t="shared" si="38"/>
        <v>-</v>
      </c>
      <c r="K57" s="200" t="str">
        <f t="shared" si="39"/>
        <v>-</v>
      </c>
      <c r="L57" s="621"/>
      <c r="M57" s="201" t="e">
        <f>RANK(K57, K$47:$K$61)</f>
        <v>#VALUE!</v>
      </c>
      <c r="N57" s="604"/>
      <c r="O57" s="604"/>
      <c r="P57" s="531" t="s">
        <v>822</v>
      </c>
      <c r="Q57" s="533" t="s">
        <v>822</v>
      </c>
      <c r="R57" s="533" t="s">
        <v>822</v>
      </c>
      <c r="S57" s="532"/>
      <c r="T57" s="600"/>
      <c r="U57" s="531" t="s">
        <v>822</v>
      </c>
      <c r="V57" s="533" t="s">
        <v>822</v>
      </c>
      <c r="W57" s="533" t="s">
        <v>822</v>
      </c>
      <c r="X57" s="532"/>
      <c r="Y57" s="600"/>
      <c r="Z57" s="531" t="s">
        <v>822</v>
      </c>
      <c r="AA57" s="533" t="s">
        <v>822</v>
      </c>
      <c r="AB57" s="533" t="s">
        <v>822</v>
      </c>
      <c r="AC57" s="532"/>
      <c r="AD57" s="600"/>
      <c r="AE57" s="531" t="s">
        <v>822</v>
      </c>
      <c r="AF57" s="533" t="s">
        <v>822</v>
      </c>
      <c r="AG57" s="533" t="s">
        <v>822</v>
      </c>
      <c r="AH57" s="532"/>
      <c r="AI57" s="600"/>
      <c r="AJ57" s="531" t="s">
        <v>822</v>
      </c>
      <c r="AK57" s="533" t="s">
        <v>822</v>
      </c>
      <c r="AL57" s="533" t="s">
        <v>822</v>
      </c>
      <c r="AM57" s="532"/>
      <c r="AN57" s="600"/>
      <c r="AO57" s="531" t="s">
        <v>822</v>
      </c>
      <c r="AP57" s="533" t="s">
        <v>822</v>
      </c>
      <c r="AQ57" s="533" t="s">
        <v>822</v>
      </c>
      <c r="AR57" s="532"/>
      <c r="AS57" s="600"/>
      <c r="AT57" s="531" t="s">
        <v>822</v>
      </c>
      <c r="AU57" s="533" t="s">
        <v>822</v>
      </c>
      <c r="AV57" s="533" t="s">
        <v>822</v>
      </c>
      <c r="AW57" s="532"/>
      <c r="AX57" s="600"/>
      <c r="AZ57" s="529"/>
      <c r="BA57" s="600"/>
    </row>
    <row r="58" spans="2:53">
      <c r="B58" s="610"/>
      <c r="C58" s="326">
        <v>12</v>
      </c>
      <c r="D58" s="455"/>
      <c r="E58" s="518"/>
      <c r="F58" s="518"/>
      <c r="G58" s="518"/>
      <c r="H58" s="668"/>
      <c r="I58" s="513" t="str">
        <f t="shared" si="37"/>
        <v>-</v>
      </c>
      <c r="J58" s="513" t="str">
        <f t="shared" si="38"/>
        <v>-</v>
      </c>
      <c r="K58" s="200" t="str">
        <f t="shared" si="39"/>
        <v>-</v>
      </c>
      <c r="L58" s="621"/>
      <c r="M58" s="201" t="e">
        <f>RANK(K58, K$47:$K$61)</f>
        <v>#VALUE!</v>
      </c>
      <c r="N58" s="604"/>
      <c r="O58" s="604"/>
      <c r="P58" s="531" t="s">
        <v>822</v>
      </c>
      <c r="Q58" s="533" t="s">
        <v>822</v>
      </c>
      <c r="R58" s="533" t="s">
        <v>822</v>
      </c>
      <c r="S58" s="532"/>
      <c r="T58" s="600"/>
      <c r="U58" s="531" t="s">
        <v>822</v>
      </c>
      <c r="V58" s="533" t="s">
        <v>822</v>
      </c>
      <c r="W58" s="533" t="s">
        <v>822</v>
      </c>
      <c r="X58" s="532"/>
      <c r="Y58" s="600"/>
      <c r="Z58" s="531" t="s">
        <v>822</v>
      </c>
      <c r="AA58" s="533" t="s">
        <v>822</v>
      </c>
      <c r="AB58" s="533" t="s">
        <v>822</v>
      </c>
      <c r="AC58" s="532"/>
      <c r="AD58" s="600"/>
      <c r="AE58" s="531" t="s">
        <v>822</v>
      </c>
      <c r="AF58" s="533" t="s">
        <v>822</v>
      </c>
      <c r="AG58" s="533" t="s">
        <v>822</v>
      </c>
      <c r="AH58" s="532"/>
      <c r="AI58" s="600"/>
      <c r="AJ58" s="531" t="s">
        <v>822</v>
      </c>
      <c r="AK58" s="533" t="s">
        <v>822</v>
      </c>
      <c r="AL58" s="533" t="s">
        <v>822</v>
      </c>
      <c r="AM58" s="532"/>
      <c r="AN58" s="600"/>
      <c r="AO58" s="531" t="s">
        <v>822</v>
      </c>
      <c r="AP58" s="533" t="s">
        <v>822</v>
      </c>
      <c r="AQ58" s="533" t="s">
        <v>822</v>
      </c>
      <c r="AR58" s="532"/>
      <c r="AS58" s="600"/>
      <c r="AT58" s="531" t="s">
        <v>822</v>
      </c>
      <c r="AU58" s="533" t="s">
        <v>822</v>
      </c>
      <c r="AV58" s="533" t="s">
        <v>822</v>
      </c>
      <c r="AW58" s="532"/>
      <c r="AX58" s="600"/>
      <c r="AZ58" s="529"/>
      <c r="BA58" s="600"/>
    </row>
    <row r="59" spans="2:53">
      <c r="B59" s="610"/>
      <c r="C59" s="326">
        <v>13</v>
      </c>
      <c r="D59" s="455"/>
      <c r="E59" s="518"/>
      <c r="F59" s="518"/>
      <c r="G59" s="518"/>
      <c r="H59" s="668"/>
      <c r="I59" s="513" t="str">
        <f t="shared" si="37"/>
        <v>-</v>
      </c>
      <c r="J59" s="513" t="str">
        <f t="shared" si="38"/>
        <v>-</v>
      </c>
      <c r="K59" s="200" t="str">
        <f t="shared" si="39"/>
        <v>-</v>
      </c>
      <c r="L59" s="621"/>
      <c r="M59" s="201" t="e">
        <f>RANK(K59, K$47:$K$61)</f>
        <v>#VALUE!</v>
      </c>
      <c r="N59" s="604"/>
      <c r="O59" s="604"/>
      <c r="P59" s="531" t="s">
        <v>822</v>
      </c>
      <c r="Q59" s="533" t="s">
        <v>822</v>
      </c>
      <c r="R59" s="533" t="s">
        <v>822</v>
      </c>
      <c r="S59" s="532"/>
      <c r="T59" s="600"/>
      <c r="U59" s="531" t="s">
        <v>822</v>
      </c>
      <c r="V59" s="533" t="s">
        <v>822</v>
      </c>
      <c r="W59" s="533" t="s">
        <v>822</v>
      </c>
      <c r="X59" s="532"/>
      <c r="Y59" s="600"/>
      <c r="Z59" s="531" t="s">
        <v>822</v>
      </c>
      <c r="AA59" s="533" t="s">
        <v>822</v>
      </c>
      <c r="AB59" s="533" t="s">
        <v>822</v>
      </c>
      <c r="AC59" s="532"/>
      <c r="AD59" s="600"/>
      <c r="AE59" s="531" t="s">
        <v>822</v>
      </c>
      <c r="AF59" s="533" t="s">
        <v>822</v>
      </c>
      <c r="AG59" s="533" t="s">
        <v>822</v>
      </c>
      <c r="AH59" s="532"/>
      <c r="AI59" s="600"/>
      <c r="AJ59" s="531" t="s">
        <v>822</v>
      </c>
      <c r="AK59" s="533" t="s">
        <v>822</v>
      </c>
      <c r="AL59" s="533" t="s">
        <v>822</v>
      </c>
      <c r="AM59" s="532"/>
      <c r="AN59" s="600"/>
      <c r="AO59" s="531" t="s">
        <v>822</v>
      </c>
      <c r="AP59" s="533" t="s">
        <v>822</v>
      </c>
      <c r="AQ59" s="533" t="s">
        <v>822</v>
      </c>
      <c r="AR59" s="532"/>
      <c r="AS59" s="600"/>
      <c r="AT59" s="531" t="s">
        <v>822</v>
      </c>
      <c r="AU59" s="533" t="s">
        <v>822</v>
      </c>
      <c r="AV59" s="533" t="s">
        <v>822</v>
      </c>
      <c r="AW59" s="532"/>
      <c r="AX59" s="600"/>
      <c r="AZ59" s="529"/>
      <c r="BA59" s="600"/>
    </row>
    <row r="60" spans="2:53">
      <c r="B60" s="610"/>
      <c r="C60" s="326">
        <v>14</v>
      </c>
      <c r="D60" s="455"/>
      <c r="E60" s="518"/>
      <c r="F60" s="518"/>
      <c r="G60" s="518"/>
      <c r="H60" s="668"/>
      <c r="I60" s="513" t="str">
        <f t="shared" si="37"/>
        <v>-</v>
      </c>
      <c r="J60" s="513" t="str">
        <f t="shared" si="38"/>
        <v>-</v>
      </c>
      <c r="K60" s="200" t="str">
        <f t="shared" si="39"/>
        <v>-</v>
      </c>
      <c r="L60" s="621"/>
      <c r="M60" s="201" t="e">
        <f>RANK(K60, K$47:$K$61)</f>
        <v>#VALUE!</v>
      </c>
      <c r="N60" s="604"/>
      <c r="O60" s="604"/>
      <c r="P60" s="531" t="s">
        <v>822</v>
      </c>
      <c r="Q60" s="533" t="s">
        <v>822</v>
      </c>
      <c r="R60" s="533" t="s">
        <v>822</v>
      </c>
      <c r="S60" s="532"/>
      <c r="T60" s="600"/>
      <c r="U60" s="531" t="s">
        <v>822</v>
      </c>
      <c r="V60" s="533" t="s">
        <v>822</v>
      </c>
      <c r="W60" s="533" t="s">
        <v>822</v>
      </c>
      <c r="X60" s="532"/>
      <c r="Y60" s="600"/>
      <c r="Z60" s="531" t="s">
        <v>822</v>
      </c>
      <c r="AA60" s="533" t="s">
        <v>822</v>
      </c>
      <c r="AB60" s="533" t="s">
        <v>822</v>
      </c>
      <c r="AC60" s="532"/>
      <c r="AD60" s="600"/>
      <c r="AE60" s="531" t="s">
        <v>822</v>
      </c>
      <c r="AF60" s="533" t="s">
        <v>822</v>
      </c>
      <c r="AG60" s="533" t="s">
        <v>822</v>
      </c>
      <c r="AH60" s="532"/>
      <c r="AI60" s="600"/>
      <c r="AJ60" s="531" t="s">
        <v>822</v>
      </c>
      <c r="AK60" s="533" t="s">
        <v>822</v>
      </c>
      <c r="AL60" s="533" t="s">
        <v>822</v>
      </c>
      <c r="AM60" s="532"/>
      <c r="AN60" s="600"/>
      <c r="AO60" s="531" t="s">
        <v>822</v>
      </c>
      <c r="AP60" s="533" t="s">
        <v>822</v>
      </c>
      <c r="AQ60" s="533" t="s">
        <v>822</v>
      </c>
      <c r="AR60" s="532"/>
      <c r="AS60" s="600"/>
      <c r="AT60" s="531" t="s">
        <v>822</v>
      </c>
      <c r="AU60" s="533" t="s">
        <v>822</v>
      </c>
      <c r="AV60" s="533" t="s">
        <v>822</v>
      </c>
      <c r="AW60" s="532"/>
      <c r="AX60" s="600"/>
      <c r="AZ60" s="529"/>
      <c r="BA60" s="600"/>
    </row>
    <row r="61" spans="2:53">
      <c r="B61" s="610"/>
      <c r="C61" s="326">
        <v>15</v>
      </c>
      <c r="D61" s="455"/>
      <c r="E61" s="518"/>
      <c r="F61" s="518"/>
      <c r="G61" s="518"/>
      <c r="H61" s="669"/>
      <c r="I61" s="513" t="str">
        <f t="shared" si="37"/>
        <v>-</v>
      </c>
      <c r="J61" s="513" t="str">
        <f t="shared" si="38"/>
        <v>-</v>
      </c>
      <c r="K61" s="200" t="str">
        <f t="shared" si="39"/>
        <v>-</v>
      </c>
      <c r="L61" s="622"/>
      <c r="M61" s="201" t="e">
        <f>RANK(K61, K$47:$K$61)</f>
        <v>#VALUE!</v>
      </c>
      <c r="N61" s="604"/>
      <c r="O61" s="604"/>
      <c r="P61" s="531" t="s">
        <v>822</v>
      </c>
      <c r="Q61" s="533" t="s">
        <v>822</v>
      </c>
      <c r="R61" s="533" t="s">
        <v>822</v>
      </c>
      <c r="S61" s="532"/>
      <c r="T61" s="601"/>
      <c r="U61" s="531" t="s">
        <v>822</v>
      </c>
      <c r="V61" s="533" t="s">
        <v>822</v>
      </c>
      <c r="W61" s="533" t="s">
        <v>822</v>
      </c>
      <c r="X61" s="532"/>
      <c r="Y61" s="601"/>
      <c r="Z61" s="531" t="s">
        <v>822</v>
      </c>
      <c r="AA61" s="533" t="s">
        <v>822</v>
      </c>
      <c r="AB61" s="533" t="s">
        <v>822</v>
      </c>
      <c r="AC61" s="532"/>
      <c r="AD61" s="601"/>
      <c r="AE61" s="531" t="s">
        <v>822</v>
      </c>
      <c r="AF61" s="533" t="s">
        <v>822</v>
      </c>
      <c r="AG61" s="533" t="s">
        <v>822</v>
      </c>
      <c r="AH61" s="532"/>
      <c r="AI61" s="601"/>
      <c r="AJ61" s="531" t="s">
        <v>822</v>
      </c>
      <c r="AK61" s="533" t="s">
        <v>822</v>
      </c>
      <c r="AL61" s="533" t="s">
        <v>822</v>
      </c>
      <c r="AM61" s="532"/>
      <c r="AN61" s="601"/>
      <c r="AO61" s="531" t="s">
        <v>822</v>
      </c>
      <c r="AP61" s="533" t="s">
        <v>822</v>
      </c>
      <c r="AQ61" s="533" t="s">
        <v>822</v>
      </c>
      <c r="AR61" s="532"/>
      <c r="AS61" s="601"/>
      <c r="AT61" s="531" t="s">
        <v>822</v>
      </c>
      <c r="AU61" s="533" t="s">
        <v>822</v>
      </c>
      <c r="AV61" s="533" t="s">
        <v>822</v>
      </c>
      <c r="AW61" s="532"/>
      <c r="AX61" s="601"/>
      <c r="AZ61" s="529"/>
      <c r="BA61" s="601"/>
    </row>
    <row r="62" spans="2:53" ht="15.75">
      <c r="B62" s="633" t="s">
        <v>163</v>
      </c>
      <c r="C62" s="634"/>
      <c r="D62" s="634"/>
      <c r="E62" s="634"/>
      <c r="F62" s="634"/>
      <c r="G62" s="634"/>
      <c r="H62" s="635"/>
      <c r="I62" s="208"/>
      <c r="J62" s="208"/>
      <c r="K62" s="208"/>
      <c r="L62" s="208"/>
      <c r="M62" s="207"/>
      <c r="N62" s="606" t="s">
        <v>156</v>
      </c>
      <c r="O62" s="606" t="s">
        <v>105</v>
      </c>
      <c r="P62" s="632">
        <f>P42+7</f>
        <v>46133</v>
      </c>
      <c r="Q62" s="610"/>
      <c r="R62" s="610"/>
      <c r="S62" s="610"/>
      <c r="T62" s="610"/>
      <c r="U62" s="629">
        <f>P62+1</f>
        <v>46134</v>
      </c>
      <c r="V62" s="630"/>
      <c r="W62" s="630"/>
      <c r="X62" s="630"/>
      <c r="Y62" s="631"/>
      <c r="Z62" s="629">
        <f>U62+1</f>
        <v>46135</v>
      </c>
      <c r="AA62" s="630"/>
      <c r="AB62" s="630"/>
      <c r="AC62" s="630"/>
      <c r="AD62" s="631"/>
      <c r="AE62" s="629">
        <f>Z62+1</f>
        <v>46136</v>
      </c>
      <c r="AF62" s="630"/>
      <c r="AG62" s="630"/>
      <c r="AH62" s="630"/>
      <c r="AI62" s="631"/>
      <c r="AJ62" s="629">
        <f>AE62+1</f>
        <v>46137</v>
      </c>
      <c r="AK62" s="630"/>
      <c r="AL62" s="630"/>
      <c r="AM62" s="630"/>
      <c r="AN62" s="631"/>
      <c r="AO62" s="629">
        <f>AJ62+1</f>
        <v>46138</v>
      </c>
      <c r="AP62" s="630"/>
      <c r="AQ62" s="630"/>
      <c r="AR62" s="630"/>
      <c r="AS62" s="631"/>
      <c r="AT62" s="629">
        <f>AO62+1</f>
        <v>46139</v>
      </c>
      <c r="AU62" s="630"/>
      <c r="AV62" s="630"/>
      <c r="AW62" s="630"/>
      <c r="AX62" s="631"/>
    </row>
    <row r="63" spans="2:53" ht="15.75">
      <c r="B63" s="636"/>
      <c r="C63" s="636"/>
      <c r="D63" s="636"/>
      <c r="E63" s="636"/>
      <c r="F63" s="636"/>
      <c r="G63" s="636"/>
      <c r="H63" s="636"/>
      <c r="I63" s="205"/>
      <c r="J63" s="205"/>
      <c r="K63" s="205"/>
      <c r="L63" s="205"/>
      <c r="M63" s="206"/>
      <c r="N63" s="608"/>
      <c r="O63" s="608"/>
      <c r="P63" s="632" t="s">
        <v>336</v>
      </c>
      <c r="Q63" s="610"/>
      <c r="R63" s="610"/>
      <c r="S63" s="610"/>
      <c r="T63" s="610"/>
      <c r="U63" s="632" t="s">
        <v>337</v>
      </c>
      <c r="V63" s="610"/>
      <c r="W63" s="610"/>
      <c r="X63" s="610"/>
      <c r="Y63" s="610"/>
      <c r="Z63" s="632" t="s">
        <v>338</v>
      </c>
      <c r="AA63" s="610"/>
      <c r="AB63" s="610"/>
      <c r="AC63" s="610"/>
      <c r="AD63" s="610"/>
      <c r="AE63" s="632" t="s">
        <v>339</v>
      </c>
      <c r="AF63" s="610"/>
      <c r="AG63" s="610"/>
      <c r="AH63" s="610"/>
      <c r="AI63" s="610"/>
      <c r="AJ63" s="632" t="s">
        <v>340</v>
      </c>
      <c r="AK63" s="610"/>
      <c r="AL63" s="610"/>
      <c r="AM63" s="610"/>
      <c r="AN63" s="610"/>
      <c r="AO63" s="632" t="s">
        <v>341</v>
      </c>
      <c r="AP63" s="610"/>
      <c r="AQ63" s="610"/>
      <c r="AR63" s="610"/>
      <c r="AS63" s="610"/>
      <c r="AT63" s="632" t="s">
        <v>342</v>
      </c>
      <c r="AU63" s="610"/>
      <c r="AV63" s="610"/>
      <c r="AW63" s="610"/>
      <c r="AX63" s="610"/>
    </row>
    <row r="64" spans="2:53">
      <c r="B64" s="604" t="s">
        <v>398</v>
      </c>
      <c r="C64" s="604" t="s">
        <v>408</v>
      </c>
      <c r="D64" s="604"/>
      <c r="E64" s="604" t="s">
        <v>399</v>
      </c>
      <c r="F64" s="604"/>
      <c r="G64" s="604"/>
      <c r="H64" s="637" t="s">
        <v>395</v>
      </c>
      <c r="I64" s="656" t="s">
        <v>400</v>
      </c>
      <c r="J64" s="656"/>
      <c r="K64" s="656"/>
      <c r="L64" s="657" t="s">
        <v>395</v>
      </c>
      <c r="M64" s="642" t="s">
        <v>396</v>
      </c>
      <c r="N64" s="604"/>
      <c r="O64" s="604" t="s">
        <v>401</v>
      </c>
      <c r="P64" s="623" t="s">
        <v>397</v>
      </c>
      <c r="Q64" s="624"/>
      <c r="R64" s="624"/>
      <c r="S64" s="625"/>
      <c r="T64" s="604" t="s">
        <v>395</v>
      </c>
      <c r="U64" s="623" t="s">
        <v>397</v>
      </c>
      <c r="V64" s="624"/>
      <c r="W64" s="624"/>
      <c r="X64" s="625"/>
      <c r="Y64" s="604" t="s">
        <v>395</v>
      </c>
      <c r="Z64" s="623" t="s">
        <v>397</v>
      </c>
      <c r="AA64" s="624"/>
      <c r="AB64" s="624"/>
      <c r="AC64" s="625"/>
      <c r="AD64" s="604" t="s">
        <v>395</v>
      </c>
      <c r="AE64" s="623" t="s">
        <v>397</v>
      </c>
      <c r="AF64" s="624"/>
      <c r="AG64" s="624"/>
      <c r="AH64" s="625"/>
      <c r="AI64" s="604" t="s">
        <v>395</v>
      </c>
      <c r="AJ64" s="623" t="s">
        <v>397</v>
      </c>
      <c r="AK64" s="624"/>
      <c r="AL64" s="624"/>
      <c r="AM64" s="625"/>
      <c r="AN64" s="604" t="s">
        <v>395</v>
      </c>
      <c r="AO64" s="623" t="s">
        <v>397</v>
      </c>
      <c r="AP64" s="624"/>
      <c r="AQ64" s="624"/>
      <c r="AR64" s="625"/>
      <c r="AS64" s="604" t="s">
        <v>395</v>
      </c>
      <c r="AT64" s="623" t="s">
        <v>397</v>
      </c>
      <c r="AU64" s="624"/>
      <c r="AV64" s="624"/>
      <c r="AW64" s="625"/>
      <c r="AX64" s="604" t="s">
        <v>395</v>
      </c>
      <c r="BA64" s="604" t="s">
        <v>395</v>
      </c>
    </row>
    <row r="65" spans="2:53">
      <c r="B65" s="604"/>
      <c r="C65" s="604"/>
      <c r="D65" s="604"/>
      <c r="E65" s="604" t="s">
        <v>402</v>
      </c>
      <c r="F65" s="604"/>
      <c r="G65" s="604"/>
      <c r="H65" s="638"/>
      <c r="I65" s="656" t="s">
        <v>402</v>
      </c>
      <c r="J65" s="656"/>
      <c r="K65" s="656"/>
      <c r="L65" s="658"/>
      <c r="M65" s="643"/>
      <c r="N65" s="604"/>
      <c r="O65" s="604"/>
      <c r="P65" s="623" t="s">
        <v>403</v>
      </c>
      <c r="Q65" s="624"/>
      <c r="R65" s="624"/>
      <c r="S65" s="625"/>
      <c r="T65" s="604"/>
      <c r="U65" s="623" t="s">
        <v>403</v>
      </c>
      <c r="V65" s="624"/>
      <c r="W65" s="624"/>
      <c r="X65" s="625"/>
      <c r="Y65" s="604"/>
      <c r="Z65" s="623" t="s">
        <v>403</v>
      </c>
      <c r="AA65" s="624"/>
      <c r="AB65" s="624"/>
      <c r="AC65" s="625"/>
      <c r="AD65" s="604"/>
      <c r="AE65" s="623" t="s">
        <v>403</v>
      </c>
      <c r="AF65" s="624"/>
      <c r="AG65" s="624"/>
      <c r="AH65" s="625"/>
      <c r="AI65" s="604"/>
      <c r="AJ65" s="623" t="s">
        <v>403</v>
      </c>
      <c r="AK65" s="624"/>
      <c r="AL65" s="624"/>
      <c r="AM65" s="625"/>
      <c r="AN65" s="604"/>
      <c r="AO65" s="623" t="s">
        <v>403</v>
      </c>
      <c r="AP65" s="624"/>
      <c r="AQ65" s="624"/>
      <c r="AR65" s="625"/>
      <c r="AS65" s="604"/>
      <c r="AT65" s="623" t="s">
        <v>403</v>
      </c>
      <c r="AU65" s="624"/>
      <c r="AV65" s="624"/>
      <c r="AW65" s="625"/>
      <c r="AX65" s="604"/>
      <c r="BA65" s="604"/>
    </row>
    <row r="66" spans="2:53">
      <c r="B66" s="604"/>
      <c r="C66" s="604"/>
      <c r="D66" s="604"/>
      <c r="E66" s="304" t="s">
        <v>404</v>
      </c>
      <c r="F66" s="304" t="s">
        <v>405</v>
      </c>
      <c r="G66" s="304" t="s">
        <v>406</v>
      </c>
      <c r="H66" s="639"/>
      <c r="I66" s="303" t="s">
        <v>404</v>
      </c>
      <c r="J66" s="303" t="s">
        <v>405</v>
      </c>
      <c r="K66" s="303" t="s">
        <v>406</v>
      </c>
      <c r="L66" s="659"/>
      <c r="M66" s="644"/>
      <c r="N66" s="604"/>
      <c r="O66" s="604"/>
      <c r="P66" s="304" t="s">
        <v>404</v>
      </c>
      <c r="Q66" s="304" t="s">
        <v>405</v>
      </c>
      <c r="R66" s="304" t="s">
        <v>406</v>
      </c>
      <c r="S66" s="304" t="s">
        <v>396</v>
      </c>
      <c r="T66" s="604"/>
      <c r="U66" s="304" t="s">
        <v>404</v>
      </c>
      <c r="V66" s="304" t="s">
        <v>405</v>
      </c>
      <c r="W66" s="304" t="s">
        <v>406</v>
      </c>
      <c r="X66" s="304" t="s">
        <v>396</v>
      </c>
      <c r="Y66" s="604"/>
      <c r="Z66" s="304" t="s">
        <v>404</v>
      </c>
      <c r="AA66" s="304" t="s">
        <v>405</v>
      </c>
      <c r="AB66" s="304" t="s">
        <v>406</v>
      </c>
      <c r="AC66" s="304" t="s">
        <v>396</v>
      </c>
      <c r="AD66" s="604"/>
      <c r="AE66" s="304" t="s">
        <v>404</v>
      </c>
      <c r="AF66" s="304" t="s">
        <v>405</v>
      </c>
      <c r="AG66" s="304" t="s">
        <v>406</v>
      </c>
      <c r="AH66" s="304" t="s">
        <v>396</v>
      </c>
      <c r="AI66" s="604"/>
      <c r="AJ66" s="304" t="s">
        <v>404</v>
      </c>
      <c r="AK66" s="304" t="s">
        <v>405</v>
      </c>
      <c r="AL66" s="304" t="s">
        <v>406</v>
      </c>
      <c r="AM66" s="304" t="s">
        <v>396</v>
      </c>
      <c r="AN66" s="604"/>
      <c r="AO66" s="304" t="s">
        <v>404</v>
      </c>
      <c r="AP66" s="304" t="s">
        <v>405</v>
      </c>
      <c r="AQ66" s="304" t="s">
        <v>406</v>
      </c>
      <c r="AR66" s="304" t="s">
        <v>396</v>
      </c>
      <c r="AS66" s="604"/>
      <c r="AT66" s="304" t="s">
        <v>404</v>
      </c>
      <c r="AU66" s="304" t="s">
        <v>405</v>
      </c>
      <c r="AV66" s="304" t="s">
        <v>406</v>
      </c>
      <c r="AW66" s="304" t="s">
        <v>396</v>
      </c>
      <c r="AX66" s="604"/>
      <c r="AZ66" s="527" t="s">
        <v>396</v>
      </c>
      <c r="BA66" s="604"/>
    </row>
    <row r="67" spans="2:53">
      <c r="B67" s="666" t="s">
        <v>420</v>
      </c>
      <c r="C67" s="305">
        <v>1</v>
      </c>
      <c r="D67" s="455" t="s">
        <v>779</v>
      </c>
      <c r="E67" s="518">
        <v>10</v>
      </c>
      <c r="F67" s="518">
        <v>1500</v>
      </c>
      <c r="G67" s="518">
        <v>150</v>
      </c>
      <c r="H67" s="667">
        <f>AVERAGE(G67:G81)</f>
        <v>188</v>
      </c>
      <c r="I67" s="513">
        <f t="shared" ref="I67:I81" si="56">IFERROR(AVERAGE(P67,U67,Z67,AE67,AJ67,AO67,AT67),"-")</f>
        <v>10</v>
      </c>
      <c r="J67" s="513">
        <f t="shared" ref="J67:J81" si="57">IFERROR(AVERAGE(Q67,V67,AA67,AF67,AK67,AP67,AU67),"-")</f>
        <v>1321.6011273209519</v>
      </c>
      <c r="K67" s="200">
        <f t="shared" ref="K67:K81" si="58">IFERROR(AVERAGE(R67,W67,AB67,AG67,AL67,AQ67,AV67),"-")</f>
        <v>132.1601127320952</v>
      </c>
      <c r="L67" s="620">
        <f>IFERROR(AVERAGE(K67:K81),"-")</f>
        <v>199.40237272211158</v>
      </c>
      <c r="M67" s="508">
        <f>RANK(K67, K$67:$K$81)</f>
        <v>5</v>
      </c>
      <c r="N67" s="604"/>
      <c r="O67" s="604"/>
      <c r="P67" s="536">
        <v>10</v>
      </c>
      <c r="Q67" s="538">
        <v>1472.3076923076885</v>
      </c>
      <c r="R67" s="538">
        <v>147.23076923076886</v>
      </c>
      <c r="S67" s="537">
        <f t="shared" ref="S67:S81" si="59">RANK(R67, R$67:R$81)</f>
        <v>4</v>
      </c>
      <c r="T67" s="599">
        <f t="shared" ref="T67" si="60">AVERAGE(R67:R81)</f>
        <v>204.18267558528413</v>
      </c>
      <c r="U67" s="536">
        <v>10</v>
      </c>
      <c r="V67" s="538">
        <v>1458.4615384615347</v>
      </c>
      <c r="W67" s="538">
        <v>145.84615384615347</v>
      </c>
      <c r="X67" s="537">
        <f t="shared" ref="X67:X81" si="61">RANK(W67, W$67:W$81)</f>
        <v>5</v>
      </c>
      <c r="Y67" s="599">
        <f t="shared" ref="Y67" si="62">AVERAGE(W67:W81)</f>
        <v>220.60248881553244</v>
      </c>
      <c r="Z67" s="536">
        <v>10</v>
      </c>
      <c r="AA67" s="538">
        <v>1344.8275862068938</v>
      </c>
      <c r="AB67" s="538">
        <v>134.48275862068937</v>
      </c>
      <c r="AC67" s="537">
        <f t="shared" ref="AC67:AC81" si="63">RANK(AB67, AB$67:AB$81)</f>
        <v>3</v>
      </c>
      <c r="AD67" s="599">
        <f t="shared" ref="AD67" si="64">AVERAGE(AB67:AB81)</f>
        <v>191.18655059994231</v>
      </c>
      <c r="AE67" s="536">
        <v>10</v>
      </c>
      <c r="AF67" s="538">
        <v>1264.6153846153813</v>
      </c>
      <c r="AG67" s="538">
        <v>126.46153846153814</v>
      </c>
      <c r="AH67" s="537">
        <f t="shared" ref="AH67:AH81" si="65">RANK(AG67, AG$67:AG$81)</f>
        <v>5</v>
      </c>
      <c r="AI67" s="599">
        <f t="shared" ref="AI67" si="66">AVERAGE(AG67:AG81)</f>
        <v>199.92689415847312</v>
      </c>
      <c r="AJ67" s="536">
        <v>10</v>
      </c>
      <c r="AK67" s="538">
        <v>1098.6206896551703</v>
      </c>
      <c r="AL67" s="538">
        <v>109.86206896551703</v>
      </c>
      <c r="AM67" s="537">
        <f t="shared" ref="AM67:AM81" si="67">RANK(AL67, AL$67:AL$81)</f>
        <v>5</v>
      </c>
      <c r="AN67" s="599">
        <f t="shared" ref="AN67" si="68">AVERAGE(AL67:AL81)</f>
        <v>190.71824712643678</v>
      </c>
      <c r="AO67" s="536">
        <v>10</v>
      </c>
      <c r="AP67" s="538">
        <v>1297.9999999999977</v>
      </c>
      <c r="AQ67" s="538">
        <v>129.79999999999978</v>
      </c>
      <c r="AR67" s="537">
        <f t="shared" ref="AR67:AR81" si="69">RANK(AQ67, AQ$67:AQ$81)</f>
        <v>5</v>
      </c>
      <c r="AS67" s="599">
        <f t="shared" ref="AS67" si="70">AVERAGE(AQ67:AQ81)</f>
        <v>198.65357116313635</v>
      </c>
      <c r="AT67" s="536">
        <v>10</v>
      </c>
      <c r="AU67" s="538">
        <v>1314.3749999999982</v>
      </c>
      <c r="AV67" s="538">
        <v>131.43749999999983</v>
      </c>
      <c r="AW67" s="537">
        <f t="shared" ref="AW67:AW81" si="71">RANK(AV67, AV$67:AV$81)</f>
        <v>5</v>
      </c>
      <c r="AX67" s="599">
        <f t="shared" ref="AX67" si="72">AVERAGE(AV67:AV81)</f>
        <v>190.54618160597585</v>
      </c>
      <c r="AZ67" s="529" t="e">
        <f t="shared" ref="AZ67:AZ81" si="73">RANK(AY67, AY$67:AY$81)</f>
        <v>#N/A</v>
      </c>
      <c r="BA67" s="599" t="e">
        <f t="shared" ref="BA67" si="74">AVERAGE(AY67:AY81)</f>
        <v>#DIV/0!</v>
      </c>
    </row>
    <row r="68" spans="2:53">
      <c r="B68" s="610"/>
      <c r="C68" s="305">
        <v>2</v>
      </c>
      <c r="D68" s="455" t="s">
        <v>844</v>
      </c>
      <c r="E68" s="518">
        <v>15</v>
      </c>
      <c r="F68" s="518">
        <v>1800</v>
      </c>
      <c r="G68" s="518">
        <v>120</v>
      </c>
      <c r="H68" s="668"/>
      <c r="I68" s="513">
        <f t="shared" si="56"/>
        <v>12.285714285714286</v>
      </c>
      <c r="J68" s="513">
        <f t="shared" si="57"/>
        <v>1814.38869911601</v>
      </c>
      <c r="K68" s="200">
        <f t="shared" si="58"/>
        <v>148.15464049256065</v>
      </c>
      <c r="L68" s="621"/>
      <c r="M68" s="508">
        <f>RANK(K68, K$67:$K$81)</f>
        <v>3</v>
      </c>
      <c r="N68" s="604"/>
      <c r="O68" s="604"/>
      <c r="P68" s="536">
        <v>12</v>
      </c>
      <c r="Q68" s="538">
        <v>1821.5999999999976</v>
      </c>
      <c r="R68" s="538">
        <v>151.79999999999981</v>
      </c>
      <c r="S68" s="537">
        <f t="shared" si="59"/>
        <v>3</v>
      </c>
      <c r="T68" s="600"/>
      <c r="U68" s="536">
        <v>12</v>
      </c>
      <c r="V68" s="538">
        <v>1808.1818181818194</v>
      </c>
      <c r="W68" s="538">
        <v>150.68181818181827</v>
      </c>
      <c r="X68" s="537">
        <f t="shared" si="61"/>
        <v>4</v>
      </c>
      <c r="Y68" s="600"/>
      <c r="Z68" s="536">
        <v>14</v>
      </c>
      <c r="AA68" s="538">
        <v>1790.1176470588232</v>
      </c>
      <c r="AB68" s="538">
        <v>127.86554621848737</v>
      </c>
      <c r="AC68" s="537">
        <f t="shared" si="63"/>
        <v>5</v>
      </c>
      <c r="AD68" s="600"/>
      <c r="AE68" s="536">
        <v>12</v>
      </c>
      <c r="AF68" s="538">
        <v>1892.5714285714289</v>
      </c>
      <c r="AG68" s="538">
        <v>157.71428571428575</v>
      </c>
      <c r="AH68" s="537">
        <f t="shared" si="65"/>
        <v>3</v>
      </c>
      <c r="AI68" s="600"/>
      <c r="AJ68" s="536">
        <v>12</v>
      </c>
      <c r="AK68" s="538">
        <v>1766.2499999999993</v>
      </c>
      <c r="AL68" s="538">
        <v>147.18749999999994</v>
      </c>
      <c r="AM68" s="537">
        <f t="shared" si="67"/>
        <v>3</v>
      </c>
      <c r="AN68" s="600"/>
      <c r="AO68" s="536">
        <v>12</v>
      </c>
      <c r="AP68" s="538">
        <v>1848.6666666666665</v>
      </c>
      <c r="AQ68" s="538">
        <v>154.05555555555554</v>
      </c>
      <c r="AR68" s="537">
        <f t="shared" si="69"/>
        <v>3</v>
      </c>
      <c r="AS68" s="600"/>
      <c r="AT68" s="536">
        <v>12</v>
      </c>
      <c r="AU68" s="538">
        <v>1773.3333333333335</v>
      </c>
      <c r="AV68" s="538">
        <v>147.7777777777778</v>
      </c>
      <c r="AW68" s="537">
        <f t="shared" si="71"/>
        <v>3</v>
      </c>
      <c r="AX68" s="600"/>
      <c r="AZ68" s="529" t="e">
        <f t="shared" si="73"/>
        <v>#N/A</v>
      </c>
      <c r="BA68" s="600"/>
    </row>
    <row r="69" spans="2:53">
      <c r="B69" s="610"/>
      <c r="C69" s="305">
        <v>3</v>
      </c>
      <c r="D69" s="455" t="s">
        <v>845</v>
      </c>
      <c r="E69" s="518">
        <v>15</v>
      </c>
      <c r="F69" s="518">
        <v>1800</v>
      </c>
      <c r="G69" s="518">
        <v>120</v>
      </c>
      <c r="H69" s="668"/>
      <c r="I69" s="513">
        <f t="shared" si="56"/>
        <v>12.285714285714286</v>
      </c>
      <c r="J69" s="513">
        <f t="shared" si="57"/>
        <v>1766.0289715886352</v>
      </c>
      <c r="K69" s="200">
        <f t="shared" si="58"/>
        <v>144.04408096571962</v>
      </c>
      <c r="L69" s="621"/>
      <c r="M69" s="508">
        <f>RANK(K69, K$67:$K$81)</f>
        <v>4</v>
      </c>
      <c r="N69" s="604"/>
      <c r="O69" s="604"/>
      <c r="P69" s="536">
        <v>12</v>
      </c>
      <c r="Q69" s="538">
        <v>1741.2000000000005</v>
      </c>
      <c r="R69" s="538">
        <v>145.10000000000005</v>
      </c>
      <c r="S69" s="537">
        <f t="shared" si="59"/>
        <v>5</v>
      </c>
      <c r="T69" s="600"/>
      <c r="U69" s="536">
        <v>12</v>
      </c>
      <c r="V69" s="538">
        <v>1822.8571428571438</v>
      </c>
      <c r="W69" s="538">
        <v>151.90476190476198</v>
      </c>
      <c r="X69" s="537">
        <f t="shared" si="61"/>
        <v>3</v>
      </c>
      <c r="Y69" s="600"/>
      <c r="Z69" s="536">
        <v>14</v>
      </c>
      <c r="AA69" s="538">
        <v>1837.4999999999993</v>
      </c>
      <c r="AB69" s="538">
        <v>131.24999999999994</v>
      </c>
      <c r="AC69" s="537">
        <f t="shared" si="63"/>
        <v>4</v>
      </c>
      <c r="AD69" s="600"/>
      <c r="AE69" s="536">
        <v>12</v>
      </c>
      <c r="AF69" s="538">
        <v>1789.7142857142837</v>
      </c>
      <c r="AG69" s="538">
        <v>149.14285714285697</v>
      </c>
      <c r="AH69" s="537">
        <f t="shared" si="65"/>
        <v>4</v>
      </c>
      <c r="AI69" s="600"/>
      <c r="AJ69" s="536">
        <v>12</v>
      </c>
      <c r="AK69" s="538">
        <v>1666.4999999999995</v>
      </c>
      <c r="AL69" s="538">
        <v>138.87499999999997</v>
      </c>
      <c r="AM69" s="537">
        <f t="shared" si="67"/>
        <v>4</v>
      </c>
      <c r="AN69" s="600"/>
      <c r="AO69" s="536">
        <v>12</v>
      </c>
      <c r="AP69" s="538">
        <v>1732.6666666666665</v>
      </c>
      <c r="AQ69" s="538">
        <v>144.38888888888889</v>
      </c>
      <c r="AR69" s="537">
        <f t="shared" si="69"/>
        <v>4</v>
      </c>
      <c r="AS69" s="600"/>
      <c r="AT69" s="536">
        <v>12</v>
      </c>
      <c r="AU69" s="538">
        <v>1771.7647058823527</v>
      </c>
      <c r="AV69" s="538">
        <v>147.64705882352939</v>
      </c>
      <c r="AW69" s="537">
        <f t="shared" si="71"/>
        <v>4</v>
      </c>
      <c r="AX69" s="600"/>
      <c r="AZ69" s="529" t="e">
        <f t="shared" si="73"/>
        <v>#N/A</v>
      </c>
      <c r="BA69" s="600"/>
    </row>
    <row r="70" spans="2:53">
      <c r="B70" s="610"/>
      <c r="C70" s="305">
        <v>4</v>
      </c>
      <c r="D70" s="455" t="s">
        <v>638</v>
      </c>
      <c r="E70" s="518">
        <v>6</v>
      </c>
      <c r="F70" s="518">
        <v>1500</v>
      </c>
      <c r="G70" s="518">
        <v>250</v>
      </c>
      <c r="H70" s="668"/>
      <c r="I70" s="513">
        <f t="shared" si="56"/>
        <v>6</v>
      </c>
      <c r="J70" s="513">
        <f t="shared" si="57"/>
        <v>1624.3014128728423</v>
      </c>
      <c r="K70" s="200">
        <f t="shared" si="58"/>
        <v>270.71690214547368</v>
      </c>
      <c r="L70" s="621"/>
      <c r="M70" s="508">
        <f>RANK(K70, K$67:$K$81)</f>
        <v>2</v>
      </c>
      <c r="N70" s="604"/>
      <c r="O70" s="604"/>
      <c r="P70" s="536">
        <v>6</v>
      </c>
      <c r="Q70" s="538">
        <v>1620.0000000000009</v>
      </c>
      <c r="R70" s="538">
        <v>270.00000000000017</v>
      </c>
      <c r="S70" s="537">
        <f t="shared" si="59"/>
        <v>2</v>
      </c>
      <c r="T70" s="600"/>
      <c r="U70" s="536">
        <v>6</v>
      </c>
      <c r="V70" s="538">
        <v>2140.0000000000018</v>
      </c>
      <c r="W70" s="538">
        <v>356.66666666666697</v>
      </c>
      <c r="X70" s="537">
        <f t="shared" si="61"/>
        <v>1</v>
      </c>
      <c r="Y70" s="600"/>
      <c r="Z70" s="536">
        <v>6</v>
      </c>
      <c r="AA70" s="538">
        <v>1564.6153846153854</v>
      </c>
      <c r="AB70" s="538">
        <v>260.76923076923089</v>
      </c>
      <c r="AC70" s="537">
        <f t="shared" si="63"/>
        <v>2</v>
      </c>
      <c r="AD70" s="600"/>
      <c r="AE70" s="536">
        <v>6</v>
      </c>
      <c r="AF70" s="538">
        <v>1560</v>
      </c>
      <c r="AG70" s="538">
        <v>260</v>
      </c>
      <c r="AH70" s="537">
        <f t="shared" si="65"/>
        <v>2</v>
      </c>
      <c r="AI70" s="600"/>
      <c r="AJ70" s="536">
        <v>6</v>
      </c>
      <c r="AK70" s="538">
        <v>1529.9999999999993</v>
      </c>
      <c r="AL70" s="538">
        <v>254.99999999999989</v>
      </c>
      <c r="AM70" s="537">
        <f t="shared" si="67"/>
        <v>2</v>
      </c>
      <c r="AN70" s="600"/>
      <c r="AO70" s="536">
        <v>6</v>
      </c>
      <c r="AP70" s="538">
        <v>1536.9230769230778</v>
      </c>
      <c r="AQ70" s="538">
        <v>256.1538461538463</v>
      </c>
      <c r="AR70" s="537">
        <f t="shared" si="69"/>
        <v>2</v>
      </c>
      <c r="AS70" s="600"/>
      <c r="AT70" s="536">
        <v>6</v>
      </c>
      <c r="AU70" s="538">
        <v>1418.5714285714296</v>
      </c>
      <c r="AV70" s="538">
        <v>236.42857142857159</v>
      </c>
      <c r="AW70" s="537">
        <f t="shared" si="71"/>
        <v>2</v>
      </c>
      <c r="AX70" s="600"/>
      <c r="AZ70" s="529" t="e">
        <f t="shared" si="73"/>
        <v>#N/A</v>
      </c>
      <c r="BA70" s="600"/>
    </row>
    <row r="71" spans="2:53">
      <c r="B71" s="610"/>
      <c r="C71" s="305">
        <v>5</v>
      </c>
      <c r="D71" s="455" t="s">
        <v>579</v>
      </c>
      <c r="E71" s="518">
        <v>5</v>
      </c>
      <c r="F71" s="518">
        <v>1500</v>
      </c>
      <c r="G71" s="518">
        <v>300</v>
      </c>
      <c r="H71" s="668"/>
      <c r="I71" s="513">
        <f t="shared" si="56"/>
        <v>5</v>
      </c>
      <c r="J71" s="513">
        <f t="shared" si="57"/>
        <v>1509.6806363735432</v>
      </c>
      <c r="K71" s="200">
        <f t="shared" si="58"/>
        <v>301.93612727470867</v>
      </c>
      <c r="L71" s="621"/>
      <c r="M71" s="508">
        <f>RANK(K71, K$67:$K$81)</f>
        <v>1</v>
      </c>
      <c r="N71" s="604"/>
      <c r="O71" s="604"/>
      <c r="P71" s="536">
        <v>5</v>
      </c>
      <c r="Q71" s="538">
        <v>1533.9130434782583</v>
      </c>
      <c r="R71" s="538">
        <v>306.78260869565167</v>
      </c>
      <c r="S71" s="537">
        <f t="shared" si="59"/>
        <v>1</v>
      </c>
      <c r="T71" s="600"/>
      <c r="U71" s="536">
        <v>5</v>
      </c>
      <c r="V71" s="538">
        <v>1489.565217391307</v>
      </c>
      <c r="W71" s="538">
        <v>297.91304347826139</v>
      </c>
      <c r="X71" s="537">
        <f t="shared" si="61"/>
        <v>2</v>
      </c>
      <c r="Y71" s="600"/>
      <c r="Z71" s="536">
        <v>5</v>
      </c>
      <c r="AA71" s="538">
        <v>1507.8260869565192</v>
      </c>
      <c r="AB71" s="538">
        <v>301.56521739130386</v>
      </c>
      <c r="AC71" s="537">
        <f t="shared" si="63"/>
        <v>1</v>
      </c>
      <c r="AD71" s="600"/>
      <c r="AE71" s="536">
        <v>5</v>
      </c>
      <c r="AF71" s="538">
        <v>1531.5789473684235</v>
      </c>
      <c r="AG71" s="538">
        <v>306.31578947368473</v>
      </c>
      <c r="AH71" s="537">
        <f t="shared" si="65"/>
        <v>1</v>
      </c>
      <c r="AI71" s="600"/>
      <c r="AJ71" s="536">
        <v>5</v>
      </c>
      <c r="AK71" s="538">
        <v>1513.3333333333353</v>
      </c>
      <c r="AL71" s="538">
        <v>302.66666666666708</v>
      </c>
      <c r="AM71" s="537">
        <f t="shared" si="67"/>
        <v>1</v>
      </c>
      <c r="AN71" s="600"/>
      <c r="AO71" s="536">
        <v>5</v>
      </c>
      <c r="AP71" s="538">
        <v>1544.3478260869565</v>
      </c>
      <c r="AQ71" s="538">
        <v>308.86956521739131</v>
      </c>
      <c r="AR71" s="537">
        <f t="shared" si="69"/>
        <v>1</v>
      </c>
      <c r="AS71" s="600"/>
      <c r="AT71" s="536">
        <v>5</v>
      </c>
      <c r="AU71" s="538">
        <v>1447.2000000000028</v>
      </c>
      <c r="AV71" s="538">
        <v>289.44000000000057</v>
      </c>
      <c r="AW71" s="537">
        <f t="shared" si="71"/>
        <v>1</v>
      </c>
      <c r="AX71" s="600"/>
      <c r="AZ71" s="529" t="e">
        <f t="shared" si="73"/>
        <v>#N/A</v>
      </c>
      <c r="BA71" s="600"/>
    </row>
    <row r="72" spans="2:53">
      <c r="B72" s="610"/>
      <c r="C72" s="305">
        <v>6</v>
      </c>
      <c r="D72" s="455"/>
      <c r="E72" s="518"/>
      <c r="F72" s="518"/>
      <c r="G72" s="518"/>
      <c r="H72" s="668"/>
      <c r="I72" s="513" t="str">
        <f t="shared" si="56"/>
        <v>-</v>
      </c>
      <c r="J72" s="513" t="str">
        <f t="shared" si="57"/>
        <v>-</v>
      </c>
      <c r="K72" s="200" t="str">
        <f t="shared" si="58"/>
        <v>-</v>
      </c>
      <c r="L72" s="621"/>
      <c r="M72" s="508" t="e">
        <f>RANK(K72, K$67:$K$81)</f>
        <v>#VALUE!</v>
      </c>
      <c r="N72" s="604"/>
      <c r="O72" s="604"/>
      <c r="P72" s="536"/>
      <c r="Q72" s="538"/>
      <c r="R72" s="538"/>
      <c r="S72" s="537" t="e">
        <f t="shared" si="59"/>
        <v>#N/A</v>
      </c>
      <c r="T72" s="600"/>
      <c r="U72" s="536"/>
      <c r="V72" s="538"/>
      <c r="W72" s="538"/>
      <c r="X72" s="537" t="e">
        <f t="shared" si="61"/>
        <v>#N/A</v>
      </c>
      <c r="Y72" s="600"/>
      <c r="Z72" s="536"/>
      <c r="AA72" s="538"/>
      <c r="AB72" s="538"/>
      <c r="AC72" s="537" t="e">
        <f t="shared" si="63"/>
        <v>#N/A</v>
      </c>
      <c r="AD72" s="600"/>
      <c r="AE72" s="536"/>
      <c r="AF72" s="538"/>
      <c r="AG72" s="538"/>
      <c r="AH72" s="537" t="e">
        <f t="shared" si="65"/>
        <v>#N/A</v>
      </c>
      <c r="AI72" s="600"/>
      <c r="AJ72" s="536"/>
      <c r="AK72" s="538"/>
      <c r="AL72" s="538"/>
      <c r="AM72" s="537" t="e">
        <f t="shared" si="67"/>
        <v>#N/A</v>
      </c>
      <c r="AN72" s="600"/>
      <c r="AO72" s="536"/>
      <c r="AP72" s="538"/>
      <c r="AQ72" s="538"/>
      <c r="AR72" s="537" t="e">
        <f t="shared" si="69"/>
        <v>#N/A</v>
      </c>
      <c r="AS72" s="600"/>
      <c r="AT72" s="536"/>
      <c r="AU72" s="538"/>
      <c r="AV72" s="538"/>
      <c r="AW72" s="537" t="e">
        <f t="shared" si="71"/>
        <v>#N/A</v>
      </c>
      <c r="AX72" s="600"/>
      <c r="AZ72" s="529" t="e">
        <f t="shared" si="73"/>
        <v>#N/A</v>
      </c>
      <c r="BA72" s="600"/>
    </row>
    <row r="73" spans="2:53">
      <c r="B73" s="610"/>
      <c r="C73" s="305">
        <v>7</v>
      </c>
      <c r="D73" s="455"/>
      <c r="E73" s="518"/>
      <c r="F73" s="518"/>
      <c r="G73" s="518"/>
      <c r="H73" s="668"/>
      <c r="I73" s="513" t="str">
        <f t="shared" si="56"/>
        <v>-</v>
      </c>
      <c r="J73" s="513" t="str">
        <f t="shared" si="57"/>
        <v>-</v>
      </c>
      <c r="K73" s="200" t="str">
        <f t="shared" si="58"/>
        <v>-</v>
      </c>
      <c r="L73" s="621"/>
      <c r="M73" s="508" t="e">
        <f>RANK(K73, K$67:$K$81)</f>
        <v>#VALUE!</v>
      </c>
      <c r="N73" s="604"/>
      <c r="O73" s="604"/>
      <c r="P73" s="536"/>
      <c r="Q73" s="538"/>
      <c r="R73" s="538"/>
      <c r="S73" s="537" t="e">
        <f t="shared" si="59"/>
        <v>#N/A</v>
      </c>
      <c r="T73" s="600"/>
      <c r="U73" s="536"/>
      <c r="V73" s="538"/>
      <c r="W73" s="538"/>
      <c r="X73" s="537" t="e">
        <f t="shared" si="61"/>
        <v>#N/A</v>
      </c>
      <c r="Y73" s="600"/>
      <c r="Z73" s="536"/>
      <c r="AA73" s="538"/>
      <c r="AB73" s="538"/>
      <c r="AC73" s="537" t="e">
        <f t="shared" si="63"/>
        <v>#N/A</v>
      </c>
      <c r="AD73" s="600"/>
      <c r="AE73" s="536"/>
      <c r="AF73" s="538"/>
      <c r="AG73" s="538"/>
      <c r="AH73" s="537" t="e">
        <f t="shared" si="65"/>
        <v>#N/A</v>
      </c>
      <c r="AI73" s="600"/>
      <c r="AJ73" s="536"/>
      <c r="AK73" s="538"/>
      <c r="AL73" s="538"/>
      <c r="AM73" s="537" t="e">
        <f t="shared" si="67"/>
        <v>#N/A</v>
      </c>
      <c r="AN73" s="600"/>
      <c r="AO73" s="536"/>
      <c r="AP73" s="538"/>
      <c r="AQ73" s="538"/>
      <c r="AR73" s="537" t="e">
        <f t="shared" si="69"/>
        <v>#N/A</v>
      </c>
      <c r="AS73" s="600"/>
      <c r="AT73" s="536"/>
      <c r="AU73" s="538"/>
      <c r="AV73" s="538"/>
      <c r="AW73" s="537" t="e">
        <f t="shared" si="71"/>
        <v>#N/A</v>
      </c>
      <c r="AX73" s="600"/>
      <c r="AZ73" s="529" t="e">
        <f t="shared" si="73"/>
        <v>#N/A</v>
      </c>
      <c r="BA73" s="600"/>
    </row>
    <row r="74" spans="2:53">
      <c r="B74" s="610"/>
      <c r="C74" s="305">
        <v>8</v>
      </c>
      <c r="D74" s="342"/>
      <c r="E74" s="518"/>
      <c r="F74" s="518"/>
      <c r="G74" s="518"/>
      <c r="H74" s="668"/>
      <c r="I74" s="513" t="str">
        <f t="shared" si="56"/>
        <v>-</v>
      </c>
      <c r="J74" s="513" t="str">
        <f t="shared" si="57"/>
        <v>-</v>
      </c>
      <c r="K74" s="200" t="str">
        <f t="shared" si="58"/>
        <v>-</v>
      </c>
      <c r="L74" s="621"/>
      <c r="M74" s="508" t="e">
        <f>RANK(K74, K$67:$K$81)</f>
        <v>#VALUE!</v>
      </c>
      <c r="N74" s="604"/>
      <c r="O74" s="604"/>
      <c r="P74" s="536"/>
      <c r="Q74" s="538"/>
      <c r="R74" s="538"/>
      <c r="S74" s="537" t="e">
        <f t="shared" si="59"/>
        <v>#N/A</v>
      </c>
      <c r="T74" s="600"/>
      <c r="U74" s="536"/>
      <c r="V74" s="538"/>
      <c r="W74" s="538"/>
      <c r="X74" s="537" t="e">
        <f t="shared" si="61"/>
        <v>#N/A</v>
      </c>
      <c r="Y74" s="600"/>
      <c r="Z74" s="536"/>
      <c r="AA74" s="538"/>
      <c r="AB74" s="538"/>
      <c r="AC74" s="537" t="e">
        <f t="shared" si="63"/>
        <v>#N/A</v>
      </c>
      <c r="AD74" s="600"/>
      <c r="AE74" s="536"/>
      <c r="AF74" s="538"/>
      <c r="AG74" s="538"/>
      <c r="AH74" s="537" t="e">
        <f t="shared" si="65"/>
        <v>#N/A</v>
      </c>
      <c r="AI74" s="600"/>
      <c r="AJ74" s="536"/>
      <c r="AK74" s="538"/>
      <c r="AL74" s="538"/>
      <c r="AM74" s="537" t="e">
        <f t="shared" si="67"/>
        <v>#N/A</v>
      </c>
      <c r="AN74" s="600"/>
      <c r="AO74" s="536"/>
      <c r="AP74" s="538"/>
      <c r="AQ74" s="538"/>
      <c r="AR74" s="537" t="e">
        <f t="shared" si="69"/>
        <v>#N/A</v>
      </c>
      <c r="AS74" s="600"/>
      <c r="AT74" s="536"/>
      <c r="AU74" s="538"/>
      <c r="AV74" s="538"/>
      <c r="AW74" s="537" t="e">
        <f t="shared" si="71"/>
        <v>#N/A</v>
      </c>
      <c r="AX74" s="600"/>
      <c r="AZ74" s="529" t="e">
        <f t="shared" si="73"/>
        <v>#N/A</v>
      </c>
      <c r="BA74" s="600"/>
    </row>
    <row r="75" spans="2:53">
      <c r="B75" s="610"/>
      <c r="C75" s="305">
        <v>9</v>
      </c>
      <c r="D75" s="455"/>
      <c r="E75" s="518"/>
      <c r="F75" s="518"/>
      <c r="G75" s="518"/>
      <c r="H75" s="668"/>
      <c r="I75" s="513" t="str">
        <f t="shared" si="56"/>
        <v>-</v>
      </c>
      <c r="J75" s="513" t="str">
        <f t="shared" si="57"/>
        <v>-</v>
      </c>
      <c r="K75" s="200" t="str">
        <f t="shared" si="58"/>
        <v>-</v>
      </c>
      <c r="L75" s="621"/>
      <c r="M75" s="508" t="e">
        <f>RANK(K75, K$67:$K$81)</f>
        <v>#VALUE!</v>
      </c>
      <c r="N75" s="604"/>
      <c r="O75" s="604"/>
      <c r="P75" s="536"/>
      <c r="Q75" s="538"/>
      <c r="R75" s="538"/>
      <c r="S75" s="537" t="e">
        <f t="shared" si="59"/>
        <v>#N/A</v>
      </c>
      <c r="T75" s="600"/>
      <c r="U75" s="536"/>
      <c r="V75" s="538"/>
      <c r="W75" s="538"/>
      <c r="X75" s="537" t="e">
        <f t="shared" si="61"/>
        <v>#N/A</v>
      </c>
      <c r="Y75" s="600"/>
      <c r="Z75" s="536"/>
      <c r="AA75" s="538"/>
      <c r="AB75" s="538"/>
      <c r="AC75" s="537" t="e">
        <f t="shared" si="63"/>
        <v>#N/A</v>
      </c>
      <c r="AD75" s="600"/>
      <c r="AE75" s="536"/>
      <c r="AF75" s="538"/>
      <c r="AG75" s="538"/>
      <c r="AH75" s="537" t="e">
        <f t="shared" si="65"/>
        <v>#N/A</v>
      </c>
      <c r="AI75" s="600"/>
      <c r="AJ75" s="536"/>
      <c r="AK75" s="538"/>
      <c r="AL75" s="538"/>
      <c r="AM75" s="537" t="e">
        <f t="shared" si="67"/>
        <v>#N/A</v>
      </c>
      <c r="AN75" s="600"/>
      <c r="AO75" s="536"/>
      <c r="AP75" s="538"/>
      <c r="AQ75" s="538"/>
      <c r="AR75" s="537" t="e">
        <f t="shared" si="69"/>
        <v>#N/A</v>
      </c>
      <c r="AS75" s="600"/>
      <c r="AT75" s="536"/>
      <c r="AU75" s="538"/>
      <c r="AV75" s="538"/>
      <c r="AW75" s="537" t="e">
        <f t="shared" si="71"/>
        <v>#N/A</v>
      </c>
      <c r="AX75" s="600"/>
      <c r="AZ75" s="529" t="e">
        <f t="shared" si="73"/>
        <v>#N/A</v>
      </c>
      <c r="BA75" s="600"/>
    </row>
    <row r="76" spans="2:53">
      <c r="B76" s="610"/>
      <c r="C76" s="305">
        <v>10</v>
      </c>
      <c r="D76" s="455"/>
      <c r="E76" s="518"/>
      <c r="F76" s="518"/>
      <c r="G76" s="518"/>
      <c r="H76" s="668"/>
      <c r="I76" s="513" t="str">
        <f t="shared" si="56"/>
        <v>-</v>
      </c>
      <c r="J76" s="513" t="str">
        <f t="shared" si="57"/>
        <v>-</v>
      </c>
      <c r="K76" s="200" t="str">
        <f t="shared" si="58"/>
        <v>-</v>
      </c>
      <c r="L76" s="621"/>
      <c r="M76" s="508" t="e">
        <f>RANK(K76, K$67:$K$81)</f>
        <v>#VALUE!</v>
      </c>
      <c r="N76" s="604"/>
      <c r="O76" s="604"/>
      <c r="P76" s="536"/>
      <c r="Q76" s="538"/>
      <c r="R76" s="538"/>
      <c r="S76" s="537" t="e">
        <f t="shared" si="59"/>
        <v>#N/A</v>
      </c>
      <c r="T76" s="600"/>
      <c r="U76" s="536"/>
      <c r="V76" s="538"/>
      <c r="W76" s="538"/>
      <c r="X76" s="537" t="e">
        <f t="shared" si="61"/>
        <v>#N/A</v>
      </c>
      <c r="Y76" s="600"/>
      <c r="Z76" s="536"/>
      <c r="AA76" s="538"/>
      <c r="AB76" s="538"/>
      <c r="AC76" s="537" t="e">
        <f t="shared" si="63"/>
        <v>#N/A</v>
      </c>
      <c r="AD76" s="600"/>
      <c r="AE76" s="536"/>
      <c r="AF76" s="538"/>
      <c r="AG76" s="538"/>
      <c r="AH76" s="537" t="e">
        <f t="shared" si="65"/>
        <v>#N/A</v>
      </c>
      <c r="AI76" s="600"/>
      <c r="AJ76" s="536"/>
      <c r="AK76" s="538"/>
      <c r="AL76" s="538"/>
      <c r="AM76" s="537" t="e">
        <f t="shared" si="67"/>
        <v>#N/A</v>
      </c>
      <c r="AN76" s="600"/>
      <c r="AO76" s="536"/>
      <c r="AP76" s="538"/>
      <c r="AQ76" s="538"/>
      <c r="AR76" s="537" t="e">
        <f t="shared" si="69"/>
        <v>#N/A</v>
      </c>
      <c r="AS76" s="600"/>
      <c r="AT76" s="536"/>
      <c r="AU76" s="538"/>
      <c r="AV76" s="538"/>
      <c r="AW76" s="537" t="e">
        <f t="shared" si="71"/>
        <v>#N/A</v>
      </c>
      <c r="AX76" s="600"/>
      <c r="AZ76" s="529" t="e">
        <f t="shared" si="73"/>
        <v>#N/A</v>
      </c>
      <c r="BA76" s="600"/>
    </row>
    <row r="77" spans="2:53">
      <c r="B77" s="610"/>
      <c r="C77" s="305">
        <v>11</v>
      </c>
      <c r="D77" s="455"/>
      <c r="E77" s="518"/>
      <c r="F77" s="518"/>
      <c r="G77" s="518"/>
      <c r="H77" s="668"/>
      <c r="I77" s="513" t="str">
        <f t="shared" si="56"/>
        <v>-</v>
      </c>
      <c r="J77" s="513" t="str">
        <f t="shared" si="57"/>
        <v>-</v>
      </c>
      <c r="K77" s="200" t="str">
        <f t="shared" si="58"/>
        <v>-</v>
      </c>
      <c r="L77" s="621"/>
      <c r="M77" s="508" t="e">
        <f>RANK(K77, K$67:$K$81)</f>
        <v>#VALUE!</v>
      </c>
      <c r="N77" s="604"/>
      <c r="O77" s="604"/>
      <c r="P77" s="536"/>
      <c r="Q77" s="538"/>
      <c r="R77" s="538"/>
      <c r="S77" s="537" t="e">
        <f t="shared" si="59"/>
        <v>#N/A</v>
      </c>
      <c r="T77" s="600"/>
      <c r="U77" s="536"/>
      <c r="V77" s="538"/>
      <c r="W77" s="538"/>
      <c r="X77" s="537" t="e">
        <f t="shared" si="61"/>
        <v>#N/A</v>
      </c>
      <c r="Y77" s="600"/>
      <c r="Z77" s="536"/>
      <c r="AA77" s="538"/>
      <c r="AB77" s="538"/>
      <c r="AC77" s="537" t="e">
        <f t="shared" si="63"/>
        <v>#N/A</v>
      </c>
      <c r="AD77" s="600"/>
      <c r="AE77" s="536"/>
      <c r="AF77" s="538"/>
      <c r="AG77" s="538"/>
      <c r="AH77" s="537" t="e">
        <f t="shared" si="65"/>
        <v>#N/A</v>
      </c>
      <c r="AI77" s="600"/>
      <c r="AJ77" s="536"/>
      <c r="AK77" s="538"/>
      <c r="AL77" s="538"/>
      <c r="AM77" s="537" t="e">
        <f t="shared" si="67"/>
        <v>#N/A</v>
      </c>
      <c r="AN77" s="600"/>
      <c r="AO77" s="536"/>
      <c r="AP77" s="538"/>
      <c r="AQ77" s="538"/>
      <c r="AR77" s="537" t="e">
        <f t="shared" si="69"/>
        <v>#N/A</v>
      </c>
      <c r="AS77" s="600"/>
      <c r="AT77" s="536"/>
      <c r="AU77" s="538"/>
      <c r="AV77" s="538"/>
      <c r="AW77" s="537" t="e">
        <f t="shared" si="71"/>
        <v>#N/A</v>
      </c>
      <c r="AX77" s="600"/>
      <c r="AZ77" s="529" t="e">
        <f t="shared" si="73"/>
        <v>#N/A</v>
      </c>
      <c r="BA77" s="600"/>
    </row>
    <row r="78" spans="2:53">
      <c r="B78" s="610"/>
      <c r="C78" s="305">
        <v>12</v>
      </c>
      <c r="D78" s="455"/>
      <c r="E78" s="518"/>
      <c r="F78" s="518"/>
      <c r="G78" s="518"/>
      <c r="H78" s="668"/>
      <c r="I78" s="513" t="str">
        <f t="shared" si="56"/>
        <v>-</v>
      </c>
      <c r="J78" s="513" t="str">
        <f t="shared" si="57"/>
        <v>-</v>
      </c>
      <c r="K78" s="200" t="str">
        <f t="shared" si="58"/>
        <v>-</v>
      </c>
      <c r="L78" s="621"/>
      <c r="M78" s="508" t="e">
        <f>RANK(K78, K$67:$K$81)</f>
        <v>#VALUE!</v>
      </c>
      <c r="N78" s="604"/>
      <c r="O78" s="604"/>
      <c r="P78" s="536"/>
      <c r="Q78" s="538"/>
      <c r="R78" s="538"/>
      <c r="S78" s="537" t="e">
        <f t="shared" si="59"/>
        <v>#N/A</v>
      </c>
      <c r="T78" s="600"/>
      <c r="U78" s="536"/>
      <c r="V78" s="538"/>
      <c r="W78" s="538"/>
      <c r="X78" s="537" t="e">
        <f t="shared" si="61"/>
        <v>#N/A</v>
      </c>
      <c r="Y78" s="600"/>
      <c r="Z78" s="536"/>
      <c r="AA78" s="538"/>
      <c r="AB78" s="538"/>
      <c r="AC78" s="537" t="e">
        <f t="shared" si="63"/>
        <v>#N/A</v>
      </c>
      <c r="AD78" s="600"/>
      <c r="AE78" s="536"/>
      <c r="AF78" s="538"/>
      <c r="AG78" s="538"/>
      <c r="AH78" s="537" t="e">
        <f t="shared" si="65"/>
        <v>#N/A</v>
      </c>
      <c r="AI78" s="600"/>
      <c r="AJ78" s="536"/>
      <c r="AK78" s="538"/>
      <c r="AL78" s="538"/>
      <c r="AM78" s="537" t="e">
        <f t="shared" si="67"/>
        <v>#N/A</v>
      </c>
      <c r="AN78" s="600"/>
      <c r="AO78" s="536"/>
      <c r="AP78" s="538"/>
      <c r="AQ78" s="538"/>
      <c r="AR78" s="537" t="e">
        <f t="shared" si="69"/>
        <v>#N/A</v>
      </c>
      <c r="AS78" s="600"/>
      <c r="AT78" s="536"/>
      <c r="AU78" s="538"/>
      <c r="AV78" s="538"/>
      <c r="AW78" s="537" t="e">
        <f t="shared" si="71"/>
        <v>#N/A</v>
      </c>
      <c r="AX78" s="600"/>
      <c r="AZ78" s="529" t="e">
        <f t="shared" si="73"/>
        <v>#N/A</v>
      </c>
      <c r="BA78" s="600"/>
    </row>
    <row r="79" spans="2:53">
      <c r="B79" s="610"/>
      <c r="C79" s="305">
        <v>13</v>
      </c>
      <c r="D79" s="455"/>
      <c r="E79" s="518"/>
      <c r="F79" s="518"/>
      <c r="G79" s="518"/>
      <c r="H79" s="668"/>
      <c r="I79" s="513" t="str">
        <f t="shared" si="56"/>
        <v>-</v>
      </c>
      <c r="J79" s="513" t="str">
        <f t="shared" si="57"/>
        <v>-</v>
      </c>
      <c r="K79" s="200" t="str">
        <f t="shared" si="58"/>
        <v>-</v>
      </c>
      <c r="L79" s="621"/>
      <c r="M79" s="508" t="e">
        <f>RANK(K79, K$67:$K$81)</f>
        <v>#VALUE!</v>
      </c>
      <c r="N79" s="604"/>
      <c r="O79" s="604"/>
      <c r="P79" s="536"/>
      <c r="Q79" s="538"/>
      <c r="R79" s="538"/>
      <c r="S79" s="537" t="e">
        <f t="shared" si="59"/>
        <v>#N/A</v>
      </c>
      <c r="T79" s="600"/>
      <c r="U79" s="536"/>
      <c r="V79" s="538"/>
      <c r="W79" s="538"/>
      <c r="X79" s="537" t="e">
        <f t="shared" si="61"/>
        <v>#N/A</v>
      </c>
      <c r="Y79" s="600"/>
      <c r="Z79" s="536"/>
      <c r="AA79" s="538"/>
      <c r="AB79" s="538"/>
      <c r="AC79" s="537" t="e">
        <f t="shared" si="63"/>
        <v>#N/A</v>
      </c>
      <c r="AD79" s="600"/>
      <c r="AE79" s="536"/>
      <c r="AF79" s="538"/>
      <c r="AG79" s="538"/>
      <c r="AH79" s="537" t="e">
        <f t="shared" si="65"/>
        <v>#N/A</v>
      </c>
      <c r="AI79" s="600"/>
      <c r="AJ79" s="536"/>
      <c r="AK79" s="538"/>
      <c r="AL79" s="538"/>
      <c r="AM79" s="537" t="e">
        <f t="shared" si="67"/>
        <v>#N/A</v>
      </c>
      <c r="AN79" s="600"/>
      <c r="AO79" s="536"/>
      <c r="AP79" s="538"/>
      <c r="AQ79" s="538"/>
      <c r="AR79" s="537" t="e">
        <f t="shared" si="69"/>
        <v>#N/A</v>
      </c>
      <c r="AS79" s="600"/>
      <c r="AT79" s="536"/>
      <c r="AU79" s="538"/>
      <c r="AV79" s="538"/>
      <c r="AW79" s="537" t="e">
        <f t="shared" si="71"/>
        <v>#N/A</v>
      </c>
      <c r="AX79" s="600"/>
      <c r="AZ79" s="529" t="e">
        <f t="shared" si="73"/>
        <v>#N/A</v>
      </c>
      <c r="BA79" s="600"/>
    </row>
    <row r="80" spans="2:53">
      <c r="B80" s="610"/>
      <c r="C80" s="305">
        <v>14</v>
      </c>
      <c r="D80" s="455"/>
      <c r="E80" s="518"/>
      <c r="F80" s="518"/>
      <c r="G80" s="518"/>
      <c r="H80" s="668"/>
      <c r="I80" s="513" t="str">
        <f t="shared" si="56"/>
        <v>-</v>
      </c>
      <c r="J80" s="513" t="str">
        <f t="shared" si="57"/>
        <v>-</v>
      </c>
      <c r="K80" s="200" t="str">
        <f t="shared" si="58"/>
        <v>-</v>
      </c>
      <c r="L80" s="621"/>
      <c r="M80" s="508" t="e">
        <f>RANK(K80, K$67:$K$81)</f>
        <v>#VALUE!</v>
      </c>
      <c r="N80" s="604"/>
      <c r="O80" s="604"/>
      <c r="P80" s="536"/>
      <c r="Q80" s="538"/>
      <c r="R80" s="538"/>
      <c r="S80" s="537" t="e">
        <f t="shared" si="59"/>
        <v>#N/A</v>
      </c>
      <c r="T80" s="600"/>
      <c r="U80" s="536"/>
      <c r="V80" s="538"/>
      <c r="W80" s="538"/>
      <c r="X80" s="537" t="e">
        <f t="shared" si="61"/>
        <v>#N/A</v>
      </c>
      <c r="Y80" s="600"/>
      <c r="Z80" s="536"/>
      <c r="AA80" s="538"/>
      <c r="AB80" s="538"/>
      <c r="AC80" s="537" t="e">
        <f t="shared" si="63"/>
        <v>#N/A</v>
      </c>
      <c r="AD80" s="600"/>
      <c r="AE80" s="536"/>
      <c r="AF80" s="538"/>
      <c r="AG80" s="538"/>
      <c r="AH80" s="537" t="e">
        <f t="shared" si="65"/>
        <v>#N/A</v>
      </c>
      <c r="AI80" s="600"/>
      <c r="AJ80" s="536"/>
      <c r="AK80" s="538"/>
      <c r="AL80" s="538"/>
      <c r="AM80" s="537" t="e">
        <f t="shared" si="67"/>
        <v>#N/A</v>
      </c>
      <c r="AN80" s="600"/>
      <c r="AO80" s="536"/>
      <c r="AP80" s="538"/>
      <c r="AQ80" s="538"/>
      <c r="AR80" s="537" t="e">
        <f t="shared" si="69"/>
        <v>#N/A</v>
      </c>
      <c r="AS80" s="600"/>
      <c r="AT80" s="536"/>
      <c r="AU80" s="538"/>
      <c r="AV80" s="538"/>
      <c r="AW80" s="537" t="e">
        <f t="shared" si="71"/>
        <v>#N/A</v>
      </c>
      <c r="AX80" s="600"/>
      <c r="AZ80" s="529" t="e">
        <f t="shared" si="73"/>
        <v>#N/A</v>
      </c>
      <c r="BA80" s="600"/>
    </row>
    <row r="81" spans="2:53">
      <c r="B81" s="610"/>
      <c r="C81" s="305">
        <v>15</v>
      </c>
      <c r="D81" s="455"/>
      <c r="E81" s="518"/>
      <c r="F81" s="518"/>
      <c r="G81" s="518"/>
      <c r="H81" s="669"/>
      <c r="I81" s="513" t="str">
        <f t="shared" si="56"/>
        <v>-</v>
      </c>
      <c r="J81" s="513" t="str">
        <f t="shared" si="57"/>
        <v>-</v>
      </c>
      <c r="K81" s="200" t="str">
        <f t="shared" si="58"/>
        <v>-</v>
      </c>
      <c r="L81" s="622"/>
      <c r="M81" s="508" t="e">
        <f>RANK(K81, K$67:$K$81)</f>
        <v>#VALUE!</v>
      </c>
      <c r="N81" s="604"/>
      <c r="O81" s="604"/>
      <c r="P81" s="536"/>
      <c r="Q81" s="538"/>
      <c r="R81" s="538"/>
      <c r="S81" s="537" t="e">
        <f t="shared" si="59"/>
        <v>#N/A</v>
      </c>
      <c r="T81" s="601"/>
      <c r="U81" s="536"/>
      <c r="V81" s="538"/>
      <c r="W81" s="538"/>
      <c r="X81" s="537" t="e">
        <f t="shared" si="61"/>
        <v>#N/A</v>
      </c>
      <c r="Y81" s="601"/>
      <c r="Z81" s="536"/>
      <c r="AA81" s="538"/>
      <c r="AB81" s="538"/>
      <c r="AC81" s="537" t="e">
        <f t="shared" si="63"/>
        <v>#N/A</v>
      </c>
      <c r="AD81" s="601"/>
      <c r="AE81" s="536"/>
      <c r="AF81" s="538"/>
      <c r="AG81" s="538"/>
      <c r="AH81" s="537" t="e">
        <f t="shared" si="65"/>
        <v>#N/A</v>
      </c>
      <c r="AI81" s="601"/>
      <c r="AJ81" s="536"/>
      <c r="AK81" s="538"/>
      <c r="AL81" s="538"/>
      <c r="AM81" s="537" t="e">
        <f t="shared" si="67"/>
        <v>#N/A</v>
      </c>
      <c r="AN81" s="601"/>
      <c r="AO81" s="536"/>
      <c r="AP81" s="538"/>
      <c r="AQ81" s="538"/>
      <c r="AR81" s="537" t="e">
        <f t="shared" si="69"/>
        <v>#N/A</v>
      </c>
      <c r="AS81" s="601"/>
      <c r="AT81" s="536"/>
      <c r="AU81" s="538"/>
      <c r="AV81" s="538"/>
      <c r="AW81" s="537" t="e">
        <f t="shared" si="71"/>
        <v>#N/A</v>
      </c>
      <c r="AX81" s="601"/>
      <c r="AZ81" s="529" t="e">
        <f t="shared" si="73"/>
        <v>#N/A</v>
      </c>
      <c r="BA81" s="601"/>
    </row>
    <row r="82" spans="2:53" ht="15.75">
      <c r="B82" s="633" t="s">
        <v>163</v>
      </c>
      <c r="C82" s="634"/>
      <c r="D82" s="634"/>
      <c r="E82" s="634"/>
      <c r="F82" s="634"/>
      <c r="G82" s="634"/>
      <c r="H82" s="635"/>
      <c r="I82" s="208"/>
      <c r="J82" s="208"/>
      <c r="K82" s="208"/>
      <c r="L82" s="208"/>
      <c r="M82" s="207"/>
      <c r="N82" s="606" t="s">
        <v>156</v>
      </c>
      <c r="O82" s="606" t="s">
        <v>105</v>
      </c>
      <c r="P82" s="632">
        <f>P62+7</f>
        <v>46140</v>
      </c>
      <c r="Q82" s="610"/>
      <c r="R82" s="610"/>
      <c r="S82" s="610"/>
      <c r="T82" s="610"/>
      <c r="U82" s="629">
        <f>P82+1</f>
        <v>46141</v>
      </c>
      <c r="V82" s="630"/>
      <c r="W82" s="630"/>
      <c r="X82" s="630"/>
      <c r="Y82" s="631"/>
      <c r="Z82" s="629">
        <f>U82+1</f>
        <v>46142</v>
      </c>
      <c r="AA82" s="630"/>
      <c r="AB82" s="630"/>
      <c r="AC82" s="630"/>
      <c r="AD82" s="631"/>
      <c r="AE82" s="629">
        <f>Z82+1</f>
        <v>46143</v>
      </c>
      <c r="AF82" s="630"/>
      <c r="AG82" s="630"/>
      <c r="AH82" s="630"/>
      <c r="AI82" s="631"/>
      <c r="AJ82" s="629">
        <f>AE82+1</f>
        <v>46144</v>
      </c>
      <c r="AK82" s="630"/>
      <c r="AL82" s="630"/>
      <c r="AM82" s="630"/>
      <c r="AN82" s="631"/>
      <c r="AO82" s="629">
        <f>AJ82+1</f>
        <v>46145</v>
      </c>
      <c r="AP82" s="630"/>
      <c r="AQ82" s="630"/>
      <c r="AR82" s="630"/>
      <c r="AS82" s="631"/>
      <c r="AT82" s="629">
        <f>AO82+1</f>
        <v>46146</v>
      </c>
      <c r="AU82" s="630"/>
      <c r="AV82" s="630"/>
      <c r="AW82" s="630"/>
      <c r="AX82" s="631"/>
    </row>
    <row r="83" spans="2:53" ht="15.75">
      <c r="B83" s="636"/>
      <c r="C83" s="636"/>
      <c r="D83" s="636"/>
      <c r="E83" s="636"/>
      <c r="F83" s="636"/>
      <c r="G83" s="636"/>
      <c r="H83" s="636"/>
      <c r="I83" s="205"/>
      <c r="J83" s="205"/>
      <c r="K83" s="205"/>
      <c r="L83" s="205"/>
      <c r="M83" s="206"/>
      <c r="N83" s="608"/>
      <c r="O83" s="608"/>
      <c r="P83" s="632" t="s">
        <v>336</v>
      </c>
      <c r="Q83" s="610"/>
      <c r="R83" s="610"/>
      <c r="S83" s="610"/>
      <c r="T83" s="610"/>
      <c r="U83" s="632" t="s">
        <v>337</v>
      </c>
      <c r="V83" s="610"/>
      <c r="W83" s="610"/>
      <c r="X83" s="610"/>
      <c r="Y83" s="610"/>
      <c r="Z83" s="632" t="s">
        <v>338</v>
      </c>
      <c r="AA83" s="610"/>
      <c r="AB83" s="610"/>
      <c r="AC83" s="610"/>
      <c r="AD83" s="610"/>
      <c r="AE83" s="632" t="s">
        <v>339</v>
      </c>
      <c r="AF83" s="610"/>
      <c r="AG83" s="610"/>
      <c r="AH83" s="610"/>
      <c r="AI83" s="610"/>
      <c r="AJ83" s="632" t="s">
        <v>340</v>
      </c>
      <c r="AK83" s="610"/>
      <c r="AL83" s="610"/>
      <c r="AM83" s="610"/>
      <c r="AN83" s="610"/>
      <c r="AO83" s="632" t="s">
        <v>341</v>
      </c>
      <c r="AP83" s="610"/>
      <c r="AQ83" s="610"/>
      <c r="AR83" s="610"/>
      <c r="AS83" s="610"/>
      <c r="AT83" s="632" t="s">
        <v>342</v>
      </c>
      <c r="AU83" s="610"/>
      <c r="AV83" s="610"/>
      <c r="AW83" s="610"/>
      <c r="AX83" s="610"/>
    </row>
    <row r="84" spans="2:53">
      <c r="B84" s="604" t="s">
        <v>423</v>
      </c>
      <c r="C84" s="604" t="s">
        <v>424</v>
      </c>
      <c r="D84" s="604"/>
      <c r="E84" s="604" t="s">
        <v>425</v>
      </c>
      <c r="F84" s="604"/>
      <c r="G84" s="604"/>
      <c r="H84" s="637" t="s">
        <v>426</v>
      </c>
      <c r="I84" s="656" t="s">
        <v>427</v>
      </c>
      <c r="J84" s="656"/>
      <c r="K84" s="656"/>
      <c r="L84" s="657" t="s">
        <v>426</v>
      </c>
      <c r="M84" s="642" t="s">
        <v>428</v>
      </c>
      <c r="N84" s="604"/>
      <c r="O84" s="604" t="s">
        <v>429</v>
      </c>
      <c r="P84" s="623" t="s">
        <v>430</v>
      </c>
      <c r="Q84" s="624"/>
      <c r="R84" s="624"/>
      <c r="S84" s="625"/>
      <c r="T84" s="604" t="s">
        <v>426</v>
      </c>
      <c r="U84" s="623" t="s">
        <v>430</v>
      </c>
      <c r="V84" s="624"/>
      <c r="W84" s="624"/>
      <c r="X84" s="625"/>
      <c r="Y84" s="604" t="s">
        <v>426</v>
      </c>
      <c r="Z84" s="623" t="s">
        <v>430</v>
      </c>
      <c r="AA84" s="624"/>
      <c r="AB84" s="624"/>
      <c r="AC84" s="625"/>
      <c r="AD84" s="604" t="s">
        <v>426</v>
      </c>
      <c r="AE84" s="623" t="s">
        <v>430</v>
      </c>
      <c r="AF84" s="624"/>
      <c r="AG84" s="624"/>
      <c r="AH84" s="625"/>
      <c r="AI84" s="604" t="s">
        <v>426</v>
      </c>
      <c r="AJ84" s="623" t="s">
        <v>430</v>
      </c>
      <c r="AK84" s="624"/>
      <c r="AL84" s="624"/>
      <c r="AM84" s="625"/>
      <c r="AN84" s="604" t="s">
        <v>426</v>
      </c>
      <c r="AO84" s="623" t="s">
        <v>430</v>
      </c>
      <c r="AP84" s="624"/>
      <c r="AQ84" s="624"/>
      <c r="AR84" s="625"/>
      <c r="AS84" s="604" t="s">
        <v>426</v>
      </c>
      <c r="AT84" s="623" t="s">
        <v>430</v>
      </c>
      <c r="AU84" s="624"/>
      <c r="AV84" s="624"/>
      <c r="AW84" s="625"/>
      <c r="AX84" s="604" t="s">
        <v>426</v>
      </c>
      <c r="BA84" s="604" t="s">
        <v>395</v>
      </c>
    </row>
    <row r="85" spans="2:53">
      <c r="B85" s="604"/>
      <c r="C85" s="604"/>
      <c r="D85" s="604"/>
      <c r="E85" s="604" t="s">
        <v>431</v>
      </c>
      <c r="F85" s="604"/>
      <c r="G85" s="604"/>
      <c r="H85" s="638"/>
      <c r="I85" s="656" t="s">
        <v>431</v>
      </c>
      <c r="J85" s="656"/>
      <c r="K85" s="656"/>
      <c r="L85" s="658"/>
      <c r="M85" s="643"/>
      <c r="N85" s="604"/>
      <c r="O85" s="604"/>
      <c r="P85" s="623" t="s">
        <v>432</v>
      </c>
      <c r="Q85" s="624"/>
      <c r="R85" s="624"/>
      <c r="S85" s="625"/>
      <c r="T85" s="604"/>
      <c r="U85" s="623" t="s">
        <v>432</v>
      </c>
      <c r="V85" s="624"/>
      <c r="W85" s="624"/>
      <c r="X85" s="625"/>
      <c r="Y85" s="604"/>
      <c r="Z85" s="623" t="s">
        <v>432</v>
      </c>
      <c r="AA85" s="624"/>
      <c r="AB85" s="624"/>
      <c r="AC85" s="625"/>
      <c r="AD85" s="604"/>
      <c r="AE85" s="623" t="s">
        <v>432</v>
      </c>
      <c r="AF85" s="624"/>
      <c r="AG85" s="624"/>
      <c r="AH85" s="625"/>
      <c r="AI85" s="604"/>
      <c r="AJ85" s="623" t="s">
        <v>432</v>
      </c>
      <c r="AK85" s="624"/>
      <c r="AL85" s="624"/>
      <c r="AM85" s="625"/>
      <c r="AN85" s="604"/>
      <c r="AO85" s="623" t="s">
        <v>432</v>
      </c>
      <c r="AP85" s="624"/>
      <c r="AQ85" s="624"/>
      <c r="AR85" s="625"/>
      <c r="AS85" s="604"/>
      <c r="AT85" s="623" t="s">
        <v>432</v>
      </c>
      <c r="AU85" s="624"/>
      <c r="AV85" s="624"/>
      <c r="AW85" s="625"/>
      <c r="AX85" s="604"/>
      <c r="BA85" s="604"/>
    </row>
    <row r="86" spans="2:53">
      <c r="B86" s="604"/>
      <c r="C86" s="604"/>
      <c r="D86" s="604"/>
      <c r="E86" s="298" t="s">
        <v>433</v>
      </c>
      <c r="F86" s="298" t="s">
        <v>434</v>
      </c>
      <c r="G86" s="298" t="s">
        <v>435</v>
      </c>
      <c r="H86" s="639"/>
      <c r="I86" s="299" t="s">
        <v>433</v>
      </c>
      <c r="J86" s="299" t="s">
        <v>434</v>
      </c>
      <c r="K86" s="299" t="s">
        <v>435</v>
      </c>
      <c r="L86" s="659"/>
      <c r="M86" s="644"/>
      <c r="N86" s="604"/>
      <c r="O86" s="604"/>
      <c r="P86" s="298" t="s">
        <v>433</v>
      </c>
      <c r="Q86" s="298" t="s">
        <v>434</v>
      </c>
      <c r="R86" s="298" t="s">
        <v>435</v>
      </c>
      <c r="S86" s="298" t="s">
        <v>428</v>
      </c>
      <c r="T86" s="604"/>
      <c r="U86" s="298" t="s">
        <v>433</v>
      </c>
      <c r="V86" s="298" t="s">
        <v>434</v>
      </c>
      <c r="W86" s="298" t="s">
        <v>435</v>
      </c>
      <c r="X86" s="298" t="s">
        <v>428</v>
      </c>
      <c r="Y86" s="604"/>
      <c r="Z86" s="298" t="s">
        <v>433</v>
      </c>
      <c r="AA86" s="298" t="s">
        <v>434</v>
      </c>
      <c r="AB86" s="298" t="s">
        <v>435</v>
      </c>
      <c r="AC86" s="298" t="s">
        <v>428</v>
      </c>
      <c r="AD86" s="604"/>
      <c r="AE86" s="298" t="s">
        <v>433</v>
      </c>
      <c r="AF86" s="298" t="s">
        <v>434</v>
      </c>
      <c r="AG86" s="298" t="s">
        <v>435</v>
      </c>
      <c r="AH86" s="298" t="s">
        <v>428</v>
      </c>
      <c r="AI86" s="604"/>
      <c r="AJ86" s="298" t="s">
        <v>433</v>
      </c>
      <c r="AK86" s="298" t="s">
        <v>434</v>
      </c>
      <c r="AL86" s="298" t="s">
        <v>435</v>
      </c>
      <c r="AM86" s="298" t="s">
        <v>428</v>
      </c>
      <c r="AN86" s="604"/>
      <c r="AO86" s="298" t="s">
        <v>433</v>
      </c>
      <c r="AP86" s="298" t="s">
        <v>434</v>
      </c>
      <c r="AQ86" s="298" t="s">
        <v>435</v>
      </c>
      <c r="AR86" s="298" t="s">
        <v>428</v>
      </c>
      <c r="AS86" s="604"/>
      <c r="AT86" s="298" t="s">
        <v>433</v>
      </c>
      <c r="AU86" s="298" t="s">
        <v>434</v>
      </c>
      <c r="AV86" s="298" t="s">
        <v>435</v>
      </c>
      <c r="AW86" s="298" t="s">
        <v>428</v>
      </c>
      <c r="AX86" s="604"/>
      <c r="AZ86" s="527" t="s">
        <v>396</v>
      </c>
      <c r="BA86" s="604"/>
    </row>
    <row r="87" spans="2:53">
      <c r="B87" s="666" t="s">
        <v>436</v>
      </c>
      <c r="C87" s="297">
        <v>1</v>
      </c>
      <c r="D87" s="486"/>
      <c r="E87" s="486"/>
      <c r="F87" s="486"/>
      <c r="G87" s="182"/>
      <c r="H87" s="667" t="e">
        <f>AVERAGE(G87:G101)</f>
        <v>#DIV/0!</v>
      </c>
      <c r="I87" s="513" t="str">
        <f t="shared" ref="I87:I101" si="75">IFERROR(AVERAGE(P87,U87,Z87,AE87,AJ87,AO87,AT87),"-")</f>
        <v>-</v>
      </c>
      <c r="J87" s="513" t="str">
        <f t="shared" ref="J87:J101" si="76">IFERROR(AVERAGE(Q87,V87,AA87,AF87,AK87,AP87,AU87),"-")</f>
        <v>-</v>
      </c>
      <c r="K87" s="200" t="str">
        <f t="shared" ref="K87:K101" si="77">IFERROR(AVERAGE(R87,W87,AB87,AG87,AL87,AQ87,AV87),"-")</f>
        <v>-</v>
      </c>
      <c r="L87" s="620" t="str">
        <f>IFERROR(AVERAGE(K87:K101),"-")</f>
        <v>-</v>
      </c>
      <c r="M87" s="201" t="e">
        <f>RANK(K87, K$87:$K$101)</f>
        <v>#VALUE!</v>
      </c>
      <c r="N87" s="604"/>
      <c r="O87" s="604"/>
      <c r="P87" s="506"/>
      <c r="Q87" s="507"/>
      <c r="R87" s="507"/>
      <c r="S87" s="297" t="e">
        <f>RANK(R87, R$87:R$101)</f>
        <v>#N/A</v>
      </c>
      <c r="T87" s="605" t="e">
        <f>AVERAGE(R87:R101)</f>
        <v>#DIV/0!</v>
      </c>
      <c r="U87" s="506"/>
      <c r="V87" s="507"/>
      <c r="W87" s="507"/>
      <c r="X87" s="441" t="e">
        <f t="shared" ref="X87:X101" si="78">RANK(W87, W$87:W$101)</f>
        <v>#N/A</v>
      </c>
      <c r="Y87" s="605" t="e">
        <f t="shared" ref="Y87" si="79">AVERAGE(W87:W101)</f>
        <v>#DIV/0!</v>
      </c>
      <c r="Z87" s="506"/>
      <c r="AA87" s="507"/>
      <c r="AB87" s="507"/>
      <c r="AC87" s="441" t="e">
        <f t="shared" ref="AC87:AC101" si="80">RANK(AB87, AB$87:AB$101)</f>
        <v>#N/A</v>
      </c>
      <c r="AD87" s="605" t="e">
        <f t="shared" ref="AD87" si="81">AVERAGE(AB87:AB101)</f>
        <v>#DIV/0!</v>
      </c>
      <c r="AE87" s="506"/>
      <c r="AF87" s="507"/>
      <c r="AG87" s="507"/>
      <c r="AH87" s="441" t="e">
        <f t="shared" ref="AH87:AH101" si="82">RANK(AG87, AG$87:AG$101)</f>
        <v>#N/A</v>
      </c>
      <c r="AI87" s="605" t="e">
        <f t="shared" ref="AI87" si="83">AVERAGE(AG87:AG101)</f>
        <v>#DIV/0!</v>
      </c>
      <c r="AJ87" s="506"/>
      <c r="AK87" s="507"/>
      <c r="AL87" s="507"/>
      <c r="AM87" s="441" t="e">
        <f t="shared" ref="AM87:AM101" si="84">RANK(AL87, AL$87:AL$101)</f>
        <v>#N/A</v>
      </c>
      <c r="AN87" s="605" t="e">
        <f t="shared" ref="AN87" si="85">AVERAGE(AL87:AL101)</f>
        <v>#DIV/0!</v>
      </c>
      <c r="AO87" s="506"/>
      <c r="AP87" s="507"/>
      <c r="AQ87" s="507"/>
      <c r="AR87" s="441" t="e">
        <f t="shared" ref="AR87:AR101" si="86">RANK(AQ87, AQ$87:AQ$101)</f>
        <v>#N/A</v>
      </c>
      <c r="AS87" s="605" t="e">
        <f t="shared" ref="AS87" si="87">AVERAGE(AQ87:AQ101)</f>
        <v>#DIV/0!</v>
      </c>
      <c r="AT87" s="506"/>
      <c r="AU87" s="507"/>
      <c r="AV87" s="507"/>
      <c r="AW87" s="441" t="e">
        <f t="shared" ref="AW87:AW101" si="88">RANK(AV87, AV$87:AV$101)</f>
        <v>#N/A</v>
      </c>
      <c r="AX87" s="605" t="e">
        <f t="shared" ref="AX87" si="89">AVERAGE(AV87:AV101)</f>
        <v>#DIV/0!</v>
      </c>
      <c r="AZ87" s="526" t="e">
        <f t="shared" ref="AZ87:AZ101" si="90">RANK(AY87, AY$87:AY$101)</f>
        <v>#N/A</v>
      </c>
      <c r="BA87" s="605" t="e">
        <f t="shared" ref="BA87" si="91">AVERAGE(AY87:AY101)</f>
        <v>#DIV/0!</v>
      </c>
    </row>
    <row r="88" spans="2:53">
      <c r="B88" s="610"/>
      <c r="C88" s="297">
        <v>2</v>
      </c>
      <c r="D88" s="486"/>
      <c r="E88" s="486"/>
      <c r="F88" s="486"/>
      <c r="G88" s="182"/>
      <c r="H88" s="668"/>
      <c r="I88" s="513" t="str">
        <f t="shared" si="75"/>
        <v>-</v>
      </c>
      <c r="J88" s="513" t="str">
        <f t="shared" si="76"/>
        <v>-</v>
      </c>
      <c r="K88" s="200" t="str">
        <f t="shared" si="77"/>
        <v>-</v>
      </c>
      <c r="L88" s="621"/>
      <c r="M88" s="201" t="e">
        <f>RANK(K88, K$87:$K$101)</f>
        <v>#VALUE!</v>
      </c>
      <c r="N88" s="604"/>
      <c r="O88" s="604"/>
      <c r="P88" s="506"/>
      <c r="Q88" s="507"/>
      <c r="R88" s="507"/>
      <c r="S88" s="297" t="e">
        <f t="shared" ref="S88:S101" si="92">RANK(R88, R$87:R$101)</f>
        <v>#N/A</v>
      </c>
      <c r="T88" s="605"/>
      <c r="U88" s="506"/>
      <c r="V88" s="507"/>
      <c r="W88" s="507"/>
      <c r="X88" s="441" t="e">
        <f t="shared" si="78"/>
        <v>#N/A</v>
      </c>
      <c r="Y88" s="605"/>
      <c r="Z88" s="506"/>
      <c r="AA88" s="507"/>
      <c r="AB88" s="507"/>
      <c r="AC88" s="441" t="e">
        <f t="shared" si="80"/>
        <v>#N/A</v>
      </c>
      <c r="AD88" s="605"/>
      <c r="AE88" s="506"/>
      <c r="AF88" s="507"/>
      <c r="AG88" s="507"/>
      <c r="AH88" s="441" t="e">
        <f t="shared" si="82"/>
        <v>#N/A</v>
      </c>
      <c r="AI88" s="605"/>
      <c r="AJ88" s="506"/>
      <c r="AK88" s="507"/>
      <c r="AL88" s="507"/>
      <c r="AM88" s="441" t="e">
        <f t="shared" si="84"/>
        <v>#N/A</v>
      </c>
      <c r="AN88" s="605"/>
      <c r="AO88" s="506"/>
      <c r="AP88" s="507"/>
      <c r="AQ88" s="507"/>
      <c r="AR88" s="441" t="e">
        <f t="shared" si="86"/>
        <v>#N/A</v>
      </c>
      <c r="AS88" s="605"/>
      <c r="AT88" s="506"/>
      <c r="AU88" s="507"/>
      <c r="AV88" s="507"/>
      <c r="AW88" s="441" t="e">
        <f t="shared" si="88"/>
        <v>#N/A</v>
      </c>
      <c r="AX88" s="605"/>
      <c r="AZ88" s="526" t="e">
        <f t="shared" si="90"/>
        <v>#N/A</v>
      </c>
      <c r="BA88" s="605"/>
    </row>
    <row r="89" spans="2:53">
      <c r="B89" s="610"/>
      <c r="C89" s="297">
        <v>3</v>
      </c>
      <c r="D89" s="486"/>
      <c r="E89" s="486"/>
      <c r="F89" s="486"/>
      <c r="G89" s="182"/>
      <c r="H89" s="668"/>
      <c r="I89" s="513" t="str">
        <f t="shared" si="75"/>
        <v>-</v>
      </c>
      <c r="J89" s="513" t="str">
        <f t="shared" si="76"/>
        <v>-</v>
      </c>
      <c r="K89" s="200" t="str">
        <f t="shared" si="77"/>
        <v>-</v>
      </c>
      <c r="L89" s="621"/>
      <c r="M89" s="201" t="e">
        <f>RANK(K89, K$87:$K$101)</f>
        <v>#VALUE!</v>
      </c>
      <c r="N89" s="604"/>
      <c r="O89" s="604"/>
      <c r="P89" s="506"/>
      <c r="Q89" s="507"/>
      <c r="R89" s="507"/>
      <c r="S89" s="297" t="e">
        <f t="shared" si="92"/>
        <v>#N/A</v>
      </c>
      <c r="T89" s="605"/>
      <c r="U89" s="506"/>
      <c r="V89" s="507"/>
      <c r="W89" s="507"/>
      <c r="X89" s="441" t="e">
        <f t="shared" si="78"/>
        <v>#N/A</v>
      </c>
      <c r="Y89" s="605"/>
      <c r="Z89" s="506"/>
      <c r="AA89" s="507"/>
      <c r="AB89" s="507"/>
      <c r="AC89" s="441" t="e">
        <f t="shared" si="80"/>
        <v>#N/A</v>
      </c>
      <c r="AD89" s="605"/>
      <c r="AE89" s="506"/>
      <c r="AF89" s="507"/>
      <c r="AG89" s="507"/>
      <c r="AH89" s="441" t="e">
        <f t="shared" si="82"/>
        <v>#N/A</v>
      </c>
      <c r="AI89" s="605"/>
      <c r="AJ89" s="506"/>
      <c r="AK89" s="507"/>
      <c r="AL89" s="507"/>
      <c r="AM89" s="441" t="e">
        <f t="shared" si="84"/>
        <v>#N/A</v>
      </c>
      <c r="AN89" s="605"/>
      <c r="AO89" s="506"/>
      <c r="AP89" s="507"/>
      <c r="AQ89" s="507"/>
      <c r="AR89" s="441" t="e">
        <f t="shared" si="86"/>
        <v>#N/A</v>
      </c>
      <c r="AS89" s="605"/>
      <c r="AT89" s="506"/>
      <c r="AU89" s="507"/>
      <c r="AV89" s="507"/>
      <c r="AW89" s="441" t="e">
        <f t="shared" si="88"/>
        <v>#N/A</v>
      </c>
      <c r="AX89" s="605"/>
      <c r="AZ89" s="526" t="e">
        <f t="shared" si="90"/>
        <v>#N/A</v>
      </c>
      <c r="BA89" s="605"/>
    </row>
    <row r="90" spans="2:53">
      <c r="B90" s="610"/>
      <c r="C90" s="297">
        <v>4</v>
      </c>
      <c r="D90" s="486"/>
      <c r="E90" s="486"/>
      <c r="F90" s="486"/>
      <c r="G90" s="182"/>
      <c r="H90" s="668"/>
      <c r="I90" s="513" t="str">
        <f t="shared" si="75"/>
        <v>-</v>
      </c>
      <c r="J90" s="513" t="str">
        <f t="shared" si="76"/>
        <v>-</v>
      </c>
      <c r="K90" s="200" t="str">
        <f t="shared" si="77"/>
        <v>-</v>
      </c>
      <c r="L90" s="621"/>
      <c r="M90" s="201" t="e">
        <f>RANK(K90, K$87:$K$101)</f>
        <v>#VALUE!</v>
      </c>
      <c r="N90" s="604"/>
      <c r="O90" s="604"/>
      <c r="P90" s="506"/>
      <c r="Q90" s="507"/>
      <c r="R90" s="507"/>
      <c r="S90" s="297" t="e">
        <f t="shared" si="92"/>
        <v>#N/A</v>
      </c>
      <c r="T90" s="605"/>
      <c r="U90" s="506"/>
      <c r="V90" s="507"/>
      <c r="W90" s="507"/>
      <c r="X90" s="441" t="e">
        <f t="shared" si="78"/>
        <v>#N/A</v>
      </c>
      <c r="Y90" s="605"/>
      <c r="Z90" s="506"/>
      <c r="AA90" s="507"/>
      <c r="AB90" s="507"/>
      <c r="AC90" s="441" t="e">
        <f t="shared" si="80"/>
        <v>#N/A</v>
      </c>
      <c r="AD90" s="605"/>
      <c r="AE90" s="506"/>
      <c r="AF90" s="507"/>
      <c r="AG90" s="507"/>
      <c r="AH90" s="441" t="e">
        <f t="shared" si="82"/>
        <v>#N/A</v>
      </c>
      <c r="AI90" s="605"/>
      <c r="AJ90" s="506"/>
      <c r="AK90" s="507"/>
      <c r="AL90" s="507"/>
      <c r="AM90" s="441" t="e">
        <f t="shared" si="84"/>
        <v>#N/A</v>
      </c>
      <c r="AN90" s="605"/>
      <c r="AO90" s="506"/>
      <c r="AP90" s="507"/>
      <c r="AQ90" s="507"/>
      <c r="AR90" s="441" t="e">
        <f t="shared" si="86"/>
        <v>#N/A</v>
      </c>
      <c r="AS90" s="605"/>
      <c r="AT90" s="506"/>
      <c r="AU90" s="507"/>
      <c r="AV90" s="507"/>
      <c r="AW90" s="441" t="e">
        <f t="shared" si="88"/>
        <v>#N/A</v>
      </c>
      <c r="AX90" s="605"/>
      <c r="AZ90" s="526" t="e">
        <f t="shared" si="90"/>
        <v>#N/A</v>
      </c>
      <c r="BA90" s="605"/>
    </row>
    <row r="91" spans="2:53">
      <c r="B91" s="610"/>
      <c r="C91" s="297">
        <v>5</v>
      </c>
      <c r="D91" s="486"/>
      <c r="E91" s="486"/>
      <c r="F91" s="486"/>
      <c r="G91" s="182"/>
      <c r="H91" s="668"/>
      <c r="I91" s="513" t="str">
        <f t="shared" si="75"/>
        <v>-</v>
      </c>
      <c r="J91" s="513" t="str">
        <f t="shared" si="76"/>
        <v>-</v>
      </c>
      <c r="K91" s="200" t="str">
        <f t="shared" si="77"/>
        <v>-</v>
      </c>
      <c r="L91" s="621"/>
      <c r="M91" s="201" t="e">
        <f>RANK(K91, K$87:$K$101)</f>
        <v>#VALUE!</v>
      </c>
      <c r="N91" s="604"/>
      <c r="O91" s="604"/>
      <c r="P91" s="506"/>
      <c r="Q91" s="507"/>
      <c r="R91" s="507"/>
      <c r="S91" s="297" t="e">
        <f t="shared" si="92"/>
        <v>#N/A</v>
      </c>
      <c r="T91" s="605"/>
      <c r="U91" s="506"/>
      <c r="V91" s="507"/>
      <c r="W91" s="507"/>
      <c r="X91" s="441" t="e">
        <f t="shared" si="78"/>
        <v>#N/A</v>
      </c>
      <c r="Y91" s="605"/>
      <c r="Z91" s="506"/>
      <c r="AA91" s="507"/>
      <c r="AB91" s="507"/>
      <c r="AC91" s="441" t="e">
        <f t="shared" si="80"/>
        <v>#N/A</v>
      </c>
      <c r="AD91" s="605"/>
      <c r="AE91" s="506"/>
      <c r="AF91" s="507"/>
      <c r="AG91" s="507"/>
      <c r="AH91" s="441" t="e">
        <f t="shared" si="82"/>
        <v>#N/A</v>
      </c>
      <c r="AI91" s="605"/>
      <c r="AJ91" s="506"/>
      <c r="AK91" s="507"/>
      <c r="AL91" s="507"/>
      <c r="AM91" s="441" t="e">
        <f t="shared" si="84"/>
        <v>#N/A</v>
      </c>
      <c r="AN91" s="605"/>
      <c r="AO91" s="506"/>
      <c r="AP91" s="507"/>
      <c r="AQ91" s="507"/>
      <c r="AR91" s="441" t="e">
        <f t="shared" si="86"/>
        <v>#N/A</v>
      </c>
      <c r="AS91" s="605"/>
      <c r="AT91" s="506"/>
      <c r="AU91" s="507"/>
      <c r="AV91" s="507"/>
      <c r="AW91" s="441" t="e">
        <f t="shared" si="88"/>
        <v>#N/A</v>
      </c>
      <c r="AX91" s="605"/>
      <c r="AZ91" s="526" t="e">
        <f t="shared" si="90"/>
        <v>#N/A</v>
      </c>
      <c r="BA91" s="605"/>
    </row>
    <row r="92" spans="2:53">
      <c r="B92" s="610"/>
      <c r="C92" s="297">
        <v>6</v>
      </c>
      <c r="D92" s="486"/>
      <c r="E92" s="486"/>
      <c r="F92" s="486"/>
      <c r="G92" s="182"/>
      <c r="H92" s="668"/>
      <c r="I92" s="513" t="str">
        <f t="shared" si="75"/>
        <v>-</v>
      </c>
      <c r="J92" s="513" t="str">
        <f t="shared" si="76"/>
        <v>-</v>
      </c>
      <c r="K92" s="200" t="str">
        <f t="shared" si="77"/>
        <v>-</v>
      </c>
      <c r="L92" s="621"/>
      <c r="M92" s="201" t="e">
        <f>RANK(K92, K$87:$K$101)</f>
        <v>#VALUE!</v>
      </c>
      <c r="N92" s="604"/>
      <c r="O92" s="604"/>
      <c r="P92" s="506"/>
      <c r="Q92" s="507"/>
      <c r="R92" s="507"/>
      <c r="S92" s="297" t="e">
        <f t="shared" si="92"/>
        <v>#N/A</v>
      </c>
      <c r="T92" s="605"/>
      <c r="U92" s="506"/>
      <c r="V92" s="507"/>
      <c r="W92" s="507"/>
      <c r="X92" s="441" t="e">
        <f t="shared" si="78"/>
        <v>#N/A</v>
      </c>
      <c r="Y92" s="605"/>
      <c r="Z92" s="506"/>
      <c r="AA92" s="507"/>
      <c r="AB92" s="507"/>
      <c r="AC92" s="441" t="e">
        <f t="shared" si="80"/>
        <v>#N/A</v>
      </c>
      <c r="AD92" s="605"/>
      <c r="AE92" s="506"/>
      <c r="AF92" s="507"/>
      <c r="AG92" s="507"/>
      <c r="AH92" s="441" t="e">
        <f t="shared" si="82"/>
        <v>#N/A</v>
      </c>
      <c r="AI92" s="605"/>
      <c r="AJ92" s="506"/>
      <c r="AK92" s="507"/>
      <c r="AL92" s="507"/>
      <c r="AM92" s="441" t="e">
        <f t="shared" si="84"/>
        <v>#N/A</v>
      </c>
      <c r="AN92" s="605"/>
      <c r="AO92" s="506"/>
      <c r="AP92" s="507"/>
      <c r="AQ92" s="507"/>
      <c r="AR92" s="441" t="e">
        <f t="shared" si="86"/>
        <v>#N/A</v>
      </c>
      <c r="AS92" s="605"/>
      <c r="AT92" s="506"/>
      <c r="AU92" s="507"/>
      <c r="AV92" s="507"/>
      <c r="AW92" s="441" t="e">
        <f t="shared" si="88"/>
        <v>#N/A</v>
      </c>
      <c r="AX92" s="605"/>
      <c r="AZ92" s="526" t="e">
        <f t="shared" si="90"/>
        <v>#N/A</v>
      </c>
      <c r="BA92" s="605"/>
    </row>
    <row r="93" spans="2:53">
      <c r="B93" s="610"/>
      <c r="C93" s="297">
        <v>7</v>
      </c>
      <c r="D93" s="460"/>
      <c r="E93" s="460"/>
      <c r="F93" s="460"/>
      <c r="G93" s="182"/>
      <c r="H93" s="668"/>
      <c r="I93" s="513" t="str">
        <f t="shared" si="75"/>
        <v>-</v>
      </c>
      <c r="J93" s="513" t="str">
        <f t="shared" si="76"/>
        <v>-</v>
      </c>
      <c r="K93" s="200" t="str">
        <f t="shared" si="77"/>
        <v>-</v>
      </c>
      <c r="L93" s="621"/>
      <c r="M93" s="201" t="e">
        <f>RANK(K93, K$87:$K$101)</f>
        <v>#VALUE!</v>
      </c>
      <c r="N93" s="604"/>
      <c r="O93" s="604"/>
      <c r="P93" s="506"/>
      <c r="Q93" s="507"/>
      <c r="R93" s="507"/>
      <c r="S93" s="297" t="e">
        <f t="shared" si="92"/>
        <v>#N/A</v>
      </c>
      <c r="T93" s="605"/>
      <c r="U93" s="506"/>
      <c r="V93" s="507"/>
      <c r="W93" s="507"/>
      <c r="X93" s="441" t="e">
        <f t="shared" si="78"/>
        <v>#N/A</v>
      </c>
      <c r="Y93" s="605"/>
      <c r="Z93" s="506"/>
      <c r="AA93" s="507"/>
      <c r="AB93" s="507"/>
      <c r="AC93" s="441" t="e">
        <f t="shared" si="80"/>
        <v>#N/A</v>
      </c>
      <c r="AD93" s="605"/>
      <c r="AE93" s="506"/>
      <c r="AF93" s="507"/>
      <c r="AG93" s="507"/>
      <c r="AH93" s="441" t="e">
        <f t="shared" si="82"/>
        <v>#N/A</v>
      </c>
      <c r="AI93" s="605"/>
      <c r="AJ93" s="506"/>
      <c r="AK93" s="507"/>
      <c r="AL93" s="507"/>
      <c r="AM93" s="441" t="e">
        <f t="shared" si="84"/>
        <v>#N/A</v>
      </c>
      <c r="AN93" s="605"/>
      <c r="AO93" s="506"/>
      <c r="AP93" s="507"/>
      <c r="AQ93" s="507"/>
      <c r="AR93" s="441" t="e">
        <f t="shared" si="86"/>
        <v>#N/A</v>
      </c>
      <c r="AS93" s="605"/>
      <c r="AT93" s="506"/>
      <c r="AU93" s="507"/>
      <c r="AV93" s="507"/>
      <c r="AW93" s="441" t="e">
        <f t="shared" si="88"/>
        <v>#N/A</v>
      </c>
      <c r="AX93" s="605"/>
      <c r="AZ93" s="526" t="e">
        <f t="shared" si="90"/>
        <v>#N/A</v>
      </c>
      <c r="BA93" s="605"/>
    </row>
    <row r="94" spans="2:53">
      <c r="B94" s="610"/>
      <c r="C94" s="297">
        <v>8</v>
      </c>
      <c r="D94" s="460"/>
      <c r="E94" s="460"/>
      <c r="F94" s="460"/>
      <c r="G94" s="182"/>
      <c r="H94" s="668"/>
      <c r="I94" s="513" t="str">
        <f t="shared" si="75"/>
        <v>-</v>
      </c>
      <c r="J94" s="513" t="str">
        <f t="shared" si="76"/>
        <v>-</v>
      </c>
      <c r="K94" s="200" t="str">
        <f t="shared" si="77"/>
        <v>-</v>
      </c>
      <c r="L94" s="621"/>
      <c r="M94" s="201" t="e">
        <f>RANK(K94, K$87:$K$101)</f>
        <v>#VALUE!</v>
      </c>
      <c r="N94" s="604"/>
      <c r="O94" s="604"/>
      <c r="P94" s="506"/>
      <c r="Q94" s="507"/>
      <c r="R94" s="507"/>
      <c r="S94" s="297" t="e">
        <f t="shared" si="92"/>
        <v>#N/A</v>
      </c>
      <c r="T94" s="605"/>
      <c r="U94" s="506"/>
      <c r="V94" s="507"/>
      <c r="W94" s="507"/>
      <c r="X94" s="441" t="e">
        <f t="shared" si="78"/>
        <v>#N/A</v>
      </c>
      <c r="Y94" s="605"/>
      <c r="Z94" s="506"/>
      <c r="AA94" s="507"/>
      <c r="AB94" s="507"/>
      <c r="AC94" s="441" t="e">
        <f t="shared" si="80"/>
        <v>#N/A</v>
      </c>
      <c r="AD94" s="605"/>
      <c r="AE94" s="506"/>
      <c r="AF94" s="507"/>
      <c r="AG94" s="507"/>
      <c r="AH94" s="441" t="e">
        <f t="shared" si="82"/>
        <v>#N/A</v>
      </c>
      <c r="AI94" s="605"/>
      <c r="AJ94" s="506"/>
      <c r="AK94" s="507"/>
      <c r="AL94" s="507"/>
      <c r="AM94" s="441" t="e">
        <f t="shared" si="84"/>
        <v>#N/A</v>
      </c>
      <c r="AN94" s="605"/>
      <c r="AO94" s="506"/>
      <c r="AP94" s="507"/>
      <c r="AQ94" s="507"/>
      <c r="AR94" s="441" t="e">
        <f t="shared" si="86"/>
        <v>#N/A</v>
      </c>
      <c r="AS94" s="605"/>
      <c r="AT94" s="506"/>
      <c r="AU94" s="507"/>
      <c r="AV94" s="507"/>
      <c r="AW94" s="441" t="e">
        <f t="shared" si="88"/>
        <v>#N/A</v>
      </c>
      <c r="AX94" s="605"/>
      <c r="AZ94" s="526" t="e">
        <f t="shared" si="90"/>
        <v>#N/A</v>
      </c>
      <c r="BA94" s="605"/>
    </row>
    <row r="95" spans="2:53">
      <c r="B95" s="610"/>
      <c r="C95" s="297">
        <v>9</v>
      </c>
      <c r="D95" s="460"/>
      <c r="E95" s="460"/>
      <c r="F95" s="460"/>
      <c r="G95" s="182"/>
      <c r="H95" s="668"/>
      <c r="I95" s="513" t="str">
        <f t="shared" si="75"/>
        <v>-</v>
      </c>
      <c r="J95" s="513" t="str">
        <f t="shared" si="76"/>
        <v>-</v>
      </c>
      <c r="K95" s="200" t="str">
        <f t="shared" si="77"/>
        <v>-</v>
      </c>
      <c r="L95" s="621"/>
      <c r="M95" s="201" t="e">
        <f>RANK(K95, K$87:$K$101)</f>
        <v>#VALUE!</v>
      </c>
      <c r="N95" s="604"/>
      <c r="O95" s="604"/>
      <c r="P95" s="506"/>
      <c r="Q95" s="507"/>
      <c r="R95" s="507"/>
      <c r="S95" s="297" t="e">
        <f t="shared" si="92"/>
        <v>#N/A</v>
      </c>
      <c r="T95" s="605"/>
      <c r="U95" s="506"/>
      <c r="V95" s="507"/>
      <c r="W95" s="507"/>
      <c r="X95" s="441" t="e">
        <f t="shared" si="78"/>
        <v>#N/A</v>
      </c>
      <c r="Y95" s="605"/>
      <c r="Z95" s="506"/>
      <c r="AA95" s="507"/>
      <c r="AB95" s="507"/>
      <c r="AC95" s="441" t="e">
        <f t="shared" si="80"/>
        <v>#N/A</v>
      </c>
      <c r="AD95" s="605"/>
      <c r="AE95" s="506"/>
      <c r="AF95" s="507"/>
      <c r="AG95" s="507"/>
      <c r="AH95" s="441" t="e">
        <f t="shared" si="82"/>
        <v>#N/A</v>
      </c>
      <c r="AI95" s="605"/>
      <c r="AJ95" s="506"/>
      <c r="AK95" s="507"/>
      <c r="AL95" s="507"/>
      <c r="AM95" s="441" t="e">
        <f t="shared" si="84"/>
        <v>#N/A</v>
      </c>
      <c r="AN95" s="605"/>
      <c r="AO95" s="506"/>
      <c r="AP95" s="507"/>
      <c r="AQ95" s="507"/>
      <c r="AR95" s="441" t="e">
        <f t="shared" si="86"/>
        <v>#N/A</v>
      </c>
      <c r="AS95" s="605"/>
      <c r="AT95" s="506"/>
      <c r="AU95" s="507"/>
      <c r="AV95" s="507"/>
      <c r="AW95" s="441" t="e">
        <f t="shared" si="88"/>
        <v>#N/A</v>
      </c>
      <c r="AX95" s="605"/>
      <c r="AZ95" s="526" t="e">
        <f t="shared" si="90"/>
        <v>#N/A</v>
      </c>
      <c r="BA95" s="605"/>
    </row>
    <row r="96" spans="2:53">
      <c r="B96" s="610"/>
      <c r="C96" s="297">
        <v>10</v>
      </c>
      <c r="D96" s="460"/>
      <c r="E96" s="460"/>
      <c r="F96" s="460"/>
      <c r="G96" s="182"/>
      <c r="H96" s="668"/>
      <c r="I96" s="513" t="str">
        <f t="shared" si="75"/>
        <v>-</v>
      </c>
      <c r="J96" s="513" t="str">
        <f t="shared" si="76"/>
        <v>-</v>
      </c>
      <c r="K96" s="200" t="str">
        <f t="shared" si="77"/>
        <v>-</v>
      </c>
      <c r="L96" s="621"/>
      <c r="M96" s="201" t="e">
        <f>RANK(K96, K$87:$K$101)</f>
        <v>#VALUE!</v>
      </c>
      <c r="N96" s="604"/>
      <c r="O96" s="604"/>
      <c r="P96" s="506"/>
      <c r="Q96" s="507"/>
      <c r="R96" s="507"/>
      <c r="S96" s="297" t="e">
        <f t="shared" si="92"/>
        <v>#N/A</v>
      </c>
      <c r="T96" s="605"/>
      <c r="U96" s="506"/>
      <c r="V96" s="507"/>
      <c r="W96" s="507"/>
      <c r="X96" s="441" t="e">
        <f t="shared" si="78"/>
        <v>#N/A</v>
      </c>
      <c r="Y96" s="605"/>
      <c r="Z96" s="506"/>
      <c r="AA96" s="507"/>
      <c r="AB96" s="507"/>
      <c r="AC96" s="441" t="e">
        <f t="shared" si="80"/>
        <v>#N/A</v>
      </c>
      <c r="AD96" s="605"/>
      <c r="AE96" s="506"/>
      <c r="AF96" s="507"/>
      <c r="AG96" s="507"/>
      <c r="AH96" s="441" t="e">
        <f t="shared" si="82"/>
        <v>#N/A</v>
      </c>
      <c r="AI96" s="605"/>
      <c r="AJ96" s="506"/>
      <c r="AK96" s="507"/>
      <c r="AL96" s="507"/>
      <c r="AM96" s="441" t="e">
        <f t="shared" si="84"/>
        <v>#N/A</v>
      </c>
      <c r="AN96" s="605"/>
      <c r="AO96" s="506"/>
      <c r="AP96" s="507"/>
      <c r="AQ96" s="507"/>
      <c r="AR96" s="441" t="e">
        <f t="shared" si="86"/>
        <v>#N/A</v>
      </c>
      <c r="AS96" s="605"/>
      <c r="AT96" s="506"/>
      <c r="AU96" s="507"/>
      <c r="AV96" s="507"/>
      <c r="AW96" s="441" t="e">
        <f t="shared" si="88"/>
        <v>#N/A</v>
      </c>
      <c r="AX96" s="605"/>
      <c r="AZ96" s="526" t="e">
        <f t="shared" si="90"/>
        <v>#N/A</v>
      </c>
      <c r="BA96" s="605"/>
    </row>
    <row r="97" spans="2:53">
      <c r="B97" s="610"/>
      <c r="C97" s="297">
        <v>11</v>
      </c>
      <c r="D97" s="460"/>
      <c r="E97" s="460"/>
      <c r="F97" s="460"/>
      <c r="G97" s="182"/>
      <c r="H97" s="668"/>
      <c r="I97" s="513" t="str">
        <f t="shared" si="75"/>
        <v>-</v>
      </c>
      <c r="J97" s="513" t="str">
        <f t="shared" si="76"/>
        <v>-</v>
      </c>
      <c r="K97" s="200" t="str">
        <f t="shared" si="77"/>
        <v>-</v>
      </c>
      <c r="L97" s="621"/>
      <c r="M97" s="201" t="e">
        <f>RANK(K97, K$87:$K$101)</f>
        <v>#VALUE!</v>
      </c>
      <c r="N97" s="604"/>
      <c r="O97" s="604"/>
      <c r="P97" s="506"/>
      <c r="Q97" s="507"/>
      <c r="R97" s="507"/>
      <c r="S97" s="297" t="e">
        <f t="shared" si="92"/>
        <v>#N/A</v>
      </c>
      <c r="T97" s="605"/>
      <c r="U97" s="506"/>
      <c r="V97" s="507"/>
      <c r="W97" s="507"/>
      <c r="X97" s="441" t="e">
        <f t="shared" si="78"/>
        <v>#N/A</v>
      </c>
      <c r="Y97" s="605"/>
      <c r="Z97" s="506"/>
      <c r="AA97" s="507"/>
      <c r="AB97" s="507"/>
      <c r="AC97" s="441" t="e">
        <f t="shared" si="80"/>
        <v>#N/A</v>
      </c>
      <c r="AD97" s="605"/>
      <c r="AE97" s="506"/>
      <c r="AF97" s="507"/>
      <c r="AG97" s="507"/>
      <c r="AH97" s="441" t="e">
        <f t="shared" si="82"/>
        <v>#N/A</v>
      </c>
      <c r="AI97" s="605"/>
      <c r="AJ97" s="506"/>
      <c r="AK97" s="507"/>
      <c r="AL97" s="507"/>
      <c r="AM97" s="441" t="e">
        <f t="shared" si="84"/>
        <v>#N/A</v>
      </c>
      <c r="AN97" s="605"/>
      <c r="AO97" s="506"/>
      <c r="AP97" s="507"/>
      <c r="AQ97" s="507"/>
      <c r="AR97" s="441" t="e">
        <f t="shared" si="86"/>
        <v>#N/A</v>
      </c>
      <c r="AS97" s="605"/>
      <c r="AT97" s="506"/>
      <c r="AU97" s="507"/>
      <c r="AV97" s="507"/>
      <c r="AW97" s="441" t="e">
        <f t="shared" si="88"/>
        <v>#N/A</v>
      </c>
      <c r="AX97" s="605"/>
      <c r="AZ97" s="526" t="e">
        <f t="shared" si="90"/>
        <v>#N/A</v>
      </c>
      <c r="BA97" s="605"/>
    </row>
    <row r="98" spans="2:53">
      <c r="B98" s="610"/>
      <c r="C98" s="297">
        <v>12</v>
      </c>
      <c r="D98" s="460"/>
      <c r="E98" s="460"/>
      <c r="F98" s="460"/>
      <c r="G98" s="182"/>
      <c r="H98" s="668"/>
      <c r="I98" s="513" t="str">
        <f t="shared" si="75"/>
        <v>-</v>
      </c>
      <c r="J98" s="513" t="str">
        <f t="shared" si="76"/>
        <v>-</v>
      </c>
      <c r="K98" s="200" t="str">
        <f t="shared" si="77"/>
        <v>-</v>
      </c>
      <c r="L98" s="621"/>
      <c r="M98" s="201" t="e">
        <f>RANK(K98, K$87:$K$101)</f>
        <v>#VALUE!</v>
      </c>
      <c r="N98" s="604"/>
      <c r="O98" s="604"/>
      <c r="P98" s="506"/>
      <c r="Q98" s="507"/>
      <c r="R98" s="507"/>
      <c r="S98" s="297" t="e">
        <f t="shared" si="92"/>
        <v>#N/A</v>
      </c>
      <c r="T98" s="605"/>
      <c r="U98" s="506"/>
      <c r="V98" s="507"/>
      <c r="W98" s="507"/>
      <c r="X98" s="441" t="e">
        <f t="shared" si="78"/>
        <v>#N/A</v>
      </c>
      <c r="Y98" s="605"/>
      <c r="Z98" s="506"/>
      <c r="AA98" s="507"/>
      <c r="AB98" s="507"/>
      <c r="AC98" s="441" t="e">
        <f t="shared" si="80"/>
        <v>#N/A</v>
      </c>
      <c r="AD98" s="605"/>
      <c r="AE98" s="506"/>
      <c r="AF98" s="507"/>
      <c r="AG98" s="507"/>
      <c r="AH98" s="441" t="e">
        <f t="shared" si="82"/>
        <v>#N/A</v>
      </c>
      <c r="AI98" s="605"/>
      <c r="AJ98" s="506"/>
      <c r="AK98" s="507"/>
      <c r="AL98" s="507"/>
      <c r="AM98" s="441" t="e">
        <f t="shared" si="84"/>
        <v>#N/A</v>
      </c>
      <c r="AN98" s="605"/>
      <c r="AO98" s="506"/>
      <c r="AP98" s="507"/>
      <c r="AQ98" s="507"/>
      <c r="AR98" s="441" t="e">
        <f t="shared" si="86"/>
        <v>#N/A</v>
      </c>
      <c r="AS98" s="605"/>
      <c r="AT98" s="506"/>
      <c r="AU98" s="507"/>
      <c r="AV98" s="507"/>
      <c r="AW98" s="441" t="e">
        <f t="shared" si="88"/>
        <v>#N/A</v>
      </c>
      <c r="AX98" s="605"/>
      <c r="AZ98" s="526" t="e">
        <f t="shared" si="90"/>
        <v>#N/A</v>
      </c>
      <c r="BA98" s="605"/>
    </row>
    <row r="99" spans="2:53">
      <c r="B99" s="610"/>
      <c r="C99" s="297">
        <v>13</v>
      </c>
      <c r="D99" s="460"/>
      <c r="E99" s="460"/>
      <c r="F99" s="460"/>
      <c r="G99" s="182"/>
      <c r="H99" s="668"/>
      <c r="I99" s="513" t="str">
        <f t="shared" si="75"/>
        <v>-</v>
      </c>
      <c r="J99" s="513" t="str">
        <f t="shared" si="76"/>
        <v>-</v>
      </c>
      <c r="K99" s="200" t="str">
        <f t="shared" si="77"/>
        <v>-</v>
      </c>
      <c r="L99" s="621"/>
      <c r="M99" s="201" t="e">
        <f>RANK(K99, K$87:$K$101)</f>
        <v>#VALUE!</v>
      </c>
      <c r="N99" s="604"/>
      <c r="O99" s="604"/>
      <c r="P99" s="506"/>
      <c r="Q99" s="507"/>
      <c r="R99" s="507"/>
      <c r="S99" s="297" t="e">
        <f t="shared" si="92"/>
        <v>#N/A</v>
      </c>
      <c r="T99" s="605"/>
      <c r="U99" s="506"/>
      <c r="V99" s="507"/>
      <c r="W99" s="507"/>
      <c r="X99" s="441" t="e">
        <f t="shared" si="78"/>
        <v>#N/A</v>
      </c>
      <c r="Y99" s="605"/>
      <c r="Z99" s="506"/>
      <c r="AA99" s="507"/>
      <c r="AB99" s="507"/>
      <c r="AC99" s="441" t="e">
        <f t="shared" si="80"/>
        <v>#N/A</v>
      </c>
      <c r="AD99" s="605"/>
      <c r="AE99" s="506"/>
      <c r="AF99" s="507"/>
      <c r="AG99" s="507"/>
      <c r="AH99" s="441" t="e">
        <f t="shared" si="82"/>
        <v>#N/A</v>
      </c>
      <c r="AI99" s="605"/>
      <c r="AJ99" s="506"/>
      <c r="AK99" s="507"/>
      <c r="AL99" s="507"/>
      <c r="AM99" s="441" t="e">
        <f t="shared" si="84"/>
        <v>#N/A</v>
      </c>
      <c r="AN99" s="605"/>
      <c r="AO99" s="506"/>
      <c r="AP99" s="507"/>
      <c r="AQ99" s="507"/>
      <c r="AR99" s="441" t="e">
        <f t="shared" si="86"/>
        <v>#N/A</v>
      </c>
      <c r="AS99" s="605"/>
      <c r="AT99" s="506"/>
      <c r="AU99" s="507"/>
      <c r="AV99" s="507"/>
      <c r="AW99" s="441" t="e">
        <f t="shared" si="88"/>
        <v>#N/A</v>
      </c>
      <c r="AX99" s="605"/>
      <c r="AZ99" s="526" t="e">
        <f t="shared" si="90"/>
        <v>#N/A</v>
      </c>
      <c r="BA99" s="605"/>
    </row>
    <row r="100" spans="2:53">
      <c r="B100" s="610"/>
      <c r="C100" s="297">
        <v>14</v>
      </c>
      <c r="D100" s="460"/>
      <c r="E100" s="460"/>
      <c r="F100" s="460"/>
      <c r="G100" s="182"/>
      <c r="H100" s="668"/>
      <c r="I100" s="513" t="str">
        <f t="shared" si="75"/>
        <v>-</v>
      </c>
      <c r="J100" s="513" t="str">
        <f t="shared" si="76"/>
        <v>-</v>
      </c>
      <c r="K100" s="200" t="str">
        <f t="shared" si="77"/>
        <v>-</v>
      </c>
      <c r="L100" s="621"/>
      <c r="M100" s="201" t="e">
        <f>RANK(K100, K$87:$K$101)</f>
        <v>#VALUE!</v>
      </c>
      <c r="N100" s="604"/>
      <c r="O100" s="604"/>
      <c r="P100" s="506"/>
      <c r="Q100" s="507"/>
      <c r="R100" s="507"/>
      <c r="S100" s="297" t="e">
        <f t="shared" si="92"/>
        <v>#N/A</v>
      </c>
      <c r="T100" s="605"/>
      <c r="U100" s="506"/>
      <c r="V100" s="507"/>
      <c r="W100" s="507"/>
      <c r="X100" s="441" t="e">
        <f t="shared" si="78"/>
        <v>#N/A</v>
      </c>
      <c r="Y100" s="605"/>
      <c r="Z100" s="506"/>
      <c r="AA100" s="507"/>
      <c r="AB100" s="507"/>
      <c r="AC100" s="441" t="e">
        <f t="shared" si="80"/>
        <v>#N/A</v>
      </c>
      <c r="AD100" s="605"/>
      <c r="AE100" s="506"/>
      <c r="AF100" s="507"/>
      <c r="AG100" s="507"/>
      <c r="AH100" s="441" t="e">
        <f t="shared" si="82"/>
        <v>#N/A</v>
      </c>
      <c r="AI100" s="605"/>
      <c r="AJ100" s="506"/>
      <c r="AK100" s="507"/>
      <c r="AL100" s="507"/>
      <c r="AM100" s="441" t="e">
        <f t="shared" si="84"/>
        <v>#N/A</v>
      </c>
      <c r="AN100" s="605"/>
      <c r="AO100" s="506"/>
      <c r="AP100" s="507"/>
      <c r="AQ100" s="507"/>
      <c r="AR100" s="441" t="e">
        <f t="shared" si="86"/>
        <v>#N/A</v>
      </c>
      <c r="AS100" s="605"/>
      <c r="AT100" s="506"/>
      <c r="AU100" s="507"/>
      <c r="AV100" s="507"/>
      <c r="AW100" s="441" t="e">
        <f t="shared" si="88"/>
        <v>#N/A</v>
      </c>
      <c r="AX100" s="605"/>
      <c r="AZ100" s="526" t="e">
        <f t="shared" si="90"/>
        <v>#N/A</v>
      </c>
      <c r="BA100" s="605"/>
    </row>
    <row r="101" spans="2:53">
      <c r="B101" s="610"/>
      <c r="C101" s="297">
        <v>15</v>
      </c>
      <c r="D101" s="460"/>
      <c r="E101" s="460"/>
      <c r="F101" s="460"/>
      <c r="G101" s="460"/>
      <c r="H101" s="669"/>
      <c r="I101" s="513" t="str">
        <f t="shared" si="75"/>
        <v>-</v>
      </c>
      <c r="J101" s="513" t="str">
        <f t="shared" si="76"/>
        <v>-</v>
      </c>
      <c r="K101" s="200" t="str">
        <f t="shared" si="77"/>
        <v>-</v>
      </c>
      <c r="L101" s="622"/>
      <c r="M101" s="199" t="e">
        <f>RANK(K101, K$87:$K$101)</f>
        <v>#VALUE!</v>
      </c>
      <c r="N101" s="604"/>
      <c r="O101" s="604"/>
      <c r="P101" s="506"/>
      <c r="Q101" s="507"/>
      <c r="R101" s="507"/>
      <c r="S101" s="297" t="e">
        <f t="shared" si="92"/>
        <v>#N/A</v>
      </c>
      <c r="T101" s="605"/>
      <c r="U101" s="506"/>
      <c r="V101" s="507"/>
      <c r="W101" s="507"/>
      <c r="X101" s="441" t="e">
        <f t="shared" si="78"/>
        <v>#N/A</v>
      </c>
      <c r="Y101" s="605"/>
      <c r="Z101" s="506"/>
      <c r="AA101" s="507"/>
      <c r="AB101" s="507"/>
      <c r="AC101" s="441" t="e">
        <f t="shared" si="80"/>
        <v>#N/A</v>
      </c>
      <c r="AD101" s="605"/>
      <c r="AE101" s="506"/>
      <c r="AF101" s="507"/>
      <c r="AG101" s="507"/>
      <c r="AH101" s="441" t="e">
        <f t="shared" si="82"/>
        <v>#N/A</v>
      </c>
      <c r="AI101" s="605"/>
      <c r="AJ101" s="506"/>
      <c r="AK101" s="507"/>
      <c r="AL101" s="507"/>
      <c r="AM101" s="441" t="e">
        <f t="shared" si="84"/>
        <v>#N/A</v>
      </c>
      <c r="AN101" s="605"/>
      <c r="AO101" s="506"/>
      <c r="AP101" s="507"/>
      <c r="AQ101" s="507"/>
      <c r="AR101" s="441" t="e">
        <f t="shared" si="86"/>
        <v>#N/A</v>
      </c>
      <c r="AS101" s="605"/>
      <c r="AT101" s="506"/>
      <c r="AU101" s="507"/>
      <c r="AV101" s="507"/>
      <c r="AW101" s="441" t="e">
        <f t="shared" si="88"/>
        <v>#N/A</v>
      </c>
      <c r="AX101" s="605"/>
      <c r="AZ101" s="526" t="e">
        <f t="shared" si="90"/>
        <v>#N/A</v>
      </c>
      <c r="BA101" s="605"/>
    </row>
    <row r="102" spans="2:53" ht="15.75">
      <c r="B102" s="633" t="s">
        <v>163</v>
      </c>
      <c r="C102" s="634"/>
      <c r="D102" s="634"/>
      <c r="E102" s="634"/>
      <c r="F102" s="634"/>
      <c r="G102" s="634"/>
      <c r="H102" s="635"/>
      <c r="I102" s="208"/>
      <c r="J102" s="208"/>
      <c r="K102" s="208"/>
      <c r="L102" s="208"/>
      <c r="M102" s="207"/>
      <c r="N102" s="606" t="s">
        <v>156</v>
      </c>
      <c r="O102" s="606" t="s">
        <v>105</v>
      </c>
      <c r="P102" s="632">
        <f>P82+7</f>
        <v>46147</v>
      </c>
      <c r="Q102" s="610"/>
      <c r="R102" s="610"/>
      <c r="S102" s="610"/>
      <c r="T102" s="610"/>
      <c r="U102" s="629">
        <f>P102+1</f>
        <v>46148</v>
      </c>
      <c r="V102" s="630"/>
      <c r="W102" s="630"/>
      <c r="X102" s="630"/>
      <c r="Y102" s="631"/>
      <c r="Z102" s="629">
        <f>U102+1</f>
        <v>46149</v>
      </c>
      <c r="AA102" s="630"/>
      <c r="AB102" s="630"/>
      <c r="AC102" s="630"/>
      <c r="AD102" s="631"/>
      <c r="AE102" s="629">
        <f>Z102+1</f>
        <v>46150</v>
      </c>
      <c r="AF102" s="630"/>
      <c r="AG102" s="630"/>
      <c r="AH102" s="630"/>
      <c r="AI102" s="631"/>
      <c r="AJ102" s="629">
        <f>AE102+1</f>
        <v>46151</v>
      </c>
      <c r="AK102" s="630"/>
      <c r="AL102" s="630"/>
      <c r="AM102" s="630"/>
      <c r="AN102" s="631"/>
      <c r="AO102" s="629">
        <f>AJ102+1</f>
        <v>46152</v>
      </c>
      <c r="AP102" s="630"/>
      <c r="AQ102" s="630"/>
      <c r="AR102" s="630"/>
      <c r="AS102" s="631"/>
      <c r="AT102" s="629">
        <f>AO102+1</f>
        <v>46153</v>
      </c>
      <c r="AU102" s="630"/>
      <c r="AV102" s="630"/>
      <c r="AW102" s="630"/>
      <c r="AX102" s="631"/>
    </row>
    <row r="103" spans="2:53" ht="15.75">
      <c r="B103" s="636"/>
      <c r="C103" s="636"/>
      <c r="D103" s="636"/>
      <c r="E103" s="636"/>
      <c r="F103" s="636"/>
      <c r="G103" s="636"/>
      <c r="H103" s="636"/>
      <c r="I103" s="205"/>
      <c r="J103" s="205"/>
      <c r="K103" s="205"/>
      <c r="L103" s="205"/>
      <c r="M103" s="206"/>
      <c r="N103" s="608"/>
      <c r="O103" s="608"/>
      <c r="P103" s="632" t="s">
        <v>158</v>
      </c>
      <c r="Q103" s="610"/>
      <c r="R103" s="610"/>
      <c r="S103" s="610"/>
      <c r="T103" s="610"/>
      <c r="U103" s="632" t="s">
        <v>114</v>
      </c>
      <c r="V103" s="610"/>
      <c r="W103" s="610"/>
      <c r="X103" s="610"/>
      <c r="Y103" s="610"/>
      <c r="Z103" s="632" t="s">
        <v>159</v>
      </c>
      <c r="AA103" s="610"/>
      <c r="AB103" s="610"/>
      <c r="AC103" s="610"/>
      <c r="AD103" s="610"/>
      <c r="AE103" s="632" t="s">
        <v>157</v>
      </c>
      <c r="AF103" s="610"/>
      <c r="AG103" s="610"/>
      <c r="AH103" s="610"/>
      <c r="AI103" s="610"/>
      <c r="AJ103" s="632" t="s">
        <v>160</v>
      </c>
      <c r="AK103" s="610"/>
      <c r="AL103" s="610"/>
      <c r="AM103" s="610"/>
      <c r="AN103" s="610"/>
      <c r="AO103" s="632" t="s">
        <v>115</v>
      </c>
      <c r="AP103" s="610"/>
      <c r="AQ103" s="610"/>
      <c r="AR103" s="610"/>
      <c r="AS103" s="610"/>
      <c r="AT103" s="632" t="s">
        <v>162</v>
      </c>
      <c r="AU103" s="610"/>
      <c r="AV103" s="610"/>
      <c r="AW103" s="610"/>
      <c r="AX103" s="610"/>
    </row>
    <row r="104" spans="2:53">
      <c r="B104" s="604" t="s">
        <v>678</v>
      </c>
      <c r="C104" s="604" t="s">
        <v>679</v>
      </c>
      <c r="D104" s="604"/>
      <c r="E104" s="604" t="s">
        <v>680</v>
      </c>
      <c r="F104" s="604"/>
      <c r="G104" s="604"/>
      <c r="H104" s="637" t="s">
        <v>681</v>
      </c>
      <c r="I104" s="604" t="s">
        <v>682</v>
      </c>
      <c r="J104" s="604"/>
      <c r="K104" s="604"/>
      <c r="L104" s="637" t="s">
        <v>681</v>
      </c>
      <c r="M104" s="606" t="s">
        <v>683</v>
      </c>
      <c r="N104" s="604"/>
      <c r="O104" s="604" t="s">
        <v>684</v>
      </c>
      <c r="P104" s="623" t="s">
        <v>685</v>
      </c>
      <c r="Q104" s="624"/>
      <c r="R104" s="624"/>
      <c r="S104" s="625"/>
      <c r="T104" s="604" t="s">
        <v>681</v>
      </c>
      <c r="U104" s="623" t="s">
        <v>685</v>
      </c>
      <c r="V104" s="624"/>
      <c r="W104" s="624"/>
      <c r="X104" s="625"/>
      <c r="Y104" s="604" t="s">
        <v>681</v>
      </c>
      <c r="Z104" s="623" t="s">
        <v>685</v>
      </c>
      <c r="AA104" s="624"/>
      <c r="AB104" s="624"/>
      <c r="AC104" s="625"/>
      <c r="AD104" s="604" t="s">
        <v>681</v>
      </c>
      <c r="AE104" s="623" t="s">
        <v>685</v>
      </c>
      <c r="AF104" s="624"/>
      <c r="AG104" s="624"/>
      <c r="AH104" s="625"/>
      <c r="AI104" s="604" t="s">
        <v>681</v>
      </c>
      <c r="AJ104" s="623" t="s">
        <v>685</v>
      </c>
      <c r="AK104" s="624"/>
      <c r="AL104" s="624"/>
      <c r="AM104" s="625"/>
      <c r="AN104" s="604" t="s">
        <v>681</v>
      </c>
      <c r="AO104" s="623" t="s">
        <v>685</v>
      </c>
      <c r="AP104" s="624"/>
      <c r="AQ104" s="624"/>
      <c r="AR104" s="625"/>
      <c r="AS104" s="604" t="s">
        <v>681</v>
      </c>
      <c r="AT104" s="623" t="s">
        <v>685</v>
      </c>
      <c r="AU104" s="624"/>
      <c r="AV104" s="624"/>
      <c r="AW104" s="625"/>
      <c r="AX104" s="604" t="s">
        <v>681</v>
      </c>
      <c r="BA104" s="604" t="s">
        <v>395</v>
      </c>
    </row>
    <row r="105" spans="2:53">
      <c r="B105" s="604"/>
      <c r="C105" s="604"/>
      <c r="D105" s="604"/>
      <c r="E105" s="604" t="s">
        <v>686</v>
      </c>
      <c r="F105" s="604"/>
      <c r="G105" s="604"/>
      <c r="H105" s="638"/>
      <c r="I105" s="604" t="s">
        <v>686</v>
      </c>
      <c r="J105" s="604"/>
      <c r="K105" s="604"/>
      <c r="L105" s="638"/>
      <c r="M105" s="607"/>
      <c r="N105" s="604"/>
      <c r="O105" s="604"/>
      <c r="P105" s="623" t="s">
        <v>687</v>
      </c>
      <c r="Q105" s="624"/>
      <c r="R105" s="624"/>
      <c r="S105" s="625"/>
      <c r="T105" s="604"/>
      <c r="U105" s="623" t="s">
        <v>687</v>
      </c>
      <c r="V105" s="624"/>
      <c r="W105" s="624"/>
      <c r="X105" s="625"/>
      <c r="Y105" s="604"/>
      <c r="Z105" s="623" t="s">
        <v>687</v>
      </c>
      <c r="AA105" s="624"/>
      <c r="AB105" s="624"/>
      <c r="AC105" s="625"/>
      <c r="AD105" s="604"/>
      <c r="AE105" s="623" t="s">
        <v>687</v>
      </c>
      <c r="AF105" s="624"/>
      <c r="AG105" s="624"/>
      <c r="AH105" s="625"/>
      <c r="AI105" s="604"/>
      <c r="AJ105" s="623" t="s">
        <v>687</v>
      </c>
      <c r="AK105" s="624"/>
      <c r="AL105" s="624"/>
      <c r="AM105" s="625"/>
      <c r="AN105" s="604"/>
      <c r="AO105" s="623" t="s">
        <v>687</v>
      </c>
      <c r="AP105" s="624"/>
      <c r="AQ105" s="624"/>
      <c r="AR105" s="625"/>
      <c r="AS105" s="604"/>
      <c r="AT105" s="623" t="s">
        <v>687</v>
      </c>
      <c r="AU105" s="624"/>
      <c r="AV105" s="624"/>
      <c r="AW105" s="625"/>
      <c r="AX105" s="604"/>
      <c r="BA105" s="604"/>
    </row>
    <row r="106" spans="2:53">
      <c r="B106" s="604"/>
      <c r="C106" s="604"/>
      <c r="D106" s="604"/>
      <c r="E106" s="446" t="s">
        <v>688</v>
      </c>
      <c r="F106" s="446" t="s">
        <v>689</v>
      </c>
      <c r="G106" s="446" t="s">
        <v>690</v>
      </c>
      <c r="H106" s="639"/>
      <c r="I106" s="446" t="s">
        <v>688</v>
      </c>
      <c r="J106" s="446" t="s">
        <v>689</v>
      </c>
      <c r="K106" s="446" t="s">
        <v>690</v>
      </c>
      <c r="L106" s="639"/>
      <c r="M106" s="608"/>
      <c r="N106" s="604"/>
      <c r="O106" s="604"/>
      <c r="P106" s="446" t="s">
        <v>688</v>
      </c>
      <c r="Q106" s="446" t="s">
        <v>689</v>
      </c>
      <c r="R106" s="446" t="s">
        <v>690</v>
      </c>
      <c r="S106" s="446" t="s">
        <v>683</v>
      </c>
      <c r="T106" s="604"/>
      <c r="U106" s="446" t="s">
        <v>688</v>
      </c>
      <c r="V106" s="446" t="s">
        <v>689</v>
      </c>
      <c r="W106" s="446" t="s">
        <v>690</v>
      </c>
      <c r="X106" s="446" t="s">
        <v>683</v>
      </c>
      <c r="Y106" s="604"/>
      <c r="Z106" s="446" t="s">
        <v>688</v>
      </c>
      <c r="AA106" s="446" t="s">
        <v>689</v>
      </c>
      <c r="AB106" s="446" t="s">
        <v>690</v>
      </c>
      <c r="AC106" s="446" t="s">
        <v>683</v>
      </c>
      <c r="AD106" s="604"/>
      <c r="AE106" s="446" t="s">
        <v>688</v>
      </c>
      <c r="AF106" s="446" t="s">
        <v>689</v>
      </c>
      <c r="AG106" s="446" t="s">
        <v>690</v>
      </c>
      <c r="AH106" s="446" t="s">
        <v>683</v>
      </c>
      <c r="AI106" s="604"/>
      <c r="AJ106" s="446" t="s">
        <v>688</v>
      </c>
      <c r="AK106" s="446" t="s">
        <v>689</v>
      </c>
      <c r="AL106" s="446" t="s">
        <v>690</v>
      </c>
      <c r="AM106" s="446" t="s">
        <v>683</v>
      </c>
      <c r="AN106" s="604"/>
      <c r="AO106" s="446" t="s">
        <v>688</v>
      </c>
      <c r="AP106" s="446" t="s">
        <v>689</v>
      </c>
      <c r="AQ106" s="446" t="s">
        <v>690</v>
      </c>
      <c r="AR106" s="446" t="s">
        <v>683</v>
      </c>
      <c r="AS106" s="604"/>
      <c r="AT106" s="446" t="s">
        <v>688</v>
      </c>
      <c r="AU106" s="446" t="s">
        <v>689</v>
      </c>
      <c r="AV106" s="446" t="s">
        <v>690</v>
      </c>
      <c r="AW106" s="446" t="s">
        <v>683</v>
      </c>
      <c r="AX106" s="604"/>
      <c r="AZ106" s="527" t="s">
        <v>396</v>
      </c>
      <c r="BA106" s="604"/>
    </row>
    <row r="107" spans="2:53">
      <c r="B107" s="666" t="s">
        <v>691</v>
      </c>
      <c r="C107" s="451">
        <v>1</v>
      </c>
      <c r="D107" s="460"/>
      <c r="E107" s="460"/>
      <c r="F107" s="460"/>
      <c r="G107" s="182"/>
      <c r="H107" s="618" t="e">
        <f>AVERAGE(G107:G121)</f>
        <v>#DIV/0!</v>
      </c>
      <c r="I107" s="513" t="str">
        <f t="shared" ref="I107:I121" si="93">IFERROR(AVERAGE(P107,U107,Z107,AE107,AJ107,AO107,AT107),"-")</f>
        <v>-</v>
      </c>
      <c r="J107" s="513" t="str">
        <f t="shared" ref="J107:J121" si="94">IFERROR(AVERAGE(Q107,V107,AA107,AF107,AK107,AP107,AU107),"-")</f>
        <v>-</v>
      </c>
      <c r="K107" s="200" t="str">
        <f t="shared" ref="K107:K121" si="95">IFERROR(AVERAGE(R107,W107,AB107,AG107,AL107,AQ107,AV107),"-")</f>
        <v>-</v>
      </c>
      <c r="L107" s="620" t="str">
        <f>IFERROR(AVERAGE(K107:K121),"-")</f>
        <v>-</v>
      </c>
      <c r="M107" s="452" t="e">
        <f>RANK(K107, K$107:$K$121)</f>
        <v>#VALUE!</v>
      </c>
      <c r="N107" s="604"/>
      <c r="O107" s="604"/>
      <c r="P107" s="182"/>
      <c r="Q107" s="182"/>
      <c r="R107" s="462"/>
      <c r="S107" s="451" t="e">
        <f t="shared" ref="S107:S121" si="96">RANK(R107, R$81:R$87)</f>
        <v>#N/A</v>
      </c>
      <c r="T107" s="612" t="e">
        <f>AVERAGE(R107:R121)</f>
        <v>#DIV/0!</v>
      </c>
      <c r="U107" s="182"/>
      <c r="V107" s="182"/>
      <c r="W107" s="462"/>
      <c r="X107" s="451" t="e">
        <f t="shared" ref="X107:X121" si="97">RANK(W107, W$81:W$87)</f>
        <v>#N/A</v>
      </c>
      <c r="Y107" s="612" t="e">
        <f t="shared" ref="Y107" si="98">AVERAGE(W107:W121)</f>
        <v>#DIV/0!</v>
      </c>
      <c r="Z107" s="182"/>
      <c r="AA107" s="182"/>
      <c r="AB107" s="462"/>
      <c r="AC107" s="451" t="e">
        <f t="shared" ref="AC107:AC121" si="99">RANK(AB107, AB$81:AB$87)</f>
        <v>#N/A</v>
      </c>
      <c r="AD107" s="612" t="e">
        <f t="shared" ref="AD107" si="100">AVERAGE(AB107:AB121)</f>
        <v>#DIV/0!</v>
      </c>
      <c r="AE107" s="182"/>
      <c r="AF107" s="182"/>
      <c r="AG107" s="462"/>
      <c r="AH107" s="451" t="e">
        <f t="shared" ref="AH107:AH121" si="101">RANK(AG107, AG$81:AG$87)</f>
        <v>#N/A</v>
      </c>
      <c r="AI107" s="612" t="e">
        <f t="shared" ref="AI107" si="102">AVERAGE(AG107:AG121)</f>
        <v>#DIV/0!</v>
      </c>
      <c r="AJ107" s="182"/>
      <c r="AK107" s="182"/>
      <c r="AL107" s="462"/>
      <c r="AM107" s="451" t="e">
        <f t="shared" ref="AM107:AM121" si="103">RANK(AL107, AL$81:AL$87)</f>
        <v>#N/A</v>
      </c>
      <c r="AN107" s="612" t="e">
        <f t="shared" ref="AN107" si="104">AVERAGE(AL107:AL121)</f>
        <v>#DIV/0!</v>
      </c>
      <c r="AO107" s="182"/>
      <c r="AP107" s="182"/>
      <c r="AQ107" s="462"/>
      <c r="AR107" s="451" t="e">
        <f t="shared" ref="AR107:AR121" si="105">RANK(AQ107, AQ$81:AQ$87)</f>
        <v>#N/A</v>
      </c>
      <c r="AS107" s="612" t="e">
        <f t="shared" ref="AS107" si="106">AVERAGE(AQ107:AQ121)</f>
        <v>#DIV/0!</v>
      </c>
      <c r="AT107" s="182"/>
      <c r="AU107" s="182"/>
      <c r="AV107" s="462"/>
      <c r="AW107" s="451" t="e">
        <f t="shared" ref="AW107:AW121" si="107">RANK(AV107, AV$81:AV$87)</f>
        <v>#N/A</v>
      </c>
      <c r="AX107" s="612" t="e">
        <f t="shared" ref="AX107" si="108">AVERAGE(AV107:AV121)</f>
        <v>#DIV/0!</v>
      </c>
      <c r="AZ107" s="529" t="e">
        <f t="shared" ref="AZ107:AZ121" si="109">RANK(AY107, AY$81:AY$87)</f>
        <v>#N/A</v>
      </c>
      <c r="BA107" s="612" t="e">
        <f t="shared" ref="BA107" si="110">AVERAGE(AY107:AY121)</f>
        <v>#DIV/0!</v>
      </c>
    </row>
    <row r="108" spans="2:53">
      <c r="B108" s="640"/>
      <c r="C108" s="451">
        <v>2</v>
      </c>
      <c r="D108" s="460"/>
      <c r="E108" s="460"/>
      <c r="F108" s="460"/>
      <c r="G108" s="182"/>
      <c r="H108" s="619"/>
      <c r="I108" s="513" t="str">
        <f t="shared" si="93"/>
        <v>-</v>
      </c>
      <c r="J108" s="513" t="str">
        <f t="shared" si="94"/>
        <v>-</v>
      </c>
      <c r="K108" s="200" t="str">
        <f t="shared" si="95"/>
        <v>-</v>
      </c>
      <c r="L108" s="621"/>
      <c r="M108" s="452" t="e">
        <f>RANK(K108, K$107:$K$121)</f>
        <v>#VALUE!</v>
      </c>
      <c r="N108" s="604"/>
      <c r="O108" s="604"/>
      <c r="P108" s="460"/>
      <c r="Q108" s="182"/>
      <c r="R108" s="462"/>
      <c r="S108" s="451" t="e">
        <f t="shared" si="96"/>
        <v>#N/A</v>
      </c>
      <c r="T108" s="612"/>
      <c r="U108" s="460"/>
      <c r="V108" s="182"/>
      <c r="W108" s="462"/>
      <c r="X108" s="451" t="e">
        <f t="shared" si="97"/>
        <v>#N/A</v>
      </c>
      <c r="Y108" s="612"/>
      <c r="Z108" s="460"/>
      <c r="AA108" s="182"/>
      <c r="AB108" s="462"/>
      <c r="AC108" s="451" t="e">
        <f t="shared" si="99"/>
        <v>#N/A</v>
      </c>
      <c r="AD108" s="612"/>
      <c r="AE108" s="460"/>
      <c r="AF108" s="182"/>
      <c r="AG108" s="462"/>
      <c r="AH108" s="451" t="e">
        <f t="shared" si="101"/>
        <v>#N/A</v>
      </c>
      <c r="AI108" s="612"/>
      <c r="AJ108" s="460"/>
      <c r="AK108" s="182"/>
      <c r="AL108" s="462"/>
      <c r="AM108" s="451" t="e">
        <f t="shared" si="103"/>
        <v>#N/A</v>
      </c>
      <c r="AN108" s="612"/>
      <c r="AO108" s="460"/>
      <c r="AP108" s="182"/>
      <c r="AQ108" s="462"/>
      <c r="AR108" s="451" t="e">
        <f t="shared" si="105"/>
        <v>#N/A</v>
      </c>
      <c r="AS108" s="612"/>
      <c r="AT108" s="460"/>
      <c r="AU108" s="182"/>
      <c r="AV108" s="462"/>
      <c r="AW108" s="451" t="e">
        <f t="shared" si="107"/>
        <v>#N/A</v>
      </c>
      <c r="AX108" s="612"/>
      <c r="AZ108" s="529" t="e">
        <f t="shared" si="109"/>
        <v>#N/A</v>
      </c>
      <c r="BA108" s="612"/>
    </row>
    <row r="109" spans="2:53">
      <c r="B109" s="640"/>
      <c r="C109" s="451">
        <v>3</v>
      </c>
      <c r="D109" s="460"/>
      <c r="E109" s="460"/>
      <c r="F109" s="460"/>
      <c r="G109" s="182"/>
      <c r="H109" s="619"/>
      <c r="I109" s="513" t="str">
        <f t="shared" si="93"/>
        <v>-</v>
      </c>
      <c r="J109" s="513" t="str">
        <f t="shared" si="94"/>
        <v>-</v>
      </c>
      <c r="K109" s="200" t="str">
        <f t="shared" si="95"/>
        <v>-</v>
      </c>
      <c r="L109" s="621"/>
      <c r="M109" s="452" t="e">
        <f>RANK(K109, K$107:$K$121)</f>
        <v>#VALUE!</v>
      </c>
      <c r="N109" s="604"/>
      <c r="O109" s="604"/>
      <c r="P109" s="460"/>
      <c r="Q109" s="182"/>
      <c r="R109" s="462"/>
      <c r="S109" s="451" t="e">
        <f t="shared" si="96"/>
        <v>#N/A</v>
      </c>
      <c r="T109" s="612"/>
      <c r="U109" s="460"/>
      <c r="V109" s="182"/>
      <c r="W109" s="462"/>
      <c r="X109" s="451" t="e">
        <f t="shared" si="97"/>
        <v>#N/A</v>
      </c>
      <c r="Y109" s="612"/>
      <c r="Z109" s="460"/>
      <c r="AA109" s="182"/>
      <c r="AB109" s="462"/>
      <c r="AC109" s="451" t="e">
        <f t="shared" si="99"/>
        <v>#N/A</v>
      </c>
      <c r="AD109" s="612"/>
      <c r="AE109" s="460"/>
      <c r="AF109" s="182"/>
      <c r="AG109" s="462"/>
      <c r="AH109" s="451" t="e">
        <f t="shared" si="101"/>
        <v>#N/A</v>
      </c>
      <c r="AI109" s="612"/>
      <c r="AJ109" s="460"/>
      <c r="AK109" s="182"/>
      <c r="AL109" s="462"/>
      <c r="AM109" s="451" t="e">
        <f t="shared" si="103"/>
        <v>#N/A</v>
      </c>
      <c r="AN109" s="612"/>
      <c r="AO109" s="460"/>
      <c r="AP109" s="182"/>
      <c r="AQ109" s="462"/>
      <c r="AR109" s="451" t="e">
        <f t="shared" si="105"/>
        <v>#N/A</v>
      </c>
      <c r="AS109" s="612"/>
      <c r="AT109" s="460"/>
      <c r="AU109" s="182"/>
      <c r="AV109" s="462"/>
      <c r="AW109" s="451" t="e">
        <f t="shared" si="107"/>
        <v>#N/A</v>
      </c>
      <c r="AX109" s="612"/>
      <c r="AZ109" s="529" t="e">
        <f t="shared" si="109"/>
        <v>#N/A</v>
      </c>
      <c r="BA109" s="612"/>
    </row>
    <row r="110" spans="2:53">
      <c r="B110" s="640"/>
      <c r="C110" s="451">
        <v>4</v>
      </c>
      <c r="D110" s="460"/>
      <c r="E110" s="460"/>
      <c r="F110" s="460"/>
      <c r="G110" s="182"/>
      <c r="H110" s="619"/>
      <c r="I110" s="513" t="str">
        <f t="shared" si="93"/>
        <v>-</v>
      </c>
      <c r="J110" s="513" t="str">
        <f t="shared" si="94"/>
        <v>-</v>
      </c>
      <c r="K110" s="200" t="str">
        <f t="shared" si="95"/>
        <v>-</v>
      </c>
      <c r="L110" s="621"/>
      <c r="M110" s="452" t="e">
        <f>RANK(K110, K$107:$K$121)</f>
        <v>#VALUE!</v>
      </c>
      <c r="N110" s="604"/>
      <c r="O110" s="604"/>
      <c r="P110" s="460"/>
      <c r="Q110" s="182"/>
      <c r="R110" s="462"/>
      <c r="S110" s="451" t="e">
        <f t="shared" si="96"/>
        <v>#N/A</v>
      </c>
      <c r="T110" s="612"/>
      <c r="U110" s="460"/>
      <c r="V110" s="182"/>
      <c r="W110" s="462"/>
      <c r="X110" s="451" t="e">
        <f t="shared" si="97"/>
        <v>#N/A</v>
      </c>
      <c r="Y110" s="612"/>
      <c r="Z110" s="460"/>
      <c r="AA110" s="182"/>
      <c r="AB110" s="462"/>
      <c r="AC110" s="451" t="e">
        <f t="shared" si="99"/>
        <v>#N/A</v>
      </c>
      <c r="AD110" s="612"/>
      <c r="AE110" s="460"/>
      <c r="AF110" s="182"/>
      <c r="AG110" s="462"/>
      <c r="AH110" s="451" t="e">
        <f t="shared" si="101"/>
        <v>#N/A</v>
      </c>
      <c r="AI110" s="612"/>
      <c r="AJ110" s="460"/>
      <c r="AK110" s="182"/>
      <c r="AL110" s="462"/>
      <c r="AM110" s="451" t="e">
        <f t="shared" si="103"/>
        <v>#N/A</v>
      </c>
      <c r="AN110" s="612"/>
      <c r="AO110" s="460"/>
      <c r="AP110" s="182"/>
      <c r="AQ110" s="462"/>
      <c r="AR110" s="451" t="e">
        <f t="shared" si="105"/>
        <v>#N/A</v>
      </c>
      <c r="AS110" s="612"/>
      <c r="AT110" s="460"/>
      <c r="AU110" s="182"/>
      <c r="AV110" s="462"/>
      <c r="AW110" s="451" t="e">
        <f t="shared" si="107"/>
        <v>#N/A</v>
      </c>
      <c r="AX110" s="612"/>
      <c r="AZ110" s="529" t="e">
        <f t="shared" si="109"/>
        <v>#N/A</v>
      </c>
      <c r="BA110" s="612"/>
    </row>
    <row r="111" spans="2:53">
      <c r="B111" s="640"/>
      <c r="C111" s="451">
        <v>5</v>
      </c>
      <c r="D111" s="460"/>
      <c r="E111" s="460"/>
      <c r="F111" s="460"/>
      <c r="G111" s="182"/>
      <c r="H111" s="619"/>
      <c r="I111" s="513" t="str">
        <f t="shared" si="93"/>
        <v>-</v>
      </c>
      <c r="J111" s="513" t="str">
        <f t="shared" si="94"/>
        <v>-</v>
      </c>
      <c r="K111" s="200" t="str">
        <f t="shared" si="95"/>
        <v>-</v>
      </c>
      <c r="L111" s="621"/>
      <c r="M111" s="452" t="e">
        <f>RANK(K111, K$107:$K$121)</f>
        <v>#VALUE!</v>
      </c>
      <c r="N111" s="604"/>
      <c r="O111" s="604"/>
      <c r="P111" s="460"/>
      <c r="Q111" s="182"/>
      <c r="R111" s="462"/>
      <c r="S111" s="451" t="e">
        <f t="shared" si="96"/>
        <v>#N/A</v>
      </c>
      <c r="T111" s="612"/>
      <c r="U111" s="460"/>
      <c r="V111" s="182"/>
      <c r="W111" s="462"/>
      <c r="X111" s="451" t="e">
        <f t="shared" si="97"/>
        <v>#N/A</v>
      </c>
      <c r="Y111" s="612"/>
      <c r="Z111" s="460"/>
      <c r="AA111" s="182"/>
      <c r="AB111" s="462"/>
      <c r="AC111" s="451" t="e">
        <f t="shared" si="99"/>
        <v>#N/A</v>
      </c>
      <c r="AD111" s="612"/>
      <c r="AE111" s="460"/>
      <c r="AF111" s="182"/>
      <c r="AG111" s="462"/>
      <c r="AH111" s="451" t="e">
        <f t="shared" si="101"/>
        <v>#N/A</v>
      </c>
      <c r="AI111" s="612"/>
      <c r="AJ111" s="460"/>
      <c r="AK111" s="182"/>
      <c r="AL111" s="462"/>
      <c r="AM111" s="451" t="e">
        <f t="shared" si="103"/>
        <v>#N/A</v>
      </c>
      <c r="AN111" s="612"/>
      <c r="AO111" s="460"/>
      <c r="AP111" s="182"/>
      <c r="AQ111" s="462"/>
      <c r="AR111" s="451" t="e">
        <f t="shared" si="105"/>
        <v>#N/A</v>
      </c>
      <c r="AS111" s="612"/>
      <c r="AT111" s="460"/>
      <c r="AU111" s="182"/>
      <c r="AV111" s="462"/>
      <c r="AW111" s="451" t="e">
        <f t="shared" si="107"/>
        <v>#N/A</v>
      </c>
      <c r="AX111" s="612"/>
      <c r="AZ111" s="529" t="e">
        <f t="shared" si="109"/>
        <v>#N/A</v>
      </c>
      <c r="BA111" s="612"/>
    </row>
    <row r="112" spans="2:53">
      <c r="B112" s="640"/>
      <c r="C112" s="451">
        <v>6</v>
      </c>
      <c r="D112" s="460"/>
      <c r="E112" s="460"/>
      <c r="F112" s="460"/>
      <c r="G112" s="182"/>
      <c r="H112" s="619"/>
      <c r="I112" s="513" t="str">
        <f t="shared" si="93"/>
        <v>-</v>
      </c>
      <c r="J112" s="513" t="str">
        <f t="shared" si="94"/>
        <v>-</v>
      </c>
      <c r="K112" s="200" t="str">
        <f t="shared" si="95"/>
        <v>-</v>
      </c>
      <c r="L112" s="621"/>
      <c r="M112" s="452" t="e">
        <f>RANK(K112, K$107:$K$121)</f>
        <v>#VALUE!</v>
      </c>
      <c r="N112" s="604"/>
      <c r="O112" s="604"/>
      <c r="P112" s="460"/>
      <c r="Q112" s="182"/>
      <c r="R112" s="462"/>
      <c r="S112" s="451" t="e">
        <f t="shared" si="96"/>
        <v>#N/A</v>
      </c>
      <c r="T112" s="612"/>
      <c r="U112" s="460"/>
      <c r="V112" s="182"/>
      <c r="W112" s="462"/>
      <c r="X112" s="451" t="e">
        <f t="shared" si="97"/>
        <v>#N/A</v>
      </c>
      <c r="Y112" s="612"/>
      <c r="Z112" s="460"/>
      <c r="AA112" s="182"/>
      <c r="AB112" s="462"/>
      <c r="AC112" s="451" t="e">
        <f t="shared" si="99"/>
        <v>#N/A</v>
      </c>
      <c r="AD112" s="612"/>
      <c r="AE112" s="460"/>
      <c r="AF112" s="182"/>
      <c r="AG112" s="462"/>
      <c r="AH112" s="451" t="e">
        <f t="shared" si="101"/>
        <v>#N/A</v>
      </c>
      <c r="AI112" s="612"/>
      <c r="AJ112" s="460"/>
      <c r="AK112" s="182"/>
      <c r="AL112" s="462"/>
      <c r="AM112" s="451" t="e">
        <f t="shared" si="103"/>
        <v>#N/A</v>
      </c>
      <c r="AN112" s="612"/>
      <c r="AO112" s="460"/>
      <c r="AP112" s="182"/>
      <c r="AQ112" s="462"/>
      <c r="AR112" s="451" t="e">
        <f t="shared" si="105"/>
        <v>#N/A</v>
      </c>
      <c r="AS112" s="612"/>
      <c r="AT112" s="460"/>
      <c r="AU112" s="182"/>
      <c r="AV112" s="462"/>
      <c r="AW112" s="451" t="e">
        <f t="shared" si="107"/>
        <v>#N/A</v>
      </c>
      <c r="AX112" s="612"/>
      <c r="AZ112" s="529" t="e">
        <f t="shared" si="109"/>
        <v>#N/A</v>
      </c>
      <c r="BA112" s="612"/>
    </row>
    <row r="113" spans="2:53">
      <c r="B113" s="640"/>
      <c r="C113" s="451">
        <v>7</v>
      </c>
      <c r="D113" s="460"/>
      <c r="E113" s="460"/>
      <c r="F113" s="460"/>
      <c r="G113" s="182"/>
      <c r="H113" s="619"/>
      <c r="I113" s="513" t="str">
        <f t="shared" si="93"/>
        <v>-</v>
      </c>
      <c r="J113" s="513" t="str">
        <f t="shared" si="94"/>
        <v>-</v>
      </c>
      <c r="K113" s="200" t="str">
        <f t="shared" si="95"/>
        <v>-</v>
      </c>
      <c r="L113" s="621"/>
      <c r="M113" s="452" t="e">
        <f>RANK(K113, K$107:$K$121)</f>
        <v>#VALUE!</v>
      </c>
      <c r="N113" s="604"/>
      <c r="O113" s="604"/>
      <c r="P113" s="460"/>
      <c r="Q113" s="182"/>
      <c r="R113" s="462"/>
      <c r="S113" s="451" t="e">
        <f t="shared" si="96"/>
        <v>#N/A</v>
      </c>
      <c r="T113" s="612"/>
      <c r="U113" s="460"/>
      <c r="V113" s="182"/>
      <c r="W113" s="462"/>
      <c r="X113" s="451" t="e">
        <f t="shared" si="97"/>
        <v>#N/A</v>
      </c>
      <c r="Y113" s="612"/>
      <c r="Z113" s="460"/>
      <c r="AA113" s="182"/>
      <c r="AB113" s="462"/>
      <c r="AC113" s="451" t="e">
        <f t="shared" si="99"/>
        <v>#N/A</v>
      </c>
      <c r="AD113" s="612"/>
      <c r="AE113" s="460"/>
      <c r="AF113" s="182"/>
      <c r="AG113" s="462"/>
      <c r="AH113" s="451" t="e">
        <f t="shared" si="101"/>
        <v>#N/A</v>
      </c>
      <c r="AI113" s="612"/>
      <c r="AJ113" s="460"/>
      <c r="AK113" s="182"/>
      <c r="AL113" s="462"/>
      <c r="AM113" s="451" t="e">
        <f t="shared" si="103"/>
        <v>#N/A</v>
      </c>
      <c r="AN113" s="612"/>
      <c r="AO113" s="460"/>
      <c r="AP113" s="182"/>
      <c r="AQ113" s="462"/>
      <c r="AR113" s="451" t="e">
        <f t="shared" si="105"/>
        <v>#N/A</v>
      </c>
      <c r="AS113" s="612"/>
      <c r="AT113" s="460"/>
      <c r="AU113" s="182"/>
      <c r="AV113" s="462"/>
      <c r="AW113" s="451" t="e">
        <f t="shared" si="107"/>
        <v>#N/A</v>
      </c>
      <c r="AX113" s="612"/>
      <c r="AZ113" s="529" t="e">
        <f t="shared" si="109"/>
        <v>#N/A</v>
      </c>
      <c r="BA113" s="612"/>
    </row>
    <row r="114" spans="2:53">
      <c r="B114" s="640"/>
      <c r="C114" s="451">
        <v>8</v>
      </c>
      <c r="D114" s="460"/>
      <c r="E114" s="460"/>
      <c r="F114" s="460"/>
      <c r="G114" s="182"/>
      <c r="H114" s="619"/>
      <c r="I114" s="513" t="str">
        <f t="shared" si="93"/>
        <v>-</v>
      </c>
      <c r="J114" s="513" t="str">
        <f t="shared" si="94"/>
        <v>-</v>
      </c>
      <c r="K114" s="200" t="str">
        <f t="shared" si="95"/>
        <v>-</v>
      </c>
      <c r="L114" s="621"/>
      <c r="M114" s="452" t="e">
        <f>RANK(K114, K$107:$K$121)</f>
        <v>#VALUE!</v>
      </c>
      <c r="N114" s="604"/>
      <c r="O114" s="604"/>
      <c r="P114" s="460"/>
      <c r="Q114" s="182"/>
      <c r="R114" s="462"/>
      <c r="S114" s="451" t="e">
        <f t="shared" si="96"/>
        <v>#N/A</v>
      </c>
      <c r="T114" s="612"/>
      <c r="U114" s="460"/>
      <c r="V114" s="182"/>
      <c r="W114" s="462"/>
      <c r="X114" s="451" t="e">
        <f t="shared" si="97"/>
        <v>#N/A</v>
      </c>
      <c r="Y114" s="612"/>
      <c r="Z114" s="460"/>
      <c r="AA114" s="182"/>
      <c r="AB114" s="462"/>
      <c r="AC114" s="451" t="e">
        <f t="shared" si="99"/>
        <v>#N/A</v>
      </c>
      <c r="AD114" s="612"/>
      <c r="AE114" s="460"/>
      <c r="AF114" s="182"/>
      <c r="AG114" s="462"/>
      <c r="AH114" s="451" t="e">
        <f t="shared" si="101"/>
        <v>#N/A</v>
      </c>
      <c r="AI114" s="612"/>
      <c r="AJ114" s="460"/>
      <c r="AK114" s="182"/>
      <c r="AL114" s="462"/>
      <c r="AM114" s="451" t="e">
        <f t="shared" si="103"/>
        <v>#N/A</v>
      </c>
      <c r="AN114" s="612"/>
      <c r="AO114" s="460"/>
      <c r="AP114" s="182"/>
      <c r="AQ114" s="462"/>
      <c r="AR114" s="451" t="e">
        <f t="shared" si="105"/>
        <v>#N/A</v>
      </c>
      <c r="AS114" s="612"/>
      <c r="AT114" s="460"/>
      <c r="AU114" s="182"/>
      <c r="AV114" s="462"/>
      <c r="AW114" s="451" t="e">
        <f t="shared" si="107"/>
        <v>#N/A</v>
      </c>
      <c r="AX114" s="612"/>
      <c r="AZ114" s="529" t="e">
        <f t="shared" si="109"/>
        <v>#N/A</v>
      </c>
      <c r="BA114" s="612"/>
    </row>
    <row r="115" spans="2:53">
      <c r="B115" s="640"/>
      <c r="C115" s="451">
        <v>9</v>
      </c>
      <c r="D115" s="460"/>
      <c r="E115" s="460"/>
      <c r="F115" s="460"/>
      <c r="G115" s="182"/>
      <c r="H115" s="619"/>
      <c r="I115" s="513" t="str">
        <f t="shared" si="93"/>
        <v>-</v>
      </c>
      <c r="J115" s="513" t="str">
        <f t="shared" si="94"/>
        <v>-</v>
      </c>
      <c r="K115" s="200" t="str">
        <f t="shared" si="95"/>
        <v>-</v>
      </c>
      <c r="L115" s="621"/>
      <c r="M115" s="452" t="e">
        <f>RANK(K115, K$107:$K$121)</f>
        <v>#VALUE!</v>
      </c>
      <c r="N115" s="604"/>
      <c r="O115" s="604"/>
      <c r="P115" s="460"/>
      <c r="Q115" s="182"/>
      <c r="R115" s="462"/>
      <c r="S115" s="451" t="e">
        <f t="shared" si="96"/>
        <v>#N/A</v>
      </c>
      <c r="T115" s="612"/>
      <c r="U115" s="460"/>
      <c r="V115" s="182"/>
      <c r="W115" s="462"/>
      <c r="X115" s="451" t="e">
        <f t="shared" si="97"/>
        <v>#N/A</v>
      </c>
      <c r="Y115" s="612"/>
      <c r="Z115" s="460"/>
      <c r="AA115" s="182"/>
      <c r="AB115" s="462"/>
      <c r="AC115" s="451" t="e">
        <f t="shared" si="99"/>
        <v>#N/A</v>
      </c>
      <c r="AD115" s="612"/>
      <c r="AE115" s="460"/>
      <c r="AF115" s="182"/>
      <c r="AG115" s="462"/>
      <c r="AH115" s="451" t="e">
        <f t="shared" si="101"/>
        <v>#N/A</v>
      </c>
      <c r="AI115" s="612"/>
      <c r="AJ115" s="460"/>
      <c r="AK115" s="182"/>
      <c r="AL115" s="462"/>
      <c r="AM115" s="451" t="e">
        <f t="shared" si="103"/>
        <v>#N/A</v>
      </c>
      <c r="AN115" s="612"/>
      <c r="AO115" s="460"/>
      <c r="AP115" s="182"/>
      <c r="AQ115" s="462"/>
      <c r="AR115" s="451" t="e">
        <f t="shared" si="105"/>
        <v>#N/A</v>
      </c>
      <c r="AS115" s="612"/>
      <c r="AT115" s="460"/>
      <c r="AU115" s="182"/>
      <c r="AV115" s="462"/>
      <c r="AW115" s="451" t="e">
        <f t="shared" si="107"/>
        <v>#N/A</v>
      </c>
      <c r="AX115" s="612"/>
      <c r="AZ115" s="529" t="e">
        <f t="shared" si="109"/>
        <v>#N/A</v>
      </c>
      <c r="BA115" s="612"/>
    </row>
    <row r="116" spans="2:53">
      <c r="B116" s="640"/>
      <c r="C116" s="451">
        <v>10</v>
      </c>
      <c r="D116" s="460"/>
      <c r="E116" s="460"/>
      <c r="F116" s="460"/>
      <c r="G116" s="182"/>
      <c r="H116" s="619"/>
      <c r="I116" s="513" t="str">
        <f t="shared" si="93"/>
        <v>-</v>
      </c>
      <c r="J116" s="513" t="str">
        <f t="shared" si="94"/>
        <v>-</v>
      </c>
      <c r="K116" s="200" t="str">
        <f t="shared" si="95"/>
        <v>-</v>
      </c>
      <c r="L116" s="621"/>
      <c r="M116" s="452" t="e">
        <f>RANK(K116, K$107:$K$121)</f>
        <v>#VALUE!</v>
      </c>
      <c r="N116" s="604"/>
      <c r="O116" s="604"/>
      <c r="P116" s="460"/>
      <c r="Q116" s="182"/>
      <c r="R116" s="462"/>
      <c r="S116" s="451" t="e">
        <f t="shared" si="96"/>
        <v>#N/A</v>
      </c>
      <c r="T116" s="612"/>
      <c r="U116" s="460"/>
      <c r="V116" s="182"/>
      <c r="W116" s="462"/>
      <c r="X116" s="451" t="e">
        <f t="shared" si="97"/>
        <v>#N/A</v>
      </c>
      <c r="Y116" s="612"/>
      <c r="Z116" s="460"/>
      <c r="AA116" s="182"/>
      <c r="AB116" s="462"/>
      <c r="AC116" s="451" t="e">
        <f t="shared" si="99"/>
        <v>#N/A</v>
      </c>
      <c r="AD116" s="612"/>
      <c r="AE116" s="460"/>
      <c r="AF116" s="182"/>
      <c r="AG116" s="462"/>
      <c r="AH116" s="451" t="e">
        <f t="shared" si="101"/>
        <v>#N/A</v>
      </c>
      <c r="AI116" s="612"/>
      <c r="AJ116" s="460"/>
      <c r="AK116" s="182"/>
      <c r="AL116" s="462"/>
      <c r="AM116" s="451" t="e">
        <f t="shared" si="103"/>
        <v>#N/A</v>
      </c>
      <c r="AN116" s="612"/>
      <c r="AO116" s="460"/>
      <c r="AP116" s="182"/>
      <c r="AQ116" s="462"/>
      <c r="AR116" s="451" t="e">
        <f t="shared" si="105"/>
        <v>#N/A</v>
      </c>
      <c r="AS116" s="612"/>
      <c r="AT116" s="460"/>
      <c r="AU116" s="182"/>
      <c r="AV116" s="462"/>
      <c r="AW116" s="451" t="e">
        <f t="shared" si="107"/>
        <v>#N/A</v>
      </c>
      <c r="AX116" s="612"/>
      <c r="AZ116" s="529" t="e">
        <f t="shared" si="109"/>
        <v>#N/A</v>
      </c>
      <c r="BA116" s="612"/>
    </row>
    <row r="117" spans="2:53">
      <c r="B117" s="640"/>
      <c r="C117" s="451">
        <v>11</v>
      </c>
      <c r="D117" s="460"/>
      <c r="E117" s="460"/>
      <c r="F117" s="460"/>
      <c r="G117" s="182"/>
      <c r="H117" s="619"/>
      <c r="I117" s="513" t="str">
        <f t="shared" si="93"/>
        <v>-</v>
      </c>
      <c r="J117" s="513" t="str">
        <f t="shared" si="94"/>
        <v>-</v>
      </c>
      <c r="K117" s="200" t="str">
        <f t="shared" si="95"/>
        <v>-</v>
      </c>
      <c r="L117" s="621"/>
      <c r="M117" s="452" t="e">
        <f>RANK(K117, K$107:$K$121)</f>
        <v>#VALUE!</v>
      </c>
      <c r="N117" s="604"/>
      <c r="O117" s="604"/>
      <c r="P117" s="460"/>
      <c r="Q117" s="460"/>
      <c r="R117" s="460"/>
      <c r="S117" s="451" t="e">
        <f t="shared" si="96"/>
        <v>#N/A</v>
      </c>
      <c r="T117" s="612"/>
      <c r="U117" s="460"/>
      <c r="V117" s="460"/>
      <c r="W117" s="460"/>
      <c r="X117" s="451" t="e">
        <f t="shared" si="97"/>
        <v>#N/A</v>
      </c>
      <c r="Y117" s="612"/>
      <c r="Z117" s="460"/>
      <c r="AA117" s="460"/>
      <c r="AB117" s="460"/>
      <c r="AC117" s="451" t="e">
        <f t="shared" si="99"/>
        <v>#N/A</v>
      </c>
      <c r="AD117" s="612"/>
      <c r="AE117" s="460"/>
      <c r="AF117" s="460"/>
      <c r="AG117" s="460"/>
      <c r="AH117" s="451" t="e">
        <f t="shared" si="101"/>
        <v>#N/A</v>
      </c>
      <c r="AI117" s="612"/>
      <c r="AJ117" s="460"/>
      <c r="AK117" s="460"/>
      <c r="AL117" s="460"/>
      <c r="AM117" s="451" t="e">
        <f t="shared" si="103"/>
        <v>#N/A</v>
      </c>
      <c r="AN117" s="612"/>
      <c r="AO117" s="460"/>
      <c r="AP117" s="460"/>
      <c r="AQ117" s="460"/>
      <c r="AR117" s="451" t="e">
        <f t="shared" si="105"/>
        <v>#N/A</v>
      </c>
      <c r="AS117" s="612"/>
      <c r="AT117" s="460"/>
      <c r="AU117" s="460"/>
      <c r="AV117" s="460"/>
      <c r="AW117" s="451" t="e">
        <f t="shared" si="107"/>
        <v>#N/A</v>
      </c>
      <c r="AX117" s="612"/>
      <c r="AZ117" s="529" t="e">
        <f t="shared" si="109"/>
        <v>#N/A</v>
      </c>
      <c r="BA117" s="612"/>
    </row>
    <row r="118" spans="2:53">
      <c r="B118" s="640"/>
      <c r="C118" s="451">
        <v>12</v>
      </c>
      <c r="D118" s="460"/>
      <c r="E118" s="460"/>
      <c r="F118" s="460"/>
      <c r="G118" s="182"/>
      <c r="H118" s="619"/>
      <c r="I118" s="513" t="str">
        <f t="shared" si="93"/>
        <v>-</v>
      </c>
      <c r="J118" s="513" t="str">
        <f t="shared" si="94"/>
        <v>-</v>
      </c>
      <c r="K118" s="200" t="str">
        <f t="shared" si="95"/>
        <v>-</v>
      </c>
      <c r="L118" s="621"/>
      <c r="M118" s="452" t="e">
        <f>RANK(K118, K$107:$K$121)</f>
        <v>#VALUE!</v>
      </c>
      <c r="N118" s="604"/>
      <c r="O118" s="604"/>
      <c r="P118" s="460"/>
      <c r="Q118" s="460"/>
      <c r="R118" s="460"/>
      <c r="S118" s="451" t="e">
        <f t="shared" si="96"/>
        <v>#N/A</v>
      </c>
      <c r="T118" s="612"/>
      <c r="U118" s="460"/>
      <c r="V118" s="460"/>
      <c r="W118" s="460"/>
      <c r="X118" s="451" t="e">
        <f t="shared" si="97"/>
        <v>#N/A</v>
      </c>
      <c r="Y118" s="612"/>
      <c r="Z118" s="460"/>
      <c r="AA118" s="460"/>
      <c r="AB118" s="460"/>
      <c r="AC118" s="451" t="e">
        <f t="shared" si="99"/>
        <v>#N/A</v>
      </c>
      <c r="AD118" s="612"/>
      <c r="AE118" s="460"/>
      <c r="AF118" s="460"/>
      <c r="AG118" s="460"/>
      <c r="AH118" s="451" t="e">
        <f t="shared" si="101"/>
        <v>#N/A</v>
      </c>
      <c r="AI118" s="612"/>
      <c r="AJ118" s="460"/>
      <c r="AK118" s="460"/>
      <c r="AL118" s="460"/>
      <c r="AM118" s="451" t="e">
        <f t="shared" si="103"/>
        <v>#N/A</v>
      </c>
      <c r="AN118" s="612"/>
      <c r="AO118" s="460"/>
      <c r="AP118" s="460"/>
      <c r="AQ118" s="460"/>
      <c r="AR118" s="451" t="e">
        <f t="shared" si="105"/>
        <v>#N/A</v>
      </c>
      <c r="AS118" s="612"/>
      <c r="AT118" s="460"/>
      <c r="AU118" s="460"/>
      <c r="AV118" s="460"/>
      <c r="AW118" s="451" t="e">
        <f t="shared" si="107"/>
        <v>#N/A</v>
      </c>
      <c r="AX118" s="612"/>
      <c r="AZ118" s="529" t="e">
        <f t="shared" si="109"/>
        <v>#N/A</v>
      </c>
      <c r="BA118" s="612"/>
    </row>
    <row r="119" spans="2:53">
      <c r="B119" s="640"/>
      <c r="C119" s="451">
        <v>13</v>
      </c>
      <c r="D119" s="460"/>
      <c r="E119" s="460"/>
      <c r="F119" s="460"/>
      <c r="G119" s="182"/>
      <c r="H119" s="619"/>
      <c r="I119" s="513" t="str">
        <f t="shared" si="93"/>
        <v>-</v>
      </c>
      <c r="J119" s="513" t="str">
        <f t="shared" si="94"/>
        <v>-</v>
      </c>
      <c r="K119" s="200" t="str">
        <f t="shared" si="95"/>
        <v>-</v>
      </c>
      <c r="L119" s="621"/>
      <c r="M119" s="452" t="e">
        <f>RANK(K119, K$107:$K$121)</f>
        <v>#VALUE!</v>
      </c>
      <c r="N119" s="604"/>
      <c r="O119" s="604"/>
      <c r="P119" s="460"/>
      <c r="Q119" s="460"/>
      <c r="R119" s="460"/>
      <c r="S119" s="451" t="e">
        <f t="shared" si="96"/>
        <v>#N/A</v>
      </c>
      <c r="T119" s="612"/>
      <c r="U119" s="460"/>
      <c r="V119" s="460"/>
      <c r="W119" s="460"/>
      <c r="X119" s="451" t="e">
        <f t="shared" si="97"/>
        <v>#N/A</v>
      </c>
      <c r="Y119" s="612"/>
      <c r="Z119" s="460"/>
      <c r="AA119" s="460"/>
      <c r="AB119" s="460"/>
      <c r="AC119" s="451" t="e">
        <f t="shared" si="99"/>
        <v>#N/A</v>
      </c>
      <c r="AD119" s="612"/>
      <c r="AE119" s="460"/>
      <c r="AF119" s="460"/>
      <c r="AG119" s="460"/>
      <c r="AH119" s="451" t="e">
        <f t="shared" si="101"/>
        <v>#N/A</v>
      </c>
      <c r="AI119" s="612"/>
      <c r="AJ119" s="460"/>
      <c r="AK119" s="460"/>
      <c r="AL119" s="460"/>
      <c r="AM119" s="451" t="e">
        <f t="shared" si="103"/>
        <v>#N/A</v>
      </c>
      <c r="AN119" s="612"/>
      <c r="AO119" s="460"/>
      <c r="AP119" s="460"/>
      <c r="AQ119" s="460"/>
      <c r="AR119" s="451" t="e">
        <f t="shared" si="105"/>
        <v>#N/A</v>
      </c>
      <c r="AS119" s="612"/>
      <c r="AT119" s="460"/>
      <c r="AU119" s="460"/>
      <c r="AV119" s="460"/>
      <c r="AW119" s="451" t="e">
        <f t="shared" si="107"/>
        <v>#N/A</v>
      </c>
      <c r="AX119" s="612"/>
      <c r="AZ119" s="529" t="e">
        <f t="shared" si="109"/>
        <v>#N/A</v>
      </c>
      <c r="BA119" s="612"/>
    </row>
    <row r="120" spans="2:53">
      <c r="B120" s="640"/>
      <c r="C120" s="451">
        <v>14</v>
      </c>
      <c r="D120" s="460"/>
      <c r="E120" s="460"/>
      <c r="F120" s="460"/>
      <c r="G120" s="182"/>
      <c r="H120" s="619"/>
      <c r="I120" s="513" t="str">
        <f t="shared" si="93"/>
        <v>-</v>
      </c>
      <c r="J120" s="513" t="str">
        <f t="shared" si="94"/>
        <v>-</v>
      </c>
      <c r="K120" s="200" t="str">
        <f t="shared" si="95"/>
        <v>-</v>
      </c>
      <c r="L120" s="621"/>
      <c r="M120" s="452" t="e">
        <f>RANK(K120, K$107:$K$121)</f>
        <v>#VALUE!</v>
      </c>
      <c r="N120" s="604"/>
      <c r="O120" s="604"/>
      <c r="P120" s="460"/>
      <c r="Q120" s="460"/>
      <c r="R120" s="460"/>
      <c r="S120" s="451" t="e">
        <f t="shared" si="96"/>
        <v>#N/A</v>
      </c>
      <c r="T120" s="612"/>
      <c r="U120" s="460"/>
      <c r="V120" s="460"/>
      <c r="W120" s="460"/>
      <c r="X120" s="451" t="e">
        <f t="shared" si="97"/>
        <v>#N/A</v>
      </c>
      <c r="Y120" s="612"/>
      <c r="Z120" s="460"/>
      <c r="AA120" s="460"/>
      <c r="AB120" s="460"/>
      <c r="AC120" s="451" t="e">
        <f t="shared" si="99"/>
        <v>#N/A</v>
      </c>
      <c r="AD120" s="612"/>
      <c r="AE120" s="460"/>
      <c r="AF120" s="460"/>
      <c r="AG120" s="460"/>
      <c r="AH120" s="451" t="e">
        <f t="shared" si="101"/>
        <v>#N/A</v>
      </c>
      <c r="AI120" s="612"/>
      <c r="AJ120" s="460"/>
      <c r="AK120" s="460"/>
      <c r="AL120" s="460"/>
      <c r="AM120" s="451" t="e">
        <f t="shared" si="103"/>
        <v>#N/A</v>
      </c>
      <c r="AN120" s="612"/>
      <c r="AO120" s="460"/>
      <c r="AP120" s="460"/>
      <c r="AQ120" s="460"/>
      <c r="AR120" s="451" t="e">
        <f t="shared" si="105"/>
        <v>#N/A</v>
      </c>
      <c r="AS120" s="612"/>
      <c r="AT120" s="460"/>
      <c r="AU120" s="460"/>
      <c r="AV120" s="460"/>
      <c r="AW120" s="451" t="e">
        <f t="shared" si="107"/>
        <v>#N/A</v>
      </c>
      <c r="AX120" s="612"/>
      <c r="AZ120" s="529" t="e">
        <f t="shared" si="109"/>
        <v>#N/A</v>
      </c>
      <c r="BA120" s="612"/>
    </row>
    <row r="121" spans="2:53">
      <c r="B121" s="640"/>
      <c r="C121" s="451">
        <v>15</v>
      </c>
      <c r="D121" s="460"/>
      <c r="E121" s="460"/>
      <c r="F121" s="460"/>
      <c r="G121" s="460"/>
      <c r="H121" s="679"/>
      <c r="I121" s="513" t="str">
        <f t="shared" si="93"/>
        <v>-</v>
      </c>
      <c r="J121" s="513" t="str">
        <f t="shared" si="94"/>
        <v>-</v>
      </c>
      <c r="K121" s="200" t="str">
        <f t="shared" si="95"/>
        <v>-</v>
      </c>
      <c r="L121" s="622"/>
      <c r="M121" s="452" t="e">
        <f>RANK(K121, K$107:$K$121)</f>
        <v>#VALUE!</v>
      </c>
      <c r="N121" s="604"/>
      <c r="O121" s="604"/>
      <c r="P121" s="451"/>
      <c r="Q121" s="452"/>
      <c r="R121" s="452"/>
      <c r="S121" s="451" t="e">
        <f t="shared" si="96"/>
        <v>#N/A</v>
      </c>
      <c r="T121" s="612"/>
      <c r="U121" s="451"/>
      <c r="V121" s="452"/>
      <c r="W121" s="452"/>
      <c r="X121" s="451" t="e">
        <f t="shared" si="97"/>
        <v>#N/A</v>
      </c>
      <c r="Y121" s="612"/>
      <c r="Z121" s="451"/>
      <c r="AA121" s="452"/>
      <c r="AB121" s="452"/>
      <c r="AC121" s="451" t="e">
        <f t="shared" si="99"/>
        <v>#N/A</v>
      </c>
      <c r="AD121" s="612"/>
      <c r="AE121" s="451"/>
      <c r="AF121" s="452"/>
      <c r="AG121" s="452"/>
      <c r="AH121" s="451" t="e">
        <f t="shared" si="101"/>
        <v>#N/A</v>
      </c>
      <c r="AI121" s="612"/>
      <c r="AJ121" s="451"/>
      <c r="AK121" s="452"/>
      <c r="AL121" s="452"/>
      <c r="AM121" s="451" t="e">
        <f t="shared" si="103"/>
        <v>#N/A</v>
      </c>
      <c r="AN121" s="612"/>
      <c r="AO121" s="451"/>
      <c r="AP121" s="452"/>
      <c r="AQ121" s="452"/>
      <c r="AR121" s="451" t="e">
        <f t="shared" si="105"/>
        <v>#N/A</v>
      </c>
      <c r="AS121" s="612"/>
      <c r="AT121" s="451"/>
      <c r="AU121" s="452"/>
      <c r="AV121" s="452"/>
      <c r="AW121" s="451" t="e">
        <f t="shared" si="107"/>
        <v>#N/A</v>
      </c>
      <c r="AX121" s="612"/>
      <c r="AZ121" s="529" t="e">
        <f t="shared" si="109"/>
        <v>#N/A</v>
      </c>
      <c r="BA121" s="612"/>
    </row>
    <row r="123" spans="2:53" ht="15.75">
      <c r="B123" s="613" t="s">
        <v>559</v>
      </c>
      <c r="C123" s="614"/>
      <c r="D123" s="614"/>
      <c r="E123" s="614"/>
      <c r="F123" s="614"/>
      <c r="G123" s="614"/>
      <c r="H123" s="615"/>
      <c r="I123" s="337"/>
      <c r="J123" s="337"/>
      <c r="K123" s="337"/>
      <c r="L123" s="337"/>
      <c r="M123" s="338"/>
    </row>
    <row r="124" spans="2:53" ht="15.75">
      <c r="B124" s="616"/>
      <c r="C124" s="616"/>
      <c r="D124" s="616"/>
      <c r="E124" s="616"/>
      <c r="F124" s="616"/>
      <c r="G124" s="616"/>
      <c r="H124" s="616"/>
      <c r="I124" s="339"/>
      <c r="J124" s="339"/>
      <c r="K124" s="339"/>
      <c r="L124" s="339"/>
      <c r="M124" s="340"/>
    </row>
    <row r="125" spans="2:53">
      <c r="B125" s="604" t="s">
        <v>560</v>
      </c>
      <c r="C125" s="604" t="s">
        <v>561</v>
      </c>
      <c r="D125" s="604"/>
      <c r="E125" s="604" t="s">
        <v>562</v>
      </c>
      <c r="F125" s="604"/>
      <c r="G125" s="604"/>
      <c r="H125" s="637" t="s">
        <v>563</v>
      </c>
      <c r="I125" s="617" t="s">
        <v>564</v>
      </c>
      <c r="J125" s="617"/>
      <c r="K125" s="617"/>
      <c r="L125" s="673" t="s">
        <v>563</v>
      </c>
      <c r="M125" s="676" t="s">
        <v>565</v>
      </c>
    </row>
    <row r="126" spans="2:53">
      <c r="B126" s="604"/>
      <c r="C126" s="604"/>
      <c r="D126" s="604"/>
      <c r="E126" s="604" t="s">
        <v>566</v>
      </c>
      <c r="F126" s="604"/>
      <c r="G126" s="604"/>
      <c r="H126" s="638"/>
      <c r="I126" s="617" t="s">
        <v>566</v>
      </c>
      <c r="J126" s="617"/>
      <c r="K126" s="617"/>
      <c r="L126" s="674"/>
      <c r="M126" s="677"/>
    </row>
    <row r="127" spans="2:53">
      <c r="B127" s="604"/>
      <c r="C127" s="604"/>
      <c r="D127" s="604"/>
      <c r="E127" s="334" t="s">
        <v>567</v>
      </c>
      <c r="F127" s="334" t="s">
        <v>568</v>
      </c>
      <c r="G127" s="334" t="s">
        <v>569</v>
      </c>
      <c r="H127" s="639"/>
      <c r="I127" s="341" t="s">
        <v>567</v>
      </c>
      <c r="J127" s="341" t="s">
        <v>568</v>
      </c>
      <c r="K127" s="341" t="s">
        <v>569</v>
      </c>
      <c r="L127" s="675"/>
      <c r="M127" s="678"/>
    </row>
    <row r="128" spans="2:53">
      <c r="B128" s="666" t="s">
        <v>571</v>
      </c>
      <c r="C128" s="333">
        <v>1</v>
      </c>
      <c r="D128" s="226"/>
      <c r="E128" s="182"/>
      <c r="F128" s="333"/>
      <c r="G128" s="336"/>
      <c r="H128" s="667" t="e">
        <f>AVERAGE(G128:G142)</f>
        <v>#DIV/0!</v>
      </c>
      <c r="I128" s="199" t="e">
        <f t="shared" ref="I128:K134" si="111">AVERAGEIF($D$7:$D$121,$D128,I$7:I$121)</f>
        <v>#DIV/0!</v>
      </c>
      <c r="J128" s="199" t="e">
        <f t="shared" si="111"/>
        <v>#DIV/0!</v>
      </c>
      <c r="K128" s="199" t="e">
        <f>AVERAGEIF($D$7:$D$121,$D128,K$7:K$121)</f>
        <v>#DIV/0!</v>
      </c>
      <c r="L128" s="670" t="e">
        <f>AVERAGE(K128:K142)</f>
        <v>#DIV/0!</v>
      </c>
      <c r="M128" s="199" t="e">
        <f>RANK(K128, K$128:$K$142)</f>
        <v>#DIV/0!</v>
      </c>
    </row>
    <row r="129" spans="2:39">
      <c r="B129" s="610"/>
      <c r="C129" s="333">
        <v>2</v>
      </c>
      <c r="D129" s="226"/>
      <c r="E129" s="182"/>
      <c r="F129" s="333"/>
      <c r="G129" s="336"/>
      <c r="H129" s="668"/>
      <c r="I129" s="199" t="e">
        <f t="shared" si="111"/>
        <v>#DIV/0!</v>
      </c>
      <c r="J129" s="199" t="e">
        <f t="shared" si="111"/>
        <v>#DIV/0!</v>
      </c>
      <c r="K129" s="199" t="e">
        <f t="shared" si="111"/>
        <v>#DIV/0!</v>
      </c>
      <c r="L129" s="671"/>
      <c r="M129" s="199" t="e">
        <f>RANK(K129, K$128:$K$142)</f>
        <v>#DIV/0!</v>
      </c>
      <c r="N129" s="108"/>
      <c r="O129" s="108"/>
      <c r="P129" s="108"/>
      <c r="Q129" s="108"/>
      <c r="R129" s="108"/>
      <c r="S129" s="108"/>
      <c r="T129" s="108"/>
      <c r="X129" s="108"/>
      <c r="AC129" s="108"/>
      <c r="AH129" s="108"/>
      <c r="AM129" s="108"/>
    </row>
    <row r="130" spans="2:39">
      <c r="B130" s="610"/>
      <c r="C130" s="333">
        <v>3</v>
      </c>
      <c r="D130" s="226"/>
      <c r="E130" s="182"/>
      <c r="F130" s="333"/>
      <c r="G130" s="336"/>
      <c r="H130" s="668"/>
      <c r="I130" s="199" t="e">
        <f t="shared" si="111"/>
        <v>#DIV/0!</v>
      </c>
      <c r="J130" s="199" t="e">
        <f t="shared" si="111"/>
        <v>#DIV/0!</v>
      </c>
      <c r="K130" s="199" t="e">
        <f t="shared" si="111"/>
        <v>#DIV/0!</v>
      </c>
      <c r="L130" s="671"/>
      <c r="M130" s="199" t="e">
        <f>RANK(K130, K$128:$K$142)</f>
        <v>#DIV/0!</v>
      </c>
      <c r="N130" s="108"/>
      <c r="O130" s="108"/>
      <c r="P130" s="108"/>
      <c r="Q130" s="108"/>
      <c r="R130" s="108"/>
      <c r="S130" s="108"/>
      <c r="T130" s="108"/>
      <c r="X130" s="108"/>
      <c r="AC130" s="108"/>
      <c r="AH130" s="108"/>
      <c r="AM130" s="108"/>
    </row>
    <row r="131" spans="2:39">
      <c r="B131" s="610"/>
      <c r="C131" s="333">
        <v>4</v>
      </c>
      <c r="D131" s="226"/>
      <c r="E131" s="182"/>
      <c r="F131" s="333"/>
      <c r="G131" s="336"/>
      <c r="H131" s="668"/>
      <c r="I131" s="199" t="e">
        <f t="shared" si="111"/>
        <v>#DIV/0!</v>
      </c>
      <c r="J131" s="199" t="e">
        <f t="shared" si="111"/>
        <v>#DIV/0!</v>
      </c>
      <c r="K131" s="199" t="e">
        <f t="shared" si="111"/>
        <v>#DIV/0!</v>
      </c>
      <c r="L131" s="671"/>
      <c r="M131" s="199" t="e">
        <f>RANK(K131, K$128:$K$142)</f>
        <v>#DIV/0!</v>
      </c>
      <c r="N131" s="108"/>
      <c r="O131" s="108"/>
      <c r="P131" s="108"/>
      <c r="Q131" s="108"/>
      <c r="R131" s="108"/>
      <c r="S131" s="108"/>
      <c r="T131" s="108"/>
      <c r="X131" s="108"/>
      <c r="AC131" s="108"/>
      <c r="AH131" s="108"/>
      <c r="AM131" s="108"/>
    </row>
    <row r="132" spans="2:39">
      <c r="B132" s="610"/>
      <c r="C132" s="333">
        <v>5</v>
      </c>
      <c r="D132" s="226"/>
      <c r="E132" s="182"/>
      <c r="F132" s="333"/>
      <c r="G132" s="336"/>
      <c r="H132" s="668"/>
      <c r="I132" s="199" t="e">
        <f t="shared" si="111"/>
        <v>#DIV/0!</v>
      </c>
      <c r="J132" s="199" t="e">
        <f t="shared" si="111"/>
        <v>#DIV/0!</v>
      </c>
      <c r="K132" s="199" t="e">
        <f t="shared" si="111"/>
        <v>#DIV/0!</v>
      </c>
      <c r="L132" s="671"/>
      <c r="M132" s="199" t="e">
        <f>RANK(K132, K$128:$K$142)</f>
        <v>#DIV/0!</v>
      </c>
      <c r="N132" s="108"/>
      <c r="O132" s="108"/>
      <c r="P132" s="108"/>
      <c r="Q132" s="108"/>
      <c r="R132" s="108"/>
      <c r="S132" s="108"/>
      <c r="T132" s="108"/>
      <c r="X132" s="108"/>
      <c r="AC132" s="108"/>
      <c r="AH132" s="108"/>
      <c r="AM132" s="108"/>
    </row>
    <row r="133" spans="2:39">
      <c r="B133" s="610"/>
      <c r="C133" s="333">
        <v>6</v>
      </c>
      <c r="D133" s="342"/>
      <c r="E133" s="182"/>
      <c r="F133" s="333"/>
      <c r="G133" s="336"/>
      <c r="H133" s="668"/>
      <c r="I133" s="199" t="e">
        <f t="shared" si="111"/>
        <v>#DIV/0!</v>
      </c>
      <c r="J133" s="199" t="e">
        <f t="shared" si="111"/>
        <v>#DIV/0!</v>
      </c>
      <c r="K133" s="199" t="e">
        <f t="shared" si="111"/>
        <v>#DIV/0!</v>
      </c>
      <c r="L133" s="671"/>
      <c r="M133" s="199" t="e">
        <f>RANK(K133, K$128:$K$142)</f>
        <v>#DIV/0!</v>
      </c>
      <c r="N133" s="108"/>
      <c r="O133" s="108"/>
      <c r="P133" s="108"/>
      <c r="Q133" s="108"/>
      <c r="R133" s="108"/>
      <c r="S133" s="108"/>
      <c r="T133" s="108"/>
      <c r="X133" s="108"/>
      <c r="AC133" s="108"/>
      <c r="AH133" s="108"/>
      <c r="AM133" s="108"/>
    </row>
    <row r="134" spans="2:39">
      <c r="B134" s="610"/>
      <c r="C134" s="333">
        <v>7</v>
      </c>
      <c r="D134" s="226"/>
      <c r="E134" s="182"/>
      <c r="F134" s="333"/>
      <c r="G134" s="336"/>
      <c r="H134" s="668"/>
      <c r="I134" s="199" t="e">
        <f t="shared" si="111"/>
        <v>#DIV/0!</v>
      </c>
      <c r="J134" s="199" t="e">
        <f t="shared" si="111"/>
        <v>#DIV/0!</v>
      </c>
      <c r="K134" s="199" t="e">
        <f t="shared" si="111"/>
        <v>#DIV/0!</v>
      </c>
      <c r="L134" s="671"/>
      <c r="M134" s="199" t="e">
        <f>RANK(K134, K$128:$K$142)</f>
        <v>#DIV/0!</v>
      </c>
      <c r="N134" s="108"/>
      <c r="O134" s="108"/>
      <c r="P134" s="108"/>
      <c r="Q134" s="108"/>
      <c r="R134" s="108"/>
      <c r="S134" s="108"/>
      <c r="T134" s="108"/>
      <c r="X134" s="108"/>
      <c r="AC134" s="108"/>
      <c r="AH134" s="108"/>
      <c r="AM134" s="108"/>
    </row>
    <row r="135" spans="2:39">
      <c r="B135" s="610"/>
      <c r="C135" s="333">
        <v>8</v>
      </c>
      <c r="D135" s="226"/>
      <c r="E135" s="182"/>
      <c r="F135" s="333"/>
      <c r="G135" s="336"/>
      <c r="H135" s="668"/>
      <c r="I135" s="199"/>
      <c r="J135" s="199"/>
      <c r="K135" s="199"/>
      <c r="L135" s="671"/>
      <c r="M135" s="199" t="e">
        <f>RANK(K135, K$128:$K$142)</f>
        <v>#DIV/0!</v>
      </c>
      <c r="N135" s="108"/>
      <c r="O135" s="108"/>
      <c r="P135" s="108"/>
      <c r="Q135" s="108"/>
      <c r="R135" s="108"/>
      <c r="S135" s="108"/>
      <c r="T135" s="108"/>
      <c r="X135" s="108"/>
      <c r="AC135" s="108"/>
      <c r="AH135" s="108"/>
      <c r="AM135" s="108"/>
    </row>
    <row r="136" spans="2:39">
      <c r="B136" s="610"/>
      <c r="C136" s="333">
        <v>9</v>
      </c>
      <c r="D136" s="226"/>
      <c r="E136" s="333"/>
      <c r="F136" s="333"/>
      <c r="G136" s="333"/>
      <c r="H136" s="668"/>
      <c r="I136" s="199"/>
      <c r="J136" s="199"/>
      <c r="K136" s="199"/>
      <c r="L136" s="671"/>
      <c r="M136" s="199" t="e">
        <f>RANK(K136, K$128:$K$142)</f>
        <v>#DIV/0!</v>
      </c>
      <c r="N136" s="108"/>
      <c r="O136" s="108"/>
      <c r="P136" s="108"/>
      <c r="Q136" s="108"/>
      <c r="R136" s="108"/>
      <c r="S136" s="108"/>
      <c r="T136" s="108"/>
      <c r="X136" s="108"/>
      <c r="AC136" s="108"/>
      <c r="AH136" s="108"/>
      <c r="AM136" s="108"/>
    </row>
    <row r="137" spans="2:39">
      <c r="B137" s="610"/>
      <c r="C137" s="333">
        <v>10</v>
      </c>
      <c r="D137" s="226"/>
      <c r="E137" s="333"/>
      <c r="F137" s="333"/>
      <c r="G137" s="333"/>
      <c r="H137" s="668"/>
      <c r="I137" s="199"/>
      <c r="J137" s="199"/>
      <c r="K137" s="199"/>
      <c r="L137" s="671"/>
      <c r="M137" s="199" t="e">
        <f>RANK(K137, K$128:$K$142)</f>
        <v>#DIV/0!</v>
      </c>
      <c r="N137" s="108"/>
      <c r="O137" s="108"/>
      <c r="P137" s="108"/>
      <c r="Q137" s="108"/>
      <c r="R137" s="108"/>
      <c r="S137" s="108"/>
      <c r="T137" s="108"/>
      <c r="X137" s="108"/>
      <c r="AC137" s="108"/>
      <c r="AH137" s="108"/>
      <c r="AM137" s="108"/>
    </row>
    <row r="138" spans="2:39">
      <c r="B138" s="610"/>
      <c r="C138" s="333">
        <v>11</v>
      </c>
      <c r="D138" s="226"/>
      <c r="E138" s="333"/>
      <c r="F138" s="333"/>
      <c r="G138" s="333"/>
      <c r="H138" s="668"/>
      <c r="I138" s="199"/>
      <c r="J138" s="199"/>
      <c r="K138" s="199"/>
      <c r="L138" s="671"/>
      <c r="M138" s="199" t="e">
        <f>RANK(K138, K$128:$K$142)</f>
        <v>#DIV/0!</v>
      </c>
      <c r="N138" s="108"/>
      <c r="O138" s="108"/>
      <c r="P138" s="108"/>
      <c r="Q138" s="108"/>
      <c r="R138" s="108"/>
      <c r="S138" s="108"/>
      <c r="T138" s="108"/>
      <c r="X138" s="108"/>
      <c r="AC138" s="108"/>
      <c r="AH138" s="108"/>
      <c r="AM138" s="108"/>
    </row>
    <row r="139" spans="2:39">
      <c r="B139" s="610"/>
      <c r="C139" s="333">
        <v>12</v>
      </c>
      <c r="D139" s="226"/>
      <c r="E139" s="333"/>
      <c r="F139" s="333"/>
      <c r="G139" s="333"/>
      <c r="H139" s="668"/>
      <c r="I139" s="199"/>
      <c r="J139" s="199"/>
      <c r="K139" s="199"/>
      <c r="L139" s="671"/>
      <c r="M139" s="199" t="e">
        <f>RANK(K139, K$128:$K$142)</f>
        <v>#DIV/0!</v>
      </c>
      <c r="N139" s="108"/>
      <c r="O139" s="108"/>
      <c r="P139" s="108"/>
      <c r="Q139" s="108"/>
      <c r="R139" s="108"/>
      <c r="S139" s="108"/>
      <c r="T139" s="108"/>
      <c r="X139" s="108"/>
      <c r="AC139" s="108"/>
      <c r="AH139" s="108"/>
      <c r="AM139" s="108"/>
    </row>
    <row r="140" spans="2:39">
      <c r="B140" s="610"/>
      <c r="C140" s="333">
        <v>13</v>
      </c>
      <c r="D140" s="226"/>
      <c r="E140" s="333"/>
      <c r="F140" s="333"/>
      <c r="G140" s="333"/>
      <c r="H140" s="668"/>
      <c r="I140" s="199"/>
      <c r="J140" s="199"/>
      <c r="K140" s="199"/>
      <c r="L140" s="671"/>
      <c r="M140" s="199" t="e">
        <f>RANK(K140, K$128:$K$142)</f>
        <v>#DIV/0!</v>
      </c>
      <c r="N140" s="108"/>
      <c r="O140" s="108"/>
      <c r="P140" s="108"/>
      <c r="Q140" s="108"/>
      <c r="R140" s="108"/>
      <c r="S140" s="108"/>
      <c r="T140" s="108"/>
      <c r="X140" s="108"/>
      <c r="AC140" s="108"/>
      <c r="AH140" s="108"/>
      <c r="AM140" s="108"/>
    </row>
    <row r="141" spans="2:39">
      <c r="B141" s="610"/>
      <c r="C141" s="333">
        <v>14</v>
      </c>
      <c r="D141" s="226"/>
      <c r="E141" s="333"/>
      <c r="F141" s="333"/>
      <c r="G141" s="333"/>
      <c r="H141" s="668"/>
      <c r="I141" s="199"/>
      <c r="J141" s="199"/>
      <c r="K141" s="199"/>
      <c r="L141" s="671"/>
      <c r="M141" s="199" t="e">
        <f>RANK(K141, K$128:$K$142)</f>
        <v>#DIV/0!</v>
      </c>
      <c r="N141" s="108"/>
      <c r="O141" s="108"/>
      <c r="P141" s="108"/>
      <c r="Q141" s="108"/>
      <c r="R141" s="108"/>
      <c r="S141" s="108"/>
      <c r="T141" s="108"/>
      <c r="X141" s="108"/>
      <c r="AC141" s="108"/>
      <c r="AH141" s="108"/>
      <c r="AM141" s="108"/>
    </row>
    <row r="142" spans="2:39">
      <c r="B142" s="610"/>
      <c r="C142" s="333">
        <v>15</v>
      </c>
      <c r="D142" s="226"/>
      <c r="E142" s="333"/>
      <c r="F142" s="333"/>
      <c r="G142" s="333"/>
      <c r="H142" s="669"/>
      <c r="I142" s="199"/>
      <c r="J142" s="199"/>
      <c r="K142" s="199"/>
      <c r="L142" s="672"/>
      <c r="M142" s="199" t="e">
        <f>RANK(K142, K$128:$K$142)</f>
        <v>#DIV/0!</v>
      </c>
      <c r="N142" s="108"/>
      <c r="O142" s="108"/>
      <c r="P142" s="108"/>
      <c r="Q142" s="108"/>
      <c r="R142" s="108"/>
      <c r="S142" s="108"/>
      <c r="T142" s="108"/>
      <c r="X142" s="108"/>
      <c r="AC142" s="108"/>
      <c r="AH142" s="108"/>
      <c r="AM142" s="108"/>
    </row>
  </sheetData>
  <mergeCells count="379"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BA87:BA101"/>
    <mergeCell ref="BA104:BA106"/>
    <mergeCell ref="BA107:BA121"/>
    <mergeCell ref="BA4:BA6"/>
    <mergeCell ref="BA7:BA21"/>
    <mergeCell ref="BA24:BA26"/>
    <mergeCell ref="BA27:BA41"/>
    <mergeCell ref="BA44:BA46"/>
    <mergeCell ref="BA47:BA61"/>
    <mergeCell ref="BA64:BA66"/>
    <mergeCell ref="BA67:BA81"/>
    <mergeCell ref="BA84:BA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A142"/>
  <sheetViews>
    <sheetView topLeftCell="A28" zoomScale="40" zoomScaleNormal="40" workbookViewId="0">
      <pane xSplit="15" topLeftCell="P1" activePane="topRight" state="frozen"/>
      <selection activeCell="I107" activeCellId="2" sqref="I67:K81 I87:K101 I107:K121"/>
      <selection pane="topRight" activeCell="T67" sqref="S67:T81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51" width="8.85546875" style="108"/>
    <col min="52" max="52" width="5.42578125" style="108" customWidth="1"/>
    <col min="53" max="53" width="13.140625" style="108" customWidth="1"/>
    <col min="54" max="16384" width="8.85546875" style="108"/>
  </cols>
  <sheetData>
    <row r="1" spans="1:53" ht="24">
      <c r="A1" s="75"/>
      <c r="B1" s="221" t="s">
        <v>332</v>
      </c>
      <c r="C1" s="220">
        <f>AVERAGE(L7,L27,L47,L67,L87,L107)</f>
        <v>250.02528842620799</v>
      </c>
    </row>
    <row r="2" spans="1:53" ht="15.75">
      <c r="A2" s="81"/>
      <c r="B2" s="633" t="s">
        <v>163</v>
      </c>
      <c r="C2" s="633"/>
      <c r="D2" s="633"/>
      <c r="E2" s="633"/>
      <c r="F2" s="633"/>
      <c r="G2" s="633"/>
      <c r="H2" s="633"/>
      <c r="I2" s="306"/>
      <c r="J2" s="306"/>
      <c r="K2" s="306"/>
      <c r="L2" s="306"/>
      <c r="M2" s="197"/>
      <c r="N2" s="606" t="s">
        <v>156</v>
      </c>
      <c r="O2" s="606" t="s">
        <v>155</v>
      </c>
      <c r="P2" s="645">
        <v>46112</v>
      </c>
      <c r="Q2" s="646"/>
      <c r="R2" s="646"/>
      <c r="S2" s="646"/>
      <c r="T2" s="647"/>
      <c r="U2" s="632">
        <f>P2+1</f>
        <v>46113</v>
      </c>
      <c r="V2" s="610"/>
      <c r="W2" s="610"/>
      <c r="X2" s="610"/>
      <c r="Y2" s="610"/>
      <c r="Z2" s="632">
        <f>U2+1</f>
        <v>46114</v>
      </c>
      <c r="AA2" s="610"/>
      <c r="AB2" s="610"/>
      <c r="AC2" s="610"/>
      <c r="AD2" s="610"/>
      <c r="AE2" s="632">
        <f>Z2+1</f>
        <v>46115</v>
      </c>
      <c r="AF2" s="610"/>
      <c r="AG2" s="610"/>
      <c r="AH2" s="610"/>
      <c r="AI2" s="610"/>
      <c r="AJ2" s="632">
        <f>AE2+1</f>
        <v>46116</v>
      </c>
      <c r="AK2" s="610"/>
      <c r="AL2" s="610"/>
      <c r="AM2" s="610"/>
      <c r="AN2" s="610"/>
      <c r="AO2" s="632">
        <f>AJ2+1</f>
        <v>46117</v>
      </c>
      <c r="AP2" s="610"/>
      <c r="AQ2" s="610"/>
      <c r="AR2" s="610"/>
      <c r="AS2" s="610"/>
      <c r="AT2" s="629">
        <f>AO2+1</f>
        <v>46118</v>
      </c>
      <c r="AU2" s="630"/>
      <c r="AV2" s="630"/>
      <c r="AW2" s="630"/>
      <c r="AX2" s="631"/>
    </row>
    <row r="3" spans="1:53" ht="15.75">
      <c r="A3" s="81"/>
      <c r="B3" s="641"/>
      <c r="C3" s="641"/>
      <c r="D3" s="641"/>
      <c r="E3" s="641"/>
      <c r="F3" s="641"/>
      <c r="G3" s="641"/>
      <c r="H3" s="641"/>
      <c r="I3" s="307"/>
      <c r="J3" s="307"/>
      <c r="K3" s="307"/>
      <c r="L3" s="307"/>
      <c r="M3" s="198"/>
      <c r="N3" s="608"/>
      <c r="O3" s="608"/>
      <c r="P3" s="629" t="s">
        <v>158</v>
      </c>
      <c r="Q3" s="630"/>
      <c r="R3" s="630"/>
      <c r="S3" s="630"/>
      <c r="T3" s="631"/>
      <c r="U3" s="629" t="s">
        <v>114</v>
      </c>
      <c r="V3" s="630"/>
      <c r="W3" s="630"/>
      <c r="X3" s="630"/>
      <c r="Y3" s="631"/>
      <c r="Z3" s="629" t="s">
        <v>159</v>
      </c>
      <c r="AA3" s="630"/>
      <c r="AB3" s="630"/>
      <c r="AC3" s="630"/>
      <c r="AD3" s="631"/>
      <c r="AE3" s="629" t="s">
        <v>157</v>
      </c>
      <c r="AF3" s="630"/>
      <c r="AG3" s="630"/>
      <c r="AH3" s="630"/>
      <c r="AI3" s="631"/>
      <c r="AJ3" s="629" t="s">
        <v>160</v>
      </c>
      <c r="AK3" s="630"/>
      <c r="AL3" s="630"/>
      <c r="AM3" s="630"/>
      <c r="AN3" s="631"/>
      <c r="AO3" s="629" t="s">
        <v>161</v>
      </c>
      <c r="AP3" s="630"/>
      <c r="AQ3" s="630"/>
      <c r="AR3" s="630"/>
      <c r="AS3" s="631"/>
      <c r="AT3" s="629" t="s">
        <v>162</v>
      </c>
      <c r="AU3" s="630"/>
      <c r="AV3" s="630"/>
      <c r="AW3" s="630"/>
      <c r="AX3" s="631"/>
    </row>
    <row r="4" spans="1:53" ht="14.25">
      <c r="A4" s="81"/>
      <c r="B4" s="604" t="s">
        <v>154</v>
      </c>
      <c r="C4" s="604" t="s">
        <v>408</v>
      </c>
      <c r="D4" s="604"/>
      <c r="E4" s="604" t="s">
        <v>425</v>
      </c>
      <c r="F4" s="604"/>
      <c r="G4" s="604"/>
      <c r="H4" s="637" t="s">
        <v>395</v>
      </c>
      <c r="I4" s="604" t="s">
        <v>427</v>
      </c>
      <c r="J4" s="604"/>
      <c r="K4" s="604"/>
      <c r="L4" s="637" t="s">
        <v>395</v>
      </c>
      <c r="M4" s="606" t="s">
        <v>396</v>
      </c>
      <c r="N4" s="604"/>
      <c r="O4" s="604" t="s">
        <v>429</v>
      </c>
      <c r="P4" s="623" t="s">
        <v>397</v>
      </c>
      <c r="Q4" s="624"/>
      <c r="R4" s="624"/>
      <c r="S4" s="625"/>
      <c r="T4" s="604" t="s">
        <v>395</v>
      </c>
      <c r="U4" s="623" t="s">
        <v>397</v>
      </c>
      <c r="V4" s="624"/>
      <c r="W4" s="624"/>
      <c r="X4" s="625"/>
      <c r="Y4" s="604" t="s">
        <v>395</v>
      </c>
      <c r="Z4" s="623" t="s">
        <v>397</v>
      </c>
      <c r="AA4" s="624"/>
      <c r="AB4" s="624"/>
      <c r="AC4" s="625"/>
      <c r="AD4" s="604" t="s">
        <v>395</v>
      </c>
      <c r="AE4" s="623" t="s">
        <v>397</v>
      </c>
      <c r="AF4" s="624"/>
      <c r="AG4" s="624"/>
      <c r="AH4" s="625"/>
      <c r="AI4" s="604" t="s">
        <v>395</v>
      </c>
      <c r="AJ4" s="623" t="s">
        <v>397</v>
      </c>
      <c r="AK4" s="624"/>
      <c r="AL4" s="624"/>
      <c r="AM4" s="625"/>
      <c r="AN4" s="604" t="s">
        <v>395</v>
      </c>
      <c r="AO4" s="623" t="s">
        <v>397</v>
      </c>
      <c r="AP4" s="624"/>
      <c r="AQ4" s="624"/>
      <c r="AR4" s="625"/>
      <c r="AS4" s="604" t="s">
        <v>395</v>
      </c>
      <c r="AT4" s="623" t="s">
        <v>397</v>
      </c>
      <c r="AU4" s="624"/>
      <c r="AV4" s="624"/>
      <c r="AW4" s="625"/>
      <c r="AX4" s="604" t="s">
        <v>395</v>
      </c>
      <c r="BA4" s="604" t="s">
        <v>395</v>
      </c>
    </row>
    <row r="5" spans="1:53" ht="14.25">
      <c r="A5" s="81"/>
      <c r="B5" s="604"/>
      <c r="C5" s="604"/>
      <c r="D5" s="604"/>
      <c r="E5" s="604" t="s">
        <v>402</v>
      </c>
      <c r="F5" s="604"/>
      <c r="G5" s="604"/>
      <c r="H5" s="638"/>
      <c r="I5" s="604" t="s">
        <v>402</v>
      </c>
      <c r="J5" s="604"/>
      <c r="K5" s="604"/>
      <c r="L5" s="638"/>
      <c r="M5" s="607"/>
      <c r="N5" s="604"/>
      <c r="O5" s="604"/>
      <c r="P5" s="623" t="s">
        <v>687</v>
      </c>
      <c r="Q5" s="624"/>
      <c r="R5" s="624"/>
      <c r="S5" s="625"/>
      <c r="T5" s="604"/>
      <c r="U5" s="623" t="s">
        <v>687</v>
      </c>
      <c r="V5" s="624"/>
      <c r="W5" s="624"/>
      <c r="X5" s="625"/>
      <c r="Y5" s="604"/>
      <c r="Z5" s="623" t="s">
        <v>687</v>
      </c>
      <c r="AA5" s="624"/>
      <c r="AB5" s="624"/>
      <c r="AC5" s="625"/>
      <c r="AD5" s="604"/>
      <c r="AE5" s="623" t="s">
        <v>687</v>
      </c>
      <c r="AF5" s="624"/>
      <c r="AG5" s="624"/>
      <c r="AH5" s="625"/>
      <c r="AI5" s="604"/>
      <c r="AJ5" s="623" t="s">
        <v>687</v>
      </c>
      <c r="AK5" s="624"/>
      <c r="AL5" s="624"/>
      <c r="AM5" s="625"/>
      <c r="AN5" s="604"/>
      <c r="AO5" s="623" t="s">
        <v>687</v>
      </c>
      <c r="AP5" s="624"/>
      <c r="AQ5" s="624"/>
      <c r="AR5" s="625"/>
      <c r="AS5" s="604"/>
      <c r="AT5" s="623" t="s">
        <v>687</v>
      </c>
      <c r="AU5" s="624"/>
      <c r="AV5" s="624"/>
      <c r="AW5" s="625"/>
      <c r="AX5" s="604"/>
      <c r="BA5" s="604"/>
    </row>
    <row r="6" spans="1:53" ht="14.25">
      <c r="A6" s="79"/>
      <c r="B6" s="604"/>
      <c r="C6" s="604"/>
      <c r="D6" s="604"/>
      <c r="E6" s="468" t="s">
        <v>404</v>
      </c>
      <c r="F6" s="468" t="s">
        <v>689</v>
      </c>
      <c r="G6" s="468" t="s">
        <v>690</v>
      </c>
      <c r="H6" s="639"/>
      <c r="I6" s="468" t="s">
        <v>404</v>
      </c>
      <c r="J6" s="468" t="s">
        <v>689</v>
      </c>
      <c r="K6" s="468" t="s">
        <v>690</v>
      </c>
      <c r="L6" s="639"/>
      <c r="M6" s="608"/>
      <c r="N6" s="604"/>
      <c r="O6" s="604"/>
      <c r="P6" s="468" t="s">
        <v>404</v>
      </c>
      <c r="Q6" s="468" t="s">
        <v>689</v>
      </c>
      <c r="R6" s="468" t="s">
        <v>690</v>
      </c>
      <c r="S6" s="468" t="s">
        <v>396</v>
      </c>
      <c r="T6" s="604"/>
      <c r="U6" s="468" t="s">
        <v>404</v>
      </c>
      <c r="V6" s="468" t="s">
        <v>689</v>
      </c>
      <c r="W6" s="468" t="s">
        <v>690</v>
      </c>
      <c r="X6" s="468" t="s">
        <v>396</v>
      </c>
      <c r="Y6" s="604"/>
      <c r="Z6" s="468" t="s">
        <v>404</v>
      </c>
      <c r="AA6" s="468" t="s">
        <v>689</v>
      </c>
      <c r="AB6" s="468" t="s">
        <v>690</v>
      </c>
      <c r="AC6" s="468" t="s">
        <v>396</v>
      </c>
      <c r="AD6" s="604"/>
      <c r="AE6" s="468" t="s">
        <v>404</v>
      </c>
      <c r="AF6" s="468" t="s">
        <v>689</v>
      </c>
      <c r="AG6" s="468" t="s">
        <v>690</v>
      </c>
      <c r="AH6" s="468" t="s">
        <v>396</v>
      </c>
      <c r="AI6" s="604"/>
      <c r="AJ6" s="468" t="s">
        <v>404</v>
      </c>
      <c r="AK6" s="468" t="s">
        <v>689</v>
      </c>
      <c r="AL6" s="468" t="s">
        <v>690</v>
      </c>
      <c r="AM6" s="468" t="s">
        <v>396</v>
      </c>
      <c r="AN6" s="604"/>
      <c r="AO6" s="468" t="s">
        <v>404</v>
      </c>
      <c r="AP6" s="468" t="s">
        <v>689</v>
      </c>
      <c r="AQ6" s="468" t="s">
        <v>690</v>
      </c>
      <c r="AR6" s="468" t="s">
        <v>396</v>
      </c>
      <c r="AS6" s="604"/>
      <c r="AT6" s="468" t="s">
        <v>404</v>
      </c>
      <c r="AU6" s="468" t="s">
        <v>689</v>
      </c>
      <c r="AV6" s="468" t="s">
        <v>690</v>
      </c>
      <c r="AW6" s="468" t="s">
        <v>396</v>
      </c>
      <c r="AX6" s="604"/>
      <c r="AZ6" s="520" t="s">
        <v>396</v>
      </c>
      <c r="BA6" s="604"/>
    </row>
    <row r="7" spans="1:53" ht="14.25">
      <c r="A7" s="81"/>
      <c r="B7" s="666" t="s">
        <v>692</v>
      </c>
      <c r="C7" s="469">
        <v>1</v>
      </c>
      <c r="D7" s="455" t="s">
        <v>385</v>
      </c>
      <c r="E7" s="472">
        <v>4</v>
      </c>
      <c r="F7" s="472">
        <v>2000</v>
      </c>
      <c r="G7" s="472">
        <v>500</v>
      </c>
      <c r="H7" s="618">
        <f>AVERAGE(G7:G21)</f>
        <v>305.7166666666667</v>
      </c>
      <c r="I7" s="513">
        <f t="shared" ref="I7:I20" si="0">IFERROR(AVERAGE(P7,U7,Z7,AE7,AJ7,AO7,AT7),"-")</f>
        <v>5</v>
      </c>
      <c r="J7" s="513">
        <f t="shared" ref="J7:J20" si="1">IFERROR(AVERAGE(Q7,V7,AA7,AF7,AK7,AP7,AU7),"-")</f>
        <v>2161.4407716401647</v>
      </c>
      <c r="K7" s="200">
        <f t="shared" ref="K7:K20" si="2">IFERROR(AVERAGE(R7,W7,AB7,AG7,AL7,AQ7,AV7),"-")</f>
        <v>432.28815432803293</v>
      </c>
      <c r="L7" s="618">
        <f>IFERROR(AVERAGE(K7:K21),"-")</f>
        <v>259.9408513255695</v>
      </c>
      <c r="M7" s="472">
        <f>RANK(K7, K$7:$K$21)</f>
        <v>2</v>
      </c>
      <c r="N7" s="604"/>
      <c r="O7" s="604"/>
      <c r="P7" s="521">
        <v>5</v>
      </c>
      <c r="Q7" s="182">
        <v>2216.4179104477612</v>
      </c>
      <c r="R7" s="182">
        <v>443.28358208955223</v>
      </c>
      <c r="S7" s="522">
        <f t="shared" ref="S7:S21" si="3">RANK(R7, R$7:R$21)</f>
        <v>2</v>
      </c>
      <c r="T7" s="612">
        <f t="shared" ref="T7" si="4">AVERAGE(R7:R21)</f>
        <v>269.18514602199667</v>
      </c>
      <c r="U7" s="521">
        <v>5</v>
      </c>
      <c r="V7" s="182">
        <v>2164.0677966101698</v>
      </c>
      <c r="W7" s="182">
        <v>432.81355932203394</v>
      </c>
      <c r="X7" s="522">
        <f t="shared" ref="X7:X21" si="5">RANK(W7, W$7:W$21)</f>
        <v>1</v>
      </c>
      <c r="Y7" s="612">
        <f t="shared" ref="Y7" si="6">AVERAGE(W7:W21)</f>
        <v>247.41357596245911</v>
      </c>
      <c r="Z7" s="521">
        <v>5</v>
      </c>
      <c r="AA7" s="182">
        <v>2133.8181818181815</v>
      </c>
      <c r="AB7" s="182">
        <v>426.76363636363629</v>
      </c>
      <c r="AC7" s="522">
        <f t="shared" ref="AC7:AC21" si="7">RANK(AB7, AB$7:AB$21)</f>
        <v>1</v>
      </c>
      <c r="AD7" s="612">
        <f t="shared" ref="AD7" si="8">AVERAGE(AB7:AB21)</f>
        <v>244.14308945610998</v>
      </c>
      <c r="AE7" s="521">
        <v>5</v>
      </c>
      <c r="AF7" s="182">
        <v>2138.823529411764</v>
      </c>
      <c r="AG7" s="182">
        <v>427.76470588235281</v>
      </c>
      <c r="AH7" s="522">
        <f t="shared" ref="AH7:AH21" si="9">RANK(AG7, AG$7:AG$21)</f>
        <v>2</v>
      </c>
      <c r="AI7" s="612">
        <f t="shared" ref="AI7" si="10">AVERAGE(AG7:AG21)</f>
        <v>245.49459970125281</v>
      </c>
      <c r="AJ7" s="521">
        <v>5</v>
      </c>
      <c r="AK7" s="182">
        <v>2178.823529411764</v>
      </c>
      <c r="AL7" s="182">
        <v>435.76470588235281</v>
      </c>
      <c r="AM7" s="522">
        <f t="shared" ref="AM7:AM21" si="11">RANK(AL7, AL$7:AL$21)</f>
        <v>2</v>
      </c>
      <c r="AN7" s="612">
        <f t="shared" ref="AN7" si="12">AVERAGE(AL7:AL21)</f>
        <v>248.25005961873947</v>
      </c>
      <c r="AO7" s="521">
        <v>5</v>
      </c>
      <c r="AP7" s="182">
        <v>2104.7058823529405</v>
      </c>
      <c r="AQ7" s="182">
        <v>420.94117647058812</v>
      </c>
      <c r="AR7" s="522">
        <f t="shared" ref="AR7:AR21" si="13">RANK(AQ7, AQ$7:AQ$21)</f>
        <v>3</v>
      </c>
      <c r="AS7" s="612">
        <f t="shared" ref="AS7" si="14">AVERAGE(AQ7:AQ21)</f>
        <v>247.60784004719775</v>
      </c>
      <c r="AT7" s="521">
        <v>5</v>
      </c>
      <c r="AU7" s="182">
        <v>2193.428571428572</v>
      </c>
      <c r="AV7" s="182">
        <v>438.68571428571443</v>
      </c>
      <c r="AW7" s="522">
        <f t="shared" ref="AW7:AW21" si="15">RANK(AV7, AV$7:AV$21)</f>
        <v>1</v>
      </c>
      <c r="AX7" s="612">
        <f t="shared" ref="AX7" si="16">AVERAGE(AV7:AV21)</f>
        <v>247.09173883311834</v>
      </c>
      <c r="AZ7" s="522" t="e">
        <f t="shared" ref="AZ7:AZ21" si="17">RANK(AY7, AY$7:AY$21)</f>
        <v>#N/A</v>
      </c>
      <c r="BA7" s="612" t="e">
        <f t="shared" ref="BA7" si="18">AVERAGE(AY7:AY21)</f>
        <v>#DIV/0!</v>
      </c>
    </row>
    <row r="8" spans="1:53" ht="15" customHeight="1">
      <c r="A8" s="81"/>
      <c r="B8" s="640"/>
      <c r="C8" s="469">
        <v>2</v>
      </c>
      <c r="D8" s="455" t="s">
        <v>464</v>
      </c>
      <c r="E8" s="472">
        <v>4</v>
      </c>
      <c r="F8" s="472">
        <v>2000</v>
      </c>
      <c r="G8" s="472">
        <v>500</v>
      </c>
      <c r="H8" s="619"/>
      <c r="I8" s="513">
        <f t="shared" si="0"/>
        <v>5</v>
      </c>
      <c r="J8" s="513">
        <f t="shared" si="1"/>
        <v>2146.4865079406459</v>
      </c>
      <c r="K8" s="200">
        <f t="shared" si="2"/>
        <v>429.29730158812919</v>
      </c>
      <c r="L8" s="619"/>
      <c r="M8" s="472">
        <f>RANK(K8, K$7:$K$21)</f>
        <v>3</v>
      </c>
      <c r="N8" s="604"/>
      <c r="O8" s="604"/>
      <c r="P8" s="521">
        <v>5</v>
      </c>
      <c r="Q8" s="182">
        <v>2167.2727272727275</v>
      </c>
      <c r="R8" s="182">
        <v>433.4545454545455</v>
      </c>
      <c r="S8" s="522">
        <f t="shared" si="3"/>
        <v>3</v>
      </c>
      <c r="T8" s="612"/>
      <c r="U8" s="521">
        <v>5</v>
      </c>
      <c r="V8" s="182">
        <v>2162.1428571428569</v>
      </c>
      <c r="W8" s="182">
        <v>432.42857142857139</v>
      </c>
      <c r="X8" s="522">
        <f t="shared" si="5"/>
        <v>2</v>
      </c>
      <c r="Y8" s="612"/>
      <c r="Z8" s="521">
        <v>5</v>
      </c>
      <c r="AA8" s="182">
        <v>2113.2000000000007</v>
      </c>
      <c r="AB8" s="182">
        <v>422.64000000000016</v>
      </c>
      <c r="AC8" s="522">
        <f t="shared" si="7"/>
        <v>2</v>
      </c>
      <c r="AD8" s="612"/>
      <c r="AE8" s="521">
        <v>5</v>
      </c>
      <c r="AF8" s="182">
        <v>2148</v>
      </c>
      <c r="AG8" s="182">
        <v>429.6</v>
      </c>
      <c r="AH8" s="522">
        <f t="shared" si="9"/>
        <v>1</v>
      </c>
      <c r="AI8" s="612"/>
      <c r="AJ8" s="521">
        <v>5</v>
      </c>
      <c r="AK8" s="182">
        <v>2105.6603773584898</v>
      </c>
      <c r="AL8" s="182">
        <v>421.13207547169793</v>
      </c>
      <c r="AM8" s="522">
        <f t="shared" si="11"/>
        <v>3</v>
      </c>
      <c r="AN8" s="612"/>
      <c r="AO8" s="521">
        <v>5</v>
      </c>
      <c r="AP8" s="182">
        <v>2172.7659574468089</v>
      </c>
      <c r="AQ8" s="182">
        <v>434.55319148936178</v>
      </c>
      <c r="AR8" s="522">
        <f t="shared" si="13"/>
        <v>1</v>
      </c>
      <c r="AS8" s="612"/>
      <c r="AT8" s="521">
        <v>5</v>
      </c>
      <c r="AU8" s="182">
        <v>2156.3636363636369</v>
      </c>
      <c r="AV8" s="182">
        <v>431.27272727272737</v>
      </c>
      <c r="AW8" s="522">
        <f t="shared" si="15"/>
        <v>2</v>
      </c>
      <c r="AX8" s="612"/>
      <c r="AZ8" s="522" t="e">
        <f t="shared" si="17"/>
        <v>#N/A</v>
      </c>
      <c r="BA8" s="612"/>
    </row>
    <row r="9" spans="1:53" ht="14.25">
      <c r="A9" s="81"/>
      <c r="B9" s="640"/>
      <c r="C9" s="469">
        <v>3</v>
      </c>
      <c r="D9" s="455" t="s">
        <v>386</v>
      </c>
      <c r="E9" s="472">
        <v>12</v>
      </c>
      <c r="F9" s="472">
        <v>2118</v>
      </c>
      <c r="G9" s="472">
        <v>176.5</v>
      </c>
      <c r="H9" s="619"/>
      <c r="I9" s="513">
        <f t="shared" si="0"/>
        <v>12</v>
      </c>
      <c r="J9" s="513">
        <f t="shared" si="1"/>
        <v>1884.0471490318009</v>
      </c>
      <c r="K9" s="200">
        <f t="shared" si="2"/>
        <v>157.0039290859834</v>
      </c>
      <c r="L9" s="619"/>
      <c r="M9" s="472">
        <f>RANK(K9, K$7:$K$21)</f>
        <v>9</v>
      </c>
      <c r="N9" s="604"/>
      <c r="O9" s="604"/>
      <c r="P9" s="521">
        <v>12</v>
      </c>
      <c r="Q9" s="182">
        <v>1909.9999999999993</v>
      </c>
      <c r="R9" s="182">
        <v>159.1666666666666</v>
      </c>
      <c r="S9" s="522">
        <f t="shared" si="3"/>
        <v>8</v>
      </c>
      <c r="T9" s="612"/>
      <c r="U9" s="521">
        <v>12</v>
      </c>
      <c r="V9" s="182">
        <v>1887.6190476190482</v>
      </c>
      <c r="W9" s="182">
        <v>157.30158730158735</v>
      </c>
      <c r="X9" s="522">
        <f t="shared" si="5"/>
        <v>8</v>
      </c>
      <c r="Y9" s="612"/>
      <c r="Z9" s="521">
        <v>12</v>
      </c>
      <c r="AA9" s="182">
        <v>1850.0000000000005</v>
      </c>
      <c r="AB9" s="182">
        <v>154.16666666666671</v>
      </c>
      <c r="AC9" s="522">
        <f t="shared" si="7"/>
        <v>8</v>
      </c>
      <c r="AD9" s="612"/>
      <c r="AE9" s="521">
        <v>12</v>
      </c>
      <c r="AF9" s="182">
        <v>1852.8813559322036</v>
      </c>
      <c r="AG9" s="182">
        <v>154.40677966101697</v>
      </c>
      <c r="AH9" s="522">
        <f t="shared" si="9"/>
        <v>7</v>
      </c>
      <c r="AI9" s="612"/>
      <c r="AJ9" s="521">
        <v>12</v>
      </c>
      <c r="AK9" s="182">
        <v>1893.8709677419363</v>
      </c>
      <c r="AL9" s="182">
        <v>157.82258064516137</v>
      </c>
      <c r="AM9" s="522">
        <f t="shared" si="11"/>
        <v>8</v>
      </c>
      <c r="AN9" s="612"/>
      <c r="AO9" s="521">
        <v>12</v>
      </c>
      <c r="AP9" s="182">
        <v>1881.35593220339</v>
      </c>
      <c r="AQ9" s="182">
        <v>156.77966101694918</v>
      </c>
      <c r="AR9" s="522">
        <f t="shared" si="13"/>
        <v>8</v>
      </c>
      <c r="AS9" s="612"/>
      <c r="AT9" s="521">
        <v>12</v>
      </c>
      <c r="AU9" s="182">
        <v>1912.602739726027</v>
      </c>
      <c r="AV9" s="182">
        <v>159.38356164383558</v>
      </c>
      <c r="AW9" s="522">
        <f t="shared" si="15"/>
        <v>7</v>
      </c>
      <c r="AX9" s="612"/>
      <c r="AZ9" s="522" t="e">
        <f t="shared" si="17"/>
        <v>#N/A</v>
      </c>
      <c r="BA9" s="612"/>
    </row>
    <row r="10" spans="1:53" ht="14.25">
      <c r="A10" s="81"/>
      <c r="B10" s="640"/>
      <c r="C10" s="469">
        <v>4</v>
      </c>
      <c r="D10" s="455" t="s">
        <v>782</v>
      </c>
      <c r="E10" s="472">
        <v>13</v>
      </c>
      <c r="F10" s="472">
        <v>2250</v>
      </c>
      <c r="G10" s="472">
        <v>187.5</v>
      </c>
      <c r="H10" s="619"/>
      <c r="I10" s="513">
        <f t="shared" si="0"/>
        <v>13</v>
      </c>
      <c r="J10" s="513">
        <f t="shared" si="1"/>
        <v>2195.3989828878684</v>
      </c>
      <c r="K10" s="200">
        <f t="shared" si="2"/>
        <v>168.87684483752835</v>
      </c>
      <c r="L10" s="619"/>
      <c r="M10" s="472">
        <f>RANK(K10, K$7:$K$21)</f>
        <v>6</v>
      </c>
      <c r="N10" s="604"/>
      <c r="O10" s="604"/>
      <c r="P10" s="521">
        <v>13</v>
      </c>
      <c r="Q10" s="182">
        <v>2212.0879120879113</v>
      </c>
      <c r="R10" s="182">
        <v>170.16060862214701</v>
      </c>
      <c r="S10" s="522">
        <f t="shared" si="3"/>
        <v>6</v>
      </c>
      <c r="T10" s="612"/>
      <c r="U10" s="521">
        <v>13</v>
      </c>
      <c r="V10" s="182">
        <v>2190.0000000000014</v>
      </c>
      <c r="W10" s="182">
        <v>168.46153846153857</v>
      </c>
      <c r="X10" s="522">
        <f t="shared" si="5"/>
        <v>5</v>
      </c>
      <c r="Y10" s="612"/>
      <c r="Z10" s="521">
        <v>13</v>
      </c>
      <c r="AA10" s="182">
        <v>2200.5405405405404</v>
      </c>
      <c r="AB10" s="182">
        <v>169.27234927234926</v>
      </c>
      <c r="AC10" s="522">
        <f t="shared" si="7"/>
        <v>5</v>
      </c>
      <c r="AD10" s="612"/>
      <c r="AE10" s="521">
        <v>13</v>
      </c>
      <c r="AF10" s="182">
        <v>2186.3013698630143</v>
      </c>
      <c r="AG10" s="182">
        <v>168.17702845100109</v>
      </c>
      <c r="AH10" s="522">
        <f t="shared" si="9"/>
        <v>5</v>
      </c>
      <c r="AI10" s="612"/>
      <c r="AJ10" s="521">
        <v>13</v>
      </c>
      <c r="AK10" s="182">
        <v>2199.4736842105272</v>
      </c>
      <c r="AL10" s="182">
        <v>169.19028340080979</v>
      </c>
      <c r="AM10" s="522">
        <f t="shared" si="11"/>
        <v>5</v>
      </c>
      <c r="AN10" s="612"/>
      <c r="AO10" s="521">
        <v>13</v>
      </c>
      <c r="AP10" s="182">
        <v>2188.4615384615395</v>
      </c>
      <c r="AQ10" s="182">
        <v>168.34319526627226</v>
      </c>
      <c r="AR10" s="522">
        <f t="shared" si="13"/>
        <v>5</v>
      </c>
      <c r="AS10" s="612"/>
      <c r="AT10" s="521">
        <v>13</v>
      </c>
      <c r="AU10" s="182">
        <v>2190.9278350515465</v>
      </c>
      <c r="AV10" s="182">
        <v>168.53291038858049</v>
      </c>
      <c r="AW10" s="522">
        <f t="shared" si="15"/>
        <v>5</v>
      </c>
      <c r="AX10" s="612"/>
      <c r="AZ10" s="522" t="e">
        <f t="shared" si="17"/>
        <v>#N/A</v>
      </c>
      <c r="BA10" s="612"/>
    </row>
    <row r="11" spans="1:53" ht="14.25">
      <c r="A11" s="81"/>
      <c r="B11" s="640"/>
      <c r="C11" s="469">
        <v>5</v>
      </c>
      <c r="D11" s="455" t="s">
        <v>387</v>
      </c>
      <c r="E11" s="472">
        <v>13</v>
      </c>
      <c r="F11" s="472">
        <v>2250</v>
      </c>
      <c r="G11" s="472">
        <v>173.1</v>
      </c>
      <c r="H11" s="619"/>
      <c r="I11" s="513">
        <f t="shared" si="0"/>
        <v>13</v>
      </c>
      <c r="J11" s="513">
        <f t="shared" si="1"/>
        <v>2140.9005096118572</v>
      </c>
      <c r="K11" s="200">
        <f t="shared" si="2"/>
        <v>164.68465458552751</v>
      </c>
      <c r="L11" s="619"/>
      <c r="M11" s="472">
        <f>RANK(K11, K$7:$K$21)</f>
        <v>7</v>
      </c>
      <c r="N11" s="604"/>
      <c r="O11" s="604"/>
      <c r="P11" s="521">
        <v>13</v>
      </c>
      <c r="Q11" s="182">
        <v>2211.1111111111109</v>
      </c>
      <c r="R11" s="182">
        <v>170.08547008547006</v>
      </c>
      <c r="S11" s="522">
        <f t="shared" si="3"/>
        <v>7</v>
      </c>
      <c r="T11" s="612"/>
      <c r="U11" s="521">
        <v>13</v>
      </c>
      <c r="V11" s="182">
        <v>2117.8217821782173</v>
      </c>
      <c r="W11" s="182">
        <v>162.90936785986287</v>
      </c>
      <c r="X11" s="522">
        <f t="shared" si="5"/>
        <v>6</v>
      </c>
      <c r="Y11" s="612"/>
      <c r="Z11" s="521">
        <v>13</v>
      </c>
      <c r="AA11" s="182">
        <v>2138.7096774193551</v>
      </c>
      <c r="AB11" s="182">
        <v>164.51612903225808</v>
      </c>
      <c r="AC11" s="522">
        <f t="shared" si="7"/>
        <v>6</v>
      </c>
      <c r="AD11" s="612"/>
      <c r="AE11" s="521">
        <v>13</v>
      </c>
      <c r="AF11" s="182">
        <v>2128.9887640449438</v>
      </c>
      <c r="AG11" s="182">
        <v>163.76836646499567</v>
      </c>
      <c r="AH11" s="522">
        <f t="shared" si="9"/>
        <v>6</v>
      </c>
      <c r="AI11" s="612"/>
      <c r="AJ11" s="521">
        <v>13</v>
      </c>
      <c r="AK11" s="182">
        <v>2123.2653061224496</v>
      </c>
      <c r="AL11" s="182">
        <v>163.32810047095765</v>
      </c>
      <c r="AM11" s="522">
        <f t="shared" si="11"/>
        <v>6</v>
      </c>
      <c r="AN11" s="612"/>
      <c r="AO11" s="521">
        <v>13</v>
      </c>
      <c r="AP11" s="182">
        <v>2132.1212121212111</v>
      </c>
      <c r="AQ11" s="182">
        <v>164.00932400932393</v>
      </c>
      <c r="AR11" s="522">
        <f t="shared" si="13"/>
        <v>6</v>
      </c>
      <c r="AS11" s="612"/>
      <c r="AT11" s="521">
        <v>13</v>
      </c>
      <c r="AU11" s="182">
        <v>2134.2857142857147</v>
      </c>
      <c r="AV11" s="182">
        <v>164.1758241758242</v>
      </c>
      <c r="AW11" s="522">
        <f t="shared" si="15"/>
        <v>6</v>
      </c>
      <c r="AX11" s="612"/>
      <c r="AZ11" s="522" t="e">
        <f t="shared" si="17"/>
        <v>#N/A</v>
      </c>
      <c r="BA11" s="612"/>
    </row>
    <row r="12" spans="1:53" ht="14.25">
      <c r="A12" s="81"/>
      <c r="B12" s="640"/>
      <c r="C12" s="469">
        <v>6</v>
      </c>
      <c r="D12" s="455" t="s">
        <v>388</v>
      </c>
      <c r="E12" s="472">
        <v>10</v>
      </c>
      <c r="F12" s="472">
        <v>2769</v>
      </c>
      <c r="G12" s="472">
        <v>276.89999999999998</v>
      </c>
      <c r="H12" s="619"/>
      <c r="I12" s="513">
        <f t="shared" si="0"/>
        <v>10</v>
      </c>
      <c r="J12" s="513">
        <f t="shared" si="1"/>
        <v>2222.5905287256601</v>
      </c>
      <c r="K12" s="200">
        <f t="shared" si="2"/>
        <v>222.25905287256606</v>
      </c>
      <c r="L12" s="619"/>
      <c r="M12" s="472">
        <f>RANK(K12, K$7:$K$21)</f>
        <v>5</v>
      </c>
      <c r="N12" s="604"/>
      <c r="O12" s="604"/>
      <c r="P12" s="521">
        <v>10</v>
      </c>
      <c r="Q12" s="182">
        <v>2257.7399999999989</v>
      </c>
      <c r="R12" s="182">
        <v>225.77399999999989</v>
      </c>
      <c r="S12" s="522">
        <f t="shared" si="3"/>
        <v>5</v>
      </c>
      <c r="T12" s="612"/>
      <c r="U12" s="521">
        <v>10</v>
      </c>
      <c r="V12" s="182">
        <v>2177.291666666667</v>
      </c>
      <c r="W12" s="182">
        <v>217.72916666666669</v>
      </c>
      <c r="X12" s="522">
        <f t="shared" si="5"/>
        <v>4</v>
      </c>
      <c r="Y12" s="612"/>
      <c r="Z12" s="521">
        <v>10</v>
      </c>
      <c r="AA12" s="182">
        <v>2182.7368421052638</v>
      </c>
      <c r="AB12" s="182">
        <v>218.27368421052637</v>
      </c>
      <c r="AC12" s="522">
        <f t="shared" si="7"/>
        <v>4</v>
      </c>
      <c r="AD12" s="612"/>
      <c r="AE12" s="521">
        <v>10</v>
      </c>
      <c r="AF12" s="182">
        <v>2228.3076923076937</v>
      </c>
      <c r="AG12" s="182">
        <v>222.83076923076936</v>
      </c>
      <c r="AH12" s="522">
        <f t="shared" si="9"/>
        <v>4</v>
      </c>
      <c r="AI12" s="612"/>
      <c r="AJ12" s="521">
        <v>10</v>
      </c>
      <c r="AK12" s="182">
        <v>2233.5000000000005</v>
      </c>
      <c r="AL12" s="182">
        <v>223.35000000000005</v>
      </c>
      <c r="AM12" s="522">
        <f t="shared" si="11"/>
        <v>4</v>
      </c>
      <c r="AN12" s="612"/>
      <c r="AO12" s="521">
        <v>10</v>
      </c>
      <c r="AP12" s="182">
        <v>2230.5375000000013</v>
      </c>
      <c r="AQ12" s="182">
        <v>223.05375000000012</v>
      </c>
      <c r="AR12" s="522">
        <f t="shared" si="13"/>
        <v>4</v>
      </c>
      <c r="AS12" s="612"/>
      <c r="AT12" s="521">
        <v>10</v>
      </c>
      <c r="AU12" s="182">
        <v>2248.0199999999991</v>
      </c>
      <c r="AV12" s="182">
        <v>224.80199999999991</v>
      </c>
      <c r="AW12" s="522">
        <f t="shared" si="15"/>
        <v>4</v>
      </c>
      <c r="AX12" s="612"/>
      <c r="AZ12" s="522" t="e">
        <f t="shared" si="17"/>
        <v>#N/A</v>
      </c>
      <c r="BA12" s="612"/>
    </row>
    <row r="13" spans="1:53" ht="14.25">
      <c r="A13" s="81"/>
      <c r="B13" s="640"/>
      <c r="C13" s="469">
        <v>7</v>
      </c>
      <c r="D13" s="455" t="s">
        <v>384</v>
      </c>
      <c r="E13" s="472">
        <v>18</v>
      </c>
      <c r="F13" s="472">
        <v>1200</v>
      </c>
      <c r="G13" s="472">
        <v>66.666666666666671</v>
      </c>
      <c r="H13" s="619"/>
      <c r="I13" s="513">
        <f t="shared" si="0"/>
        <v>18.142857142857142</v>
      </c>
      <c r="J13" s="513">
        <f t="shared" si="1"/>
        <v>1220.3574244427784</v>
      </c>
      <c r="K13" s="200">
        <f t="shared" si="2"/>
        <v>67.286356495776758</v>
      </c>
      <c r="L13" s="619"/>
      <c r="M13" s="472">
        <f>RANK(K13, K$7:$K$21)</f>
        <v>10</v>
      </c>
      <c r="N13" s="604"/>
      <c r="O13" s="604"/>
      <c r="P13" s="521">
        <v>18</v>
      </c>
      <c r="Q13" s="182">
        <v>1216.5714285714287</v>
      </c>
      <c r="R13" s="182">
        <v>67.587301587301596</v>
      </c>
      <c r="S13" s="522">
        <f t="shared" si="3"/>
        <v>10</v>
      </c>
      <c r="T13" s="612"/>
      <c r="U13" s="521">
        <v>18</v>
      </c>
      <c r="V13" s="182">
        <v>1216.304347826087</v>
      </c>
      <c r="W13" s="182">
        <v>67.572463768115938</v>
      </c>
      <c r="X13" s="522">
        <f t="shared" si="5"/>
        <v>9</v>
      </c>
      <c r="Y13" s="612"/>
      <c r="Z13" s="521">
        <v>18</v>
      </c>
      <c r="AA13" s="182">
        <v>1222.6530612244896</v>
      </c>
      <c r="AB13" s="182">
        <v>67.925170068027199</v>
      </c>
      <c r="AC13" s="522">
        <f t="shared" si="7"/>
        <v>9</v>
      </c>
      <c r="AD13" s="612"/>
      <c r="AE13" s="521">
        <v>18</v>
      </c>
      <c r="AF13" s="182">
        <v>1221.8181818181818</v>
      </c>
      <c r="AG13" s="182">
        <v>67.878787878787875</v>
      </c>
      <c r="AH13" s="522">
        <f t="shared" si="9"/>
        <v>9</v>
      </c>
      <c r="AI13" s="612"/>
      <c r="AJ13" s="521">
        <v>18</v>
      </c>
      <c r="AK13" s="182">
        <v>1220.9302325581393</v>
      </c>
      <c r="AL13" s="182">
        <v>67.829457364341067</v>
      </c>
      <c r="AM13" s="522">
        <f t="shared" si="11"/>
        <v>9</v>
      </c>
      <c r="AN13" s="612"/>
      <c r="AO13" s="521">
        <v>18</v>
      </c>
      <c r="AP13" s="182">
        <v>1220.2247191011236</v>
      </c>
      <c r="AQ13" s="182">
        <v>67.790262172284642</v>
      </c>
      <c r="AR13" s="522">
        <f t="shared" si="13"/>
        <v>9</v>
      </c>
      <c r="AS13" s="612"/>
      <c r="AT13" s="521">
        <v>19</v>
      </c>
      <c r="AU13" s="182">
        <v>1224</v>
      </c>
      <c r="AV13" s="182">
        <v>64.421052631578945</v>
      </c>
      <c r="AW13" s="522">
        <f t="shared" si="15"/>
        <v>9</v>
      </c>
      <c r="AX13" s="612"/>
      <c r="AZ13" s="522" t="e">
        <f t="shared" si="17"/>
        <v>#N/A</v>
      </c>
      <c r="BA13" s="612"/>
    </row>
    <row r="14" spans="1:53" ht="14.25">
      <c r="A14" s="81"/>
      <c r="B14" s="640"/>
      <c r="C14" s="469">
        <v>8</v>
      </c>
      <c r="D14" s="455" t="s">
        <v>674</v>
      </c>
      <c r="E14" s="472">
        <v>12</v>
      </c>
      <c r="F14" s="472">
        <v>2118</v>
      </c>
      <c r="G14" s="472">
        <v>176.5</v>
      </c>
      <c r="H14" s="619"/>
      <c r="I14" s="513">
        <f t="shared" si="0"/>
        <v>12</v>
      </c>
      <c r="J14" s="513">
        <f t="shared" si="1"/>
        <v>1887.7450896238915</v>
      </c>
      <c r="K14" s="200">
        <f t="shared" si="2"/>
        <v>157.31209080199096</v>
      </c>
      <c r="L14" s="619"/>
      <c r="M14" s="472">
        <f>RANK(K14, K$7:$K$21)</f>
        <v>8</v>
      </c>
      <c r="N14" s="604"/>
      <c r="O14" s="604"/>
      <c r="P14" s="521">
        <v>12</v>
      </c>
      <c r="Q14" s="182">
        <v>1892.5714285714278</v>
      </c>
      <c r="R14" s="182">
        <v>157.71428571428564</v>
      </c>
      <c r="S14" s="522">
        <f t="shared" si="3"/>
        <v>9</v>
      </c>
      <c r="T14" s="612"/>
      <c r="U14" s="521">
        <v>12</v>
      </c>
      <c r="V14" s="182">
        <v>1903.6363636363644</v>
      </c>
      <c r="W14" s="182">
        <v>158.63636363636371</v>
      </c>
      <c r="X14" s="522">
        <f t="shared" si="5"/>
        <v>7</v>
      </c>
      <c r="Y14" s="612"/>
      <c r="Z14" s="521">
        <v>12</v>
      </c>
      <c r="AA14" s="182">
        <v>1879.3220338983053</v>
      </c>
      <c r="AB14" s="182">
        <v>156.61016949152545</v>
      </c>
      <c r="AC14" s="522">
        <f t="shared" si="7"/>
        <v>7</v>
      </c>
      <c r="AD14" s="612"/>
      <c r="AE14" s="521">
        <v>12</v>
      </c>
      <c r="AF14" s="182">
        <v>1847.7777777777774</v>
      </c>
      <c r="AG14" s="182">
        <v>153.98148148148144</v>
      </c>
      <c r="AH14" s="522">
        <f t="shared" si="9"/>
        <v>8</v>
      </c>
      <c r="AI14" s="612"/>
      <c r="AJ14" s="521">
        <v>12</v>
      </c>
      <c r="AK14" s="182">
        <v>1894.0000000000005</v>
      </c>
      <c r="AL14" s="182">
        <v>157.83333333333337</v>
      </c>
      <c r="AM14" s="522">
        <f t="shared" si="11"/>
        <v>7</v>
      </c>
      <c r="AN14" s="612"/>
      <c r="AO14" s="521">
        <v>12</v>
      </c>
      <c r="AP14" s="182">
        <v>1911.4285714285716</v>
      </c>
      <c r="AQ14" s="182">
        <v>159.28571428571431</v>
      </c>
      <c r="AR14" s="522">
        <f t="shared" si="13"/>
        <v>7</v>
      </c>
      <c r="AS14" s="612"/>
      <c r="AT14" s="521">
        <v>12</v>
      </c>
      <c r="AU14" s="182">
        <v>1885.4794520547941</v>
      </c>
      <c r="AV14" s="182">
        <v>157.12328767123284</v>
      </c>
      <c r="AW14" s="522">
        <f t="shared" si="15"/>
        <v>8</v>
      </c>
      <c r="AX14" s="612"/>
      <c r="AZ14" s="522" t="e">
        <f t="shared" si="17"/>
        <v>#N/A</v>
      </c>
      <c r="BA14" s="612"/>
    </row>
    <row r="15" spans="1:53" ht="14.25">
      <c r="A15" s="81"/>
      <c r="B15" s="640"/>
      <c r="C15" s="469">
        <v>9</v>
      </c>
      <c r="D15" s="455" t="s">
        <v>739</v>
      </c>
      <c r="E15" s="472">
        <v>4</v>
      </c>
      <c r="F15" s="472">
        <v>2000</v>
      </c>
      <c r="G15" s="472">
        <v>500</v>
      </c>
      <c r="H15" s="619"/>
      <c r="I15" s="513">
        <f t="shared" si="0"/>
        <v>5</v>
      </c>
      <c r="J15" s="513">
        <f t="shared" si="1"/>
        <v>1820.0000000000005</v>
      </c>
      <c r="K15" s="200">
        <f t="shared" si="2"/>
        <v>364.00000000000011</v>
      </c>
      <c r="L15" s="619"/>
      <c r="M15" s="472">
        <f>RANK(K15, K$7:$K$21)</f>
        <v>4</v>
      </c>
      <c r="N15" s="604"/>
      <c r="O15" s="604"/>
      <c r="P15" s="521">
        <v>5</v>
      </c>
      <c r="Q15" s="182">
        <v>1820.0000000000005</v>
      </c>
      <c r="R15" s="182">
        <v>364.00000000000011</v>
      </c>
      <c r="S15" s="522">
        <f t="shared" si="3"/>
        <v>4</v>
      </c>
      <c r="T15" s="612"/>
      <c r="U15" s="521" t="s">
        <v>822</v>
      </c>
      <c r="V15" s="182" t="s">
        <v>822</v>
      </c>
      <c r="W15" s="182" t="s">
        <v>822</v>
      </c>
      <c r="X15" s="522" t="e">
        <f t="shared" si="5"/>
        <v>#VALUE!</v>
      </c>
      <c r="Y15" s="612"/>
      <c r="Z15" s="521" t="s">
        <v>822</v>
      </c>
      <c r="AA15" s="182" t="s">
        <v>822</v>
      </c>
      <c r="AB15" s="182" t="s">
        <v>822</v>
      </c>
      <c r="AC15" s="522" t="e">
        <f t="shared" si="7"/>
        <v>#VALUE!</v>
      </c>
      <c r="AD15" s="612"/>
      <c r="AE15" s="521" t="s">
        <v>822</v>
      </c>
      <c r="AF15" s="182" t="s">
        <v>822</v>
      </c>
      <c r="AG15" s="182" t="s">
        <v>822</v>
      </c>
      <c r="AH15" s="522" t="e">
        <f t="shared" si="9"/>
        <v>#VALUE!</v>
      </c>
      <c r="AI15" s="612"/>
      <c r="AJ15" s="521" t="s">
        <v>822</v>
      </c>
      <c r="AK15" s="182" t="s">
        <v>822</v>
      </c>
      <c r="AL15" s="182" t="s">
        <v>822</v>
      </c>
      <c r="AM15" s="522" t="e">
        <f t="shared" si="11"/>
        <v>#VALUE!</v>
      </c>
      <c r="AN15" s="612"/>
      <c r="AO15" s="521" t="s">
        <v>822</v>
      </c>
      <c r="AP15" s="182" t="s">
        <v>822</v>
      </c>
      <c r="AQ15" s="182" t="s">
        <v>822</v>
      </c>
      <c r="AR15" s="522" t="e">
        <f t="shared" si="13"/>
        <v>#VALUE!</v>
      </c>
      <c r="AS15" s="612"/>
      <c r="AT15" s="521" t="s">
        <v>822</v>
      </c>
      <c r="AU15" s="182" t="s">
        <v>822</v>
      </c>
      <c r="AV15" s="182" t="s">
        <v>822</v>
      </c>
      <c r="AW15" s="522" t="e">
        <f t="shared" si="15"/>
        <v>#VALUE!</v>
      </c>
      <c r="AX15" s="612"/>
      <c r="AZ15" s="522" t="e">
        <f t="shared" si="17"/>
        <v>#N/A</v>
      </c>
      <c r="BA15" s="612"/>
    </row>
    <row r="16" spans="1:53" ht="14.25">
      <c r="A16" s="81"/>
      <c r="B16" s="640"/>
      <c r="C16" s="469">
        <v>10</v>
      </c>
      <c r="D16" s="455" t="s">
        <v>767</v>
      </c>
      <c r="E16" s="472">
        <v>4</v>
      </c>
      <c r="F16" s="472">
        <v>2000</v>
      </c>
      <c r="G16" s="472">
        <v>500</v>
      </c>
      <c r="H16" s="619"/>
      <c r="I16" s="513">
        <f t="shared" si="0"/>
        <v>4.8571428571428568</v>
      </c>
      <c r="J16" s="513">
        <f t="shared" si="1"/>
        <v>2110.4827861579411</v>
      </c>
      <c r="K16" s="200">
        <f t="shared" si="2"/>
        <v>436.40012866015962</v>
      </c>
      <c r="L16" s="619"/>
      <c r="M16" s="472">
        <f>RANK(K16, K$7:$K$21)</f>
        <v>1</v>
      </c>
      <c r="N16" s="604"/>
      <c r="O16" s="604"/>
      <c r="P16" s="521">
        <v>4</v>
      </c>
      <c r="Q16" s="182">
        <v>2002.4999999999936</v>
      </c>
      <c r="R16" s="182">
        <v>500.62499999999841</v>
      </c>
      <c r="S16" s="522">
        <f t="shared" si="3"/>
        <v>1</v>
      </c>
      <c r="T16" s="612"/>
      <c r="U16" s="521">
        <v>5</v>
      </c>
      <c r="V16" s="182">
        <v>2144.3478260869565</v>
      </c>
      <c r="W16" s="182">
        <v>428.86956521739131</v>
      </c>
      <c r="X16" s="522">
        <f t="shared" si="5"/>
        <v>3</v>
      </c>
      <c r="Y16" s="612"/>
      <c r="Z16" s="521">
        <v>5</v>
      </c>
      <c r="AA16" s="182">
        <v>2085.6000000000008</v>
      </c>
      <c r="AB16" s="182">
        <v>417.12000000000018</v>
      </c>
      <c r="AC16" s="522">
        <f t="shared" si="7"/>
        <v>3</v>
      </c>
      <c r="AD16" s="612"/>
      <c r="AE16" s="521">
        <v>5</v>
      </c>
      <c r="AF16" s="182">
        <v>2105.217391304348</v>
      </c>
      <c r="AG16" s="182">
        <v>421.04347826086962</v>
      </c>
      <c r="AH16" s="522">
        <f t="shared" si="9"/>
        <v>3</v>
      </c>
      <c r="AI16" s="612"/>
      <c r="AJ16" s="521">
        <v>5</v>
      </c>
      <c r="AK16" s="182">
        <v>2190.0000000000036</v>
      </c>
      <c r="AL16" s="182">
        <v>438.00000000000074</v>
      </c>
      <c r="AM16" s="522">
        <f t="shared" si="11"/>
        <v>1</v>
      </c>
      <c r="AN16" s="612"/>
      <c r="AO16" s="521">
        <v>5</v>
      </c>
      <c r="AP16" s="182">
        <v>2168.571428571428</v>
      </c>
      <c r="AQ16" s="182">
        <v>433.71428571428561</v>
      </c>
      <c r="AR16" s="522">
        <f t="shared" si="13"/>
        <v>2</v>
      </c>
      <c r="AS16" s="612"/>
      <c r="AT16" s="521">
        <v>5</v>
      </c>
      <c r="AU16" s="182">
        <v>2077.1428571428564</v>
      </c>
      <c r="AV16" s="182">
        <v>415.42857142857127</v>
      </c>
      <c r="AW16" s="522">
        <f t="shared" si="15"/>
        <v>3</v>
      </c>
      <c r="AX16" s="612"/>
      <c r="AZ16" s="522" t="e">
        <f t="shared" si="17"/>
        <v>#N/A</v>
      </c>
      <c r="BA16" s="612"/>
    </row>
    <row r="17" spans="2:53">
      <c r="B17" s="640"/>
      <c r="C17" s="469">
        <v>11</v>
      </c>
      <c r="D17" s="455"/>
      <c r="E17" s="472"/>
      <c r="F17" s="472"/>
      <c r="G17" s="472"/>
      <c r="H17" s="619"/>
      <c r="I17" s="513" t="str">
        <f t="shared" si="0"/>
        <v>-</v>
      </c>
      <c r="J17" s="513" t="str">
        <f t="shared" si="1"/>
        <v>-</v>
      </c>
      <c r="K17" s="200" t="str">
        <f t="shared" si="2"/>
        <v>-</v>
      </c>
      <c r="L17" s="619"/>
      <c r="M17" s="472" t="e">
        <f>RANK(K17, K$7:$K$21)</f>
        <v>#VALUE!</v>
      </c>
      <c r="N17" s="604"/>
      <c r="O17" s="604"/>
      <c r="P17" s="521" t="s">
        <v>822</v>
      </c>
      <c r="Q17" s="182" t="s">
        <v>822</v>
      </c>
      <c r="R17" s="182" t="s">
        <v>822</v>
      </c>
      <c r="S17" s="522" t="e">
        <f t="shared" si="3"/>
        <v>#VALUE!</v>
      </c>
      <c r="T17" s="612"/>
      <c r="U17" s="521" t="s">
        <v>822</v>
      </c>
      <c r="V17" s="182" t="s">
        <v>822</v>
      </c>
      <c r="W17" s="182" t="s">
        <v>822</v>
      </c>
      <c r="X17" s="522" t="e">
        <f t="shared" si="5"/>
        <v>#VALUE!</v>
      </c>
      <c r="Y17" s="612"/>
      <c r="Z17" s="521" t="s">
        <v>822</v>
      </c>
      <c r="AA17" s="182" t="s">
        <v>822</v>
      </c>
      <c r="AB17" s="182" t="s">
        <v>822</v>
      </c>
      <c r="AC17" s="522" t="e">
        <f t="shared" si="7"/>
        <v>#VALUE!</v>
      </c>
      <c r="AD17" s="612"/>
      <c r="AE17" s="521" t="s">
        <v>822</v>
      </c>
      <c r="AF17" s="182" t="s">
        <v>822</v>
      </c>
      <c r="AG17" s="182" t="s">
        <v>822</v>
      </c>
      <c r="AH17" s="522" t="e">
        <f t="shared" si="9"/>
        <v>#VALUE!</v>
      </c>
      <c r="AI17" s="612"/>
      <c r="AJ17" s="521" t="s">
        <v>822</v>
      </c>
      <c r="AK17" s="182" t="s">
        <v>822</v>
      </c>
      <c r="AL17" s="182" t="s">
        <v>822</v>
      </c>
      <c r="AM17" s="522" t="e">
        <f t="shared" si="11"/>
        <v>#VALUE!</v>
      </c>
      <c r="AN17" s="612"/>
      <c r="AO17" s="521" t="s">
        <v>822</v>
      </c>
      <c r="AP17" s="182" t="s">
        <v>822</v>
      </c>
      <c r="AQ17" s="182" t="s">
        <v>822</v>
      </c>
      <c r="AR17" s="522" t="e">
        <f t="shared" si="13"/>
        <v>#VALUE!</v>
      </c>
      <c r="AS17" s="612"/>
      <c r="AT17" s="521" t="s">
        <v>822</v>
      </c>
      <c r="AU17" s="182" t="s">
        <v>822</v>
      </c>
      <c r="AV17" s="182" t="s">
        <v>822</v>
      </c>
      <c r="AW17" s="522" t="e">
        <f t="shared" si="15"/>
        <v>#VALUE!</v>
      </c>
      <c r="AX17" s="612"/>
      <c r="AZ17" s="522" t="e">
        <f t="shared" si="17"/>
        <v>#N/A</v>
      </c>
      <c r="BA17" s="612"/>
    </row>
    <row r="18" spans="2:53">
      <c r="B18" s="640"/>
      <c r="C18" s="469">
        <v>12</v>
      </c>
      <c r="D18" s="455"/>
      <c r="E18" s="472"/>
      <c r="F18" s="472"/>
      <c r="G18" s="472"/>
      <c r="H18" s="619"/>
      <c r="I18" s="513" t="str">
        <f t="shared" si="0"/>
        <v>-</v>
      </c>
      <c r="J18" s="513" t="str">
        <f t="shared" si="1"/>
        <v>-</v>
      </c>
      <c r="K18" s="200" t="str">
        <f t="shared" si="2"/>
        <v>-</v>
      </c>
      <c r="L18" s="619"/>
      <c r="M18" s="472" t="e">
        <f>RANK(K18, K$7:$K$21)</f>
        <v>#VALUE!</v>
      </c>
      <c r="N18" s="604"/>
      <c r="O18" s="604"/>
      <c r="P18" s="521" t="s">
        <v>822</v>
      </c>
      <c r="Q18" s="182" t="s">
        <v>822</v>
      </c>
      <c r="R18" s="182" t="s">
        <v>822</v>
      </c>
      <c r="S18" s="522" t="e">
        <f t="shared" si="3"/>
        <v>#VALUE!</v>
      </c>
      <c r="T18" s="612"/>
      <c r="U18" s="521" t="s">
        <v>822</v>
      </c>
      <c r="V18" s="182" t="s">
        <v>822</v>
      </c>
      <c r="W18" s="182" t="s">
        <v>822</v>
      </c>
      <c r="X18" s="522" t="e">
        <f t="shared" si="5"/>
        <v>#VALUE!</v>
      </c>
      <c r="Y18" s="612"/>
      <c r="Z18" s="521" t="s">
        <v>822</v>
      </c>
      <c r="AA18" s="182" t="s">
        <v>822</v>
      </c>
      <c r="AB18" s="182" t="s">
        <v>822</v>
      </c>
      <c r="AC18" s="522" t="e">
        <f t="shared" si="7"/>
        <v>#VALUE!</v>
      </c>
      <c r="AD18" s="612"/>
      <c r="AE18" s="521" t="s">
        <v>822</v>
      </c>
      <c r="AF18" s="182" t="s">
        <v>822</v>
      </c>
      <c r="AG18" s="182" t="s">
        <v>822</v>
      </c>
      <c r="AH18" s="522" t="e">
        <f t="shared" si="9"/>
        <v>#VALUE!</v>
      </c>
      <c r="AI18" s="612"/>
      <c r="AJ18" s="521" t="s">
        <v>822</v>
      </c>
      <c r="AK18" s="182" t="s">
        <v>822</v>
      </c>
      <c r="AL18" s="182" t="s">
        <v>822</v>
      </c>
      <c r="AM18" s="522" t="e">
        <f t="shared" si="11"/>
        <v>#VALUE!</v>
      </c>
      <c r="AN18" s="612"/>
      <c r="AO18" s="521" t="s">
        <v>822</v>
      </c>
      <c r="AP18" s="182" t="s">
        <v>822</v>
      </c>
      <c r="AQ18" s="182" t="s">
        <v>822</v>
      </c>
      <c r="AR18" s="522" t="e">
        <f t="shared" si="13"/>
        <v>#VALUE!</v>
      </c>
      <c r="AS18" s="612"/>
      <c r="AT18" s="521" t="s">
        <v>822</v>
      </c>
      <c r="AU18" s="182" t="s">
        <v>822</v>
      </c>
      <c r="AV18" s="182" t="s">
        <v>822</v>
      </c>
      <c r="AW18" s="522" t="e">
        <f t="shared" si="15"/>
        <v>#VALUE!</v>
      </c>
      <c r="AX18" s="612"/>
      <c r="AZ18" s="522" t="e">
        <f t="shared" si="17"/>
        <v>#N/A</v>
      </c>
      <c r="BA18" s="612"/>
    </row>
    <row r="19" spans="2:53">
      <c r="B19" s="640"/>
      <c r="C19" s="469">
        <v>13</v>
      </c>
      <c r="D19" s="455"/>
      <c r="E19" s="472"/>
      <c r="F19" s="472"/>
      <c r="G19" s="472"/>
      <c r="H19" s="619"/>
      <c r="I19" s="513" t="str">
        <f t="shared" si="0"/>
        <v>-</v>
      </c>
      <c r="J19" s="513" t="str">
        <f t="shared" si="1"/>
        <v>-</v>
      </c>
      <c r="K19" s="200" t="str">
        <f t="shared" si="2"/>
        <v>-</v>
      </c>
      <c r="L19" s="619"/>
      <c r="M19" s="472" t="e">
        <f>RANK(K19, K$7:$K$21)</f>
        <v>#VALUE!</v>
      </c>
      <c r="N19" s="604"/>
      <c r="O19" s="604"/>
      <c r="P19" s="521" t="s">
        <v>822</v>
      </c>
      <c r="Q19" s="182" t="s">
        <v>822</v>
      </c>
      <c r="R19" s="182" t="s">
        <v>822</v>
      </c>
      <c r="S19" s="522" t="e">
        <f t="shared" si="3"/>
        <v>#VALUE!</v>
      </c>
      <c r="T19" s="612"/>
      <c r="U19" s="521" t="s">
        <v>822</v>
      </c>
      <c r="V19" s="182" t="s">
        <v>822</v>
      </c>
      <c r="W19" s="182" t="s">
        <v>822</v>
      </c>
      <c r="X19" s="522" t="e">
        <f t="shared" si="5"/>
        <v>#VALUE!</v>
      </c>
      <c r="Y19" s="612"/>
      <c r="Z19" s="521" t="s">
        <v>822</v>
      </c>
      <c r="AA19" s="182" t="s">
        <v>822</v>
      </c>
      <c r="AB19" s="182" t="s">
        <v>822</v>
      </c>
      <c r="AC19" s="522" t="e">
        <f t="shared" si="7"/>
        <v>#VALUE!</v>
      </c>
      <c r="AD19" s="612"/>
      <c r="AE19" s="521" t="s">
        <v>822</v>
      </c>
      <c r="AF19" s="182" t="s">
        <v>822</v>
      </c>
      <c r="AG19" s="182" t="s">
        <v>822</v>
      </c>
      <c r="AH19" s="522" t="e">
        <f t="shared" si="9"/>
        <v>#VALUE!</v>
      </c>
      <c r="AI19" s="612"/>
      <c r="AJ19" s="521" t="s">
        <v>822</v>
      </c>
      <c r="AK19" s="182" t="s">
        <v>822</v>
      </c>
      <c r="AL19" s="182" t="s">
        <v>822</v>
      </c>
      <c r="AM19" s="522" t="e">
        <f t="shared" si="11"/>
        <v>#VALUE!</v>
      </c>
      <c r="AN19" s="612"/>
      <c r="AO19" s="521" t="s">
        <v>822</v>
      </c>
      <c r="AP19" s="182" t="s">
        <v>822</v>
      </c>
      <c r="AQ19" s="182" t="s">
        <v>822</v>
      </c>
      <c r="AR19" s="522" t="e">
        <f t="shared" si="13"/>
        <v>#VALUE!</v>
      </c>
      <c r="AS19" s="612"/>
      <c r="AT19" s="521" t="s">
        <v>822</v>
      </c>
      <c r="AU19" s="182" t="s">
        <v>822</v>
      </c>
      <c r="AV19" s="182" t="s">
        <v>822</v>
      </c>
      <c r="AW19" s="522" t="e">
        <f t="shared" si="15"/>
        <v>#VALUE!</v>
      </c>
      <c r="AX19" s="612"/>
      <c r="AZ19" s="522" t="e">
        <f t="shared" si="17"/>
        <v>#N/A</v>
      </c>
      <c r="BA19" s="612"/>
    </row>
    <row r="20" spans="2:53">
      <c r="B20" s="640"/>
      <c r="C20" s="469">
        <v>14</v>
      </c>
      <c r="D20" s="455"/>
      <c r="E20" s="472"/>
      <c r="F20" s="472"/>
      <c r="G20" s="472"/>
      <c r="H20" s="619"/>
      <c r="I20" s="513" t="str">
        <f t="shared" si="0"/>
        <v>-</v>
      </c>
      <c r="J20" s="513" t="str">
        <f t="shared" si="1"/>
        <v>-</v>
      </c>
      <c r="K20" s="200" t="str">
        <f t="shared" si="2"/>
        <v>-</v>
      </c>
      <c r="L20" s="619"/>
      <c r="M20" s="472" t="e">
        <f>RANK(K20, K$7:$K$21)</f>
        <v>#VALUE!</v>
      </c>
      <c r="N20" s="604"/>
      <c r="O20" s="604"/>
      <c r="P20" s="521" t="s">
        <v>822</v>
      </c>
      <c r="Q20" s="182" t="s">
        <v>822</v>
      </c>
      <c r="R20" s="182" t="s">
        <v>822</v>
      </c>
      <c r="S20" s="522" t="e">
        <f t="shared" si="3"/>
        <v>#VALUE!</v>
      </c>
      <c r="T20" s="612"/>
      <c r="U20" s="521" t="s">
        <v>822</v>
      </c>
      <c r="V20" s="182" t="s">
        <v>822</v>
      </c>
      <c r="W20" s="182" t="s">
        <v>822</v>
      </c>
      <c r="X20" s="522" t="e">
        <f t="shared" si="5"/>
        <v>#VALUE!</v>
      </c>
      <c r="Y20" s="612"/>
      <c r="Z20" s="521" t="s">
        <v>822</v>
      </c>
      <c r="AA20" s="182" t="s">
        <v>822</v>
      </c>
      <c r="AB20" s="182" t="s">
        <v>822</v>
      </c>
      <c r="AC20" s="522" t="e">
        <f t="shared" si="7"/>
        <v>#VALUE!</v>
      </c>
      <c r="AD20" s="612"/>
      <c r="AE20" s="521" t="s">
        <v>822</v>
      </c>
      <c r="AF20" s="182" t="s">
        <v>822</v>
      </c>
      <c r="AG20" s="182" t="s">
        <v>822</v>
      </c>
      <c r="AH20" s="522" t="e">
        <f t="shared" si="9"/>
        <v>#VALUE!</v>
      </c>
      <c r="AI20" s="612"/>
      <c r="AJ20" s="521" t="s">
        <v>822</v>
      </c>
      <c r="AK20" s="182" t="s">
        <v>822</v>
      </c>
      <c r="AL20" s="182" t="s">
        <v>822</v>
      </c>
      <c r="AM20" s="522" t="e">
        <f t="shared" si="11"/>
        <v>#VALUE!</v>
      </c>
      <c r="AN20" s="612"/>
      <c r="AO20" s="521" t="s">
        <v>822</v>
      </c>
      <c r="AP20" s="182" t="s">
        <v>822</v>
      </c>
      <c r="AQ20" s="182" t="s">
        <v>822</v>
      </c>
      <c r="AR20" s="522" t="e">
        <f t="shared" si="13"/>
        <v>#VALUE!</v>
      </c>
      <c r="AS20" s="612"/>
      <c r="AT20" s="521" t="s">
        <v>822</v>
      </c>
      <c r="AU20" s="182" t="s">
        <v>822</v>
      </c>
      <c r="AV20" s="182" t="s">
        <v>822</v>
      </c>
      <c r="AW20" s="522" t="e">
        <f t="shared" si="15"/>
        <v>#VALUE!</v>
      </c>
      <c r="AX20" s="612"/>
      <c r="AZ20" s="522" t="e">
        <f t="shared" si="17"/>
        <v>#N/A</v>
      </c>
      <c r="BA20" s="612"/>
    </row>
    <row r="21" spans="2:53">
      <c r="B21" s="640"/>
      <c r="C21" s="469">
        <v>15</v>
      </c>
      <c r="D21" s="455"/>
      <c r="E21" s="472"/>
      <c r="F21" s="472"/>
      <c r="G21" s="472"/>
      <c r="H21" s="679"/>
      <c r="I21" s="472"/>
      <c r="J21" s="472"/>
      <c r="K21" s="467"/>
      <c r="L21" s="679"/>
      <c r="M21" s="472" t="e">
        <f>RANK(K21, K$7:$K$21)</f>
        <v>#N/A</v>
      </c>
      <c r="N21" s="604"/>
      <c r="O21" s="604"/>
      <c r="P21" s="521" t="s">
        <v>822</v>
      </c>
      <c r="Q21" s="182" t="s">
        <v>822</v>
      </c>
      <c r="R21" s="182" t="s">
        <v>822</v>
      </c>
      <c r="S21" s="522" t="e">
        <f t="shared" si="3"/>
        <v>#VALUE!</v>
      </c>
      <c r="T21" s="612"/>
      <c r="U21" s="521" t="s">
        <v>822</v>
      </c>
      <c r="V21" s="182" t="s">
        <v>822</v>
      </c>
      <c r="W21" s="182" t="s">
        <v>822</v>
      </c>
      <c r="X21" s="522" t="e">
        <f t="shared" si="5"/>
        <v>#VALUE!</v>
      </c>
      <c r="Y21" s="612"/>
      <c r="Z21" s="521" t="s">
        <v>822</v>
      </c>
      <c r="AA21" s="182" t="s">
        <v>822</v>
      </c>
      <c r="AB21" s="182" t="s">
        <v>822</v>
      </c>
      <c r="AC21" s="522" t="e">
        <f t="shared" si="7"/>
        <v>#VALUE!</v>
      </c>
      <c r="AD21" s="612"/>
      <c r="AE21" s="521" t="s">
        <v>822</v>
      </c>
      <c r="AF21" s="182" t="s">
        <v>822</v>
      </c>
      <c r="AG21" s="182" t="s">
        <v>822</v>
      </c>
      <c r="AH21" s="522" t="e">
        <f t="shared" si="9"/>
        <v>#VALUE!</v>
      </c>
      <c r="AI21" s="612"/>
      <c r="AJ21" s="521" t="s">
        <v>822</v>
      </c>
      <c r="AK21" s="182" t="s">
        <v>822</v>
      </c>
      <c r="AL21" s="182" t="s">
        <v>822</v>
      </c>
      <c r="AM21" s="522" t="e">
        <f t="shared" si="11"/>
        <v>#VALUE!</v>
      </c>
      <c r="AN21" s="612"/>
      <c r="AO21" s="521" t="s">
        <v>822</v>
      </c>
      <c r="AP21" s="182" t="s">
        <v>822</v>
      </c>
      <c r="AQ21" s="182" t="s">
        <v>822</v>
      </c>
      <c r="AR21" s="522" t="e">
        <f t="shared" si="13"/>
        <v>#VALUE!</v>
      </c>
      <c r="AS21" s="612"/>
      <c r="AT21" s="521" t="s">
        <v>822</v>
      </c>
      <c r="AU21" s="182" t="s">
        <v>822</v>
      </c>
      <c r="AV21" s="182" t="s">
        <v>822</v>
      </c>
      <c r="AW21" s="522" t="e">
        <f t="shared" si="15"/>
        <v>#VALUE!</v>
      </c>
      <c r="AX21" s="612"/>
      <c r="AZ21" s="522" t="e">
        <f t="shared" si="17"/>
        <v>#N/A</v>
      </c>
      <c r="BA21" s="612"/>
    </row>
    <row r="22" spans="2:53" ht="15.75">
      <c r="B22" s="648" t="s">
        <v>163</v>
      </c>
      <c r="C22" s="649"/>
      <c r="D22" s="649"/>
      <c r="E22" s="649"/>
      <c r="F22" s="649"/>
      <c r="G22" s="649"/>
      <c r="H22" s="649"/>
      <c r="I22" s="203"/>
      <c r="J22" s="203"/>
      <c r="K22" s="203"/>
      <c r="L22" s="203"/>
      <c r="M22" s="204"/>
      <c r="N22" s="606" t="s">
        <v>156</v>
      </c>
      <c r="O22" s="606" t="s">
        <v>105</v>
      </c>
      <c r="P22" s="632">
        <f>P2+7</f>
        <v>46119</v>
      </c>
      <c r="Q22" s="610"/>
      <c r="R22" s="610"/>
      <c r="S22" s="610"/>
      <c r="T22" s="610"/>
      <c r="U22" s="629">
        <f>P22+1</f>
        <v>46120</v>
      </c>
      <c r="V22" s="630"/>
      <c r="W22" s="630"/>
      <c r="X22" s="630"/>
      <c r="Y22" s="631"/>
      <c r="Z22" s="629">
        <f>U22+1</f>
        <v>46121</v>
      </c>
      <c r="AA22" s="630"/>
      <c r="AB22" s="630"/>
      <c r="AC22" s="630"/>
      <c r="AD22" s="631"/>
      <c r="AE22" s="629">
        <f>Z22+1</f>
        <v>46122</v>
      </c>
      <c r="AF22" s="630"/>
      <c r="AG22" s="630"/>
      <c r="AH22" s="630"/>
      <c r="AI22" s="631"/>
      <c r="AJ22" s="629">
        <f>AE22+1</f>
        <v>46123</v>
      </c>
      <c r="AK22" s="630"/>
      <c r="AL22" s="630"/>
      <c r="AM22" s="630"/>
      <c r="AN22" s="631"/>
      <c r="AO22" s="629">
        <f>AJ22+1</f>
        <v>46124</v>
      </c>
      <c r="AP22" s="630"/>
      <c r="AQ22" s="630"/>
      <c r="AR22" s="630"/>
      <c r="AS22" s="631"/>
      <c r="AT22" s="629">
        <f>AO22+1</f>
        <v>46125</v>
      </c>
      <c r="AU22" s="630"/>
      <c r="AV22" s="630"/>
      <c r="AW22" s="630"/>
      <c r="AX22" s="631"/>
    </row>
    <row r="23" spans="2:53" ht="15.75">
      <c r="B23" s="636"/>
      <c r="C23" s="636"/>
      <c r="D23" s="636"/>
      <c r="E23" s="636"/>
      <c r="F23" s="636"/>
      <c r="G23" s="636"/>
      <c r="H23" s="636"/>
      <c r="I23" s="205"/>
      <c r="J23" s="205"/>
      <c r="K23" s="205"/>
      <c r="L23" s="205"/>
      <c r="M23" s="206"/>
      <c r="N23" s="608"/>
      <c r="O23" s="608"/>
      <c r="P23" s="632" t="s">
        <v>336</v>
      </c>
      <c r="Q23" s="610"/>
      <c r="R23" s="610"/>
      <c r="S23" s="610"/>
      <c r="T23" s="610"/>
      <c r="U23" s="632" t="s">
        <v>337</v>
      </c>
      <c r="V23" s="610"/>
      <c r="W23" s="610"/>
      <c r="X23" s="610"/>
      <c r="Y23" s="610"/>
      <c r="Z23" s="632" t="s">
        <v>338</v>
      </c>
      <c r="AA23" s="610"/>
      <c r="AB23" s="610"/>
      <c r="AC23" s="610"/>
      <c r="AD23" s="610"/>
      <c r="AE23" s="632" t="s">
        <v>339</v>
      </c>
      <c r="AF23" s="610"/>
      <c r="AG23" s="610"/>
      <c r="AH23" s="610"/>
      <c r="AI23" s="610"/>
      <c r="AJ23" s="632" t="s">
        <v>340</v>
      </c>
      <c r="AK23" s="610"/>
      <c r="AL23" s="610"/>
      <c r="AM23" s="610"/>
      <c r="AN23" s="610"/>
      <c r="AO23" s="632" t="s">
        <v>341</v>
      </c>
      <c r="AP23" s="610"/>
      <c r="AQ23" s="610"/>
      <c r="AR23" s="610"/>
      <c r="AS23" s="610"/>
      <c r="AT23" s="632" t="s">
        <v>342</v>
      </c>
      <c r="AU23" s="610"/>
      <c r="AV23" s="610"/>
      <c r="AW23" s="610"/>
      <c r="AX23" s="610"/>
    </row>
    <row r="24" spans="2:53">
      <c r="B24" s="604" t="s">
        <v>398</v>
      </c>
      <c r="C24" s="604" t="s">
        <v>408</v>
      </c>
      <c r="D24" s="604"/>
      <c r="E24" s="604" t="s">
        <v>399</v>
      </c>
      <c r="F24" s="604"/>
      <c r="G24" s="604"/>
      <c r="H24" s="637" t="s">
        <v>395</v>
      </c>
      <c r="I24" s="656" t="s">
        <v>400</v>
      </c>
      <c r="J24" s="656"/>
      <c r="K24" s="656"/>
      <c r="L24" s="657" t="s">
        <v>395</v>
      </c>
      <c r="M24" s="642" t="s">
        <v>396</v>
      </c>
      <c r="N24" s="604"/>
      <c r="O24" s="604" t="s">
        <v>401</v>
      </c>
      <c r="P24" s="623" t="s">
        <v>732</v>
      </c>
      <c r="Q24" s="624"/>
      <c r="R24" s="624"/>
      <c r="S24" s="625"/>
      <c r="T24" s="604" t="s">
        <v>728</v>
      </c>
      <c r="U24" s="623" t="s">
        <v>732</v>
      </c>
      <c r="V24" s="624"/>
      <c r="W24" s="624"/>
      <c r="X24" s="625"/>
      <c r="Y24" s="604" t="s">
        <v>728</v>
      </c>
      <c r="Z24" s="623" t="s">
        <v>732</v>
      </c>
      <c r="AA24" s="624"/>
      <c r="AB24" s="624"/>
      <c r="AC24" s="625"/>
      <c r="AD24" s="604" t="s">
        <v>728</v>
      </c>
      <c r="AE24" s="623" t="s">
        <v>732</v>
      </c>
      <c r="AF24" s="624"/>
      <c r="AG24" s="624"/>
      <c r="AH24" s="625"/>
      <c r="AI24" s="604" t="s">
        <v>728</v>
      </c>
      <c r="AJ24" s="623" t="s">
        <v>732</v>
      </c>
      <c r="AK24" s="624"/>
      <c r="AL24" s="624"/>
      <c r="AM24" s="625"/>
      <c r="AN24" s="604" t="s">
        <v>728</v>
      </c>
      <c r="AO24" s="623" t="s">
        <v>732</v>
      </c>
      <c r="AP24" s="624"/>
      <c r="AQ24" s="624"/>
      <c r="AR24" s="625"/>
      <c r="AS24" s="604" t="s">
        <v>728</v>
      </c>
      <c r="AT24" s="623" t="s">
        <v>732</v>
      </c>
      <c r="AU24" s="624"/>
      <c r="AV24" s="624"/>
      <c r="AW24" s="625"/>
      <c r="AX24" s="604" t="s">
        <v>728</v>
      </c>
      <c r="BA24" s="604" t="s">
        <v>728</v>
      </c>
    </row>
    <row r="25" spans="2:53">
      <c r="B25" s="604"/>
      <c r="C25" s="604"/>
      <c r="D25" s="604"/>
      <c r="E25" s="604" t="s">
        <v>402</v>
      </c>
      <c r="F25" s="604"/>
      <c r="G25" s="604"/>
      <c r="H25" s="638"/>
      <c r="I25" s="656" t="s">
        <v>402</v>
      </c>
      <c r="J25" s="656"/>
      <c r="K25" s="656"/>
      <c r="L25" s="658"/>
      <c r="M25" s="643"/>
      <c r="N25" s="604"/>
      <c r="O25" s="604"/>
      <c r="P25" s="623" t="s">
        <v>734</v>
      </c>
      <c r="Q25" s="624"/>
      <c r="R25" s="624"/>
      <c r="S25" s="625"/>
      <c r="T25" s="604"/>
      <c r="U25" s="623" t="s">
        <v>734</v>
      </c>
      <c r="V25" s="624"/>
      <c r="W25" s="624"/>
      <c r="X25" s="625"/>
      <c r="Y25" s="604"/>
      <c r="Z25" s="623" t="s">
        <v>734</v>
      </c>
      <c r="AA25" s="624"/>
      <c r="AB25" s="624"/>
      <c r="AC25" s="625"/>
      <c r="AD25" s="604"/>
      <c r="AE25" s="623" t="s">
        <v>734</v>
      </c>
      <c r="AF25" s="624"/>
      <c r="AG25" s="624"/>
      <c r="AH25" s="625"/>
      <c r="AI25" s="604"/>
      <c r="AJ25" s="623" t="s">
        <v>734</v>
      </c>
      <c r="AK25" s="624"/>
      <c r="AL25" s="624"/>
      <c r="AM25" s="625"/>
      <c r="AN25" s="604"/>
      <c r="AO25" s="623" t="s">
        <v>734</v>
      </c>
      <c r="AP25" s="624"/>
      <c r="AQ25" s="624"/>
      <c r="AR25" s="625"/>
      <c r="AS25" s="604"/>
      <c r="AT25" s="623" t="s">
        <v>734</v>
      </c>
      <c r="AU25" s="624"/>
      <c r="AV25" s="624"/>
      <c r="AW25" s="625"/>
      <c r="AX25" s="604"/>
      <c r="BA25" s="604"/>
    </row>
    <row r="26" spans="2:53">
      <c r="B26" s="604"/>
      <c r="C26" s="604"/>
      <c r="D26" s="604"/>
      <c r="E26" s="304" t="s">
        <v>404</v>
      </c>
      <c r="F26" s="304" t="s">
        <v>405</v>
      </c>
      <c r="G26" s="304" t="s">
        <v>406</v>
      </c>
      <c r="H26" s="639"/>
      <c r="I26" s="303" t="s">
        <v>404</v>
      </c>
      <c r="J26" s="303" t="s">
        <v>405</v>
      </c>
      <c r="K26" s="303" t="s">
        <v>406</v>
      </c>
      <c r="L26" s="659"/>
      <c r="M26" s="644"/>
      <c r="N26" s="604"/>
      <c r="O26" s="604"/>
      <c r="P26" s="475" t="s">
        <v>735</v>
      </c>
      <c r="Q26" s="475" t="s">
        <v>736</v>
      </c>
      <c r="R26" s="475" t="s">
        <v>737</v>
      </c>
      <c r="S26" s="475" t="s">
        <v>730</v>
      </c>
      <c r="T26" s="604"/>
      <c r="U26" s="475" t="s">
        <v>735</v>
      </c>
      <c r="V26" s="475" t="s">
        <v>736</v>
      </c>
      <c r="W26" s="475" t="s">
        <v>737</v>
      </c>
      <c r="X26" s="475" t="s">
        <v>730</v>
      </c>
      <c r="Y26" s="604"/>
      <c r="Z26" s="475" t="s">
        <v>735</v>
      </c>
      <c r="AA26" s="475" t="s">
        <v>736</v>
      </c>
      <c r="AB26" s="475" t="s">
        <v>737</v>
      </c>
      <c r="AC26" s="475" t="s">
        <v>730</v>
      </c>
      <c r="AD26" s="604"/>
      <c r="AE26" s="475" t="s">
        <v>735</v>
      </c>
      <c r="AF26" s="475" t="s">
        <v>736</v>
      </c>
      <c r="AG26" s="475" t="s">
        <v>737</v>
      </c>
      <c r="AH26" s="475" t="s">
        <v>730</v>
      </c>
      <c r="AI26" s="604"/>
      <c r="AJ26" s="475" t="s">
        <v>735</v>
      </c>
      <c r="AK26" s="475" t="s">
        <v>736</v>
      </c>
      <c r="AL26" s="475" t="s">
        <v>737</v>
      </c>
      <c r="AM26" s="475" t="s">
        <v>730</v>
      </c>
      <c r="AN26" s="604"/>
      <c r="AO26" s="475" t="s">
        <v>735</v>
      </c>
      <c r="AP26" s="475" t="s">
        <v>736</v>
      </c>
      <c r="AQ26" s="475" t="s">
        <v>737</v>
      </c>
      <c r="AR26" s="475" t="s">
        <v>730</v>
      </c>
      <c r="AS26" s="604"/>
      <c r="AT26" s="475" t="s">
        <v>735</v>
      </c>
      <c r="AU26" s="475" t="s">
        <v>736</v>
      </c>
      <c r="AV26" s="475" t="s">
        <v>737</v>
      </c>
      <c r="AW26" s="475" t="s">
        <v>730</v>
      </c>
      <c r="AX26" s="604"/>
      <c r="AZ26" s="520" t="s">
        <v>396</v>
      </c>
      <c r="BA26" s="604"/>
    </row>
    <row r="27" spans="2:53">
      <c r="B27" s="666" t="s">
        <v>407</v>
      </c>
      <c r="C27" s="305">
        <v>1</v>
      </c>
      <c r="D27" s="455" t="s">
        <v>385</v>
      </c>
      <c r="E27" s="518">
        <v>4</v>
      </c>
      <c r="F27" s="518">
        <v>2000</v>
      </c>
      <c r="G27" s="518">
        <v>500</v>
      </c>
      <c r="H27" s="667">
        <f>AVERAGE(G27:G41)</f>
        <v>284.12962962962968</v>
      </c>
      <c r="I27" s="513">
        <f t="shared" ref="I27:I40" si="19">IFERROR(AVERAGE(P27,U27,Z27,AE27,AJ27,AO27,AT27),"-")</f>
        <v>5</v>
      </c>
      <c r="J27" s="513">
        <f t="shared" ref="J27:J40" si="20">IFERROR(AVERAGE(Q27,V27,AA27,AF27,AK27,AP27,AU27),"-")</f>
        <v>2160.0676959743241</v>
      </c>
      <c r="K27" s="200">
        <f t="shared" ref="K27:K40" si="21">IFERROR(AVERAGE(R27,W27,AB27,AG27,AL27,AQ27,AV27),"-")</f>
        <v>432.01353919486485</v>
      </c>
      <c r="L27" s="620">
        <f>IFERROR(AVERAGE(K27:K41),"-")</f>
        <v>245.8620154100233</v>
      </c>
      <c r="M27" s="201">
        <f>RANK(K27, K$27:$K$41)</f>
        <v>1</v>
      </c>
      <c r="N27" s="604"/>
      <c r="O27" s="604"/>
      <c r="P27" s="526">
        <v>5</v>
      </c>
      <c r="Q27" s="530">
        <v>2163.6923076923072</v>
      </c>
      <c r="R27" s="530">
        <v>432.73846153846142</v>
      </c>
      <c r="S27" s="526">
        <f t="shared" ref="S27:S41" si="22">RANK(R27, R$27:R$41)</f>
        <v>1</v>
      </c>
      <c r="T27" s="599">
        <f t="shared" ref="T27" si="23">AVERAGE(R27:R41)</f>
        <v>245.38721055521805</v>
      </c>
      <c r="U27" s="526">
        <v>5</v>
      </c>
      <c r="V27" s="530">
        <v>2160.0000000000009</v>
      </c>
      <c r="W27" s="530">
        <v>432.00000000000017</v>
      </c>
      <c r="X27" s="526">
        <f t="shared" ref="X27:X41" si="24">RANK(W27, W$27:W$41)</f>
        <v>2</v>
      </c>
      <c r="Y27" s="599">
        <f t="shared" ref="Y27" si="25">AVERAGE(W27:W41)</f>
        <v>247.09819315889919</v>
      </c>
      <c r="Z27" s="526">
        <v>5</v>
      </c>
      <c r="AA27" s="530">
        <v>2187.1874999999995</v>
      </c>
      <c r="AB27" s="530">
        <v>437.43749999999989</v>
      </c>
      <c r="AC27" s="526">
        <f t="shared" ref="AC27:AC41" si="26">RANK(AB27, AB$27:AB$41)</f>
        <v>1</v>
      </c>
      <c r="AD27" s="599">
        <f t="shared" ref="AD27" si="27">AVERAGE(AB27:AB41)</f>
        <v>246.59751560900415</v>
      </c>
      <c r="AE27" s="526">
        <v>5</v>
      </c>
      <c r="AF27" s="530">
        <v>2123.333333333333</v>
      </c>
      <c r="AG27" s="530">
        <v>424.66666666666663</v>
      </c>
      <c r="AH27" s="526">
        <f t="shared" ref="AH27:AH41" si="28">RANK(AG27, AG$27:AG$41)</f>
        <v>2</v>
      </c>
      <c r="AI27" s="599">
        <f t="shared" ref="AI27" si="29">AVERAGE(AG27:AG41)</f>
        <v>243.78751646857575</v>
      </c>
      <c r="AJ27" s="526">
        <v>5</v>
      </c>
      <c r="AK27" s="530">
        <v>2175.2542372881358</v>
      </c>
      <c r="AL27" s="530">
        <v>435.05084745762713</v>
      </c>
      <c r="AM27" s="526">
        <f t="shared" ref="AM27:AM41" si="30">RANK(AL27, AL$27:AL$41)</f>
        <v>1</v>
      </c>
      <c r="AN27" s="599">
        <f t="shared" ref="AN27" si="31">AVERAGE(AL27:AL41)</f>
        <v>246.47832588152818</v>
      </c>
      <c r="AO27" s="526">
        <v>5</v>
      </c>
      <c r="AP27" s="530">
        <v>2133.5064935064934</v>
      </c>
      <c r="AQ27" s="530">
        <v>426.7012987012987</v>
      </c>
      <c r="AR27" s="526">
        <f t="shared" ref="AR27:AR41" si="32">RANK(AQ27, AQ$27:AQ$41)</f>
        <v>3</v>
      </c>
      <c r="AS27" s="599">
        <f t="shared" ref="AS27" si="33">AVERAGE(AQ27:AQ41)</f>
        <v>245.93266404394984</v>
      </c>
      <c r="AT27" s="526">
        <v>5</v>
      </c>
      <c r="AU27" s="530">
        <v>2177.4999999999991</v>
      </c>
      <c r="AV27" s="530">
        <v>435.49999999999983</v>
      </c>
      <c r="AW27" s="526">
        <f t="shared" ref="AW27:AW41" si="34">RANK(AV27, AV$27:AV$41)</f>
        <v>1</v>
      </c>
      <c r="AX27" s="599">
        <f t="shared" ref="AX27" si="35">AVERAGE(AV27:AV41)</f>
        <v>245.75268215298806</v>
      </c>
      <c r="AZ27" s="521" t="e">
        <f t="shared" ref="AZ27:AZ41" si="36">RANK(AY27, AY$27:AY$41)</f>
        <v>#N/A</v>
      </c>
      <c r="BA27" s="599" t="e">
        <f t="shared" ref="BA27" si="37">AVERAGE(AY27:AY41)</f>
        <v>#DIV/0!</v>
      </c>
    </row>
    <row r="28" spans="2:53">
      <c r="B28" s="610"/>
      <c r="C28" s="305">
        <v>2</v>
      </c>
      <c r="D28" s="455" t="s">
        <v>464</v>
      </c>
      <c r="E28" s="518">
        <v>4</v>
      </c>
      <c r="F28" s="518">
        <v>2000</v>
      </c>
      <c r="G28" s="518">
        <v>500</v>
      </c>
      <c r="H28" s="668"/>
      <c r="I28" s="513">
        <f t="shared" si="19"/>
        <v>5</v>
      </c>
      <c r="J28" s="513">
        <f t="shared" si="20"/>
        <v>2144.6531057490783</v>
      </c>
      <c r="K28" s="200">
        <f t="shared" si="21"/>
        <v>428.93062114981569</v>
      </c>
      <c r="L28" s="621"/>
      <c r="M28" s="201">
        <f>RANK(K28, K$27:$K$41)</f>
        <v>2</v>
      </c>
      <c r="N28" s="604"/>
      <c r="O28" s="604"/>
      <c r="P28" s="526">
        <v>5</v>
      </c>
      <c r="Q28" s="530">
        <v>2138.7096774193556</v>
      </c>
      <c r="R28" s="530">
        <v>427.74193548387109</v>
      </c>
      <c r="S28" s="526">
        <f t="shared" si="22"/>
        <v>2</v>
      </c>
      <c r="T28" s="600"/>
      <c r="U28" s="526">
        <v>5</v>
      </c>
      <c r="V28" s="530">
        <v>2141.9047619047615</v>
      </c>
      <c r="W28" s="530">
        <v>428.38095238095229</v>
      </c>
      <c r="X28" s="526">
        <f t="shared" si="24"/>
        <v>3</v>
      </c>
      <c r="Y28" s="600"/>
      <c r="Z28" s="526">
        <v>5</v>
      </c>
      <c r="AA28" s="530">
        <v>2145.4838709677429</v>
      </c>
      <c r="AB28" s="530">
        <v>429.09677419354858</v>
      </c>
      <c r="AC28" s="526">
        <f t="shared" si="26"/>
        <v>2</v>
      </c>
      <c r="AD28" s="600"/>
      <c r="AE28" s="526">
        <v>5</v>
      </c>
      <c r="AF28" s="530">
        <v>2137.7777777777774</v>
      </c>
      <c r="AG28" s="530">
        <v>427.55555555555549</v>
      </c>
      <c r="AH28" s="526">
        <f t="shared" si="28"/>
        <v>1</v>
      </c>
      <c r="AI28" s="600"/>
      <c r="AJ28" s="526">
        <v>5</v>
      </c>
      <c r="AK28" s="530">
        <v>2159.9999999999991</v>
      </c>
      <c r="AL28" s="530">
        <v>431.99999999999983</v>
      </c>
      <c r="AM28" s="526">
        <f t="shared" si="30"/>
        <v>2</v>
      </c>
      <c r="AN28" s="600"/>
      <c r="AO28" s="526">
        <v>5</v>
      </c>
      <c r="AP28" s="530">
        <v>2149.5652173913045</v>
      </c>
      <c r="AQ28" s="530">
        <v>429.91304347826087</v>
      </c>
      <c r="AR28" s="526">
        <f t="shared" si="32"/>
        <v>1</v>
      </c>
      <c r="AS28" s="600"/>
      <c r="AT28" s="526">
        <v>5</v>
      </c>
      <c r="AU28" s="530">
        <v>2139.1304347826085</v>
      </c>
      <c r="AV28" s="530">
        <v>427.82608695652169</v>
      </c>
      <c r="AW28" s="526">
        <f t="shared" si="34"/>
        <v>2</v>
      </c>
      <c r="AX28" s="600"/>
      <c r="AZ28" s="521" t="e">
        <f t="shared" si="36"/>
        <v>#N/A</v>
      </c>
      <c r="BA28" s="600"/>
    </row>
    <row r="29" spans="2:53">
      <c r="B29" s="610"/>
      <c r="C29" s="305">
        <v>3</v>
      </c>
      <c r="D29" s="455" t="s">
        <v>386</v>
      </c>
      <c r="E29" s="518">
        <v>12</v>
      </c>
      <c r="F29" s="518">
        <v>2118</v>
      </c>
      <c r="G29" s="518">
        <v>176.5</v>
      </c>
      <c r="H29" s="668"/>
      <c r="I29" s="513">
        <f t="shared" si="19"/>
        <v>12</v>
      </c>
      <c r="J29" s="513">
        <f t="shared" si="20"/>
        <v>1878.0923409640552</v>
      </c>
      <c r="K29" s="200">
        <f t="shared" si="21"/>
        <v>156.50769508033792</v>
      </c>
      <c r="L29" s="621"/>
      <c r="M29" s="201">
        <f>RANK(K29, K$27:$K$41)</f>
        <v>8</v>
      </c>
      <c r="N29" s="604"/>
      <c r="O29" s="604"/>
      <c r="P29" s="526">
        <v>12</v>
      </c>
      <c r="Q29" s="530">
        <v>1865.9154929577467</v>
      </c>
      <c r="R29" s="530">
        <v>155.49295774647888</v>
      </c>
      <c r="S29" s="526">
        <f t="shared" si="22"/>
        <v>8</v>
      </c>
      <c r="T29" s="600"/>
      <c r="U29" s="526">
        <v>12</v>
      </c>
      <c r="V29" s="530">
        <v>1904.5454545454545</v>
      </c>
      <c r="W29" s="530">
        <v>158.71212121212122</v>
      </c>
      <c r="X29" s="526">
        <f t="shared" si="24"/>
        <v>7</v>
      </c>
      <c r="Y29" s="600"/>
      <c r="Z29" s="526">
        <v>12</v>
      </c>
      <c r="AA29" s="530">
        <v>1857.391304347826</v>
      </c>
      <c r="AB29" s="530">
        <v>154.78260869565216</v>
      </c>
      <c r="AC29" s="526">
        <f t="shared" si="26"/>
        <v>8</v>
      </c>
      <c r="AD29" s="600"/>
      <c r="AE29" s="526">
        <v>12</v>
      </c>
      <c r="AF29" s="530">
        <v>1892.9032258064522</v>
      </c>
      <c r="AG29" s="530">
        <v>157.741935483871</v>
      </c>
      <c r="AH29" s="526">
        <f t="shared" si="28"/>
        <v>7</v>
      </c>
      <c r="AI29" s="600"/>
      <c r="AJ29" s="526">
        <v>12</v>
      </c>
      <c r="AK29" s="530">
        <v>1889.090909090909</v>
      </c>
      <c r="AL29" s="530">
        <v>157.42424242424241</v>
      </c>
      <c r="AM29" s="526">
        <f t="shared" si="30"/>
        <v>7</v>
      </c>
      <c r="AN29" s="600"/>
      <c r="AO29" s="526">
        <v>12</v>
      </c>
      <c r="AP29" s="530">
        <v>1883.1999999999996</v>
      </c>
      <c r="AQ29" s="530">
        <v>156.93333333333331</v>
      </c>
      <c r="AR29" s="526">
        <f t="shared" si="32"/>
        <v>8</v>
      </c>
      <c r="AS29" s="600"/>
      <c r="AT29" s="526">
        <v>12</v>
      </c>
      <c r="AU29" s="530">
        <v>1853.5999999999997</v>
      </c>
      <c r="AV29" s="530">
        <v>154.46666666666664</v>
      </c>
      <c r="AW29" s="526">
        <f t="shared" si="34"/>
        <v>8</v>
      </c>
      <c r="AX29" s="600"/>
      <c r="AZ29" s="521" t="e">
        <f t="shared" si="36"/>
        <v>#N/A</v>
      </c>
      <c r="BA29" s="600"/>
    </row>
    <row r="30" spans="2:53">
      <c r="B30" s="610"/>
      <c r="C30" s="305">
        <v>4</v>
      </c>
      <c r="D30" s="455" t="s">
        <v>782</v>
      </c>
      <c r="E30" s="518">
        <v>13</v>
      </c>
      <c r="F30" s="518">
        <v>2250</v>
      </c>
      <c r="G30" s="518">
        <v>187.5</v>
      </c>
      <c r="H30" s="668"/>
      <c r="I30" s="513">
        <f t="shared" si="19"/>
        <v>13</v>
      </c>
      <c r="J30" s="513">
        <f t="shared" si="20"/>
        <v>2112.6907192857834</v>
      </c>
      <c r="K30" s="200">
        <f t="shared" si="21"/>
        <v>162.51467071429104</v>
      </c>
      <c r="L30" s="621"/>
      <c r="M30" s="201">
        <f>RANK(K30, K$27:$K$41)</f>
        <v>6</v>
      </c>
      <c r="N30" s="604"/>
      <c r="O30" s="604"/>
      <c r="P30" s="526">
        <v>13</v>
      </c>
      <c r="Q30" s="530">
        <v>2086.8749999999995</v>
      </c>
      <c r="R30" s="530">
        <v>160.52884615384613</v>
      </c>
      <c r="S30" s="526">
        <f t="shared" si="22"/>
        <v>6</v>
      </c>
      <c r="T30" s="600"/>
      <c r="U30" s="526">
        <v>13</v>
      </c>
      <c r="V30" s="530">
        <v>2091.9101123595506</v>
      </c>
      <c r="W30" s="530">
        <v>160.91616248919621</v>
      </c>
      <c r="X30" s="526">
        <f t="shared" si="24"/>
        <v>6</v>
      </c>
      <c r="Y30" s="600"/>
      <c r="Z30" s="526">
        <v>13</v>
      </c>
      <c r="AA30" s="530">
        <v>2136.818181818182</v>
      </c>
      <c r="AB30" s="530">
        <v>164.37062937062939</v>
      </c>
      <c r="AC30" s="526">
        <f t="shared" si="26"/>
        <v>5</v>
      </c>
      <c r="AD30" s="600"/>
      <c r="AE30" s="526">
        <v>13</v>
      </c>
      <c r="AF30" s="530">
        <v>2121.9512195121956</v>
      </c>
      <c r="AG30" s="530">
        <v>163.2270168855535</v>
      </c>
      <c r="AH30" s="526">
        <f t="shared" si="28"/>
        <v>6</v>
      </c>
      <c r="AI30" s="600"/>
      <c r="AJ30" s="526">
        <v>13</v>
      </c>
      <c r="AK30" s="530">
        <v>2080.4494382022472</v>
      </c>
      <c r="AL30" s="530">
        <v>160.03457216940362</v>
      </c>
      <c r="AM30" s="526">
        <f t="shared" si="30"/>
        <v>6</v>
      </c>
      <c r="AN30" s="600"/>
      <c r="AO30" s="526">
        <v>13</v>
      </c>
      <c r="AP30" s="530">
        <v>2133.8613861386139</v>
      </c>
      <c r="AQ30" s="530">
        <v>164.14318354912413</v>
      </c>
      <c r="AR30" s="526">
        <f t="shared" si="32"/>
        <v>5</v>
      </c>
      <c r="AS30" s="600"/>
      <c r="AT30" s="526">
        <v>13</v>
      </c>
      <c r="AU30" s="530">
        <v>2136.9696969696965</v>
      </c>
      <c r="AV30" s="530">
        <v>164.38228438228435</v>
      </c>
      <c r="AW30" s="526">
        <f t="shared" si="34"/>
        <v>5</v>
      </c>
      <c r="AX30" s="600"/>
      <c r="AZ30" s="521" t="e">
        <f t="shared" si="36"/>
        <v>#N/A</v>
      </c>
      <c r="BA30" s="600"/>
    </row>
    <row r="31" spans="2:53">
      <c r="B31" s="610"/>
      <c r="C31" s="305">
        <v>5</v>
      </c>
      <c r="D31" s="455" t="s">
        <v>387</v>
      </c>
      <c r="E31" s="518">
        <v>13</v>
      </c>
      <c r="F31" s="518">
        <v>2250</v>
      </c>
      <c r="G31" s="518">
        <v>173.1</v>
      </c>
      <c r="H31" s="668"/>
      <c r="I31" s="513">
        <f t="shared" si="19"/>
        <v>13</v>
      </c>
      <c r="J31" s="513">
        <f t="shared" si="20"/>
        <v>2114.4377296741995</v>
      </c>
      <c r="K31" s="200">
        <f t="shared" si="21"/>
        <v>162.64905612878459</v>
      </c>
      <c r="L31" s="621"/>
      <c r="M31" s="201">
        <f>RANK(K31, K$27:$K$41)</f>
        <v>5</v>
      </c>
      <c r="N31" s="604"/>
      <c r="O31" s="604"/>
      <c r="P31" s="526">
        <v>13</v>
      </c>
      <c r="Q31" s="530">
        <v>2121.428571428572</v>
      </c>
      <c r="R31" s="530">
        <v>163.18681318681323</v>
      </c>
      <c r="S31" s="526">
        <f t="shared" si="22"/>
        <v>5</v>
      </c>
      <c r="T31" s="600"/>
      <c r="U31" s="526">
        <v>13</v>
      </c>
      <c r="V31" s="530">
        <v>2131.9999999999995</v>
      </c>
      <c r="W31" s="530">
        <v>163.99999999999997</v>
      </c>
      <c r="X31" s="526">
        <f t="shared" si="24"/>
        <v>5</v>
      </c>
      <c r="Y31" s="600"/>
      <c r="Z31" s="526">
        <v>13</v>
      </c>
      <c r="AA31" s="530">
        <v>2082.9411764705874</v>
      </c>
      <c r="AB31" s="530">
        <v>160.22624434389132</v>
      </c>
      <c r="AC31" s="526">
        <f t="shared" si="26"/>
        <v>6</v>
      </c>
      <c r="AD31" s="600"/>
      <c r="AE31" s="526">
        <v>13</v>
      </c>
      <c r="AF31" s="530">
        <v>2144.842105263157</v>
      </c>
      <c r="AG31" s="530">
        <v>164.98785425101207</v>
      </c>
      <c r="AH31" s="526">
        <f t="shared" si="28"/>
        <v>5</v>
      </c>
      <c r="AI31" s="600"/>
      <c r="AJ31" s="526">
        <v>13</v>
      </c>
      <c r="AK31" s="530">
        <v>2087.5471698113201</v>
      </c>
      <c r="AL31" s="530">
        <v>160.58055152394769</v>
      </c>
      <c r="AM31" s="526">
        <f t="shared" si="30"/>
        <v>5</v>
      </c>
      <c r="AN31" s="600"/>
      <c r="AO31" s="526">
        <v>13</v>
      </c>
      <c r="AP31" s="530">
        <v>2114</v>
      </c>
      <c r="AQ31" s="530">
        <v>162.61538461538461</v>
      </c>
      <c r="AR31" s="526">
        <f t="shared" si="32"/>
        <v>6</v>
      </c>
      <c r="AS31" s="600"/>
      <c r="AT31" s="526">
        <v>13</v>
      </c>
      <c r="AU31" s="530">
        <v>2118.3050847457625</v>
      </c>
      <c r="AV31" s="530">
        <v>162.94654498044326</v>
      </c>
      <c r="AW31" s="526">
        <f t="shared" si="34"/>
        <v>6</v>
      </c>
      <c r="AX31" s="600"/>
      <c r="AZ31" s="521" t="e">
        <f t="shared" si="36"/>
        <v>#N/A</v>
      </c>
      <c r="BA31" s="600"/>
    </row>
    <row r="32" spans="2:53">
      <c r="B32" s="610"/>
      <c r="C32" s="305">
        <v>6</v>
      </c>
      <c r="D32" s="455" t="s">
        <v>388</v>
      </c>
      <c r="E32" s="518">
        <v>10</v>
      </c>
      <c r="F32" s="518">
        <v>2769</v>
      </c>
      <c r="G32" s="518">
        <v>276.89999999999998</v>
      </c>
      <c r="H32" s="668"/>
      <c r="I32" s="513">
        <f t="shared" si="19"/>
        <v>10</v>
      </c>
      <c r="J32" s="513">
        <f t="shared" si="20"/>
        <v>2253.7451094564594</v>
      </c>
      <c r="K32" s="200">
        <f t="shared" si="21"/>
        <v>225.37451094564591</v>
      </c>
      <c r="L32" s="621"/>
      <c r="M32" s="201">
        <f>RANK(K32, K$27:$K$41)</f>
        <v>4</v>
      </c>
      <c r="N32" s="604"/>
      <c r="O32" s="604"/>
      <c r="P32" s="526">
        <v>10</v>
      </c>
      <c r="Q32" s="530">
        <v>2234.3225806451578</v>
      </c>
      <c r="R32" s="530">
        <v>223.43225806451579</v>
      </c>
      <c r="S32" s="526">
        <f t="shared" si="22"/>
        <v>4</v>
      </c>
      <c r="T32" s="600"/>
      <c r="U32" s="526">
        <v>10</v>
      </c>
      <c r="V32" s="530">
        <v>2253.7241379310299</v>
      </c>
      <c r="W32" s="530">
        <v>225.37241379310299</v>
      </c>
      <c r="X32" s="526">
        <f t="shared" si="24"/>
        <v>4</v>
      </c>
      <c r="Y32" s="600"/>
      <c r="Z32" s="526">
        <v>10</v>
      </c>
      <c r="AA32" s="530">
        <v>2258.9999999999945</v>
      </c>
      <c r="AB32" s="530">
        <v>225.89999999999947</v>
      </c>
      <c r="AC32" s="526">
        <f t="shared" si="26"/>
        <v>4</v>
      </c>
      <c r="AD32" s="600"/>
      <c r="AE32" s="526">
        <v>10</v>
      </c>
      <c r="AF32" s="530">
        <v>2255.3333333333276</v>
      </c>
      <c r="AG32" s="530">
        <v>225.53333333333276</v>
      </c>
      <c r="AH32" s="526">
        <f t="shared" si="28"/>
        <v>4</v>
      </c>
      <c r="AI32" s="600"/>
      <c r="AJ32" s="526">
        <v>10</v>
      </c>
      <c r="AK32" s="530">
        <v>2280.2142857142803</v>
      </c>
      <c r="AL32" s="530">
        <v>228.02142857142803</v>
      </c>
      <c r="AM32" s="526">
        <f t="shared" si="30"/>
        <v>4</v>
      </c>
      <c r="AN32" s="600"/>
      <c r="AO32" s="526">
        <v>10</v>
      </c>
      <c r="AP32" s="530">
        <v>2221.2499999999986</v>
      </c>
      <c r="AQ32" s="530">
        <v>222.12499999999986</v>
      </c>
      <c r="AR32" s="526">
        <f t="shared" si="32"/>
        <v>4</v>
      </c>
      <c r="AS32" s="600"/>
      <c r="AT32" s="526">
        <v>10</v>
      </c>
      <c r="AU32" s="530">
        <v>2272.3714285714259</v>
      </c>
      <c r="AV32" s="530">
        <v>227.2371428571426</v>
      </c>
      <c r="AW32" s="526">
        <f t="shared" si="34"/>
        <v>4</v>
      </c>
      <c r="AX32" s="600"/>
      <c r="AZ32" s="521" t="e">
        <f t="shared" si="36"/>
        <v>#N/A</v>
      </c>
      <c r="BA32" s="600"/>
    </row>
    <row r="33" spans="2:53">
      <c r="B33" s="610"/>
      <c r="C33" s="305">
        <v>7</v>
      </c>
      <c r="D33" s="455" t="s">
        <v>384</v>
      </c>
      <c r="E33" s="518">
        <v>18</v>
      </c>
      <c r="F33" s="518">
        <v>1200</v>
      </c>
      <c r="G33" s="518">
        <v>66.666666666666671</v>
      </c>
      <c r="H33" s="668"/>
      <c r="I33" s="513">
        <f t="shared" si="19"/>
        <v>18.142857142857142</v>
      </c>
      <c r="J33" s="513">
        <f t="shared" si="20"/>
        <v>1160.9133096601377</v>
      </c>
      <c r="K33" s="200">
        <f t="shared" si="21"/>
        <v>64.028168116337753</v>
      </c>
      <c r="L33" s="621"/>
      <c r="M33" s="201">
        <f>RANK(K33, K$27:$K$41)</f>
        <v>9</v>
      </c>
      <c r="N33" s="604"/>
      <c r="O33" s="604"/>
      <c r="P33" s="526">
        <v>18</v>
      </c>
      <c r="Q33" s="530">
        <v>1169.6907216494849</v>
      </c>
      <c r="R33" s="530">
        <v>64.982817869415825</v>
      </c>
      <c r="S33" s="526">
        <f t="shared" si="22"/>
        <v>9</v>
      </c>
      <c r="T33" s="600"/>
      <c r="U33" s="526">
        <v>18</v>
      </c>
      <c r="V33" s="530">
        <v>1155.1578947368423</v>
      </c>
      <c r="W33" s="530">
        <v>64.175438596491233</v>
      </c>
      <c r="X33" s="526">
        <f t="shared" si="24"/>
        <v>9</v>
      </c>
      <c r="Y33" s="600"/>
      <c r="Z33" s="526">
        <v>18</v>
      </c>
      <c r="AA33" s="530">
        <v>1180.879120879121</v>
      </c>
      <c r="AB33" s="530">
        <v>65.60439560439562</v>
      </c>
      <c r="AC33" s="526">
        <f t="shared" si="26"/>
        <v>9</v>
      </c>
      <c r="AD33" s="600"/>
      <c r="AE33" s="526">
        <v>18</v>
      </c>
      <c r="AF33" s="530">
        <v>1173.9130434782608</v>
      </c>
      <c r="AG33" s="530">
        <v>65.217391304347814</v>
      </c>
      <c r="AH33" s="526">
        <f t="shared" si="28"/>
        <v>9</v>
      </c>
      <c r="AI33" s="600"/>
      <c r="AJ33" s="526">
        <v>18</v>
      </c>
      <c r="AK33" s="530">
        <v>1172.1649484536085</v>
      </c>
      <c r="AL33" s="530">
        <v>65.120274914089364</v>
      </c>
      <c r="AM33" s="526">
        <f t="shared" si="30"/>
        <v>9</v>
      </c>
      <c r="AN33" s="600"/>
      <c r="AO33" s="526">
        <v>18</v>
      </c>
      <c r="AP33" s="530">
        <v>1156.5517241379303</v>
      </c>
      <c r="AQ33" s="530">
        <v>64.252873563218344</v>
      </c>
      <c r="AR33" s="526">
        <f t="shared" si="32"/>
        <v>9</v>
      </c>
      <c r="AS33" s="600"/>
      <c r="AT33" s="526">
        <v>19</v>
      </c>
      <c r="AU33" s="530">
        <v>1118.0357142857151</v>
      </c>
      <c r="AV33" s="530">
        <v>58.843984962406061</v>
      </c>
      <c r="AW33" s="526">
        <f t="shared" si="34"/>
        <v>9</v>
      </c>
      <c r="AX33" s="600"/>
      <c r="AZ33" s="521" t="e">
        <f t="shared" si="36"/>
        <v>#N/A</v>
      </c>
      <c r="BA33" s="600"/>
    </row>
    <row r="34" spans="2:53">
      <c r="B34" s="610"/>
      <c r="C34" s="305">
        <v>8</v>
      </c>
      <c r="D34" s="455" t="s">
        <v>674</v>
      </c>
      <c r="E34" s="518">
        <v>12</v>
      </c>
      <c r="F34" s="518">
        <v>2118</v>
      </c>
      <c r="G34" s="518">
        <v>176.5</v>
      </c>
      <c r="H34" s="668"/>
      <c r="I34" s="513">
        <f t="shared" si="19"/>
        <v>12</v>
      </c>
      <c r="J34" s="513">
        <f t="shared" si="20"/>
        <v>1890.0497420702454</v>
      </c>
      <c r="K34" s="200">
        <f t="shared" si="21"/>
        <v>157.50414517252042</v>
      </c>
      <c r="L34" s="621"/>
      <c r="M34" s="201">
        <f>RANK(K34, K$27:$K$41)</f>
        <v>7</v>
      </c>
      <c r="N34" s="604"/>
      <c r="O34" s="604"/>
      <c r="P34" s="526">
        <v>12</v>
      </c>
      <c r="Q34" s="530">
        <v>1909.4117647058824</v>
      </c>
      <c r="R34" s="530">
        <v>159.11764705882354</v>
      </c>
      <c r="S34" s="526">
        <f t="shared" si="22"/>
        <v>7</v>
      </c>
      <c r="T34" s="600"/>
      <c r="U34" s="526">
        <v>12</v>
      </c>
      <c r="V34" s="530">
        <v>1884.7619047619041</v>
      </c>
      <c r="W34" s="530">
        <v>157.06349206349202</v>
      </c>
      <c r="X34" s="526">
        <f t="shared" si="24"/>
        <v>8</v>
      </c>
      <c r="Y34" s="600"/>
      <c r="Z34" s="526">
        <v>12</v>
      </c>
      <c r="AA34" s="530">
        <v>1888.6567164179105</v>
      </c>
      <c r="AB34" s="530">
        <v>157.38805970149255</v>
      </c>
      <c r="AC34" s="526">
        <f t="shared" si="26"/>
        <v>7</v>
      </c>
      <c r="AD34" s="600"/>
      <c r="AE34" s="526">
        <v>12</v>
      </c>
      <c r="AF34" s="530">
        <v>1877.8947368421054</v>
      </c>
      <c r="AG34" s="530">
        <v>156.49122807017545</v>
      </c>
      <c r="AH34" s="526">
        <f t="shared" si="28"/>
        <v>8</v>
      </c>
      <c r="AI34" s="600"/>
      <c r="AJ34" s="526">
        <v>12</v>
      </c>
      <c r="AK34" s="530">
        <v>1870.4761904761899</v>
      </c>
      <c r="AL34" s="530">
        <v>155.87301587301582</v>
      </c>
      <c r="AM34" s="526">
        <f t="shared" si="30"/>
        <v>8</v>
      </c>
      <c r="AN34" s="600"/>
      <c r="AO34" s="526">
        <v>12</v>
      </c>
      <c r="AP34" s="530">
        <v>1899.718309859154</v>
      </c>
      <c r="AQ34" s="530">
        <v>158.30985915492951</v>
      </c>
      <c r="AR34" s="526">
        <f t="shared" si="32"/>
        <v>7</v>
      </c>
      <c r="AS34" s="600"/>
      <c r="AT34" s="526">
        <v>12</v>
      </c>
      <c r="AU34" s="530">
        <v>1899.4285714285706</v>
      </c>
      <c r="AV34" s="530">
        <v>158.28571428571422</v>
      </c>
      <c r="AW34" s="526">
        <f t="shared" si="34"/>
        <v>7</v>
      </c>
      <c r="AX34" s="600"/>
      <c r="AZ34" s="521" t="e">
        <f t="shared" si="36"/>
        <v>#N/A</v>
      </c>
      <c r="BA34" s="600"/>
    </row>
    <row r="35" spans="2:53">
      <c r="B35" s="610"/>
      <c r="C35" s="305">
        <v>9</v>
      </c>
      <c r="D35" s="455" t="s">
        <v>767</v>
      </c>
      <c r="E35" s="518">
        <v>4</v>
      </c>
      <c r="F35" s="518">
        <v>2000</v>
      </c>
      <c r="G35" s="518">
        <v>500</v>
      </c>
      <c r="H35" s="668"/>
      <c r="I35" s="513">
        <f t="shared" si="19"/>
        <v>5</v>
      </c>
      <c r="J35" s="513">
        <f t="shared" si="20"/>
        <v>2116.1786609380592</v>
      </c>
      <c r="K35" s="200">
        <f t="shared" si="21"/>
        <v>423.23573218761175</v>
      </c>
      <c r="L35" s="621"/>
      <c r="M35" s="201">
        <f>RANK(K35, K$27:$K$41)</f>
        <v>3</v>
      </c>
      <c r="N35" s="604"/>
      <c r="O35" s="604"/>
      <c r="P35" s="526">
        <v>5</v>
      </c>
      <c r="Q35" s="530">
        <v>2106.3157894736828</v>
      </c>
      <c r="R35" s="530">
        <v>421.26315789473654</v>
      </c>
      <c r="S35" s="526">
        <f t="shared" si="22"/>
        <v>3</v>
      </c>
      <c r="T35" s="600"/>
      <c r="U35" s="526">
        <v>5</v>
      </c>
      <c r="V35" s="530">
        <v>2166.3157894736828</v>
      </c>
      <c r="W35" s="530">
        <v>433.26315789473654</v>
      </c>
      <c r="X35" s="526">
        <f t="shared" si="24"/>
        <v>1</v>
      </c>
      <c r="Y35" s="600"/>
      <c r="Z35" s="526">
        <v>5</v>
      </c>
      <c r="AA35" s="530">
        <v>2122.8571428571422</v>
      </c>
      <c r="AB35" s="530">
        <v>424.57142857142844</v>
      </c>
      <c r="AC35" s="526">
        <f t="shared" si="26"/>
        <v>3</v>
      </c>
      <c r="AD35" s="600"/>
      <c r="AE35" s="526">
        <v>5</v>
      </c>
      <c r="AF35" s="530">
        <v>2043.333333333336</v>
      </c>
      <c r="AG35" s="530">
        <v>408.6666666666672</v>
      </c>
      <c r="AH35" s="526">
        <f t="shared" si="28"/>
        <v>3</v>
      </c>
      <c r="AI35" s="600"/>
      <c r="AJ35" s="526">
        <v>5</v>
      </c>
      <c r="AK35" s="530">
        <v>2120.9999999999991</v>
      </c>
      <c r="AL35" s="530">
        <v>424.19999999999982</v>
      </c>
      <c r="AM35" s="526">
        <f t="shared" si="30"/>
        <v>3</v>
      </c>
      <c r="AN35" s="600"/>
      <c r="AO35" s="526">
        <v>5</v>
      </c>
      <c r="AP35" s="530">
        <v>2141.9999999999991</v>
      </c>
      <c r="AQ35" s="530">
        <v>428.39999999999981</v>
      </c>
      <c r="AR35" s="526">
        <f t="shared" si="32"/>
        <v>2</v>
      </c>
      <c r="AS35" s="600"/>
      <c r="AT35" s="526">
        <v>5</v>
      </c>
      <c r="AU35" s="530">
        <v>2111.4285714285706</v>
      </c>
      <c r="AV35" s="530">
        <v>422.28571428571411</v>
      </c>
      <c r="AW35" s="526">
        <f t="shared" si="34"/>
        <v>3</v>
      </c>
      <c r="AX35" s="600"/>
      <c r="AZ35" s="521" t="e">
        <f t="shared" si="36"/>
        <v>#N/A</v>
      </c>
      <c r="BA35" s="600"/>
    </row>
    <row r="36" spans="2:53">
      <c r="B36" s="610"/>
      <c r="C36" s="305">
        <v>10</v>
      </c>
      <c r="D36" s="455"/>
      <c r="E36" s="518"/>
      <c r="F36" s="518"/>
      <c r="G36" s="518"/>
      <c r="H36" s="668"/>
      <c r="I36" s="513" t="str">
        <f t="shared" si="19"/>
        <v>-</v>
      </c>
      <c r="J36" s="513" t="str">
        <f t="shared" si="20"/>
        <v>-</v>
      </c>
      <c r="K36" s="200" t="str">
        <f t="shared" si="21"/>
        <v>-</v>
      </c>
      <c r="L36" s="621"/>
      <c r="M36" s="201" t="e">
        <f>RANK(K36, K$27:$K$41)</f>
        <v>#VALUE!</v>
      </c>
      <c r="N36" s="604"/>
      <c r="O36" s="604"/>
      <c r="P36" s="526" t="s">
        <v>822</v>
      </c>
      <c r="Q36" s="530" t="s">
        <v>822</v>
      </c>
      <c r="R36" s="530" t="s">
        <v>822</v>
      </c>
      <c r="S36" s="526" t="e">
        <f t="shared" si="22"/>
        <v>#VALUE!</v>
      </c>
      <c r="T36" s="600"/>
      <c r="U36" s="526" t="s">
        <v>822</v>
      </c>
      <c r="V36" s="530" t="s">
        <v>822</v>
      </c>
      <c r="W36" s="530" t="s">
        <v>822</v>
      </c>
      <c r="X36" s="526" t="e">
        <f t="shared" si="24"/>
        <v>#VALUE!</v>
      </c>
      <c r="Y36" s="600"/>
      <c r="Z36" s="526" t="s">
        <v>822</v>
      </c>
      <c r="AA36" s="530" t="s">
        <v>822</v>
      </c>
      <c r="AB36" s="530" t="s">
        <v>822</v>
      </c>
      <c r="AC36" s="526" t="e">
        <f t="shared" si="26"/>
        <v>#VALUE!</v>
      </c>
      <c r="AD36" s="600"/>
      <c r="AE36" s="526" t="s">
        <v>822</v>
      </c>
      <c r="AF36" s="530" t="s">
        <v>822</v>
      </c>
      <c r="AG36" s="530" t="s">
        <v>822</v>
      </c>
      <c r="AH36" s="526" t="e">
        <f t="shared" si="28"/>
        <v>#VALUE!</v>
      </c>
      <c r="AI36" s="600"/>
      <c r="AJ36" s="526" t="s">
        <v>822</v>
      </c>
      <c r="AK36" s="530" t="s">
        <v>822</v>
      </c>
      <c r="AL36" s="530" t="s">
        <v>822</v>
      </c>
      <c r="AM36" s="526" t="e">
        <f t="shared" si="30"/>
        <v>#VALUE!</v>
      </c>
      <c r="AN36" s="600"/>
      <c r="AO36" s="526" t="s">
        <v>822</v>
      </c>
      <c r="AP36" s="530" t="s">
        <v>822</v>
      </c>
      <c r="AQ36" s="530" t="s">
        <v>822</v>
      </c>
      <c r="AR36" s="526" t="e">
        <f t="shared" si="32"/>
        <v>#VALUE!</v>
      </c>
      <c r="AS36" s="600"/>
      <c r="AT36" s="526" t="s">
        <v>822</v>
      </c>
      <c r="AU36" s="530" t="s">
        <v>822</v>
      </c>
      <c r="AV36" s="530" t="s">
        <v>822</v>
      </c>
      <c r="AW36" s="526" t="e">
        <f t="shared" si="34"/>
        <v>#VALUE!</v>
      </c>
      <c r="AX36" s="600"/>
      <c r="AZ36" s="521" t="e">
        <f t="shared" si="36"/>
        <v>#N/A</v>
      </c>
      <c r="BA36" s="600"/>
    </row>
    <row r="37" spans="2:53">
      <c r="B37" s="610"/>
      <c r="C37" s="305">
        <v>11</v>
      </c>
      <c r="D37" s="455"/>
      <c r="E37" s="518"/>
      <c r="F37" s="518"/>
      <c r="G37" s="518"/>
      <c r="H37" s="668"/>
      <c r="I37" s="513" t="str">
        <f t="shared" si="19"/>
        <v>-</v>
      </c>
      <c r="J37" s="513" t="str">
        <f t="shared" si="20"/>
        <v>-</v>
      </c>
      <c r="K37" s="200" t="str">
        <f t="shared" si="21"/>
        <v>-</v>
      </c>
      <c r="L37" s="621"/>
      <c r="M37" s="201" t="e">
        <f>RANK(K37, K$27:$K$41)</f>
        <v>#VALUE!</v>
      </c>
      <c r="N37" s="604"/>
      <c r="O37" s="604"/>
      <c r="P37" s="526" t="s">
        <v>822</v>
      </c>
      <c r="Q37" s="530" t="s">
        <v>822</v>
      </c>
      <c r="R37" s="530" t="s">
        <v>822</v>
      </c>
      <c r="S37" s="526" t="e">
        <f t="shared" si="22"/>
        <v>#VALUE!</v>
      </c>
      <c r="T37" s="600"/>
      <c r="U37" s="526" t="s">
        <v>822</v>
      </c>
      <c r="V37" s="530" t="s">
        <v>822</v>
      </c>
      <c r="W37" s="530" t="s">
        <v>822</v>
      </c>
      <c r="X37" s="526" t="e">
        <f t="shared" si="24"/>
        <v>#VALUE!</v>
      </c>
      <c r="Y37" s="600"/>
      <c r="Z37" s="526" t="s">
        <v>822</v>
      </c>
      <c r="AA37" s="530" t="s">
        <v>822</v>
      </c>
      <c r="AB37" s="530" t="s">
        <v>822</v>
      </c>
      <c r="AC37" s="526" t="e">
        <f t="shared" si="26"/>
        <v>#VALUE!</v>
      </c>
      <c r="AD37" s="600"/>
      <c r="AE37" s="526" t="s">
        <v>822</v>
      </c>
      <c r="AF37" s="530" t="s">
        <v>822</v>
      </c>
      <c r="AG37" s="530" t="s">
        <v>822</v>
      </c>
      <c r="AH37" s="526" t="e">
        <f t="shared" si="28"/>
        <v>#VALUE!</v>
      </c>
      <c r="AI37" s="600"/>
      <c r="AJ37" s="526" t="s">
        <v>822</v>
      </c>
      <c r="AK37" s="530" t="s">
        <v>822</v>
      </c>
      <c r="AL37" s="530" t="s">
        <v>822</v>
      </c>
      <c r="AM37" s="526" t="e">
        <f t="shared" si="30"/>
        <v>#VALUE!</v>
      </c>
      <c r="AN37" s="600"/>
      <c r="AO37" s="526" t="s">
        <v>822</v>
      </c>
      <c r="AP37" s="530" t="s">
        <v>822</v>
      </c>
      <c r="AQ37" s="530" t="s">
        <v>822</v>
      </c>
      <c r="AR37" s="526" t="e">
        <f t="shared" si="32"/>
        <v>#VALUE!</v>
      </c>
      <c r="AS37" s="600"/>
      <c r="AT37" s="526" t="s">
        <v>822</v>
      </c>
      <c r="AU37" s="530" t="s">
        <v>822</v>
      </c>
      <c r="AV37" s="530" t="s">
        <v>822</v>
      </c>
      <c r="AW37" s="526" t="e">
        <f t="shared" si="34"/>
        <v>#VALUE!</v>
      </c>
      <c r="AX37" s="600"/>
      <c r="AZ37" s="521" t="e">
        <f t="shared" si="36"/>
        <v>#N/A</v>
      </c>
      <c r="BA37" s="600"/>
    </row>
    <row r="38" spans="2:53">
      <c r="B38" s="610"/>
      <c r="C38" s="305">
        <v>12</v>
      </c>
      <c r="D38" s="455"/>
      <c r="E38" s="518"/>
      <c r="F38" s="518"/>
      <c r="G38" s="518"/>
      <c r="H38" s="668"/>
      <c r="I38" s="513" t="str">
        <f t="shared" si="19"/>
        <v>-</v>
      </c>
      <c r="J38" s="513" t="str">
        <f t="shared" si="20"/>
        <v>-</v>
      </c>
      <c r="K38" s="200" t="str">
        <f t="shared" si="21"/>
        <v>-</v>
      </c>
      <c r="L38" s="621"/>
      <c r="M38" s="201" t="e">
        <f>RANK(K38, K$27:$K$41)</f>
        <v>#VALUE!</v>
      </c>
      <c r="N38" s="604"/>
      <c r="O38" s="604"/>
      <c r="P38" s="530"/>
      <c r="Q38" s="530"/>
      <c r="R38" s="530"/>
      <c r="S38" s="526" t="e">
        <f t="shared" si="22"/>
        <v>#N/A</v>
      </c>
      <c r="T38" s="600"/>
      <c r="U38" s="530"/>
      <c r="V38" s="530"/>
      <c r="W38" s="530"/>
      <c r="X38" s="526" t="e">
        <f t="shared" si="24"/>
        <v>#N/A</v>
      </c>
      <c r="Y38" s="600"/>
      <c r="Z38" s="530"/>
      <c r="AA38" s="530"/>
      <c r="AB38" s="530"/>
      <c r="AC38" s="526" t="e">
        <f t="shared" si="26"/>
        <v>#N/A</v>
      </c>
      <c r="AD38" s="600"/>
      <c r="AE38" s="530"/>
      <c r="AF38" s="530"/>
      <c r="AG38" s="530"/>
      <c r="AH38" s="526" t="e">
        <f t="shared" si="28"/>
        <v>#N/A</v>
      </c>
      <c r="AI38" s="600"/>
      <c r="AJ38" s="530"/>
      <c r="AK38" s="530"/>
      <c r="AL38" s="530"/>
      <c r="AM38" s="526" t="e">
        <f t="shared" si="30"/>
        <v>#N/A</v>
      </c>
      <c r="AN38" s="600"/>
      <c r="AO38" s="530"/>
      <c r="AP38" s="530"/>
      <c r="AQ38" s="530"/>
      <c r="AR38" s="526" t="e">
        <f t="shared" si="32"/>
        <v>#N/A</v>
      </c>
      <c r="AS38" s="600"/>
      <c r="AT38" s="530"/>
      <c r="AU38" s="530"/>
      <c r="AV38" s="530"/>
      <c r="AW38" s="526" t="e">
        <f t="shared" si="34"/>
        <v>#N/A</v>
      </c>
      <c r="AX38" s="600"/>
      <c r="AZ38" s="521" t="e">
        <f t="shared" si="36"/>
        <v>#N/A</v>
      </c>
      <c r="BA38" s="600"/>
    </row>
    <row r="39" spans="2:53">
      <c r="B39" s="610"/>
      <c r="C39" s="305">
        <v>13</v>
      </c>
      <c r="D39" s="455"/>
      <c r="E39" s="518"/>
      <c r="F39" s="518"/>
      <c r="G39" s="518"/>
      <c r="H39" s="668"/>
      <c r="I39" s="513" t="str">
        <f t="shared" si="19"/>
        <v>-</v>
      </c>
      <c r="J39" s="513" t="str">
        <f t="shared" si="20"/>
        <v>-</v>
      </c>
      <c r="K39" s="200" t="str">
        <f t="shared" si="21"/>
        <v>-</v>
      </c>
      <c r="L39" s="621"/>
      <c r="M39" s="201" t="e">
        <f>RANK(K39, K$27:$K$41)</f>
        <v>#VALUE!</v>
      </c>
      <c r="N39" s="604"/>
      <c r="O39" s="604"/>
      <c r="P39" s="530"/>
      <c r="Q39" s="530"/>
      <c r="R39" s="530"/>
      <c r="S39" s="526" t="e">
        <f t="shared" si="22"/>
        <v>#N/A</v>
      </c>
      <c r="T39" s="600"/>
      <c r="U39" s="530"/>
      <c r="V39" s="530"/>
      <c r="W39" s="530"/>
      <c r="X39" s="526" t="e">
        <f t="shared" si="24"/>
        <v>#N/A</v>
      </c>
      <c r="Y39" s="600"/>
      <c r="Z39" s="530"/>
      <c r="AA39" s="530"/>
      <c r="AB39" s="530"/>
      <c r="AC39" s="526" t="e">
        <f t="shared" si="26"/>
        <v>#N/A</v>
      </c>
      <c r="AD39" s="600"/>
      <c r="AE39" s="530"/>
      <c r="AF39" s="530"/>
      <c r="AG39" s="530"/>
      <c r="AH39" s="526" t="e">
        <f t="shared" si="28"/>
        <v>#N/A</v>
      </c>
      <c r="AI39" s="600"/>
      <c r="AJ39" s="530"/>
      <c r="AK39" s="530"/>
      <c r="AL39" s="530"/>
      <c r="AM39" s="526" t="e">
        <f t="shared" si="30"/>
        <v>#N/A</v>
      </c>
      <c r="AN39" s="600"/>
      <c r="AO39" s="530"/>
      <c r="AP39" s="530"/>
      <c r="AQ39" s="530"/>
      <c r="AR39" s="526" t="e">
        <f t="shared" si="32"/>
        <v>#N/A</v>
      </c>
      <c r="AS39" s="600"/>
      <c r="AT39" s="530"/>
      <c r="AU39" s="530"/>
      <c r="AV39" s="530"/>
      <c r="AW39" s="526" t="e">
        <f t="shared" si="34"/>
        <v>#N/A</v>
      </c>
      <c r="AX39" s="600"/>
      <c r="AZ39" s="521" t="e">
        <f t="shared" si="36"/>
        <v>#N/A</v>
      </c>
      <c r="BA39" s="600"/>
    </row>
    <row r="40" spans="2:53">
      <c r="B40" s="610"/>
      <c r="C40" s="305">
        <v>14</v>
      </c>
      <c r="D40" s="455"/>
      <c r="E40" s="518"/>
      <c r="F40" s="518"/>
      <c r="G40" s="518"/>
      <c r="H40" s="668"/>
      <c r="I40" s="513" t="str">
        <f t="shared" si="19"/>
        <v>-</v>
      </c>
      <c r="J40" s="513" t="str">
        <f t="shared" si="20"/>
        <v>-</v>
      </c>
      <c r="K40" s="200" t="str">
        <f t="shared" si="21"/>
        <v>-</v>
      </c>
      <c r="L40" s="621"/>
      <c r="M40" s="201" t="e">
        <f>RANK(K40, K$27:$K$41)</f>
        <v>#VALUE!</v>
      </c>
      <c r="N40" s="604"/>
      <c r="O40" s="604"/>
      <c r="P40" s="530"/>
      <c r="Q40" s="530"/>
      <c r="R40" s="530"/>
      <c r="S40" s="526" t="e">
        <f t="shared" si="22"/>
        <v>#N/A</v>
      </c>
      <c r="T40" s="600"/>
      <c r="U40" s="530"/>
      <c r="V40" s="530"/>
      <c r="W40" s="530"/>
      <c r="X40" s="526" t="e">
        <f t="shared" si="24"/>
        <v>#N/A</v>
      </c>
      <c r="Y40" s="600"/>
      <c r="Z40" s="530"/>
      <c r="AA40" s="530"/>
      <c r="AB40" s="530"/>
      <c r="AC40" s="526" t="e">
        <f t="shared" si="26"/>
        <v>#N/A</v>
      </c>
      <c r="AD40" s="600"/>
      <c r="AE40" s="530"/>
      <c r="AF40" s="530"/>
      <c r="AG40" s="530"/>
      <c r="AH40" s="526" t="e">
        <f t="shared" si="28"/>
        <v>#N/A</v>
      </c>
      <c r="AI40" s="600"/>
      <c r="AJ40" s="530"/>
      <c r="AK40" s="530"/>
      <c r="AL40" s="530"/>
      <c r="AM40" s="526" t="e">
        <f t="shared" si="30"/>
        <v>#N/A</v>
      </c>
      <c r="AN40" s="600"/>
      <c r="AO40" s="530"/>
      <c r="AP40" s="530"/>
      <c r="AQ40" s="530"/>
      <c r="AR40" s="526" t="e">
        <f t="shared" si="32"/>
        <v>#N/A</v>
      </c>
      <c r="AS40" s="600"/>
      <c r="AT40" s="530"/>
      <c r="AU40" s="530"/>
      <c r="AV40" s="530"/>
      <c r="AW40" s="526" t="e">
        <f t="shared" si="34"/>
        <v>#N/A</v>
      </c>
      <c r="AX40" s="600"/>
      <c r="AZ40" s="521" t="e">
        <f t="shared" si="36"/>
        <v>#N/A</v>
      </c>
      <c r="BA40" s="600"/>
    </row>
    <row r="41" spans="2:53">
      <c r="B41" s="610"/>
      <c r="C41" s="305">
        <v>15</v>
      </c>
      <c r="D41" s="455"/>
      <c r="E41" s="518"/>
      <c r="F41" s="518"/>
      <c r="G41" s="518"/>
      <c r="H41" s="669"/>
      <c r="I41" s="518"/>
      <c r="J41" s="518"/>
      <c r="K41" s="514"/>
      <c r="L41" s="622"/>
      <c r="M41" s="199" t="e">
        <f>RANK(K41, K$27:$K$41)</f>
        <v>#N/A</v>
      </c>
      <c r="N41" s="604"/>
      <c r="O41" s="604"/>
      <c r="P41" s="530"/>
      <c r="Q41" s="530"/>
      <c r="R41" s="530"/>
      <c r="S41" s="526" t="e">
        <f t="shared" si="22"/>
        <v>#N/A</v>
      </c>
      <c r="T41" s="601"/>
      <c r="U41" s="530"/>
      <c r="V41" s="530"/>
      <c r="W41" s="530"/>
      <c r="X41" s="526" t="e">
        <f t="shared" si="24"/>
        <v>#N/A</v>
      </c>
      <c r="Y41" s="601"/>
      <c r="Z41" s="530"/>
      <c r="AA41" s="530"/>
      <c r="AB41" s="530"/>
      <c r="AC41" s="526" t="e">
        <f t="shared" si="26"/>
        <v>#N/A</v>
      </c>
      <c r="AD41" s="601"/>
      <c r="AE41" s="530"/>
      <c r="AF41" s="530"/>
      <c r="AG41" s="530"/>
      <c r="AH41" s="526" t="e">
        <f t="shared" si="28"/>
        <v>#N/A</v>
      </c>
      <c r="AI41" s="601"/>
      <c r="AJ41" s="530"/>
      <c r="AK41" s="530"/>
      <c r="AL41" s="530"/>
      <c r="AM41" s="526" t="e">
        <f t="shared" si="30"/>
        <v>#N/A</v>
      </c>
      <c r="AN41" s="601"/>
      <c r="AO41" s="530"/>
      <c r="AP41" s="530"/>
      <c r="AQ41" s="530"/>
      <c r="AR41" s="526" t="e">
        <f t="shared" si="32"/>
        <v>#N/A</v>
      </c>
      <c r="AS41" s="601"/>
      <c r="AT41" s="530"/>
      <c r="AU41" s="530"/>
      <c r="AV41" s="530"/>
      <c r="AW41" s="526" t="e">
        <f t="shared" si="34"/>
        <v>#N/A</v>
      </c>
      <c r="AX41" s="601"/>
      <c r="AZ41" s="521" t="e">
        <f t="shared" si="36"/>
        <v>#N/A</v>
      </c>
      <c r="BA41" s="601"/>
    </row>
    <row r="42" spans="2:53" ht="15.75">
      <c r="B42" s="648" t="s">
        <v>163</v>
      </c>
      <c r="C42" s="649"/>
      <c r="D42" s="649"/>
      <c r="E42" s="649"/>
      <c r="F42" s="649"/>
      <c r="G42" s="649"/>
      <c r="H42" s="649"/>
      <c r="I42" s="208"/>
      <c r="J42" s="203"/>
      <c r="K42" s="208"/>
      <c r="L42" s="208"/>
      <c r="M42" s="204"/>
      <c r="N42" s="606" t="s">
        <v>156</v>
      </c>
      <c r="O42" s="606" t="s">
        <v>105</v>
      </c>
      <c r="P42" s="632">
        <f>P22+7</f>
        <v>46126</v>
      </c>
      <c r="Q42" s="610"/>
      <c r="R42" s="610"/>
      <c r="S42" s="610"/>
      <c r="T42" s="610"/>
      <c r="U42" s="629">
        <f>P42+1</f>
        <v>46127</v>
      </c>
      <c r="V42" s="630"/>
      <c r="W42" s="630"/>
      <c r="X42" s="630"/>
      <c r="Y42" s="631"/>
      <c r="Z42" s="629">
        <f>U42+1</f>
        <v>46128</v>
      </c>
      <c r="AA42" s="630"/>
      <c r="AB42" s="630"/>
      <c r="AC42" s="630"/>
      <c r="AD42" s="631"/>
      <c r="AE42" s="629">
        <f>Z42+1</f>
        <v>46129</v>
      </c>
      <c r="AF42" s="630"/>
      <c r="AG42" s="630"/>
      <c r="AH42" s="630"/>
      <c r="AI42" s="631"/>
      <c r="AJ42" s="629">
        <f>AE42+1</f>
        <v>46130</v>
      </c>
      <c r="AK42" s="630"/>
      <c r="AL42" s="630"/>
      <c r="AM42" s="630"/>
      <c r="AN42" s="631"/>
      <c r="AO42" s="629">
        <f>AJ42+1</f>
        <v>46131</v>
      </c>
      <c r="AP42" s="630"/>
      <c r="AQ42" s="630"/>
      <c r="AR42" s="630"/>
      <c r="AS42" s="631"/>
      <c r="AT42" s="629">
        <f>AO42+1</f>
        <v>46132</v>
      </c>
      <c r="AU42" s="630"/>
      <c r="AV42" s="630"/>
      <c r="AW42" s="630"/>
      <c r="AX42" s="631"/>
    </row>
    <row r="43" spans="2:53" ht="15.75">
      <c r="B43" s="636"/>
      <c r="C43" s="636"/>
      <c r="D43" s="636"/>
      <c r="E43" s="636"/>
      <c r="F43" s="636"/>
      <c r="G43" s="636"/>
      <c r="H43" s="636"/>
      <c r="I43" s="205"/>
      <c r="J43" s="205"/>
      <c r="K43" s="205"/>
      <c r="L43" s="205"/>
      <c r="M43" s="206"/>
      <c r="N43" s="608"/>
      <c r="O43" s="608"/>
      <c r="P43" s="632" t="s">
        <v>336</v>
      </c>
      <c r="Q43" s="610"/>
      <c r="R43" s="610"/>
      <c r="S43" s="610"/>
      <c r="T43" s="610"/>
      <c r="U43" s="632" t="s">
        <v>337</v>
      </c>
      <c r="V43" s="610"/>
      <c r="W43" s="610"/>
      <c r="X43" s="610"/>
      <c r="Y43" s="610"/>
      <c r="Z43" s="632" t="s">
        <v>338</v>
      </c>
      <c r="AA43" s="610"/>
      <c r="AB43" s="610"/>
      <c r="AC43" s="610"/>
      <c r="AD43" s="610"/>
      <c r="AE43" s="632" t="s">
        <v>339</v>
      </c>
      <c r="AF43" s="610"/>
      <c r="AG43" s="610"/>
      <c r="AH43" s="610"/>
      <c r="AI43" s="610"/>
      <c r="AJ43" s="632" t="s">
        <v>340</v>
      </c>
      <c r="AK43" s="610"/>
      <c r="AL43" s="610"/>
      <c r="AM43" s="610"/>
      <c r="AN43" s="610"/>
      <c r="AO43" s="632" t="s">
        <v>341</v>
      </c>
      <c r="AP43" s="610"/>
      <c r="AQ43" s="610"/>
      <c r="AR43" s="610"/>
      <c r="AS43" s="610"/>
      <c r="AT43" s="632" t="s">
        <v>342</v>
      </c>
      <c r="AU43" s="610"/>
      <c r="AV43" s="610"/>
      <c r="AW43" s="610"/>
      <c r="AX43" s="610"/>
    </row>
    <row r="44" spans="2:53">
      <c r="B44" s="604" t="s">
        <v>398</v>
      </c>
      <c r="C44" s="604" t="s">
        <v>408</v>
      </c>
      <c r="D44" s="604"/>
      <c r="E44" s="604" t="s">
        <v>399</v>
      </c>
      <c r="F44" s="604"/>
      <c r="G44" s="604"/>
      <c r="H44" s="637" t="s">
        <v>395</v>
      </c>
      <c r="I44" s="656" t="s">
        <v>400</v>
      </c>
      <c r="J44" s="656"/>
      <c r="K44" s="656"/>
      <c r="L44" s="657" t="s">
        <v>395</v>
      </c>
      <c r="M44" s="642" t="s">
        <v>396</v>
      </c>
      <c r="N44" s="604"/>
      <c r="O44" s="604" t="s">
        <v>401</v>
      </c>
      <c r="P44" s="623" t="s">
        <v>755</v>
      </c>
      <c r="Q44" s="624"/>
      <c r="R44" s="624"/>
      <c r="S44" s="625"/>
      <c r="T44" s="604" t="s">
        <v>756</v>
      </c>
      <c r="U44" s="623" t="s">
        <v>755</v>
      </c>
      <c r="V44" s="624"/>
      <c r="W44" s="624"/>
      <c r="X44" s="625"/>
      <c r="Y44" s="604" t="s">
        <v>756</v>
      </c>
      <c r="Z44" s="623" t="s">
        <v>755</v>
      </c>
      <c r="AA44" s="624"/>
      <c r="AB44" s="624"/>
      <c r="AC44" s="625"/>
      <c r="AD44" s="604" t="s">
        <v>756</v>
      </c>
      <c r="AE44" s="623" t="s">
        <v>755</v>
      </c>
      <c r="AF44" s="624"/>
      <c r="AG44" s="624"/>
      <c r="AH44" s="625"/>
      <c r="AI44" s="604" t="s">
        <v>756</v>
      </c>
      <c r="AJ44" s="623" t="s">
        <v>755</v>
      </c>
      <c r="AK44" s="624"/>
      <c r="AL44" s="624"/>
      <c r="AM44" s="625"/>
      <c r="AN44" s="604" t="s">
        <v>756</v>
      </c>
      <c r="AO44" s="623" t="s">
        <v>755</v>
      </c>
      <c r="AP44" s="624"/>
      <c r="AQ44" s="624"/>
      <c r="AR44" s="625"/>
      <c r="AS44" s="604" t="s">
        <v>756</v>
      </c>
      <c r="AT44" s="623" t="s">
        <v>755</v>
      </c>
      <c r="AU44" s="624"/>
      <c r="AV44" s="624"/>
      <c r="AW44" s="625"/>
      <c r="AX44" s="604" t="s">
        <v>756</v>
      </c>
      <c r="BA44" s="604" t="s">
        <v>395</v>
      </c>
    </row>
    <row r="45" spans="2:53">
      <c r="B45" s="604"/>
      <c r="C45" s="604"/>
      <c r="D45" s="604"/>
      <c r="E45" s="604" t="s">
        <v>402</v>
      </c>
      <c r="F45" s="604"/>
      <c r="G45" s="604"/>
      <c r="H45" s="638"/>
      <c r="I45" s="656" t="s">
        <v>402</v>
      </c>
      <c r="J45" s="656"/>
      <c r="K45" s="656"/>
      <c r="L45" s="658"/>
      <c r="M45" s="643"/>
      <c r="N45" s="604"/>
      <c r="O45" s="604"/>
      <c r="P45" s="623" t="s">
        <v>757</v>
      </c>
      <c r="Q45" s="624"/>
      <c r="R45" s="624"/>
      <c r="S45" s="625"/>
      <c r="T45" s="604"/>
      <c r="U45" s="623" t="s">
        <v>757</v>
      </c>
      <c r="V45" s="624"/>
      <c r="W45" s="624"/>
      <c r="X45" s="625"/>
      <c r="Y45" s="604"/>
      <c r="Z45" s="623" t="s">
        <v>757</v>
      </c>
      <c r="AA45" s="624"/>
      <c r="AB45" s="624"/>
      <c r="AC45" s="625"/>
      <c r="AD45" s="604"/>
      <c r="AE45" s="623" t="s">
        <v>757</v>
      </c>
      <c r="AF45" s="624"/>
      <c r="AG45" s="624"/>
      <c r="AH45" s="625"/>
      <c r="AI45" s="604"/>
      <c r="AJ45" s="623" t="s">
        <v>757</v>
      </c>
      <c r="AK45" s="624"/>
      <c r="AL45" s="624"/>
      <c r="AM45" s="625"/>
      <c r="AN45" s="604"/>
      <c r="AO45" s="623" t="s">
        <v>757</v>
      </c>
      <c r="AP45" s="624"/>
      <c r="AQ45" s="624"/>
      <c r="AR45" s="625"/>
      <c r="AS45" s="604"/>
      <c r="AT45" s="623" t="s">
        <v>757</v>
      </c>
      <c r="AU45" s="624"/>
      <c r="AV45" s="624"/>
      <c r="AW45" s="625"/>
      <c r="AX45" s="604"/>
      <c r="BA45" s="604"/>
    </row>
    <row r="46" spans="2:53">
      <c r="B46" s="604"/>
      <c r="C46" s="604"/>
      <c r="D46" s="604"/>
      <c r="E46" s="304" t="s">
        <v>404</v>
      </c>
      <c r="F46" s="304" t="s">
        <v>405</v>
      </c>
      <c r="G46" s="304" t="s">
        <v>406</v>
      </c>
      <c r="H46" s="639"/>
      <c r="I46" s="303" t="s">
        <v>404</v>
      </c>
      <c r="J46" s="303" t="s">
        <v>405</v>
      </c>
      <c r="K46" s="303" t="s">
        <v>406</v>
      </c>
      <c r="L46" s="659"/>
      <c r="M46" s="644"/>
      <c r="N46" s="604"/>
      <c r="O46" s="604"/>
      <c r="P46" s="484" t="s">
        <v>758</v>
      </c>
      <c r="Q46" s="484" t="s">
        <v>759</v>
      </c>
      <c r="R46" s="484" t="s">
        <v>760</v>
      </c>
      <c r="S46" s="484" t="s">
        <v>761</v>
      </c>
      <c r="T46" s="604"/>
      <c r="U46" s="484" t="s">
        <v>758</v>
      </c>
      <c r="V46" s="484" t="s">
        <v>759</v>
      </c>
      <c r="W46" s="484" t="s">
        <v>760</v>
      </c>
      <c r="X46" s="484" t="s">
        <v>761</v>
      </c>
      <c r="Y46" s="604"/>
      <c r="Z46" s="484" t="s">
        <v>758</v>
      </c>
      <c r="AA46" s="484" t="s">
        <v>759</v>
      </c>
      <c r="AB46" s="484" t="s">
        <v>760</v>
      </c>
      <c r="AC46" s="484" t="s">
        <v>761</v>
      </c>
      <c r="AD46" s="604"/>
      <c r="AE46" s="484" t="s">
        <v>758</v>
      </c>
      <c r="AF46" s="484" t="s">
        <v>759</v>
      </c>
      <c r="AG46" s="484" t="s">
        <v>760</v>
      </c>
      <c r="AH46" s="484" t="s">
        <v>761</v>
      </c>
      <c r="AI46" s="604"/>
      <c r="AJ46" s="484" t="s">
        <v>758</v>
      </c>
      <c r="AK46" s="484" t="s">
        <v>759</v>
      </c>
      <c r="AL46" s="484" t="s">
        <v>760</v>
      </c>
      <c r="AM46" s="484" t="s">
        <v>761</v>
      </c>
      <c r="AN46" s="604"/>
      <c r="AO46" s="484" t="s">
        <v>758</v>
      </c>
      <c r="AP46" s="484" t="s">
        <v>759</v>
      </c>
      <c r="AQ46" s="484" t="s">
        <v>760</v>
      </c>
      <c r="AR46" s="484" t="s">
        <v>761</v>
      </c>
      <c r="AS46" s="604"/>
      <c r="AT46" s="484" t="s">
        <v>758</v>
      </c>
      <c r="AU46" s="484" t="s">
        <v>759</v>
      </c>
      <c r="AV46" s="484" t="s">
        <v>760</v>
      </c>
      <c r="AW46" s="484" t="s">
        <v>761</v>
      </c>
      <c r="AX46" s="604"/>
      <c r="AZ46" s="520" t="s">
        <v>761</v>
      </c>
      <c r="BA46" s="604"/>
    </row>
    <row r="47" spans="2:53">
      <c r="B47" s="666" t="s">
        <v>407</v>
      </c>
      <c r="C47" s="305">
        <v>1</v>
      </c>
      <c r="D47" s="455" t="s">
        <v>385</v>
      </c>
      <c r="E47" s="518">
        <v>4</v>
      </c>
      <c r="F47" s="518">
        <v>2000</v>
      </c>
      <c r="G47" s="518">
        <v>500</v>
      </c>
      <c r="H47" s="667">
        <f>AVERAGE(G47:G61)</f>
        <v>284.12962962962968</v>
      </c>
      <c r="I47" s="513">
        <f t="shared" ref="I47:I60" si="38">IFERROR(AVERAGE(P47,U47,Z47,AE47,AJ47,AO47,AT47),"-")</f>
        <v>5</v>
      </c>
      <c r="J47" s="513">
        <f t="shared" ref="J47:J60" si="39">IFERROR(AVERAGE(Q47,V47,AA47,AF47,AK47,AP47,AU47),"-")</f>
        <v>2182.2905870342283</v>
      </c>
      <c r="K47" s="200">
        <f t="shared" ref="K47:K60" si="40">IFERROR(AVERAGE(R47,W47,AB47,AG47,AL47,AQ47,AV47),"-")</f>
        <v>436.4581174068457</v>
      </c>
      <c r="L47" s="620">
        <f>IFERROR(AVERAGE(K47:K61),"-")</f>
        <v>248.83772616209191</v>
      </c>
      <c r="M47" s="201">
        <f>RANK(K47, K$47:$K$61)</f>
        <v>1</v>
      </c>
      <c r="N47" s="604"/>
      <c r="O47" s="604"/>
      <c r="P47" s="531">
        <v>5</v>
      </c>
      <c r="Q47" s="533">
        <v>2144.1666666666661</v>
      </c>
      <c r="R47" s="533">
        <v>428.8333333333332</v>
      </c>
      <c r="S47" s="531">
        <f t="shared" ref="S47:S61" si="41">RANK(R47, R$47:R$61)</f>
        <v>2</v>
      </c>
      <c r="T47" s="599">
        <f t="shared" ref="T47" si="42">AVERAGE(R47:R61)</f>
        <v>251.74653908734041</v>
      </c>
      <c r="U47" s="531">
        <v>5</v>
      </c>
      <c r="V47" s="533">
        <v>2156.0655737704924</v>
      </c>
      <c r="W47" s="533">
        <v>431.21311475409846</v>
      </c>
      <c r="X47" s="531">
        <f t="shared" ref="X47:X61" si="43">RANK(W47, W$47:W$61)</f>
        <v>1</v>
      </c>
      <c r="Y47" s="599">
        <f t="shared" ref="Y47" si="44">AVERAGE(W47:W61)</f>
        <v>251.58092033999279</v>
      </c>
      <c r="Z47" s="531">
        <v>5</v>
      </c>
      <c r="AA47" s="533">
        <v>2212.6315789473683</v>
      </c>
      <c r="AB47" s="533">
        <v>442.52631578947364</v>
      </c>
      <c r="AC47" s="531">
        <f t="shared" ref="AC47:AC61" si="45">RANK(AB47, AB$47:AB$61)</f>
        <v>1</v>
      </c>
      <c r="AD47" s="599">
        <f t="shared" ref="AD47" si="46">AVERAGE(AB47:AB61)</f>
        <v>252.44795525274381</v>
      </c>
      <c r="AE47" s="531">
        <v>5</v>
      </c>
      <c r="AF47" s="533">
        <v>2198.7500000000005</v>
      </c>
      <c r="AG47" s="533">
        <v>439.75000000000011</v>
      </c>
      <c r="AH47" s="531">
        <f t="shared" ref="AH47:AH61" si="47">RANK(AG47, AG$47:AG$61)</f>
        <v>1</v>
      </c>
      <c r="AI47" s="599">
        <f t="shared" ref="AI47" si="48">AVERAGE(AG47:AG61)</f>
        <v>245.59065982804657</v>
      </c>
      <c r="AJ47" s="531">
        <v>5</v>
      </c>
      <c r="AK47" s="533">
        <v>2200</v>
      </c>
      <c r="AL47" s="533">
        <v>440</v>
      </c>
      <c r="AM47" s="531">
        <f t="shared" ref="AM47:AM61" si="49">RANK(AL47, AL$47:AL$61)</f>
        <v>2</v>
      </c>
      <c r="AN47" s="599">
        <f t="shared" ref="AN47" si="50">AVERAGE(AL47:AL61)</f>
        <v>247.04778720873765</v>
      </c>
      <c r="AO47" s="531">
        <v>5</v>
      </c>
      <c r="AP47" s="533">
        <v>2178.3333333333326</v>
      </c>
      <c r="AQ47" s="533">
        <v>435.66666666666652</v>
      </c>
      <c r="AR47" s="531">
        <f t="shared" ref="AR47:AR61" si="51">RANK(AQ47, AQ$47:AQ$61)</f>
        <v>1</v>
      </c>
      <c r="AS47" s="599">
        <f t="shared" ref="AS47" si="52">AVERAGE(AQ47:AQ61)</f>
        <v>242.74931119449326</v>
      </c>
      <c r="AT47" s="531">
        <v>5</v>
      </c>
      <c r="AU47" s="533">
        <v>2186.086956521739</v>
      </c>
      <c r="AV47" s="533">
        <v>437.21739130434781</v>
      </c>
      <c r="AW47" s="531">
        <f t="shared" ref="AW47:AW61" si="53">RANK(AV47, AV$47:AV$61)</f>
        <v>1</v>
      </c>
      <c r="AX47" s="599">
        <f t="shared" ref="AX47" si="54">AVERAGE(AV47:AV61)</f>
        <v>250.7009102232887</v>
      </c>
      <c r="AZ47" s="521" t="e">
        <f t="shared" ref="AZ47:AZ61" si="55">RANK(AY47, AY$47:AY$61)</f>
        <v>#N/A</v>
      </c>
      <c r="BA47" s="599" t="e">
        <f t="shared" ref="BA47" si="56">AVERAGE(AY47:AY61)</f>
        <v>#DIV/0!</v>
      </c>
    </row>
    <row r="48" spans="2:53">
      <c r="B48" s="610"/>
      <c r="C48" s="305">
        <v>2</v>
      </c>
      <c r="D48" s="455" t="s">
        <v>464</v>
      </c>
      <c r="E48" s="518">
        <v>4</v>
      </c>
      <c r="F48" s="518">
        <v>2000</v>
      </c>
      <c r="G48" s="518">
        <v>500</v>
      </c>
      <c r="H48" s="668"/>
      <c r="I48" s="513">
        <f t="shared" si="38"/>
        <v>5</v>
      </c>
      <c r="J48" s="513">
        <f t="shared" si="39"/>
        <v>2164.6417123938327</v>
      </c>
      <c r="K48" s="200">
        <f t="shared" si="40"/>
        <v>432.92834247876652</v>
      </c>
      <c r="L48" s="621"/>
      <c r="M48" s="201">
        <f>RANK(K48, K$47:$K$61)</f>
        <v>2</v>
      </c>
      <c r="N48" s="604"/>
      <c r="O48" s="604"/>
      <c r="P48" s="531">
        <v>5</v>
      </c>
      <c r="Q48" s="533">
        <v>2177.8124999999995</v>
      </c>
      <c r="R48" s="533">
        <v>435.56249999999989</v>
      </c>
      <c r="S48" s="531">
        <f t="shared" si="41"/>
        <v>1</v>
      </c>
      <c r="T48" s="600"/>
      <c r="U48" s="531">
        <v>5</v>
      </c>
      <c r="V48" s="533">
        <v>2148.1967213114749</v>
      </c>
      <c r="W48" s="533">
        <v>429.63934426229497</v>
      </c>
      <c r="X48" s="531">
        <f t="shared" si="43"/>
        <v>2</v>
      </c>
      <c r="Y48" s="600"/>
      <c r="Z48" s="531">
        <v>5</v>
      </c>
      <c r="AA48" s="533">
        <v>2164.1379310344828</v>
      </c>
      <c r="AB48" s="533">
        <v>432.82758620689657</v>
      </c>
      <c r="AC48" s="531">
        <f t="shared" si="45"/>
        <v>2</v>
      </c>
      <c r="AD48" s="600"/>
      <c r="AE48" s="531">
        <v>5</v>
      </c>
      <c r="AF48" s="533">
        <v>2172.5000000000005</v>
      </c>
      <c r="AG48" s="533">
        <v>434.50000000000011</v>
      </c>
      <c r="AH48" s="531">
        <f t="shared" si="47"/>
        <v>2</v>
      </c>
      <c r="AI48" s="600"/>
      <c r="AJ48" s="531">
        <v>5</v>
      </c>
      <c r="AK48" s="533">
        <v>2201.8867924528295</v>
      </c>
      <c r="AL48" s="533">
        <v>440.37735849056588</v>
      </c>
      <c r="AM48" s="531">
        <f t="shared" si="49"/>
        <v>1</v>
      </c>
      <c r="AN48" s="600"/>
      <c r="AO48" s="531">
        <v>5</v>
      </c>
      <c r="AP48" s="533">
        <v>2142.7272727272725</v>
      </c>
      <c r="AQ48" s="533">
        <v>428.5454545454545</v>
      </c>
      <c r="AR48" s="531">
        <f t="shared" si="51"/>
        <v>2</v>
      </c>
      <c r="AS48" s="600"/>
      <c r="AT48" s="531">
        <v>5</v>
      </c>
      <c r="AU48" s="533">
        <v>2145.23076923077</v>
      </c>
      <c r="AV48" s="533">
        <v>429.04615384615397</v>
      </c>
      <c r="AW48" s="531">
        <f t="shared" si="53"/>
        <v>2</v>
      </c>
      <c r="AX48" s="600"/>
      <c r="AZ48" s="521" t="e">
        <f t="shared" si="55"/>
        <v>#N/A</v>
      </c>
      <c r="BA48" s="600"/>
    </row>
    <row r="49" spans="2:53">
      <c r="B49" s="610"/>
      <c r="C49" s="305">
        <v>3</v>
      </c>
      <c r="D49" s="455" t="s">
        <v>386</v>
      </c>
      <c r="E49" s="518">
        <v>12</v>
      </c>
      <c r="F49" s="518">
        <v>2118</v>
      </c>
      <c r="G49" s="518">
        <v>176.5</v>
      </c>
      <c r="H49" s="668"/>
      <c r="I49" s="513">
        <f t="shared" si="38"/>
        <v>12</v>
      </c>
      <c r="J49" s="513">
        <f t="shared" si="39"/>
        <v>1975.0903889122333</v>
      </c>
      <c r="K49" s="200">
        <f t="shared" si="40"/>
        <v>164.59086574268613</v>
      </c>
      <c r="L49" s="621"/>
      <c r="M49" s="201">
        <f>RANK(K49, K$47:$K$61)</f>
        <v>8</v>
      </c>
      <c r="N49" s="604"/>
      <c r="O49" s="604"/>
      <c r="P49" s="531">
        <v>12</v>
      </c>
      <c r="Q49" s="533">
        <v>1974.9295774647892</v>
      </c>
      <c r="R49" s="533">
        <v>164.57746478873244</v>
      </c>
      <c r="S49" s="531">
        <f t="shared" si="41"/>
        <v>8</v>
      </c>
      <c r="T49" s="600"/>
      <c r="U49" s="531">
        <v>12</v>
      </c>
      <c r="V49" s="533">
        <v>2003.4374999999995</v>
      </c>
      <c r="W49" s="533">
        <v>166.95312499999997</v>
      </c>
      <c r="X49" s="531">
        <f t="shared" si="43"/>
        <v>8</v>
      </c>
      <c r="Y49" s="600"/>
      <c r="Z49" s="531">
        <v>12</v>
      </c>
      <c r="AA49" s="533">
        <v>1998.6885245901642</v>
      </c>
      <c r="AB49" s="533">
        <v>166.55737704918036</v>
      </c>
      <c r="AC49" s="531">
        <f t="shared" si="45"/>
        <v>6</v>
      </c>
      <c r="AD49" s="600"/>
      <c r="AE49" s="531">
        <v>12</v>
      </c>
      <c r="AF49" s="533">
        <v>1951.0000000000005</v>
      </c>
      <c r="AG49" s="533">
        <v>162.58333333333337</v>
      </c>
      <c r="AH49" s="531">
        <f t="shared" si="47"/>
        <v>8</v>
      </c>
      <c r="AI49" s="600"/>
      <c r="AJ49" s="531">
        <v>12</v>
      </c>
      <c r="AK49" s="533">
        <v>1973.4374999999995</v>
      </c>
      <c r="AL49" s="533">
        <v>164.45312499999997</v>
      </c>
      <c r="AM49" s="531">
        <f t="shared" si="49"/>
        <v>7</v>
      </c>
      <c r="AN49" s="600"/>
      <c r="AO49" s="531">
        <v>12</v>
      </c>
      <c r="AP49" s="533">
        <v>1966.9565217391303</v>
      </c>
      <c r="AQ49" s="533">
        <v>163.91304347826085</v>
      </c>
      <c r="AR49" s="531">
        <f t="shared" si="51"/>
        <v>8</v>
      </c>
      <c r="AS49" s="600"/>
      <c r="AT49" s="531">
        <v>12</v>
      </c>
      <c r="AU49" s="533">
        <v>1957.1830985915497</v>
      </c>
      <c r="AV49" s="533">
        <v>163.0985915492958</v>
      </c>
      <c r="AW49" s="531">
        <f t="shared" si="53"/>
        <v>8</v>
      </c>
      <c r="AX49" s="600"/>
      <c r="AZ49" s="521" t="e">
        <f t="shared" si="55"/>
        <v>#N/A</v>
      </c>
      <c r="BA49" s="600"/>
    </row>
    <row r="50" spans="2:53">
      <c r="B50" s="610"/>
      <c r="C50" s="305">
        <v>4</v>
      </c>
      <c r="D50" s="455" t="s">
        <v>782</v>
      </c>
      <c r="E50" s="518">
        <v>13</v>
      </c>
      <c r="F50" s="518">
        <v>2250</v>
      </c>
      <c r="G50" s="518">
        <v>187.5</v>
      </c>
      <c r="H50" s="668"/>
      <c r="I50" s="513">
        <f t="shared" si="38"/>
        <v>13</v>
      </c>
      <c r="J50" s="513">
        <f t="shared" si="39"/>
        <v>2187.9828619550417</v>
      </c>
      <c r="K50" s="200">
        <f t="shared" si="40"/>
        <v>168.30637399654165</v>
      </c>
      <c r="L50" s="621"/>
      <c r="M50" s="201">
        <f>RANK(K50, K$47:$K$61)</f>
        <v>5</v>
      </c>
      <c r="N50" s="604"/>
      <c r="O50" s="604"/>
      <c r="P50" s="531">
        <v>13</v>
      </c>
      <c r="Q50" s="533">
        <v>2240.8163265306116</v>
      </c>
      <c r="R50" s="533">
        <v>172.37048665620088</v>
      </c>
      <c r="S50" s="531">
        <f t="shared" si="41"/>
        <v>5</v>
      </c>
      <c r="T50" s="600"/>
      <c r="U50" s="531">
        <v>13</v>
      </c>
      <c r="V50" s="533">
        <v>2183.9999999999995</v>
      </c>
      <c r="W50" s="533">
        <v>167.99999999999997</v>
      </c>
      <c r="X50" s="531">
        <f t="shared" si="43"/>
        <v>6</v>
      </c>
      <c r="Y50" s="600"/>
      <c r="Z50" s="531">
        <v>13</v>
      </c>
      <c r="AA50" s="533">
        <v>2194.090909090909</v>
      </c>
      <c r="AB50" s="533">
        <v>168.77622377622376</v>
      </c>
      <c r="AC50" s="531">
        <f t="shared" si="45"/>
        <v>5</v>
      </c>
      <c r="AD50" s="600"/>
      <c r="AE50" s="531">
        <v>13</v>
      </c>
      <c r="AF50" s="533">
        <v>2195.5813953488368</v>
      </c>
      <c r="AG50" s="533">
        <v>168.89087656529514</v>
      </c>
      <c r="AH50" s="531">
        <f t="shared" si="47"/>
        <v>5</v>
      </c>
      <c r="AI50" s="600"/>
      <c r="AJ50" s="531">
        <v>13</v>
      </c>
      <c r="AK50" s="533">
        <v>2183.0769230769233</v>
      </c>
      <c r="AL50" s="533">
        <v>167.92899408284026</v>
      </c>
      <c r="AM50" s="531">
        <f t="shared" si="49"/>
        <v>5</v>
      </c>
      <c r="AN50" s="600"/>
      <c r="AO50" s="531">
        <v>13</v>
      </c>
      <c r="AP50" s="533">
        <v>2155.961538461539</v>
      </c>
      <c r="AQ50" s="533">
        <v>165.84319526627223</v>
      </c>
      <c r="AR50" s="531">
        <f t="shared" si="51"/>
        <v>5</v>
      </c>
      <c r="AS50" s="600"/>
      <c r="AT50" s="531">
        <v>13</v>
      </c>
      <c r="AU50" s="533">
        <v>2162.3529411764707</v>
      </c>
      <c r="AV50" s="533">
        <v>166.33484162895928</v>
      </c>
      <c r="AW50" s="531">
        <f t="shared" si="53"/>
        <v>6</v>
      </c>
      <c r="AX50" s="600"/>
      <c r="AZ50" s="521" t="e">
        <f t="shared" si="55"/>
        <v>#N/A</v>
      </c>
      <c r="BA50" s="600"/>
    </row>
    <row r="51" spans="2:53">
      <c r="B51" s="610"/>
      <c r="C51" s="305">
        <v>5</v>
      </c>
      <c r="D51" s="455" t="s">
        <v>387</v>
      </c>
      <c r="E51" s="518">
        <v>13</v>
      </c>
      <c r="F51" s="518">
        <v>2250</v>
      </c>
      <c r="G51" s="518">
        <v>173.1</v>
      </c>
      <c r="H51" s="668"/>
      <c r="I51" s="513">
        <f t="shared" si="38"/>
        <v>13</v>
      </c>
      <c r="J51" s="513">
        <f t="shared" si="39"/>
        <v>2159.766240843363</v>
      </c>
      <c r="K51" s="200">
        <f t="shared" si="40"/>
        <v>166.13586468025869</v>
      </c>
      <c r="L51" s="621"/>
      <c r="M51" s="201">
        <f>RANK(K51, K$47:$K$61)</f>
        <v>6</v>
      </c>
      <c r="N51" s="604"/>
      <c r="O51" s="604"/>
      <c r="P51" s="531">
        <v>13</v>
      </c>
      <c r="Q51" s="533">
        <v>2208.6749999999997</v>
      </c>
      <c r="R51" s="533">
        <v>169.8980769230769</v>
      </c>
      <c r="S51" s="531">
        <f t="shared" si="41"/>
        <v>6</v>
      </c>
      <c r="T51" s="600"/>
      <c r="U51" s="531">
        <v>13</v>
      </c>
      <c r="V51" s="533">
        <v>2181.272727272727</v>
      </c>
      <c r="W51" s="533">
        <v>167.79020979020976</v>
      </c>
      <c r="X51" s="531">
        <f t="shared" si="43"/>
        <v>7</v>
      </c>
      <c r="Y51" s="600"/>
      <c r="Z51" s="531">
        <v>13</v>
      </c>
      <c r="AA51" s="533">
        <v>2161.2000000000003</v>
      </c>
      <c r="AB51" s="533">
        <v>166.24615384615387</v>
      </c>
      <c r="AC51" s="531">
        <f t="shared" si="45"/>
        <v>7</v>
      </c>
      <c r="AD51" s="600"/>
      <c r="AE51" s="531">
        <v>13</v>
      </c>
      <c r="AF51" s="533">
        <v>2143.2537313432831</v>
      </c>
      <c r="AG51" s="533">
        <v>164.86567164179101</v>
      </c>
      <c r="AH51" s="531">
        <f t="shared" si="47"/>
        <v>6</v>
      </c>
      <c r="AI51" s="600"/>
      <c r="AJ51" s="531">
        <v>13</v>
      </c>
      <c r="AK51" s="533">
        <v>2146.5405405405413</v>
      </c>
      <c r="AL51" s="533">
        <v>165.11850311850318</v>
      </c>
      <c r="AM51" s="531">
        <f t="shared" si="49"/>
        <v>6</v>
      </c>
      <c r="AN51" s="600"/>
      <c r="AO51" s="531">
        <v>13</v>
      </c>
      <c r="AP51" s="533">
        <v>2142.5060240963858</v>
      </c>
      <c r="AQ51" s="533">
        <v>164.80815569972199</v>
      </c>
      <c r="AR51" s="531">
        <f t="shared" si="51"/>
        <v>6</v>
      </c>
      <c r="AS51" s="600"/>
      <c r="AT51" s="531">
        <v>13</v>
      </c>
      <c r="AU51" s="533">
        <v>2134.9156626506024</v>
      </c>
      <c r="AV51" s="533">
        <v>164.22428174235404</v>
      </c>
      <c r="AW51" s="531">
        <f t="shared" si="53"/>
        <v>7</v>
      </c>
      <c r="AX51" s="600"/>
      <c r="AZ51" s="521" t="e">
        <f t="shared" si="55"/>
        <v>#N/A</v>
      </c>
      <c r="BA51" s="600"/>
    </row>
    <row r="52" spans="2:53">
      <c r="B52" s="610"/>
      <c r="C52" s="305">
        <v>6</v>
      </c>
      <c r="D52" s="455" t="s">
        <v>388</v>
      </c>
      <c r="E52" s="518">
        <v>10</v>
      </c>
      <c r="F52" s="518">
        <v>2769</v>
      </c>
      <c r="G52" s="518">
        <v>276.89999999999998</v>
      </c>
      <c r="H52" s="668"/>
      <c r="I52" s="513">
        <f t="shared" si="38"/>
        <v>10</v>
      </c>
      <c r="J52" s="513">
        <f t="shared" si="39"/>
        <v>2404.7055489737468</v>
      </c>
      <c r="K52" s="200">
        <f t="shared" si="40"/>
        <v>240.47055489737468</v>
      </c>
      <c r="L52" s="621"/>
      <c r="M52" s="201">
        <f>RANK(K52, K$47:$K$61)</f>
        <v>4</v>
      </c>
      <c r="N52" s="604"/>
      <c r="O52" s="604"/>
      <c r="P52" s="531">
        <v>10</v>
      </c>
      <c r="Q52" s="533">
        <v>2439.5921052631584</v>
      </c>
      <c r="R52" s="533">
        <v>243.95921052631584</v>
      </c>
      <c r="S52" s="531">
        <f t="shared" si="41"/>
        <v>4</v>
      </c>
      <c r="T52" s="600"/>
      <c r="U52" s="531">
        <v>10</v>
      </c>
      <c r="V52" s="533">
        <v>2383.5744680851067</v>
      </c>
      <c r="W52" s="533">
        <v>238.35744680851067</v>
      </c>
      <c r="X52" s="531">
        <f t="shared" si="43"/>
        <v>4</v>
      </c>
      <c r="Y52" s="600"/>
      <c r="Z52" s="531">
        <v>10</v>
      </c>
      <c r="AA52" s="533">
        <v>2419.395348837209</v>
      </c>
      <c r="AB52" s="533">
        <v>241.93953488372091</v>
      </c>
      <c r="AC52" s="531">
        <f t="shared" si="45"/>
        <v>4</v>
      </c>
      <c r="AD52" s="600"/>
      <c r="AE52" s="531">
        <v>10</v>
      </c>
      <c r="AF52" s="533">
        <v>2406.4687499999991</v>
      </c>
      <c r="AG52" s="533">
        <v>240.64687499999991</v>
      </c>
      <c r="AH52" s="531">
        <f t="shared" si="47"/>
        <v>4</v>
      </c>
      <c r="AI52" s="600"/>
      <c r="AJ52" s="531">
        <v>10</v>
      </c>
      <c r="AK52" s="533">
        <v>2419.2656249999991</v>
      </c>
      <c r="AL52" s="533">
        <v>241.9265624999999</v>
      </c>
      <c r="AM52" s="531">
        <f t="shared" si="49"/>
        <v>4</v>
      </c>
      <c r="AN52" s="600"/>
      <c r="AO52" s="531">
        <v>10</v>
      </c>
      <c r="AP52" s="533">
        <v>2374.5365853658536</v>
      </c>
      <c r="AQ52" s="533">
        <v>237.45365853658535</v>
      </c>
      <c r="AR52" s="531">
        <f t="shared" si="51"/>
        <v>4</v>
      </c>
      <c r="AS52" s="600"/>
      <c r="AT52" s="531">
        <v>10</v>
      </c>
      <c r="AU52" s="533">
        <v>2390.1059602649011</v>
      </c>
      <c r="AV52" s="533">
        <v>239.01059602649011</v>
      </c>
      <c r="AW52" s="531">
        <f t="shared" si="53"/>
        <v>4</v>
      </c>
      <c r="AX52" s="600"/>
      <c r="AZ52" s="521" t="e">
        <f t="shared" si="55"/>
        <v>#N/A</v>
      </c>
      <c r="BA52" s="600"/>
    </row>
    <row r="53" spans="2:53">
      <c r="B53" s="610"/>
      <c r="C53" s="305">
        <v>7</v>
      </c>
      <c r="D53" s="455" t="s">
        <v>384</v>
      </c>
      <c r="E53" s="518">
        <v>18</v>
      </c>
      <c r="F53" s="518">
        <v>1200</v>
      </c>
      <c r="G53" s="518">
        <v>66.666666666666671</v>
      </c>
      <c r="H53" s="668"/>
      <c r="I53" s="513">
        <f t="shared" si="38"/>
        <v>18</v>
      </c>
      <c r="J53" s="513">
        <f t="shared" si="39"/>
        <v>1172.8161402833775</v>
      </c>
      <c r="K53" s="200">
        <f t="shared" si="40"/>
        <v>65.156452237965411</v>
      </c>
      <c r="L53" s="621"/>
      <c r="M53" s="201">
        <f>RANK(K53, K$47:$K$61)</f>
        <v>9</v>
      </c>
      <c r="N53" s="604"/>
      <c r="O53" s="604"/>
      <c r="P53" s="531">
        <v>18</v>
      </c>
      <c r="Q53" s="533">
        <v>1162.0512820512815</v>
      </c>
      <c r="R53" s="533">
        <v>64.558404558404533</v>
      </c>
      <c r="S53" s="531">
        <f t="shared" si="41"/>
        <v>9</v>
      </c>
      <c r="T53" s="600"/>
      <c r="U53" s="531">
        <v>18</v>
      </c>
      <c r="V53" s="533">
        <v>1188.0000000000007</v>
      </c>
      <c r="W53" s="533">
        <v>66.000000000000043</v>
      </c>
      <c r="X53" s="531">
        <f t="shared" si="43"/>
        <v>9</v>
      </c>
      <c r="Y53" s="600"/>
      <c r="Z53" s="531">
        <v>18</v>
      </c>
      <c r="AA53" s="533">
        <v>1158.6407766990296</v>
      </c>
      <c r="AB53" s="533">
        <v>64.368932038834984</v>
      </c>
      <c r="AC53" s="531">
        <f t="shared" si="45"/>
        <v>9</v>
      </c>
      <c r="AD53" s="600"/>
      <c r="AE53" s="531">
        <v>18</v>
      </c>
      <c r="AF53" s="533">
        <v>1191.1578947368423</v>
      </c>
      <c r="AG53" s="533">
        <v>66.175438596491233</v>
      </c>
      <c r="AH53" s="531">
        <f t="shared" si="47"/>
        <v>9</v>
      </c>
      <c r="AI53" s="600"/>
      <c r="AJ53" s="531">
        <v>18</v>
      </c>
      <c r="AK53" s="533">
        <v>1175.510204081633</v>
      </c>
      <c r="AL53" s="533">
        <v>65.306122448979607</v>
      </c>
      <c r="AM53" s="531">
        <f t="shared" si="49"/>
        <v>9</v>
      </c>
      <c r="AN53" s="600"/>
      <c r="AO53" s="531">
        <v>18</v>
      </c>
      <c r="AP53" s="533">
        <v>1160.7079646017708</v>
      </c>
      <c r="AQ53" s="533">
        <v>64.483775811209483</v>
      </c>
      <c r="AR53" s="531">
        <f t="shared" si="51"/>
        <v>9</v>
      </c>
      <c r="AS53" s="600"/>
      <c r="AT53" s="531">
        <v>18</v>
      </c>
      <c r="AU53" s="533">
        <v>1173.6448598130848</v>
      </c>
      <c r="AV53" s="533">
        <v>65.202492211838049</v>
      </c>
      <c r="AW53" s="531">
        <f t="shared" si="53"/>
        <v>9</v>
      </c>
      <c r="AX53" s="600"/>
      <c r="AZ53" s="521" t="e">
        <f t="shared" si="55"/>
        <v>#N/A</v>
      </c>
      <c r="BA53" s="600"/>
    </row>
    <row r="54" spans="2:53">
      <c r="B54" s="610"/>
      <c r="C54" s="305">
        <v>8</v>
      </c>
      <c r="D54" s="455" t="s">
        <v>674</v>
      </c>
      <c r="E54" s="518">
        <v>12</v>
      </c>
      <c r="F54" s="518">
        <v>2118</v>
      </c>
      <c r="G54" s="518">
        <v>176.5</v>
      </c>
      <c r="H54" s="668"/>
      <c r="I54" s="513">
        <f t="shared" si="38"/>
        <v>12</v>
      </c>
      <c r="J54" s="513">
        <f t="shared" si="39"/>
        <v>1988.7348517235339</v>
      </c>
      <c r="K54" s="200">
        <f t="shared" si="40"/>
        <v>165.72790431029449</v>
      </c>
      <c r="L54" s="621"/>
      <c r="M54" s="201">
        <f>RANK(K54, K$47:$K$61)</f>
        <v>7</v>
      </c>
      <c r="N54" s="604"/>
      <c r="O54" s="604"/>
      <c r="P54" s="531">
        <v>12</v>
      </c>
      <c r="Q54" s="533">
        <v>2020.3124999999995</v>
      </c>
      <c r="R54" s="533">
        <v>168.35937499999997</v>
      </c>
      <c r="S54" s="531">
        <f t="shared" si="41"/>
        <v>7</v>
      </c>
      <c r="T54" s="600"/>
      <c r="U54" s="531">
        <v>12</v>
      </c>
      <c r="V54" s="533">
        <v>2016.7741935483864</v>
      </c>
      <c r="W54" s="533">
        <v>168.0645161290322</v>
      </c>
      <c r="X54" s="531">
        <f t="shared" si="43"/>
        <v>5</v>
      </c>
      <c r="Y54" s="600"/>
      <c r="Z54" s="531">
        <v>12</v>
      </c>
      <c r="AA54" s="533">
        <v>1980.0000000000005</v>
      </c>
      <c r="AB54" s="533">
        <v>165.00000000000003</v>
      </c>
      <c r="AC54" s="531">
        <f t="shared" si="45"/>
        <v>8</v>
      </c>
      <c r="AD54" s="600"/>
      <c r="AE54" s="531">
        <v>12</v>
      </c>
      <c r="AF54" s="533">
        <v>1964.7272727272725</v>
      </c>
      <c r="AG54" s="533">
        <v>163.72727272727272</v>
      </c>
      <c r="AH54" s="531">
        <f t="shared" si="47"/>
        <v>7</v>
      </c>
      <c r="AI54" s="600"/>
      <c r="AJ54" s="531">
        <v>12</v>
      </c>
      <c r="AK54" s="533">
        <v>1965.5172413793091</v>
      </c>
      <c r="AL54" s="533">
        <v>163.79310344827576</v>
      </c>
      <c r="AM54" s="531">
        <f t="shared" si="49"/>
        <v>8</v>
      </c>
      <c r="AN54" s="600"/>
      <c r="AO54" s="531">
        <v>12</v>
      </c>
      <c r="AP54" s="533">
        <v>1968.358208955224</v>
      </c>
      <c r="AQ54" s="533">
        <v>164.02985074626866</v>
      </c>
      <c r="AR54" s="531">
        <f t="shared" si="51"/>
        <v>7</v>
      </c>
      <c r="AS54" s="600"/>
      <c r="AT54" s="531">
        <v>12</v>
      </c>
      <c r="AU54" s="533">
        <v>2005.4545454545453</v>
      </c>
      <c r="AV54" s="533">
        <v>167.1212121212121</v>
      </c>
      <c r="AW54" s="531">
        <f t="shared" si="53"/>
        <v>5</v>
      </c>
      <c r="AX54" s="600"/>
      <c r="AZ54" s="521" t="e">
        <f t="shared" si="55"/>
        <v>#N/A</v>
      </c>
      <c r="BA54" s="600"/>
    </row>
    <row r="55" spans="2:53">
      <c r="B55" s="610"/>
      <c r="C55" s="305">
        <v>9</v>
      </c>
      <c r="D55" s="455" t="s">
        <v>767</v>
      </c>
      <c r="E55" s="518">
        <v>4</v>
      </c>
      <c r="F55" s="518">
        <v>2000</v>
      </c>
      <c r="G55" s="518">
        <v>500</v>
      </c>
      <c r="H55" s="668"/>
      <c r="I55" s="513">
        <f t="shared" si="38"/>
        <v>5</v>
      </c>
      <c r="J55" s="513">
        <f t="shared" si="39"/>
        <v>1998.8252985404683</v>
      </c>
      <c r="K55" s="200">
        <f t="shared" si="40"/>
        <v>399.76505970809376</v>
      </c>
      <c r="L55" s="621"/>
      <c r="M55" s="201">
        <f>RANK(K55, K$47:$K$61)</f>
        <v>3</v>
      </c>
      <c r="N55" s="604"/>
      <c r="O55" s="604"/>
      <c r="P55" s="531">
        <v>5</v>
      </c>
      <c r="Q55" s="533">
        <v>2087.9999999999995</v>
      </c>
      <c r="R55" s="533">
        <v>417.59999999999991</v>
      </c>
      <c r="S55" s="531">
        <f t="shared" si="41"/>
        <v>3</v>
      </c>
      <c r="T55" s="600"/>
      <c r="U55" s="531">
        <v>5</v>
      </c>
      <c r="V55" s="533">
        <v>2141.0526315789461</v>
      </c>
      <c r="W55" s="533">
        <v>428.21052631578925</v>
      </c>
      <c r="X55" s="531">
        <f t="shared" si="43"/>
        <v>3</v>
      </c>
      <c r="Y55" s="600"/>
      <c r="Z55" s="531">
        <v>5</v>
      </c>
      <c r="AA55" s="533">
        <v>2118.9473684210511</v>
      </c>
      <c r="AB55" s="533">
        <v>423.78947368421024</v>
      </c>
      <c r="AC55" s="531">
        <f t="shared" si="45"/>
        <v>3</v>
      </c>
      <c r="AD55" s="600"/>
      <c r="AE55" s="531">
        <v>5</v>
      </c>
      <c r="AF55" s="533">
        <v>1845.8823529411789</v>
      </c>
      <c r="AG55" s="533">
        <v>369.17647058823576</v>
      </c>
      <c r="AH55" s="531">
        <f t="shared" si="47"/>
        <v>3</v>
      </c>
      <c r="AI55" s="600"/>
      <c r="AJ55" s="531">
        <v>5</v>
      </c>
      <c r="AK55" s="533">
        <v>1872.6315789473711</v>
      </c>
      <c r="AL55" s="533">
        <v>374.52631578947421</v>
      </c>
      <c r="AM55" s="531">
        <f t="shared" si="49"/>
        <v>3</v>
      </c>
      <c r="AN55" s="600"/>
      <c r="AO55" s="531">
        <v>5</v>
      </c>
      <c r="AP55" s="533">
        <v>1799.9999999999986</v>
      </c>
      <c r="AQ55" s="533">
        <v>359.99999999999972</v>
      </c>
      <c r="AR55" s="531">
        <f t="shared" si="51"/>
        <v>3</v>
      </c>
      <c r="AS55" s="600"/>
      <c r="AT55" s="531">
        <v>5</v>
      </c>
      <c r="AU55" s="533">
        <v>2125.2631578947353</v>
      </c>
      <c r="AV55" s="533">
        <v>425.05263157894706</v>
      </c>
      <c r="AW55" s="531">
        <f t="shared" si="53"/>
        <v>3</v>
      </c>
      <c r="AX55" s="600"/>
      <c r="AZ55" s="521" t="e">
        <f t="shared" si="55"/>
        <v>#N/A</v>
      </c>
      <c r="BA55" s="600"/>
    </row>
    <row r="56" spans="2:53">
      <c r="B56" s="610"/>
      <c r="C56" s="305">
        <v>10</v>
      </c>
      <c r="D56" s="455"/>
      <c r="E56" s="518"/>
      <c r="F56" s="518"/>
      <c r="G56" s="518"/>
      <c r="H56" s="668"/>
      <c r="I56" s="513" t="str">
        <f t="shared" si="38"/>
        <v>-</v>
      </c>
      <c r="J56" s="513" t="str">
        <f t="shared" si="39"/>
        <v>-</v>
      </c>
      <c r="K56" s="200" t="str">
        <f t="shared" si="40"/>
        <v>-</v>
      </c>
      <c r="L56" s="621"/>
      <c r="M56" s="201" t="e">
        <f>RANK(K56, K$47:$K$61)</f>
        <v>#VALUE!</v>
      </c>
      <c r="N56" s="604"/>
      <c r="O56" s="604"/>
      <c r="P56" s="531" t="s">
        <v>822</v>
      </c>
      <c r="Q56" s="533" t="s">
        <v>822</v>
      </c>
      <c r="R56" s="533" t="s">
        <v>822</v>
      </c>
      <c r="S56" s="531" t="e">
        <f t="shared" si="41"/>
        <v>#VALUE!</v>
      </c>
      <c r="T56" s="600"/>
      <c r="U56" s="531" t="s">
        <v>822</v>
      </c>
      <c r="V56" s="533" t="s">
        <v>822</v>
      </c>
      <c r="W56" s="533" t="s">
        <v>822</v>
      </c>
      <c r="X56" s="531" t="e">
        <f t="shared" si="43"/>
        <v>#VALUE!</v>
      </c>
      <c r="Y56" s="600"/>
      <c r="Z56" s="531" t="s">
        <v>822</v>
      </c>
      <c r="AA56" s="533" t="s">
        <v>822</v>
      </c>
      <c r="AB56" s="533" t="s">
        <v>822</v>
      </c>
      <c r="AC56" s="531" t="e">
        <f t="shared" si="45"/>
        <v>#VALUE!</v>
      </c>
      <c r="AD56" s="600"/>
      <c r="AE56" s="531" t="s">
        <v>822</v>
      </c>
      <c r="AF56" s="533" t="s">
        <v>822</v>
      </c>
      <c r="AG56" s="533" t="s">
        <v>822</v>
      </c>
      <c r="AH56" s="531" t="e">
        <f t="shared" si="47"/>
        <v>#VALUE!</v>
      </c>
      <c r="AI56" s="600"/>
      <c r="AJ56" s="531" t="s">
        <v>822</v>
      </c>
      <c r="AK56" s="533" t="s">
        <v>822</v>
      </c>
      <c r="AL56" s="533" t="s">
        <v>822</v>
      </c>
      <c r="AM56" s="531" t="e">
        <f t="shared" si="49"/>
        <v>#VALUE!</v>
      </c>
      <c r="AN56" s="600"/>
      <c r="AO56" s="531" t="s">
        <v>822</v>
      </c>
      <c r="AP56" s="533" t="s">
        <v>822</v>
      </c>
      <c r="AQ56" s="533" t="s">
        <v>822</v>
      </c>
      <c r="AR56" s="531" t="e">
        <f t="shared" si="51"/>
        <v>#VALUE!</v>
      </c>
      <c r="AS56" s="600"/>
      <c r="AT56" s="531" t="s">
        <v>822</v>
      </c>
      <c r="AU56" s="533" t="s">
        <v>822</v>
      </c>
      <c r="AV56" s="533" t="s">
        <v>822</v>
      </c>
      <c r="AW56" s="531" t="e">
        <f t="shared" si="53"/>
        <v>#VALUE!</v>
      </c>
      <c r="AX56" s="600"/>
      <c r="AZ56" s="521" t="e">
        <f t="shared" si="55"/>
        <v>#N/A</v>
      </c>
      <c r="BA56" s="600"/>
    </row>
    <row r="57" spans="2:53">
      <c r="B57" s="610"/>
      <c r="C57" s="305">
        <v>11</v>
      </c>
      <c r="D57" s="455"/>
      <c r="E57" s="518"/>
      <c r="F57" s="518"/>
      <c r="G57" s="518"/>
      <c r="H57" s="668"/>
      <c r="I57" s="513" t="str">
        <f t="shared" si="38"/>
        <v>-</v>
      </c>
      <c r="J57" s="513" t="str">
        <f t="shared" si="39"/>
        <v>-</v>
      </c>
      <c r="K57" s="200" t="str">
        <f t="shared" si="40"/>
        <v>-</v>
      </c>
      <c r="L57" s="621"/>
      <c r="M57" s="201" t="e">
        <f>RANK(K57, K$47:$K$61)</f>
        <v>#VALUE!</v>
      </c>
      <c r="N57" s="604"/>
      <c r="O57" s="604"/>
      <c r="P57" s="531" t="s">
        <v>822</v>
      </c>
      <c r="Q57" s="533" t="s">
        <v>822</v>
      </c>
      <c r="R57" s="533" t="s">
        <v>822</v>
      </c>
      <c r="S57" s="531" t="e">
        <f t="shared" si="41"/>
        <v>#VALUE!</v>
      </c>
      <c r="T57" s="600"/>
      <c r="U57" s="531" t="s">
        <v>822</v>
      </c>
      <c r="V57" s="533" t="s">
        <v>822</v>
      </c>
      <c r="W57" s="533" t="s">
        <v>822</v>
      </c>
      <c r="X57" s="531" t="e">
        <f t="shared" si="43"/>
        <v>#VALUE!</v>
      </c>
      <c r="Y57" s="600"/>
      <c r="Z57" s="531" t="s">
        <v>822</v>
      </c>
      <c r="AA57" s="533" t="s">
        <v>822</v>
      </c>
      <c r="AB57" s="533" t="s">
        <v>822</v>
      </c>
      <c r="AC57" s="531" t="e">
        <f t="shared" si="45"/>
        <v>#VALUE!</v>
      </c>
      <c r="AD57" s="600"/>
      <c r="AE57" s="531" t="s">
        <v>822</v>
      </c>
      <c r="AF57" s="533" t="s">
        <v>822</v>
      </c>
      <c r="AG57" s="533" t="s">
        <v>822</v>
      </c>
      <c r="AH57" s="531" t="e">
        <f t="shared" si="47"/>
        <v>#VALUE!</v>
      </c>
      <c r="AI57" s="600"/>
      <c r="AJ57" s="531" t="s">
        <v>822</v>
      </c>
      <c r="AK57" s="533" t="s">
        <v>822</v>
      </c>
      <c r="AL57" s="533" t="s">
        <v>822</v>
      </c>
      <c r="AM57" s="531" t="e">
        <f t="shared" si="49"/>
        <v>#VALUE!</v>
      </c>
      <c r="AN57" s="600"/>
      <c r="AO57" s="531" t="s">
        <v>822</v>
      </c>
      <c r="AP57" s="533" t="s">
        <v>822</v>
      </c>
      <c r="AQ57" s="533" t="s">
        <v>822</v>
      </c>
      <c r="AR57" s="531" t="e">
        <f t="shared" si="51"/>
        <v>#VALUE!</v>
      </c>
      <c r="AS57" s="600"/>
      <c r="AT57" s="531" t="s">
        <v>822</v>
      </c>
      <c r="AU57" s="533" t="s">
        <v>822</v>
      </c>
      <c r="AV57" s="533" t="s">
        <v>822</v>
      </c>
      <c r="AW57" s="531" t="e">
        <f t="shared" si="53"/>
        <v>#VALUE!</v>
      </c>
      <c r="AX57" s="600"/>
      <c r="AZ57" s="521" t="e">
        <f t="shared" si="55"/>
        <v>#N/A</v>
      </c>
      <c r="BA57" s="600"/>
    </row>
    <row r="58" spans="2:53">
      <c r="B58" s="610"/>
      <c r="C58" s="305">
        <v>12</v>
      </c>
      <c r="D58" s="455"/>
      <c r="E58" s="518"/>
      <c r="F58" s="518"/>
      <c r="G58" s="518"/>
      <c r="H58" s="668"/>
      <c r="I58" s="513" t="str">
        <f t="shared" si="38"/>
        <v>-</v>
      </c>
      <c r="J58" s="513" t="str">
        <f t="shared" si="39"/>
        <v>-</v>
      </c>
      <c r="K58" s="200" t="str">
        <f t="shared" si="40"/>
        <v>-</v>
      </c>
      <c r="L58" s="621"/>
      <c r="M58" s="201" t="e">
        <f>RANK(K58, K$47:$K$61)</f>
        <v>#VALUE!</v>
      </c>
      <c r="N58" s="604"/>
      <c r="O58" s="604"/>
      <c r="P58" s="531" t="s">
        <v>822</v>
      </c>
      <c r="Q58" s="533" t="s">
        <v>822</v>
      </c>
      <c r="R58" s="533" t="s">
        <v>822</v>
      </c>
      <c r="S58" s="531" t="e">
        <f t="shared" si="41"/>
        <v>#VALUE!</v>
      </c>
      <c r="T58" s="600"/>
      <c r="U58" s="531" t="s">
        <v>822</v>
      </c>
      <c r="V58" s="533" t="s">
        <v>822</v>
      </c>
      <c r="W58" s="533" t="s">
        <v>822</v>
      </c>
      <c r="X58" s="531" t="e">
        <f t="shared" si="43"/>
        <v>#VALUE!</v>
      </c>
      <c r="Y58" s="600"/>
      <c r="Z58" s="531" t="s">
        <v>822</v>
      </c>
      <c r="AA58" s="533" t="s">
        <v>822</v>
      </c>
      <c r="AB58" s="533" t="s">
        <v>822</v>
      </c>
      <c r="AC58" s="531" t="e">
        <f t="shared" si="45"/>
        <v>#VALUE!</v>
      </c>
      <c r="AD58" s="600"/>
      <c r="AE58" s="531" t="s">
        <v>822</v>
      </c>
      <c r="AF58" s="533" t="s">
        <v>822</v>
      </c>
      <c r="AG58" s="533" t="s">
        <v>822</v>
      </c>
      <c r="AH58" s="531" t="e">
        <f t="shared" si="47"/>
        <v>#VALUE!</v>
      </c>
      <c r="AI58" s="600"/>
      <c r="AJ58" s="531" t="s">
        <v>822</v>
      </c>
      <c r="AK58" s="533" t="s">
        <v>822</v>
      </c>
      <c r="AL58" s="533" t="s">
        <v>822</v>
      </c>
      <c r="AM58" s="531" t="e">
        <f t="shared" si="49"/>
        <v>#VALUE!</v>
      </c>
      <c r="AN58" s="600"/>
      <c r="AO58" s="531" t="s">
        <v>822</v>
      </c>
      <c r="AP58" s="533" t="s">
        <v>822</v>
      </c>
      <c r="AQ58" s="533" t="s">
        <v>822</v>
      </c>
      <c r="AR58" s="531" t="e">
        <f t="shared" si="51"/>
        <v>#VALUE!</v>
      </c>
      <c r="AS58" s="600"/>
      <c r="AT58" s="531" t="s">
        <v>822</v>
      </c>
      <c r="AU58" s="533" t="s">
        <v>822</v>
      </c>
      <c r="AV58" s="533" t="s">
        <v>822</v>
      </c>
      <c r="AW58" s="531" t="e">
        <f t="shared" si="53"/>
        <v>#VALUE!</v>
      </c>
      <c r="AX58" s="600"/>
      <c r="AZ58" s="521" t="e">
        <f t="shared" si="55"/>
        <v>#N/A</v>
      </c>
      <c r="BA58" s="600"/>
    </row>
    <row r="59" spans="2:53">
      <c r="B59" s="610"/>
      <c r="C59" s="305">
        <v>13</v>
      </c>
      <c r="D59" s="455"/>
      <c r="E59" s="518"/>
      <c r="F59" s="518"/>
      <c r="G59" s="518"/>
      <c r="H59" s="668"/>
      <c r="I59" s="513" t="str">
        <f t="shared" si="38"/>
        <v>-</v>
      </c>
      <c r="J59" s="513" t="str">
        <f t="shared" si="39"/>
        <v>-</v>
      </c>
      <c r="K59" s="200" t="str">
        <f t="shared" si="40"/>
        <v>-</v>
      </c>
      <c r="L59" s="621"/>
      <c r="M59" s="201" t="e">
        <f>RANK(K59, K$47:$K$61)</f>
        <v>#VALUE!</v>
      </c>
      <c r="N59" s="604"/>
      <c r="O59" s="604"/>
      <c r="P59" s="531" t="s">
        <v>822</v>
      </c>
      <c r="Q59" s="533" t="s">
        <v>822</v>
      </c>
      <c r="R59" s="533" t="s">
        <v>822</v>
      </c>
      <c r="S59" s="531" t="e">
        <f t="shared" si="41"/>
        <v>#VALUE!</v>
      </c>
      <c r="T59" s="600"/>
      <c r="U59" s="531" t="s">
        <v>822</v>
      </c>
      <c r="V59" s="533" t="s">
        <v>822</v>
      </c>
      <c r="W59" s="533" t="s">
        <v>822</v>
      </c>
      <c r="X59" s="531" t="e">
        <f t="shared" si="43"/>
        <v>#VALUE!</v>
      </c>
      <c r="Y59" s="600"/>
      <c r="Z59" s="531" t="s">
        <v>822</v>
      </c>
      <c r="AA59" s="533" t="s">
        <v>822</v>
      </c>
      <c r="AB59" s="533" t="s">
        <v>822</v>
      </c>
      <c r="AC59" s="531" t="e">
        <f t="shared" si="45"/>
        <v>#VALUE!</v>
      </c>
      <c r="AD59" s="600"/>
      <c r="AE59" s="531" t="s">
        <v>822</v>
      </c>
      <c r="AF59" s="533" t="s">
        <v>822</v>
      </c>
      <c r="AG59" s="533" t="s">
        <v>822</v>
      </c>
      <c r="AH59" s="531" t="e">
        <f t="shared" si="47"/>
        <v>#VALUE!</v>
      </c>
      <c r="AI59" s="600"/>
      <c r="AJ59" s="531" t="s">
        <v>822</v>
      </c>
      <c r="AK59" s="533" t="s">
        <v>822</v>
      </c>
      <c r="AL59" s="533" t="s">
        <v>822</v>
      </c>
      <c r="AM59" s="531" t="e">
        <f t="shared" si="49"/>
        <v>#VALUE!</v>
      </c>
      <c r="AN59" s="600"/>
      <c r="AO59" s="531" t="s">
        <v>822</v>
      </c>
      <c r="AP59" s="533" t="s">
        <v>822</v>
      </c>
      <c r="AQ59" s="533" t="s">
        <v>822</v>
      </c>
      <c r="AR59" s="531" t="e">
        <f t="shared" si="51"/>
        <v>#VALUE!</v>
      </c>
      <c r="AS59" s="600"/>
      <c r="AT59" s="531" t="s">
        <v>822</v>
      </c>
      <c r="AU59" s="533" t="s">
        <v>822</v>
      </c>
      <c r="AV59" s="533" t="s">
        <v>822</v>
      </c>
      <c r="AW59" s="531" t="e">
        <f t="shared" si="53"/>
        <v>#VALUE!</v>
      </c>
      <c r="AX59" s="600"/>
      <c r="AZ59" s="521" t="e">
        <f t="shared" si="55"/>
        <v>#N/A</v>
      </c>
      <c r="BA59" s="600"/>
    </row>
    <row r="60" spans="2:53">
      <c r="B60" s="610"/>
      <c r="C60" s="305">
        <v>14</v>
      </c>
      <c r="D60" s="455"/>
      <c r="E60" s="518"/>
      <c r="F60" s="518"/>
      <c r="G60" s="518"/>
      <c r="H60" s="668"/>
      <c r="I60" s="513" t="str">
        <f t="shared" si="38"/>
        <v>-</v>
      </c>
      <c r="J60" s="513" t="str">
        <f t="shared" si="39"/>
        <v>-</v>
      </c>
      <c r="K60" s="200" t="str">
        <f t="shared" si="40"/>
        <v>-</v>
      </c>
      <c r="L60" s="621"/>
      <c r="M60" s="201" t="e">
        <f>RANK(K60, K$47:$K$61)</f>
        <v>#VALUE!</v>
      </c>
      <c r="N60" s="604"/>
      <c r="O60" s="604"/>
      <c r="P60" s="531" t="s">
        <v>822</v>
      </c>
      <c r="Q60" s="533" t="s">
        <v>822</v>
      </c>
      <c r="R60" s="533" t="s">
        <v>822</v>
      </c>
      <c r="S60" s="531" t="e">
        <f t="shared" si="41"/>
        <v>#VALUE!</v>
      </c>
      <c r="T60" s="600"/>
      <c r="U60" s="531" t="s">
        <v>822</v>
      </c>
      <c r="V60" s="533" t="s">
        <v>822</v>
      </c>
      <c r="W60" s="533" t="s">
        <v>822</v>
      </c>
      <c r="X60" s="531" t="e">
        <f t="shared" si="43"/>
        <v>#VALUE!</v>
      </c>
      <c r="Y60" s="600"/>
      <c r="Z60" s="531" t="s">
        <v>822</v>
      </c>
      <c r="AA60" s="533" t="s">
        <v>822</v>
      </c>
      <c r="AB60" s="533" t="s">
        <v>822</v>
      </c>
      <c r="AC60" s="531" t="e">
        <f t="shared" si="45"/>
        <v>#VALUE!</v>
      </c>
      <c r="AD60" s="600"/>
      <c r="AE60" s="531" t="s">
        <v>822</v>
      </c>
      <c r="AF60" s="533" t="s">
        <v>822</v>
      </c>
      <c r="AG60" s="533" t="s">
        <v>822</v>
      </c>
      <c r="AH60" s="531" t="e">
        <f t="shared" si="47"/>
        <v>#VALUE!</v>
      </c>
      <c r="AI60" s="600"/>
      <c r="AJ60" s="531" t="s">
        <v>822</v>
      </c>
      <c r="AK60" s="533" t="s">
        <v>822</v>
      </c>
      <c r="AL60" s="533" t="s">
        <v>822</v>
      </c>
      <c r="AM60" s="531" t="e">
        <f t="shared" si="49"/>
        <v>#VALUE!</v>
      </c>
      <c r="AN60" s="600"/>
      <c r="AO60" s="531" t="s">
        <v>822</v>
      </c>
      <c r="AP60" s="533" t="s">
        <v>822</v>
      </c>
      <c r="AQ60" s="533" t="s">
        <v>822</v>
      </c>
      <c r="AR60" s="531" t="e">
        <f t="shared" si="51"/>
        <v>#VALUE!</v>
      </c>
      <c r="AS60" s="600"/>
      <c r="AT60" s="531" t="s">
        <v>822</v>
      </c>
      <c r="AU60" s="533" t="s">
        <v>822</v>
      </c>
      <c r="AV60" s="533" t="s">
        <v>822</v>
      </c>
      <c r="AW60" s="531" t="e">
        <f t="shared" si="53"/>
        <v>#VALUE!</v>
      </c>
      <c r="AX60" s="600"/>
      <c r="AZ60" s="521" t="e">
        <f t="shared" si="55"/>
        <v>#N/A</v>
      </c>
      <c r="BA60" s="600"/>
    </row>
    <row r="61" spans="2:53">
      <c r="B61" s="610"/>
      <c r="C61" s="305">
        <v>15</v>
      </c>
      <c r="D61" s="455"/>
      <c r="E61" s="518"/>
      <c r="F61" s="518"/>
      <c r="G61" s="518"/>
      <c r="H61" s="669"/>
      <c r="I61" s="518"/>
      <c r="J61" s="518"/>
      <c r="K61" s="514"/>
      <c r="L61" s="622"/>
      <c r="M61" s="201" t="e">
        <f>RANK(K61, K$47:$K$61)</f>
        <v>#N/A</v>
      </c>
      <c r="N61" s="604"/>
      <c r="O61" s="604"/>
      <c r="P61" s="531" t="s">
        <v>822</v>
      </c>
      <c r="Q61" s="533" t="s">
        <v>822</v>
      </c>
      <c r="R61" s="533" t="s">
        <v>822</v>
      </c>
      <c r="S61" s="531" t="e">
        <f t="shared" si="41"/>
        <v>#VALUE!</v>
      </c>
      <c r="T61" s="601"/>
      <c r="U61" s="531" t="s">
        <v>822</v>
      </c>
      <c r="V61" s="533" t="s">
        <v>822</v>
      </c>
      <c r="W61" s="533" t="s">
        <v>822</v>
      </c>
      <c r="X61" s="531" t="e">
        <f t="shared" si="43"/>
        <v>#VALUE!</v>
      </c>
      <c r="Y61" s="601"/>
      <c r="Z61" s="531" t="s">
        <v>822</v>
      </c>
      <c r="AA61" s="533" t="s">
        <v>822</v>
      </c>
      <c r="AB61" s="533" t="s">
        <v>822</v>
      </c>
      <c r="AC61" s="531" t="e">
        <f t="shared" si="45"/>
        <v>#VALUE!</v>
      </c>
      <c r="AD61" s="601"/>
      <c r="AE61" s="531" t="s">
        <v>822</v>
      </c>
      <c r="AF61" s="533" t="s">
        <v>822</v>
      </c>
      <c r="AG61" s="533" t="s">
        <v>822</v>
      </c>
      <c r="AH61" s="531" t="e">
        <f t="shared" si="47"/>
        <v>#VALUE!</v>
      </c>
      <c r="AI61" s="601"/>
      <c r="AJ61" s="531" t="s">
        <v>822</v>
      </c>
      <c r="AK61" s="533" t="s">
        <v>822</v>
      </c>
      <c r="AL61" s="533" t="s">
        <v>822</v>
      </c>
      <c r="AM61" s="531" t="e">
        <f t="shared" si="49"/>
        <v>#VALUE!</v>
      </c>
      <c r="AN61" s="601"/>
      <c r="AO61" s="531" t="s">
        <v>822</v>
      </c>
      <c r="AP61" s="533" t="s">
        <v>822</v>
      </c>
      <c r="AQ61" s="533" t="s">
        <v>822</v>
      </c>
      <c r="AR61" s="531" t="e">
        <f t="shared" si="51"/>
        <v>#VALUE!</v>
      </c>
      <c r="AS61" s="601"/>
      <c r="AT61" s="531" t="s">
        <v>822</v>
      </c>
      <c r="AU61" s="533" t="s">
        <v>822</v>
      </c>
      <c r="AV61" s="533" t="s">
        <v>822</v>
      </c>
      <c r="AW61" s="531" t="e">
        <f t="shared" si="53"/>
        <v>#VALUE!</v>
      </c>
      <c r="AX61" s="601"/>
      <c r="AZ61" s="521" t="e">
        <f t="shared" si="55"/>
        <v>#N/A</v>
      </c>
      <c r="BA61" s="601"/>
    </row>
    <row r="62" spans="2:53" ht="15.75">
      <c r="B62" s="633" t="s">
        <v>163</v>
      </c>
      <c r="C62" s="634"/>
      <c r="D62" s="634"/>
      <c r="E62" s="634"/>
      <c r="F62" s="634"/>
      <c r="G62" s="634"/>
      <c r="H62" s="635"/>
      <c r="I62" s="208"/>
      <c r="J62" s="208"/>
      <c r="K62" s="208"/>
      <c r="L62" s="208"/>
      <c r="M62" s="207"/>
      <c r="N62" s="606" t="s">
        <v>156</v>
      </c>
      <c r="O62" s="606" t="s">
        <v>105</v>
      </c>
      <c r="P62" s="632">
        <f>P42+7</f>
        <v>46133</v>
      </c>
      <c r="Q62" s="610"/>
      <c r="R62" s="610"/>
      <c r="S62" s="610"/>
      <c r="T62" s="610"/>
      <c r="U62" s="629">
        <f>P62+1</f>
        <v>46134</v>
      </c>
      <c r="V62" s="630"/>
      <c r="W62" s="630"/>
      <c r="X62" s="630"/>
      <c r="Y62" s="631"/>
      <c r="Z62" s="629">
        <f>U62+1</f>
        <v>46135</v>
      </c>
      <c r="AA62" s="630"/>
      <c r="AB62" s="630"/>
      <c r="AC62" s="630"/>
      <c r="AD62" s="631"/>
      <c r="AE62" s="629">
        <f>Z62+1</f>
        <v>46136</v>
      </c>
      <c r="AF62" s="630"/>
      <c r="AG62" s="630"/>
      <c r="AH62" s="630"/>
      <c r="AI62" s="631"/>
      <c r="AJ62" s="629">
        <f>AE62+1</f>
        <v>46137</v>
      </c>
      <c r="AK62" s="630"/>
      <c r="AL62" s="630"/>
      <c r="AM62" s="630"/>
      <c r="AN62" s="631"/>
      <c r="AO62" s="629">
        <f>AJ62+1</f>
        <v>46138</v>
      </c>
      <c r="AP62" s="630"/>
      <c r="AQ62" s="630"/>
      <c r="AR62" s="630"/>
      <c r="AS62" s="631"/>
      <c r="AT62" s="629">
        <f>AO62+1</f>
        <v>46139</v>
      </c>
      <c r="AU62" s="630"/>
      <c r="AV62" s="630"/>
      <c r="AW62" s="630"/>
      <c r="AX62" s="631"/>
    </row>
    <row r="63" spans="2:53" ht="15.75">
      <c r="B63" s="636"/>
      <c r="C63" s="636"/>
      <c r="D63" s="636"/>
      <c r="E63" s="636"/>
      <c r="F63" s="636"/>
      <c r="G63" s="636"/>
      <c r="H63" s="636"/>
      <c r="I63" s="205"/>
      <c r="J63" s="205"/>
      <c r="K63" s="205"/>
      <c r="L63" s="205"/>
      <c r="M63" s="206"/>
      <c r="N63" s="608"/>
      <c r="O63" s="608"/>
      <c r="P63" s="632" t="s">
        <v>336</v>
      </c>
      <c r="Q63" s="610"/>
      <c r="R63" s="610"/>
      <c r="S63" s="610"/>
      <c r="T63" s="610"/>
      <c r="U63" s="632" t="s">
        <v>337</v>
      </c>
      <c r="V63" s="610"/>
      <c r="W63" s="610"/>
      <c r="X63" s="610"/>
      <c r="Y63" s="610"/>
      <c r="Z63" s="632" t="s">
        <v>338</v>
      </c>
      <c r="AA63" s="610"/>
      <c r="AB63" s="610"/>
      <c r="AC63" s="610"/>
      <c r="AD63" s="610"/>
      <c r="AE63" s="632" t="s">
        <v>339</v>
      </c>
      <c r="AF63" s="610"/>
      <c r="AG63" s="610"/>
      <c r="AH63" s="610"/>
      <c r="AI63" s="610"/>
      <c r="AJ63" s="632" t="s">
        <v>340</v>
      </c>
      <c r="AK63" s="610"/>
      <c r="AL63" s="610"/>
      <c r="AM63" s="610"/>
      <c r="AN63" s="610"/>
      <c r="AO63" s="632" t="s">
        <v>341</v>
      </c>
      <c r="AP63" s="610"/>
      <c r="AQ63" s="610"/>
      <c r="AR63" s="610"/>
      <c r="AS63" s="610"/>
      <c r="AT63" s="632" t="s">
        <v>342</v>
      </c>
      <c r="AU63" s="610"/>
      <c r="AV63" s="610"/>
      <c r="AW63" s="610"/>
      <c r="AX63" s="610"/>
    </row>
    <row r="64" spans="2:53">
      <c r="B64" s="604" t="s">
        <v>398</v>
      </c>
      <c r="C64" s="604" t="s">
        <v>408</v>
      </c>
      <c r="D64" s="604"/>
      <c r="E64" s="604" t="s">
        <v>399</v>
      </c>
      <c r="F64" s="604"/>
      <c r="G64" s="604"/>
      <c r="H64" s="637" t="s">
        <v>395</v>
      </c>
      <c r="I64" s="656" t="s">
        <v>400</v>
      </c>
      <c r="J64" s="656"/>
      <c r="K64" s="656"/>
      <c r="L64" s="657" t="s">
        <v>395</v>
      </c>
      <c r="M64" s="642" t="s">
        <v>396</v>
      </c>
      <c r="N64" s="604"/>
      <c r="O64" s="604" t="s">
        <v>401</v>
      </c>
      <c r="P64" s="623" t="s">
        <v>397</v>
      </c>
      <c r="Q64" s="624"/>
      <c r="R64" s="624"/>
      <c r="S64" s="625"/>
      <c r="T64" s="604" t="s">
        <v>395</v>
      </c>
      <c r="U64" s="623" t="s">
        <v>397</v>
      </c>
      <c r="V64" s="624"/>
      <c r="W64" s="624"/>
      <c r="X64" s="625"/>
      <c r="Y64" s="604" t="s">
        <v>395</v>
      </c>
      <c r="Z64" s="623" t="s">
        <v>397</v>
      </c>
      <c r="AA64" s="624"/>
      <c r="AB64" s="624"/>
      <c r="AC64" s="625"/>
      <c r="AD64" s="604" t="s">
        <v>395</v>
      </c>
      <c r="AE64" s="623" t="s">
        <v>397</v>
      </c>
      <c r="AF64" s="624"/>
      <c r="AG64" s="624"/>
      <c r="AH64" s="625"/>
      <c r="AI64" s="604" t="s">
        <v>395</v>
      </c>
      <c r="AJ64" s="623" t="s">
        <v>397</v>
      </c>
      <c r="AK64" s="624"/>
      <c r="AL64" s="624"/>
      <c r="AM64" s="625"/>
      <c r="AN64" s="604" t="s">
        <v>395</v>
      </c>
      <c r="AO64" s="623" t="s">
        <v>397</v>
      </c>
      <c r="AP64" s="624"/>
      <c r="AQ64" s="624"/>
      <c r="AR64" s="625"/>
      <c r="AS64" s="604" t="s">
        <v>395</v>
      </c>
      <c r="AT64" s="623" t="s">
        <v>397</v>
      </c>
      <c r="AU64" s="624"/>
      <c r="AV64" s="624"/>
      <c r="AW64" s="625"/>
      <c r="AX64" s="604" t="s">
        <v>395</v>
      </c>
      <c r="BA64" s="604" t="s">
        <v>395</v>
      </c>
    </row>
    <row r="65" spans="2:53">
      <c r="B65" s="604"/>
      <c r="C65" s="604"/>
      <c r="D65" s="604"/>
      <c r="E65" s="604" t="s">
        <v>402</v>
      </c>
      <c r="F65" s="604"/>
      <c r="G65" s="604"/>
      <c r="H65" s="638"/>
      <c r="I65" s="656" t="s">
        <v>402</v>
      </c>
      <c r="J65" s="656"/>
      <c r="K65" s="656"/>
      <c r="L65" s="658"/>
      <c r="M65" s="643"/>
      <c r="N65" s="604"/>
      <c r="O65" s="604"/>
      <c r="P65" s="623" t="s">
        <v>403</v>
      </c>
      <c r="Q65" s="624"/>
      <c r="R65" s="624"/>
      <c r="S65" s="625"/>
      <c r="T65" s="604"/>
      <c r="U65" s="623" t="s">
        <v>403</v>
      </c>
      <c r="V65" s="624"/>
      <c r="W65" s="624"/>
      <c r="X65" s="625"/>
      <c r="Y65" s="604"/>
      <c r="Z65" s="623" t="s">
        <v>403</v>
      </c>
      <c r="AA65" s="624"/>
      <c r="AB65" s="624"/>
      <c r="AC65" s="625"/>
      <c r="AD65" s="604"/>
      <c r="AE65" s="623" t="s">
        <v>403</v>
      </c>
      <c r="AF65" s="624"/>
      <c r="AG65" s="624"/>
      <c r="AH65" s="625"/>
      <c r="AI65" s="604"/>
      <c r="AJ65" s="623" t="s">
        <v>403</v>
      </c>
      <c r="AK65" s="624"/>
      <c r="AL65" s="624"/>
      <c r="AM65" s="625"/>
      <c r="AN65" s="604"/>
      <c r="AO65" s="623" t="s">
        <v>403</v>
      </c>
      <c r="AP65" s="624"/>
      <c r="AQ65" s="624"/>
      <c r="AR65" s="625"/>
      <c r="AS65" s="604"/>
      <c r="AT65" s="623" t="s">
        <v>403</v>
      </c>
      <c r="AU65" s="624"/>
      <c r="AV65" s="624"/>
      <c r="AW65" s="625"/>
      <c r="AX65" s="604"/>
      <c r="BA65" s="604"/>
    </row>
    <row r="66" spans="2:53">
      <c r="B66" s="604"/>
      <c r="C66" s="604"/>
      <c r="D66" s="604"/>
      <c r="E66" s="304" t="s">
        <v>404</v>
      </c>
      <c r="F66" s="304" t="s">
        <v>405</v>
      </c>
      <c r="G66" s="304" t="s">
        <v>406</v>
      </c>
      <c r="H66" s="639"/>
      <c r="I66" s="303" t="s">
        <v>404</v>
      </c>
      <c r="J66" s="303" t="s">
        <v>405</v>
      </c>
      <c r="K66" s="303" t="s">
        <v>406</v>
      </c>
      <c r="L66" s="659"/>
      <c r="M66" s="644"/>
      <c r="N66" s="604"/>
      <c r="O66" s="604"/>
      <c r="P66" s="304" t="s">
        <v>404</v>
      </c>
      <c r="Q66" s="304" t="s">
        <v>405</v>
      </c>
      <c r="R66" s="304" t="s">
        <v>406</v>
      </c>
      <c r="S66" s="304" t="s">
        <v>396</v>
      </c>
      <c r="T66" s="604"/>
      <c r="U66" s="304" t="s">
        <v>404</v>
      </c>
      <c r="V66" s="304" t="s">
        <v>405</v>
      </c>
      <c r="W66" s="304" t="s">
        <v>406</v>
      </c>
      <c r="X66" s="304" t="s">
        <v>396</v>
      </c>
      <c r="Y66" s="604"/>
      <c r="Z66" s="304" t="s">
        <v>404</v>
      </c>
      <c r="AA66" s="304" t="s">
        <v>405</v>
      </c>
      <c r="AB66" s="304" t="s">
        <v>406</v>
      </c>
      <c r="AC66" s="304" t="s">
        <v>396</v>
      </c>
      <c r="AD66" s="604"/>
      <c r="AE66" s="304" t="s">
        <v>404</v>
      </c>
      <c r="AF66" s="304" t="s">
        <v>405</v>
      </c>
      <c r="AG66" s="304" t="s">
        <v>406</v>
      </c>
      <c r="AH66" s="304" t="s">
        <v>396</v>
      </c>
      <c r="AI66" s="604"/>
      <c r="AJ66" s="304" t="s">
        <v>404</v>
      </c>
      <c r="AK66" s="304" t="s">
        <v>405</v>
      </c>
      <c r="AL66" s="304" t="s">
        <v>406</v>
      </c>
      <c r="AM66" s="304" t="s">
        <v>396</v>
      </c>
      <c r="AN66" s="604"/>
      <c r="AO66" s="304" t="s">
        <v>404</v>
      </c>
      <c r="AP66" s="304" t="s">
        <v>405</v>
      </c>
      <c r="AQ66" s="304" t="s">
        <v>406</v>
      </c>
      <c r="AR66" s="304" t="s">
        <v>396</v>
      </c>
      <c r="AS66" s="604"/>
      <c r="AT66" s="304" t="s">
        <v>404</v>
      </c>
      <c r="AU66" s="304" t="s">
        <v>405</v>
      </c>
      <c r="AV66" s="304" t="s">
        <v>406</v>
      </c>
      <c r="AW66" s="304" t="s">
        <v>396</v>
      </c>
      <c r="AX66" s="604"/>
      <c r="AZ66" s="520" t="s">
        <v>396</v>
      </c>
      <c r="BA66" s="604"/>
    </row>
    <row r="67" spans="2:53">
      <c r="B67" s="666" t="s">
        <v>407</v>
      </c>
      <c r="C67" s="305">
        <v>1</v>
      </c>
      <c r="D67" s="455" t="s">
        <v>385</v>
      </c>
      <c r="E67" s="518">
        <v>4</v>
      </c>
      <c r="F67" s="518">
        <v>2000</v>
      </c>
      <c r="G67" s="518">
        <v>500</v>
      </c>
      <c r="H67" s="667">
        <f>AVERAGE(G67:G81)</f>
        <v>284.12962962962968</v>
      </c>
      <c r="I67" s="513">
        <f t="shared" ref="I67:I80" si="57">IFERROR(AVERAGE(P67,U67,Z67,AE67,AJ67,AO67,AT67),"-")</f>
        <v>5</v>
      </c>
      <c r="J67" s="513">
        <f t="shared" ref="J67:J80" si="58">IFERROR(AVERAGE(Q67,V67,AA67,AF67,AK67,AP67,AU67),"-")</f>
        <v>2082.4583168913186</v>
      </c>
      <c r="K67" s="200">
        <f t="shared" ref="K67:K80" si="59">IFERROR(AVERAGE(R67,W67,AB67,AG67,AL67,AQ67,AV67),"-")</f>
        <v>416.49166337826369</v>
      </c>
      <c r="L67" s="620">
        <f>IFERROR(AVERAGE(K67:K81),"-")</f>
        <v>245.46056080714717</v>
      </c>
      <c r="M67" s="201">
        <f>RANK(K67, K$67:$K$81)</f>
        <v>1</v>
      </c>
      <c r="N67" s="604"/>
      <c r="O67" s="604"/>
      <c r="P67" s="536">
        <v>5</v>
      </c>
      <c r="Q67" s="538">
        <v>2098.1538461538457</v>
      </c>
      <c r="R67" s="538">
        <v>419.63076923076915</v>
      </c>
      <c r="S67" s="536">
        <f t="shared" ref="S67:S81" si="60">RANK(R67, R$67:R$81)</f>
        <v>1</v>
      </c>
      <c r="T67" s="599">
        <f t="shared" ref="T67" si="61">AVERAGE(R67:R81)</f>
        <v>241.80812603328937</v>
      </c>
      <c r="U67" s="536">
        <v>5</v>
      </c>
      <c r="V67" s="538">
        <v>2079.6610169491528</v>
      </c>
      <c r="W67" s="538">
        <v>415.93220338983053</v>
      </c>
      <c r="X67" s="536">
        <f t="shared" ref="X67:X81" si="62">RANK(W67, W$67:W$81)</f>
        <v>1</v>
      </c>
      <c r="Y67" s="599">
        <f t="shared" ref="Y67" si="63">AVERAGE(W67:W81)</f>
        <v>243.84769456065266</v>
      </c>
      <c r="Z67" s="536">
        <v>5</v>
      </c>
      <c r="AA67" s="538">
        <v>2118.9473684210529</v>
      </c>
      <c r="AB67" s="538">
        <v>423.78947368421058</v>
      </c>
      <c r="AC67" s="536">
        <f t="shared" ref="AC67:AC81" si="64">RANK(AB67, AB$67:AB$81)</f>
        <v>1</v>
      </c>
      <c r="AD67" s="599">
        <f t="shared" ref="AD67" si="65">AVERAGE(AB67:AB81)</f>
        <v>245.67913171392308</v>
      </c>
      <c r="AE67" s="536">
        <v>5</v>
      </c>
      <c r="AF67" s="538">
        <v>2063.5294117647049</v>
      </c>
      <c r="AG67" s="538">
        <v>412.70588235294099</v>
      </c>
      <c r="AH67" s="536">
        <f t="shared" ref="AH67:AH81" si="66">RANK(AG67, AG$67:AG$81)</f>
        <v>1</v>
      </c>
      <c r="AI67" s="599">
        <f t="shared" ref="AI67" si="67">AVERAGE(AG67:AG81)</f>
        <v>240.52619078513519</v>
      </c>
      <c r="AJ67" s="536">
        <v>5</v>
      </c>
      <c r="AK67" s="538">
        <v>2055.2542372881358</v>
      </c>
      <c r="AL67" s="538">
        <v>411.05084745762713</v>
      </c>
      <c r="AM67" s="536">
        <f t="shared" ref="AM67:AM81" si="68">RANK(AL67, AL$67:AL$81)</f>
        <v>3</v>
      </c>
      <c r="AN67" s="599">
        <f t="shared" ref="AN67" si="69">AVERAGE(AL67:AL81)</f>
        <v>250.624320193063</v>
      </c>
      <c r="AO67" s="536">
        <v>5</v>
      </c>
      <c r="AP67" s="538">
        <v>2063.3766233766232</v>
      </c>
      <c r="AQ67" s="538">
        <v>412.67532467532465</v>
      </c>
      <c r="AR67" s="536">
        <f t="shared" ref="AR67:AR81" si="70">RANK(AQ67, AQ$67:AQ$81)</f>
        <v>2</v>
      </c>
      <c r="AS67" s="599">
        <f t="shared" ref="AS67" si="71">AVERAGE(AQ67:AQ81)</f>
        <v>246.83337962435385</v>
      </c>
      <c r="AT67" s="536">
        <v>5</v>
      </c>
      <c r="AU67" s="538">
        <v>2098.2857142857147</v>
      </c>
      <c r="AV67" s="538">
        <v>419.65714285714296</v>
      </c>
      <c r="AW67" s="536">
        <f t="shared" ref="AW67:AW81" si="72">RANK(AV67, AV$67:AV$81)</f>
        <v>2</v>
      </c>
      <c r="AX67" s="599">
        <f t="shared" ref="AX67" si="73">AVERAGE(AV67:AV81)</f>
        <v>248.90508273961308</v>
      </c>
      <c r="AZ67" s="521" t="e">
        <f t="shared" ref="AZ67:AZ81" si="74">RANK(AY67, AY$67:AY$81)</f>
        <v>#N/A</v>
      </c>
      <c r="BA67" s="599" t="e">
        <f t="shared" ref="BA67" si="75">AVERAGE(AY67:AY81)</f>
        <v>#DIV/0!</v>
      </c>
    </row>
    <row r="68" spans="2:53">
      <c r="B68" s="610"/>
      <c r="C68" s="305">
        <v>2</v>
      </c>
      <c r="D68" s="455" t="s">
        <v>464</v>
      </c>
      <c r="E68" s="518">
        <v>4</v>
      </c>
      <c r="F68" s="518">
        <v>2000</v>
      </c>
      <c r="G68" s="518">
        <v>500</v>
      </c>
      <c r="H68" s="668"/>
      <c r="I68" s="513">
        <f t="shared" si="57"/>
        <v>5</v>
      </c>
      <c r="J68" s="513">
        <f t="shared" si="58"/>
        <v>2073.779085146899</v>
      </c>
      <c r="K68" s="200">
        <f t="shared" si="59"/>
        <v>414.75581702937967</v>
      </c>
      <c r="L68" s="621"/>
      <c r="M68" s="201">
        <f>RANK(K68, K$67:$K$81)</f>
        <v>2</v>
      </c>
      <c r="N68" s="604"/>
      <c r="O68" s="604"/>
      <c r="P68" s="536">
        <v>5</v>
      </c>
      <c r="Q68" s="538">
        <v>2056.6153846153852</v>
      </c>
      <c r="R68" s="538">
        <v>411.32307692307705</v>
      </c>
      <c r="S68" s="536">
        <f t="shared" si="60"/>
        <v>2</v>
      </c>
      <c r="T68" s="600"/>
      <c r="U68" s="536">
        <v>5</v>
      </c>
      <c r="V68" s="538">
        <v>2059.6551724137921</v>
      </c>
      <c r="W68" s="538">
        <v>411.93103448275843</v>
      </c>
      <c r="X68" s="536">
        <f t="shared" si="62"/>
        <v>2</v>
      </c>
      <c r="Y68" s="600"/>
      <c r="Z68" s="536">
        <v>5</v>
      </c>
      <c r="AA68" s="538">
        <v>2072.7272727272725</v>
      </c>
      <c r="AB68" s="538">
        <v>414.5454545454545</v>
      </c>
      <c r="AC68" s="536">
        <f t="shared" si="64"/>
        <v>2</v>
      </c>
      <c r="AD68" s="600"/>
      <c r="AE68" s="536">
        <v>5</v>
      </c>
      <c r="AF68" s="538">
        <v>2044.7058823529419</v>
      </c>
      <c r="AG68" s="538">
        <v>408.9411764705884</v>
      </c>
      <c r="AH68" s="536">
        <f t="shared" si="66"/>
        <v>2</v>
      </c>
      <c r="AI68" s="600"/>
      <c r="AJ68" s="536">
        <v>5</v>
      </c>
      <c r="AK68" s="538">
        <v>2097.8571428571431</v>
      </c>
      <c r="AL68" s="538">
        <v>419.57142857142861</v>
      </c>
      <c r="AM68" s="536">
        <f t="shared" si="68"/>
        <v>2</v>
      </c>
      <c r="AN68" s="600"/>
      <c r="AO68" s="536">
        <v>5</v>
      </c>
      <c r="AP68" s="538">
        <v>2063.6619718309862</v>
      </c>
      <c r="AQ68" s="538">
        <v>412.73239436619724</v>
      </c>
      <c r="AR68" s="536">
        <f t="shared" si="70"/>
        <v>1</v>
      </c>
      <c r="AS68" s="600"/>
      <c r="AT68" s="536">
        <v>5</v>
      </c>
      <c r="AU68" s="538">
        <v>2121.2307692307704</v>
      </c>
      <c r="AV68" s="538">
        <v>424.24615384615407</v>
      </c>
      <c r="AW68" s="536">
        <f t="shared" si="72"/>
        <v>1</v>
      </c>
      <c r="AX68" s="600"/>
      <c r="AZ68" s="521" t="e">
        <f t="shared" si="74"/>
        <v>#N/A</v>
      </c>
      <c r="BA68" s="600"/>
    </row>
    <row r="69" spans="2:53">
      <c r="B69" s="610"/>
      <c r="C69" s="305">
        <v>3</v>
      </c>
      <c r="D69" s="455" t="s">
        <v>386</v>
      </c>
      <c r="E69" s="518">
        <v>12</v>
      </c>
      <c r="F69" s="518">
        <v>2118</v>
      </c>
      <c r="G69" s="518">
        <v>176.5</v>
      </c>
      <c r="H69" s="668"/>
      <c r="I69" s="513">
        <f t="shared" si="57"/>
        <v>12</v>
      </c>
      <c r="J69" s="513">
        <f t="shared" si="58"/>
        <v>2005.6781869532608</v>
      </c>
      <c r="K69" s="200">
        <f t="shared" si="59"/>
        <v>167.13984891277173</v>
      </c>
      <c r="L69" s="621"/>
      <c r="M69" s="201">
        <f>RANK(K69, K$67:$K$81)</f>
        <v>7</v>
      </c>
      <c r="N69" s="604"/>
      <c r="O69" s="604"/>
      <c r="P69" s="536">
        <v>12</v>
      </c>
      <c r="Q69" s="538">
        <v>2003.4374999999995</v>
      </c>
      <c r="R69" s="538">
        <v>166.95312499999997</v>
      </c>
      <c r="S69" s="536">
        <f t="shared" si="60"/>
        <v>6</v>
      </c>
      <c r="T69" s="600"/>
      <c r="U69" s="536">
        <v>12</v>
      </c>
      <c r="V69" s="538">
        <v>1992.0000000000007</v>
      </c>
      <c r="W69" s="538">
        <v>166.00000000000006</v>
      </c>
      <c r="X69" s="536">
        <f t="shared" si="62"/>
        <v>7</v>
      </c>
      <c r="Y69" s="600"/>
      <c r="Z69" s="536">
        <v>12</v>
      </c>
      <c r="AA69" s="538">
        <v>1997.0000000000002</v>
      </c>
      <c r="AB69" s="538">
        <v>166.41666666666669</v>
      </c>
      <c r="AC69" s="536">
        <f t="shared" si="64"/>
        <v>7</v>
      </c>
      <c r="AD69" s="600"/>
      <c r="AE69" s="536">
        <v>12</v>
      </c>
      <c r="AF69" s="538">
        <v>2027.7777777777774</v>
      </c>
      <c r="AG69" s="538">
        <v>168.98148148148144</v>
      </c>
      <c r="AH69" s="536">
        <f t="shared" si="66"/>
        <v>5</v>
      </c>
      <c r="AI69" s="600"/>
      <c r="AJ69" s="536">
        <v>12</v>
      </c>
      <c r="AK69" s="538">
        <v>2027.4193548387104</v>
      </c>
      <c r="AL69" s="538">
        <v>168.95161290322588</v>
      </c>
      <c r="AM69" s="536">
        <f t="shared" si="68"/>
        <v>6</v>
      </c>
      <c r="AN69" s="600"/>
      <c r="AO69" s="536">
        <v>12</v>
      </c>
      <c r="AP69" s="538">
        <v>1999.4366197183103</v>
      </c>
      <c r="AQ69" s="538">
        <v>166.61971830985919</v>
      </c>
      <c r="AR69" s="536">
        <f t="shared" si="70"/>
        <v>8</v>
      </c>
      <c r="AS69" s="600"/>
      <c r="AT69" s="536">
        <v>12</v>
      </c>
      <c r="AU69" s="538">
        <v>1992.6760563380285</v>
      </c>
      <c r="AV69" s="538">
        <v>166.05633802816905</v>
      </c>
      <c r="AW69" s="536">
        <f t="shared" si="72"/>
        <v>8</v>
      </c>
      <c r="AX69" s="600"/>
      <c r="AZ69" s="521" t="e">
        <f t="shared" si="74"/>
        <v>#N/A</v>
      </c>
      <c r="BA69" s="600"/>
    </row>
    <row r="70" spans="2:53">
      <c r="B70" s="610"/>
      <c r="C70" s="305">
        <v>4</v>
      </c>
      <c r="D70" s="455" t="s">
        <v>782</v>
      </c>
      <c r="E70" s="518">
        <v>13</v>
      </c>
      <c r="F70" s="518">
        <v>2250</v>
      </c>
      <c r="G70" s="518">
        <v>187.5</v>
      </c>
      <c r="H70" s="668"/>
      <c r="I70" s="513">
        <f t="shared" si="57"/>
        <v>13</v>
      </c>
      <c r="J70" s="513">
        <f t="shared" si="58"/>
        <v>2176.7463872835556</v>
      </c>
      <c r="K70" s="200">
        <f t="shared" si="59"/>
        <v>167.4420297910427</v>
      </c>
      <c r="L70" s="621"/>
      <c r="M70" s="201">
        <f>RANK(K70, K$67:$K$81)</f>
        <v>6</v>
      </c>
      <c r="N70" s="604"/>
      <c r="O70" s="604"/>
      <c r="P70" s="536">
        <v>13</v>
      </c>
      <c r="Q70" s="538">
        <v>2164.3298969072162</v>
      </c>
      <c r="R70" s="538">
        <v>166.48691514670892</v>
      </c>
      <c r="S70" s="536">
        <f t="shared" si="60"/>
        <v>7</v>
      </c>
      <c r="T70" s="600"/>
      <c r="U70" s="536">
        <v>13</v>
      </c>
      <c r="V70" s="538">
        <v>2168.0898876404494</v>
      </c>
      <c r="W70" s="538">
        <v>166.7761452031115</v>
      </c>
      <c r="X70" s="536">
        <f t="shared" si="62"/>
        <v>6</v>
      </c>
      <c r="Y70" s="600"/>
      <c r="Z70" s="536">
        <v>13</v>
      </c>
      <c r="AA70" s="538">
        <v>2168.3720930232557</v>
      </c>
      <c r="AB70" s="538">
        <v>166.79785330948121</v>
      </c>
      <c r="AC70" s="536">
        <f t="shared" si="64"/>
        <v>6</v>
      </c>
      <c r="AD70" s="600"/>
      <c r="AE70" s="536">
        <v>13</v>
      </c>
      <c r="AF70" s="538">
        <v>2179.2857142857147</v>
      </c>
      <c r="AG70" s="538">
        <v>167.63736263736266</v>
      </c>
      <c r="AH70" s="536">
        <f t="shared" si="66"/>
        <v>6</v>
      </c>
      <c r="AI70" s="600"/>
      <c r="AJ70" s="536">
        <v>13</v>
      </c>
      <c r="AK70" s="538">
        <v>2181.098901098901</v>
      </c>
      <c r="AL70" s="538">
        <v>167.77683854606931</v>
      </c>
      <c r="AM70" s="536">
        <f t="shared" si="68"/>
        <v>7</v>
      </c>
      <c r="AN70" s="600"/>
      <c r="AO70" s="536">
        <v>13</v>
      </c>
      <c r="AP70" s="538">
        <v>2216.6037735849059</v>
      </c>
      <c r="AQ70" s="538">
        <v>170.50798258345429</v>
      </c>
      <c r="AR70" s="536">
        <f t="shared" si="70"/>
        <v>5</v>
      </c>
      <c r="AS70" s="600"/>
      <c r="AT70" s="536">
        <v>13</v>
      </c>
      <c r="AU70" s="538">
        <v>2159.4444444444448</v>
      </c>
      <c r="AV70" s="538">
        <v>166.11111111111114</v>
      </c>
      <c r="AW70" s="536">
        <f t="shared" si="72"/>
        <v>7</v>
      </c>
      <c r="AX70" s="600"/>
      <c r="AZ70" s="521" t="e">
        <f t="shared" si="74"/>
        <v>#N/A</v>
      </c>
      <c r="BA70" s="600"/>
    </row>
    <row r="71" spans="2:53">
      <c r="B71" s="610"/>
      <c r="C71" s="305">
        <v>5</v>
      </c>
      <c r="D71" s="455" t="s">
        <v>387</v>
      </c>
      <c r="E71" s="518">
        <v>13</v>
      </c>
      <c r="F71" s="518">
        <v>2250</v>
      </c>
      <c r="G71" s="518">
        <v>173.1</v>
      </c>
      <c r="H71" s="668"/>
      <c r="I71" s="513">
        <f t="shared" si="57"/>
        <v>13</v>
      </c>
      <c r="J71" s="513">
        <f t="shared" si="58"/>
        <v>2198.3777777777773</v>
      </c>
      <c r="K71" s="200">
        <f t="shared" si="59"/>
        <v>169.1059829059829</v>
      </c>
      <c r="L71" s="621"/>
      <c r="M71" s="201">
        <f>RANK(K71, K$67:$K$81)</f>
        <v>5</v>
      </c>
      <c r="N71" s="604"/>
      <c r="O71" s="604"/>
      <c r="P71" s="536">
        <v>13</v>
      </c>
      <c r="Q71" s="538">
        <v>2216.1111111111118</v>
      </c>
      <c r="R71" s="538">
        <v>170.47008547008551</v>
      </c>
      <c r="S71" s="536">
        <f t="shared" si="60"/>
        <v>5</v>
      </c>
      <c r="T71" s="600"/>
      <c r="U71" s="536">
        <v>13</v>
      </c>
      <c r="V71" s="538">
        <v>2200.1999999999994</v>
      </c>
      <c r="W71" s="538">
        <v>169.24615384615379</v>
      </c>
      <c r="X71" s="536">
        <f t="shared" si="62"/>
        <v>5</v>
      </c>
      <c r="Y71" s="600"/>
      <c r="Z71" s="536">
        <v>13</v>
      </c>
      <c r="AA71" s="538">
        <v>2205.161290322581</v>
      </c>
      <c r="AB71" s="538">
        <v>169.62779156327545</v>
      </c>
      <c r="AC71" s="536">
        <f t="shared" si="64"/>
        <v>5</v>
      </c>
      <c r="AD71" s="600"/>
      <c r="AE71" s="536">
        <v>13</v>
      </c>
      <c r="AF71" s="538">
        <v>2154.8387096774186</v>
      </c>
      <c r="AG71" s="538">
        <v>165.75682382133988</v>
      </c>
      <c r="AH71" s="536">
        <f t="shared" si="66"/>
        <v>7</v>
      </c>
      <c r="AI71" s="600"/>
      <c r="AJ71" s="536">
        <v>13</v>
      </c>
      <c r="AK71" s="538">
        <v>2213.9999999999991</v>
      </c>
      <c r="AL71" s="538">
        <v>170.30769230769224</v>
      </c>
      <c r="AM71" s="536">
        <f t="shared" si="68"/>
        <v>5</v>
      </c>
      <c r="AN71" s="600"/>
      <c r="AO71" s="536">
        <v>13</v>
      </c>
      <c r="AP71" s="538">
        <v>2205</v>
      </c>
      <c r="AQ71" s="538">
        <v>169.61538461538461</v>
      </c>
      <c r="AR71" s="536">
        <f t="shared" si="70"/>
        <v>6</v>
      </c>
      <c r="AS71" s="600"/>
      <c r="AT71" s="536">
        <v>13</v>
      </c>
      <c r="AU71" s="538">
        <v>2193.333333333333</v>
      </c>
      <c r="AV71" s="538">
        <v>168.7179487179487</v>
      </c>
      <c r="AW71" s="536">
        <f t="shared" si="72"/>
        <v>5</v>
      </c>
      <c r="AX71" s="600"/>
      <c r="AZ71" s="521" t="e">
        <f t="shared" si="74"/>
        <v>#N/A</v>
      </c>
      <c r="BA71" s="600"/>
    </row>
    <row r="72" spans="2:53">
      <c r="B72" s="610"/>
      <c r="C72" s="305">
        <v>6</v>
      </c>
      <c r="D72" s="455" t="s">
        <v>388</v>
      </c>
      <c r="E72" s="518">
        <v>10</v>
      </c>
      <c r="F72" s="518">
        <v>2769</v>
      </c>
      <c r="G72" s="518">
        <v>276.89999999999998</v>
      </c>
      <c r="H72" s="668"/>
      <c r="I72" s="513">
        <f t="shared" si="57"/>
        <v>10</v>
      </c>
      <c r="J72" s="513">
        <f t="shared" si="58"/>
        <v>2679.7186015229122</v>
      </c>
      <c r="K72" s="200">
        <f t="shared" si="59"/>
        <v>267.97186015229124</v>
      </c>
      <c r="L72" s="621"/>
      <c r="M72" s="201">
        <f>RANK(K72, K$67:$K$81)</f>
        <v>4</v>
      </c>
      <c r="N72" s="604"/>
      <c r="O72" s="604"/>
      <c r="P72" s="536">
        <v>10</v>
      </c>
      <c r="Q72" s="538">
        <v>2712.8000000000011</v>
      </c>
      <c r="R72" s="538">
        <v>271.28000000000009</v>
      </c>
      <c r="S72" s="536">
        <f t="shared" si="60"/>
        <v>4</v>
      </c>
      <c r="T72" s="600"/>
      <c r="U72" s="536">
        <v>10</v>
      </c>
      <c r="V72" s="538">
        <v>2687.1428571428569</v>
      </c>
      <c r="W72" s="538">
        <v>268.71428571428567</v>
      </c>
      <c r="X72" s="536">
        <f t="shared" si="62"/>
        <v>4</v>
      </c>
      <c r="Y72" s="600"/>
      <c r="Z72" s="536">
        <v>10</v>
      </c>
      <c r="AA72" s="538">
        <v>2544.0789473684217</v>
      </c>
      <c r="AB72" s="538">
        <v>254.40789473684217</v>
      </c>
      <c r="AC72" s="536">
        <f t="shared" si="64"/>
        <v>4</v>
      </c>
      <c r="AD72" s="600"/>
      <c r="AE72" s="536">
        <v>10</v>
      </c>
      <c r="AF72" s="538">
        <v>2686.5306122448987</v>
      </c>
      <c r="AG72" s="538">
        <v>268.65306122448987</v>
      </c>
      <c r="AH72" s="536">
        <f t="shared" si="66"/>
        <v>4</v>
      </c>
      <c r="AI72" s="600"/>
      <c r="AJ72" s="536">
        <v>10</v>
      </c>
      <c r="AK72" s="538">
        <v>2700.754716981131</v>
      </c>
      <c r="AL72" s="538">
        <v>270.07547169811312</v>
      </c>
      <c r="AM72" s="536">
        <f t="shared" si="68"/>
        <v>4</v>
      </c>
      <c r="AN72" s="600"/>
      <c r="AO72" s="536">
        <v>10</v>
      </c>
      <c r="AP72" s="538">
        <v>2719.7999999999993</v>
      </c>
      <c r="AQ72" s="538">
        <v>271.9799999999999</v>
      </c>
      <c r="AR72" s="536">
        <f t="shared" si="70"/>
        <v>4</v>
      </c>
      <c r="AS72" s="600"/>
      <c r="AT72" s="536">
        <v>10</v>
      </c>
      <c r="AU72" s="538">
        <v>2706.923076923078</v>
      </c>
      <c r="AV72" s="538">
        <v>270.69230769230779</v>
      </c>
      <c r="AW72" s="536">
        <f t="shared" si="72"/>
        <v>4</v>
      </c>
      <c r="AX72" s="600"/>
      <c r="AZ72" s="521" t="e">
        <f t="shared" si="74"/>
        <v>#N/A</v>
      </c>
      <c r="BA72" s="600"/>
    </row>
    <row r="73" spans="2:53">
      <c r="B73" s="610"/>
      <c r="C73" s="305">
        <v>7</v>
      </c>
      <c r="D73" s="455" t="s">
        <v>384</v>
      </c>
      <c r="E73" s="518">
        <v>18</v>
      </c>
      <c r="F73" s="518">
        <v>1200</v>
      </c>
      <c r="G73" s="518">
        <v>66.666666666666671</v>
      </c>
      <c r="H73" s="668"/>
      <c r="I73" s="513">
        <f t="shared" si="57"/>
        <v>18.285714285714285</v>
      </c>
      <c r="J73" s="513">
        <f t="shared" si="58"/>
        <v>1131.0849290133497</v>
      </c>
      <c r="K73" s="200">
        <f t="shared" si="59"/>
        <v>61.846177526151578</v>
      </c>
      <c r="L73" s="621"/>
      <c r="M73" s="201">
        <f>RANK(K73, K$67:$K$81)</f>
        <v>9</v>
      </c>
      <c r="N73" s="604"/>
      <c r="O73" s="604"/>
      <c r="P73" s="536">
        <v>19</v>
      </c>
      <c r="Q73" s="538">
        <v>1151.3207547169818</v>
      </c>
      <c r="R73" s="538">
        <v>60.595829195630621</v>
      </c>
      <c r="S73" s="536">
        <f t="shared" si="60"/>
        <v>9</v>
      </c>
      <c r="T73" s="600"/>
      <c r="U73" s="536">
        <v>19</v>
      </c>
      <c r="V73" s="538">
        <v>1223.2258064516132</v>
      </c>
      <c r="W73" s="538">
        <v>64.380305602716476</v>
      </c>
      <c r="X73" s="536">
        <f t="shared" si="62"/>
        <v>9</v>
      </c>
      <c r="Y73" s="600"/>
      <c r="Z73" s="536">
        <v>18</v>
      </c>
      <c r="AA73" s="538">
        <v>1080.5940594059409</v>
      </c>
      <c r="AB73" s="538">
        <v>60.033003300330051</v>
      </c>
      <c r="AC73" s="536">
        <f t="shared" si="64"/>
        <v>9</v>
      </c>
      <c r="AD73" s="600"/>
      <c r="AE73" s="536">
        <v>18</v>
      </c>
      <c r="AF73" s="538">
        <v>1162.9787234042553</v>
      </c>
      <c r="AG73" s="538">
        <v>64.60992907801419</v>
      </c>
      <c r="AH73" s="536">
        <f t="shared" si="66"/>
        <v>9</v>
      </c>
      <c r="AI73" s="600"/>
      <c r="AJ73" s="536">
        <v>18</v>
      </c>
      <c r="AK73" s="538">
        <v>1106.666666666667</v>
      </c>
      <c r="AL73" s="538">
        <v>61.481481481481495</v>
      </c>
      <c r="AM73" s="536">
        <f t="shared" si="68"/>
        <v>9</v>
      </c>
      <c r="AN73" s="600"/>
      <c r="AO73" s="536">
        <v>18</v>
      </c>
      <c r="AP73" s="538">
        <v>1093.9655172413786</v>
      </c>
      <c r="AQ73" s="538">
        <v>60.77586206896548</v>
      </c>
      <c r="AR73" s="536">
        <f t="shared" si="70"/>
        <v>9</v>
      </c>
      <c r="AS73" s="600"/>
      <c r="AT73" s="536">
        <v>18</v>
      </c>
      <c r="AU73" s="538">
        <v>1098.8429752066111</v>
      </c>
      <c r="AV73" s="538">
        <v>61.046831955922841</v>
      </c>
      <c r="AW73" s="536">
        <f t="shared" si="72"/>
        <v>9</v>
      </c>
      <c r="AX73" s="600"/>
      <c r="AZ73" s="521" t="e">
        <f t="shared" si="74"/>
        <v>#N/A</v>
      </c>
      <c r="BA73" s="600"/>
    </row>
    <row r="74" spans="2:53">
      <c r="B74" s="610"/>
      <c r="C74" s="305">
        <v>8</v>
      </c>
      <c r="D74" s="455" t="s">
        <v>674</v>
      </c>
      <c r="E74" s="518">
        <v>12</v>
      </c>
      <c r="F74" s="518">
        <v>2118</v>
      </c>
      <c r="G74" s="518">
        <v>176.5</v>
      </c>
      <c r="H74" s="668"/>
      <c r="I74" s="513">
        <f t="shared" si="57"/>
        <v>12</v>
      </c>
      <c r="J74" s="513">
        <f t="shared" si="58"/>
        <v>1994.2699356333262</v>
      </c>
      <c r="K74" s="200">
        <f t="shared" si="59"/>
        <v>166.18916130277719</v>
      </c>
      <c r="L74" s="621"/>
      <c r="M74" s="201">
        <f>RANK(K74, K$67:$K$81)</f>
        <v>8</v>
      </c>
      <c r="N74" s="604"/>
      <c r="O74" s="604"/>
      <c r="P74" s="536">
        <v>12</v>
      </c>
      <c r="Q74" s="538">
        <v>1995.9999999999991</v>
      </c>
      <c r="R74" s="538">
        <v>166.33333333333326</v>
      </c>
      <c r="S74" s="536">
        <f t="shared" si="60"/>
        <v>8</v>
      </c>
      <c r="T74" s="600"/>
      <c r="U74" s="536">
        <v>12</v>
      </c>
      <c r="V74" s="538">
        <v>1991.578947368421</v>
      </c>
      <c r="W74" s="538">
        <v>165.96491228070175</v>
      </c>
      <c r="X74" s="536">
        <f t="shared" si="62"/>
        <v>8</v>
      </c>
      <c r="Y74" s="600"/>
      <c r="Z74" s="536">
        <v>12</v>
      </c>
      <c r="AA74" s="538">
        <v>1993.9285714285713</v>
      </c>
      <c r="AB74" s="538">
        <v>166.16071428571428</v>
      </c>
      <c r="AC74" s="536">
        <f t="shared" si="64"/>
        <v>8</v>
      </c>
      <c r="AD74" s="600"/>
      <c r="AE74" s="536">
        <v>12</v>
      </c>
      <c r="AF74" s="538">
        <v>1976.399999999999</v>
      </c>
      <c r="AG74" s="538">
        <v>164.6999999999999</v>
      </c>
      <c r="AH74" s="536">
        <f t="shared" si="66"/>
        <v>8</v>
      </c>
      <c r="AI74" s="600"/>
      <c r="AJ74" s="536">
        <v>12</v>
      </c>
      <c r="AK74" s="538">
        <v>1996.8421052631579</v>
      </c>
      <c r="AL74" s="538">
        <v>166.40350877192984</v>
      </c>
      <c r="AM74" s="536">
        <f t="shared" si="68"/>
        <v>8</v>
      </c>
      <c r="AN74" s="600"/>
      <c r="AO74" s="536">
        <v>12</v>
      </c>
      <c r="AP74" s="538">
        <v>2008.1249999999995</v>
      </c>
      <c r="AQ74" s="538">
        <v>167.34374999999997</v>
      </c>
      <c r="AR74" s="536">
        <f t="shared" si="70"/>
        <v>7</v>
      </c>
      <c r="AS74" s="600"/>
      <c r="AT74" s="536">
        <v>12</v>
      </c>
      <c r="AU74" s="538">
        <v>1997.0149253731345</v>
      </c>
      <c r="AV74" s="538">
        <v>166.41791044776122</v>
      </c>
      <c r="AW74" s="536">
        <f t="shared" si="72"/>
        <v>6</v>
      </c>
      <c r="AX74" s="600"/>
      <c r="AZ74" s="521" t="e">
        <f t="shared" si="74"/>
        <v>#N/A</v>
      </c>
      <c r="BA74" s="600"/>
    </row>
    <row r="75" spans="2:53">
      <c r="B75" s="610"/>
      <c r="C75" s="305">
        <v>9</v>
      </c>
      <c r="D75" s="455" t="s">
        <v>767</v>
      </c>
      <c r="E75" s="518">
        <v>4</v>
      </c>
      <c r="F75" s="518">
        <v>2000</v>
      </c>
      <c r="G75" s="518">
        <v>500</v>
      </c>
      <c r="H75" s="668"/>
      <c r="I75" s="513">
        <f t="shared" si="57"/>
        <v>5</v>
      </c>
      <c r="J75" s="513">
        <f t="shared" si="58"/>
        <v>1891.0125313283193</v>
      </c>
      <c r="K75" s="200">
        <f t="shared" si="59"/>
        <v>378.20250626566383</v>
      </c>
      <c r="L75" s="621"/>
      <c r="M75" s="201">
        <f>RANK(K75, K$67:$K$81)</f>
        <v>3</v>
      </c>
      <c r="N75" s="604"/>
      <c r="O75" s="604"/>
      <c r="P75" s="536">
        <v>5</v>
      </c>
      <c r="Q75" s="538">
        <v>1715.9999999999995</v>
      </c>
      <c r="R75" s="538">
        <v>343.19999999999993</v>
      </c>
      <c r="S75" s="536">
        <f t="shared" si="60"/>
        <v>3</v>
      </c>
      <c r="T75" s="600"/>
      <c r="U75" s="536">
        <v>5</v>
      </c>
      <c r="V75" s="538">
        <v>1828.4210526315776</v>
      </c>
      <c r="W75" s="538">
        <v>365.6842105263155</v>
      </c>
      <c r="X75" s="536">
        <f t="shared" si="62"/>
        <v>3</v>
      </c>
      <c r="Y75" s="600"/>
      <c r="Z75" s="536">
        <v>5</v>
      </c>
      <c r="AA75" s="538">
        <v>1946.6666666666654</v>
      </c>
      <c r="AB75" s="538">
        <v>389.33333333333309</v>
      </c>
      <c r="AC75" s="536">
        <f t="shared" si="64"/>
        <v>3</v>
      </c>
      <c r="AD75" s="600"/>
      <c r="AE75" s="536">
        <v>5</v>
      </c>
      <c r="AF75" s="538">
        <v>1713.7499999999977</v>
      </c>
      <c r="AG75" s="538">
        <v>342.74999999999955</v>
      </c>
      <c r="AH75" s="536">
        <f t="shared" si="66"/>
        <v>3</v>
      </c>
      <c r="AI75" s="600"/>
      <c r="AJ75" s="536">
        <v>5</v>
      </c>
      <c r="AK75" s="538">
        <v>2099.9999999999964</v>
      </c>
      <c r="AL75" s="538">
        <v>419.99999999999926</v>
      </c>
      <c r="AM75" s="536">
        <f t="shared" si="68"/>
        <v>1</v>
      </c>
      <c r="AN75" s="600"/>
      <c r="AO75" s="536">
        <v>5</v>
      </c>
      <c r="AP75" s="538">
        <v>1946.2499999999975</v>
      </c>
      <c r="AQ75" s="538">
        <v>389.24999999999949</v>
      </c>
      <c r="AR75" s="536">
        <f t="shared" si="70"/>
        <v>3</v>
      </c>
      <c r="AS75" s="600"/>
      <c r="AT75" s="536">
        <v>5</v>
      </c>
      <c r="AU75" s="538">
        <v>1985.9999999999993</v>
      </c>
      <c r="AV75" s="538">
        <v>397.19999999999987</v>
      </c>
      <c r="AW75" s="536">
        <f t="shared" si="72"/>
        <v>3</v>
      </c>
      <c r="AX75" s="600"/>
      <c r="AZ75" s="521" t="e">
        <f t="shared" si="74"/>
        <v>#N/A</v>
      </c>
      <c r="BA75" s="600"/>
    </row>
    <row r="76" spans="2:53">
      <c r="B76" s="610"/>
      <c r="C76" s="305">
        <v>10</v>
      </c>
      <c r="D76" s="455"/>
      <c r="E76" s="518"/>
      <c r="F76" s="518"/>
      <c r="G76" s="518"/>
      <c r="H76" s="668"/>
      <c r="I76" s="513" t="str">
        <f t="shared" si="57"/>
        <v>-</v>
      </c>
      <c r="J76" s="513" t="str">
        <f t="shared" si="58"/>
        <v>-</v>
      </c>
      <c r="K76" s="200" t="str">
        <f t="shared" si="59"/>
        <v>-</v>
      </c>
      <c r="L76" s="621"/>
      <c r="M76" s="201" t="e">
        <f>RANK(K76, K$67:$K$81)</f>
        <v>#VALUE!</v>
      </c>
      <c r="N76" s="604"/>
      <c r="O76" s="604"/>
      <c r="P76" s="538" t="s">
        <v>822</v>
      </c>
      <c r="Q76" s="538" t="s">
        <v>822</v>
      </c>
      <c r="R76" s="538" t="s">
        <v>822</v>
      </c>
      <c r="S76" s="536" t="e">
        <f t="shared" si="60"/>
        <v>#VALUE!</v>
      </c>
      <c r="T76" s="600"/>
      <c r="U76" s="538" t="s">
        <v>822</v>
      </c>
      <c r="V76" s="538" t="s">
        <v>822</v>
      </c>
      <c r="W76" s="538" t="s">
        <v>822</v>
      </c>
      <c r="X76" s="536" t="e">
        <f t="shared" si="62"/>
        <v>#VALUE!</v>
      </c>
      <c r="Y76" s="600"/>
      <c r="Z76" s="538" t="s">
        <v>822</v>
      </c>
      <c r="AA76" s="538" t="s">
        <v>822</v>
      </c>
      <c r="AB76" s="538" t="s">
        <v>822</v>
      </c>
      <c r="AC76" s="536" t="e">
        <f t="shared" si="64"/>
        <v>#VALUE!</v>
      </c>
      <c r="AD76" s="600"/>
      <c r="AE76" s="538" t="s">
        <v>822</v>
      </c>
      <c r="AF76" s="538" t="s">
        <v>822</v>
      </c>
      <c r="AG76" s="538" t="s">
        <v>822</v>
      </c>
      <c r="AH76" s="536" t="e">
        <f t="shared" si="66"/>
        <v>#VALUE!</v>
      </c>
      <c r="AI76" s="600"/>
      <c r="AJ76" s="538" t="s">
        <v>822</v>
      </c>
      <c r="AK76" s="538" t="s">
        <v>822</v>
      </c>
      <c r="AL76" s="538" t="s">
        <v>822</v>
      </c>
      <c r="AM76" s="536" t="e">
        <f t="shared" si="68"/>
        <v>#VALUE!</v>
      </c>
      <c r="AN76" s="600"/>
      <c r="AO76" s="538" t="s">
        <v>822</v>
      </c>
      <c r="AP76" s="538" t="s">
        <v>822</v>
      </c>
      <c r="AQ76" s="538" t="s">
        <v>822</v>
      </c>
      <c r="AR76" s="536" t="e">
        <f t="shared" si="70"/>
        <v>#VALUE!</v>
      </c>
      <c r="AS76" s="600"/>
      <c r="AT76" s="538" t="s">
        <v>822</v>
      </c>
      <c r="AU76" s="538" t="s">
        <v>822</v>
      </c>
      <c r="AV76" s="538" t="s">
        <v>822</v>
      </c>
      <c r="AW76" s="536" t="e">
        <f t="shared" si="72"/>
        <v>#VALUE!</v>
      </c>
      <c r="AX76" s="600"/>
      <c r="AZ76" s="521" t="e">
        <f t="shared" si="74"/>
        <v>#N/A</v>
      </c>
      <c r="BA76" s="600"/>
    </row>
    <row r="77" spans="2:53">
      <c r="B77" s="610"/>
      <c r="C77" s="305">
        <v>11</v>
      </c>
      <c r="D77" s="455"/>
      <c r="E77" s="518"/>
      <c r="F77" s="518"/>
      <c r="G77" s="518"/>
      <c r="H77" s="668"/>
      <c r="I77" s="513" t="str">
        <f t="shared" si="57"/>
        <v>-</v>
      </c>
      <c r="J77" s="513" t="str">
        <f t="shared" si="58"/>
        <v>-</v>
      </c>
      <c r="K77" s="200" t="str">
        <f t="shared" si="59"/>
        <v>-</v>
      </c>
      <c r="L77" s="621"/>
      <c r="M77" s="201" t="e">
        <f>RANK(K77, K$67:$K$81)</f>
        <v>#VALUE!</v>
      </c>
      <c r="N77" s="604"/>
      <c r="O77" s="604"/>
      <c r="P77" s="538" t="s">
        <v>822</v>
      </c>
      <c r="Q77" s="538" t="s">
        <v>822</v>
      </c>
      <c r="R77" s="538" t="s">
        <v>822</v>
      </c>
      <c r="S77" s="536" t="e">
        <f t="shared" si="60"/>
        <v>#VALUE!</v>
      </c>
      <c r="T77" s="600"/>
      <c r="U77" s="538" t="s">
        <v>822</v>
      </c>
      <c r="V77" s="538" t="s">
        <v>822</v>
      </c>
      <c r="W77" s="538" t="s">
        <v>822</v>
      </c>
      <c r="X77" s="536" t="e">
        <f t="shared" si="62"/>
        <v>#VALUE!</v>
      </c>
      <c r="Y77" s="600"/>
      <c r="Z77" s="538" t="s">
        <v>822</v>
      </c>
      <c r="AA77" s="538" t="s">
        <v>822</v>
      </c>
      <c r="AB77" s="538" t="s">
        <v>822</v>
      </c>
      <c r="AC77" s="536" t="e">
        <f t="shared" si="64"/>
        <v>#VALUE!</v>
      </c>
      <c r="AD77" s="600"/>
      <c r="AE77" s="538" t="s">
        <v>822</v>
      </c>
      <c r="AF77" s="538" t="s">
        <v>822</v>
      </c>
      <c r="AG77" s="538" t="s">
        <v>822</v>
      </c>
      <c r="AH77" s="536" t="e">
        <f t="shared" si="66"/>
        <v>#VALUE!</v>
      </c>
      <c r="AI77" s="600"/>
      <c r="AJ77" s="538" t="s">
        <v>822</v>
      </c>
      <c r="AK77" s="538" t="s">
        <v>822</v>
      </c>
      <c r="AL77" s="538" t="s">
        <v>822</v>
      </c>
      <c r="AM77" s="536" t="e">
        <f t="shared" si="68"/>
        <v>#VALUE!</v>
      </c>
      <c r="AN77" s="600"/>
      <c r="AO77" s="538" t="s">
        <v>822</v>
      </c>
      <c r="AP77" s="538" t="s">
        <v>822</v>
      </c>
      <c r="AQ77" s="538" t="s">
        <v>822</v>
      </c>
      <c r="AR77" s="536" t="e">
        <f t="shared" si="70"/>
        <v>#VALUE!</v>
      </c>
      <c r="AS77" s="600"/>
      <c r="AT77" s="538" t="s">
        <v>822</v>
      </c>
      <c r="AU77" s="538" t="s">
        <v>822</v>
      </c>
      <c r="AV77" s="538" t="s">
        <v>822</v>
      </c>
      <c r="AW77" s="536" t="e">
        <f t="shared" si="72"/>
        <v>#VALUE!</v>
      </c>
      <c r="AX77" s="600"/>
      <c r="AZ77" s="521" t="e">
        <f t="shared" si="74"/>
        <v>#N/A</v>
      </c>
      <c r="BA77" s="600"/>
    </row>
    <row r="78" spans="2:53">
      <c r="B78" s="610"/>
      <c r="C78" s="305">
        <v>12</v>
      </c>
      <c r="D78" s="455"/>
      <c r="E78" s="518"/>
      <c r="F78" s="518"/>
      <c r="G78" s="518"/>
      <c r="H78" s="668"/>
      <c r="I78" s="513" t="str">
        <f t="shared" si="57"/>
        <v>-</v>
      </c>
      <c r="J78" s="513" t="str">
        <f t="shared" si="58"/>
        <v>-</v>
      </c>
      <c r="K78" s="200" t="str">
        <f t="shared" si="59"/>
        <v>-</v>
      </c>
      <c r="L78" s="621"/>
      <c r="M78" s="201" t="e">
        <f>RANK(K78, K$67:$K$81)</f>
        <v>#VALUE!</v>
      </c>
      <c r="N78" s="604"/>
      <c r="O78" s="604"/>
      <c r="P78" s="538" t="s">
        <v>822</v>
      </c>
      <c r="Q78" s="538" t="s">
        <v>822</v>
      </c>
      <c r="R78" s="538" t="s">
        <v>822</v>
      </c>
      <c r="S78" s="536" t="e">
        <f t="shared" si="60"/>
        <v>#VALUE!</v>
      </c>
      <c r="T78" s="600"/>
      <c r="U78" s="538" t="s">
        <v>822</v>
      </c>
      <c r="V78" s="538" t="s">
        <v>822</v>
      </c>
      <c r="W78" s="538" t="s">
        <v>822</v>
      </c>
      <c r="X78" s="536" t="e">
        <f t="shared" si="62"/>
        <v>#VALUE!</v>
      </c>
      <c r="Y78" s="600"/>
      <c r="Z78" s="538" t="s">
        <v>822</v>
      </c>
      <c r="AA78" s="538" t="s">
        <v>822</v>
      </c>
      <c r="AB78" s="538" t="s">
        <v>822</v>
      </c>
      <c r="AC78" s="536" t="e">
        <f t="shared" si="64"/>
        <v>#VALUE!</v>
      </c>
      <c r="AD78" s="600"/>
      <c r="AE78" s="538" t="s">
        <v>822</v>
      </c>
      <c r="AF78" s="538" t="s">
        <v>822</v>
      </c>
      <c r="AG78" s="538" t="s">
        <v>822</v>
      </c>
      <c r="AH78" s="536" t="e">
        <f t="shared" si="66"/>
        <v>#VALUE!</v>
      </c>
      <c r="AI78" s="600"/>
      <c r="AJ78" s="538" t="s">
        <v>822</v>
      </c>
      <c r="AK78" s="538" t="s">
        <v>822</v>
      </c>
      <c r="AL78" s="538" t="s">
        <v>822</v>
      </c>
      <c r="AM78" s="536" t="e">
        <f t="shared" si="68"/>
        <v>#VALUE!</v>
      </c>
      <c r="AN78" s="600"/>
      <c r="AO78" s="538" t="s">
        <v>822</v>
      </c>
      <c r="AP78" s="538" t="s">
        <v>822</v>
      </c>
      <c r="AQ78" s="538" t="s">
        <v>822</v>
      </c>
      <c r="AR78" s="536" t="e">
        <f t="shared" si="70"/>
        <v>#VALUE!</v>
      </c>
      <c r="AS78" s="600"/>
      <c r="AT78" s="538" t="s">
        <v>822</v>
      </c>
      <c r="AU78" s="538" t="s">
        <v>822</v>
      </c>
      <c r="AV78" s="538" t="s">
        <v>822</v>
      </c>
      <c r="AW78" s="536" t="e">
        <f t="shared" si="72"/>
        <v>#VALUE!</v>
      </c>
      <c r="AX78" s="600"/>
      <c r="AZ78" s="521" t="e">
        <f t="shared" si="74"/>
        <v>#N/A</v>
      </c>
      <c r="BA78" s="600"/>
    </row>
    <row r="79" spans="2:53">
      <c r="B79" s="610"/>
      <c r="C79" s="305">
        <v>13</v>
      </c>
      <c r="D79" s="455"/>
      <c r="E79" s="518"/>
      <c r="F79" s="518"/>
      <c r="G79" s="518"/>
      <c r="H79" s="668"/>
      <c r="I79" s="513" t="str">
        <f t="shared" si="57"/>
        <v>-</v>
      </c>
      <c r="J79" s="513" t="str">
        <f t="shared" si="58"/>
        <v>-</v>
      </c>
      <c r="K79" s="200" t="str">
        <f t="shared" si="59"/>
        <v>-</v>
      </c>
      <c r="L79" s="621"/>
      <c r="M79" s="201" t="e">
        <f>RANK(K79, K$67:$K$81)</f>
        <v>#VALUE!</v>
      </c>
      <c r="N79" s="604"/>
      <c r="O79" s="604"/>
      <c r="P79" s="538" t="s">
        <v>822</v>
      </c>
      <c r="Q79" s="538" t="s">
        <v>822</v>
      </c>
      <c r="R79" s="538" t="s">
        <v>822</v>
      </c>
      <c r="S79" s="536" t="e">
        <f t="shared" si="60"/>
        <v>#VALUE!</v>
      </c>
      <c r="T79" s="600"/>
      <c r="U79" s="538" t="s">
        <v>822</v>
      </c>
      <c r="V79" s="538" t="s">
        <v>822</v>
      </c>
      <c r="W79" s="538" t="s">
        <v>822</v>
      </c>
      <c r="X79" s="536" t="e">
        <f t="shared" si="62"/>
        <v>#VALUE!</v>
      </c>
      <c r="Y79" s="600"/>
      <c r="Z79" s="538" t="s">
        <v>822</v>
      </c>
      <c r="AA79" s="538" t="s">
        <v>822</v>
      </c>
      <c r="AB79" s="538" t="s">
        <v>822</v>
      </c>
      <c r="AC79" s="536" t="e">
        <f t="shared" si="64"/>
        <v>#VALUE!</v>
      </c>
      <c r="AD79" s="600"/>
      <c r="AE79" s="538" t="s">
        <v>822</v>
      </c>
      <c r="AF79" s="538" t="s">
        <v>822</v>
      </c>
      <c r="AG79" s="538" t="s">
        <v>822</v>
      </c>
      <c r="AH79" s="536" t="e">
        <f t="shared" si="66"/>
        <v>#VALUE!</v>
      </c>
      <c r="AI79" s="600"/>
      <c r="AJ79" s="538" t="s">
        <v>822</v>
      </c>
      <c r="AK79" s="538" t="s">
        <v>822</v>
      </c>
      <c r="AL79" s="538" t="s">
        <v>822</v>
      </c>
      <c r="AM79" s="536" t="e">
        <f t="shared" si="68"/>
        <v>#VALUE!</v>
      </c>
      <c r="AN79" s="600"/>
      <c r="AO79" s="538" t="s">
        <v>822</v>
      </c>
      <c r="AP79" s="538" t="s">
        <v>822</v>
      </c>
      <c r="AQ79" s="538" t="s">
        <v>822</v>
      </c>
      <c r="AR79" s="536" t="e">
        <f t="shared" si="70"/>
        <v>#VALUE!</v>
      </c>
      <c r="AS79" s="600"/>
      <c r="AT79" s="538" t="s">
        <v>822</v>
      </c>
      <c r="AU79" s="538" t="s">
        <v>822</v>
      </c>
      <c r="AV79" s="538" t="s">
        <v>822</v>
      </c>
      <c r="AW79" s="536" t="e">
        <f t="shared" si="72"/>
        <v>#VALUE!</v>
      </c>
      <c r="AX79" s="600"/>
      <c r="AZ79" s="521" t="e">
        <f t="shared" si="74"/>
        <v>#N/A</v>
      </c>
      <c r="BA79" s="600"/>
    </row>
    <row r="80" spans="2:53">
      <c r="B80" s="610"/>
      <c r="C80" s="305">
        <v>14</v>
      </c>
      <c r="D80" s="455"/>
      <c r="E80" s="518"/>
      <c r="F80" s="518"/>
      <c r="G80" s="518"/>
      <c r="H80" s="668"/>
      <c r="I80" s="513" t="str">
        <f t="shared" si="57"/>
        <v>-</v>
      </c>
      <c r="J80" s="513" t="str">
        <f t="shared" si="58"/>
        <v>-</v>
      </c>
      <c r="K80" s="200" t="str">
        <f t="shared" si="59"/>
        <v>-</v>
      </c>
      <c r="L80" s="621"/>
      <c r="M80" s="201" t="e">
        <f>RANK(K80, K$67:$K$81)</f>
        <v>#VALUE!</v>
      </c>
      <c r="N80" s="604"/>
      <c r="O80" s="604"/>
      <c r="P80" s="538" t="s">
        <v>822</v>
      </c>
      <c r="Q80" s="538" t="s">
        <v>822</v>
      </c>
      <c r="R80" s="538" t="s">
        <v>822</v>
      </c>
      <c r="S80" s="536" t="e">
        <f t="shared" si="60"/>
        <v>#VALUE!</v>
      </c>
      <c r="T80" s="600"/>
      <c r="U80" s="538" t="s">
        <v>822</v>
      </c>
      <c r="V80" s="538" t="s">
        <v>822</v>
      </c>
      <c r="W80" s="538" t="s">
        <v>822</v>
      </c>
      <c r="X80" s="536" t="e">
        <f t="shared" si="62"/>
        <v>#VALUE!</v>
      </c>
      <c r="Y80" s="600"/>
      <c r="Z80" s="538" t="s">
        <v>822</v>
      </c>
      <c r="AA80" s="538" t="s">
        <v>822</v>
      </c>
      <c r="AB80" s="538" t="s">
        <v>822</v>
      </c>
      <c r="AC80" s="536" t="e">
        <f t="shared" si="64"/>
        <v>#VALUE!</v>
      </c>
      <c r="AD80" s="600"/>
      <c r="AE80" s="538" t="s">
        <v>822</v>
      </c>
      <c r="AF80" s="538" t="s">
        <v>822</v>
      </c>
      <c r="AG80" s="538" t="s">
        <v>822</v>
      </c>
      <c r="AH80" s="536" t="e">
        <f t="shared" si="66"/>
        <v>#VALUE!</v>
      </c>
      <c r="AI80" s="600"/>
      <c r="AJ80" s="538" t="s">
        <v>822</v>
      </c>
      <c r="AK80" s="538" t="s">
        <v>822</v>
      </c>
      <c r="AL80" s="538" t="s">
        <v>822</v>
      </c>
      <c r="AM80" s="536" t="e">
        <f t="shared" si="68"/>
        <v>#VALUE!</v>
      </c>
      <c r="AN80" s="600"/>
      <c r="AO80" s="538" t="s">
        <v>822</v>
      </c>
      <c r="AP80" s="538" t="s">
        <v>822</v>
      </c>
      <c r="AQ80" s="538" t="s">
        <v>822</v>
      </c>
      <c r="AR80" s="536" t="e">
        <f t="shared" si="70"/>
        <v>#VALUE!</v>
      </c>
      <c r="AS80" s="600"/>
      <c r="AT80" s="538" t="s">
        <v>822</v>
      </c>
      <c r="AU80" s="538" t="s">
        <v>822</v>
      </c>
      <c r="AV80" s="538" t="s">
        <v>822</v>
      </c>
      <c r="AW80" s="536" t="e">
        <f t="shared" si="72"/>
        <v>#VALUE!</v>
      </c>
      <c r="AX80" s="600"/>
      <c r="AZ80" s="521" t="e">
        <f t="shared" si="74"/>
        <v>#N/A</v>
      </c>
      <c r="BA80" s="600"/>
    </row>
    <row r="81" spans="2:53">
      <c r="B81" s="610"/>
      <c r="C81" s="305">
        <v>15</v>
      </c>
      <c r="D81" s="455"/>
      <c r="E81" s="518"/>
      <c r="F81" s="518"/>
      <c r="G81" s="518"/>
      <c r="H81" s="669"/>
      <c r="I81" s="518"/>
      <c r="J81" s="518"/>
      <c r="K81" s="514"/>
      <c r="L81" s="622"/>
      <c r="M81" s="201" t="e">
        <f>RANK(K81, K$67:$K$81)</f>
        <v>#N/A</v>
      </c>
      <c r="N81" s="604"/>
      <c r="O81" s="604"/>
      <c r="P81" s="538" t="s">
        <v>822</v>
      </c>
      <c r="Q81" s="538" t="s">
        <v>822</v>
      </c>
      <c r="R81" s="538" t="s">
        <v>822</v>
      </c>
      <c r="S81" s="536" t="e">
        <f t="shared" si="60"/>
        <v>#VALUE!</v>
      </c>
      <c r="T81" s="601"/>
      <c r="U81" s="538" t="s">
        <v>822</v>
      </c>
      <c r="V81" s="538" t="s">
        <v>822</v>
      </c>
      <c r="W81" s="538" t="s">
        <v>822</v>
      </c>
      <c r="X81" s="536" t="e">
        <f t="shared" si="62"/>
        <v>#VALUE!</v>
      </c>
      <c r="Y81" s="601"/>
      <c r="Z81" s="538" t="s">
        <v>822</v>
      </c>
      <c r="AA81" s="538" t="s">
        <v>822</v>
      </c>
      <c r="AB81" s="538" t="s">
        <v>822</v>
      </c>
      <c r="AC81" s="536" t="e">
        <f t="shared" si="64"/>
        <v>#VALUE!</v>
      </c>
      <c r="AD81" s="601"/>
      <c r="AE81" s="538" t="s">
        <v>822</v>
      </c>
      <c r="AF81" s="538" t="s">
        <v>822</v>
      </c>
      <c r="AG81" s="538" t="s">
        <v>822</v>
      </c>
      <c r="AH81" s="536" t="e">
        <f t="shared" si="66"/>
        <v>#VALUE!</v>
      </c>
      <c r="AI81" s="601"/>
      <c r="AJ81" s="538" t="s">
        <v>822</v>
      </c>
      <c r="AK81" s="538" t="s">
        <v>822</v>
      </c>
      <c r="AL81" s="538" t="s">
        <v>822</v>
      </c>
      <c r="AM81" s="536" t="e">
        <f t="shared" si="68"/>
        <v>#VALUE!</v>
      </c>
      <c r="AN81" s="601"/>
      <c r="AO81" s="538" t="s">
        <v>822</v>
      </c>
      <c r="AP81" s="538" t="s">
        <v>822</v>
      </c>
      <c r="AQ81" s="538" t="s">
        <v>822</v>
      </c>
      <c r="AR81" s="536" t="e">
        <f t="shared" si="70"/>
        <v>#VALUE!</v>
      </c>
      <c r="AS81" s="601"/>
      <c r="AT81" s="538" t="s">
        <v>822</v>
      </c>
      <c r="AU81" s="538" t="s">
        <v>822</v>
      </c>
      <c r="AV81" s="538" t="s">
        <v>822</v>
      </c>
      <c r="AW81" s="536" t="e">
        <f t="shared" si="72"/>
        <v>#VALUE!</v>
      </c>
      <c r="AX81" s="601"/>
      <c r="AZ81" s="521" t="e">
        <f t="shared" si="74"/>
        <v>#N/A</v>
      </c>
      <c r="BA81" s="601"/>
    </row>
    <row r="82" spans="2:53" ht="15.75">
      <c r="B82" s="633" t="s">
        <v>163</v>
      </c>
      <c r="C82" s="634"/>
      <c r="D82" s="634"/>
      <c r="E82" s="634"/>
      <c r="F82" s="634"/>
      <c r="G82" s="634"/>
      <c r="H82" s="635"/>
      <c r="I82" s="208"/>
      <c r="J82" s="208"/>
      <c r="K82" s="208"/>
      <c r="L82" s="208"/>
      <c r="M82" s="207"/>
      <c r="N82" s="606" t="s">
        <v>156</v>
      </c>
      <c r="O82" s="606" t="s">
        <v>105</v>
      </c>
      <c r="P82" s="632">
        <f>P62+7</f>
        <v>46140</v>
      </c>
      <c r="Q82" s="610"/>
      <c r="R82" s="610"/>
      <c r="S82" s="610"/>
      <c r="T82" s="610"/>
      <c r="U82" s="629">
        <f>P82+1</f>
        <v>46141</v>
      </c>
      <c r="V82" s="630"/>
      <c r="W82" s="630"/>
      <c r="X82" s="630"/>
      <c r="Y82" s="631"/>
      <c r="Z82" s="629">
        <f>U82+1</f>
        <v>46142</v>
      </c>
      <c r="AA82" s="630"/>
      <c r="AB82" s="630"/>
      <c r="AC82" s="630"/>
      <c r="AD82" s="631"/>
      <c r="AE82" s="629">
        <f>Z82+1</f>
        <v>46143</v>
      </c>
      <c r="AF82" s="630"/>
      <c r="AG82" s="630"/>
      <c r="AH82" s="630"/>
      <c r="AI82" s="631"/>
      <c r="AJ82" s="629">
        <f>AE82+1</f>
        <v>46144</v>
      </c>
      <c r="AK82" s="630"/>
      <c r="AL82" s="630"/>
      <c r="AM82" s="630"/>
      <c r="AN82" s="631"/>
      <c r="AO82" s="629">
        <f>AJ82+1</f>
        <v>46145</v>
      </c>
      <c r="AP82" s="630"/>
      <c r="AQ82" s="630"/>
      <c r="AR82" s="630"/>
      <c r="AS82" s="631"/>
      <c r="AT82" s="629">
        <f>AO82+1</f>
        <v>46146</v>
      </c>
      <c r="AU82" s="630"/>
      <c r="AV82" s="630"/>
      <c r="AW82" s="630"/>
      <c r="AX82" s="631"/>
    </row>
    <row r="83" spans="2:53" ht="15.75">
      <c r="B83" s="636"/>
      <c r="C83" s="636"/>
      <c r="D83" s="636"/>
      <c r="E83" s="636"/>
      <c r="F83" s="636"/>
      <c r="G83" s="636"/>
      <c r="H83" s="636"/>
      <c r="I83" s="205"/>
      <c r="J83" s="205"/>
      <c r="K83" s="205"/>
      <c r="L83" s="205"/>
      <c r="M83" s="206"/>
      <c r="N83" s="608"/>
      <c r="O83" s="608"/>
      <c r="P83" s="632" t="s">
        <v>336</v>
      </c>
      <c r="Q83" s="610"/>
      <c r="R83" s="610"/>
      <c r="S83" s="610"/>
      <c r="T83" s="610"/>
      <c r="U83" s="632" t="s">
        <v>337</v>
      </c>
      <c r="V83" s="610"/>
      <c r="W83" s="610"/>
      <c r="X83" s="610"/>
      <c r="Y83" s="610"/>
      <c r="Z83" s="632" t="s">
        <v>338</v>
      </c>
      <c r="AA83" s="610"/>
      <c r="AB83" s="610"/>
      <c r="AC83" s="610"/>
      <c r="AD83" s="610"/>
      <c r="AE83" s="632" t="s">
        <v>339</v>
      </c>
      <c r="AF83" s="610"/>
      <c r="AG83" s="610"/>
      <c r="AH83" s="610"/>
      <c r="AI83" s="610"/>
      <c r="AJ83" s="632" t="s">
        <v>340</v>
      </c>
      <c r="AK83" s="610"/>
      <c r="AL83" s="610"/>
      <c r="AM83" s="610"/>
      <c r="AN83" s="610"/>
      <c r="AO83" s="632" t="s">
        <v>341</v>
      </c>
      <c r="AP83" s="610"/>
      <c r="AQ83" s="610"/>
      <c r="AR83" s="610"/>
      <c r="AS83" s="610"/>
      <c r="AT83" s="632" t="s">
        <v>342</v>
      </c>
      <c r="AU83" s="610"/>
      <c r="AV83" s="610"/>
      <c r="AW83" s="610"/>
      <c r="AX83" s="610"/>
    </row>
    <row r="84" spans="2:53">
      <c r="B84" s="604" t="s">
        <v>423</v>
      </c>
      <c r="C84" s="604" t="s">
        <v>424</v>
      </c>
      <c r="D84" s="604"/>
      <c r="E84" s="604" t="s">
        <v>425</v>
      </c>
      <c r="F84" s="604"/>
      <c r="G84" s="604"/>
      <c r="H84" s="637" t="s">
        <v>426</v>
      </c>
      <c r="I84" s="656" t="s">
        <v>427</v>
      </c>
      <c r="J84" s="656"/>
      <c r="K84" s="656"/>
      <c r="L84" s="657" t="s">
        <v>395</v>
      </c>
      <c r="M84" s="642" t="s">
        <v>428</v>
      </c>
      <c r="N84" s="604"/>
      <c r="O84" s="604" t="s">
        <v>429</v>
      </c>
      <c r="P84" s="623" t="s">
        <v>430</v>
      </c>
      <c r="Q84" s="624"/>
      <c r="R84" s="624"/>
      <c r="S84" s="625"/>
      <c r="T84" s="604" t="s">
        <v>426</v>
      </c>
      <c r="U84" s="623" t="s">
        <v>430</v>
      </c>
      <c r="V84" s="624"/>
      <c r="W84" s="624"/>
      <c r="X84" s="625"/>
      <c r="Y84" s="604" t="s">
        <v>426</v>
      </c>
      <c r="Z84" s="623" t="s">
        <v>430</v>
      </c>
      <c r="AA84" s="624"/>
      <c r="AB84" s="624"/>
      <c r="AC84" s="625"/>
      <c r="AD84" s="604" t="s">
        <v>426</v>
      </c>
      <c r="AE84" s="623" t="s">
        <v>430</v>
      </c>
      <c r="AF84" s="624"/>
      <c r="AG84" s="624"/>
      <c r="AH84" s="625"/>
      <c r="AI84" s="604" t="s">
        <v>426</v>
      </c>
      <c r="AJ84" s="623" t="s">
        <v>430</v>
      </c>
      <c r="AK84" s="624"/>
      <c r="AL84" s="624"/>
      <c r="AM84" s="625"/>
      <c r="AN84" s="604" t="s">
        <v>426</v>
      </c>
      <c r="AO84" s="623" t="s">
        <v>430</v>
      </c>
      <c r="AP84" s="624"/>
      <c r="AQ84" s="624"/>
      <c r="AR84" s="625"/>
      <c r="AS84" s="604" t="s">
        <v>426</v>
      </c>
      <c r="AT84" s="623" t="s">
        <v>430</v>
      </c>
      <c r="AU84" s="624"/>
      <c r="AV84" s="624"/>
      <c r="AW84" s="625"/>
      <c r="AX84" s="604" t="s">
        <v>426</v>
      </c>
      <c r="BA84" s="604" t="s">
        <v>395</v>
      </c>
    </row>
    <row r="85" spans="2:53">
      <c r="B85" s="604"/>
      <c r="C85" s="604"/>
      <c r="D85" s="604"/>
      <c r="E85" s="604" t="s">
        <v>431</v>
      </c>
      <c r="F85" s="604"/>
      <c r="G85" s="604"/>
      <c r="H85" s="638"/>
      <c r="I85" s="656" t="s">
        <v>431</v>
      </c>
      <c r="J85" s="656"/>
      <c r="K85" s="656"/>
      <c r="L85" s="658"/>
      <c r="M85" s="643"/>
      <c r="N85" s="604"/>
      <c r="O85" s="604"/>
      <c r="P85" s="623" t="s">
        <v>432</v>
      </c>
      <c r="Q85" s="624"/>
      <c r="R85" s="624"/>
      <c r="S85" s="625"/>
      <c r="T85" s="604"/>
      <c r="U85" s="623" t="s">
        <v>432</v>
      </c>
      <c r="V85" s="624"/>
      <c r="W85" s="624"/>
      <c r="X85" s="625"/>
      <c r="Y85" s="604"/>
      <c r="Z85" s="623" t="s">
        <v>432</v>
      </c>
      <c r="AA85" s="624"/>
      <c r="AB85" s="624"/>
      <c r="AC85" s="625"/>
      <c r="AD85" s="604"/>
      <c r="AE85" s="623" t="s">
        <v>432</v>
      </c>
      <c r="AF85" s="624"/>
      <c r="AG85" s="624"/>
      <c r="AH85" s="625"/>
      <c r="AI85" s="604"/>
      <c r="AJ85" s="623" t="s">
        <v>432</v>
      </c>
      <c r="AK85" s="624"/>
      <c r="AL85" s="624"/>
      <c r="AM85" s="625"/>
      <c r="AN85" s="604"/>
      <c r="AO85" s="623" t="s">
        <v>432</v>
      </c>
      <c r="AP85" s="624"/>
      <c r="AQ85" s="624"/>
      <c r="AR85" s="625"/>
      <c r="AS85" s="604"/>
      <c r="AT85" s="623" t="s">
        <v>432</v>
      </c>
      <c r="AU85" s="624"/>
      <c r="AV85" s="624"/>
      <c r="AW85" s="625"/>
      <c r="AX85" s="604"/>
      <c r="BA85" s="604"/>
    </row>
    <row r="86" spans="2:53">
      <c r="B86" s="604"/>
      <c r="C86" s="604"/>
      <c r="D86" s="604"/>
      <c r="E86" s="298" t="s">
        <v>433</v>
      </c>
      <c r="F86" s="298" t="s">
        <v>434</v>
      </c>
      <c r="G86" s="298" t="s">
        <v>435</v>
      </c>
      <c r="H86" s="639"/>
      <c r="I86" s="299" t="s">
        <v>433</v>
      </c>
      <c r="J86" s="299" t="s">
        <v>434</v>
      </c>
      <c r="K86" s="299" t="s">
        <v>435</v>
      </c>
      <c r="L86" s="659"/>
      <c r="M86" s="644"/>
      <c r="N86" s="604"/>
      <c r="O86" s="604"/>
      <c r="P86" s="298" t="s">
        <v>433</v>
      </c>
      <c r="Q86" s="298" t="s">
        <v>434</v>
      </c>
      <c r="R86" s="298" t="s">
        <v>435</v>
      </c>
      <c r="S86" s="298" t="s">
        <v>428</v>
      </c>
      <c r="T86" s="604"/>
      <c r="U86" s="298" t="s">
        <v>433</v>
      </c>
      <c r="V86" s="298" t="s">
        <v>434</v>
      </c>
      <c r="W86" s="298" t="s">
        <v>435</v>
      </c>
      <c r="X86" s="298" t="s">
        <v>428</v>
      </c>
      <c r="Y86" s="604"/>
      <c r="Z86" s="298" t="s">
        <v>433</v>
      </c>
      <c r="AA86" s="298" t="s">
        <v>434</v>
      </c>
      <c r="AB86" s="298" t="s">
        <v>435</v>
      </c>
      <c r="AC86" s="298" t="s">
        <v>428</v>
      </c>
      <c r="AD86" s="604"/>
      <c r="AE86" s="298" t="s">
        <v>433</v>
      </c>
      <c r="AF86" s="298" t="s">
        <v>434</v>
      </c>
      <c r="AG86" s="298" t="s">
        <v>435</v>
      </c>
      <c r="AH86" s="298" t="s">
        <v>428</v>
      </c>
      <c r="AI86" s="604"/>
      <c r="AJ86" s="298" t="s">
        <v>433</v>
      </c>
      <c r="AK86" s="298" t="s">
        <v>434</v>
      </c>
      <c r="AL86" s="298" t="s">
        <v>435</v>
      </c>
      <c r="AM86" s="298" t="s">
        <v>428</v>
      </c>
      <c r="AN86" s="604"/>
      <c r="AO86" s="298" t="s">
        <v>433</v>
      </c>
      <c r="AP86" s="298" t="s">
        <v>434</v>
      </c>
      <c r="AQ86" s="298" t="s">
        <v>435</v>
      </c>
      <c r="AR86" s="298" t="s">
        <v>428</v>
      </c>
      <c r="AS86" s="604"/>
      <c r="AT86" s="298" t="s">
        <v>433</v>
      </c>
      <c r="AU86" s="298" t="s">
        <v>434</v>
      </c>
      <c r="AV86" s="298" t="s">
        <v>435</v>
      </c>
      <c r="AW86" s="298" t="s">
        <v>428</v>
      </c>
      <c r="AX86" s="604"/>
      <c r="AZ86" s="520" t="s">
        <v>396</v>
      </c>
      <c r="BA86" s="604"/>
    </row>
    <row r="87" spans="2:53">
      <c r="B87" s="666" t="s">
        <v>437</v>
      </c>
      <c r="C87" s="297">
        <v>1</v>
      </c>
      <c r="D87" s="226"/>
      <c r="E87" s="182"/>
      <c r="F87" s="465"/>
      <c r="G87" s="466"/>
      <c r="H87" s="667" t="e">
        <f>AVERAGE(G87:G101)</f>
        <v>#DIV/0!</v>
      </c>
      <c r="I87" s="513" t="str">
        <f t="shared" ref="I87:I100" si="76">IFERROR(AVERAGE(P87,U87,Z87,AE87,AJ87,AO87,AT87),"-")</f>
        <v>-</v>
      </c>
      <c r="J87" s="513" t="str">
        <f t="shared" ref="J87:J100" si="77">IFERROR(AVERAGE(Q87,V87,AA87,AF87,AK87,AP87,AU87),"-")</f>
        <v>-</v>
      </c>
      <c r="K87" s="200" t="str">
        <f t="shared" ref="K87:K100" si="78">IFERROR(AVERAGE(R87,W87,AB87,AG87,AL87,AQ87,AV87),"-")</f>
        <v>-</v>
      </c>
      <c r="L87" s="620" t="str">
        <f>IFERROR(AVERAGE(K87:K101),"-")</f>
        <v>-</v>
      </c>
      <c r="M87" s="201" t="e">
        <f>RANK(K87, K$87:$K$101)</f>
        <v>#VALUE!</v>
      </c>
      <c r="N87" s="604"/>
      <c r="O87" s="604"/>
      <c r="P87" s="506"/>
      <c r="Q87" s="507"/>
      <c r="R87" s="507"/>
      <c r="S87" s="297" t="e">
        <f>RANK(R87, R$87:R$101)</f>
        <v>#N/A</v>
      </c>
      <c r="T87" s="605" t="e">
        <f>AVERAGE(R87:R101)</f>
        <v>#DIV/0!</v>
      </c>
      <c r="U87" s="506"/>
      <c r="V87" s="507"/>
      <c r="W87" s="507"/>
      <c r="X87" s="441" t="e">
        <f t="shared" ref="X87:X101" si="79">RANK(W87, W$87:W$101)</f>
        <v>#N/A</v>
      </c>
      <c r="Y87" s="605" t="e">
        <f t="shared" ref="Y87" si="80">AVERAGE(W87:W101)</f>
        <v>#DIV/0!</v>
      </c>
      <c r="Z87" s="506"/>
      <c r="AA87" s="507"/>
      <c r="AB87" s="507"/>
      <c r="AC87" s="441" t="e">
        <f t="shared" ref="AC87:AC101" si="81">RANK(AB87, AB$87:AB$101)</f>
        <v>#N/A</v>
      </c>
      <c r="AD87" s="605" t="e">
        <f t="shared" ref="AD87" si="82">AVERAGE(AB87:AB101)</f>
        <v>#DIV/0!</v>
      </c>
      <c r="AE87" s="506"/>
      <c r="AF87" s="507"/>
      <c r="AG87" s="507"/>
      <c r="AH87" s="441" t="e">
        <f t="shared" ref="AH87:AH101" si="83">RANK(AG87, AG$87:AG$101)</f>
        <v>#N/A</v>
      </c>
      <c r="AI87" s="605" t="e">
        <f t="shared" ref="AI87" si="84">AVERAGE(AG87:AG101)</f>
        <v>#DIV/0!</v>
      </c>
      <c r="AJ87" s="506"/>
      <c r="AK87" s="507"/>
      <c r="AL87" s="507"/>
      <c r="AM87" s="441" t="e">
        <f t="shared" ref="AM87:AM101" si="85">RANK(AL87, AL$87:AL$101)</f>
        <v>#N/A</v>
      </c>
      <c r="AN87" s="605" t="e">
        <f t="shared" ref="AN87" si="86">AVERAGE(AL87:AL101)</f>
        <v>#DIV/0!</v>
      </c>
      <c r="AO87" s="506"/>
      <c r="AP87" s="507"/>
      <c r="AQ87" s="507"/>
      <c r="AR87" s="441" t="e">
        <f t="shared" ref="AR87:AR101" si="87">RANK(AQ87, AQ$87:AQ$101)</f>
        <v>#N/A</v>
      </c>
      <c r="AS87" s="605" t="e">
        <f t="shared" ref="AS87" si="88">AVERAGE(AQ87:AQ101)</f>
        <v>#DIV/0!</v>
      </c>
      <c r="AT87" s="506"/>
      <c r="AU87" s="507"/>
      <c r="AV87" s="507"/>
      <c r="AW87" s="441" t="e">
        <f t="shared" ref="AW87:AW101" si="89">RANK(AV87, AV$87:AV$101)</f>
        <v>#N/A</v>
      </c>
      <c r="AX87" s="605" t="e">
        <f t="shared" ref="AX87" si="90">AVERAGE(AV87:AV101)</f>
        <v>#DIV/0!</v>
      </c>
      <c r="AZ87" s="521" t="e">
        <f t="shared" ref="AZ87:AZ101" si="91">RANK(AY87, AY$87:AY$101)</f>
        <v>#N/A</v>
      </c>
      <c r="BA87" s="605" t="e">
        <f t="shared" ref="BA87" si="92">AVERAGE(AY87:AY101)</f>
        <v>#DIV/0!</v>
      </c>
    </row>
    <row r="88" spans="2:53">
      <c r="B88" s="610"/>
      <c r="C88" s="297">
        <v>2</v>
      </c>
      <c r="D88" s="226"/>
      <c r="E88" s="182"/>
      <c r="F88" s="465"/>
      <c r="G88" s="466"/>
      <c r="H88" s="668"/>
      <c r="I88" s="513" t="str">
        <f t="shared" si="76"/>
        <v>-</v>
      </c>
      <c r="J88" s="513" t="str">
        <f t="shared" si="77"/>
        <v>-</v>
      </c>
      <c r="K88" s="200" t="str">
        <f t="shared" si="78"/>
        <v>-</v>
      </c>
      <c r="L88" s="621"/>
      <c r="M88" s="201" t="e">
        <f>RANK(K88, K$87:$K$101)</f>
        <v>#VALUE!</v>
      </c>
      <c r="N88" s="604"/>
      <c r="O88" s="604"/>
      <c r="P88" s="506"/>
      <c r="Q88" s="507"/>
      <c r="R88" s="507"/>
      <c r="S88" s="297" t="e">
        <f t="shared" ref="S88:S101" si="93">RANK(R88, R$87:R$101)</f>
        <v>#N/A</v>
      </c>
      <c r="T88" s="605"/>
      <c r="U88" s="506"/>
      <c r="V88" s="507"/>
      <c r="W88" s="507"/>
      <c r="X88" s="441" t="e">
        <f t="shared" si="79"/>
        <v>#N/A</v>
      </c>
      <c r="Y88" s="605"/>
      <c r="Z88" s="506"/>
      <c r="AA88" s="507"/>
      <c r="AB88" s="507"/>
      <c r="AC88" s="441" t="e">
        <f t="shared" si="81"/>
        <v>#N/A</v>
      </c>
      <c r="AD88" s="605"/>
      <c r="AE88" s="506"/>
      <c r="AF88" s="507"/>
      <c r="AG88" s="507"/>
      <c r="AH88" s="441" t="e">
        <f t="shared" si="83"/>
        <v>#N/A</v>
      </c>
      <c r="AI88" s="605"/>
      <c r="AJ88" s="506"/>
      <c r="AK88" s="507"/>
      <c r="AL88" s="507"/>
      <c r="AM88" s="441" t="e">
        <f t="shared" si="85"/>
        <v>#N/A</v>
      </c>
      <c r="AN88" s="605"/>
      <c r="AO88" s="506"/>
      <c r="AP88" s="507"/>
      <c r="AQ88" s="507"/>
      <c r="AR88" s="441" t="e">
        <f t="shared" si="87"/>
        <v>#N/A</v>
      </c>
      <c r="AS88" s="605"/>
      <c r="AT88" s="506"/>
      <c r="AU88" s="507"/>
      <c r="AV88" s="507"/>
      <c r="AW88" s="441" t="e">
        <f t="shared" si="89"/>
        <v>#N/A</v>
      </c>
      <c r="AX88" s="605"/>
      <c r="AZ88" s="521" t="e">
        <f t="shared" si="91"/>
        <v>#N/A</v>
      </c>
      <c r="BA88" s="605"/>
    </row>
    <row r="89" spans="2:53">
      <c r="B89" s="610"/>
      <c r="C89" s="297">
        <v>3</v>
      </c>
      <c r="D89" s="226"/>
      <c r="E89" s="182"/>
      <c r="F89" s="465"/>
      <c r="G89" s="466"/>
      <c r="H89" s="668"/>
      <c r="I89" s="513" t="str">
        <f t="shared" si="76"/>
        <v>-</v>
      </c>
      <c r="J89" s="513" t="str">
        <f t="shared" si="77"/>
        <v>-</v>
      </c>
      <c r="K89" s="200" t="str">
        <f t="shared" si="78"/>
        <v>-</v>
      </c>
      <c r="L89" s="621"/>
      <c r="M89" s="201" t="e">
        <f>RANK(K89, K$87:$K$101)</f>
        <v>#VALUE!</v>
      </c>
      <c r="N89" s="604"/>
      <c r="O89" s="604"/>
      <c r="P89" s="506"/>
      <c r="Q89" s="507"/>
      <c r="R89" s="507"/>
      <c r="S89" s="297" t="e">
        <f t="shared" si="93"/>
        <v>#N/A</v>
      </c>
      <c r="T89" s="605"/>
      <c r="U89" s="506"/>
      <c r="V89" s="507"/>
      <c r="W89" s="507"/>
      <c r="X89" s="441" t="e">
        <f t="shared" si="79"/>
        <v>#N/A</v>
      </c>
      <c r="Y89" s="605"/>
      <c r="Z89" s="506"/>
      <c r="AA89" s="507"/>
      <c r="AB89" s="507"/>
      <c r="AC89" s="441" t="e">
        <f t="shared" si="81"/>
        <v>#N/A</v>
      </c>
      <c r="AD89" s="605"/>
      <c r="AE89" s="506"/>
      <c r="AF89" s="507"/>
      <c r="AG89" s="507"/>
      <c r="AH89" s="441" t="e">
        <f t="shared" si="83"/>
        <v>#N/A</v>
      </c>
      <c r="AI89" s="605"/>
      <c r="AJ89" s="506"/>
      <c r="AK89" s="507"/>
      <c r="AL89" s="507"/>
      <c r="AM89" s="441" t="e">
        <f t="shared" si="85"/>
        <v>#N/A</v>
      </c>
      <c r="AN89" s="605"/>
      <c r="AO89" s="506"/>
      <c r="AP89" s="507"/>
      <c r="AQ89" s="507"/>
      <c r="AR89" s="441" t="e">
        <f t="shared" si="87"/>
        <v>#N/A</v>
      </c>
      <c r="AS89" s="605"/>
      <c r="AT89" s="506"/>
      <c r="AU89" s="507"/>
      <c r="AV89" s="507"/>
      <c r="AW89" s="441" t="e">
        <f t="shared" si="89"/>
        <v>#N/A</v>
      </c>
      <c r="AX89" s="605"/>
      <c r="AZ89" s="521" t="e">
        <f t="shared" si="91"/>
        <v>#N/A</v>
      </c>
      <c r="BA89" s="605"/>
    </row>
    <row r="90" spans="2:53">
      <c r="B90" s="610"/>
      <c r="C90" s="297">
        <v>4</v>
      </c>
      <c r="D90" s="226"/>
      <c r="E90" s="182"/>
      <c r="F90" s="465"/>
      <c r="G90" s="466"/>
      <c r="H90" s="668"/>
      <c r="I90" s="513" t="str">
        <f t="shared" si="76"/>
        <v>-</v>
      </c>
      <c r="J90" s="513" t="str">
        <f t="shared" si="77"/>
        <v>-</v>
      </c>
      <c r="K90" s="200" t="str">
        <f t="shared" si="78"/>
        <v>-</v>
      </c>
      <c r="L90" s="621"/>
      <c r="M90" s="201" t="e">
        <f>RANK(K90, K$87:$K$101)</f>
        <v>#VALUE!</v>
      </c>
      <c r="N90" s="604"/>
      <c r="O90" s="604"/>
      <c r="P90" s="506"/>
      <c r="Q90" s="507"/>
      <c r="R90" s="507"/>
      <c r="S90" s="297" t="e">
        <f t="shared" si="93"/>
        <v>#N/A</v>
      </c>
      <c r="T90" s="605"/>
      <c r="U90" s="506"/>
      <c r="V90" s="507"/>
      <c r="W90" s="507"/>
      <c r="X90" s="441" t="e">
        <f t="shared" si="79"/>
        <v>#N/A</v>
      </c>
      <c r="Y90" s="605"/>
      <c r="Z90" s="506"/>
      <c r="AA90" s="507"/>
      <c r="AB90" s="507"/>
      <c r="AC90" s="441" t="e">
        <f t="shared" si="81"/>
        <v>#N/A</v>
      </c>
      <c r="AD90" s="605"/>
      <c r="AE90" s="506"/>
      <c r="AF90" s="507"/>
      <c r="AG90" s="507"/>
      <c r="AH90" s="441" t="e">
        <f t="shared" si="83"/>
        <v>#N/A</v>
      </c>
      <c r="AI90" s="605"/>
      <c r="AJ90" s="506"/>
      <c r="AK90" s="507"/>
      <c r="AL90" s="507"/>
      <c r="AM90" s="441" t="e">
        <f t="shared" si="85"/>
        <v>#N/A</v>
      </c>
      <c r="AN90" s="605"/>
      <c r="AO90" s="506"/>
      <c r="AP90" s="507"/>
      <c r="AQ90" s="507"/>
      <c r="AR90" s="441" t="e">
        <f t="shared" si="87"/>
        <v>#N/A</v>
      </c>
      <c r="AS90" s="605"/>
      <c r="AT90" s="506"/>
      <c r="AU90" s="507"/>
      <c r="AV90" s="507"/>
      <c r="AW90" s="441" t="e">
        <f t="shared" si="89"/>
        <v>#N/A</v>
      </c>
      <c r="AX90" s="605"/>
      <c r="AZ90" s="521" t="e">
        <f t="shared" si="91"/>
        <v>#N/A</v>
      </c>
      <c r="BA90" s="605"/>
    </row>
    <row r="91" spans="2:53">
      <c r="B91" s="610"/>
      <c r="C91" s="297">
        <v>5</v>
      </c>
      <c r="D91" s="226"/>
      <c r="E91" s="182"/>
      <c r="F91" s="465"/>
      <c r="G91" s="466"/>
      <c r="H91" s="668"/>
      <c r="I91" s="513" t="str">
        <f t="shared" si="76"/>
        <v>-</v>
      </c>
      <c r="J91" s="513" t="str">
        <f t="shared" si="77"/>
        <v>-</v>
      </c>
      <c r="K91" s="200" t="str">
        <f t="shared" si="78"/>
        <v>-</v>
      </c>
      <c r="L91" s="621"/>
      <c r="M91" s="201" t="e">
        <f>RANK(K91, K$87:$K$101)</f>
        <v>#VALUE!</v>
      </c>
      <c r="N91" s="604"/>
      <c r="O91" s="604"/>
      <c r="P91" s="506"/>
      <c r="Q91" s="507"/>
      <c r="R91" s="507"/>
      <c r="S91" s="297" t="e">
        <f t="shared" si="93"/>
        <v>#N/A</v>
      </c>
      <c r="T91" s="605"/>
      <c r="U91" s="506"/>
      <c r="V91" s="507"/>
      <c r="W91" s="507"/>
      <c r="X91" s="441" t="e">
        <f t="shared" si="79"/>
        <v>#N/A</v>
      </c>
      <c r="Y91" s="605"/>
      <c r="Z91" s="506"/>
      <c r="AA91" s="507"/>
      <c r="AB91" s="507"/>
      <c r="AC91" s="441" t="e">
        <f t="shared" si="81"/>
        <v>#N/A</v>
      </c>
      <c r="AD91" s="605"/>
      <c r="AE91" s="506"/>
      <c r="AF91" s="507"/>
      <c r="AG91" s="507"/>
      <c r="AH91" s="441" t="e">
        <f t="shared" si="83"/>
        <v>#N/A</v>
      </c>
      <c r="AI91" s="605"/>
      <c r="AJ91" s="506"/>
      <c r="AK91" s="507"/>
      <c r="AL91" s="507"/>
      <c r="AM91" s="441" t="e">
        <f t="shared" si="85"/>
        <v>#N/A</v>
      </c>
      <c r="AN91" s="605"/>
      <c r="AO91" s="506"/>
      <c r="AP91" s="507"/>
      <c r="AQ91" s="507"/>
      <c r="AR91" s="441" t="e">
        <f t="shared" si="87"/>
        <v>#N/A</v>
      </c>
      <c r="AS91" s="605"/>
      <c r="AT91" s="506"/>
      <c r="AU91" s="507"/>
      <c r="AV91" s="507"/>
      <c r="AW91" s="441" t="e">
        <f t="shared" si="89"/>
        <v>#N/A</v>
      </c>
      <c r="AX91" s="605"/>
      <c r="AZ91" s="521" t="e">
        <f t="shared" si="91"/>
        <v>#N/A</v>
      </c>
      <c r="BA91" s="605"/>
    </row>
    <row r="92" spans="2:53">
      <c r="B92" s="610"/>
      <c r="C92" s="297">
        <v>6</v>
      </c>
      <c r="D92" s="226"/>
      <c r="E92" s="182"/>
      <c r="F92" s="465"/>
      <c r="G92" s="466"/>
      <c r="H92" s="668"/>
      <c r="I92" s="513" t="str">
        <f t="shared" si="76"/>
        <v>-</v>
      </c>
      <c r="J92" s="513" t="str">
        <f t="shared" si="77"/>
        <v>-</v>
      </c>
      <c r="K92" s="200" t="str">
        <f t="shared" si="78"/>
        <v>-</v>
      </c>
      <c r="L92" s="621"/>
      <c r="M92" s="201" t="e">
        <f>RANK(K92, K$87:$K$101)</f>
        <v>#VALUE!</v>
      </c>
      <c r="N92" s="604"/>
      <c r="O92" s="604"/>
      <c r="P92" s="506"/>
      <c r="Q92" s="507"/>
      <c r="R92" s="507"/>
      <c r="S92" s="297" t="e">
        <f t="shared" si="93"/>
        <v>#N/A</v>
      </c>
      <c r="T92" s="605"/>
      <c r="U92" s="506"/>
      <c r="V92" s="507"/>
      <c r="W92" s="507"/>
      <c r="X92" s="441" t="e">
        <f t="shared" si="79"/>
        <v>#N/A</v>
      </c>
      <c r="Y92" s="605"/>
      <c r="Z92" s="506"/>
      <c r="AA92" s="507"/>
      <c r="AB92" s="507"/>
      <c r="AC92" s="441" t="e">
        <f t="shared" si="81"/>
        <v>#N/A</v>
      </c>
      <c r="AD92" s="605"/>
      <c r="AE92" s="506"/>
      <c r="AF92" s="507"/>
      <c r="AG92" s="507"/>
      <c r="AH92" s="441" t="e">
        <f t="shared" si="83"/>
        <v>#N/A</v>
      </c>
      <c r="AI92" s="605"/>
      <c r="AJ92" s="506"/>
      <c r="AK92" s="507"/>
      <c r="AL92" s="507"/>
      <c r="AM92" s="441" t="e">
        <f t="shared" si="85"/>
        <v>#N/A</v>
      </c>
      <c r="AN92" s="605"/>
      <c r="AO92" s="506"/>
      <c r="AP92" s="507"/>
      <c r="AQ92" s="507"/>
      <c r="AR92" s="441" t="e">
        <f t="shared" si="87"/>
        <v>#N/A</v>
      </c>
      <c r="AS92" s="605"/>
      <c r="AT92" s="506"/>
      <c r="AU92" s="507"/>
      <c r="AV92" s="507"/>
      <c r="AW92" s="441" t="e">
        <f t="shared" si="89"/>
        <v>#N/A</v>
      </c>
      <c r="AX92" s="605"/>
      <c r="AZ92" s="521" t="e">
        <f t="shared" si="91"/>
        <v>#N/A</v>
      </c>
      <c r="BA92" s="605"/>
    </row>
    <row r="93" spans="2:53">
      <c r="B93" s="610"/>
      <c r="C93" s="297">
        <v>7</v>
      </c>
      <c r="D93" s="226"/>
      <c r="E93" s="182"/>
      <c r="F93" s="465"/>
      <c r="G93" s="466"/>
      <c r="H93" s="668"/>
      <c r="I93" s="513" t="str">
        <f t="shared" si="76"/>
        <v>-</v>
      </c>
      <c r="J93" s="513" t="str">
        <f t="shared" si="77"/>
        <v>-</v>
      </c>
      <c r="K93" s="200" t="str">
        <f t="shared" si="78"/>
        <v>-</v>
      </c>
      <c r="L93" s="621"/>
      <c r="M93" s="201" t="e">
        <f>RANK(K93, K$87:$K$101)</f>
        <v>#VALUE!</v>
      </c>
      <c r="N93" s="604"/>
      <c r="O93" s="604"/>
      <c r="P93" s="506"/>
      <c r="Q93" s="507"/>
      <c r="R93" s="507"/>
      <c r="S93" s="297" t="e">
        <f t="shared" si="93"/>
        <v>#N/A</v>
      </c>
      <c r="T93" s="605"/>
      <c r="U93" s="506"/>
      <c r="V93" s="507"/>
      <c r="W93" s="507"/>
      <c r="X93" s="441" t="e">
        <f t="shared" si="79"/>
        <v>#N/A</v>
      </c>
      <c r="Y93" s="605"/>
      <c r="Z93" s="506"/>
      <c r="AA93" s="507"/>
      <c r="AB93" s="507"/>
      <c r="AC93" s="441" t="e">
        <f t="shared" si="81"/>
        <v>#N/A</v>
      </c>
      <c r="AD93" s="605"/>
      <c r="AE93" s="506"/>
      <c r="AF93" s="507"/>
      <c r="AG93" s="507"/>
      <c r="AH93" s="441" t="e">
        <f t="shared" si="83"/>
        <v>#N/A</v>
      </c>
      <c r="AI93" s="605"/>
      <c r="AJ93" s="506"/>
      <c r="AK93" s="507"/>
      <c r="AL93" s="507"/>
      <c r="AM93" s="441" t="e">
        <f t="shared" si="85"/>
        <v>#N/A</v>
      </c>
      <c r="AN93" s="605"/>
      <c r="AO93" s="506"/>
      <c r="AP93" s="507"/>
      <c r="AQ93" s="507"/>
      <c r="AR93" s="441" t="e">
        <f t="shared" si="87"/>
        <v>#N/A</v>
      </c>
      <c r="AS93" s="605"/>
      <c r="AT93" s="506"/>
      <c r="AU93" s="507"/>
      <c r="AV93" s="507"/>
      <c r="AW93" s="441" t="e">
        <f t="shared" si="89"/>
        <v>#N/A</v>
      </c>
      <c r="AX93" s="605"/>
      <c r="AZ93" s="521" t="e">
        <f t="shared" si="91"/>
        <v>#N/A</v>
      </c>
      <c r="BA93" s="605"/>
    </row>
    <row r="94" spans="2:53">
      <c r="B94" s="610"/>
      <c r="C94" s="297">
        <v>8</v>
      </c>
      <c r="D94" s="226"/>
      <c r="E94" s="182"/>
      <c r="F94" s="465"/>
      <c r="G94" s="466"/>
      <c r="H94" s="668"/>
      <c r="I94" s="513" t="str">
        <f t="shared" si="76"/>
        <v>-</v>
      </c>
      <c r="J94" s="513" t="str">
        <f t="shared" si="77"/>
        <v>-</v>
      </c>
      <c r="K94" s="200" t="str">
        <f t="shared" si="78"/>
        <v>-</v>
      </c>
      <c r="L94" s="621"/>
      <c r="M94" s="201" t="e">
        <f>RANK(K94, K$87:$K$101)</f>
        <v>#VALUE!</v>
      </c>
      <c r="N94" s="604"/>
      <c r="O94" s="604"/>
      <c r="P94" s="506"/>
      <c r="Q94" s="507"/>
      <c r="R94" s="507"/>
      <c r="S94" s="297" t="e">
        <f t="shared" si="93"/>
        <v>#N/A</v>
      </c>
      <c r="T94" s="605"/>
      <c r="U94" s="506"/>
      <c r="V94" s="507"/>
      <c r="W94" s="507"/>
      <c r="X94" s="441" t="e">
        <f t="shared" si="79"/>
        <v>#N/A</v>
      </c>
      <c r="Y94" s="605"/>
      <c r="Z94" s="506"/>
      <c r="AA94" s="507"/>
      <c r="AB94" s="507"/>
      <c r="AC94" s="441" t="e">
        <f t="shared" si="81"/>
        <v>#N/A</v>
      </c>
      <c r="AD94" s="605"/>
      <c r="AE94" s="506"/>
      <c r="AF94" s="507"/>
      <c r="AG94" s="507"/>
      <c r="AH94" s="441" t="e">
        <f t="shared" si="83"/>
        <v>#N/A</v>
      </c>
      <c r="AI94" s="605"/>
      <c r="AJ94" s="506"/>
      <c r="AK94" s="507"/>
      <c r="AL94" s="507"/>
      <c r="AM94" s="441" t="e">
        <f t="shared" si="85"/>
        <v>#N/A</v>
      </c>
      <c r="AN94" s="605"/>
      <c r="AO94" s="506"/>
      <c r="AP94" s="507"/>
      <c r="AQ94" s="507"/>
      <c r="AR94" s="441" t="e">
        <f t="shared" si="87"/>
        <v>#N/A</v>
      </c>
      <c r="AS94" s="605"/>
      <c r="AT94" s="506"/>
      <c r="AU94" s="507"/>
      <c r="AV94" s="507"/>
      <c r="AW94" s="441" t="e">
        <f t="shared" si="89"/>
        <v>#N/A</v>
      </c>
      <c r="AX94" s="605"/>
      <c r="AZ94" s="521" t="e">
        <f t="shared" si="91"/>
        <v>#N/A</v>
      </c>
      <c r="BA94" s="605"/>
    </row>
    <row r="95" spans="2:53">
      <c r="B95" s="610"/>
      <c r="C95" s="297">
        <v>9</v>
      </c>
      <c r="D95" s="226"/>
      <c r="E95" s="182"/>
      <c r="F95" s="465"/>
      <c r="G95" s="466"/>
      <c r="H95" s="668"/>
      <c r="I95" s="513" t="str">
        <f t="shared" si="76"/>
        <v>-</v>
      </c>
      <c r="J95" s="513" t="str">
        <f t="shared" si="77"/>
        <v>-</v>
      </c>
      <c r="K95" s="200" t="str">
        <f t="shared" si="78"/>
        <v>-</v>
      </c>
      <c r="L95" s="621"/>
      <c r="M95" s="201" t="e">
        <f>RANK(K95, K$87:$K$101)</f>
        <v>#VALUE!</v>
      </c>
      <c r="N95" s="604"/>
      <c r="O95" s="604"/>
      <c r="P95" s="506"/>
      <c r="Q95" s="507"/>
      <c r="R95" s="507"/>
      <c r="S95" s="297" t="e">
        <f t="shared" si="93"/>
        <v>#N/A</v>
      </c>
      <c r="T95" s="605"/>
      <c r="U95" s="506"/>
      <c r="V95" s="507"/>
      <c r="W95" s="507"/>
      <c r="X95" s="441" t="e">
        <f t="shared" si="79"/>
        <v>#N/A</v>
      </c>
      <c r="Y95" s="605"/>
      <c r="Z95" s="506"/>
      <c r="AA95" s="507"/>
      <c r="AB95" s="507"/>
      <c r="AC95" s="441" t="e">
        <f t="shared" si="81"/>
        <v>#N/A</v>
      </c>
      <c r="AD95" s="605"/>
      <c r="AE95" s="506"/>
      <c r="AF95" s="507"/>
      <c r="AG95" s="507"/>
      <c r="AH95" s="441" t="e">
        <f t="shared" si="83"/>
        <v>#N/A</v>
      </c>
      <c r="AI95" s="605"/>
      <c r="AJ95" s="506"/>
      <c r="AK95" s="507"/>
      <c r="AL95" s="507"/>
      <c r="AM95" s="441" t="e">
        <f t="shared" si="85"/>
        <v>#N/A</v>
      </c>
      <c r="AN95" s="605"/>
      <c r="AO95" s="506"/>
      <c r="AP95" s="507"/>
      <c r="AQ95" s="507"/>
      <c r="AR95" s="441" t="e">
        <f t="shared" si="87"/>
        <v>#N/A</v>
      </c>
      <c r="AS95" s="605"/>
      <c r="AT95" s="506"/>
      <c r="AU95" s="507"/>
      <c r="AV95" s="507"/>
      <c r="AW95" s="441" t="e">
        <f t="shared" si="89"/>
        <v>#N/A</v>
      </c>
      <c r="AX95" s="605"/>
      <c r="AZ95" s="521" t="e">
        <f t="shared" si="91"/>
        <v>#N/A</v>
      </c>
      <c r="BA95" s="605"/>
    </row>
    <row r="96" spans="2:53">
      <c r="B96" s="610"/>
      <c r="C96" s="297">
        <v>10</v>
      </c>
      <c r="D96" s="226"/>
      <c r="E96" s="182"/>
      <c r="F96" s="465"/>
      <c r="G96" s="466"/>
      <c r="H96" s="668"/>
      <c r="I96" s="513" t="str">
        <f t="shared" si="76"/>
        <v>-</v>
      </c>
      <c r="J96" s="513" t="str">
        <f t="shared" si="77"/>
        <v>-</v>
      </c>
      <c r="K96" s="200" t="str">
        <f t="shared" si="78"/>
        <v>-</v>
      </c>
      <c r="L96" s="621"/>
      <c r="M96" s="201" t="e">
        <f>RANK(K96, K$87:$K$101)</f>
        <v>#VALUE!</v>
      </c>
      <c r="N96" s="604"/>
      <c r="O96" s="604"/>
      <c r="P96" s="506"/>
      <c r="Q96" s="507"/>
      <c r="R96" s="507"/>
      <c r="S96" s="297" t="e">
        <f t="shared" si="93"/>
        <v>#N/A</v>
      </c>
      <c r="T96" s="605"/>
      <c r="U96" s="506"/>
      <c r="V96" s="507"/>
      <c r="W96" s="507"/>
      <c r="X96" s="441" t="e">
        <f t="shared" si="79"/>
        <v>#N/A</v>
      </c>
      <c r="Y96" s="605"/>
      <c r="Z96" s="506"/>
      <c r="AA96" s="507"/>
      <c r="AB96" s="507"/>
      <c r="AC96" s="441" t="e">
        <f t="shared" si="81"/>
        <v>#N/A</v>
      </c>
      <c r="AD96" s="605"/>
      <c r="AE96" s="506"/>
      <c r="AF96" s="507"/>
      <c r="AG96" s="507"/>
      <c r="AH96" s="441" t="e">
        <f t="shared" si="83"/>
        <v>#N/A</v>
      </c>
      <c r="AI96" s="605"/>
      <c r="AJ96" s="506"/>
      <c r="AK96" s="507"/>
      <c r="AL96" s="507"/>
      <c r="AM96" s="441" t="e">
        <f t="shared" si="85"/>
        <v>#N/A</v>
      </c>
      <c r="AN96" s="605"/>
      <c r="AO96" s="506"/>
      <c r="AP96" s="507"/>
      <c r="AQ96" s="507"/>
      <c r="AR96" s="441" t="e">
        <f t="shared" si="87"/>
        <v>#N/A</v>
      </c>
      <c r="AS96" s="605"/>
      <c r="AT96" s="506"/>
      <c r="AU96" s="507"/>
      <c r="AV96" s="507"/>
      <c r="AW96" s="441" t="e">
        <f t="shared" si="89"/>
        <v>#N/A</v>
      </c>
      <c r="AX96" s="605"/>
      <c r="AZ96" s="521" t="e">
        <f t="shared" si="91"/>
        <v>#N/A</v>
      </c>
      <c r="BA96" s="605"/>
    </row>
    <row r="97" spans="2:53">
      <c r="B97" s="610"/>
      <c r="C97" s="297">
        <v>11</v>
      </c>
      <c r="D97" s="226"/>
      <c r="E97" s="182"/>
      <c r="F97" s="465"/>
      <c r="G97" s="466"/>
      <c r="H97" s="668"/>
      <c r="I97" s="513" t="str">
        <f t="shared" si="76"/>
        <v>-</v>
      </c>
      <c r="J97" s="513" t="str">
        <f t="shared" si="77"/>
        <v>-</v>
      </c>
      <c r="K97" s="200" t="str">
        <f t="shared" si="78"/>
        <v>-</v>
      </c>
      <c r="L97" s="621"/>
      <c r="M97" s="201" t="e">
        <f>RANK(K97, K$87:$K$101)</f>
        <v>#VALUE!</v>
      </c>
      <c r="N97" s="604"/>
      <c r="O97" s="604"/>
      <c r="P97" s="506"/>
      <c r="Q97" s="507"/>
      <c r="R97" s="507"/>
      <c r="S97" s="297" t="e">
        <f t="shared" si="93"/>
        <v>#N/A</v>
      </c>
      <c r="T97" s="605"/>
      <c r="U97" s="506"/>
      <c r="V97" s="507"/>
      <c r="W97" s="507"/>
      <c r="X97" s="441" t="e">
        <f t="shared" si="79"/>
        <v>#N/A</v>
      </c>
      <c r="Y97" s="605"/>
      <c r="Z97" s="506"/>
      <c r="AA97" s="507"/>
      <c r="AB97" s="507"/>
      <c r="AC97" s="441" t="e">
        <f t="shared" si="81"/>
        <v>#N/A</v>
      </c>
      <c r="AD97" s="605"/>
      <c r="AE97" s="506"/>
      <c r="AF97" s="507"/>
      <c r="AG97" s="507"/>
      <c r="AH97" s="441" t="e">
        <f t="shared" si="83"/>
        <v>#N/A</v>
      </c>
      <c r="AI97" s="605"/>
      <c r="AJ97" s="506"/>
      <c r="AK97" s="507"/>
      <c r="AL97" s="507"/>
      <c r="AM97" s="441" t="e">
        <f t="shared" si="85"/>
        <v>#N/A</v>
      </c>
      <c r="AN97" s="605"/>
      <c r="AO97" s="506"/>
      <c r="AP97" s="507"/>
      <c r="AQ97" s="507"/>
      <c r="AR97" s="441" t="e">
        <f t="shared" si="87"/>
        <v>#N/A</v>
      </c>
      <c r="AS97" s="605"/>
      <c r="AT97" s="506"/>
      <c r="AU97" s="507"/>
      <c r="AV97" s="507"/>
      <c r="AW97" s="441" t="e">
        <f t="shared" si="89"/>
        <v>#N/A</v>
      </c>
      <c r="AX97" s="605"/>
      <c r="AZ97" s="521" t="e">
        <f t="shared" si="91"/>
        <v>#N/A</v>
      </c>
      <c r="BA97" s="605"/>
    </row>
    <row r="98" spans="2:53">
      <c r="B98" s="610"/>
      <c r="C98" s="297">
        <v>12</v>
      </c>
      <c r="D98" s="226"/>
      <c r="E98" s="182"/>
      <c r="F98" s="465"/>
      <c r="G98" s="466"/>
      <c r="H98" s="668"/>
      <c r="I98" s="513" t="str">
        <f t="shared" si="76"/>
        <v>-</v>
      </c>
      <c r="J98" s="513" t="str">
        <f t="shared" si="77"/>
        <v>-</v>
      </c>
      <c r="K98" s="200" t="str">
        <f t="shared" si="78"/>
        <v>-</v>
      </c>
      <c r="L98" s="621"/>
      <c r="M98" s="201" t="e">
        <f>RANK(K98, K$87:$K$101)</f>
        <v>#VALUE!</v>
      </c>
      <c r="N98" s="604"/>
      <c r="O98" s="604"/>
      <c r="P98" s="506"/>
      <c r="Q98" s="507"/>
      <c r="R98" s="507"/>
      <c r="S98" s="297" t="e">
        <f t="shared" si="93"/>
        <v>#N/A</v>
      </c>
      <c r="T98" s="605"/>
      <c r="U98" s="506"/>
      <c r="V98" s="507"/>
      <c r="W98" s="507"/>
      <c r="X98" s="441" t="e">
        <f t="shared" si="79"/>
        <v>#N/A</v>
      </c>
      <c r="Y98" s="605"/>
      <c r="Z98" s="506"/>
      <c r="AA98" s="507"/>
      <c r="AB98" s="507"/>
      <c r="AC98" s="441" t="e">
        <f t="shared" si="81"/>
        <v>#N/A</v>
      </c>
      <c r="AD98" s="605"/>
      <c r="AE98" s="506"/>
      <c r="AF98" s="507"/>
      <c r="AG98" s="507"/>
      <c r="AH98" s="441" t="e">
        <f t="shared" si="83"/>
        <v>#N/A</v>
      </c>
      <c r="AI98" s="605"/>
      <c r="AJ98" s="506"/>
      <c r="AK98" s="507"/>
      <c r="AL98" s="507"/>
      <c r="AM98" s="441" t="e">
        <f t="shared" si="85"/>
        <v>#N/A</v>
      </c>
      <c r="AN98" s="605"/>
      <c r="AO98" s="506"/>
      <c r="AP98" s="507"/>
      <c r="AQ98" s="507"/>
      <c r="AR98" s="441" t="e">
        <f t="shared" si="87"/>
        <v>#N/A</v>
      </c>
      <c r="AS98" s="605"/>
      <c r="AT98" s="506"/>
      <c r="AU98" s="507"/>
      <c r="AV98" s="507"/>
      <c r="AW98" s="441" t="e">
        <f t="shared" si="89"/>
        <v>#N/A</v>
      </c>
      <c r="AX98" s="605"/>
      <c r="AZ98" s="521" t="e">
        <f t="shared" si="91"/>
        <v>#N/A</v>
      </c>
      <c r="BA98" s="605"/>
    </row>
    <row r="99" spans="2:53">
      <c r="B99" s="610"/>
      <c r="C99" s="297">
        <v>13</v>
      </c>
      <c r="D99" s="226"/>
      <c r="E99" s="182"/>
      <c r="F99" s="465"/>
      <c r="G99" s="466"/>
      <c r="H99" s="668"/>
      <c r="I99" s="513" t="str">
        <f t="shared" si="76"/>
        <v>-</v>
      </c>
      <c r="J99" s="513" t="str">
        <f t="shared" si="77"/>
        <v>-</v>
      </c>
      <c r="K99" s="200" t="str">
        <f t="shared" si="78"/>
        <v>-</v>
      </c>
      <c r="L99" s="621"/>
      <c r="M99" s="201" t="e">
        <f>RANK(K99, K$87:$K$101)</f>
        <v>#VALUE!</v>
      </c>
      <c r="N99" s="604"/>
      <c r="O99" s="604"/>
      <c r="P99" s="506"/>
      <c r="Q99" s="507"/>
      <c r="R99" s="507"/>
      <c r="S99" s="297" t="e">
        <f t="shared" si="93"/>
        <v>#N/A</v>
      </c>
      <c r="T99" s="605"/>
      <c r="U99" s="506"/>
      <c r="V99" s="507"/>
      <c r="W99" s="507"/>
      <c r="X99" s="441" t="e">
        <f t="shared" si="79"/>
        <v>#N/A</v>
      </c>
      <c r="Y99" s="605"/>
      <c r="Z99" s="506"/>
      <c r="AA99" s="507"/>
      <c r="AB99" s="507"/>
      <c r="AC99" s="441" t="e">
        <f t="shared" si="81"/>
        <v>#N/A</v>
      </c>
      <c r="AD99" s="605"/>
      <c r="AE99" s="506"/>
      <c r="AF99" s="507"/>
      <c r="AG99" s="507"/>
      <c r="AH99" s="441" t="e">
        <f t="shared" si="83"/>
        <v>#N/A</v>
      </c>
      <c r="AI99" s="605"/>
      <c r="AJ99" s="506"/>
      <c r="AK99" s="507"/>
      <c r="AL99" s="507"/>
      <c r="AM99" s="441" t="e">
        <f t="shared" si="85"/>
        <v>#N/A</v>
      </c>
      <c r="AN99" s="605"/>
      <c r="AO99" s="506"/>
      <c r="AP99" s="507"/>
      <c r="AQ99" s="507"/>
      <c r="AR99" s="441" t="e">
        <f t="shared" si="87"/>
        <v>#N/A</v>
      </c>
      <c r="AS99" s="605"/>
      <c r="AT99" s="506"/>
      <c r="AU99" s="507"/>
      <c r="AV99" s="507"/>
      <c r="AW99" s="441" t="e">
        <f t="shared" si="89"/>
        <v>#N/A</v>
      </c>
      <c r="AX99" s="605"/>
      <c r="AZ99" s="521" t="e">
        <f t="shared" si="91"/>
        <v>#N/A</v>
      </c>
      <c r="BA99" s="605"/>
    </row>
    <row r="100" spans="2:53">
      <c r="B100" s="610"/>
      <c r="C100" s="297">
        <v>14</v>
      </c>
      <c r="D100" s="226"/>
      <c r="E100" s="182"/>
      <c r="F100" s="465"/>
      <c r="G100" s="466"/>
      <c r="H100" s="668"/>
      <c r="I100" s="513" t="str">
        <f t="shared" si="76"/>
        <v>-</v>
      </c>
      <c r="J100" s="513" t="str">
        <f t="shared" si="77"/>
        <v>-</v>
      </c>
      <c r="K100" s="200" t="str">
        <f t="shared" si="78"/>
        <v>-</v>
      </c>
      <c r="L100" s="621"/>
      <c r="M100" s="201" t="e">
        <f>RANK(K100, K$87:$K$101)</f>
        <v>#VALUE!</v>
      </c>
      <c r="N100" s="604"/>
      <c r="O100" s="604"/>
      <c r="P100" s="506"/>
      <c r="Q100" s="507"/>
      <c r="R100" s="507"/>
      <c r="S100" s="297" t="e">
        <f t="shared" si="93"/>
        <v>#N/A</v>
      </c>
      <c r="T100" s="605"/>
      <c r="U100" s="506"/>
      <c r="V100" s="507"/>
      <c r="W100" s="507"/>
      <c r="X100" s="441" t="e">
        <f t="shared" si="79"/>
        <v>#N/A</v>
      </c>
      <c r="Y100" s="605"/>
      <c r="Z100" s="506"/>
      <c r="AA100" s="507"/>
      <c r="AB100" s="507"/>
      <c r="AC100" s="441" t="e">
        <f t="shared" si="81"/>
        <v>#N/A</v>
      </c>
      <c r="AD100" s="605"/>
      <c r="AE100" s="506"/>
      <c r="AF100" s="507"/>
      <c r="AG100" s="507"/>
      <c r="AH100" s="441" t="e">
        <f t="shared" si="83"/>
        <v>#N/A</v>
      </c>
      <c r="AI100" s="605"/>
      <c r="AJ100" s="506"/>
      <c r="AK100" s="507"/>
      <c r="AL100" s="507"/>
      <c r="AM100" s="441" t="e">
        <f t="shared" si="85"/>
        <v>#N/A</v>
      </c>
      <c r="AN100" s="605"/>
      <c r="AO100" s="506"/>
      <c r="AP100" s="507"/>
      <c r="AQ100" s="507"/>
      <c r="AR100" s="441" t="e">
        <f t="shared" si="87"/>
        <v>#N/A</v>
      </c>
      <c r="AS100" s="605"/>
      <c r="AT100" s="506"/>
      <c r="AU100" s="507"/>
      <c r="AV100" s="507"/>
      <c r="AW100" s="441" t="e">
        <f t="shared" si="89"/>
        <v>#N/A</v>
      </c>
      <c r="AX100" s="605"/>
      <c r="AZ100" s="521" t="e">
        <f t="shared" si="91"/>
        <v>#N/A</v>
      </c>
      <c r="BA100" s="605"/>
    </row>
    <row r="101" spans="2:53">
      <c r="B101" s="610"/>
      <c r="C101" s="297">
        <v>15</v>
      </c>
      <c r="D101" s="226"/>
      <c r="E101" s="182"/>
      <c r="F101" s="465"/>
      <c r="G101" s="466"/>
      <c r="H101" s="669"/>
      <c r="I101" s="518"/>
      <c r="J101" s="518"/>
      <c r="K101" s="514"/>
      <c r="L101" s="622"/>
      <c r="M101" s="199" t="e">
        <f>RANK(K101, K$87:$K$101)</f>
        <v>#N/A</v>
      </c>
      <c r="N101" s="604"/>
      <c r="O101" s="604"/>
      <c r="P101" s="506"/>
      <c r="Q101" s="507"/>
      <c r="R101" s="507"/>
      <c r="S101" s="297" t="e">
        <f t="shared" si="93"/>
        <v>#N/A</v>
      </c>
      <c r="T101" s="605"/>
      <c r="U101" s="506"/>
      <c r="V101" s="507"/>
      <c r="W101" s="507"/>
      <c r="X101" s="441" t="e">
        <f t="shared" si="79"/>
        <v>#N/A</v>
      </c>
      <c r="Y101" s="605"/>
      <c r="Z101" s="506"/>
      <c r="AA101" s="507"/>
      <c r="AB101" s="507"/>
      <c r="AC101" s="441" t="e">
        <f t="shared" si="81"/>
        <v>#N/A</v>
      </c>
      <c r="AD101" s="605"/>
      <c r="AE101" s="506"/>
      <c r="AF101" s="507"/>
      <c r="AG101" s="507"/>
      <c r="AH101" s="441" t="e">
        <f t="shared" si="83"/>
        <v>#N/A</v>
      </c>
      <c r="AI101" s="605"/>
      <c r="AJ101" s="506"/>
      <c r="AK101" s="507"/>
      <c r="AL101" s="507"/>
      <c r="AM101" s="441" t="e">
        <f t="shared" si="85"/>
        <v>#N/A</v>
      </c>
      <c r="AN101" s="605"/>
      <c r="AO101" s="506"/>
      <c r="AP101" s="507"/>
      <c r="AQ101" s="507"/>
      <c r="AR101" s="441" t="e">
        <f t="shared" si="87"/>
        <v>#N/A</v>
      </c>
      <c r="AS101" s="605"/>
      <c r="AT101" s="506"/>
      <c r="AU101" s="507"/>
      <c r="AV101" s="507"/>
      <c r="AW101" s="441" t="e">
        <f t="shared" si="89"/>
        <v>#N/A</v>
      </c>
      <c r="AX101" s="605"/>
      <c r="AZ101" s="521" t="e">
        <f t="shared" si="91"/>
        <v>#N/A</v>
      </c>
      <c r="BA101" s="605"/>
    </row>
    <row r="102" spans="2:53" ht="15.75">
      <c r="B102" s="633" t="s">
        <v>163</v>
      </c>
      <c r="C102" s="634"/>
      <c r="D102" s="634"/>
      <c r="E102" s="634"/>
      <c r="F102" s="634"/>
      <c r="G102" s="634"/>
      <c r="H102" s="635"/>
      <c r="I102" s="208"/>
      <c r="J102" s="208"/>
      <c r="K102" s="208"/>
      <c r="L102" s="208"/>
      <c r="M102" s="207"/>
      <c r="N102" s="606" t="s">
        <v>156</v>
      </c>
      <c r="O102" s="606" t="s">
        <v>105</v>
      </c>
      <c r="P102" s="632">
        <f>P82+7</f>
        <v>46147</v>
      </c>
      <c r="Q102" s="610"/>
      <c r="R102" s="610"/>
      <c r="S102" s="610"/>
      <c r="T102" s="610"/>
      <c r="U102" s="629">
        <f>P102+1</f>
        <v>46148</v>
      </c>
      <c r="V102" s="630"/>
      <c r="W102" s="630"/>
      <c r="X102" s="630"/>
      <c r="Y102" s="631"/>
      <c r="Z102" s="629">
        <f>U102+1</f>
        <v>46149</v>
      </c>
      <c r="AA102" s="630"/>
      <c r="AB102" s="630"/>
      <c r="AC102" s="630"/>
      <c r="AD102" s="631"/>
      <c r="AE102" s="629">
        <f>Z102+1</f>
        <v>46150</v>
      </c>
      <c r="AF102" s="630"/>
      <c r="AG102" s="630"/>
      <c r="AH102" s="630"/>
      <c r="AI102" s="631"/>
      <c r="AJ102" s="629">
        <f>AE102+1</f>
        <v>46151</v>
      </c>
      <c r="AK102" s="630"/>
      <c r="AL102" s="630"/>
      <c r="AM102" s="630"/>
      <c r="AN102" s="631"/>
      <c r="AO102" s="629">
        <f>AJ102+1</f>
        <v>46152</v>
      </c>
      <c r="AP102" s="630"/>
      <c r="AQ102" s="630"/>
      <c r="AR102" s="630"/>
      <c r="AS102" s="631"/>
      <c r="AT102" s="629">
        <f>AO102+1</f>
        <v>46153</v>
      </c>
      <c r="AU102" s="630"/>
      <c r="AV102" s="630"/>
      <c r="AW102" s="630"/>
      <c r="AX102" s="631"/>
    </row>
    <row r="103" spans="2:53" ht="15.75">
      <c r="B103" s="636"/>
      <c r="C103" s="636"/>
      <c r="D103" s="636"/>
      <c r="E103" s="636"/>
      <c r="F103" s="636"/>
      <c r="G103" s="636"/>
      <c r="H103" s="636"/>
      <c r="I103" s="205"/>
      <c r="J103" s="205"/>
      <c r="K103" s="205"/>
      <c r="L103" s="205"/>
      <c r="M103" s="206"/>
      <c r="N103" s="608"/>
      <c r="O103" s="608"/>
      <c r="P103" s="632" t="s">
        <v>158</v>
      </c>
      <c r="Q103" s="610"/>
      <c r="R103" s="610"/>
      <c r="S103" s="610"/>
      <c r="T103" s="610"/>
      <c r="U103" s="632" t="s">
        <v>114</v>
      </c>
      <c r="V103" s="610"/>
      <c r="W103" s="610"/>
      <c r="X103" s="610"/>
      <c r="Y103" s="610"/>
      <c r="Z103" s="632" t="s">
        <v>159</v>
      </c>
      <c r="AA103" s="610"/>
      <c r="AB103" s="610"/>
      <c r="AC103" s="610"/>
      <c r="AD103" s="610"/>
      <c r="AE103" s="632" t="s">
        <v>157</v>
      </c>
      <c r="AF103" s="610"/>
      <c r="AG103" s="610"/>
      <c r="AH103" s="610"/>
      <c r="AI103" s="610"/>
      <c r="AJ103" s="632" t="s">
        <v>160</v>
      </c>
      <c r="AK103" s="610"/>
      <c r="AL103" s="610"/>
      <c r="AM103" s="610"/>
      <c r="AN103" s="610"/>
      <c r="AO103" s="632" t="s">
        <v>115</v>
      </c>
      <c r="AP103" s="610"/>
      <c r="AQ103" s="610"/>
      <c r="AR103" s="610"/>
      <c r="AS103" s="610"/>
      <c r="AT103" s="632" t="s">
        <v>162</v>
      </c>
      <c r="AU103" s="610"/>
      <c r="AV103" s="610"/>
      <c r="AW103" s="610"/>
      <c r="AX103" s="610"/>
    </row>
    <row r="104" spans="2:53">
      <c r="B104" s="604" t="s">
        <v>678</v>
      </c>
      <c r="C104" s="604" t="s">
        <v>679</v>
      </c>
      <c r="D104" s="604"/>
      <c r="E104" s="604" t="s">
        <v>680</v>
      </c>
      <c r="F104" s="604"/>
      <c r="G104" s="604"/>
      <c r="H104" s="637" t="s">
        <v>681</v>
      </c>
      <c r="I104" s="604" t="s">
        <v>682</v>
      </c>
      <c r="J104" s="604"/>
      <c r="K104" s="604"/>
      <c r="L104" s="637" t="s">
        <v>395</v>
      </c>
      <c r="M104" s="606" t="s">
        <v>683</v>
      </c>
      <c r="N104" s="604"/>
      <c r="O104" s="604" t="s">
        <v>684</v>
      </c>
      <c r="P104" s="623" t="s">
        <v>685</v>
      </c>
      <c r="Q104" s="624"/>
      <c r="R104" s="624"/>
      <c r="S104" s="625"/>
      <c r="T104" s="604" t="s">
        <v>681</v>
      </c>
      <c r="U104" s="623" t="s">
        <v>685</v>
      </c>
      <c r="V104" s="624"/>
      <c r="W104" s="624"/>
      <c r="X104" s="625"/>
      <c r="Y104" s="604" t="s">
        <v>681</v>
      </c>
      <c r="Z104" s="623" t="s">
        <v>685</v>
      </c>
      <c r="AA104" s="624"/>
      <c r="AB104" s="624"/>
      <c r="AC104" s="625"/>
      <c r="AD104" s="604" t="s">
        <v>681</v>
      </c>
      <c r="AE104" s="623" t="s">
        <v>685</v>
      </c>
      <c r="AF104" s="624"/>
      <c r="AG104" s="624"/>
      <c r="AH104" s="625"/>
      <c r="AI104" s="604" t="s">
        <v>681</v>
      </c>
      <c r="AJ104" s="623" t="s">
        <v>685</v>
      </c>
      <c r="AK104" s="624"/>
      <c r="AL104" s="624"/>
      <c r="AM104" s="625"/>
      <c r="AN104" s="604" t="s">
        <v>681</v>
      </c>
      <c r="AO104" s="623" t="s">
        <v>685</v>
      </c>
      <c r="AP104" s="624"/>
      <c r="AQ104" s="624"/>
      <c r="AR104" s="625"/>
      <c r="AS104" s="604" t="s">
        <v>681</v>
      </c>
      <c r="AT104" s="623" t="s">
        <v>685</v>
      </c>
      <c r="AU104" s="624"/>
      <c r="AV104" s="624"/>
      <c r="AW104" s="625"/>
      <c r="AX104" s="604" t="s">
        <v>681</v>
      </c>
      <c r="BA104" s="604" t="s">
        <v>395</v>
      </c>
    </row>
    <row r="105" spans="2:53">
      <c r="B105" s="604"/>
      <c r="C105" s="604"/>
      <c r="D105" s="604"/>
      <c r="E105" s="604" t="s">
        <v>686</v>
      </c>
      <c r="F105" s="604"/>
      <c r="G105" s="604"/>
      <c r="H105" s="638"/>
      <c r="I105" s="604" t="s">
        <v>686</v>
      </c>
      <c r="J105" s="604"/>
      <c r="K105" s="604"/>
      <c r="L105" s="638"/>
      <c r="M105" s="607"/>
      <c r="N105" s="604"/>
      <c r="O105" s="604"/>
      <c r="P105" s="623" t="s">
        <v>687</v>
      </c>
      <c r="Q105" s="624"/>
      <c r="R105" s="624"/>
      <c r="S105" s="625"/>
      <c r="T105" s="604"/>
      <c r="U105" s="623" t="s">
        <v>687</v>
      </c>
      <c r="V105" s="624"/>
      <c r="W105" s="624"/>
      <c r="X105" s="625"/>
      <c r="Y105" s="604"/>
      <c r="Z105" s="623" t="s">
        <v>687</v>
      </c>
      <c r="AA105" s="624"/>
      <c r="AB105" s="624"/>
      <c r="AC105" s="625"/>
      <c r="AD105" s="604"/>
      <c r="AE105" s="623" t="s">
        <v>687</v>
      </c>
      <c r="AF105" s="624"/>
      <c r="AG105" s="624"/>
      <c r="AH105" s="625"/>
      <c r="AI105" s="604"/>
      <c r="AJ105" s="623" t="s">
        <v>687</v>
      </c>
      <c r="AK105" s="624"/>
      <c r="AL105" s="624"/>
      <c r="AM105" s="625"/>
      <c r="AN105" s="604"/>
      <c r="AO105" s="623" t="s">
        <v>687</v>
      </c>
      <c r="AP105" s="624"/>
      <c r="AQ105" s="624"/>
      <c r="AR105" s="625"/>
      <c r="AS105" s="604"/>
      <c r="AT105" s="623" t="s">
        <v>687</v>
      </c>
      <c r="AU105" s="624"/>
      <c r="AV105" s="624"/>
      <c r="AW105" s="625"/>
      <c r="AX105" s="604"/>
      <c r="BA105" s="604"/>
    </row>
    <row r="106" spans="2:53">
      <c r="B106" s="604"/>
      <c r="C106" s="604"/>
      <c r="D106" s="604"/>
      <c r="E106" s="446" t="s">
        <v>688</v>
      </c>
      <c r="F106" s="446" t="s">
        <v>689</v>
      </c>
      <c r="G106" s="446" t="s">
        <v>690</v>
      </c>
      <c r="H106" s="639"/>
      <c r="I106" s="446" t="s">
        <v>688</v>
      </c>
      <c r="J106" s="446" t="s">
        <v>689</v>
      </c>
      <c r="K106" s="446" t="s">
        <v>690</v>
      </c>
      <c r="L106" s="639"/>
      <c r="M106" s="608"/>
      <c r="N106" s="604"/>
      <c r="O106" s="604"/>
      <c r="P106" s="446" t="s">
        <v>688</v>
      </c>
      <c r="Q106" s="446" t="s">
        <v>689</v>
      </c>
      <c r="R106" s="446" t="s">
        <v>690</v>
      </c>
      <c r="S106" s="446" t="s">
        <v>683</v>
      </c>
      <c r="T106" s="604"/>
      <c r="U106" s="446" t="s">
        <v>688</v>
      </c>
      <c r="V106" s="446" t="s">
        <v>689</v>
      </c>
      <c r="W106" s="446" t="s">
        <v>690</v>
      </c>
      <c r="X106" s="446" t="s">
        <v>683</v>
      </c>
      <c r="Y106" s="604"/>
      <c r="Z106" s="446" t="s">
        <v>688</v>
      </c>
      <c r="AA106" s="446" t="s">
        <v>689</v>
      </c>
      <c r="AB106" s="446" t="s">
        <v>690</v>
      </c>
      <c r="AC106" s="446" t="s">
        <v>683</v>
      </c>
      <c r="AD106" s="604"/>
      <c r="AE106" s="446" t="s">
        <v>688</v>
      </c>
      <c r="AF106" s="446" t="s">
        <v>689</v>
      </c>
      <c r="AG106" s="446" t="s">
        <v>690</v>
      </c>
      <c r="AH106" s="446" t="s">
        <v>683</v>
      </c>
      <c r="AI106" s="604"/>
      <c r="AJ106" s="446" t="s">
        <v>688</v>
      </c>
      <c r="AK106" s="446" t="s">
        <v>689</v>
      </c>
      <c r="AL106" s="446" t="s">
        <v>690</v>
      </c>
      <c r="AM106" s="446" t="s">
        <v>683</v>
      </c>
      <c r="AN106" s="604"/>
      <c r="AO106" s="446" t="s">
        <v>688</v>
      </c>
      <c r="AP106" s="446" t="s">
        <v>689</v>
      </c>
      <c r="AQ106" s="446" t="s">
        <v>690</v>
      </c>
      <c r="AR106" s="446" t="s">
        <v>683</v>
      </c>
      <c r="AS106" s="604"/>
      <c r="AT106" s="446" t="s">
        <v>688</v>
      </c>
      <c r="AU106" s="446" t="s">
        <v>689</v>
      </c>
      <c r="AV106" s="446" t="s">
        <v>690</v>
      </c>
      <c r="AW106" s="446" t="s">
        <v>683</v>
      </c>
      <c r="AX106" s="604"/>
      <c r="AZ106" s="520" t="s">
        <v>683</v>
      </c>
      <c r="BA106" s="604"/>
    </row>
    <row r="107" spans="2:53">
      <c r="B107" s="666" t="s">
        <v>692</v>
      </c>
      <c r="C107" s="451">
        <v>1</v>
      </c>
      <c r="D107" s="455"/>
      <c r="E107" s="452"/>
      <c r="F107" s="452"/>
      <c r="G107" s="452"/>
      <c r="H107" s="618" t="e">
        <f>AVERAGE(G107:G121)</f>
        <v>#DIV/0!</v>
      </c>
      <c r="I107" s="513" t="str">
        <f t="shared" ref="I107:I120" si="94">IFERROR(AVERAGE(P107,U107,Z107,AE107,AJ107,AO107,AT107),"-")</f>
        <v>-</v>
      </c>
      <c r="J107" s="513" t="str">
        <f t="shared" ref="J107:J120" si="95">IFERROR(AVERAGE(Q107,V107,AA107,AF107,AK107,AP107,AU107),"-")</f>
        <v>-</v>
      </c>
      <c r="K107" s="200" t="str">
        <f t="shared" ref="K107:K120" si="96">IFERROR(AVERAGE(R107,W107,AB107,AG107,AL107,AQ107,AV107),"-")</f>
        <v>-</v>
      </c>
      <c r="L107" s="620" t="str">
        <f>IFERROR(AVERAGE(K107:K121),"-")</f>
        <v>-</v>
      </c>
      <c r="M107" s="452" t="e">
        <f>RANK(K107, K$67:$K$81)</f>
        <v>#VALUE!</v>
      </c>
      <c r="N107" s="604"/>
      <c r="O107" s="604"/>
      <c r="P107" s="182"/>
      <c r="Q107" s="182"/>
      <c r="R107" s="182"/>
      <c r="S107" s="451" t="e">
        <f>RANK(R107, R$67:R$81)</f>
        <v>#N/A</v>
      </c>
      <c r="T107" s="612" t="e">
        <f>AVERAGE(R107:R121)</f>
        <v>#DIV/0!</v>
      </c>
      <c r="U107" s="182"/>
      <c r="V107" s="182"/>
      <c r="W107" s="182"/>
      <c r="X107" s="451" t="e">
        <f t="shared" ref="X107:AM121" si="97">RANK(W107, W$67:W$81)</f>
        <v>#N/A</v>
      </c>
      <c r="Y107" s="612" t="e">
        <f t="shared" ref="Y107" si="98">AVERAGE(W107:W121)</f>
        <v>#DIV/0!</v>
      </c>
      <c r="Z107" s="182"/>
      <c r="AA107" s="182"/>
      <c r="AB107" s="182"/>
      <c r="AC107" s="451" t="e">
        <f t="shared" ref="AC107" si="99">RANK(AB107, AB$67:AB$81)</f>
        <v>#N/A</v>
      </c>
      <c r="AD107" s="612" t="e">
        <f t="shared" ref="AD107" si="100">AVERAGE(AB107:AB121)</f>
        <v>#DIV/0!</v>
      </c>
      <c r="AE107" s="182"/>
      <c r="AF107" s="182"/>
      <c r="AG107" s="182"/>
      <c r="AH107" s="451" t="e">
        <f t="shared" ref="AH107" si="101">RANK(AG107, AG$67:AG$81)</f>
        <v>#N/A</v>
      </c>
      <c r="AI107" s="612" t="e">
        <f t="shared" ref="AI107" si="102">AVERAGE(AG107:AG121)</f>
        <v>#DIV/0!</v>
      </c>
      <c r="AJ107" s="182"/>
      <c r="AK107" s="182"/>
      <c r="AL107" s="182"/>
      <c r="AM107" s="451" t="e">
        <f t="shared" ref="AM107" si="103">RANK(AL107, AL$67:AL$81)</f>
        <v>#N/A</v>
      </c>
      <c r="AN107" s="612" t="e">
        <f t="shared" ref="AN107" si="104">AVERAGE(AL107:AL121)</f>
        <v>#DIV/0!</v>
      </c>
      <c r="AO107" s="182"/>
      <c r="AP107" s="182"/>
      <c r="AQ107" s="182"/>
      <c r="AR107" s="451" t="e">
        <f t="shared" ref="AR107:AW121" si="105">RANK(AQ107, AQ$67:AQ$81)</f>
        <v>#N/A</v>
      </c>
      <c r="AS107" s="612" t="e">
        <f t="shared" ref="AS107" si="106">AVERAGE(AQ107:AQ121)</f>
        <v>#DIV/0!</v>
      </c>
      <c r="AT107" s="182"/>
      <c r="AU107" s="182"/>
      <c r="AV107" s="182"/>
      <c r="AW107" s="451" t="e">
        <f t="shared" ref="AW107" si="107">RANK(AV107, AV$67:AV$81)</f>
        <v>#N/A</v>
      </c>
      <c r="AX107" s="612" t="e">
        <f t="shared" ref="AX107" si="108">AVERAGE(AV107:AV121)</f>
        <v>#DIV/0!</v>
      </c>
      <c r="AZ107" s="522" t="e">
        <f t="shared" ref="AZ107:AZ121" si="109">RANK(AY107, AY$67:AY$81)</f>
        <v>#N/A</v>
      </c>
      <c r="BA107" s="612" t="e">
        <f t="shared" ref="BA107" si="110">AVERAGE(AY107:AY121)</f>
        <v>#DIV/0!</v>
      </c>
    </row>
    <row r="108" spans="2:53">
      <c r="B108" s="640"/>
      <c r="C108" s="451">
        <v>2</v>
      </c>
      <c r="D108" s="455"/>
      <c r="E108" s="452"/>
      <c r="F108" s="452"/>
      <c r="G108" s="452"/>
      <c r="H108" s="619"/>
      <c r="I108" s="513" t="str">
        <f t="shared" si="94"/>
        <v>-</v>
      </c>
      <c r="J108" s="513" t="str">
        <f t="shared" si="95"/>
        <v>-</v>
      </c>
      <c r="K108" s="200" t="str">
        <f t="shared" si="96"/>
        <v>-</v>
      </c>
      <c r="L108" s="621"/>
      <c r="M108" s="452" t="e">
        <f>RANK(K108, K$67:$K$81)</f>
        <v>#VALUE!</v>
      </c>
      <c r="N108" s="604"/>
      <c r="O108" s="604"/>
      <c r="P108" s="182"/>
      <c r="Q108" s="182"/>
      <c r="R108" s="182"/>
      <c r="S108" s="451" t="e">
        <f t="shared" ref="S108:S121" si="111">RANK(R108, R$67:R$81)</f>
        <v>#N/A</v>
      </c>
      <c r="T108" s="612"/>
      <c r="U108" s="182"/>
      <c r="V108" s="182"/>
      <c r="W108" s="182"/>
      <c r="X108" s="451" t="e">
        <f t="shared" si="97"/>
        <v>#N/A</v>
      </c>
      <c r="Y108" s="612"/>
      <c r="Z108" s="182"/>
      <c r="AA108" s="182"/>
      <c r="AB108" s="182"/>
      <c r="AC108" s="451" t="e">
        <f t="shared" si="97"/>
        <v>#N/A</v>
      </c>
      <c r="AD108" s="612"/>
      <c r="AE108" s="182"/>
      <c r="AF108" s="182"/>
      <c r="AG108" s="182"/>
      <c r="AH108" s="451" t="e">
        <f t="shared" si="97"/>
        <v>#N/A</v>
      </c>
      <c r="AI108" s="612"/>
      <c r="AJ108" s="182"/>
      <c r="AK108" s="182"/>
      <c r="AL108" s="182"/>
      <c r="AM108" s="451" t="e">
        <f t="shared" si="97"/>
        <v>#N/A</v>
      </c>
      <c r="AN108" s="612"/>
      <c r="AO108" s="182"/>
      <c r="AP108" s="182"/>
      <c r="AQ108" s="182"/>
      <c r="AR108" s="451" t="e">
        <f t="shared" si="105"/>
        <v>#N/A</v>
      </c>
      <c r="AS108" s="612"/>
      <c r="AT108" s="182"/>
      <c r="AU108" s="182"/>
      <c r="AV108" s="182"/>
      <c r="AW108" s="451" t="e">
        <f t="shared" si="105"/>
        <v>#N/A</v>
      </c>
      <c r="AX108" s="612"/>
      <c r="AZ108" s="522" t="e">
        <f t="shared" si="109"/>
        <v>#N/A</v>
      </c>
      <c r="BA108" s="612"/>
    </row>
    <row r="109" spans="2:53">
      <c r="B109" s="640"/>
      <c r="C109" s="451">
        <v>3</v>
      </c>
      <c r="D109" s="455"/>
      <c r="E109" s="452"/>
      <c r="F109" s="452"/>
      <c r="G109" s="452"/>
      <c r="H109" s="619"/>
      <c r="I109" s="513" t="str">
        <f t="shared" si="94"/>
        <v>-</v>
      </c>
      <c r="J109" s="513" t="str">
        <f t="shared" si="95"/>
        <v>-</v>
      </c>
      <c r="K109" s="200" t="str">
        <f t="shared" si="96"/>
        <v>-</v>
      </c>
      <c r="L109" s="621"/>
      <c r="M109" s="452" t="e">
        <f>RANK(K109, K$67:$K$81)</f>
        <v>#VALUE!</v>
      </c>
      <c r="N109" s="604"/>
      <c r="O109" s="604"/>
      <c r="P109" s="182"/>
      <c r="Q109" s="182"/>
      <c r="R109" s="182"/>
      <c r="S109" s="451" t="e">
        <f t="shared" si="111"/>
        <v>#N/A</v>
      </c>
      <c r="T109" s="612"/>
      <c r="U109" s="182"/>
      <c r="V109" s="182"/>
      <c r="W109" s="182"/>
      <c r="X109" s="451" t="e">
        <f t="shared" si="97"/>
        <v>#N/A</v>
      </c>
      <c r="Y109" s="612"/>
      <c r="Z109" s="182"/>
      <c r="AA109" s="182"/>
      <c r="AB109" s="182"/>
      <c r="AC109" s="451" t="e">
        <f t="shared" si="97"/>
        <v>#N/A</v>
      </c>
      <c r="AD109" s="612"/>
      <c r="AE109" s="182"/>
      <c r="AF109" s="182"/>
      <c r="AG109" s="182"/>
      <c r="AH109" s="451" t="e">
        <f t="shared" si="97"/>
        <v>#N/A</v>
      </c>
      <c r="AI109" s="612"/>
      <c r="AJ109" s="182"/>
      <c r="AK109" s="182"/>
      <c r="AL109" s="182"/>
      <c r="AM109" s="451" t="e">
        <f t="shared" si="97"/>
        <v>#N/A</v>
      </c>
      <c r="AN109" s="612"/>
      <c r="AO109" s="182"/>
      <c r="AP109" s="182"/>
      <c r="AQ109" s="182"/>
      <c r="AR109" s="451" t="e">
        <f t="shared" si="105"/>
        <v>#N/A</v>
      </c>
      <c r="AS109" s="612"/>
      <c r="AT109" s="182"/>
      <c r="AU109" s="182"/>
      <c r="AV109" s="182"/>
      <c r="AW109" s="451" t="e">
        <f t="shared" si="105"/>
        <v>#N/A</v>
      </c>
      <c r="AX109" s="612"/>
      <c r="AZ109" s="522" t="e">
        <f t="shared" si="109"/>
        <v>#N/A</v>
      </c>
      <c r="BA109" s="612"/>
    </row>
    <row r="110" spans="2:53">
      <c r="B110" s="640"/>
      <c r="C110" s="451">
        <v>4</v>
      </c>
      <c r="D110" s="455"/>
      <c r="E110" s="452"/>
      <c r="F110" s="452"/>
      <c r="G110" s="452"/>
      <c r="H110" s="619"/>
      <c r="I110" s="513" t="str">
        <f t="shared" si="94"/>
        <v>-</v>
      </c>
      <c r="J110" s="513" t="str">
        <f t="shared" si="95"/>
        <v>-</v>
      </c>
      <c r="K110" s="200" t="str">
        <f t="shared" si="96"/>
        <v>-</v>
      </c>
      <c r="L110" s="621"/>
      <c r="M110" s="452" t="e">
        <f>RANK(K110, K$67:$K$81)</f>
        <v>#VALUE!</v>
      </c>
      <c r="N110" s="604"/>
      <c r="O110" s="604"/>
      <c r="P110" s="182"/>
      <c r="Q110" s="182"/>
      <c r="R110" s="182"/>
      <c r="S110" s="451" t="e">
        <f t="shared" si="111"/>
        <v>#N/A</v>
      </c>
      <c r="T110" s="612"/>
      <c r="U110" s="182"/>
      <c r="V110" s="182"/>
      <c r="W110" s="182"/>
      <c r="X110" s="451" t="e">
        <f t="shared" si="97"/>
        <v>#N/A</v>
      </c>
      <c r="Y110" s="612"/>
      <c r="Z110" s="182"/>
      <c r="AA110" s="182"/>
      <c r="AB110" s="182"/>
      <c r="AC110" s="451" t="e">
        <f t="shared" si="97"/>
        <v>#N/A</v>
      </c>
      <c r="AD110" s="612"/>
      <c r="AE110" s="182"/>
      <c r="AF110" s="182"/>
      <c r="AG110" s="182"/>
      <c r="AH110" s="451" t="e">
        <f t="shared" si="97"/>
        <v>#N/A</v>
      </c>
      <c r="AI110" s="612"/>
      <c r="AJ110" s="182"/>
      <c r="AK110" s="182"/>
      <c r="AL110" s="182"/>
      <c r="AM110" s="451" t="e">
        <f t="shared" si="97"/>
        <v>#N/A</v>
      </c>
      <c r="AN110" s="612"/>
      <c r="AO110" s="182"/>
      <c r="AP110" s="182"/>
      <c r="AQ110" s="182"/>
      <c r="AR110" s="451" t="e">
        <f t="shared" si="105"/>
        <v>#N/A</v>
      </c>
      <c r="AS110" s="612"/>
      <c r="AT110" s="182"/>
      <c r="AU110" s="182"/>
      <c r="AV110" s="182"/>
      <c r="AW110" s="451" t="e">
        <f t="shared" si="105"/>
        <v>#N/A</v>
      </c>
      <c r="AX110" s="612"/>
      <c r="AZ110" s="522" t="e">
        <f t="shared" si="109"/>
        <v>#N/A</v>
      </c>
      <c r="BA110" s="612"/>
    </row>
    <row r="111" spans="2:53">
      <c r="B111" s="640"/>
      <c r="C111" s="451">
        <v>5</v>
      </c>
      <c r="D111" s="455"/>
      <c r="E111" s="452"/>
      <c r="F111" s="452"/>
      <c r="G111" s="452"/>
      <c r="H111" s="619"/>
      <c r="I111" s="513" t="str">
        <f t="shared" si="94"/>
        <v>-</v>
      </c>
      <c r="J111" s="513" t="str">
        <f t="shared" si="95"/>
        <v>-</v>
      </c>
      <c r="K111" s="200" t="str">
        <f t="shared" si="96"/>
        <v>-</v>
      </c>
      <c r="L111" s="621"/>
      <c r="M111" s="452" t="e">
        <f>RANK(K111, K$67:$K$81)</f>
        <v>#VALUE!</v>
      </c>
      <c r="N111" s="604"/>
      <c r="O111" s="604"/>
      <c r="P111" s="182"/>
      <c r="Q111" s="182"/>
      <c r="R111" s="182"/>
      <c r="S111" s="451" t="e">
        <f t="shared" si="111"/>
        <v>#N/A</v>
      </c>
      <c r="T111" s="612"/>
      <c r="U111" s="182"/>
      <c r="V111" s="182"/>
      <c r="W111" s="182"/>
      <c r="X111" s="451" t="e">
        <f t="shared" si="97"/>
        <v>#N/A</v>
      </c>
      <c r="Y111" s="612"/>
      <c r="Z111" s="182"/>
      <c r="AA111" s="182"/>
      <c r="AB111" s="182"/>
      <c r="AC111" s="451" t="e">
        <f t="shared" si="97"/>
        <v>#N/A</v>
      </c>
      <c r="AD111" s="612"/>
      <c r="AE111" s="182"/>
      <c r="AF111" s="182"/>
      <c r="AG111" s="182"/>
      <c r="AH111" s="451" t="e">
        <f t="shared" si="97"/>
        <v>#N/A</v>
      </c>
      <c r="AI111" s="612"/>
      <c r="AJ111" s="182"/>
      <c r="AK111" s="182"/>
      <c r="AL111" s="182"/>
      <c r="AM111" s="451" t="e">
        <f t="shared" si="97"/>
        <v>#N/A</v>
      </c>
      <c r="AN111" s="612"/>
      <c r="AO111" s="182"/>
      <c r="AP111" s="182"/>
      <c r="AQ111" s="182"/>
      <c r="AR111" s="451" t="e">
        <f t="shared" si="105"/>
        <v>#N/A</v>
      </c>
      <c r="AS111" s="612"/>
      <c r="AT111" s="182"/>
      <c r="AU111" s="182"/>
      <c r="AV111" s="182"/>
      <c r="AW111" s="451" t="e">
        <f t="shared" si="105"/>
        <v>#N/A</v>
      </c>
      <c r="AX111" s="612"/>
      <c r="AZ111" s="522" t="e">
        <f t="shared" si="109"/>
        <v>#N/A</v>
      </c>
      <c r="BA111" s="612"/>
    </row>
    <row r="112" spans="2:53">
      <c r="B112" s="640"/>
      <c r="C112" s="451">
        <v>6</v>
      </c>
      <c r="D112" s="455"/>
      <c r="E112" s="452"/>
      <c r="F112" s="452"/>
      <c r="G112" s="452"/>
      <c r="H112" s="619"/>
      <c r="I112" s="513" t="str">
        <f t="shared" si="94"/>
        <v>-</v>
      </c>
      <c r="J112" s="513" t="str">
        <f t="shared" si="95"/>
        <v>-</v>
      </c>
      <c r="K112" s="200" t="str">
        <f t="shared" si="96"/>
        <v>-</v>
      </c>
      <c r="L112" s="621"/>
      <c r="M112" s="452" t="e">
        <f>RANK(K112, K$67:$K$81)</f>
        <v>#VALUE!</v>
      </c>
      <c r="N112" s="604"/>
      <c r="O112" s="604"/>
      <c r="P112" s="182"/>
      <c r="Q112" s="182"/>
      <c r="R112" s="182"/>
      <c r="S112" s="451" t="e">
        <f t="shared" si="111"/>
        <v>#N/A</v>
      </c>
      <c r="T112" s="612"/>
      <c r="U112" s="182"/>
      <c r="V112" s="182"/>
      <c r="W112" s="182"/>
      <c r="X112" s="451" t="e">
        <f t="shared" si="97"/>
        <v>#N/A</v>
      </c>
      <c r="Y112" s="612"/>
      <c r="Z112" s="182"/>
      <c r="AA112" s="182"/>
      <c r="AB112" s="182"/>
      <c r="AC112" s="451" t="e">
        <f t="shared" si="97"/>
        <v>#N/A</v>
      </c>
      <c r="AD112" s="612"/>
      <c r="AE112" s="182"/>
      <c r="AF112" s="182"/>
      <c r="AG112" s="182"/>
      <c r="AH112" s="451" t="e">
        <f t="shared" si="97"/>
        <v>#N/A</v>
      </c>
      <c r="AI112" s="612"/>
      <c r="AJ112" s="182"/>
      <c r="AK112" s="182"/>
      <c r="AL112" s="182"/>
      <c r="AM112" s="451" t="e">
        <f t="shared" si="97"/>
        <v>#N/A</v>
      </c>
      <c r="AN112" s="612"/>
      <c r="AO112" s="182"/>
      <c r="AP112" s="182"/>
      <c r="AQ112" s="182"/>
      <c r="AR112" s="451" t="e">
        <f t="shared" si="105"/>
        <v>#N/A</v>
      </c>
      <c r="AS112" s="612"/>
      <c r="AT112" s="182"/>
      <c r="AU112" s="182"/>
      <c r="AV112" s="182"/>
      <c r="AW112" s="451" t="e">
        <f t="shared" si="105"/>
        <v>#N/A</v>
      </c>
      <c r="AX112" s="612"/>
      <c r="AZ112" s="522" t="e">
        <f t="shared" si="109"/>
        <v>#N/A</v>
      </c>
      <c r="BA112" s="612"/>
    </row>
    <row r="113" spans="2:53">
      <c r="B113" s="640"/>
      <c r="C113" s="451">
        <v>7</v>
      </c>
      <c r="D113" s="455"/>
      <c r="E113" s="452"/>
      <c r="F113" s="452"/>
      <c r="G113" s="452"/>
      <c r="H113" s="619"/>
      <c r="I113" s="513" t="str">
        <f t="shared" si="94"/>
        <v>-</v>
      </c>
      <c r="J113" s="513" t="str">
        <f t="shared" si="95"/>
        <v>-</v>
      </c>
      <c r="K113" s="200" t="str">
        <f t="shared" si="96"/>
        <v>-</v>
      </c>
      <c r="L113" s="621"/>
      <c r="M113" s="452" t="e">
        <f>RANK(K113, K$67:$K$81)</f>
        <v>#VALUE!</v>
      </c>
      <c r="N113" s="604"/>
      <c r="O113" s="604"/>
      <c r="P113" s="182"/>
      <c r="Q113" s="182"/>
      <c r="R113" s="182"/>
      <c r="S113" s="451" t="e">
        <f t="shared" si="111"/>
        <v>#N/A</v>
      </c>
      <c r="T113" s="612"/>
      <c r="U113" s="182"/>
      <c r="V113" s="182"/>
      <c r="W113" s="182"/>
      <c r="X113" s="451" t="e">
        <f t="shared" si="97"/>
        <v>#N/A</v>
      </c>
      <c r="Y113" s="612"/>
      <c r="Z113" s="182"/>
      <c r="AA113" s="182"/>
      <c r="AB113" s="182"/>
      <c r="AC113" s="451" t="e">
        <f t="shared" si="97"/>
        <v>#N/A</v>
      </c>
      <c r="AD113" s="612"/>
      <c r="AE113" s="182"/>
      <c r="AF113" s="182"/>
      <c r="AG113" s="182"/>
      <c r="AH113" s="451" t="e">
        <f t="shared" si="97"/>
        <v>#N/A</v>
      </c>
      <c r="AI113" s="612"/>
      <c r="AJ113" s="182"/>
      <c r="AK113" s="182"/>
      <c r="AL113" s="182"/>
      <c r="AM113" s="451" t="e">
        <f t="shared" si="97"/>
        <v>#N/A</v>
      </c>
      <c r="AN113" s="612"/>
      <c r="AO113" s="182"/>
      <c r="AP113" s="182"/>
      <c r="AQ113" s="182"/>
      <c r="AR113" s="451" t="e">
        <f t="shared" si="105"/>
        <v>#N/A</v>
      </c>
      <c r="AS113" s="612"/>
      <c r="AT113" s="182"/>
      <c r="AU113" s="182"/>
      <c r="AV113" s="182"/>
      <c r="AW113" s="451" t="e">
        <f t="shared" si="105"/>
        <v>#N/A</v>
      </c>
      <c r="AX113" s="612"/>
      <c r="AZ113" s="522" t="e">
        <f t="shared" si="109"/>
        <v>#N/A</v>
      </c>
      <c r="BA113" s="612"/>
    </row>
    <row r="114" spans="2:53">
      <c r="B114" s="640"/>
      <c r="C114" s="451">
        <v>8</v>
      </c>
      <c r="D114" s="455"/>
      <c r="E114" s="452"/>
      <c r="F114" s="452"/>
      <c r="G114" s="452"/>
      <c r="H114" s="619"/>
      <c r="I114" s="513" t="str">
        <f t="shared" si="94"/>
        <v>-</v>
      </c>
      <c r="J114" s="513" t="str">
        <f t="shared" si="95"/>
        <v>-</v>
      </c>
      <c r="K114" s="200" t="str">
        <f t="shared" si="96"/>
        <v>-</v>
      </c>
      <c r="L114" s="621"/>
      <c r="M114" s="452" t="e">
        <f>RANK(K114, K$67:$K$81)</f>
        <v>#VALUE!</v>
      </c>
      <c r="N114" s="604"/>
      <c r="O114" s="604"/>
      <c r="P114" s="182"/>
      <c r="Q114" s="182"/>
      <c r="R114" s="182"/>
      <c r="S114" s="451" t="e">
        <f t="shared" si="111"/>
        <v>#N/A</v>
      </c>
      <c r="T114" s="612"/>
      <c r="U114" s="182"/>
      <c r="V114" s="182"/>
      <c r="W114" s="182"/>
      <c r="X114" s="451" t="e">
        <f t="shared" si="97"/>
        <v>#N/A</v>
      </c>
      <c r="Y114" s="612"/>
      <c r="Z114" s="182"/>
      <c r="AA114" s="182"/>
      <c r="AB114" s="182"/>
      <c r="AC114" s="451" t="e">
        <f t="shared" si="97"/>
        <v>#N/A</v>
      </c>
      <c r="AD114" s="612"/>
      <c r="AE114" s="182"/>
      <c r="AF114" s="182"/>
      <c r="AG114" s="182"/>
      <c r="AH114" s="451" t="e">
        <f t="shared" si="97"/>
        <v>#N/A</v>
      </c>
      <c r="AI114" s="612"/>
      <c r="AJ114" s="182"/>
      <c r="AK114" s="182"/>
      <c r="AL114" s="182"/>
      <c r="AM114" s="451" t="e">
        <f t="shared" si="97"/>
        <v>#N/A</v>
      </c>
      <c r="AN114" s="612"/>
      <c r="AO114" s="182"/>
      <c r="AP114" s="182"/>
      <c r="AQ114" s="182"/>
      <c r="AR114" s="451" t="e">
        <f t="shared" si="105"/>
        <v>#N/A</v>
      </c>
      <c r="AS114" s="612"/>
      <c r="AT114" s="182"/>
      <c r="AU114" s="182"/>
      <c r="AV114" s="182"/>
      <c r="AW114" s="451" t="e">
        <f t="shared" si="105"/>
        <v>#N/A</v>
      </c>
      <c r="AX114" s="612"/>
      <c r="AZ114" s="522" t="e">
        <f t="shared" si="109"/>
        <v>#N/A</v>
      </c>
      <c r="BA114" s="612"/>
    </row>
    <row r="115" spans="2:53">
      <c r="B115" s="640"/>
      <c r="C115" s="451">
        <v>9</v>
      </c>
      <c r="D115" s="455"/>
      <c r="E115" s="452"/>
      <c r="F115" s="452"/>
      <c r="G115" s="452"/>
      <c r="H115" s="619"/>
      <c r="I115" s="513" t="str">
        <f t="shared" si="94"/>
        <v>-</v>
      </c>
      <c r="J115" s="513" t="str">
        <f t="shared" si="95"/>
        <v>-</v>
      </c>
      <c r="K115" s="200" t="str">
        <f t="shared" si="96"/>
        <v>-</v>
      </c>
      <c r="L115" s="621"/>
      <c r="M115" s="452" t="e">
        <f>RANK(K115, K$67:$K$81)</f>
        <v>#VALUE!</v>
      </c>
      <c r="N115" s="604"/>
      <c r="O115" s="604"/>
      <c r="P115" s="182"/>
      <c r="Q115" s="182"/>
      <c r="R115" s="182"/>
      <c r="S115" s="451" t="e">
        <f t="shared" si="111"/>
        <v>#N/A</v>
      </c>
      <c r="T115" s="612"/>
      <c r="U115" s="182"/>
      <c r="V115" s="182"/>
      <c r="W115" s="182"/>
      <c r="X115" s="451" t="e">
        <f t="shared" si="97"/>
        <v>#N/A</v>
      </c>
      <c r="Y115" s="612"/>
      <c r="Z115" s="182"/>
      <c r="AA115" s="182"/>
      <c r="AB115" s="182"/>
      <c r="AC115" s="451" t="e">
        <f t="shared" si="97"/>
        <v>#N/A</v>
      </c>
      <c r="AD115" s="612"/>
      <c r="AE115" s="182"/>
      <c r="AF115" s="182"/>
      <c r="AG115" s="182"/>
      <c r="AH115" s="451" t="e">
        <f t="shared" si="97"/>
        <v>#N/A</v>
      </c>
      <c r="AI115" s="612"/>
      <c r="AJ115" s="182"/>
      <c r="AK115" s="182"/>
      <c r="AL115" s="182"/>
      <c r="AM115" s="451" t="e">
        <f t="shared" si="97"/>
        <v>#N/A</v>
      </c>
      <c r="AN115" s="612"/>
      <c r="AO115" s="182"/>
      <c r="AP115" s="182"/>
      <c r="AQ115" s="182"/>
      <c r="AR115" s="451" t="e">
        <f t="shared" si="105"/>
        <v>#N/A</v>
      </c>
      <c r="AS115" s="612"/>
      <c r="AT115" s="182"/>
      <c r="AU115" s="182"/>
      <c r="AV115" s="182"/>
      <c r="AW115" s="451" t="e">
        <f t="shared" si="105"/>
        <v>#N/A</v>
      </c>
      <c r="AX115" s="612"/>
      <c r="AZ115" s="522" t="e">
        <f t="shared" si="109"/>
        <v>#N/A</v>
      </c>
      <c r="BA115" s="612"/>
    </row>
    <row r="116" spans="2:53">
      <c r="B116" s="640"/>
      <c r="C116" s="451">
        <v>10</v>
      </c>
      <c r="D116" s="455"/>
      <c r="E116" s="452"/>
      <c r="F116" s="452"/>
      <c r="G116" s="452"/>
      <c r="H116" s="619"/>
      <c r="I116" s="513" t="str">
        <f t="shared" si="94"/>
        <v>-</v>
      </c>
      <c r="J116" s="513" t="str">
        <f t="shared" si="95"/>
        <v>-</v>
      </c>
      <c r="K116" s="200" t="str">
        <f t="shared" si="96"/>
        <v>-</v>
      </c>
      <c r="L116" s="621"/>
      <c r="M116" s="452" t="e">
        <f>RANK(K116, K$67:$K$81)</f>
        <v>#VALUE!</v>
      </c>
      <c r="N116" s="604"/>
      <c r="O116" s="604"/>
      <c r="P116" s="182"/>
      <c r="Q116" s="182"/>
      <c r="R116" s="182"/>
      <c r="S116" s="451" t="e">
        <f t="shared" si="111"/>
        <v>#N/A</v>
      </c>
      <c r="T116" s="612"/>
      <c r="U116" s="182"/>
      <c r="V116" s="182"/>
      <c r="W116" s="182"/>
      <c r="X116" s="451" t="e">
        <f t="shared" si="97"/>
        <v>#N/A</v>
      </c>
      <c r="Y116" s="612"/>
      <c r="Z116" s="182"/>
      <c r="AA116" s="182"/>
      <c r="AB116" s="182"/>
      <c r="AC116" s="451" t="e">
        <f t="shared" si="97"/>
        <v>#N/A</v>
      </c>
      <c r="AD116" s="612"/>
      <c r="AE116" s="182"/>
      <c r="AF116" s="182"/>
      <c r="AG116" s="182"/>
      <c r="AH116" s="451" t="e">
        <f t="shared" si="97"/>
        <v>#N/A</v>
      </c>
      <c r="AI116" s="612"/>
      <c r="AJ116" s="182"/>
      <c r="AK116" s="182"/>
      <c r="AL116" s="182"/>
      <c r="AM116" s="451" t="e">
        <f t="shared" si="97"/>
        <v>#N/A</v>
      </c>
      <c r="AN116" s="612"/>
      <c r="AO116" s="182"/>
      <c r="AP116" s="182"/>
      <c r="AQ116" s="182"/>
      <c r="AR116" s="451" t="e">
        <f t="shared" si="105"/>
        <v>#N/A</v>
      </c>
      <c r="AS116" s="612"/>
      <c r="AT116" s="182"/>
      <c r="AU116" s="182"/>
      <c r="AV116" s="182"/>
      <c r="AW116" s="451" t="e">
        <f t="shared" si="105"/>
        <v>#N/A</v>
      </c>
      <c r="AX116" s="612"/>
      <c r="AZ116" s="522" t="e">
        <f t="shared" si="109"/>
        <v>#N/A</v>
      </c>
      <c r="BA116" s="612"/>
    </row>
    <row r="117" spans="2:53">
      <c r="B117" s="640"/>
      <c r="C117" s="451">
        <v>11</v>
      </c>
      <c r="D117" s="455"/>
      <c r="E117" s="452"/>
      <c r="F117" s="452"/>
      <c r="G117" s="452"/>
      <c r="H117" s="619"/>
      <c r="I117" s="513" t="str">
        <f t="shared" si="94"/>
        <v>-</v>
      </c>
      <c r="J117" s="513" t="str">
        <f t="shared" si="95"/>
        <v>-</v>
      </c>
      <c r="K117" s="200" t="str">
        <f t="shared" si="96"/>
        <v>-</v>
      </c>
      <c r="L117" s="621"/>
      <c r="M117" s="452" t="e">
        <f>RANK(K117, K$67:$K$81)</f>
        <v>#VALUE!</v>
      </c>
      <c r="N117" s="604"/>
      <c r="O117" s="604"/>
      <c r="P117" s="182"/>
      <c r="Q117" s="182"/>
      <c r="R117" s="182"/>
      <c r="S117" s="451" t="e">
        <f t="shared" si="111"/>
        <v>#N/A</v>
      </c>
      <c r="T117" s="612"/>
      <c r="U117" s="182"/>
      <c r="V117" s="182"/>
      <c r="W117" s="182"/>
      <c r="X117" s="451" t="e">
        <f t="shared" si="97"/>
        <v>#N/A</v>
      </c>
      <c r="Y117" s="612"/>
      <c r="Z117" s="182"/>
      <c r="AA117" s="182"/>
      <c r="AB117" s="182"/>
      <c r="AC117" s="451" t="e">
        <f t="shared" si="97"/>
        <v>#N/A</v>
      </c>
      <c r="AD117" s="612"/>
      <c r="AE117" s="182"/>
      <c r="AF117" s="182"/>
      <c r="AG117" s="182"/>
      <c r="AH117" s="451" t="e">
        <f t="shared" si="97"/>
        <v>#N/A</v>
      </c>
      <c r="AI117" s="612"/>
      <c r="AJ117" s="182"/>
      <c r="AK117" s="182"/>
      <c r="AL117" s="182"/>
      <c r="AM117" s="451" t="e">
        <f t="shared" si="97"/>
        <v>#N/A</v>
      </c>
      <c r="AN117" s="612"/>
      <c r="AO117" s="182"/>
      <c r="AP117" s="182"/>
      <c r="AQ117" s="182"/>
      <c r="AR117" s="451" t="e">
        <f t="shared" si="105"/>
        <v>#N/A</v>
      </c>
      <c r="AS117" s="612"/>
      <c r="AT117" s="182"/>
      <c r="AU117" s="182"/>
      <c r="AV117" s="182"/>
      <c r="AW117" s="451" t="e">
        <f t="shared" si="105"/>
        <v>#N/A</v>
      </c>
      <c r="AX117" s="612"/>
      <c r="AZ117" s="522" t="e">
        <f t="shared" si="109"/>
        <v>#N/A</v>
      </c>
      <c r="BA117" s="612"/>
    </row>
    <row r="118" spans="2:53">
      <c r="B118" s="640"/>
      <c r="C118" s="451">
        <v>12</v>
      </c>
      <c r="D118" s="455"/>
      <c r="E118" s="452"/>
      <c r="F118" s="452"/>
      <c r="G118" s="452"/>
      <c r="H118" s="619"/>
      <c r="I118" s="513" t="str">
        <f t="shared" si="94"/>
        <v>-</v>
      </c>
      <c r="J118" s="513" t="str">
        <f t="shared" si="95"/>
        <v>-</v>
      </c>
      <c r="K118" s="200" t="str">
        <f t="shared" si="96"/>
        <v>-</v>
      </c>
      <c r="L118" s="621"/>
      <c r="M118" s="452" t="e">
        <f>RANK(K118, K$67:$K$81)</f>
        <v>#VALUE!</v>
      </c>
      <c r="N118" s="604"/>
      <c r="O118" s="604"/>
      <c r="P118" s="182"/>
      <c r="Q118" s="182"/>
      <c r="R118" s="182"/>
      <c r="S118" s="451" t="e">
        <f t="shared" si="111"/>
        <v>#N/A</v>
      </c>
      <c r="T118" s="612"/>
      <c r="U118" s="182"/>
      <c r="V118" s="182"/>
      <c r="W118" s="182"/>
      <c r="X118" s="451" t="e">
        <f t="shared" si="97"/>
        <v>#N/A</v>
      </c>
      <c r="Y118" s="612"/>
      <c r="Z118" s="182"/>
      <c r="AA118" s="182"/>
      <c r="AB118" s="182"/>
      <c r="AC118" s="451" t="e">
        <f t="shared" si="97"/>
        <v>#N/A</v>
      </c>
      <c r="AD118" s="612"/>
      <c r="AE118" s="182"/>
      <c r="AF118" s="182"/>
      <c r="AG118" s="182"/>
      <c r="AH118" s="451" t="e">
        <f t="shared" si="97"/>
        <v>#N/A</v>
      </c>
      <c r="AI118" s="612"/>
      <c r="AJ118" s="182"/>
      <c r="AK118" s="182"/>
      <c r="AL118" s="182"/>
      <c r="AM118" s="451" t="e">
        <f t="shared" si="97"/>
        <v>#N/A</v>
      </c>
      <c r="AN118" s="612"/>
      <c r="AO118" s="182"/>
      <c r="AP118" s="182"/>
      <c r="AQ118" s="182"/>
      <c r="AR118" s="451" t="e">
        <f t="shared" si="105"/>
        <v>#N/A</v>
      </c>
      <c r="AS118" s="612"/>
      <c r="AT118" s="182"/>
      <c r="AU118" s="182"/>
      <c r="AV118" s="182"/>
      <c r="AW118" s="451" t="e">
        <f t="shared" si="105"/>
        <v>#N/A</v>
      </c>
      <c r="AX118" s="612"/>
      <c r="AZ118" s="522" t="e">
        <f t="shared" si="109"/>
        <v>#N/A</v>
      </c>
      <c r="BA118" s="612"/>
    </row>
    <row r="119" spans="2:53">
      <c r="B119" s="640"/>
      <c r="C119" s="451">
        <v>13</v>
      </c>
      <c r="D119" s="455"/>
      <c r="E119" s="452"/>
      <c r="F119" s="452"/>
      <c r="G119" s="452"/>
      <c r="H119" s="619"/>
      <c r="I119" s="513" t="str">
        <f t="shared" si="94"/>
        <v>-</v>
      </c>
      <c r="J119" s="513" t="str">
        <f t="shared" si="95"/>
        <v>-</v>
      </c>
      <c r="K119" s="200" t="str">
        <f t="shared" si="96"/>
        <v>-</v>
      </c>
      <c r="L119" s="621"/>
      <c r="M119" s="452" t="e">
        <f>RANK(K119, K$67:$K$81)</f>
        <v>#VALUE!</v>
      </c>
      <c r="N119" s="604"/>
      <c r="O119" s="604"/>
      <c r="P119" s="182"/>
      <c r="Q119" s="182"/>
      <c r="R119" s="182"/>
      <c r="S119" s="451" t="e">
        <f t="shared" si="111"/>
        <v>#N/A</v>
      </c>
      <c r="T119" s="612"/>
      <c r="U119" s="182"/>
      <c r="V119" s="182"/>
      <c r="W119" s="182"/>
      <c r="X119" s="451" t="e">
        <f t="shared" si="97"/>
        <v>#N/A</v>
      </c>
      <c r="Y119" s="612"/>
      <c r="Z119" s="182"/>
      <c r="AA119" s="182"/>
      <c r="AB119" s="182"/>
      <c r="AC119" s="451" t="e">
        <f t="shared" si="97"/>
        <v>#N/A</v>
      </c>
      <c r="AD119" s="612"/>
      <c r="AE119" s="182"/>
      <c r="AF119" s="182"/>
      <c r="AG119" s="182"/>
      <c r="AH119" s="451" t="e">
        <f t="shared" si="97"/>
        <v>#N/A</v>
      </c>
      <c r="AI119" s="612"/>
      <c r="AJ119" s="182"/>
      <c r="AK119" s="182"/>
      <c r="AL119" s="182"/>
      <c r="AM119" s="451" t="e">
        <f t="shared" si="97"/>
        <v>#N/A</v>
      </c>
      <c r="AN119" s="612"/>
      <c r="AO119" s="182"/>
      <c r="AP119" s="182"/>
      <c r="AQ119" s="182"/>
      <c r="AR119" s="451" t="e">
        <f t="shared" si="105"/>
        <v>#N/A</v>
      </c>
      <c r="AS119" s="612"/>
      <c r="AT119" s="182"/>
      <c r="AU119" s="182"/>
      <c r="AV119" s="182"/>
      <c r="AW119" s="451" t="e">
        <f t="shared" si="105"/>
        <v>#N/A</v>
      </c>
      <c r="AX119" s="612"/>
      <c r="AZ119" s="522" t="e">
        <f t="shared" si="109"/>
        <v>#N/A</v>
      </c>
      <c r="BA119" s="612"/>
    </row>
    <row r="120" spans="2:53">
      <c r="B120" s="640"/>
      <c r="C120" s="451">
        <v>14</v>
      </c>
      <c r="D120" s="455"/>
      <c r="E120" s="452"/>
      <c r="F120" s="452"/>
      <c r="G120" s="452"/>
      <c r="H120" s="619"/>
      <c r="I120" s="513" t="str">
        <f t="shared" si="94"/>
        <v>-</v>
      </c>
      <c r="J120" s="513" t="str">
        <f t="shared" si="95"/>
        <v>-</v>
      </c>
      <c r="K120" s="200" t="str">
        <f t="shared" si="96"/>
        <v>-</v>
      </c>
      <c r="L120" s="621"/>
      <c r="M120" s="452" t="e">
        <f>RANK(K120, K$67:$K$81)</f>
        <v>#VALUE!</v>
      </c>
      <c r="N120" s="604"/>
      <c r="O120" s="604"/>
      <c r="P120" s="182"/>
      <c r="Q120" s="182"/>
      <c r="R120" s="182"/>
      <c r="S120" s="451" t="e">
        <f t="shared" si="111"/>
        <v>#N/A</v>
      </c>
      <c r="T120" s="612"/>
      <c r="U120" s="182"/>
      <c r="V120" s="182"/>
      <c r="W120" s="182"/>
      <c r="X120" s="451" t="e">
        <f t="shared" si="97"/>
        <v>#N/A</v>
      </c>
      <c r="Y120" s="612"/>
      <c r="Z120" s="182"/>
      <c r="AA120" s="182"/>
      <c r="AB120" s="182"/>
      <c r="AC120" s="451" t="e">
        <f t="shared" si="97"/>
        <v>#N/A</v>
      </c>
      <c r="AD120" s="612"/>
      <c r="AE120" s="182"/>
      <c r="AF120" s="182"/>
      <c r="AG120" s="182"/>
      <c r="AH120" s="451" t="e">
        <f t="shared" si="97"/>
        <v>#N/A</v>
      </c>
      <c r="AI120" s="612"/>
      <c r="AJ120" s="182"/>
      <c r="AK120" s="182"/>
      <c r="AL120" s="182"/>
      <c r="AM120" s="451" t="e">
        <f t="shared" si="97"/>
        <v>#N/A</v>
      </c>
      <c r="AN120" s="612"/>
      <c r="AO120" s="182"/>
      <c r="AP120" s="182"/>
      <c r="AQ120" s="182"/>
      <c r="AR120" s="451" t="e">
        <f t="shared" si="105"/>
        <v>#N/A</v>
      </c>
      <c r="AS120" s="612"/>
      <c r="AT120" s="182"/>
      <c r="AU120" s="182"/>
      <c r="AV120" s="182"/>
      <c r="AW120" s="451" t="e">
        <f t="shared" si="105"/>
        <v>#N/A</v>
      </c>
      <c r="AX120" s="612"/>
      <c r="AZ120" s="522" t="e">
        <f t="shared" si="109"/>
        <v>#N/A</v>
      </c>
      <c r="BA120" s="612"/>
    </row>
    <row r="121" spans="2:53">
      <c r="B121" s="640"/>
      <c r="C121" s="451">
        <v>15</v>
      </c>
      <c r="D121" s="455"/>
      <c r="E121" s="452"/>
      <c r="F121" s="452"/>
      <c r="G121" s="452"/>
      <c r="H121" s="679"/>
      <c r="I121" s="518"/>
      <c r="J121" s="518"/>
      <c r="K121" s="514"/>
      <c r="L121" s="622"/>
      <c r="M121" s="452" t="e">
        <f>RANK(K121, K$67:$K$81)</f>
        <v>#N/A</v>
      </c>
      <c r="N121" s="604"/>
      <c r="O121" s="604"/>
      <c r="P121" s="182"/>
      <c r="Q121" s="182"/>
      <c r="R121" s="182"/>
      <c r="S121" s="451" t="e">
        <f t="shared" si="111"/>
        <v>#N/A</v>
      </c>
      <c r="T121" s="612"/>
      <c r="U121" s="182"/>
      <c r="V121" s="182"/>
      <c r="W121" s="182"/>
      <c r="X121" s="451" t="e">
        <f t="shared" si="97"/>
        <v>#N/A</v>
      </c>
      <c r="Y121" s="612"/>
      <c r="Z121" s="182"/>
      <c r="AA121" s="182"/>
      <c r="AB121" s="182"/>
      <c r="AC121" s="451" t="e">
        <f t="shared" si="97"/>
        <v>#N/A</v>
      </c>
      <c r="AD121" s="612"/>
      <c r="AE121" s="182"/>
      <c r="AF121" s="182"/>
      <c r="AG121" s="182"/>
      <c r="AH121" s="451" t="e">
        <f t="shared" si="97"/>
        <v>#N/A</v>
      </c>
      <c r="AI121" s="612"/>
      <c r="AJ121" s="182"/>
      <c r="AK121" s="182"/>
      <c r="AL121" s="182"/>
      <c r="AM121" s="451" t="e">
        <f t="shared" si="97"/>
        <v>#N/A</v>
      </c>
      <c r="AN121" s="612"/>
      <c r="AO121" s="182"/>
      <c r="AP121" s="182"/>
      <c r="AQ121" s="182"/>
      <c r="AR121" s="451" t="e">
        <f t="shared" si="105"/>
        <v>#N/A</v>
      </c>
      <c r="AS121" s="612"/>
      <c r="AT121" s="182"/>
      <c r="AU121" s="182"/>
      <c r="AV121" s="182"/>
      <c r="AW121" s="451" t="e">
        <f t="shared" si="105"/>
        <v>#N/A</v>
      </c>
      <c r="AX121" s="612"/>
      <c r="AZ121" s="522" t="e">
        <f t="shared" si="109"/>
        <v>#N/A</v>
      </c>
      <c r="BA121" s="612"/>
    </row>
    <row r="123" spans="2:53" ht="15.75">
      <c r="B123" s="613" t="s">
        <v>572</v>
      </c>
      <c r="C123" s="614"/>
      <c r="D123" s="614"/>
      <c r="E123" s="614"/>
      <c r="F123" s="614"/>
      <c r="G123" s="614"/>
      <c r="H123" s="615"/>
      <c r="I123" s="337"/>
      <c r="J123" s="337"/>
      <c r="K123" s="337"/>
      <c r="L123" s="337"/>
      <c r="M123" s="338"/>
    </row>
    <row r="124" spans="2:53" ht="15.75">
      <c r="B124" s="616"/>
      <c r="C124" s="616"/>
      <c r="D124" s="616"/>
      <c r="E124" s="616"/>
      <c r="F124" s="616"/>
      <c r="G124" s="616"/>
      <c r="H124" s="616"/>
      <c r="I124" s="339"/>
      <c r="J124" s="339"/>
      <c r="K124" s="339"/>
      <c r="L124" s="339"/>
      <c r="M124" s="340"/>
    </row>
    <row r="125" spans="2:53">
      <c r="B125" s="604" t="s">
        <v>154</v>
      </c>
      <c r="C125" s="604" t="s">
        <v>408</v>
      </c>
      <c r="D125" s="604"/>
      <c r="E125" s="604" t="s">
        <v>399</v>
      </c>
      <c r="F125" s="604"/>
      <c r="G125" s="604"/>
      <c r="H125" s="637" t="s">
        <v>395</v>
      </c>
      <c r="I125" s="617" t="s">
        <v>400</v>
      </c>
      <c r="J125" s="617"/>
      <c r="K125" s="617"/>
      <c r="L125" s="673" t="s">
        <v>395</v>
      </c>
      <c r="M125" s="676" t="s">
        <v>396</v>
      </c>
    </row>
    <row r="126" spans="2:53">
      <c r="B126" s="604"/>
      <c r="C126" s="604"/>
      <c r="D126" s="604"/>
      <c r="E126" s="604" t="s">
        <v>402</v>
      </c>
      <c r="F126" s="604"/>
      <c r="G126" s="604"/>
      <c r="H126" s="638"/>
      <c r="I126" s="617" t="s">
        <v>402</v>
      </c>
      <c r="J126" s="617"/>
      <c r="K126" s="617"/>
      <c r="L126" s="674"/>
      <c r="M126" s="677"/>
    </row>
    <row r="127" spans="2:53">
      <c r="B127" s="604"/>
      <c r="C127" s="604"/>
      <c r="D127" s="604"/>
      <c r="E127" s="334" t="s">
        <v>404</v>
      </c>
      <c r="F127" s="334" t="s">
        <v>405</v>
      </c>
      <c r="G127" s="334" t="s">
        <v>406</v>
      </c>
      <c r="H127" s="639"/>
      <c r="I127" s="341" t="s">
        <v>404</v>
      </c>
      <c r="J127" s="341" t="s">
        <v>405</v>
      </c>
      <c r="K127" s="341" t="s">
        <v>406</v>
      </c>
      <c r="L127" s="675"/>
      <c r="M127" s="678"/>
    </row>
    <row r="128" spans="2:53">
      <c r="B128" s="666" t="s">
        <v>407</v>
      </c>
      <c r="C128" s="333">
        <v>1</v>
      </c>
      <c r="D128" s="226"/>
      <c r="E128" s="182"/>
      <c r="F128" s="333"/>
      <c r="G128" s="336"/>
      <c r="H128" s="667" t="e">
        <f>AVERAGE(G128:G142)</f>
        <v>#DIV/0!</v>
      </c>
      <c r="I128" s="199" t="e">
        <f t="shared" ref="I128:J138" si="112">AVERAGEIF($D$7:$D$121,$D128,I$7:I$121)</f>
        <v>#DIV/0!</v>
      </c>
      <c r="J128" s="199" t="e">
        <f t="shared" si="112"/>
        <v>#DIV/0!</v>
      </c>
      <c r="K128" s="199" t="e">
        <f t="shared" ref="K128:K138" si="113">AVERAGEIF($D$7:$D$121,$D128,K$7:K$121)</f>
        <v>#DIV/0!</v>
      </c>
      <c r="L128" s="670" t="e">
        <f>AVERAGE(K128:K142)</f>
        <v>#DIV/0!</v>
      </c>
      <c r="M128" s="199" t="e">
        <f>RANK(K128, K$128:$K$142)</f>
        <v>#DIV/0!</v>
      </c>
    </row>
    <row r="129" spans="2:39">
      <c r="B129" s="610"/>
      <c r="C129" s="333">
        <v>2</v>
      </c>
      <c r="D129" s="226"/>
      <c r="E129" s="182"/>
      <c r="F129" s="333"/>
      <c r="G129" s="336"/>
      <c r="H129" s="668"/>
      <c r="I129" s="199" t="e">
        <f t="shared" si="112"/>
        <v>#DIV/0!</v>
      </c>
      <c r="J129" s="199" t="e">
        <f t="shared" si="112"/>
        <v>#DIV/0!</v>
      </c>
      <c r="K129" s="199" t="e">
        <f t="shared" si="113"/>
        <v>#DIV/0!</v>
      </c>
      <c r="L129" s="671"/>
      <c r="M129" s="199" t="e">
        <f>RANK(K129, K$128:$K$142)</f>
        <v>#DIV/0!</v>
      </c>
      <c r="N129" s="108"/>
      <c r="O129" s="108"/>
      <c r="P129" s="108"/>
      <c r="Q129" s="108"/>
      <c r="R129" s="108"/>
      <c r="S129" s="108"/>
      <c r="T129" s="108"/>
      <c r="X129" s="108"/>
      <c r="AC129" s="108"/>
      <c r="AH129" s="108"/>
      <c r="AM129" s="108"/>
    </row>
    <row r="130" spans="2:39">
      <c r="B130" s="610"/>
      <c r="C130" s="333">
        <v>3</v>
      </c>
      <c r="D130" s="226"/>
      <c r="E130" s="182"/>
      <c r="F130" s="333"/>
      <c r="G130" s="336"/>
      <c r="H130" s="668"/>
      <c r="I130" s="199" t="e">
        <f t="shared" si="112"/>
        <v>#DIV/0!</v>
      </c>
      <c r="J130" s="199" t="e">
        <f t="shared" si="112"/>
        <v>#DIV/0!</v>
      </c>
      <c r="K130" s="199" t="e">
        <f t="shared" si="113"/>
        <v>#DIV/0!</v>
      </c>
      <c r="L130" s="671"/>
      <c r="M130" s="199" t="e">
        <f>RANK(K130, K$128:$K$142)</f>
        <v>#DIV/0!</v>
      </c>
      <c r="N130" s="108"/>
      <c r="O130" s="108"/>
      <c r="P130" s="108"/>
      <c r="Q130" s="108"/>
      <c r="R130" s="108"/>
      <c r="S130" s="108"/>
      <c r="T130" s="108"/>
      <c r="X130" s="108"/>
      <c r="AC130" s="108"/>
      <c r="AH130" s="108"/>
      <c r="AM130" s="108"/>
    </row>
    <row r="131" spans="2:39">
      <c r="B131" s="610"/>
      <c r="C131" s="333">
        <v>4</v>
      </c>
      <c r="D131" s="226"/>
      <c r="E131" s="182"/>
      <c r="F131" s="333"/>
      <c r="G131" s="336"/>
      <c r="H131" s="668"/>
      <c r="I131" s="199" t="e">
        <f t="shared" si="112"/>
        <v>#DIV/0!</v>
      </c>
      <c r="J131" s="199" t="e">
        <f t="shared" si="112"/>
        <v>#DIV/0!</v>
      </c>
      <c r="K131" s="199" t="e">
        <f t="shared" si="113"/>
        <v>#DIV/0!</v>
      </c>
      <c r="L131" s="671"/>
      <c r="M131" s="199" t="e">
        <f>RANK(K131, K$128:$K$142)</f>
        <v>#DIV/0!</v>
      </c>
      <c r="N131" s="108"/>
      <c r="O131" s="108"/>
      <c r="P131" s="108"/>
      <c r="Q131" s="108"/>
      <c r="R131" s="108"/>
      <c r="S131" s="108"/>
      <c r="T131" s="108"/>
      <c r="X131" s="108"/>
      <c r="AC131" s="108"/>
      <c r="AH131" s="108"/>
      <c r="AM131" s="108"/>
    </row>
    <row r="132" spans="2:39">
      <c r="B132" s="610"/>
      <c r="C132" s="333">
        <v>5</v>
      </c>
      <c r="D132" s="226"/>
      <c r="E132" s="182"/>
      <c r="F132" s="333"/>
      <c r="G132" s="336"/>
      <c r="H132" s="668"/>
      <c r="I132" s="199" t="e">
        <f t="shared" si="112"/>
        <v>#DIV/0!</v>
      </c>
      <c r="J132" s="199" t="e">
        <f t="shared" si="112"/>
        <v>#DIV/0!</v>
      </c>
      <c r="K132" s="199" t="e">
        <f t="shared" si="113"/>
        <v>#DIV/0!</v>
      </c>
      <c r="L132" s="671"/>
      <c r="M132" s="199" t="e">
        <f>RANK(K132, K$128:$K$142)</f>
        <v>#DIV/0!</v>
      </c>
      <c r="N132" s="108"/>
      <c r="O132" s="108"/>
      <c r="P132" s="108"/>
      <c r="Q132" s="108"/>
      <c r="R132" s="108"/>
      <c r="S132" s="108"/>
      <c r="T132" s="108"/>
      <c r="X132" s="108"/>
      <c r="AC132" s="108"/>
      <c r="AH132" s="108"/>
      <c r="AM132" s="108"/>
    </row>
    <row r="133" spans="2:39">
      <c r="B133" s="610"/>
      <c r="C133" s="333">
        <v>6</v>
      </c>
      <c r="D133" s="342"/>
      <c r="E133" s="182"/>
      <c r="F133" s="333"/>
      <c r="G133" s="336"/>
      <c r="H133" s="668"/>
      <c r="I133" s="199" t="e">
        <f t="shared" si="112"/>
        <v>#DIV/0!</v>
      </c>
      <c r="J133" s="199" t="e">
        <f t="shared" si="112"/>
        <v>#DIV/0!</v>
      </c>
      <c r="K133" s="199" t="e">
        <f t="shared" si="113"/>
        <v>#DIV/0!</v>
      </c>
      <c r="L133" s="671"/>
      <c r="M133" s="199" t="e">
        <f>RANK(K133, K$128:$K$142)</f>
        <v>#DIV/0!</v>
      </c>
      <c r="N133" s="108"/>
      <c r="O133" s="108"/>
      <c r="P133" s="108"/>
      <c r="Q133" s="108"/>
      <c r="R133" s="108"/>
      <c r="S133" s="108"/>
      <c r="T133" s="108"/>
      <c r="X133" s="108"/>
      <c r="AC133" s="108"/>
      <c r="AH133" s="108"/>
      <c r="AM133" s="108"/>
    </row>
    <row r="134" spans="2:39">
      <c r="B134" s="610"/>
      <c r="C134" s="333">
        <v>7</v>
      </c>
      <c r="D134" s="226"/>
      <c r="E134" s="182"/>
      <c r="F134" s="333"/>
      <c r="G134" s="336"/>
      <c r="H134" s="668"/>
      <c r="I134" s="199" t="e">
        <f t="shared" si="112"/>
        <v>#DIV/0!</v>
      </c>
      <c r="J134" s="199" t="e">
        <f t="shared" si="112"/>
        <v>#DIV/0!</v>
      </c>
      <c r="K134" s="199" t="e">
        <f t="shared" si="113"/>
        <v>#DIV/0!</v>
      </c>
      <c r="L134" s="671"/>
      <c r="M134" s="199" t="e">
        <f>RANK(K134, K$128:$K$142)</f>
        <v>#DIV/0!</v>
      </c>
      <c r="N134" s="108"/>
      <c r="O134" s="108"/>
      <c r="P134" s="108"/>
      <c r="Q134" s="108"/>
      <c r="R134" s="108"/>
      <c r="S134" s="108"/>
      <c r="T134" s="108"/>
      <c r="X134" s="108"/>
      <c r="AC134" s="108"/>
      <c r="AH134" s="108"/>
      <c r="AM134" s="108"/>
    </row>
    <row r="135" spans="2:39">
      <c r="B135" s="610"/>
      <c r="C135" s="333">
        <v>8</v>
      </c>
      <c r="D135" s="226"/>
      <c r="E135" s="182"/>
      <c r="F135" s="333"/>
      <c r="G135" s="336"/>
      <c r="H135" s="668"/>
      <c r="I135" s="199" t="e">
        <f t="shared" si="112"/>
        <v>#DIV/0!</v>
      </c>
      <c r="J135" s="199" t="e">
        <f t="shared" si="112"/>
        <v>#DIV/0!</v>
      </c>
      <c r="K135" s="199" t="e">
        <f t="shared" si="113"/>
        <v>#DIV/0!</v>
      </c>
      <c r="L135" s="671"/>
      <c r="M135" s="199" t="e">
        <f>RANK(K135, K$128:$K$142)</f>
        <v>#DIV/0!</v>
      </c>
      <c r="N135" s="108"/>
      <c r="O135" s="108"/>
      <c r="P135" s="108"/>
      <c r="Q135" s="108"/>
      <c r="R135" s="108"/>
      <c r="S135" s="108"/>
      <c r="T135" s="108"/>
      <c r="X135" s="108"/>
      <c r="AC135" s="108"/>
      <c r="AH135" s="108"/>
      <c r="AM135" s="108"/>
    </row>
    <row r="136" spans="2:39">
      <c r="B136" s="610"/>
      <c r="C136" s="333">
        <v>9</v>
      </c>
      <c r="D136" s="226"/>
      <c r="E136" s="333"/>
      <c r="F136" s="333"/>
      <c r="G136" s="333"/>
      <c r="H136" s="668"/>
      <c r="I136" s="199" t="e">
        <f t="shared" si="112"/>
        <v>#DIV/0!</v>
      </c>
      <c r="J136" s="199" t="e">
        <f t="shared" si="112"/>
        <v>#DIV/0!</v>
      </c>
      <c r="K136" s="199" t="e">
        <f t="shared" si="113"/>
        <v>#DIV/0!</v>
      </c>
      <c r="L136" s="671"/>
      <c r="M136" s="199" t="e">
        <f>RANK(K136, K$128:$K$142)</f>
        <v>#DIV/0!</v>
      </c>
      <c r="N136" s="108"/>
      <c r="O136" s="108"/>
      <c r="P136" s="108"/>
      <c r="Q136" s="108"/>
      <c r="R136" s="108"/>
      <c r="S136" s="108"/>
      <c r="T136" s="108"/>
      <c r="X136" s="108"/>
      <c r="AC136" s="108"/>
      <c r="AH136" s="108"/>
      <c r="AM136" s="108"/>
    </row>
    <row r="137" spans="2:39">
      <c r="B137" s="610"/>
      <c r="C137" s="333">
        <v>10</v>
      </c>
      <c r="D137" s="226"/>
      <c r="E137" s="333"/>
      <c r="F137" s="333"/>
      <c r="G137" s="333"/>
      <c r="H137" s="668"/>
      <c r="I137" s="199" t="e">
        <f t="shared" si="112"/>
        <v>#DIV/0!</v>
      </c>
      <c r="J137" s="199" t="e">
        <f t="shared" si="112"/>
        <v>#DIV/0!</v>
      </c>
      <c r="K137" s="199" t="e">
        <f t="shared" si="113"/>
        <v>#DIV/0!</v>
      </c>
      <c r="L137" s="671"/>
      <c r="M137" s="199" t="e">
        <f>RANK(K137, K$128:$K$142)</f>
        <v>#DIV/0!</v>
      </c>
      <c r="N137" s="108"/>
      <c r="O137" s="108"/>
      <c r="P137" s="108"/>
      <c r="Q137" s="108"/>
      <c r="R137" s="108"/>
      <c r="S137" s="108"/>
      <c r="T137" s="108"/>
      <c r="X137" s="108"/>
      <c r="AC137" s="108"/>
      <c r="AH137" s="108"/>
      <c r="AM137" s="108"/>
    </row>
    <row r="138" spans="2:39">
      <c r="B138" s="610"/>
      <c r="C138" s="333">
        <v>11</v>
      </c>
      <c r="D138" s="226"/>
      <c r="E138" s="333"/>
      <c r="F138" s="333"/>
      <c r="G138" s="333"/>
      <c r="H138" s="668"/>
      <c r="I138" s="199" t="e">
        <f t="shared" si="112"/>
        <v>#DIV/0!</v>
      </c>
      <c r="J138" s="199" t="e">
        <f t="shared" si="112"/>
        <v>#DIV/0!</v>
      </c>
      <c r="K138" s="199" t="e">
        <f t="shared" si="113"/>
        <v>#DIV/0!</v>
      </c>
      <c r="L138" s="671"/>
      <c r="M138" s="199" t="e">
        <f>RANK(K138, K$128:$K$142)</f>
        <v>#DIV/0!</v>
      </c>
      <c r="N138" s="108"/>
      <c r="O138" s="108"/>
      <c r="P138" s="108"/>
      <c r="Q138" s="108"/>
      <c r="R138" s="108"/>
      <c r="S138" s="108"/>
      <c r="T138" s="108"/>
      <c r="X138" s="108"/>
      <c r="AC138" s="108"/>
      <c r="AH138" s="108"/>
      <c r="AM138" s="108"/>
    </row>
    <row r="139" spans="2:39">
      <c r="B139" s="610"/>
      <c r="C139" s="333">
        <v>12</v>
      </c>
      <c r="D139" s="226"/>
      <c r="E139" s="333"/>
      <c r="F139" s="333"/>
      <c r="G139" s="333"/>
      <c r="H139" s="668"/>
      <c r="I139" s="199"/>
      <c r="J139" s="199"/>
      <c r="K139" s="199"/>
      <c r="L139" s="671"/>
      <c r="M139" s="199" t="e">
        <f>RANK(K139, K$128:$K$142)</f>
        <v>#DIV/0!</v>
      </c>
      <c r="N139" s="108"/>
      <c r="O139" s="108"/>
      <c r="P139" s="108"/>
      <c r="Q139" s="108"/>
      <c r="R139" s="108"/>
      <c r="S139" s="108"/>
      <c r="T139" s="108"/>
      <c r="X139" s="108"/>
      <c r="AC139" s="108"/>
      <c r="AH139" s="108"/>
      <c r="AM139" s="108"/>
    </row>
    <row r="140" spans="2:39">
      <c r="B140" s="610"/>
      <c r="C140" s="333">
        <v>13</v>
      </c>
      <c r="D140" s="226"/>
      <c r="E140" s="333"/>
      <c r="F140" s="333"/>
      <c r="G140" s="333"/>
      <c r="H140" s="668"/>
      <c r="I140" s="199"/>
      <c r="J140" s="199"/>
      <c r="K140" s="199"/>
      <c r="L140" s="671"/>
      <c r="M140" s="199" t="e">
        <f>RANK(K140, K$128:$K$142)</f>
        <v>#DIV/0!</v>
      </c>
      <c r="N140" s="108"/>
      <c r="O140" s="108"/>
      <c r="P140" s="108"/>
      <c r="Q140" s="108"/>
      <c r="R140" s="108"/>
      <c r="S140" s="108"/>
      <c r="T140" s="108"/>
      <c r="X140" s="108"/>
      <c r="AC140" s="108"/>
      <c r="AH140" s="108"/>
      <c r="AM140" s="108"/>
    </row>
    <row r="141" spans="2:39">
      <c r="B141" s="610"/>
      <c r="C141" s="333">
        <v>14</v>
      </c>
      <c r="D141" s="226"/>
      <c r="E141" s="333"/>
      <c r="F141" s="333"/>
      <c r="G141" s="333"/>
      <c r="H141" s="668"/>
      <c r="I141" s="199"/>
      <c r="J141" s="199"/>
      <c r="K141" s="199"/>
      <c r="L141" s="671"/>
      <c r="M141" s="199" t="e">
        <f>RANK(K141, K$128:$K$142)</f>
        <v>#DIV/0!</v>
      </c>
      <c r="N141" s="108"/>
      <c r="O141" s="108"/>
      <c r="P141" s="108"/>
      <c r="Q141" s="108"/>
      <c r="R141" s="108"/>
      <c r="S141" s="108"/>
      <c r="T141" s="108"/>
      <c r="X141" s="108"/>
      <c r="AC141" s="108"/>
      <c r="AH141" s="108"/>
      <c r="AM141" s="108"/>
    </row>
    <row r="142" spans="2:39">
      <c r="B142" s="610"/>
      <c r="C142" s="333">
        <v>15</v>
      </c>
      <c r="D142" s="226"/>
      <c r="E142" s="333"/>
      <c r="F142" s="333"/>
      <c r="G142" s="333"/>
      <c r="H142" s="669"/>
      <c r="I142" s="199"/>
      <c r="J142" s="199"/>
      <c r="K142" s="199"/>
      <c r="L142" s="672"/>
      <c r="M142" s="199" t="e">
        <f>RANK(K142, K$128:$K$142)</f>
        <v>#DIV/0!</v>
      </c>
      <c r="N142" s="108"/>
      <c r="O142" s="108"/>
      <c r="P142" s="108"/>
      <c r="Q142" s="108"/>
      <c r="R142" s="108"/>
      <c r="S142" s="108"/>
      <c r="T142" s="108"/>
      <c r="X142" s="108"/>
      <c r="AC142" s="108"/>
      <c r="AH142" s="108"/>
      <c r="AM142" s="108"/>
    </row>
  </sheetData>
  <mergeCells count="379">
    <mergeCell ref="BA87:BA101"/>
    <mergeCell ref="BA104:BA106"/>
    <mergeCell ref="BA107:BA121"/>
    <mergeCell ref="BA7:BA21"/>
    <mergeCell ref="BA4:BA6"/>
    <mergeCell ref="BA24:BA26"/>
    <mergeCell ref="BA27:BA41"/>
    <mergeCell ref="BA44:BA46"/>
    <mergeCell ref="BA47:BA61"/>
    <mergeCell ref="BA64:BA66"/>
    <mergeCell ref="BA67:BA81"/>
    <mergeCell ref="BA84:BA86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A142"/>
  <sheetViews>
    <sheetView topLeftCell="A22" zoomScale="40" zoomScaleNormal="40" workbookViewId="0">
      <pane xSplit="15" topLeftCell="P1" activePane="topRight" state="frozen"/>
      <selection activeCell="AW1" sqref="AW1:AY1048576"/>
      <selection pane="topRight" activeCell="T67" sqref="S67:T81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51" width="8.85546875" style="108"/>
    <col min="52" max="52" width="5.42578125" style="108" customWidth="1"/>
    <col min="53" max="53" width="13.140625" style="108" customWidth="1"/>
    <col min="54" max="16384" width="8.85546875" style="108"/>
  </cols>
  <sheetData>
    <row r="1" spans="1:53" ht="24">
      <c r="A1" s="75"/>
      <c r="B1" s="221" t="s">
        <v>332</v>
      </c>
      <c r="C1" s="220">
        <f>AVERAGE(L7,L27,L47,L67,L87,L107)</f>
        <v>108.45014748013439</v>
      </c>
    </row>
    <row r="2" spans="1:53" ht="15.75">
      <c r="A2" s="81"/>
      <c r="B2" s="633" t="s">
        <v>163</v>
      </c>
      <c r="C2" s="633"/>
      <c r="D2" s="633"/>
      <c r="E2" s="633"/>
      <c r="F2" s="633"/>
      <c r="G2" s="633"/>
      <c r="H2" s="633"/>
      <c r="I2" s="306"/>
      <c r="J2" s="306"/>
      <c r="K2" s="306"/>
      <c r="L2" s="306"/>
      <c r="M2" s="197"/>
      <c r="N2" s="606" t="s">
        <v>156</v>
      </c>
      <c r="O2" s="606" t="s">
        <v>155</v>
      </c>
      <c r="P2" s="683">
        <v>46112</v>
      </c>
      <c r="Q2" s="684"/>
      <c r="R2" s="684"/>
      <c r="S2" s="684"/>
      <c r="T2" s="685"/>
      <c r="U2" s="632">
        <f>P2+1</f>
        <v>46113</v>
      </c>
      <c r="V2" s="610"/>
      <c r="W2" s="610"/>
      <c r="X2" s="610"/>
      <c r="Y2" s="610"/>
      <c r="Z2" s="632">
        <f>U2+1</f>
        <v>46114</v>
      </c>
      <c r="AA2" s="610"/>
      <c r="AB2" s="610"/>
      <c r="AC2" s="610"/>
      <c r="AD2" s="610"/>
      <c r="AE2" s="632">
        <f>Z2+1</f>
        <v>46115</v>
      </c>
      <c r="AF2" s="610"/>
      <c r="AG2" s="610"/>
      <c r="AH2" s="610"/>
      <c r="AI2" s="610"/>
      <c r="AJ2" s="632">
        <f>AE2+1</f>
        <v>46116</v>
      </c>
      <c r="AK2" s="610"/>
      <c r="AL2" s="610"/>
      <c r="AM2" s="610"/>
      <c r="AN2" s="610"/>
      <c r="AO2" s="632">
        <f>AJ2+1</f>
        <v>46117</v>
      </c>
      <c r="AP2" s="610"/>
      <c r="AQ2" s="610"/>
      <c r="AR2" s="610"/>
      <c r="AS2" s="610"/>
      <c r="AT2" s="629">
        <f>AO2+1</f>
        <v>46118</v>
      </c>
      <c r="AU2" s="630"/>
      <c r="AV2" s="630"/>
      <c r="AW2" s="630"/>
      <c r="AX2" s="631"/>
    </row>
    <row r="3" spans="1:53" ht="15.75">
      <c r="A3" s="81"/>
      <c r="B3" s="641"/>
      <c r="C3" s="641"/>
      <c r="D3" s="641"/>
      <c r="E3" s="641"/>
      <c r="F3" s="641"/>
      <c r="G3" s="641"/>
      <c r="H3" s="641"/>
      <c r="I3" s="307"/>
      <c r="J3" s="307"/>
      <c r="K3" s="307"/>
      <c r="L3" s="307"/>
      <c r="M3" s="198"/>
      <c r="N3" s="608"/>
      <c r="O3" s="608"/>
      <c r="P3" s="629" t="s">
        <v>158</v>
      </c>
      <c r="Q3" s="630"/>
      <c r="R3" s="630"/>
      <c r="S3" s="630"/>
      <c r="T3" s="631"/>
      <c r="U3" s="629" t="s">
        <v>114</v>
      </c>
      <c r="V3" s="630"/>
      <c r="W3" s="630"/>
      <c r="X3" s="630"/>
      <c r="Y3" s="631"/>
      <c r="Z3" s="629" t="s">
        <v>159</v>
      </c>
      <c r="AA3" s="630"/>
      <c r="AB3" s="630"/>
      <c r="AC3" s="630"/>
      <c r="AD3" s="631"/>
      <c r="AE3" s="629" t="s">
        <v>157</v>
      </c>
      <c r="AF3" s="630"/>
      <c r="AG3" s="630"/>
      <c r="AH3" s="630"/>
      <c r="AI3" s="631"/>
      <c r="AJ3" s="629" t="s">
        <v>160</v>
      </c>
      <c r="AK3" s="630"/>
      <c r="AL3" s="630"/>
      <c r="AM3" s="630"/>
      <c r="AN3" s="631"/>
      <c r="AO3" s="629" t="s">
        <v>161</v>
      </c>
      <c r="AP3" s="630"/>
      <c r="AQ3" s="630"/>
      <c r="AR3" s="630"/>
      <c r="AS3" s="631"/>
      <c r="AT3" s="629" t="s">
        <v>162</v>
      </c>
      <c r="AU3" s="630"/>
      <c r="AV3" s="630"/>
      <c r="AW3" s="630"/>
      <c r="AX3" s="631"/>
    </row>
    <row r="4" spans="1:53" ht="14.25">
      <c r="A4" s="81"/>
      <c r="B4" s="604" t="s">
        <v>423</v>
      </c>
      <c r="C4" s="604" t="s">
        <v>424</v>
      </c>
      <c r="D4" s="604"/>
      <c r="E4" s="604" t="s">
        <v>425</v>
      </c>
      <c r="F4" s="604"/>
      <c r="G4" s="604"/>
      <c r="H4" s="637" t="s">
        <v>426</v>
      </c>
      <c r="I4" s="656" t="s">
        <v>427</v>
      </c>
      <c r="J4" s="656"/>
      <c r="K4" s="656"/>
      <c r="L4" s="657" t="s">
        <v>426</v>
      </c>
      <c r="M4" s="642" t="s">
        <v>428</v>
      </c>
      <c r="N4" s="604"/>
      <c r="O4" s="604" t="s">
        <v>429</v>
      </c>
      <c r="P4" s="623" t="s">
        <v>430</v>
      </c>
      <c r="Q4" s="624"/>
      <c r="R4" s="624"/>
      <c r="S4" s="625"/>
      <c r="T4" s="604" t="s">
        <v>426</v>
      </c>
      <c r="U4" s="623" t="s">
        <v>430</v>
      </c>
      <c r="V4" s="624"/>
      <c r="W4" s="624"/>
      <c r="X4" s="625"/>
      <c r="Y4" s="604" t="s">
        <v>426</v>
      </c>
      <c r="Z4" s="623" t="s">
        <v>430</v>
      </c>
      <c r="AA4" s="624"/>
      <c r="AB4" s="624"/>
      <c r="AC4" s="625"/>
      <c r="AD4" s="604" t="s">
        <v>426</v>
      </c>
      <c r="AE4" s="623" t="s">
        <v>430</v>
      </c>
      <c r="AF4" s="624"/>
      <c r="AG4" s="624"/>
      <c r="AH4" s="625"/>
      <c r="AI4" s="604" t="s">
        <v>426</v>
      </c>
      <c r="AJ4" s="623" t="s">
        <v>430</v>
      </c>
      <c r="AK4" s="624"/>
      <c r="AL4" s="624"/>
      <c r="AM4" s="625"/>
      <c r="AN4" s="604" t="s">
        <v>426</v>
      </c>
      <c r="AO4" s="623" t="s">
        <v>430</v>
      </c>
      <c r="AP4" s="624"/>
      <c r="AQ4" s="624"/>
      <c r="AR4" s="625"/>
      <c r="AS4" s="604" t="s">
        <v>426</v>
      </c>
      <c r="AT4" s="623" t="s">
        <v>430</v>
      </c>
      <c r="AU4" s="624"/>
      <c r="AV4" s="624"/>
      <c r="AW4" s="625"/>
      <c r="AX4" s="604" t="s">
        <v>426</v>
      </c>
      <c r="BA4" s="604" t="s">
        <v>395</v>
      </c>
    </row>
    <row r="5" spans="1:53" ht="14.25">
      <c r="A5" s="81"/>
      <c r="B5" s="604"/>
      <c r="C5" s="604"/>
      <c r="D5" s="604"/>
      <c r="E5" s="604" t="s">
        <v>431</v>
      </c>
      <c r="F5" s="604"/>
      <c r="G5" s="604"/>
      <c r="H5" s="638"/>
      <c r="I5" s="656" t="s">
        <v>431</v>
      </c>
      <c r="J5" s="656"/>
      <c r="K5" s="656"/>
      <c r="L5" s="658"/>
      <c r="M5" s="643"/>
      <c r="N5" s="604"/>
      <c r="O5" s="604"/>
      <c r="P5" s="623" t="s">
        <v>432</v>
      </c>
      <c r="Q5" s="624"/>
      <c r="R5" s="624"/>
      <c r="S5" s="625"/>
      <c r="T5" s="604"/>
      <c r="U5" s="623" t="s">
        <v>432</v>
      </c>
      <c r="V5" s="624"/>
      <c r="W5" s="624"/>
      <c r="X5" s="625"/>
      <c r="Y5" s="604"/>
      <c r="Z5" s="623" t="s">
        <v>432</v>
      </c>
      <c r="AA5" s="624"/>
      <c r="AB5" s="624"/>
      <c r="AC5" s="625"/>
      <c r="AD5" s="604"/>
      <c r="AE5" s="623" t="s">
        <v>432</v>
      </c>
      <c r="AF5" s="624"/>
      <c r="AG5" s="624"/>
      <c r="AH5" s="625"/>
      <c r="AI5" s="604"/>
      <c r="AJ5" s="623" t="s">
        <v>432</v>
      </c>
      <c r="AK5" s="624"/>
      <c r="AL5" s="624"/>
      <c r="AM5" s="625"/>
      <c r="AN5" s="604"/>
      <c r="AO5" s="623" t="s">
        <v>432</v>
      </c>
      <c r="AP5" s="624"/>
      <c r="AQ5" s="624"/>
      <c r="AR5" s="625"/>
      <c r="AS5" s="604"/>
      <c r="AT5" s="623" t="s">
        <v>432</v>
      </c>
      <c r="AU5" s="624"/>
      <c r="AV5" s="624"/>
      <c r="AW5" s="625"/>
      <c r="AX5" s="604"/>
      <c r="BA5" s="604"/>
    </row>
    <row r="6" spans="1:53" ht="14.25">
      <c r="A6" s="79"/>
      <c r="B6" s="604"/>
      <c r="C6" s="604"/>
      <c r="D6" s="604"/>
      <c r="E6" s="425" t="s">
        <v>433</v>
      </c>
      <c r="F6" s="425" t="s">
        <v>434</v>
      </c>
      <c r="G6" s="425" t="s">
        <v>435</v>
      </c>
      <c r="H6" s="639"/>
      <c r="I6" s="426" t="s">
        <v>433</v>
      </c>
      <c r="J6" s="426" t="s">
        <v>434</v>
      </c>
      <c r="K6" s="426" t="s">
        <v>435</v>
      </c>
      <c r="L6" s="659"/>
      <c r="M6" s="644"/>
      <c r="N6" s="604"/>
      <c r="O6" s="604"/>
      <c r="P6" s="425" t="s">
        <v>433</v>
      </c>
      <c r="Q6" s="425" t="s">
        <v>434</v>
      </c>
      <c r="R6" s="425" t="s">
        <v>435</v>
      </c>
      <c r="S6" s="425" t="s">
        <v>428</v>
      </c>
      <c r="T6" s="604"/>
      <c r="U6" s="425" t="s">
        <v>433</v>
      </c>
      <c r="V6" s="425" t="s">
        <v>434</v>
      </c>
      <c r="W6" s="425" t="s">
        <v>435</v>
      </c>
      <c r="X6" s="425" t="s">
        <v>428</v>
      </c>
      <c r="Y6" s="604"/>
      <c r="Z6" s="425" t="s">
        <v>433</v>
      </c>
      <c r="AA6" s="425" t="s">
        <v>434</v>
      </c>
      <c r="AB6" s="425" t="s">
        <v>435</v>
      </c>
      <c r="AC6" s="425" t="s">
        <v>428</v>
      </c>
      <c r="AD6" s="604"/>
      <c r="AE6" s="425" t="s">
        <v>433</v>
      </c>
      <c r="AF6" s="425" t="s">
        <v>434</v>
      </c>
      <c r="AG6" s="425" t="s">
        <v>435</v>
      </c>
      <c r="AH6" s="425" t="s">
        <v>428</v>
      </c>
      <c r="AI6" s="604"/>
      <c r="AJ6" s="425" t="s">
        <v>433</v>
      </c>
      <c r="AK6" s="425" t="s">
        <v>434</v>
      </c>
      <c r="AL6" s="425" t="s">
        <v>435</v>
      </c>
      <c r="AM6" s="425" t="s">
        <v>428</v>
      </c>
      <c r="AN6" s="604"/>
      <c r="AO6" s="425" t="s">
        <v>433</v>
      </c>
      <c r="AP6" s="425" t="s">
        <v>434</v>
      </c>
      <c r="AQ6" s="425" t="s">
        <v>435</v>
      </c>
      <c r="AR6" s="425" t="s">
        <v>428</v>
      </c>
      <c r="AS6" s="604"/>
      <c r="AT6" s="425" t="s">
        <v>433</v>
      </c>
      <c r="AU6" s="425" t="s">
        <v>434</v>
      </c>
      <c r="AV6" s="425" t="s">
        <v>435</v>
      </c>
      <c r="AW6" s="425" t="s">
        <v>428</v>
      </c>
      <c r="AX6" s="604"/>
      <c r="AZ6" s="520" t="s">
        <v>396</v>
      </c>
      <c r="BA6" s="604"/>
    </row>
    <row r="7" spans="1:53" ht="14.25">
      <c r="A7" s="81"/>
      <c r="B7" s="604" t="s">
        <v>438</v>
      </c>
      <c r="C7" s="422">
        <v>1</v>
      </c>
      <c r="D7" s="226" t="s">
        <v>740</v>
      </c>
      <c r="E7" s="182">
        <v>13</v>
      </c>
      <c r="F7" s="488">
        <v>1500</v>
      </c>
      <c r="G7" s="489">
        <v>115.38461538461539</v>
      </c>
      <c r="H7" s="667">
        <f>AVERAGE(G7:G21)</f>
        <v>107.69230769230769</v>
      </c>
      <c r="I7" s="513">
        <f t="shared" ref="I7:I20" si="0">IFERROR(AVERAGE(P7,U7,Z7,AE7,AJ7,AO7,AT7),"-")</f>
        <v>13</v>
      </c>
      <c r="J7" s="513">
        <f t="shared" ref="J7:J20" si="1">IFERROR(AVERAGE(Q7,V7,AA7,AF7,AK7,AP7,AU7),"-")</f>
        <v>1411.9047619047615</v>
      </c>
      <c r="K7" s="200">
        <f t="shared" ref="K7:K20" si="2">IFERROR(AVERAGE(R7,W7,AB7,AG7,AL7,AQ7,AV7),"-")</f>
        <v>108.60805860805856</v>
      </c>
      <c r="L7" s="620">
        <f>IFERROR(AVERAGE(K7:K21),"-")</f>
        <v>112.2247752247752</v>
      </c>
      <c r="M7" s="427">
        <f>RANK(K7, $K$7:K$21)</f>
        <v>2</v>
      </c>
      <c r="N7" s="604"/>
      <c r="O7" s="604"/>
      <c r="P7" s="521">
        <v>13</v>
      </c>
      <c r="Q7" s="182">
        <v>1383.3333333333321</v>
      </c>
      <c r="R7" s="182">
        <v>106.41025641025632</v>
      </c>
      <c r="S7" s="521">
        <f t="shared" ref="S7:S21" si="3">RANK(R7, R$7:R$21)</f>
        <v>2</v>
      </c>
      <c r="T7" s="605">
        <f t="shared" ref="T7" si="4">AVERAGE(R7:R21)</f>
        <v>119.54079254079248</v>
      </c>
      <c r="U7" s="521">
        <v>13</v>
      </c>
      <c r="V7" s="182">
        <v>1516.0000000000055</v>
      </c>
      <c r="W7" s="182">
        <v>116.61538461538504</v>
      </c>
      <c r="X7" s="521">
        <f t="shared" ref="X7:X21" si="5">RANK(W7, W$7:W$21)</f>
        <v>1</v>
      </c>
      <c r="Y7" s="605">
        <f t="shared" ref="Y7" si="6">AVERAGE(W7:W21)</f>
        <v>114.30769230769253</v>
      </c>
      <c r="Z7" s="521">
        <v>13</v>
      </c>
      <c r="AA7" s="182">
        <v>1232.9999999999995</v>
      </c>
      <c r="AB7" s="182">
        <v>94.846153846153811</v>
      </c>
      <c r="AC7" s="521">
        <f t="shared" ref="AC7:AC21" si="7">RANK(AB7, AB$7:AB$21)</f>
        <v>2</v>
      </c>
      <c r="AD7" s="605">
        <f t="shared" ref="AD7" si="8">AVERAGE(AB7:AB21)</f>
        <v>105.24125874125872</v>
      </c>
      <c r="AE7" s="521">
        <v>13</v>
      </c>
      <c r="AF7" s="182">
        <v>1507.9999999999975</v>
      </c>
      <c r="AG7" s="182">
        <v>115.9999999999998</v>
      </c>
      <c r="AH7" s="521">
        <f t="shared" ref="AH7:AH21" si="9">RANK(AG7, AG$7:AG$21)</f>
        <v>1</v>
      </c>
      <c r="AI7" s="605">
        <f t="shared" ref="AI7" si="10">AVERAGE(AG7:AG21)</f>
        <v>114.66666666666661</v>
      </c>
      <c r="AJ7" s="521">
        <v>13</v>
      </c>
      <c r="AK7" s="182">
        <v>1563.9999999999973</v>
      </c>
      <c r="AL7" s="182">
        <v>120.30769230769209</v>
      </c>
      <c r="AM7" s="521">
        <f t="shared" ref="AM7:AM21" si="11">RANK(AL7, AL$7:AL$21)</f>
        <v>1</v>
      </c>
      <c r="AN7" s="605">
        <f t="shared" ref="AN7" si="12">AVERAGE(AL7:AL21)</f>
        <v>115.49650349650338</v>
      </c>
      <c r="AO7" s="521">
        <v>13</v>
      </c>
      <c r="AP7" s="182">
        <v>1367.9999999999975</v>
      </c>
      <c r="AQ7" s="182">
        <v>105.23076923076904</v>
      </c>
      <c r="AR7" s="521">
        <f t="shared" ref="AR7:AR21" si="13">RANK(AQ7, AQ$7:AQ$21)</f>
        <v>2</v>
      </c>
      <c r="AS7" s="605">
        <f t="shared" ref="AS7" si="14">AVERAGE(AQ7:AQ21)</f>
        <v>109.43589743589739</v>
      </c>
      <c r="AT7" s="521">
        <v>13</v>
      </c>
      <c r="AU7" s="182">
        <v>1310.9999999999995</v>
      </c>
      <c r="AV7" s="182">
        <v>100.84615384615381</v>
      </c>
      <c r="AW7" s="521">
        <f t="shared" ref="AW7:AW21" si="15">RANK(AV7, AV$7:AV$21)</f>
        <v>2</v>
      </c>
      <c r="AX7" s="605">
        <f t="shared" ref="AX7" si="16">AVERAGE(AV7:AV21)</f>
        <v>106.88461538461534</v>
      </c>
      <c r="AZ7" s="521" t="e">
        <f t="shared" ref="AZ7:AZ21" si="17">RANK(AY7, AY$7:AY$21)</f>
        <v>#N/A</v>
      </c>
      <c r="BA7" s="605" t="e">
        <f t="shared" ref="BA7" si="18">AVERAGE(AY7:AY21)</f>
        <v>#DIV/0!</v>
      </c>
    </row>
    <row r="8" spans="1:53" ht="15" customHeight="1">
      <c r="A8" s="81"/>
      <c r="B8" s="610"/>
      <c r="C8" s="422">
        <v>2</v>
      </c>
      <c r="D8" s="226" t="s">
        <v>823</v>
      </c>
      <c r="E8" s="182">
        <v>15</v>
      </c>
      <c r="F8" s="488">
        <v>1500</v>
      </c>
      <c r="G8" s="489">
        <v>100</v>
      </c>
      <c r="H8" s="668"/>
      <c r="I8" s="513">
        <f t="shared" si="0"/>
        <v>12.714285714285714</v>
      </c>
      <c r="J8" s="513">
        <f t="shared" si="1"/>
        <v>1468.0333000333001</v>
      </c>
      <c r="K8" s="200">
        <f t="shared" si="2"/>
        <v>115.84149184149184</v>
      </c>
      <c r="L8" s="621"/>
      <c r="M8" s="427">
        <f>RANK(K8, $K$7:K$21)</f>
        <v>1</v>
      </c>
      <c r="N8" s="604"/>
      <c r="O8" s="604"/>
      <c r="P8" s="521">
        <v>11</v>
      </c>
      <c r="Q8" s="182">
        <v>1459.384615384615</v>
      </c>
      <c r="R8" s="182">
        <v>132.67132867132864</v>
      </c>
      <c r="S8" s="521">
        <f t="shared" si="3"/>
        <v>1</v>
      </c>
      <c r="T8" s="605"/>
      <c r="U8" s="521">
        <v>13</v>
      </c>
      <c r="V8" s="182">
        <v>1456.0000000000005</v>
      </c>
      <c r="W8" s="182">
        <v>112.00000000000003</v>
      </c>
      <c r="X8" s="521">
        <f t="shared" si="5"/>
        <v>2</v>
      </c>
      <c r="Y8" s="605"/>
      <c r="Z8" s="521">
        <v>13</v>
      </c>
      <c r="AA8" s="182">
        <v>1503.272727272727</v>
      </c>
      <c r="AB8" s="182">
        <v>115.63636363636361</v>
      </c>
      <c r="AC8" s="521">
        <f t="shared" si="7"/>
        <v>1</v>
      </c>
      <c r="AD8" s="605"/>
      <c r="AE8" s="521">
        <v>13</v>
      </c>
      <c r="AF8" s="182">
        <v>1473.3333333333346</v>
      </c>
      <c r="AG8" s="182">
        <v>113.33333333333343</v>
      </c>
      <c r="AH8" s="521">
        <f t="shared" si="9"/>
        <v>2</v>
      </c>
      <c r="AI8" s="605"/>
      <c r="AJ8" s="521">
        <v>13</v>
      </c>
      <c r="AK8" s="182">
        <v>1438.9090909090905</v>
      </c>
      <c r="AL8" s="182">
        <v>110.68531468531465</v>
      </c>
      <c r="AM8" s="521">
        <f t="shared" si="11"/>
        <v>2</v>
      </c>
      <c r="AN8" s="605"/>
      <c r="AO8" s="521">
        <v>13</v>
      </c>
      <c r="AP8" s="182">
        <v>1477.3333333333346</v>
      </c>
      <c r="AQ8" s="182">
        <v>113.64102564102573</v>
      </c>
      <c r="AR8" s="521">
        <f t="shared" si="13"/>
        <v>1</v>
      </c>
      <c r="AS8" s="605"/>
      <c r="AT8" s="521">
        <v>13</v>
      </c>
      <c r="AU8" s="182">
        <v>1467.9999999999993</v>
      </c>
      <c r="AV8" s="182">
        <v>112.92307692307688</v>
      </c>
      <c r="AW8" s="521">
        <f t="shared" si="15"/>
        <v>1</v>
      </c>
      <c r="AX8" s="605"/>
      <c r="AZ8" s="521" t="e">
        <f t="shared" si="17"/>
        <v>#N/A</v>
      </c>
      <c r="BA8" s="605"/>
    </row>
    <row r="9" spans="1:53" ht="14.25">
      <c r="A9" s="81"/>
      <c r="B9" s="610"/>
      <c r="C9" s="422">
        <v>3</v>
      </c>
      <c r="D9" s="226"/>
      <c r="E9" s="182"/>
      <c r="F9" s="441"/>
      <c r="G9" s="442"/>
      <c r="H9" s="668"/>
      <c r="I9" s="513" t="str">
        <f t="shared" si="0"/>
        <v>-</v>
      </c>
      <c r="J9" s="513" t="str">
        <f t="shared" si="1"/>
        <v>-</v>
      </c>
      <c r="K9" s="200" t="str">
        <f t="shared" si="2"/>
        <v>-</v>
      </c>
      <c r="L9" s="621"/>
      <c r="M9" s="427" t="e">
        <f>RANK(K9, $K$7:K$21)</f>
        <v>#VALUE!</v>
      </c>
      <c r="N9" s="604"/>
      <c r="O9" s="604"/>
      <c r="P9" s="521" t="s">
        <v>822</v>
      </c>
      <c r="Q9" s="182" t="s">
        <v>822</v>
      </c>
      <c r="R9" s="182" t="s">
        <v>822</v>
      </c>
      <c r="S9" s="521" t="e">
        <f t="shared" si="3"/>
        <v>#VALUE!</v>
      </c>
      <c r="T9" s="605"/>
      <c r="U9" s="521" t="s">
        <v>822</v>
      </c>
      <c r="V9" s="182" t="s">
        <v>822</v>
      </c>
      <c r="W9" s="182" t="s">
        <v>822</v>
      </c>
      <c r="X9" s="521" t="e">
        <f t="shared" si="5"/>
        <v>#VALUE!</v>
      </c>
      <c r="Y9" s="605"/>
      <c r="Z9" s="521" t="s">
        <v>822</v>
      </c>
      <c r="AA9" s="182" t="s">
        <v>822</v>
      </c>
      <c r="AB9" s="182" t="s">
        <v>822</v>
      </c>
      <c r="AC9" s="521" t="e">
        <f t="shared" si="7"/>
        <v>#VALUE!</v>
      </c>
      <c r="AD9" s="605"/>
      <c r="AE9" s="521" t="s">
        <v>822</v>
      </c>
      <c r="AF9" s="182" t="s">
        <v>822</v>
      </c>
      <c r="AG9" s="182" t="s">
        <v>822</v>
      </c>
      <c r="AH9" s="521" t="e">
        <f t="shared" si="9"/>
        <v>#VALUE!</v>
      </c>
      <c r="AI9" s="605"/>
      <c r="AJ9" s="521" t="s">
        <v>822</v>
      </c>
      <c r="AK9" s="182" t="s">
        <v>822</v>
      </c>
      <c r="AL9" s="182" t="s">
        <v>822</v>
      </c>
      <c r="AM9" s="521" t="e">
        <f t="shared" si="11"/>
        <v>#VALUE!</v>
      </c>
      <c r="AN9" s="605"/>
      <c r="AO9" s="521" t="s">
        <v>822</v>
      </c>
      <c r="AP9" s="182" t="s">
        <v>822</v>
      </c>
      <c r="AQ9" s="182" t="s">
        <v>822</v>
      </c>
      <c r="AR9" s="521" t="e">
        <f t="shared" si="13"/>
        <v>#VALUE!</v>
      </c>
      <c r="AS9" s="605"/>
      <c r="AT9" s="521" t="s">
        <v>822</v>
      </c>
      <c r="AU9" s="182" t="s">
        <v>822</v>
      </c>
      <c r="AV9" s="182" t="s">
        <v>822</v>
      </c>
      <c r="AW9" s="521" t="e">
        <f t="shared" si="15"/>
        <v>#VALUE!</v>
      </c>
      <c r="AX9" s="605"/>
      <c r="AZ9" s="521" t="e">
        <f t="shared" si="17"/>
        <v>#N/A</v>
      </c>
      <c r="BA9" s="605"/>
    </row>
    <row r="10" spans="1:53" ht="14.25">
      <c r="A10" s="81"/>
      <c r="B10" s="610"/>
      <c r="C10" s="422">
        <v>4</v>
      </c>
      <c r="D10" s="226"/>
      <c r="E10" s="182"/>
      <c r="F10" s="441"/>
      <c r="G10" s="442"/>
      <c r="H10" s="668"/>
      <c r="I10" s="513" t="str">
        <f t="shared" si="0"/>
        <v>-</v>
      </c>
      <c r="J10" s="513" t="str">
        <f t="shared" si="1"/>
        <v>-</v>
      </c>
      <c r="K10" s="200" t="str">
        <f t="shared" si="2"/>
        <v>-</v>
      </c>
      <c r="L10" s="621"/>
      <c r="M10" s="427" t="e">
        <f>RANK(K10, $K$7:K$21)</f>
        <v>#VALUE!</v>
      </c>
      <c r="N10" s="604"/>
      <c r="O10" s="604"/>
      <c r="P10" s="521" t="s">
        <v>822</v>
      </c>
      <c r="Q10" s="182" t="s">
        <v>822</v>
      </c>
      <c r="R10" s="182" t="s">
        <v>822</v>
      </c>
      <c r="S10" s="521" t="e">
        <f t="shared" si="3"/>
        <v>#VALUE!</v>
      </c>
      <c r="T10" s="605"/>
      <c r="U10" s="521" t="s">
        <v>822</v>
      </c>
      <c r="V10" s="182" t="s">
        <v>822</v>
      </c>
      <c r="W10" s="182" t="s">
        <v>822</v>
      </c>
      <c r="X10" s="521" t="e">
        <f t="shared" si="5"/>
        <v>#VALUE!</v>
      </c>
      <c r="Y10" s="605"/>
      <c r="Z10" s="521" t="s">
        <v>822</v>
      </c>
      <c r="AA10" s="182" t="s">
        <v>822</v>
      </c>
      <c r="AB10" s="182" t="s">
        <v>822</v>
      </c>
      <c r="AC10" s="521" t="e">
        <f t="shared" si="7"/>
        <v>#VALUE!</v>
      </c>
      <c r="AD10" s="605"/>
      <c r="AE10" s="521" t="s">
        <v>822</v>
      </c>
      <c r="AF10" s="182" t="s">
        <v>822</v>
      </c>
      <c r="AG10" s="182" t="s">
        <v>822</v>
      </c>
      <c r="AH10" s="521" t="e">
        <f t="shared" si="9"/>
        <v>#VALUE!</v>
      </c>
      <c r="AI10" s="605"/>
      <c r="AJ10" s="521" t="s">
        <v>822</v>
      </c>
      <c r="AK10" s="182" t="s">
        <v>822</v>
      </c>
      <c r="AL10" s="182" t="s">
        <v>822</v>
      </c>
      <c r="AM10" s="521" t="e">
        <f t="shared" si="11"/>
        <v>#VALUE!</v>
      </c>
      <c r="AN10" s="605"/>
      <c r="AO10" s="521" t="s">
        <v>822</v>
      </c>
      <c r="AP10" s="182" t="s">
        <v>822</v>
      </c>
      <c r="AQ10" s="182" t="s">
        <v>822</v>
      </c>
      <c r="AR10" s="521" t="e">
        <f t="shared" si="13"/>
        <v>#VALUE!</v>
      </c>
      <c r="AS10" s="605"/>
      <c r="AT10" s="521" t="s">
        <v>822</v>
      </c>
      <c r="AU10" s="182" t="s">
        <v>822</v>
      </c>
      <c r="AV10" s="182" t="s">
        <v>822</v>
      </c>
      <c r="AW10" s="521" t="e">
        <f t="shared" si="15"/>
        <v>#VALUE!</v>
      </c>
      <c r="AX10" s="605"/>
      <c r="AZ10" s="521" t="e">
        <f t="shared" si="17"/>
        <v>#N/A</v>
      </c>
      <c r="BA10" s="605"/>
    </row>
    <row r="11" spans="1:53" ht="14.25">
      <c r="A11" s="81"/>
      <c r="B11" s="610"/>
      <c r="C11" s="422">
        <v>5</v>
      </c>
      <c r="D11" s="226"/>
      <c r="E11" s="182"/>
      <c r="F11" s="441"/>
      <c r="G11" s="442"/>
      <c r="H11" s="668"/>
      <c r="I11" s="513" t="str">
        <f t="shared" si="0"/>
        <v>-</v>
      </c>
      <c r="J11" s="513" t="str">
        <f t="shared" si="1"/>
        <v>-</v>
      </c>
      <c r="K11" s="200" t="str">
        <f t="shared" si="2"/>
        <v>-</v>
      </c>
      <c r="L11" s="621"/>
      <c r="M11" s="427" t="e">
        <f>RANK(K11, $K$7:K$21)</f>
        <v>#VALUE!</v>
      </c>
      <c r="N11" s="604"/>
      <c r="O11" s="604"/>
      <c r="P11" s="521" t="s">
        <v>822</v>
      </c>
      <c r="Q11" s="182" t="s">
        <v>822</v>
      </c>
      <c r="R11" s="182" t="s">
        <v>822</v>
      </c>
      <c r="S11" s="521" t="e">
        <f t="shared" si="3"/>
        <v>#VALUE!</v>
      </c>
      <c r="T11" s="605"/>
      <c r="U11" s="521" t="s">
        <v>822</v>
      </c>
      <c r="V11" s="182" t="s">
        <v>822</v>
      </c>
      <c r="W11" s="182" t="s">
        <v>822</v>
      </c>
      <c r="X11" s="521" t="e">
        <f t="shared" si="5"/>
        <v>#VALUE!</v>
      </c>
      <c r="Y11" s="605"/>
      <c r="Z11" s="521" t="s">
        <v>822</v>
      </c>
      <c r="AA11" s="182" t="s">
        <v>822</v>
      </c>
      <c r="AB11" s="182" t="s">
        <v>822</v>
      </c>
      <c r="AC11" s="521" t="e">
        <f t="shared" si="7"/>
        <v>#VALUE!</v>
      </c>
      <c r="AD11" s="605"/>
      <c r="AE11" s="521" t="s">
        <v>822</v>
      </c>
      <c r="AF11" s="182" t="s">
        <v>822</v>
      </c>
      <c r="AG11" s="182" t="s">
        <v>822</v>
      </c>
      <c r="AH11" s="521" t="e">
        <f t="shared" si="9"/>
        <v>#VALUE!</v>
      </c>
      <c r="AI11" s="605"/>
      <c r="AJ11" s="521" t="s">
        <v>822</v>
      </c>
      <c r="AK11" s="182" t="s">
        <v>822</v>
      </c>
      <c r="AL11" s="182" t="s">
        <v>822</v>
      </c>
      <c r="AM11" s="521" t="e">
        <f t="shared" si="11"/>
        <v>#VALUE!</v>
      </c>
      <c r="AN11" s="605"/>
      <c r="AO11" s="521" t="s">
        <v>822</v>
      </c>
      <c r="AP11" s="182" t="s">
        <v>822</v>
      </c>
      <c r="AQ11" s="182" t="s">
        <v>822</v>
      </c>
      <c r="AR11" s="521" t="e">
        <f t="shared" si="13"/>
        <v>#VALUE!</v>
      </c>
      <c r="AS11" s="605"/>
      <c r="AT11" s="521" t="s">
        <v>822</v>
      </c>
      <c r="AU11" s="182" t="s">
        <v>822</v>
      </c>
      <c r="AV11" s="182" t="s">
        <v>822</v>
      </c>
      <c r="AW11" s="521" t="e">
        <f t="shared" si="15"/>
        <v>#VALUE!</v>
      </c>
      <c r="AX11" s="605"/>
      <c r="AZ11" s="521" t="e">
        <f t="shared" si="17"/>
        <v>#N/A</v>
      </c>
      <c r="BA11" s="605"/>
    </row>
    <row r="12" spans="1:53" ht="14.25">
      <c r="A12" s="81"/>
      <c r="B12" s="610"/>
      <c r="C12" s="422">
        <v>6</v>
      </c>
      <c r="D12" s="226"/>
      <c r="E12" s="182"/>
      <c r="F12" s="441"/>
      <c r="G12" s="442"/>
      <c r="H12" s="668"/>
      <c r="I12" s="513" t="str">
        <f t="shared" si="0"/>
        <v>-</v>
      </c>
      <c r="J12" s="513" t="str">
        <f t="shared" si="1"/>
        <v>-</v>
      </c>
      <c r="K12" s="200" t="str">
        <f t="shared" si="2"/>
        <v>-</v>
      </c>
      <c r="L12" s="621"/>
      <c r="M12" s="427" t="e">
        <f>RANK(K12, $K$7:K$21)</f>
        <v>#VALUE!</v>
      </c>
      <c r="N12" s="604"/>
      <c r="O12" s="604"/>
      <c r="P12" s="521" t="s">
        <v>822</v>
      </c>
      <c r="Q12" s="182" t="s">
        <v>822</v>
      </c>
      <c r="R12" s="182" t="s">
        <v>822</v>
      </c>
      <c r="S12" s="521" t="e">
        <f t="shared" si="3"/>
        <v>#VALUE!</v>
      </c>
      <c r="T12" s="605"/>
      <c r="U12" s="521" t="s">
        <v>822</v>
      </c>
      <c r="V12" s="182" t="s">
        <v>822</v>
      </c>
      <c r="W12" s="182" t="s">
        <v>822</v>
      </c>
      <c r="X12" s="521" t="e">
        <f t="shared" si="5"/>
        <v>#VALUE!</v>
      </c>
      <c r="Y12" s="605"/>
      <c r="Z12" s="521" t="s">
        <v>822</v>
      </c>
      <c r="AA12" s="182" t="s">
        <v>822</v>
      </c>
      <c r="AB12" s="182" t="s">
        <v>822</v>
      </c>
      <c r="AC12" s="521" t="e">
        <f t="shared" si="7"/>
        <v>#VALUE!</v>
      </c>
      <c r="AD12" s="605"/>
      <c r="AE12" s="521" t="s">
        <v>822</v>
      </c>
      <c r="AF12" s="182" t="s">
        <v>822</v>
      </c>
      <c r="AG12" s="182" t="s">
        <v>822</v>
      </c>
      <c r="AH12" s="521" t="e">
        <f t="shared" si="9"/>
        <v>#VALUE!</v>
      </c>
      <c r="AI12" s="605"/>
      <c r="AJ12" s="521" t="s">
        <v>822</v>
      </c>
      <c r="AK12" s="182" t="s">
        <v>822</v>
      </c>
      <c r="AL12" s="182" t="s">
        <v>822</v>
      </c>
      <c r="AM12" s="521" t="e">
        <f t="shared" si="11"/>
        <v>#VALUE!</v>
      </c>
      <c r="AN12" s="605"/>
      <c r="AO12" s="521" t="s">
        <v>822</v>
      </c>
      <c r="AP12" s="182" t="s">
        <v>822</v>
      </c>
      <c r="AQ12" s="182" t="s">
        <v>822</v>
      </c>
      <c r="AR12" s="521" t="e">
        <f t="shared" si="13"/>
        <v>#VALUE!</v>
      </c>
      <c r="AS12" s="605"/>
      <c r="AT12" s="521" t="s">
        <v>822</v>
      </c>
      <c r="AU12" s="182" t="s">
        <v>822</v>
      </c>
      <c r="AV12" s="182" t="s">
        <v>822</v>
      </c>
      <c r="AW12" s="521" t="e">
        <f t="shared" si="15"/>
        <v>#VALUE!</v>
      </c>
      <c r="AX12" s="605"/>
      <c r="AZ12" s="521" t="e">
        <f t="shared" si="17"/>
        <v>#N/A</v>
      </c>
      <c r="BA12" s="605"/>
    </row>
    <row r="13" spans="1:53" ht="14.25">
      <c r="A13" s="81"/>
      <c r="B13" s="610"/>
      <c r="C13" s="422">
        <v>7</v>
      </c>
      <c r="D13" s="226"/>
      <c r="E13" s="182"/>
      <c r="F13" s="441"/>
      <c r="G13" s="442"/>
      <c r="H13" s="668"/>
      <c r="I13" s="513" t="str">
        <f t="shared" si="0"/>
        <v>-</v>
      </c>
      <c r="J13" s="513" t="str">
        <f t="shared" si="1"/>
        <v>-</v>
      </c>
      <c r="K13" s="200" t="str">
        <f t="shared" si="2"/>
        <v>-</v>
      </c>
      <c r="L13" s="621"/>
      <c r="M13" s="427" t="e">
        <f>RANK(K13, $K$7:K$21)</f>
        <v>#VALUE!</v>
      </c>
      <c r="N13" s="604"/>
      <c r="O13" s="604"/>
      <c r="P13" s="521" t="s">
        <v>822</v>
      </c>
      <c r="Q13" s="182" t="s">
        <v>822</v>
      </c>
      <c r="R13" s="182" t="s">
        <v>822</v>
      </c>
      <c r="S13" s="521" t="e">
        <f t="shared" si="3"/>
        <v>#VALUE!</v>
      </c>
      <c r="T13" s="605"/>
      <c r="U13" s="521" t="s">
        <v>822</v>
      </c>
      <c r="V13" s="182" t="s">
        <v>822</v>
      </c>
      <c r="W13" s="182" t="s">
        <v>822</v>
      </c>
      <c r="X13" s="521" t="e">
        <f t="shared" si="5"/>
        <v>#VALUE!</v>
      </c>
      <c r="Y13" s="605"/>
      <c r="Z13" s="521" t="s">
        <v>822</v>
      </c>
      <c r="AA13" s="182" t="s">
        <v>822</v>
      </c>
      <c r="AB13" s="182" t="s">
        <v>822</v>
      </c>
      <c r="AC13" s="521" t="e">
        <f t="shared" si="7"/>
        <v>#VALUE!</v>
      </c>
      <c r="AD13" s="605"/>
      <c r="AE13" s="521" t="s">
        <v>822</v>
      </c>
      <c r="AF13" s="182" t="s">
        <v>822</v>
      </c>
      <c r="AG13" s="182" t="s">
        <v>822</v>
      </c>
      <c r="AH13" s="521" t="e">
        <f t="shared" si="9"/>
        <v>#VALUE!</v>
      </c>
      <c r="AI13" s="605"/>
      <c r="AJ13" s="521" t="s">
        <v>822</v>
      </c>
      <c r="AK13" s="182" t="s">
        <v>822</v>
      </c>
      <c r="AL13" s="182" t="s">
        <v>822</v>
      </c>
      <c r="AM13" s="521" t="e">
        <f t="shared" si="11"/>
        <v>#VALUE!</v>
      </c>
      <c r="AN13" s="605"/>
      <c r="AO13" s="521" t="s">
        <v>822</v>
      </c>
      <c r="AP13" s="182" t="s">
        <v>822</v>
      </c>
      <c r="AQ13" s="182" t="s">
        <v>822</v>
      </c>
      <c r="AR13" s="521" t="e">
        <f t="shared" si="13"/>
        <v>#VALUE!</v>
      </c>
      <c r="AS13" s="605"/>
      <c r="AT13" s="521" t="s">
        <v>822</v>
      </c>
      <c r="AU13" s="182" t="s">
        <v>822</v>
      </c>
      <c r="AV13" s="182" t="s">
        <v>822</v>
      </c>
      <c r="AW13" s="521" t="e">
        <f t="shared" si="15"/>
        <v>#VALUE!</v>
      </c>
      <c r="AX13" s="605"/>
      <c r="AZ13" s="521" t="e">
        <f t="shared" si="17"/>
        <v>#N/A</v>
      </c>
      <c r="BA13" s="605"/>
    </row>
    <row r="14" spans="1:53" ht="14.25">
      <c r="A14" s="81"/>
      <c r="B14" s="610"/>
      <c r="C14" s="422">
        <v>8</v>
      </c>
      <c r="D14" s="226"/>
      <c r="E14" s="182"/>
      <c r="F14" s="441"/>
      <c r="G14" s="442"/>
      <c r="H14" s="668"/>
      <c r="I14" s="513" t="str">
        <f t="shared" si="0"/>
        <v>-</v>
      </c>
      <c r="J14" s="513" t="str">
        <f t="shared" si="1"/>
        <v>-</v>
      </c>
      <c r="K14" s="200" t="str">
        <f t="shared" si="2"/>
        <v>-</v>
      </c>
      <c r="L14" s="621"/>
      <c r="M14" s="427" t="e">
        <f>RANK(K14, $K$7:K$21)</f>
        <v>#VALUE!</v>
      </c>
      <c r="N14" s="604"/>
      <c r="O14" s="604"/>
      <c r="P14" s="521" t="s">
        <v>822</v>
      </c>
      <c r="Q14" s="182" t="s">
        <v>822</v>
      </c>
      <c r="R14" s="182" t="s">
        <v>822</v>
      </c>
      <c r="S14" s="521" t="e">
        <f t="shared" si="3"/>
        <v>#VALUE!</v>
      </c>
      <c r="T14" s="605"/>
      <c r="U14" s="521" t="s">
        <v>822</v>
      </c>
      <c r="V14" s="182" t="s">
        <v>822</v>
      </c>
      <c r="W14" s="182" t="s">
        <v>822</v>
      </c>
      <c r="X14" s="521" t="e">
        <f t="shared" si="5"/>
        <v>#VALUE!</v>
      </c>
      <c r="Y14" s="605"/>
      <c r="Z14" s="521" t="s">
        <v>822</v>
      </c>
      <c r="AA14" s="182" t="s">
        <v>822</v>
      </c>
      <c r="AB14" s="182" t="s">
        <v>822</v>
      </c>
      <c r="AC14" s="521" t="e">
        <f t="shared" si="7"/>
        <v>#VALUE!</v>
      </c>
      <c r="AD14" s="605"/>
      <c r="AE14" s="521" t="s">
        <v>822</v>
      </c>
      <c r="AF14" s="182" t="s">
        <v>822</v>
      </c>
      <c r="AG14" s="182" t="s">
        <v>822</v>
      </c>
      <c r="AH14" s="521" t="e">
        <f t="shared" si="9"/>
        <v>#VALUE!</v>
      </c>
      <c r="AI14" s="605"/>
      <c r="AJ14" s="521" t="s">
        <v>822</v>
      </c>
      <c r="AK14" s="182" t="s">
        <v>822</v>
      </c>
      <c r="AL14" s="182" t="s">
        <v>822</v>
      </c>
      <c r="AM14" s="521" t="e">
        <f t="shared" si="11"/>
        <v>#VALUE!</v>
      </c>
      <c r="AN14" s="605"/>
      <c r="AO14" s="521" t="s">
        <v>822</v>
      </c>
      <c r="AP14" s="182" t="s">
        <v>822</v>
      </c>
      <c r="AQ14" s="182" t="s">
        <v>822</v>
      </c>
      <c r="AR14" s="521" t="e">
        <f t="shared" si="13"/>
        <v>#VALUE!</v>
      </c>
      <c r="AS14" s="605"/>
      <c r="AT14" s="521" t="s">
        <v>822</v>
      </c>
      <c r="AU14" s="182" t="s">
        <v>822</v>
      </c>
      <c r="AV14" s="182" t="s">
        <v>822</v>
      </c>
      <c r="AW14" s="521" t="e">
        <f t="shared" si="15"/>
        <v>#VALUE!</v>
      </c>
      <c r="AX14" s="605"/>
      <c r="AZ14" s="521" t="e">
        <f t="shared" si="17"/>
        <v>#N/A</v>
      </c>
      <c r="BA14" s="605"/>
    </row>
    <row r="15" spans="1:53" ht="14.25">
      <c r="A15" s="81"/>
      <c r="B15" s="610"/>
      <c r="C15" s="422">
        <v>9</v>
      </c>
      <c r="D15" s="226"/>
      <c r="E15" s="182"/>
      <c r="F15" s="422"/>
      <c r="G15" s="423"/>
      <c r="H15" s="668"/>
      <c r="I15" s="513" t="str">
        <f t="shared" si="0"/>
        <v>-</v>
      </c>
      <c r="J15" s="513" t="str">
        <f t="shared" si="1"/>
        <v>-</v>
      </c>
      <c r="K15" s="200" t="str">
        <f t="shared" si="2"/>
        <v>-</v>
      </c>
      <c r="L15" s="621"/>
      <c r="M15" s="427" t="e">
        <f>RANK(K15, $K$7:K$21)</f>
        <v>#VALUE!</v>
      </c>
      <c r="N15" s="604"/>
      <c r="O15" s="604"/>
      <c r="P15" s="521" t="s">
        <v>822</v>
      </c>
      <c r="Q15" s="182" t="s">
        <v>822</v>
      </c>
      <c r="R15" s="182" t="s">
        <v>822</v>
      </c>
      <c r="S15" s="521" t="e">
        <f t="shared" si="3"/>
        <v>#VALUE!</v>
      </c>
      <c r="T15" s="605"/>
      <c r="U15" s="521" t="s">
        <v>822</v>
      </c>
      <c r="V15" s="182" t="s">
        <v>822</v>
      </c>
      <c r="W15" s="182" t="s">
        <v>822</v>
      </c>
      <c r="X15" s="521" t="e">
        <f t="shared" si="5"/>
        <v>#VALUE!</v>
      </c>
      <c r="Y15" s="605"/>
      <c r="Z15" s="521" t="s">
        <v>822</v>
      </c>
      <c r="AA15" s="182" t="s">
        <v>822</v>
      </c>
      <c r="AB15" s="182" t="s">
        <v>822</v>
      </c>
      <c r="AC15" s="521" t="e">
        <f t="shared" si="7"/>
        <v>#VALUE!</v>
      </c>
      <c r="AD15" s="605"/>
      <c r="AE15" s="521" t="s">
        <v>822</v>
      </c>
      <c r="AF15" s="182" t="s">
        <v>822</v>
      </c>
      <c r="AG15" s="182" t="s">
        <v>822</v>
      </c>
      <c r="AH15" s="521" t="e">
        <f t="shared" si="9"/>
        <v>#VALUE!</v>
      </c>
      <c r="AI15" s="605"/>
      <c r="AJ15" s="521" t="s">
        <v>822</v>
      </c>
      <c r="AK15" s="182" t="s">
        <v>822</v>
      </c>
      <c r="AL15" s="182" t="s">
        <v>822</v>
      </c>
      <c r="AM15" s="521" t="e">
        <f t="shared" si="11"/>
        <v>#VALUE!</v>
      </c>
      <c r="AN15" s="605"/>
      <c r="AO15" s="521" t="s">
        <v>822</v>
      </c>
      <c r="AP15" s="182" t="s">
        <v>822</v>
      </c>
      <c r="AQ15" s="182" t="s">
        <v>822</v>
      </c>
      <c r="AR15" s="521" t="e">
        <f t="shared" si="13"/>
        <v>#VALUE!</v>
      </c>
      <c r="AS15" s="605"/>
      <c r="AT15" s="521" t="s">
        <v>822</v>
      </c>
      <c r="AU15" s="182" t="s">
        <v>822</v>
      </c>
      <c r="AV15" s="182" t="s">
        <v>822</v>
      </c>
      <c r="AW15" s="521" t="e">
        <f t="shared" si="15"/>
        <v>#VALUE!</v>
      </c>
      <c r="AX15" s="605"/>
      <c r="AZ15" s="521" t="e">
        <f t="shared" si="17"/>
        <v>#N/A</v>
      </c>
      <c r="BA15" s="605"/>
    </row>
    <row r="16" spans="1:53" ht="14.25">
      <c r="A16" s="81"/>
      <c r="B16" s="610"/>
      <c r="C16" s="422">
        <v>10</v>
      </c>
      <c r="D16" s="226"/>
      <c r="E16" s="182"/>
      <c r="F16" s="422"/>
      <c r="G16" s="423"/>
      <c r="H16" s="668"/>
      <c r="I16" s="513" t="str">
        <f t="shared" si="0"/>
        <v>-</v>
      </c>
      <c r="J16" s="513" t="str">
        <f t="shared" si="1"/>
        <v>-</v>
      </c>
      <c r="K16" s="200" t="str">
        <f t="shared" si="2"/>
        <v>-</v>
      </c>
      <c r="L16" s="621"/>
      <c r="M16" s="427" t="e">
        <f>RANK(K16, $K$7:K$21)</f>
        <v>#VALUE!</v>
      </c>
      <c r="N16" s="604"/>
      <c r="O16" s="604"/>
      <c r="P16" s="521" t="s">
        <v>822</v>
      </c>
      <c r="Q16" s="182" t="s">
        <v>822</v>
      </c>
      <c r="R16" s="182" t="s">
        <v>822</v>
      </c>
      <c r="S16" s="521" t="e">
        <f t="shared" si="3"/>
        <v>#VALUE!</v>
      </c>
      <c r="T16" s="605"/>
      <c r="U16" s="521" t="s">
        <v>822</v>
      </c>
      <c r="V16" s="182" t="s">
        <v>822</v>
      </c>
      <c r="W16" s="182" t="s">
        <v>822</v>
      </c>
      <c r="X16" s="521" t="e">
        <f t="shared" si="5"/>
        <v>#VALUE!</v>
      </c>
      <c r="Y16" s="605"/>
      <c r="Z16" s="521" t="s">
        <v>822</v>
      </c>
      <c r="AA16" s="182" t="s">
        <v>822</v>
      </c>
      <c r="AB16" s="182" t="s">
        <v>822</v>
      </c>
      <c r="AC16" s="521" t="e">
        <f t="shared" si="7"/>
        <v>#VALUE!</v>
      </c>
      <c r="AD16" s="605"/>
      <c r="AE16" s="521" t="s">
        <v>822</v>
      </c>
      <c r="AF16" s="182" t="s">
        <v>822</v>
      </c>
      <c r="AG16" s="182" t="s">
        <v>822</v>
      </c>
      <c r="AH16" s="521" t="e">
        <f t="shared" si="9"/>
        <v>#VALUE!</v>
      </c>
      <c r="AI16" s="605"/>
      <c r="AJ16" s="521" t="s">
        <v>822</v>
      </c>
      <c r="AK16" s="182" t="s">
        <v>822</v>
      </c>
      <c r="AL16" s="182" t="s">
        <v>822</v>
      </c>
      <c r="AM16" s="521" t="e">
        <f t="shared" si="11"/>
        <v>#VALUE!</v>
      </c>
      <c r="AN16" s="605"/>
      <c r="AO16" s="521" t="s">
        <v>822</v>
      </c>
      <c r="AP16" s="182" t="s">
        <v>822</v>
      </c>
      <c r="AQ16" s="182" t="s">
        <v>822</v>
      </c>
      <c r="AR16" s="521" t="e">
        <f t="shared" si="13"/>
        <v>#VALUE!</v>
      </c>
      <c r="AS16" s="605"/>
      <c r="AT16" s="521" t="s">
        <v>822</v>
      </c>
      <c r="AU16" s="182" t="s">
        <v>822</v>
      </c>
      <c r="AV16" s="182" t="s">
        <v>822</v>
      </c>
      <c r="AW16" s="521" t="e">
        <f t="shared" si="15"/>
        <v>#VALUE!</v>
      </c>
      <c r="AX16" s="605"/>
      <c r="AZ16" s="521" t="e">
        <f t="shared" si="17"/>
        <v>#N/A</v>
      </c>
      <c r="BA16" s="605"/>
    </row>
    <row r="17" spans="2:53">
      <c r="B17" s="610"/>
      <c r="C17" s="422">
        <v>11</v>
      </c>
      <c r="D17" s="226"/>
      <c r="E17" s="182"/>
      <c r="F17" s="422"/>
      <c r="G17" s="423"/>
      <c r="H17" s="668"/>
      <c r="I17" s="513" t="str">
        <f t="shared" si="0"/>
        <v>-</v>
      </c>
      <c r="J17" s="513" t="str">
        <f t="shared" si="1"/>
        <v>-</v>
      </c>
      <c r="K17" s="200" t="str">
        <f t="shared" si="2"/>
        <v>-</v>
      </c>
      <c r="L17" s="621"/>
      <c r="M17" s="427" t="e">
        <f>RANK(K17, $K$7:K$21)</f>
        <v>#VALUE!</v>
      </c>
      <c r="N17" s="604"/>
      <c r="O17" s="604"/>
      <c r="P17" s="521" t="s">
        <v>822</v>
      </c>
      <c r="Q17" s="182" t="s">
        <v>822</v>
      </c>
      <c r="R17" s="182" t="s">
        <v>822</v>
      </c>
      <c r="S17" s="521" t="e">
        <f t="shared" si="3"/>
        <v>#VALUE!</v>
      </c>
      <c r="T17" s="605"/>
      <c r="U17" s="521" t="s">
        <v>822</v>
      </c>
      <c r="V17" s="182" t="s">
        <v>822</v>
      </c>
      <c r="W17" s="182" t="s">
        <v>822</v>
      </c>
      <c r="X17" s="521" t="e">
        <f t="shared" si="5"/>
        <v>#VALUE!</v>
      </c>
      <c r="Y17" s="605"/>
      <c r="Z17" s="521" t="s">
        <v>822</v>
      </c>
      <c r="AA17" s="182" t="s">
        <v>822</v>
      </c>
      <c r="AB17" s="182" t="s">
        <v>822</v>
      </c>
      <c r="AC17" s="521" t="e">
        <f t="shared" si="7"/>
        <v>#VALUE!</v>
      </c>
      <c r="AD17" s="605"/>
      <c r="AE17" s="521" t="s">
        <v>822</v>
      </c>
      <c r="AF17" s="182" t="s">
        <v>822</v>
      </c>
      <c r="AG17" s="182" t="s">
        <v>822</v>
      </c>
      <c r="AH17" s="521" t="e">
        <f t="shared" si="9"/>
        <v>#VALUE!</v>
      </c>
      <c r="AI17" s="605"/>
      <c r="AJ17" s="521" t="s">
        <v>822</v>
      </c>
      <c r="AK17" s="182" t="s">
        <v>822</v>
      </c>
      <c r="AL17" s="182" t="s">
        <v>822</v>
      </c>
      <c r="AM17" s="521" t="e">
        <f t="shared" si="11"/>
        <v>#VALUE!</v>
      </c>
      <c r="AN17" s="605"/>
      <c r="AO17" s="521" t="s">
        <v>822</v>
      </c>
      <c r="AP17" s="182" t="s">
        <v>822</v>
      </c>
      <c r="AQ17" s="182" t="s">
        <v>822</v>
      </c>
      <c r="AR17" s="521" t="e">
        <f t="shared" si="13"/>
        <v>#VALUE!</v>
      </c>
      <c r="AS17" s="605"/>
      <c r="AT17" s="521" t="s">
        <v>822</v>
      </c>
      <c r="AU17" s="182" t="s">
        <v>822</v>
      </c>
      <c r="AV17" s="182" t="s">
        <v>822</v>
      </c>
      <c r="AW17" s="521" t="e">
        <f t="shared" si="15"/>
        <v>#VALUE!</v>
      </c>
      <c r="AX17" s="605"/>
      <c r="AZ17" s="521" t="e">
        <f t="shared" si="17"/>
        <v>#N/A</v>
      </c>
      <c r="BA17" s="605"/>
    </row>
    <row r="18" spans="2:53">
      <c r="B18" s="610"/>
      <c r="C18" s="422">
        <v>12</v>
      </c>
      <c r="D18" s="226"/>
      <c r="E18" s="182"/>
      <c r="F18" s="422"/>
      <c r="G18" s="423"/>
      <c r="H18" s="668"/>
      <c r="I18" s="513" t="str">
        <f t="shared" si="0"/>
        <v>-</v>
      </c>
      <c r="J18" s="513" t="str">
        <f t="shared" si="1"/>
        <v>-</v>
      </c>
      <c r="K18" s="200" t="str">
        <f t="shared" si="2"/>
        <v>-</v>
      </c>
      <c r="L18" s="621"/>
      <c r="M18" s="427" t="e">
        <f>RANK(K18, $K$7:K$21)</f>
        <v>#VALUE!</v>
      </c>
      <c r="N18" s="604"/>
      <c r="O18" s="604"/>
      <c r="P18" s="521" t="s">
        <v>822</v>
      </c>
      <c r="Q18" s="182" t="s">
        <v>822</v>
      </c>
      <c r="R18" s="182" t="s">
        <v>822</v>
      </c>
      <c r="S18" s="521" t="e">
        <f t="shared" si="3"/>
        <v>#VALUE!</v>
      </c>
      <c r="T18" s="605"/>
      <c r="U18" s="521" t="s">
        <v>822</v>
      </c>
      <c r="V18" s="182" t="s">
        <v>822</v>
      </c>
      <c r="W18" s="182" t="s">
        <v>822</v>
      </c>
      <c r="X18" s="521" t="e">
        <f t="shared" si="5"/>
        <v>#VALUE!</v>
      </c>
      <c r="Y18" s="605"/>
      <c r="Z18" s="521" t="s">
        <v>822</v>
      </c>
      <c r="AA18" s="182" t="s">
        <v>822</v>
      </c>
      <c r="AB18" s="182" t="s">
        <v>822</v>
      </c>
      <c r="AC18" s="521" t="e">
        <f t="shared" si="7"/>
        <v>#VALUE!</v>
      </c>
      <c r="AD18" s="605"/>
      <c r="AE18" s="521" t="s">
        <v>822</v>
      </c>
      <c r="AF18" s="182" t="s">
        <v>822</v>
      </c>
      <c r="AG18" s="182" t="s">
        <v>822</v>
      </c>
      <c r="AH18" s="521" t="e">
        <f t="shared" si="9"/>
        <v>#VALUE!</v>
      </c>
      <c r="AI18" s="605"/>
      <c r="AJ18" s="521" t="s">
        <v>822</v>
      </c>
      <c r="AK18" s="182" t="s">
        <v>822</v>
      </c>
      <c r="AL18" s="182" t="s">
        <v>822</v>
      </c>
      <c r="AM18" s="521" t="e">
        <f t="shared" si="11"/>
        <v>#VALUE!</v>
      </c>
      <c r="AN18" s="605"/>
      <c r="AO18" s="521" t="s">
        <v>822</v>
      </c>
      <c r="AP18" s="182" t="s">
        <v>822</v>
      </c>
      <c r="AQ18" s="182" t="s">
        <v>822</v>
      </c>
      <c r="AR18" s="521" t="e">
        <f t="shared" si="13"/>
        <v>#VALUE!</v>
      </c>
      <c r="AS18" s="605"/>
      <c r="AT18" s="521" t="s">
        <v>822</v>
      </c>
      <c r="AU18" s="182" t="s">
        <v>822</v>
      </c>
      <c r="AV18" s="182" t="s">
        <v>822</v>
      </c>
      <c r="AW18" s="521" t="e">
        <f t="shared" si="15"/>
        <v>#VALUE!</v>
      </c>
      <c r="AX18" s="605"/>
      <c r="AZ18" s="521" t="e">
        <f t="shared" si="17"/>
        <v>#N/A</v>
      </c>
      <c r="BA18" s="605"/>
    </row>
    <row r="19" spans="2:53">
      <c r="B19" s="610"/>
      <c r="C19" s="422">
        <v>13</v>
      </c>
      <c r="D19" s="226"/>
      <c r="E19" s="182"/>
      <c r="F19" s="422"/>
      <c r="G19" s="423"/>
      <c r="H19" s="668"/>
      <c r="I19" s="513" t="str">
        <f t="shared" si="0"/>
        <v>-</v>
      </c>
      <c r="J19" s="513" t="str">
        <f t="shared" si="1"/>
        <v>-</v>
      </c>
      <c r="K19" s="200" t="str">
        <f t="shared" si="2"/>
        <v>-</v>
      </c>
      <c r="L19" s="621"/>
      <c r="M19" s="427" t="e">
        <f>RANK(K19, $K$7:K$21)</f>
        <v>#VALUE!</v>
      </c>
      <c r="N19" s="604"/>
      <c r="O19" s="604"/>
      <c r="P19" s="521" t="s">
        <v>822</v>
      </c>
      <c r="Q19" s="182" t="s">
        <v>822</v>
      </c>
      <c r="R19" s="182" t="s">
        <v>822</v>
      </c>
      <c r="S19" s="521" t="e">
        <f t="shared" si="3"/>
        <v>#VALUE!</v>
      </c>
      <c r="T19" s="605"/>
      <c r="U19" s="521" t="s">
        <v>822</v>
      </c>
      <c r="V19" s="182" t="s">
        <v>822</v>
      </c>
      <c r="W19" s="182" t="s">
        <v>822</v>
      </c>
      <c r="X19" s="521" t="e">
        <f t="shared" si="5"/>
        <v>#VALUE!</v>
      </c>
      <c r="Y19" s="605"/>
      <c r="Z19" s="521" t="s">
        <v>822</v>
      </c>
      <c r="AA19" s="182" t="s">
        <v>822</v>
      </c>
      <c r="AB19" s="182" t="s">
        <v>822</v>
      </c>
      <c r="AC19" s="521" t="e">
        <f t="shared" si="7"/>
        <v>#VALUE!</v>
      </c>
      <c r="AD19" s="605"/>
      <c r="AE19" s="521" t="s">
        <v>822</v>
      </c>
      <c r="AF19" s="182" t="s">
        <v>822</v>
      </c>
      <c r="AG19" s="182" t="s">
        <v>822</v>
      </c>
      <c r="AH19" s="521" t="e">
        <f t="shared" si="9"/>
        <v>#VALUE!</v>
      </c>
      <c r="AI19" s="605"/>
      <c r="AJ19" s="521" t="s">
        <v>822</v>
      </c>
      <c r="AK19" s="182" t="s">
        <v>822</v>
      </c>
      <c r="AL19" s="182" t="s">
        <v>822</v>
      </c>
      <c r="AM19" s="521" t="e">
        <f t="shared" si="11"/>
        <v>#VALUE!</v>
      </c>
      <c r="AN19" s="605"/>
      <c r="AO19" s="521" t="s">
        <v>822</v>
      </c>
      <c r="AP19" s="182" t="s">
        <v>822</v>
      </c>
      <c r="AQ19" s="182" t="s">
        <v>822</v>
      </c>
      <c r="AR19" s="521" t="e">
        <f t="shared" si="13"/>
        <v>#VALUE!</v>
      </c>
      <c r="AS19" s="605"/>
      <c r="AT19" s="521" t="s">
        <v>822</v>
      </c>
      <c r="AU19" s="182" t="s">
        <v>822</v>
      </c>
      <c r="AV19" s="182" t="s">
        <v>822</v>
      </c>
      <c r="AW19" s="521" t="e">
        <f t="shared" si="15"/>
        <v>#VALUE!</v>
      </c>
      <c r="AX19" s="605"/>
      <c r="AZ19" s="521" t="e">
        <f t="shared" si="17"/>
        <v>#N/A</v>
      </c>
      <c r="BA19" s="605"/>
    </row>
    <row r="20" spans="2:53">
      <c r="B20" s="610"/>
      <c r="C20" s="422">
        <v>14</v>
      </c>
      <c r="D20" s="226"/>
      <c r="E20" s="182"/>
      <c r="F20" s="422"/>
      <c r="G20" s="423"/>
      <c r="H20" s="668"/>
      <c r="I20" s="513" t="str">
        <f t="shared" si="0"/>
        <v>-</v>
      </c>
      <c r="J20" s="513" t="str">
        <f t="shared" si="1"/>
        <v>-</v>
      </c>
      <c r="K20" s="200" t="str">
        <f t="shared" si="2"/>
        <v>-</v>
      </c>
      <c r="L20" s="621"/>
      <c r="M20" s="427" t="e">
        <f>RANK(K20, $K$7:K$21)</f>
        <v>#VALUE!</v>
      </c>
      <c r="N20" s="604"/>
      <c r="O20" s="604"/>
      <c r="P20" s="521" t="s">
        <v>822</v>
      </c>
      <c r="Q20" s="182" t="s">
        <v>822</v>
      </c>
      <c r="R20" s="182" t="s">
        <v>822</v>
      </c>
      <c r="S20" s="521" t="e">
        <f t="shared" si="3"/>
        <v>#VALUE!</v>
      </c>
      <c r="T20" s="605"/>
      <c r="U20" s="521" t="s">
        <v>822</v>
      </c>
      <c r="V20" s="182" t="s">
        <v>822</v>
      </c>
      <c r="W20" s="182" t="s">
        <v>822</v>
      </c>
      <c r="X20" s="521" t="e">
        <f t="shared" si="5"/>
        <v>#VALUE!</v>
      </c>
      <c r="Y20" s="605"/>
      <c r="Z20" s="521" t="s">
        <v>822</v>
      </c>
      <c r="AA20" s="182" t="s">
        <v>822</v>
      </c>
      <c r="AB20" s="182" t="s">
        <v>822</v>
      </c>
      <c r="AC20" s="521" t="e">
        <f t="shared" si="7"/>
        <v>#VALUE!</v>
      </c>
      <c r="AD20" s="605"/>
      <c r="AE20" s="521" t="s">
        <v>822</v>
      </c>
      <c r="AF20" s="182" t="s">
        <v>822</v>
      </c>
      <c r="AG20" s="182" t="s">
        <v>822</v>
      </c>
      <c r="AH20" s="521" t="e">
        <f t="shared" si="9"/>
        <v>#VALUE!</v>
      </c>
      <c r="AI20" s="605"/>
      <c r="AJ20" s="521" t="s">
        <v>822</v>
      </c>
      <c r="AK20" s="182" t="s">
        <v>822</v>
      </c>
      <c r="AL20" s="182" t="s">
        <v>822</v>
      </c>
      <c r="AM20" s="521" t="e">
        <f t="shared" si="11"/>
        <v>#VALUE!</v>
      </c>
      <c r="AN20" s="605"/>
      <c r="AO20" s="521" t="s">
        <v>822</v>
      </c>
      <c r="AP20" s="182" t="s">
        <v>822</v>
      </c>
      <c r="AQ20" s="182" t="s">
        <v>822</v>
      </c>
      <c r="AR20" s="521" t="e">
        <f t="shared" si="13"/>
        <v>#VALUE!</v>
      </c>
      <c r="AS20" s="605"/>
      <c r="AT20" s="521" t="s">
        <v>822</v>
      </c>
      <c r="AU20" s="182" t="s">
        <v>822</v>
      </c>
      <c r="AV20" s="182" t="s">
        <v>822</v>
      </c>
      <c r="AW20" s="521" t="e">
        <f t="shared" si="15"/>
        <v>#VALUE!</v>
      </c>
      <c r="AX20" s="605"/>
      <c r="AZ20" s="521" t="e">
        <f t="shared" si="17"/>
        <v>#N/A</v>
      </c>
      <c r="BA20" s="605"/>
    </row>
    <row r="21" spans="2:53">
      <c r="B21" s="610"/>
      <c r="C21" s="422">
        <v>15</v>
      </c>
      <c r="D21" s="226"/>
      <c r="E21" s="182"/>
      <c r="F21" s="422"/>
      <c r="G21" s="423"/>
      <c r="H21" s="669"/>
      <c r="I21" s="202"/>
      <c r="J21" s="202"/>
      <c r="K21" s="202"/>
      <c r="L21" s="622"/>
      <c r="M21" s="424" t="e">
        <f>RANK(K21, $K$7:K$21)</f>
        <v>#N/A</v>
      </c>
      <c r="N21" s="604"/>
      <c r="O21" s="604"/>
      <c r="P21" s="521" t="s">
        <v>822</v>
      </c>
      <c r="Q21" s="182" t="s">
        <v>822</v>
      </c>
      <c r="R21" s="182" t="s">
        <v>822</v>
      </c>
      <c r="S21" s="521" t="e">
        <f t="shared" si="3"/>
        <v>#VALUE!</v>
      </c>
      <c r="T21" s="605"/>
      <c r="U21" s="521" t="s">
        <v>822</v>
      </c>
      <c r="V21" s="182" t="s">
        <v>822</v>
      </c>
      <c r="W21" s="182" t="s">
        <v>822</v>
      </c>
      <c r="X21" s="521" t="e">
        <f t="shared" si="5"/>
        <v>#VALUE!</v>
      </c>
      <c r="Y21" s="605"/>
      <c r="Z21" s="521" t="s">
        <v>822</v>
      </c>
      <c r="AA21" s="182" t="s">
        <v>822</v>
      </c>
      <c r="AB21" s="182" t="s">
        <v>822</v>
      </c>
      <c r="AC21" s="521" t="e">
        <f t="shared" si="7"/>
        <v>#VALUE!</v>
      </c>
      <c r="AD21" s="605"/>
      <c r="AE21" s="521" t="s">
        <v>822</v>
      </c>
      <c r="AF21" s="182" t="s">
        <v>822</v>
      </c>
      <c r="AG21" s="182" t="s">
        <v>822</v>
      </c>
      <c r="AH21" s="521" t="e">
        <f t="shared" si="9"/>
        <v>#VALUE!</v>
      </c>
      <c r="AI21" s="605"/>
      <c r="AJ21" s="521" t="s">
        <v>822</v>
      </c>
      <c r="AK21" s="182" t="s">
        <v>822</v>
      </c>
      <c r="AL21" s="182" t="s">
        <v>822</v>
      </c>
      <c r="AM21" s="521" t="e">
        <f t="shared" si="11"/>
        <v>#VALUE!</v>
      </c>
      <c r="AN21" s="605"/>
      <c r="AO21" s="521" t="s">
        <v>822</v>
      </c>
      <c r="AP21" s="182" t="s">
        <v>822</v>
      </c>
      <c r="AQ21" s="182" t="s">
        <v>822</v>
      </c>
      <c r="AR21" s="521" t="e">
        <f t="shared" si="13"/>
        <v>#VALUE!</v>
      </c>
      <c r="AS21" s="605"/>
      <c r="AT21" s="521" t="s">
        <v>822</v>
      </c>
      <c r="AU21" s="182" t="s">
        <v>822</v>
      </c>
      <c r="AV21" s="182" t="s">
        <v>822</v>
      </c>
      <c r="AW21" s="521" t="e">
        <f t="shared" si="15"/>
        <v>#VALUE!</v>
      </c>
      <c r="AX21" s="605"/>
      <c r="AZ21" s="521" t="e">
        <f t="shared" si="17"/>
        <v>#N/A</v>
      </c>
      <c r="BA21" s="605"/>
    </row>
    <row r="22" spans="2:53" ht="15.75">
      <c r="B22" s="648" t="s">
        <v>163</v>
      </c>
      <c r="C22" s="649"/>
      <c r="D22" s="649"/>
      <c r="E22" s="649"/>
      <c r="F22" s="649"/>
      <c r="G22" s="649"/>
      <c r="H22" s="649"/>
      <c r="I22" s="203"/>
      <c r="J22" s="203"/>
      <c r="K22" s="203"/>
      <c r="L22" s="203"/>
      <c r="M22" s="204"/>
      <c r="N22" s="606" t="s">
        <v>156</v>
      </c>
      <c r="O22" s="606" t="s">
        <v>105</v>
      </c>
      <c r="P22" s="632">
        <f>P2+7</f>
        <v>46119</v>
      </c>
      <c r="Q22" s="610"/>
      <c r="R22" s="610"/>
      <c r="S22" s="610"/>
      <c r="T22" s="610"/>
      <c r="U22" s="629">
        <f>P22+1</f>
        <v>46120</v>
      </c>
      <c r="V22" s="630"/>
      <c r="W22" s="630"/>
      <c r="X22" s="630"/>
      <c r="Y22" s="631"/>
      <c r="Z22" s="629">
        <f>U22+1</f>
        <v>46121</v>
      </c>
      <c r="AA22" s="630"/>
      <c r="AB22" s="630"/>
      <c r="AC22" s="630"/>
      <c r="AD22" s="631"/>
      <c r="AE22" s="629">
        <f>Z22+1</f>
        <v>46122</v>
      </c>
      <c r="AF22" s="630"/>
      <c r="AG22" s="630"/>
      <c r="AH22" s="630"/>
      <c r="AI22" s="631"/>
      <c r="AJ22" s="629">
        <f>AE22+1</f>
        <v>46123</v>
      </c>
      <c r="AK22" s="630"/>
      <c r="AL22" s="630"/>
      <c r="AM22" s="630"/>
      <c r="AN22" s="631"/>
      <c r="AO22" s="629">
        <f>AJ22+1</f>
        <v>46124</v>
      </c>
      <c r="AP22" s="630"/>
      <c r="AQ22" s="630"/>
      <c r="AR22" s="630"/>
      <c r="AS22" s="631"/>
      <c r="AT22" s="629">
        <f>AO22+1</f>
        <v>46125</v>
      </c>
      <c r="AU22" s="630"/>
      <c r="AV22" s="630"/>
      <c r="AW22" s="630"/>
      <c r="AX22" s="631"/>
    </row>
    <row r="23" spans="2:53" ht="15.75">
      <c r="B23" s="636"/>
      <c r="C23" s="636"/>
      <c r="D23" s="636"/>
      <c r="E23" s="636"/>
      <c r="F23" s="636"/>
      <c r="G23" s="636"/>
      <c r="H23" s="636"/>
      <c r="I23" s="205"/>
      <c r="J23" s="205"/>
      <c r="K23" s="205"/>
      <c r="L23" s="205"/>
      <c r="M23" s="206"/>
      <c r="N23" s="608"/>
      <c r="O23" s="608"/>
      <c r="P23" s="632" t="s">
        <v>336</v>
      </c>
      <c r="Q23" s="610"/>
      <c r="R23" s="610"/>
      <c r="S23" s="610"/>
      <c r="T23" s="610"/>
      <c r="U23" s="632" t="s">
        <v>337</v>
      </c>
      <c r="V23" s="610"/>
      <c r="W23" s="610"/>
      <c r="X23" s="610"/>
      <c r="Y23" s="610"/>
      <c r="Z23" s="632" t="s">
        <v>338</v>
      </c>
      <c r="AA23" s="610"/>
      <c r="AB23" s="610"/>
      <c r="AC23" s="610"/>
      <c r="AD23" s="610"/>
      <c r="AE23" s="632" t="s">
        <v>339</v>
      </c>
      <c r="AF23" s="610"/>
      <c r="AG23" s="610"/>
      <c r="AH23" s="610"/>
      <c r="AI23" s="610"/>
      <c r="AJ23" s="632" t="s">
        <v>340</v>
      </c>
      <c r="AK23" s="610"/>
      <c r="AL23" s="610"/>
      <c r="AM23" s="610"/>
      <c r="AN23" s="610"/>
      <c r="AO23" s="632" t="s">
        <v>341</v>
      </c>
      <c r="AP23" s="610"/>
      <c r="AQ23" s="610"/>
      <c r="AR23" s="610"/>
      <c r="AS23" s="610"/>
      <c r="AT23" s="632" t="s">
        <v>342</v>
      </c>
      <c r="AU23" s="610"/>
      <c r="AV23" s="610"/>
      <c r="AW23" s="610"/>
      <c r="AX23" s="610"/>
    </row>
    <row r="24" spans="2:53">
      <c r="B24" s="604" t="s">
        <v>154</v>
      </c>
      <c r="C24" s="604" t="s">
        <v>408</v>
      </c>
      <c r="D24" s="604"/>
      <c r="E24" s="604" t="s">
        <v>399</v>
      </c>
      <c r="F24" s="604"/>
      <c r="G24" s="604"/>
      <c r="H24" s="637" t="s">
        <v>395</v>
      </c>
      <c r="I24" s="656" t="s">
        <v>400</v>
      </c>
      <c r="J24" s="656"/>
      <c r="K24" s="656"/>
      <c r="L24" s="657" t="s">
        <v>395</v>
      </c>
      <c r="M24" s="642" t="s">
        <v>396</v>
      </c>
      <c r="N24" s="604"/>
      <c r="O24" s="604" t="s">
        <v>401</v>
      </c>
      <c r="P24" s="623" t="s">
        <v>397</v>
      </c>
      <c r="Q24" s="624"/>
      <c r="R24" s="624"/>
      <c r="S24" s="625"/>
      <c r="T24" s="604" t="s">
        <v>395</v>
      </c>
      <c r="U24" s="623" t="s">
        <v>397</v>
      </c>
      <c r="V24" s="624"/>
      <c r="W24" s="624"/>
      <c r="X24" s="625"/>
      <c r="Y24" s="604" t="s">
        <v>395</v>
      </c>
      <c r="Z24" s="623" t="s">
        <v>397</v>
      </c>
      <c r="AA24" s="624"/>
      <c r="AB24" s="624"/>
      <c r="AC24" s="625"/>
      <c r="AD24" s="604" t="s">
        <v>395</v>
      </c>
      <c r="AE24" s="623" t="s">
        <v>397</v>
      </c>
      <c r="AF24" s="624"/>
      <c r="AG24" s="624"/>
      <c r="AH24" s="625"/>
      <c r="AI24" s="604" t="s">
        <v>395</v>
      </c>
      <c r="AJ24" s="623" t="s">
        <v>397</v>
      </c>
      <c r="AK24" s="624"/>
      <c r="AL24" s="624"/>
      <c r="AM24" s="625"/>
      <c r="AN24" s="604" t="s">
        <v>395</v>
      </c>
      <c r="AO24" s="623" t="s">
        <v>397</v>
      </c>
      <c r="AP24" s="624"/>
      <c r="AQ24" s="624"/>
      <c r="AR24" s="625"/>
      <c r="AS24" s="604" t="s">
        <v>395</v>
      </c>
      <c r="AT24" s="623" t="s">
        <v>397</v>
      </c>
      <c r="AU24" s="624"/>
      <c r="AV24" s="624"/>
      <c r="AW24" s="625"/>
      <c r="AX24" s="604" t="s">
        <v>395</v>
      </c>
      <c r="BA24" s="604" t="s">
        <v>395</v>
      </c>
    </row>
    <row r="25" spans="2:53">
      <c r="B25" s="604"/>
      <c r="C25" s="604"/>
      <c r="D25" s="604"/>
      <c r="E25" s="604" t="s">
        <v>402</v>
      </c>
      <c r="F25" s="604"/>
      <c r="G25" s="604"/>
      <c r="H25" s="638"/>
      <c r="I25" s="656" t="s">
        <v>402</v>
      </c>
      <c r="J25" s="656"/>
      <c r="K25" s="656"/>
      <c r="L25" s="658"/>
      <c r="M25" s="643"/>
      <c r="N25" s="604"/>
      <c r="O25" s="604"/>
      <c r="P25" s="623" t="s">
        <v>403</v>
      </c>
      <c r="Q25" s="624"/>
      <c r="R25" s="624"/>
      <c r="S25" s="625"/>
      <c r="T25" s="604"/>
      <c r="U25" s="623" t="s">
        <v>403</v>
      </c>
      <c r="V25" s="624"/>
      <c r="W25" s="624"/>
      <c r="X25" s="625"/>
      <c r="Y25" s="604"/>
      <c r="Z25" s="623" t="s">
        <v>403</v>
      </c>
      <c r="AA25" s="624"/>
      <c r="AB25" s="624"/>
      <c r="AC25" s="625"/>
      <c r="AD25" s="604"/>
      <c r="AE25" s="623" t="s">
        <v>403</v>
      </c>
      <c r="AF25" s="624"/>
      <c r="AG25" s="624"/>
      <c r="AH25" s="625"/>
      <c r="AI25" s="604"/>
      <c r="AJ25" s="623" t="s">
        <v>403</v>
      </c>
      <c r="AK25" s="624"/>
      <c r="AL25" s="624"/>
      <c r="AM25" s="625"/>
      <c r="AN25" s="604"/>
      <c r="AO25" s="623" t="s">
        <v>403</v>
      </c>
      <c r="AP25" s="624"/>
      <c r="AQ25" s="624"/>
      <c r="AR25" s="625"/>
      <c r="AS25" s="604"/>
      <c r="AT25" s="623" t="s">
        <v>476</v>
      </c>
      <c r="AU25" s="624"/>
      <c r="AV25" s="624"/>
      <c r="AW25" s="625"/>
      <c r="AX25" s="604"/>
      <c r="BA25" s="604"/>
    </row>
    <row r="26" spans="2:53">
      <c r="B26" s="604"/>
      <c r="C26" s="604"/>
      <c r="D26" s="604"/>
      <c r="E26" s="316" t="s">
        <v>404</v>
      </c>
      <c r="F26" s="316" t="s">
        <v>405</v>
      </c>
      <c r="G26" s="316" t="s">
        <v>406</v>
      </c>
      <c r="H26" s="639"/>
      <c r="I26" s="315" t="s">
        <v>404</v>
      </c>
      <c r="J26" s="315" t="s">
        <v>405</v>
      </c>
      <c r="K26" s="315" t="s">
        <v>406</v>
      </c>
      <c r="L26" s="659"/>
      <c r="M26" s="644"/>
      <c r="N26" s="604"/>
      <c r="O26" s="604"/>
      <c r="P26" s="316" t="s">
        <v>404</v>
      </c>
      <c r="Q26" s="316" t="s">
        <v>405</v>
      </c>
      <c r="R26" s="316" t="s">
        <v>406</v>
      </c>
      <c r="S26" s="316" t="s">
        <v>396</v>
      </c>
      <c r="T26" s="604"/>
      <c r="U26" s="316" t="s">
        <v>404</v>
      </c>
      <c r="V26" s="316" t="s">
        <v>405</v>
      </c>
      <c r="W26" s="316" t="s">
        <v>406</v>
      </c>
      <c r="X26" s="316" t="s">
        <v>477</v>
      </c>
      <c r="Y26" s="604"/>
      <c r="Z26" s="316" t="s">
        <v>478</v>
      </c>
      <c r="AA26" s="316" t="s">
        <v>405</v>
      </c>
      <c r="AB26" s="316" t="s">
        <v>406</v>
      </c>
      <c r="AC26" s="316" t="s">
        <v>396</v>
      </c>
      <c r="AD26" s="604"/>
      <c r="AE26" s="316" t="s">
        <v>479</v>
      </c>
      <c r="AF26" s="316" t="s">
        <v>480</v>
      </c>
      <c r="AG26" s="316" t="s">
        <v>406</v>
      </c>
      <c r="AH26" s="316" t="s">
        <v>396</v>
      </c>
      <c r="AI26" s="604"/>
      <c r="AJ26" s="316" t="s">
        <v>478</v>
      </c>
      <c r="AK26" s="316" t="s">
        <v>480</v>
      </c>
      <c r="AL26" s="316" t="s">
        <v>406</v>
      </c>
      <c r="AM26" s="316" t="s">
        <v>396</v>
      </c>
      <c r="AN26" s="604"/>
      <c r="AO26" s="316" t="s">
        <v>404</v>
      </c>
      <c r="AP26" s="316" t="s">
        <v>480</v>
      </c>
      <c r="AQ26" s="316" t="s">
        <v>406</v>
      </c>
      <c r="AR26" s="316" t="s">
        <v>396</v>
      </c>
      <c r="AS26" s="604"/>
      <c r="AT26" s="316" t="s">
        <v>478</v>
      </c>
      <c r="AU26" s="316" t="s">
        <v>480</v>
      </c>
      <c r="AV26" s="316" t="s">
        <v>406</v>
      </c>
      <c r="AW26" s="316" t="s">
        <v>396</v>
      </c>
      <c r="AX26" s="604"/>
      <c r="AZ26" s="520" t="s">
        <v>396</v>
      </c>
      <c r="BA26" s="604"/>
    </row>
    <row r="27" spans="2:53">
      <c r="B27" s="604" t="s">
        <v>409</v>
      </c>
      <c r="C27" s="317">
        <v>1</v>
      </c>
      <c r="D27" s="226" t="s">
        <v>740</v>
      </c>
      <c r="E27" s="182">
        <v>13</v>
      </c>
      <c r="F27" s="511">
        <v>1500</v>
      </c>
      <c r="G27" s="512">
        <v>115.38461538461539</v>
      </c>
      <c r="H27" s="667">
        <f>AVERAGE(G27:G41)</f>
        <v>107.69230769230769</v>
      </c>
      <c r="I27" s="513">
        <f t="shared" ref="I27:I40" si="19">IFERROR(AVERAGE(P27,U27,Z27,AE27,AJ27,AO27,AT27),"-")</f>
        <v>13</v>
      </c>
      <c r="J27" s="513">
        <f t="shared" ref="J27:J40" si="20">IFERROR(AVERAGE(Q27,V27,AA27,AF27,AK27,AP27,AU27),"-")</f>
        <v>1391</v>
      </c>
      <c r="K27" s="200">
        <f t="shared" ref="K27:K40" si="21">IFERROR(AVERAGE(R27,W27,AB27,AG27,AL27,AQ27,AV27),"-")</f>
        <v>107</v>
      </c>
      <c r="L27" s="620">
        <f>IFERROR(AVERAGE(K27:K41),"-")</f>
        <v>111.40782550782546</v>
      </c>
      <c r="M27" s="201">
        <f>RANK(K27, K$27:$K$41)</f>
        <v>2</v>
      </c>
      <c r="N27" s="604"/>
      <c r="O27" s="604"/>
      <c r="P27" s="526">
        <v>13</v>
      </c>
      <c r="Q27" s="530">
        <v>1399.9999999999975</v>
      </c>
      <c r="R27" s="530">
        <v>107.69230769230749</v>
      </c>
      <c r="S27" s="526">
        <f t="shared" ref="S27:S41" si="22">RANK(R27, R$27:R$41)</f>
        <v>2</v>
      </c>
      <c r="T27" s="599">
        <f t="shared" ref="T27" si="23">AVERAGE(R27:R41)</f>
        <v>111.16923076923059</v>
      </c>
      <c r="U27" s="526">
        <v>13</v>
      </c>
      <c r="V27" s="530">
        <v>1348.0000000000048</v>
      </c>
      <c r="W27" s="530">
        <v>103.69230769230806</v>
      </c>
      <c r="X27" s="526">
        <f t="shared" ref="X27:X41" si="24">RANK(W27, W$27:W$41)</f>
        <v>2</v>
      </c>
      <c r="Y27" s="599">
        <f t="shared" ref="Y27" si="25">AVERAGE(W27:W41)</f>
        <v>108.02797202797225</v>
      </c>
      <c r="Z27" s="526">
        <v>13</v>
      </c>
      <c r="AA27" s="530">
        <v>1631.9999999999973</v>
      </c>
      <c r="AB27" s="530">
        <v>125.53846153846133</v>
      </c>
      <c r="AC27" s="526">
        <f t="shared" ref="AC27:AC41" si="26">RANK(AB27, AB$27:AB$41)</f>
        <v>1</v>
      </c>
      <c r="AD27" s="599">
        <f t="shared" ref="AD27" si="27">AVERAGE(AB27:AB41)</f>
        <v>122.26573426573412</v>
      </c>
      <c r="AE27" s="526">
        <v>13</v>
      </c>
      <c r="AF27" s="530">
        <v>1379.9999999999975</v>
      </c>
      <c r="AG27" s="530">
        <v>106.15384615384596</v>
      </c>
      <c r="AH27" s="526">
        <f t="shared" ref="AH27:AH41" si="28">RANK(AG27, AG$27:AG$41)</f>
        <v>2</v>
      </c>
      <c r="AI27" s="599">
        <f t="shared" ref="AI27" si="29">AVERAGE(AG27:AG41)</f>
        <v>108.05128205128196</v>
      </c>
      <c r="AJ27" s="526">
        <v>13</v>
      </c>
      <c r="AK27" s="530">
        <v>1464.0000000000052</v>
      </c>
      <c r="AL27" s="530">
        <v>112.61538461538501</v>
      </c>
      <c r="AM27" s="526">
        <f t="shared" ref="AM27:AM41" si="30">RANK(AL27, AL$27:AL$41)</f>
        <v>2</v>
      </c>
      <c r="AN27" s="599">
        <f t="shared" ref="AN27" si="31">AVERAGE(AL27:AL41)</f>
        <v>115.93846153846167</v>
      </c>
      <c r="AO27" s="526">
        <v>13</v>
      </c>
      <c r="AP27" s="530">
        <v>1291.9999999999977</v>
      </c>
      <c r="AQ27" s="530">
        <v>99.384615384615216</v>
      </c>
      <c r="AR27" s="526">
        <f t="shared" ref="AR27:AR41" si="32">RANK(AQ27, AQ$27:AQ$41)</f>
        <v>2</v>
      </c>
      <c r="AS27" s="599">
        <f t="shared" ref="AS27" si="33">AVERAGE(AQ27:AQ41)</f>
        <v>108.15384615384608</v>
      </c>
      <c r="AT27" s="526">
        <v>13</v>
      </c>
      <c r="AU27" s="530">
        <v>1220.9999999999995</v>
      </c>
      <c r="AV27" s="530">
        <v>93.923076923076891</v>
      </c>
      <c r="AW27" s="526">
        <f t="shared" ref="AW27:AW41" si="34">RANK(AV27, AV$27:AV$41)</f>
        <v>2</v>
      </c>
      <c r="AX27" s="599">
        <f t="shared" ref="AX27" si="35">AVERAGE(AV27:AV41)</f>
        <v>106.24825174825159</v>
      </c>
      <c r="AZ27" s="521" t="e">
        <f t="shared" ref="AZ27:AZ41" si="36">RANK(AY27, AY$27:AY$41)</f>
        <v>#N/A</v>
      </c>
      <c r="BA27" s="599" t="e">
        <f t="shared" ref="BA27" si="37">AVERAGE(AY27:AY41)</f>
        <v>#DIV/0!</v>
      </c>
    </row>
    <row r="28" spans="2:53">
      <c r="B28" s="610"/>
      <c r="C28" s="317">
        <v>2</v>
      </c>
      <c r="D28" s="226" t="s">
        <v>823</v>
      </c>
      <c r="E28" s="182">
        <v>15</v>
      </c>
      <c r="F28" s="511">
        <v>1500</v>
      </c>
      <c r="G28" s="512">
        <v>100</v>
      </c>
      <c r="H28" s="668"/>
      <c r="I28" s="513">
        <f t="shared" si="19"/>
        <v>13</v>
      </c>
      <c r="J28" s="513">
        <f t="shared" si="20"/>
        <v>1505.6034632034623</v>
      </c>
      <c r="K28" s="200">
        <f t="shared" si="21"/>
        <v>115.81565101565094</v>
      </c>
      <c r="L28" s="621"/>
      <c r="M28" s="201">
        <f>RANK(K28, K$27:$K$41)</f>
        <v>1</v>
      </c>
      <c r="N28" s="604"/>
      <c r="O28" s="604"/>
      <c r="P28" s="526">
        <v>13</v>
      </c>
      <c r="Q28" s="530">
        <v>1490.399999999998</v>
      </c>
      <c r="R28" s="530">
        <v>114.64615384615369</v>
      </c>
      <c r="S28" s="526">
        <f t="shared" si="22"/>
        <v>1</v>
      </c>
      <c r="T28" s="600"/>
      <c r="U28" s="526">
        <v>13</v>
      </c>
      <c r="V28" s="530">
        <v>1460.7272727272737</v>
      </c>
      <c r="W28" s="530">
        <v>112.36363636363643</v>
      </c>
      <c r="X28" s="526">
        <f t="shared" si="24"/>
        <v>1</v>
      </c>
      <c r="Y28" s="600"/>
      <c r="Z28" s="526">
        <v>13</v>
      </c>
      <c r="AA28" s="530">
        <v>1546.9090909090899</v>
      </c>
      <c r="AB28" s="530">
        <v>118.99300699300692</v>
      </c>
      <c r="AC28" s="526">
        <f t="shared" si="26"/>
        <v>2</v>
      </c>
      <c r="AD28" s="600"/>
      <c r="AE28" s="526">
        <v>13</v>
      </c>
      <c r="AF28" s="530">
        <v>1429.3333333333335</v>
      </c>
      <c r="AG28" s="530">
        <v>109.94871794871796</v>
      </c>
      <c r="AH28" s="526">
        <f t="shared" si="28"/>
        <v>1</v>
      </c>
      <c r="AI28" s="600"/>
      <c r="AJ28" s="526">
        <v>13</v>
      </c>
      <c r="AK28" s="530">
        <v>1550.399999999998</v>
      </c>
      <c r="AL28" s="530">
        <v>119.26153846153831</v>
      </c>
      <c r="AM28" s="526">
        <f t="shared" si="30"/>
        <v>1</v>
      </c>
      <c r="AN28" s="600"/>
      <c r="AO28" s="526">
        <v>13</v>
      </c>
      <c r="AP28" s="530">
        <v>1520</v>
      </c>
      <c r="AQ28" s="530">
        <v>116.92307692307692</v>
      </c>
      <c r="AR28" s="526">
        <f t="shared" si="32"/>
        <v>1</v>
      </c>
      <c r="AS28" s="600"/>
      <c r="AT28" s="526">
        <v>13</v>
      </c>
      <c r="AU28" s="530">
        <v>1541.4545454545419</v>
      </c>
      <c r="AV28" s="530">
        <v>118.5734265734263</v>
      </c>
      <c r="AW28" s="526">
        <f t="shared" si="34"/>
        <v>1</v>
      </c>
      <c r="AX28" s="600"/>
      <c r="AZ28" s="521" t="e">
        <f t="shared" si="36"/>
        <v>#N/A</v>
      </c>
      <c r="BA28" s="600"/>
    </row>
    <row r="29" spans="2:53">
      <c r="B29" s="610"/>
      <c r="C29" s="317">
        <v>3</v>
      </c>
      <c r="D29" s="226"/>
      <c r="E29" s="182"/>
      <c r="F29" s="511"/>
      <c r="G29" s="512"/>
      <c r="H29" s="668"/>
      <c r="I29" s="513" t="str">
        <f t="shared" si="19"/>
        <v>-</v>
      </c>
      <c r="J29" s="513" t="str">
        <f t="shared" si="20"/>
        <v>-</v>
      </c>
      <c r="K29" s="200" t="str">
        <f t="shared" si="21"/>
        <v>-</v>
      </c>
      <c r="L29" s="621"/>
      <c r="M29" s="201" t="e">
        <f>RANK(K29, K$27:$K$41)</f>
        <v>#VALUE!</v>
      </c>
      <c r="N29" s="604"/>
      <c r="O29" s="604"/>
      <c r="P29" s="526" t="s">
        <v>822</v>
      </c>
      <c r="Q29" s="530" t="s">
        <v>822</v>
      </c>
      <c r="R29" s="530" t="s">
        <v>822</v>
      </c>
      <c r="S29" s="526" t="e">
        <f t="shared" si="22"/>
        <v>#VALUE!</v>
      </c>
      <c r="T29" s="600"/>
      <c r="U29" s="526"/>
      <c r="V29" s="526"/>
      <c r="W29" s="526"/>
      <c r="X29" s="526" t="e">
        <f t="shared" si="24"/>
        <v>#N/A</v>
      </c>
      <c r="Y29" s="600"/>
      <c r="Z29" s="526"/>
      <c r="AA29" s="526"/>
      <c r="AB29" s="526"/>
      <c r="AC29" s="526" t="e">
        <f t="shared" si="26"/>
        <v>#N/A</v>
      </c>
      <c r="AD29" s="600"/>
      <c r="AE29" s="526"/>
      <c r="AF29" s="526"/>
      <c r="AG29" s="526"/>
      <c r="AH29" s="526" t="e">
        <f t="shared" si="28"/>
        <v>#N/A</v>
      </c>
      <c r="AI29" s="600"/>
      <c r="AJ29" s="526"/>
      <c r="AK29" s="526"/>
      <c r="AL29" s="526"/>
      <c r="AM29" s="526" t="e">
        <f t="shared" si="30"/>
        <v>#N/A</v>
      </c>
      <c r="AN29" s="600"/>
      <c r="AO29" s="526"/>
      <c r="AP29" s="526"/>
      <c r="AQ29" s="526"/>
      <c r="AR29" s="526" t="e">
        <f t="shared" si="32"/>
        <v>#N/A</v>
      </c>
      <c r="AS29" s="600"/>
      <c r="AT29" s="526"/>
      <c r="AU29" s="526"/>
      <c r="AV29" s="526"/>
      <c r="AW29" s="526" t="e">
        <f t="shared" si="34"/>
        <v>#N/A</v>
      </c>
      <c r="AX29" s="600"/>
      <c r="AZ29" s="521" t="e">
        <f t="shared" si="36"/>
        <v>#N/A</v>
      </c>
      <c r="BA29" s="600"/>
    </row>
    <row r="30" spans="2:53">
      <c r="B30" s="610"/>
      <c r="C30" s="317">
        <v>4</v>
      </c>
      <c r="D30" s="226"/>
      <c r="E30" s="182"/>
      <c r="F30" s="511"/>
      <c r="G30" s="512"/>
      <c r="H30" s="668"/>
      <c r="I30" s="513" t="str">
        <f t="shared" si="19"/>
        <v>-</v>
      </c>
      <c r="J30" s="513" t="str">
        <f t="shared" si="20"/>
        <v>-</v>
      </c>
      <c r="K30" s="200" t="str">
        <f t="shared" si="21"/>
        <v>-</v>
      </c>
      <c r="L30" s="621"/>
      <c r="M30" s="201" t="e">
        <f>RANK(K30, K$27:$K$41)</f>
        <v>#VALUE!</v>
      </c>
      <c r="N30" s="604"/>
      <c r="O30" s="604"/>
      <c r="P30" s="526" t="s">
        <v>822</v>
      </c>
      <c r="Q30" s="530" t="s">
        <v>822</v>
      </c>
      <c r="R30" s="530" t="s">
        <v>822</v>
      </c>
      <c r="S30" s="526" t="e">
        <f t="shared" si="22"/>
        <v>#VALUE!</v>
      </c>
      <c r="T30" s="600"/>
      <c r="U30" s="526"/>
      <c r="V30" s="526"/>
      <c r="W30" s="526"/>
      <c r="X30" s="526" t="e">
        <f t="shared" si="24"/>
        <v>#N/A</v>
      </c>
      <c r="Y30" s="600"/>
      <c r="Z30" s="526"/>
      <c r="AA30" s="526"/>
      <c r="AB30" s="526"/>
      <c r="AC30" s="526" t="e">
        <f t="shared" si="26"/>
        <v>#N/A</v>
      </c>
      <c r="AD30" s="600"/>
      <c r="AE30" s="526"/>
      <c r="AF30" s="526"/>
      <c r="AG30" s="526"/>
      <c r="AH30" s="526" t="e">
        <f t="shared" si="28"/>
        <v>#N/A</v>
      </c>
      <c r="AI30" s="600"/>
      <c r="AJ30" s="526"/>
      <c r="AK30" s="526"/>
      <c r="AL30" s="526"/>
      <c r="AM30" s="526" t="e">
        <f t="shared" si="30"/>
        <v>#N/A</v>
      </c>
      <c r="AN30" s="600"/>
      <c r="AO30" s="526"/>
      <c r="AP30" s="526"/>
      <c r="AQ30" s="526"/>
      <c r="AR30" s="526" t="e">
        <f t="shared" si="32"/>
        <v>#N/A</v>
      </c>
      <c r="AS30" s="600"/>
      <c r="AT30" s="526"/>
      <c r="AU30" s="526"/>
      <c r="AV30" s="526"/>
      <c r="AW30" s="526" t="e">
        <f t="shared" si="34"/>
        <v>#N/A</v>
      </c>
      <c r="AX30" s="600"/>
      <c r="AZ30" s="521" t="e">
        <f t="shared" si="36"/>
        <v>#N/A</v>
      </c>
      <c r="BA30" s="600"/>
    </row>
    <row r="31" spans="2:53">
      <c r="B31" s="610"/>
      <c r="C31" s="317">
        <v>5</v>
      </c>
      <c r="D31" s="226"/>
      <c r="E31" s="182"/>
      <c r="F31" s="511"/>
      <c r="G31" s="512"/>
      <c r="H31" s="668"/>
      <c r="I31" s="513" t="str">
        <f t="shared" si="19"/>
        <v>-</v>
      </c>
      <c r="J31" s="513" t="str">
        <f t="shared" si="20"/>
        <v>-</v>
      </c>
      <c r="K31" s="200" t="str">
        <f t="shared" si="21"/>
        <v>-</v>
      </c>
      <c r="L31" s="621"/>
      <c r="M31" s="201" t="e">
        <f>RANK(K31, K$27:$K$41)</f>
        <v>#VALUE!</v>
      </c>
      <c r="N31" s="604"/>
      <c r="O31" s="604"/>
      <c r="P31" s="526" t="s">
        <v>822</v>
      </c>
      <c r="Q31" s="530" t="s">
        <v>822</v>
      </c>
      <c r="R31" s="530" t="s">
        <v>822</v>
      </c>
      <c r="S31" s="526" t="e">
        <f t="shared" si="22"/>
        <v>#VALUE!</v>
      </c>
      <c r="T31" s="600"/>
      <c r="U31" s="526"/>
      <c r="V31" s="526"/>
      <c r="W31" s="526"/>
      <c r="X31" s="526" t="e">
        <f t="shared" si="24"/>
        <v>#N/A</v>
      </c>
      <c r="Y31" s="600"/>
      <c r="Z31" s="526"/>
      <c r="AA31" s="526"/>
      <c r="AB31" s="526"/>
      <c r="AC31" s="526" t="e">
        <f t="shared" si="26"/>
        <v>#N/A</v>
      </c>
      <c r="AD31" s="600"/>
      <c r="AE31" s="526"/>
      <c r="AF31" s="526"/>
      <c r="AG31" s="526"/>
      <c r="AH31" s="526" t="e">
        <f t="shared" si="28"/>
        <v>#N/A</v>
      </c>
      <c r="AI31" s="600"/>
      <c r="AJ31" s="526"/>
      <c r="AK31" s="526"/>
      <c r="AL31" s="526"/>
      <c r="AM31" s="526" t="e">
        <f t="shared" si="30"/>
        <v>#N/A</v>
      </c>
      <c r="AN31" s="600"/>
      <c r="AO31" s="526"/>
      <c r="AP31" s="526"/>
      <c r="AQ31" s="526"/>
      <c r="AR31" s="526" t="e">
        <f t="shared" si="32"/>
        <v>#N/A</v>
      </c>
      <c r="AS31" s="600"/>
      <c r="AT31" s="526"/>
      <c r="AU31" s="526"/>
      <c r="AV31" s="526"/>
      <c r="AW31" s="526" t="e">
        <f t="shared" si="34"/>
        <v>#N/A</v>
      </c>
      <c r="AX31" s="600"/>
      <c r="AZ31" s="521" t="e">
        <f t="shared" si="36"/>
        <v>#N/A</v>
      </c>
      <c r="BA31" s="600"/>
    </row>
    <row r="32" spans="2:53">
      <c r="B32" s="610"/>
      <c r="C32" s="317">
        <v>6</v>
      </c>
      <c r="D32" s="226"/>
      <c r="E32" s="182"/>
      <c r="F32" s="511"/>
      <c r="G32" s="512"/>
      <c r="H32" s="668"/>
      <c r="I32" s="513" t="str">
        <f t="shared" si="19"/>
        <v>-</v>
      </c>
      <c r="J32" s="513" t="str">
        <f t="shared" si="20"/>
        <v>-</v>
      </c>
      <c r="K32" s="200" t="str">
        <f t="shared" si="21"/>
        <v>-</v>
      </c>
      <c r="L32" s="621"/>
      <c r="M32" s="201" t="e">
        <f>RANK(K32, K$27:$K$41)</f>
        <v>#VALUE!</v>
      </c>
      <c r="N32" s="604"/>
      <c r="O32" s="604"/>
      <c r="P32" s="526" t="s">
        <v>822</v>
      </c>
      <c r="Q32" s="530" t="s">
        <v>822</v>
      </c>
      <c r="R32" s="530" t="s">
        <v>822</v>
      </c>
      <c r="S32" s="526" t="e">
        <f t="shared" si="22"/>
        <v>#VALUE!</v>
      </c>
      <c r="T32" s="600"/>
      <c r="U32" s="526"/>
      <c r="V32" s="526"/>
      <c r="W32" s="526"/>
      <c r="X32" s="526" t="e">
        <f t="shared" si="24"/>
        <v>#N/A</v>
      </c>
      <c r="Y32" s="600"/>
      <c r="Z32" s="526"/>
      <c r="AA32" s="526"/>
      <c r="AB32" s="526"/>
      <c r="AC32" s="526" t="e">
        <f t="shared" si="26"/>
        <v>#N/A</v>
      </c>
      <c r="AD32" s="600"/>
      <c r="AE32" s="526"/>
      <c r="AF32" s="526"/>
      <c r="AG32" s="526"/>
      <c r="AH32" s="526" t="e">
        <f t="shared" si="28"/>
        <v>#N/A</v>
      </c>
      <c r="AI32" s="600"/>
      <c r="AJ32" s="526"/>
      <c r="AK32" s="526"/>
      <c r="AL32" s="526"/>
      <c r="AM32" s="526" t="e">
        <f t="shared" si="30"/>
        <v>#N/A</v>
      </c>
      <c r="AN32" s="600"/>
      <c r="AO32" s="526"/>
      <c r="AP32" s="526"/>
      <c r="AQ32" s="526"/>
      <c r="AR32" s="526" t="e">
        <f t="shared" si="32"/>
        <v>#N/A</v>
      </c>
      <c r="AS32" s="600"/>
      <c r="AT32" s="526"/>
      <c r="AU32" s="526"/>
      <c r="AV32" s="526"/>
      <c r="AW32" s="526" t="e">
        <f t="shared" si="34"/>
        <v>#N/A</v>
      </c>
      <c r="AX32" s="600"/>
      <c r="AZ32" s="521" t="e">
        <f t="shared" si="36"/>
        <v>#N/A</v>
      </c>
      <c r="BA32" s="600"/>
    </row>
    <row r="33" spans="2:53">
      <c r="B33" s="610"/>
      <c r="C33" s="317">
        <v>7</v>
      </c>
      <c r="D33" s="226"/>
      <c r="E33" s="182"/>
      <c r="F33" s="511"/>
      <c r="G33" s="512"/>
      <c r="H33" s="668"/>
      <c r="I33" s="513" t="str">
        <f t="shared" si="19"/>
        <v>-</v>
      </c>
      <c r="J33" s="513" t="str">
        <f t="shared" si="20"/>
        <v>-</v>
      </c>
      <c r="K33" s="200" t="str">
        <f t="shared" si="21"/>
        <v>-</v>
      </c>
      <c r="L33" s="621"/>
      <c r="M33" s="201" t="e">
        <f>RANK(K33, K$27:$K$41)</f>
        <v>#VALUE!</v>
      </c>
      <c r="N33" s="604"/>
      <c r="O33" s="604"/>
      <c r="P33" s="526" t="s">
        <v>822</v>
      </c>
      <c r="Q33" s="530" t="s">
        <v>822</v>
      </c>
      <c r="R33" s="530" t="s">
        <v>822</v>
      </c>
      <c r="S33" s="526" t="e">
        <f t="shared" si="22"/>
        <v>#VALUE!</v>
      </c>
      <c r="T33" s="600"/>
      <c r="U33" s="526"/>
      <c r="V33" s="526"/>
      <c r="W33" s="526"/>
      <c r="X33" s="526" t="e">
        <f t="shared" si="24"/>
        <v>#N/A</v>
      </c>
      <c r="Y33" s="600"/>
      <c r="Z33" s="526"/>
      <c r="AA33" s="526"/>
      <c r="AB33" s="526"/>
      <c r="AC33" s="526" t="e">
        <f t="shared" si="26"/>
        <v>#N/A</v>
      </c>
      <c r="AD33" s="600"/>
      <c r="AE33" s="526"/>
      <c r="AF33" s="526"/>
      <c r="AG33" s="526"/>
      <c r="AH33" s="526" t="e">
        <f t="shared" si="28"/>
        <v>#N/A</v>
      </c>
      <c r="AI33" s="600"/>
      <c r="AJ33" s="526"/>
      <c r="AK33" s="526"/>
      <c r="AL33" s="526"/>
      <c r="AM33" s="526" t="e">
        <f t="shared" si="30"/>
        <v>#N/A</v>
      </c>
      <c r="AN33" s="600"/>
      <c r="AO33" s="526"/>
      <c r="AP33" s="526"/>
      <c r="AQ33" s="526"/>
      <c r="AR33" s="526" t="e">
        <f t="shared" si="32"/>
        <v>#N/A</v>
      </c>
      <c r="AS33" s="600"/>
      <c r="AT33" s="526"/>
      <c r="AU33" s="526"/>
      <c r="AV33" s="526"/>
      <c r="AW33" s="526" t="e">
        <f t="shared" si="34"/>
        <v>#N/A</v>
      </c>
      <c r="AX33" s="600"/>
      <c r="AZ33" s="521" t="e">
        <f t="shared" si="36"/>
        <v>#N/A</v>
      </c>
      <c r="BA33" s="600"/>
    </row>
    <row r="34" spans="2:53">
      <c r="B34" s="610"/>
      <c r="C34" s="317">
        <v>8</v>
      </c>
      <c r="D34" s="226"/>
      <c r="E34" s="182"/>
      <c r="F34" s="511"/>
      <c r="G34" s="512"/>
      <c r="H34" s="668"/>
      <c r="I34" s="513" t="str">
        <f t="shared" si="19"/>
        <v>-</v>
      </c>
      <c r="J34" s="513" t="str">
        <f t="shared" si="20"/>
        <v>-</v>
      </c>
      <c r="K34" s="200" t="str">
        <f t="shared" si="21"/>
        <v>-</v>
      </c>
      <c r="L34" s="621"/>
      <c r="M34" s="201" t="e">
        <f>RANK(K34, K$27:$K$41)</f>
        <v>#VALUE!</v>
      </c>
      <c r="N34" s="604"/>
      <c r="O34" s="604"/>
      <c r="P34" s="526" t="s">
        <v>822</v>
      </c>
      <c r="Q34" s="530" t="s">
        <v>822</v>
      </c>
      <c r="R34" s="530" t="s">
        <v>822</v>
      </c>
      <c r="S34" s="526" t="e">
        <f t="shared" si="22"/>
        <v>#VALUE!</v>
      </c>
      <c r="T34" s="600"/>
      <c r="U34" s="526"/>
      <c r="V34" s="526"/>
      <c r="W34" s="526"/>
      <c r="X34" s="526" t="e">
        <f t="shared" si="24"/>
        <v>#N/A</v>
      </c>
      <c r="Y34" s="600"/>
      <c r="Z34" s="526"/>
      <c r="AA34" s="526"/>
      <c r="AB34" s="526"/>
      <c r="AC34" s="526" t="e">
        <f t="shared" si="26"/>
        <v>#N/A</v>
      </c>
      <c r="AD34" s="600"/>
      <c r="AE34" s="526"/>
      <c r="AF34" s="526"/>
      <c r="AG34" s="526"/>
      <c r="AH34" s="526" t="e">
        <f t="shared" si="28"/>
        <v>#N/A</v>
      </c>
      <c r="AI34" s="600"/>
      <c r="AJ34" s="526"/>
      <c r="AK34" s="526"/>
      <c r="AL34" s="526"/>
      <c r="AM34" s="526" t="e">
        <f t="shared" si="30"/>
        <v>#N/A</v>
      </c>
      <c r="AN34" s="600"/>
      <c r="AO34" s="526"/>
      <c r="AP34" s="526"/>
      <c r="AQ34" s="526"/>
      <c r="AR34" s="526" t="e">
        <f t="shared" si="32"/>
        <v>#N/A</v>
      </c>
      <c r="AS34" s="600"/>
      <c r="AT34" s="526"/>
      <c r="AU34" s="526"/>
      <c r="AV34" s="526"/>
      <c r="AW34" s="526" t="e">
        <f t="shared" si="34"/>
        <v>#N/A</v>
      </c>
      <c r="AX34" s="600"/>
      <c r="AZ34" s="521" t="e">
        <f t="shared" si="36"/>
        <v>#N/A</v>
      </c>
      <c r="BA34" s="600"/>
    </row>
    <row r="35" spans="2:53">
      <c r="B35" s="610"/>
      <c r="C35" s="317">
        <v>9</v>
      </c>
      <c r="D35" s="226"/>
      <c r="E35" s="182"/>
      <c r="F35" s="511"/>
      <c r="G35" s="512"/>
      <c r="H35" s="668"/>
      <c r="I35" s="513" t="str">
        <f t="shared" si="19"/>
        <v>-</v>
      </c>
      <c r="J35" s="513" t="str">
        <f t="shared" si="20"/>
        <v>-</v>
      </c>
      <c r="K35" s="200" t="str">
        <f t="shared" si="21"/>
        <v>-</v>
      </c>
      <c r="L35" s="621"/>
      <c r="M35" s="201" t="e">
        <f>RANK(K35, K$27:$K$41)</f>
        <v>#VALUE!</v>
      </c>
      <c r="N35" s="604"/>
      <c r="O35" s="604"/>
      <c r="P35" s="526" t="s">
        <v>822</v>
      </c>
      <c r="Q35" s="530" t="s">
        <v>822</v>
      </c>
      <c r="R35" s="530" t="s">
        <v>822</v>
      </c>
      <c r="S35" s="526" t="e">
        <f t="shared" si="22"/>
        <v>#VALUE!</v>
      </c>
      <c r="T35" s="600"/>
      <c r="U35" s="526"/>
      <c r="V35" s="526"/>
      <c r="W35" s="526"/>
      <c r="X35" s="526" t="e">
        <f t="shared" si="24"/>
        <v>#N/A</v>
      </c>
      <c r="Y35" s="600"/>
      <c r="Z35" s="526"/>
      <c r="AA35" s="526"/>
      <c r="AB35" s="526"/>
      <c r="AC35" s="526" t="e">
        <f t="shared" si="26"/>
        <v>#N/A</v>
      </c>
      <c r="AD35" s="600"/>
      <c r="AE35" s="526"/>
      <c r="AF35" s="526"/>
      <c r="AG35" s="526"/>
      <c r="AH35" s="526" t="e">
        <f t="shared" si="28"/>
        <v>#N/A</v>
      </c>
      <c r="AI35" s="600"/>
      <c r="AJ35" s="526"/>
      <c r="AK35" s="526"/>
      <c r="AL35" s="526"/>
      <c r="AM35" s="526" t="e">
        <f t="shared" si="30"/>
        <v>#N/A</v>
      </c>
      <c r="AN35" s="600"/>
      <c r="AO35" s="526"/>
      <c r="AP35" s="526"/>
      <c r="AQ35" s="526"/>
      <c r="AR35" s="526" t="e">
        <f t="shared" si="32"/>
        <v>#N/A</v>
      </c>
      <c r="AS35" s="600"/>
      <c r="AT35" s="526"/>
      <c r="AU35" s="526"/>
      <c r="AV35" s="526"/>
      <c r="AW35" s="526" t="e">
        <f t="shared" si="34"/>
        <v>#N/A</v>
      </c>
      <c r="AX35" s="600"/>
      <c r="AZ35" s="521" t="e">
        <f t="shared" si="36"/>
        <v>#N/A</v>
      </c>
      <c r="BA35" s="600"/>
    </row>
    <row r="36" spans="2:53">
      <c r="B36" s="610"/>
      <c r="C36" s="317">
        <v>10</v>
      </c>
      <c r="D36" s="226"/>
      <c r="E36" s="182"/>
      <c r="F36" s="511"/>
      <c r="G36" s="512"/>
      <c r="H36" s="668"/>
      <c r="I36" s="513" t="str">
        <f t="shared" si="19"/>
        <v>-</v>
      </c>
      <c r="J36" s="513" t="str">
        <f t="shared" si="20"/>
        <v>-</v>
      </c>
      <c r="K36" s="200" t="str">
        <f t="shared" si="21"/>
        <v>-</v>
      </c>
      <c r="L36" s="621"/>
      <c r="M36" s="201" t="e">
        <f>RANK(K36, K$27:$K$41)</f>
        <v>#VALUE!</v>
      </c>
      <c r="N36" s="604"/>
      <c r="O36" s="604"/>
      <c r="P36" s="526" t="s">
        <v>822</v>
      </c>
      <c r="Q36" s="530" t="s">
        <v>822</v>
      </c>
      <c r="R36" s="530" t="s">
        <v>822</v>
      </c>
      <c r="S36" s="526" t="e">
        <f t="shared" si="22"/>
        <v>#VALUE!</v>
      </c>
      <c r="T36" s="600"/>
      <c r="U36" s="526"/>
      <c r="V36" s="526"/>
      <c r="W36" s="526"/>
      <c r="X36" s="526" t="e">
        <f t="shared" si="24"/>
        <v>#N/A</v>
      </c>
      <c r="Y36" s="600"/>
      <c r="Z36" s="526"/>
      <c r="AA36" s="526"/>
      <c r="AB36" s="526"/>
      <c r="AC36" s="526" t="e">
        <f t="shared" si="26"/>
        <v>#N/A</v>
      </c>
      <c r="AD36" s="600"/>
      <c r="AE36" s="526"/>
      <c r="AF36" s="526"/>
      <c r="AG36" s="526"/>
      <c r="AH36" s="526" t="e">
        <f t="shared" si="28"/>
        <v>#N/A</v>
      </c>
      <c r="AI36" s="600"/>
      <c r="AJ36" s="526"/>
      <c r="AK36" s="526"/>
      <c r="AL36" s="526"/>
      <c r="AM36" s="526" t="e">
        <f t="shared" si="30"/>
        <v>#N/A</v>
      </c>
      <c r="AN36" s="600"/>
      <c r="AO36" s="526"/>
      <c r="AP36" s="526"/>
      <c r="AQ36" s="526"/>
      <c r="AR36" s="526" t="e">
        <f t="shared" si="32"/>
        <v>#N/A</v>
      </c>
      <c r="AS36" s="600"/>
      <c r="AT36" s="526"/>
      <c r="AU36" s="526"/>
      <c r="AV36" s="526"/>
      <c r="AW36" s="526" t="e">
        <f t="shared" si="34"/>
        <v>#N/A</v>
      </c>
      <c r="AX36" s="600"/>
      <c r="AZ36" s="521" t="e">
        <f t="shared" si="36"/>
        <v>#N/A</v>
      </c>
      <c r="BA36" s="600"/>
    </row>
    <row r="37" spans="2:53">
      <c r="B37" s="610"/>
      <c r="C37" s="317">
        <v>11</v>
      </c>
      <c r="D37" s="226"/>
      <c r="E37" s="182"/>
      <c r="F37" s="511"/>
      <c r="G37" s="512"/>
      <c r="H37" s="668"/>
      <c r="I37" s="513" t="str">
        <f t="shared" si="19"/>
        <v>-</v>
      </c>
      <c r="J37" s="513" t="str">
        <f t="shared" si="20"/>
        <v>-</v>
      </c>
      <c r="K37" s="200" t="str">
        <f t="shared" si="21"/>
        <v>-</v>
      </c>
      <c r="L37" s="621"/>
      <c r="M37" s="201" t="e">
        <f>RANK(K37, K$27:$K$41)</f>
        <v>#VALUE!</v>
      </c>
      <c r="N37" s="604"/>
      <c r="O37" s="604"/>
      <c r="P37" s="526" t="s">
        <v>822</v>
      </c>
      <c r="Q37" s="530" t="s">
        <v>822</v>
      </c>
      <c r="R37" s="530" t="s">
        <v>822</v>
      </c>
      <c r="S37" s="526" t="e">
        <f t="shared" si="22"/>
        <v>#VALUE!</v>
      </c>
      <c r="T37" s="600"/>
      <c r="U37" s="526"/>
      <c r="V37" s="526"/>
      <c r="W37" s="526"/>
      <c r="X37" s="526" t="e">
        <f t="shared" si="24"/>
        <v>#N/A</v>
      </c>
      <c r="Y37" s="600"/>
      <c r="Z37" s="526"/>
      <c r="AA37" s="526"/>
      <c r="AB37" s="526"/>
      <c r="AC37" s="526" t="e">
        <f t="shared" si="26"/>
        <v>#N/A</v>
      </c>
      <c r="AD37" s="600"/>
      <c r="AE37" s="526"/>
      <c r="AF37" s="526"/>
      <c r="AG37" s="526"/>
      <c r="AH37" s="526" t="e">
        <f t="shared" si="28"/>
        <v>#N/A</v>
      </c>
      <c r="AI37" s="600"/>
      <c r="AJ37" s="526"/>
      <c r="AK37" s="526"/>
      <c r="AL37" s="526"/>
      <c r="AM37" s="526" t="e">
        <f t="shared" si="30"/>
        <v>#N/A</v>
      </c>
      <c r="AN37" s="600"/>
      <c r="AO37" s="526"/>
      <c r="AP37" s="526"/>
      <c r="AQ37" s="526"/>
      <c r="AR37" s="526" t="e">
        <f t="shared" si="32"/>
        <v>#N/A</v>
      </c>
      <c r="AS37" s="600"/>
      <c r="AT37" s="526"/>
      <c r="AU37" s="526"/>
      <c r="AV37" s="526"/>
      <c r="AW37" s="526" t="e">
        <f t="shared" si="34"/>
        <v>#N/A</v>
      </c>
      <c r="AX37" s="600"/>
      <c r="AZ37" s="521" t="e">
        <f t="shared" si="36"/>
        <v>#N/A</v>
      </c>
      <c r="BA37" s="600"/>
    </row>
    <row r="38" spans="2:53">
      <c r="B38" s="610"/>
      <c r="C38" s="317">
        <v>12</v>
      </c>
      <c r="D38" s="226"/>
      <c r="E38" s="182"/>
      <c r="F38" s="511"/>
      <c r="G38" s="512"/>
      <c r="H38" s="668"/>
      <c r="I38" s="513" t="str">
        <f t="shared" si="19"/>
        <v>-</v>
      </c>
      <c r="J38" s="513" t="str">
        <f t="shared" si="20"/>
        <v>-</v>
      </c>
      <c r="K38" s="200" t="str">
        <f t="shared" si="21"/>
        <v>-</v>
      </c>
      <c r="L38" s="621"/>
      <c r="M38" s="201" t="e">
        <f>RANK(K38, K$27:$K$41)</f>
        <v>#VALUE!</v>
      </c>
      <c r="N38" s="604"/>
      <c r="O38" s="604"/>
      <c r="P38" s="526" t="s">
        <v>822</v>
      </c>
      <c r="Q38" s="530" t="s">
        <v>822</v>
      </c>
      <c r="R38" s="530" t="s">
        <v>822</v>
      </c>
      <c r="S38" s="526" t="e">
        <f t="shared" si="22"/>
        <v>#VALUE!</v>
      </c>
      <c r="T38" s="600"/>
      <c r="U38" s="526"/>
      <c r="V38" s="526"/>
      <c r="W38" s="526"/>
      <c r="X38" s="526" t="e">
        <f t="shared" si="24"/>
        <v>#N/A</v>
      </c>
      <c r="Y38" s="600"/>
      <c r="Z38" s="526"/>
      <c r="AA38" s="526"/>
      <c r="AB38" s="526"/>
      <c r="AC38" s="526" t="e">
        <f t="shared" si="26"/>
        <v>#N/A</v>
      </c>
      <c r="AD38" s="600"/>
      <c r="AE38" s="526"/>
      <c r="AF38" s="526"/>
      <c r="AG38" s="526"/>
      <c r="AH38" s="526" t="e">
        <f t="shared" si="28"/>
        <v>#N/A</v>
      </c>
      <c r="AI38" s="600"/>
      <c r="AJ38" s="526"/>
      <c r="AK38" s="526"/>
      <c r="AL38" s="526"/>
      <c r="AM38" s="526" t="e">
        <f t="shared" si="30"/>
        <v>#N/A</v>
      </c>
      <c r="AN38" s="600"/>
      <c r="AO38" s="526"/>
      <c r="AP38" s="526"/>
      <c r="AQ38" s="526"/>
      <c r="AR38" s="526" t="e">
        <f t="shared" si="32"/>
        <v>#N/A</v>
      </c>
      <c r="AS38" s="600"/>
      <c r="AT38" s="526"/>
      <c r="AU38" s="526"/>
      <c r="AV38" s="526"/>
      <c r="AW38" s="526" t="e">
        <f t="shared" si="34"/>
        <v>#N/A</v>
      </c>
      <c r="AX38" s="600"/>
      <c r="AZ38" s="521" t="e">
        <f t="shared" si="36"/>
        <v>#N/A</v>
      </c>
      <c r="BA38" s="600"/>
    </row>
    <row r="39" spans="2:53">
      <c r="B39" s="610"/>
      <c r="C39" s="317">
        <v>13</v>
      </c>
      <c r="D39" s="226"/>
      <c r="E39" s="182"/>
      <c r="F39" s="511"/>
      <c r="G39" s="512"/>
      <c r="H39" s="668"/>
      <c r="I39" s="513" t="str">
        <f t="shared" si="19"/>
        <v>-</v>
      </c>
      <c r="J39" s="513" t="str">
        <f t="shared" si="20"/>
        <v>-</v>
      </c>
      <c r="K39" s="200" t="str">
        <f t="shared" si="21"/>
        <v>-</v>
      </c>
      <c r="L39" s="621"/>
      <c r="M39" s="201" t="e">
        <f>RANK(K39, K$27:$K$41)</f>
        <v>#VALUE!</v>
      </c>
      <c r="N39" s="604"/>
      <c r="O39" s="604"/>
      <c r="P39" s="526" t="s">
        <v>822</v>
      </c>
      <c r="Q39" s="530" t="s">
        <v>822</v>
      </c>
      <c r="R39" s="530" t="s">
        <v>822</v>
      </c>
      <c r="S39" s="526" t="e">
        <f t="shared" si="22"/>
        <v>#VALUE!</v>
      </c>
      <c r="T39" s="600"/>
      <c r="U39" s="526"/>
      <c r="V39" s="526"/>
      <c r="W39" s="526"/>
      <c r="X39" s="526" t="e">
        <f t="shared" si="24"/>
        <v>#N/A</v>
      </c>
      <c r="Y39" s="600"/>
      <c r="Z39" s="526"/>
      <c r="AA39" s="526"/>
      <c r="AB39" s="526"/>
      <c r="AC39" s="526" t="e">
        <f t="shared" si="26"/>
        <v>#N/A</v>
      </c>
      <c r="AD39" s="600"/>
      <c r="AE39" s="526"/>
      <c r="AF39" s="526"/>
      <c r="AG39" s="526"/>
      <c r="AH39" s="526" t="e">
        <f t="shared" si="28"/>
        <v>#N/A</v>
      </c>
      <c r="AI39" s="600"/>
      <c r="AJ39" s="526"/>
      <c r="AK39" s="526"/>
      <c r="AL39" s="526"/>
      <c r="AM39" s="526" t="e">
        <f t="shared" si="30"/>
        <v>#N/A</v>
      </c>
      <c r="AN39" s="600"/>
      <c r="AO39" s="526"/>
      <c r="AP39" s="526"/>
      <c r="AQ39" s="526"/>
      <c r="AR39" s="526" t="e">
        <f t="shared" si="32"/>
        <v>#N/A</v>
      </c>
      <c r="AS39" s="600"/>
      <c r="AT39" s="526"/>
      <c r="AU39" s="526"/>
      <c r="AV39" s="526"/>
      <c r="AW39" s="526" t="e">
        <f t="shared" si="34"/>
        <v>#N/A</v>
      </c>
      <c r="AX39" s="600"/>
      <c r="AZ39" s="521" t="e">
        <f t="shared" si="36"/>
        <v>#N/A</v>
      </c>
      <c r="BA39" s="600"/>
    </row>
    <row r="40" spans="2:53">
      <c r="B40" s="610"/>
      <c r="C40" s="317">
        <v>14</v>
      </c>
      <c r="D40" s="226"/>
      <c r="E40" s="182"/>
      <c r="F40" s="511"/>
      <c r="G40" s="512"/>
      <c r="H40" s="668"/>
      <c r="I40" s="513" t="str">
        <f t="shared" si="19"/>
        <v>-</v>
      </c>
      <c r="J40" s="513" t="str">
        <f t="shared" si="20"/>
        <v>-</v>
      </c>
      <c r="K40" s="200" t="str">
        <f t="shared" si="21"/>
        <v>-</v>
      </c>
      <c r="L40" s="621"/>
      <c r="M40" s="201" t="e">
        <f>RANK(K40, K$27:$K$41)</f>
        <v>#VALUE!</v>
      </c>
      <c r="N40" s="604"/>
      <c r="O40" s="604"/>
      <c r="P40" s="526" t="s">
        <v>822</v>
      </c>
      <c r="Q40" s="530" t="s">
        <v>822</v>
      </c>
      <c r="R40" s="530" t="s">
        <v>822</v>
      </c>
      <c r="S40" s="526" t="e">
        <f t="shared" si="22"/>
        <v>#VALUE!</v>
      </c>
      <c r="T40" s="600"/>
      <c r="U40" s="526"/>
      <c r="V40" s="526"/>
      <c r="W40" s="526"/>
      <c r="X40" s="526" t="e">
        <f t="shared" si="24"/>
        <v>#N/A</v>
      </c>
      <c r="Y40" s="600"/>
      <c r="Z40" s="526"/>
      <c r="AA40" s="526"/>
      <c r="AB40" s="526"/>
      <c r="AC40" s="526" t="e">
        <f t="shared" si="26"/>
        <v>#N/A</v>
      </c>
      <c r="AD40" s="600"/>
      <c r="AE40" s="526"/>
      <c r="AF40" s="526"/>
      <c r="AG40" s="526"/>
      <c r="AH40" s="526" t="e">
        <f t="shared" si="28"/>
        <v>#N/A</v>
      </c>
      <c r="AI40" s="600"/>
      <c r="AJ40" s="526"/>
      <c r="AK40" s="526"/>
      <c r="AL40" s="526"/>
      <c r="AM40" s="526" t="e">
        <f t="shared" si="30"/>
        <v>#N/A</v>
      </c>
      <c r="AN40" s="600"/>
      <c r="AO40" s="526"/>
      <c r="AP40" s="526"/>
      <c r="AQ40" s="526"/>
      <c r="AR40" s="526" t="e">
        <f t="shared" si="32"/>
        <v>#N/A</v>
      </c>
      <c r="AS40" s="600"/>
      <c r="AT40" s="526"/>
      <c r="AU40" s="526"/>
      <c r="AV40" s="526"/>
      <c r="AW40" s="526" t="e">
        <f t="shared" si="34"/>
        <v>#N/A</v>
      </c>
      <c r="AX40" s="600"/>
      <c r="AZ40" s="521" t="e">
        <f t="shared" si="36"/>
        <v>#N/A</v>
      </c>
      <c r="BA40" s="600"/>
    </row>
    <row r="41" spans="2:53">
      <c r="B41" s="610"/>
      <c r="C41" s="317">
        <v>15</v>
      </c>
      <c r="D41" s="226"/>
      <c r="E41" s="182"/>
      <c r="F41" s="511"/>
      <c r="G41" s="512"/>
      <c r="H41" s="669"/>
      <c r="I41" s="202"/>
      <c r="J41" s="202"/>
      <c r="K41" s="202"/>
      <c r="L41" s="622"/>
      <c r="M41" s="199" t="e">
        <f>RANK(K41, K$27:$K$41)</f>
        <v>#N/A</v>
      </c>
      <c r="N41" s="604"/>
      <c r="O41" s="604"/>
      <c r="P41" s="526" t="s">
        <v>822</v>
      </c>
      <c r="Q41" s="530" t="s">
        <v>822</v>
      </c>
      <c r="R41" s="530" t="s">
        <v>822</v>
      </c>
      <c r="S41" s="526" t="e">
        <f t="shared" si="22"/>
        <v>#VALUE!</v>
      </c>
      <c r="T41" s="601"/>
      <c r="U41" s="526"/>
      <c r="V41" s="526"/>
      <c r="W41" s="526"/>
      <c r="X41" s="526" t="e">
        <f t="shared" si="24"/>
        <v>#N/A</v>
      </c>
      <c r="Y41" s="601"/>
      <c r="Z41" s="526"/>
      <c r="AA41" s="526"/>
      <c r="AB41" s="526"/>
      <c r="AC41" s="526" t="e">
        <f t="shared" si="26"/>
        <v>#N/A</v>
      </c>
      <c r="AD41" s="601"/>
      <c r="AE41" s="526"/>
      <c r="AF41" s="526"/>
      <c r="AG41" s="526"/>
      <c r="AH41" s="526" t="e">
        <f t="shared" si="28"/>
        <v>#N/A</v>
      </c>
      <c r="AI41" s="601"/>
      <c r="AJ41" s="526"/>
      <c r="AK41" s="526"/>
      <c r="AL41" s="526"/>
      <c r="AM41" s="526" t="e">
        <f t="shared" si="30"/>
        <v>#N/A</v>
      </c>
      <c r="AN41" s="601"/>
      <c r="AO41" s="526"/>
      <c r="AP41" s="526"/>
      <c r="AQ41" s="526"/>
      <c r="AR41" s="526" t="e">
        <f t="shared" si="32"/>
        <v>#N/A</v>
      </c>
      <c r="AS41" s="601"/>
      <c r="AT41" s="526"/>
      <c r="AU41" s="526"/>
      <c r="AV41" s="526"/>
      <c r="AW41" s="526" t="e">
        <f t="shared" si="34"/>
        <v>#N/A</v>
      </c>
      <c r="AX41" s="601"/>
      <c r="AZ41" s="521" t="e">
        <f t="shared" si="36"/>
        <v>#N/A</v>
      </c>
      <c r="BA41" s="601"/>
    </row>
    <row r="42" spans="2:53" ht="15.75">
      <c r="B42" s="648" t="s">
        <v>163</v>
      </c>
      <c r="C42" s="649"/>
      <c r="D42" s="649"/>
      <c r="E42" s="649"/>
      <c r="F42" s="649"/>
      <c r="G42" s="649"/>
      <c r="H42" s="649"/>
      <c r="I42" s="208"/>
      <c r="J42" s="203"/>
      <c r="K42" s="208"/>
      <c r="L42" s="208"/>
      <c r="M42" s="204"/>
      <c r="N42" s="606" t="s">
        <v>156</v>
      </c>
      <c r="O42" s="606" t="s">
        <v>105</v>
      </c>
      <c r="P42" s="632">
        <f>P22+7</f>
        <v>46126</v>
      </c>
      <c r="Q42" s="610"/>
      <c r="R42" s="610"/>
      <c r="S42" s="610"/>
      <c r="T42" s="610"/>
      <c r="U42" s="629">
        <f>P42+1</f>
        <v>46127</v>
      </c>
      <c r="V42" s="630"/>
      <c r="W42" s="630"/>
      <c r="X42" s="630"/>
      <c r="Y42" s="631"/>
      <c r="Z42" s="629">
        <f>U42+1</f>
        <v>46128</v>
      </c>
      <c r="AA42" s="630"/>
      <c r="AB42" s="630"/>
      <c r="AC42" s="630"/>
      <c r="AD42" s="631"/>
      <c r="AE42" s="629">
        <f>Z42+1</f>
        <v>46129</v>
      </c>
      <c r="AF42" s="630"/>
      <c r="AG42" s="630"/>
      <c r="AH42" s="630"/>
      <c r="AI42" s="631"/>
      <c r="AJ42" s="629">
        <f>AE42+1</f>
        <v>46130</v>
      </c>
      <c r="AK42" s="630"/>
      <c r="AL42" s="630"/>
      <c r="AM42" s="630"/>
      <c r="AN42" s="631"/>
      <c r="AO42" s="629">
        <f>AJ42+1</f>
        <v>46131</v>
      </c>
      <c r="AP42" s="630"/>
      <c r="AQ42" s="630"/>
      <c r="AR42" s="630"/>
      <c r="AS42" s="631"/>
      <c r="AT42" s="629">
        <f>AO42+1</f>
        <v>46132</v>
      </c>
      <c r="AU42" s="630"/>
      <c r="AV42" s="630"/>
      <c r="AW42" s="630"/>
      <c r="AX42" s="631"/>
    </row>
    <row r="43" spans="2:53" ht="15.75">
      <c r="B43" s="636"/>
      <c r="C43" s="636"/>
      <c r="D43" s="636"/>
      <c r="E43" s="636"/>
      <c r="F43" s="636"/>
      <c r="G43" s="636"/>
      <c r="H43" s="636"/>
      <c r="I43" s="205"/>
      <c r="J43" s="205"/>
      <c r="K43" s="205"/>
      <c r="L43" s="205"/>
      <c r="M43" s="206"/>
      <c r="N43" s="608"/>
      <c r="O43" s="608"/>
      <c r="P43" s="632" t="s">
        <v>336</v>
      </c>
      <c r="Q43" s="610"/>
      <c r="R43" s="610"/>
      <c r="S43" s="610"/>
      <c r="T43" s="610"/>
      <c r="U43" s="632" t="s">
        <v>337</v>
      </c>
      <c r="V43" s="610"/>
      <c r="W43" s="610"/>
      <c r="X43" s="610"/>
      <c r="Y43" s="610"/>
      <c r="Z43" s="632" t="s">
        <v>338</v>
      </c>
      <c r="AA43" s="610"/>
      <c r="AB43" s="610"/>
      <c r="AC43" s="610"/>
      <c r="AD43" s="610"/>
      <c r="AE43" s="632" t="s">
        <v>339</v>
      </c>
      <c r="AF43" s="610"/>
      <c r="AG43" s="610"/>
      <c r="AH43" s="610"/>
      <c r="AI43" s="610"/>
      <c r="AJ43" s="632" t="s">
        <v>340</v>
      </c>
      <c r="AK43" s="610"/>
      <c r="AL43" s="610"/>
      <c r="AM43" s="610"/>
      <c r="AN43" s="610"/>
      <c r="AO43" s="632" t="s">
        <v>341</v>
      </c>
      <c r="AP43" s="610"/>
      <c r="AQ43" s="610"/>
      <c r="AR43" s="610"/>
      <c r="AS43" s="610"/>
      <c r="AT43" s="632" t="s">
        <v>342</v>
      </c>
      <c r="AU43" s="610"/>
      <c r="AV43" s="610"/>
      <c r="AW43" s="610"/>
      <c r="AX43" s="610"/>
    </row>
    <row r="44" spans="2:53">
      <c r="B44" s="604" t="s">
        <v>530</v>
      </c>
      <c r="C44" s="604" t="s">
        <v>531</v>
      </c>
      <c r="D44" s="604"/>
      <c r="E44" s="604" t="s">
        <v>532</v>
      </c>
      <c r="F44" s="604"/>
      <c r="G44" s="604"/>
      <c r="H44" s="637" t="s">
        <v>533</v>
      </c>
      <c r="I44" s="656" t="s">
        <v>534</v>
      </c>
      <c r="J44" s="656"/>
      <c r="K44" s="656"/>
      <c r="L44" s="657" t="s">
        <v>533</v>
      </c>
      <c r="M44" s="642" t="s">
        <v>535</v>
      </c>
      <c r="N44" s="604"/>
      <c r="O44" s="604" t="s">
        <v>536</v>
      </c>
      <c r="P44" s="623" t="s">
        <v>537</v>
      </c>
      <c r="Q44" s="624"/>
      <c r="R44" s="624"/>
      <c r="S44" s="625"/>
      <c r="T44" s="604" t="s">
        <v>533</v>
      </c>
      <c r="U44" s="623" t="s">
        <v>537</v>
      </c>
      <c r="V44" s="624"/>
      <c r="W44" s="624"/>
      <c r="X44" s="625"/>
      <c r="Y44" s="604" t="s">
        <v>533</v>
      </c>
      <c r="Z44" s="623" t="s">
        <v>537</v>
      </c>
      <c r="AA44" s="624"/>
      <c r="AB44" s="624"/>
      <c r="AC44" s="625"/>
      <c r="AD44" s="604" t="s">
        <v>533</v>
      </c>
      <c r="AE44" s="623" t="s">
        <v>537</v>
      </c>
      <c r="AF44" s="624"/>
      <c r="AG44" s="624"/>
      <c r="AH44" s="625"/>
      <c r="AI44" s="604" t="s">
        <v>533</v>
      </c>
      <c r="AJ44" s="623" t="s">
        <v>537</v>
      </c>
      <c r="AK44" s="624"/>
      <c r="AL44" s="624"/>
      <c r="AM44" s="625"/>
      <c r="AN44" s="604" t="s">
        <v>533</v>
      </c>
      <c r="AO44" s="623" t="s">
        <v>537</v>
      </c>
      <c r="AP44" s="624"/>
      <c r="AQ44" s="624"/>
      <c r="AR44" s="625"/>
      <c r="AS44" s="604" t="s">
        <v>533</v>
      </c>
      <c r="AT44" s="623" t="s">
        <v>537</v>
      </c>
      <c r="AU44" s="624"/>
      <c r="AV44" s="624"/>
      <c r="AW44" s="625"/>
      <c r="AX44" s="604" t="s">
        <v>533</v>
      </c>
      <c r="BA44" s="604" t="s">
        <v>395</v>
      </c>
    </row>
    <row r="45" spans="2:53">
      <c r="B45" s="604"/>
      <c r="C45" s="604"/>
      <c r="D45" s="604"/>
      <c r="E45" s="604" t="s">
        <v>538</v>
      </c>
      <c r="F45" s="604"/>
      <c r="G45" s="604"/>
      <c r="H45" s="638"/>
      <c r="I45" s="656" t="s">
        <v>538</v>
      </c>
      <c r="J45" s="656"/>
      <c r="K45" s="656"/>
      <c r="L45" s="658"/>
      <c r="M45" s="643"/>
      <c r="N45" s="604"/>
      <c r="O45" s="604"/>
      <c r="P45" s="623" t="s">
        <v>539</v>
      </c>
      <c r="Q45" s="624"/>
      <c r="R45" s="624"/>
      <c r="S45" s="625"/>
      <c r="T45" s="604"/>
      <c r="U45" s="623" t="s">
        <v>539</v>
      </c>
      <c r="V45" s="624"/>
      <c r="W45" s="624"/>
      <c r="X45" s="625"/>
      <c r="Y45" s="604"/>
      <c r="Z45" s="623" t="s">
        <v>539</v>
      </c>
      <c r="AA45" s="624"/>
      <c r="AB45" s="624"/>
      <c r="AC45" s="625"/>
      <c r="AD45" s="604"/>
      <c r="AE45" s="623" t="s">
        <v>539</v>
      </c>
      <c r="AF45" s="624"/>
      <c r="AG45" s="624"/>
      <c r="AH45" s="625"/>
      <c r="AI45" s="604"/>
      <c r="AJ45" s="623" t="s">
        <v>539</v>
      </c>
      <c r="AK45" s="624"/>
      <c r="AL45" s="624"/>
      <c r="AM45" s="625"/>
      <c r="AN45" s="604"/>
      <c r="AO45" s="623" t="s">
        <v>539</v>
      </c>
      <c r="AP45" s="624"/>
      <c r="AQ45" s="624"/>
      <c r="AR45" s="625"/>
      <c r="AS45" s="604"/>
      <c r="AT45" s="623" t="s">
        <v>539</v>
      </c>
      <c r="AU45" s="624"/>
      <c r="AV45" s="624"/>
      <c r="AW45" s="625"/>
      <c r="AX45" s="604"/>
      <c r="BA45" s="604"/>
    </row>
    <row r="46" spans="2:53">
      <c r="B46" s="604"/>
      <c r="C46" s="604"/>
      <c r="D46" s="604"/>
      <c r="E46" s="319" t="s">
        <v>540</v>
      </c>
      <c r="F46" s="319" t="s">
        <v>541</v>
      </c>
      <c r="G46" s="319" t="s">
        <v>542</v>
      </c>
      <c r="H46" s="639"/>
      <c r="I46" s="318" t="s">
        <v>540</v>
      </c>
      <c r="J46" s="318" t="s">
        <v>541</v>
      </c>
      <c r="K46" s="318" t="s">
        <v>542</v>
      </c>
      <c r="L46" s="659"/>
      <c r="M46" s="644"/>
      <c r="N46" s="604"/>
      <c r="O46" s="604"/>
      <c r="P46" s="319" t="s">
        <v>540</v>
      </c>
      <c r="Q46" s="319" t="s">
        <v>541</v>
      </c>
      <c r="R46" s="319" t="s">
        <v>542</v>
      </c>
      <c r="S46" s="319" t="s">
        <v>535</v>
      </c>
      <c r="T46" s="604"/>
      <c r="U46" s="319" t="s">
        <v>540</v>
      </c>
      <c r="V46" s="319" t="s">
        <v>541</v>
      </c>
      <c r="W46" s="319" t="s">
        <v>542</v>
      </c>
      <c r="X46" s="319" t="s">
        <v>535</v>
      </c>
      <c r="Y46" s="604"/>
      <c r="Z46" s="319" t="s">
        <v>540</v>
      </c>
      <c r="AA46" s="319" t="s">
        <v>541</v>
      </c>
      <c r="AB46" s="319" t="s">
        <v>542</v>
      </c>
      <c r="AC46" s="319" t="s">
        <v>535</v>
      </c>
      <c r="AD46" s="604"/>
      <c r="AE46" s="319" t="s">
        <v>540</v>
      </c>
      <c r="AF46" s="319" t="s">
        <v>541</v>
      </c>
      <c r="AG46" s="319" t="s">
        <v>542</v>
      </c>
      <c r="AH46" s="319" t="s">
        <v>535</v>
      </c>
      <c r="AI46" s="604"/>
      <c r="AJ46" s="319" t="s">
        <v>540</v>
      </c>
      <c r="AK46" s="319" t="s">
        <v>541</v>
      </c>
      <c r="AL46" s="319" t="s">
        <v>542</v>
      </c>
      <c r="AM46" s="319" t="s">
        <v>535</v>
      </c>
      <c r="AN46" s="604"/>
      <c r="AO46" s="319" t="s">
        <v>540</v>
      </c>
      <c r="AP46" s="319" t="s">
        <v>541</v>
      </c>
      <c r="AQ46" s="319" t="s">
        <v>542</v>
      </c>
      <c r="AR46" s="319" t="s">
        <v>535</v>
      </c>
      <c r="AS46" s="604"/>
      <c r="AT46" s="319" t="s">
        <v>540</v>
      </c>
      <c r="AU46" s="319" t="s">
        <v>541</v>
      </c>
      <c r="AV46" s="319" t="s">
        <v>542</v>
      </c>
      <c r="AW46" s="319" t="s">
        <v>535</v>
      </c>
      <c r="AX46" s="604"/>
      <c r="AZ46" s="520" t="s">
        <v>396</v>
      </c>
      <c r="BA46" s="604"/>
    </row>
    <row r="47" spans="2:53">
      <c r="B47" s="604" t="s">
        <v>543</v>
      </c>
      <c r="C47" s="320">
        <v>1</v>
      </c>
      <c r="D47" s="226" t="s">
        <v>823</v>
      </c>
      <c r="E47" s="182">
        <v>15</v>
      </c>
      <c r="F47" s="511">
        <v>1500</v>
      </c>
      <c r="G47" s="512">
        <v>100</v>
      </c>
      <c r="H47" s="667">
        <f>AVERAGE(G47:G61)</f>
        <v>105.12820512820512</v>
      </c>
      <c r="I47" s="513">
        <f t="shared" ref="I47:I60" si="38">IFERROR(AVERAGE(P47,U47,Z47,AE47,AJ47,AO47,AT47),"-")</f>
        <v>10.857142857142858</v>
      </c>
      <c r="J47" s="513">
        <f t="shared" ref="J47:J60" si="39">IFERROR(AVERAGE(Q47,V47,AA47,AF47,AK47,AP47,AU47),"-")</f>
        <v>1464.758441558442</v>
      </c>
      <c r="K47" s="200">
        <f t="shared" ref="K47:K60" si="40">IFERROR(AVERAGE(R47,W47,AB47,AG47,AL47,AQ47,AV47),"-")</f>
        <v>136.70729270729274</v>
      </c>
      <c r="L47" s="620">
        <f>IFERROR(AVERAGE(K47:K61),"-")</f>
        <v>112.16252487757505</v>
      </c>
      <c r="M47" s="201">
        <f>RANK(K47, K$47:$K$61)</f>
        <v>1</v>
      </c>
      <c r="N47" s="604"/>
      <c r="O47" s="604"/>
      <c r="P47" s="531">
        <v>13</v>
      </c>
      <c r="Q47" s="533">
        <v>1502.399999999998</v>
      </c>
      <c r="R47" s="533">
        <v>115.56923076923061</v>
      </c>
      <c r="S47" s="531">
        <f t="shared" ref="S47:S61" si="41">RANK(R47, R$47:R$61)</f>
        <v>2</v>
      </c>
      <c r="T47" s="599">
        <f t="shared" ref="T47" si="42">AVERAGE(R47:R61)</f>
        <v>109.24568764568754</v>
      </c>
      <c r="U47" s="531">
        <v>13</v>
      </c>
      <c r="V47" s="533">
        <v>1460.7272727272716</v>
      </c>
      <c r="W47" s="533">
        <v>112.36363636363627</v>
      </c>
      <c r="X47" s="531">
        <f t="shared" ref="X47:X61" si="43">RANK(W47, W$47:W$61)</f>
        <v>1</v>
      </c>
      <c r="Y47" s="599">
        <f t="shared" ref="Y47" si="44">AVERAGE(W47:W61)</f>
        <v>104.9377801685493</v>
      </c>
      <c r="Z47" s="531">
        <v>10</v>
      </c>
      <c r="AA47" s="533">
        <v>1434.0000000000014</v>
      </c>
      <c r="AB47" s="533">
        <v>143.40000000000015</v>
      </c>
      <c r="AC47" s="531">
        <f t="shared" ref="AC47:AC61" si="45">RANK(AB47, AB$47:AB$61)</f>
        <v>1</v>
      </c>
      <c r="AD47" s="599">
        <f t="shared" ref="AD47" si="46">AVERAGE(AB47:AB61)</f>
        <v>117.32954292084726</v>
      </c>
      <c r="AE47" s="531">
        <v>10</v>
      </c>
      <c r="AF47" s="533">
        <v>1445.9999999999995</v>
      </c>
      <c r="AG47" s="533">
        <v>144.59999999999997</v>
      </c>
      <c r="AH47" s="531">
        <f t="shared" ref="AH47:AH61" si="47">RANK(AG47, AG$47:AG$61)</f>
        <v>1</v>
      </c>
      <c r="AI47" s="599">
        <f t="shared" ref="AI47" si="48">AVERAGE(AG47:AG61)</f>
        <v>109.54265734265719</v>
      </c>
      <c r="AJ47" s="531">
        <v>10</v>
      </c>
      <c r="AK47" s="533">
        <v>1489.333333333336</v>
      </c>
      <c r="AL47" s="533">
        <v>148.93333333333359</v>
      </c>
      <c r="AM47" s="531">
        <f t="shared" ref="AM47:AM61" si="49">RANK(AL47, AL$47:AL$61)</f>
        <v>1</v>
      </c>
      <c r="AN47" s="599">
        <f t="shared" ref="AN47" si="50">AVERAGE(AL47:AL61)</f>
        <v>118.96988823142692</v>
      </c>
      <c r="AO47" s="531">
        <v>10</v>
      </c>
      <c r="AP47" s="533">
        <v>1418.6666666666667</v>
      </c>
      <c r="AQ47" s="533">
        <v>141.86666666666667</v>
      </c>
      <c r="AR47" s="531">
        <f t="shared" ref="AR47:AR61" si="51">RANK(AQ47, AQ$47:AQ$61)</f>
        <v>1</v>
      </c>
      <c r="AS47" s="599">
        <f t="shared" ref="AS47" si="52">AVERAGE(AQ47:AQ61)</f>
        <v>109.67015979189905</v>
      </c>
      <c r="AT47" s="531">
        <v>10</v>
      </c>
      <c r="AU47" s="533">
        <v>1502.1818181818192</v>
      </c>
      <c r="AV47" s="533">
        <v>150.2181818181819</v>
      </c>
      <c r="AW47" s="531">
        <f t="shared" ref="AW47:AW61" si="53">RANK(AV47, AV$47:AV$61)</f>
        <v>1</v>
      </c>
      <c r="AX47" s="599">
        <f t="shared" ref="AX47" si="54">AVERAGE(AV47:AV61)</f>
        <v>115.44195804195817</v>
      </c>
      <c r="AZ47" s="521" t="e">
        <f t="shared" ref="AZ47:AZ61" si="55">RANK(AY47, AY$47:AY$61)</f>
        <v>#N/A</v>
      </c>
      <c r="BA47" s="599" t="e">
        <f t="shared" ref="BA47" si="56">AVERAGE(AY47:AY61)</f>
        <v>#DIV/0!</v>
      </c>
    </row>
    <row r="48" spans="2:53">
      <c r="B48" s="610"/>
      <c r="C48" s="320">
        <v>2</v>
      </c>
      <c r="D48" s="226" t="s">
        <v>740</v>
      </c>
      <c r="E48" s="182">
        <v>13</v>
      </c>
      <c r="F48" s="511">
        <v>1500</v>
      </c>
      <c r="G48" s="512">
        <v>115.38461538461539</v>
      </c>
      <c r="H48" s="668"/>
      <c r="I48" s="513">
        <f t="shared" si="38"/>
        <v>13</v>
      </c>
      <c r="J48" s="513">
        <f t="shared" si="39"/>
        <v>1394.7142857142865</v>
      </c>
      <c r="K48" s="200">
        <f t="shared" si="40"/>
        <v>107.28571428571433</v>
      </c>
      <c r="L48" s="621"/>
      <c r="M48" s="201">
        <f>RANK(K48, K$47:$K$61)</f>
        <v>2</v>
      </c>
      <c r="N48" s="604"/>
      <c r="O48" s="604"/>
      <c r="P48" s="531">
        <v>13</v>
      </c>
      <c r="Q48" s="533">
        <v>1535.9999999999973</v>
      </c>
      <c r="R48" s="533">
        <v>118.15384615384595</v>
      </c>
      <c r="S48" s="531">
        <f t="shared" si="41"/>
        <v>1</v>
      </c>
      <c r="T48" s="600"/>
      <c r="U48" s="531">
        <v>13</v>
      </c>
      <c r="V48" s="533">
        <v>1423.9999999999975</v>
      </c>
      <c r="W48" s="533">
        <v>109.53846153846135</v>
      </c>
      <c r="X48" s="531">
        <f t="shared" si="43"/>
        <v>2</v>
      </c>
      <c r="Y48" s="600"/>
      <c r="Z48" s="531">
        <v>13</v>
      </c>
      <c r="AA48" s="533">
        <v>1495.9999999999973</v>
      </c>
      <c r="AB48" s="533">
        <v>115.07692307692287</v>
      </c>
      <c r="AC48" s="531">
        <f t="shared" si="45"/>
        <v>2</v>
      </c>
      <c r="AD48" s="600"/>
      <c r="AE48" s="531">
        <v>13</v>
      </c>
      <c r="AF48" s="533">
        <v>1223.9999999999977</v>
      </c>
      <c r="AG48" s="533">
        <v>94.153846153845976</v>
      </c>
      <c r="AH48" s="531">
        <f t="shared" si="47"/>
        <v>2</v>
      </c>
      <c r="AI48" s="600"/>
      <c r="AJ48" s="531">
        <v>13</v>
      </c>
      <c r="AK48" s="533">
        <v>1488.0000000000055</v>
      </c>
      <c r="AL48" s="533">
        <v>114.46153846153888</v>
      </c>
      <c r="AM48" s="531">
        <f t="shared" si="49"/>
        <v>2</v>
      </c>
      <c r="AN48" s="600"/>
      <c r="AO48" s="531">
        <v>13</v>
      </c>
      <c r="AP48" s="533">
        <v>1248.0000000000045</v>
      </c>
      <c r="AQ48" s="533">
        <v>96.000000000000355</v>
      </c>
      <c r="AR48" s="531">
        <f t="shared" si="51"/>
        <v>2</v>
      </c>
      <c r="AS48" s="600"/>
      <c r="AT48" s="531">
        <v>13</v>
      </c>
      <c r="AU48" s="533">
        <v>1347.0000000000048</v>
      </c>
      <c r="AV48" s="533">
        <v>103.61538461538498</v>
      </c>
      <c r="AW48" s="531">
        <f t="shared" si="53"/>
        <v>2</v>
      </c>
      <c r="AX48" s="600"/>
      <c r="AZ48" s="521" t="e">
        <f t="shared" si="55"/>
        <v>#N/A</v>
      </c>
      <c r="BA48" s="600"/>
    </row>
    <row r="49" spans="2:53">
      <c r="B49" s="610"/>
      <c r="C49" s="320">
        <v>3</v>
      </c>
      <c r="D49" s="226" t="s">
        <v>840</v>
      </c>
      <c r="E49" s="182">
        <v>15</v>
      </c>
      <c r="F49" s="511">
        <v>1500</v>
      </c>
      <c r="G49" s="512">
        <v>100</v>
      </c>
      <c r="H49" s="668"/>
      <c r="I49" s="513">
        <f t="shared" si="38"/>
        <v>13</v>
      </c>
      <c r="J49" s="513">
        <f t="shared" si="39"/>
        <v>1202.4293793163354</v>
      </c>
      <c r="K49" s="200">
        <f t="shared" si="40"/>
        <v>92.494567639718099</v>
      </c>
      <c r="L49" s="621"/>
      <c r="M49" s="201">
        <f>RANK(K49, K$47:$K$61)</f>
        <v>3</v>
      </c>
      <c r="N49" s="604"/>
      <c r="O49" s="604"/>
      <c r="P49" s="531">
        <v>13</v>
      </c>
      <c r="Q49" s="533">
        <v>1222.1818181818185</v>
      </c>
      <c r="R49" s="533">
        <v>94.013986013986042</v>
      </c>
      <c r="S49" s="531">
        <f t="shared" si="41"/>
        <v>3</v>
      </c>
      <c r="T49" s="600"/>
      <c r="U49" s="531">
        <v>13</v>
      </c>
      <c r="V49" s="533">
        <v>1207.8461538461531</v>
      </c>
      <c r="W49" s="533">
        <v>92.911242603550235</v>
      </c>
      <c r="X49" s="531">
        <f t="shared" si="43"/>
        <v>3</v>
      </c>
      <c r="Y49" s="600"/>
      <c r="Z49" s="531">
        <v>13</v>
      </c>
      <c r="AA49" s="533">
        <v>1215.6521739130437</v>
      </c>
      <c r="AB49" s="533">
        <v>93.51170568561875</v>
      </c>
      <c r="AC49" s="531">
        <f t="shared" si="45"/>
        <v>3</v>
      </c>
      <c r="AD49" s="600"/>
      <c r="AE49" s="531">
        <v>13</v>
      </c>
      <c r="AF49" s="533">
        <v>1168.3636363636335</v>
      </c>
      <c r="AG49" s="533">
        <v>89.874125874125653</v>
      </c>
      <c r="AH49" s="531">
        <f t="shared" si="47"/>
        <v>3</v>
      </c>
      <c r="AI49" s="600"/>
      <c r="AJ49" s="531">
        <v>13</v>
      </c>
      <c r="AK49" s="533">
        <v>1215.6923076923074</v>
      </c>
      <c r="AL49" s="533">
        <v>93.514792899408263</v>
      </c>
      <c r="AM49" s="531">
        <f t="shared" si="49"/>
        <v>3</v>
      </c>
      <c r="AN49" s="600"/>
      <c r="AO49" s="531">
        <v>13</v>
      </c>
      <c r="AP49" s="533">
        <v>1184.8695652173922</v>
      </c>
      <c r="AQ49" s="533">
        <v>91.143812709030172</v>
      </c>
      <c r="AR49" s="531">
        <f t="shared" si="51"/>
        <v>3</v>
      </c>
      <c r="AS49" s="600"/>
      <c r="AT49" s="531">
        <v>13</v>
      </c>
      <c r="AU49" s="533">
        <v>1202.3999999999992</v>
      </c>
      <c r="AV49" s="533">
        <v>92.492307692307634</v>
      </c>
      <c r="AW49" s="531">
        <f t="shared" si="53"/>
        <v>3</v>
      </c>
      <c r="AX49" s="600"/>
      <c r="AZ49" s="521" t="e">
        <f t="shared" si="55"/>
        <v>#N/A</v>
      </c>
      <c r="BA49" s="600"/>
    </row>
    <row r="50" spans="2:53">
      <c r="B50" s="610"/>
      <c r="C50" s="320">
        <v>4</v>
      </c>
      <c r="D50" s="226"/>
      <c r="E50" s="182"/>
      <c r="F50" s="511"/>
      <c r="G50" s="512"/>
      <c r="H50" s="668"/>
      <c r="I50" s="513" t="str">
        <f t="shared" si="38"/>
        <v>-</v>
      </c>
      <c r="J50" s="513" t="str">
        <f t="shared" si="39"/>
        <v>-</v>
      </c>
      <c r="K50" s="200" t="str">
        <f t="shared" si="40"/>
        <v>-</v>
      </c>
      <c r="L50" s="621"/>
      <c r="M50" s="201" t="e">
        <f>RANK(K50, K$47:$K$61)</f>
        <v>#VALUE!</v>
      </c>
      <c r="N50" s="604"/>
      <c r="O50" s="604"/>
      <c r="P50" s="531" t="s">
        <v>822</v>
      </c>
      <c r="Q50" s="533" t="s">
        <v>822</v>
      </c>
      <c r="R50" s="533" t="s">
        <v>822</v>
      </c>
      <c r="S50" s="531" t="e">
        <f t="shared" si="41"/>
        <v>#VALUE!</v>
      </c>
      <c r="T50" s="600"/>
      <c r="U50" s="531" t="s">
        <v>822</v>
      </c>
      <c r="V50" s="533" t="s">
        <v>822</v>
      </c>
      <c r="W50" s="533" t="s">
        <v>822</v>
      </c>
      <c r="X50" s="531" t="e">
        <f t="shared" si="43"/>
        <v>#VALUE!</v>
      </c>
      <c r="Y50" s="600"/>
      <c r="Z50" s="531" t="s">
        <v>822</v>
      </c>
      <c r="AA50" s="533" t="s">
        <v>822</v>
      </c>
      <c r="AB50" s="533" t="s">
        <v>822</v>
      </c>
      <c r="AC50" s="531" t="e">
        <f t="shared" si="45"/>
        <v>#VALUE!</v>
      </c>
      <c r="AD50" s="600"/>
      <c r="AE50" s="531" t="s">
        <v>822</v>
      </c>
      <c r="AF50" s="533" t="s">
        <v>822</v>
      </c>
      <c r="AG50" s="533" t="s">
        <v>822</v>
      </c>
      <c r="AH50" s="531" t="e">
        <f t="shared" si="47"/>
        <v>#VALUE!</v>
      </c>
      <c r="AI50" s="600"/>
      <c r="AJ50" s="531" t="s">
        <v>822</v>
      </c>
      <c r="AK50" s="533" t="s">
        <v>822</v>
      </c>
      <c r="AL50" s="533" t="s">
        <v>822</v>
      </c>
      <c r="AM50" s="531" t="e">
        <f t="shared" si="49"/>
        <v>#VALUE!</v>
      </c>
      <c r="AN50" s="600"/>
      <c r="AO50" s="531" t="s">
        <v>822</v>
      </c>
      <c r="AP50" s="533" t="s">
        <v>822</v>
      </c>
      <c r="AQ50" s="533" t="s">
        <v>822</v>
      </c>
      <c r="AR50" s="531" t="e">
        <f t="shared" si="51"/>
        <v>#VALUE!</v>
      </c>
      <c r="AS50" s="600"/>
      <c r="AT50" s="531" t="s">
        <v>822</v>
      </c>
      <c r="AU50" s="533" t="s">
        <v>822</v>
      </c>
      <c r="AV50" s="533" t="s">
        <v>822</v>
      </c>
      <c r="AW50" s="531" t="e">
        <f t="shared" si="53"/>
        <v>#VALUE!</v>
      </c>
      <c r="AX50" s="600"/>
      <c r="AZ50" s="521" t="e">
        <f t="shared" si="55"/>
        <v>#N/A</v>
      </c>
      <c r="BA50" s="600"/>
    </row>
    <row r="51" spans="2:53">
      <c r="B51" s="610"/>
      <c r="C51" s="320">
        <v>5</v>
      </c>
      <c r="D51" s="226"/>
      <c r="E51" s="182"/>
      <c r="F51" s="511"/>
      <c r="G51" s="512"/>
      <c r="H51" s="668"/>
      <c r="I51" s="513" t="str">
        <f t="shared" si="38"/>
        <v>-</v>
      </c>
      <c r="J51" s="513" t="str">
        <f t="shared" si="39"/>
        <v>-</v>
      </c>
      <c r="K51" s="200" t="str">
        <f t="shared" si="40"/>
        <v>-</v>
      </c>
      <c r="L51" s="621"/>
      <c r="M51" s="201" t="e">
        <f>RANK(K51, K$47:$K$61)</f>
        <v>#VALUE!</v>
      </c>
      <c r="N51" s="604"/>
      <c r="O51" s="604"/>
      <c r="P51" s="531" t="s">
        <v>822</v>
      </c>
      <c r="Q51" s="533" t="s">
        <v>822</v>
      </c>
      <c r="R51" s="533" t="s">
        <v>822</v>
      </c>
      <c r="S51" s="531" t="e">
        <f t="shared" si="41"/>
        <v>#VALUE!</v>
      </c>
      <c r="T51" s="600"/>
      <c r="U51" s="531" t="s">
        <v>822</v>
      </c>
      <c r="V51" s="533" t="s">
        <v>822</v>
      </c>
      <c r="W51" s="533" t="s">
        <v>822</v>
      </c>
      <c r="X51" s="531" t="e">
        <f t="shared" si="43"/>
        <v>#VALUE!</v>
      </c>
      <c r="Y51" s="600"/>
      <c r="Z51" s="531" t="s">
        <v>822</v>
      </c>
      <c r="AA51" s="533" t="s">
        <v>822</v>
      </c>
      <c r="AB51" s="533" t="s">
        <v>822</v>
      </c>
      <c r="AC51" s="531" t="e">
        <f t="shared" si="45"/>
        <v>#VALUE!</v>
      </c>
      <c r="AD51" s="600"/>
      <c r="AE51" s="531" t="s">
        <v>822</v>
      </c>
      <c r="AF51" s="533" t="s">
        <v>822</v>
      </c>
      <c r="AG51" s="533" t="s">
        <v>822</v>
      </c>
      <c r="AH51" s="531" t="e">
        <f t="shared" si="47"/>
        <v>#VALUE!</v>
      </c>
      <c r="AI51" s="600"/>
      <c r="AJ51" s="531" t="s">
        <v>822</v>
      </c>
      <c r="AK51" s="533" t="s">
        <v>822</v>
      </c>
      <c r="AL51" s="533" t="s">
        <v>822</v>
      </c>
      <c r="AM51" s="531" t="e">
        <f t="shared" si="49"/>
        <v>#VALUE!</v>
      </c>
      <c r="AN51" s="600"/>
      <c r="AO51" s="531" t="s">
        <v>822</v>
      </c>
      <c r="AP51" s="533" t="s">
        <v>822</v>
      </c>
      <c r="AQ51" s="533" t="s">
        <v>822</v>
      </c>
      <c r="AR51" s="531" t="e">
        <f t="shared" si="51"/>
        <v>#VALUE!</v>
      </c>
      <c r="AS51" s="600"/>
      <c r="AT51" s="531" t="s">
        <v>822</v>
      </c>
      <c r="AU51" s="533" t="s">
        <v>822</v>
      </c>
      <c r="AV51" s="533" t="s">
        <v>822</v>
      </c>
      <c r="AW51" s="531" t="e">
        <f t="shared" si="53"/>
        <v>#VALUE!</v>
      </c>
      <c r="AX51" s="600"/>
      <c r="AZ51" s="521" t="e">
        <f t="shared" si="55"/>
        <v>#N/A</v>
      </c>
      <c r="BA51" s="600"/>
    </row>
    <row r="52" spans="2:53">
      <c r="B52" s="610"/>
      <c r="C52" s="320">
        <v>6</v>
      </c>
      <c r="D52" s="226"/>
      <c r="E52" s="182"/>
      <c r="F52" s="511"/>
      <c r="G52" s="512"/>
      <c r="H52" s="668"/>
      <c r="I52" s="513" t="str">
        <f t="shared" si="38"/>
        <v>-</v>
      </c>
      <c r="J52" s="513" t="str">
        <f t="shared" si="39"/>
        <v>-</v>
      </c>
      <c r="K52" s="200" t="str">
        <f t="shared" si="40"/>
        <v>-</v>
      </c>
      <c r="L52" s="621"/>
      <c r="M52" s="201" t="e">
        <f>RANK(K52, K$47:$K$61)</f>
        <v>#VALUE!</v>
      </c>
      <c r="N52" s="604"/>
      <c r="O52" s="604"/>
      <c r="P52" s="531" t="s">
        <v>822</v>
      </c>
      <c r="Q52" s="533" t="s">
        <v>822</v>
      </c>
      <c r="R52" s="533" t="s">
        <v>822</v>
      </c>
      <c r="S52" s="531" t="e">
        <f t="shared" si="41"/>
        <v>#VALUE!</v>
      </c>
      <c r="T52" s="600"/>
      <c r="U52" s="531" t="s">
        <v>822</v>
      </c>
      <c r="V52" s="533" t="s">
        <v>822</v>
      </c>
      <c r="W52" s="533" t="s">
        <v>822</v>
      </c>
      <c r="X52" s="531" t="e">
        <f t="shared" si="43"/>
        <v>#VALUE!</v>
      </c>
      <c r="Y52" s="600"/>
      <c r="Z52" s="531" t="s">
        <v>822</v>
      </c>
      <c r="AA52" s="533" t="s">
        <v>822</v>
      </c>
      <c r="AB52" s="533" t="s">
        <v>822</v>
      </c>
      <c r="AC52" s="531" t="e">
        <f t="shared" si="45"/>
        <v>#VALUE!</v>
      </c>
      <c r="AD52" s="600"/>
      <c r="AE52" s="531" t="s">
        <v>822</v>
      </c>
      <c r="AF52" s="533" t="s">
        <v>822</v>
      </c>
      <c r="AG52" s="533" t="s">
        <v>822</v>
      </c>
      <c r="AH52" s="531" t="e">
        <f t="shared" si="47"/>
        <v>#VALUE!</v>
      </c>
      <c r="AI52" s="600"/>
      <c r="AJ52" s="531" t="s">
        <v>822</v>
      </c>
      <c r="AK52" s="533" t="s">
        <v>822</v>
      </c>
      <c r="AL52" s="533" t="s">
        <v>822</v>
      </c>
      <c r="AM52" s="531" t="e">
        <f t="shared" si="49"/>
        <v>#VALUE!</v>
      </c>
      <c r="AN52" s="600"/>
      <c r="AO52" s="531" t="s">
        <v>822</v>
      </c>
      <c r="AP52" s="533" t="s">
        <v>822</v>
      </c>
      <c r="AQ52" s="533" t="s">
        <v>822</v>
      </c>
      <c r="AR52" s="531" t="e">
        <f t="shared" si="51"/>
        <v>#VALUE!</v>
      </c>
      <c r="AS52" s="600"/>
      <c r="AT52" s="531" t="s">
        <v>822</v>
      </c>
      <c r="AU52" s="533" t="s">
        <v>822</v>
      </c>
      <c r="AV52" s="533" t="s">
        <v>822</v>
      </c>
      <c r="AW52" s="531" t="e">
        <f t="shared" si="53"/>
        <v>#VALUE!</v>
      </c>
      <c r="AX52" s="600"/>
      <c r="AZ52" s="521" t="e">
        <f t="shared" si="55"/>
        <v>#N/A</v>
      </c>
      <c r="BA52" s="600"/>
    </row>
    <row r="53" spans="2:53">
      <c r="B53" s="610"/>
      <c r="C53" s="320">
        <v>7</v>
      </c>
      <c r="D53" s="226"/>
      <c r="E53" s="182"/>
      <c r="F53" s="511"/>
      <c r="G53" s="512"/>
      <c r="H53" s="668"/>
      <c r="I53" s="513" t="str">
        <f t="shared" si="38"/>
        <v>-</v>
      </c>
      <c r="J53" s="513" t="str">
        <f t="shared" si="39"/>
        <v>-</v>
      </c>
      <c r="K53" s="200" t="str">
        <f t="shared" si="40"/>
        <v>-</v>
      </c>
      <c r="L53" s="621"/>
      <c r="M53" s="201" t="e">
        <f>RANK(K53, K$47:$K$61)</f>
        <v>#VALUE!</v>
      </c>
      <c r="N53" s="604"/>
      <c r="O53" s="604"/>
      <c r="P53" s="531" t="s">
        <v>822</v>
      </c>
      <c r="Q53" s="533" t="s">
        <v>822</v>
      </c>
      <c r="R53" s="533" t="s">
        <v>822</v>
      </c>
      <c r="S53" s="531" t="e">
        <f t="shared" si="41"/>
        <v>#VALUE!</v>
      </c>
      <c r="T53" s="600"/>
      <c r="U53" s="531" t="s">
        <v>822</v>
      </c>
      <c r="V53" s="533" t="s">
        <v>822</v>
      </c>
      <c r="W53" s="533" t="s">
        <v>822</v>
      </c>
      <c r="X53" s="531" t="e">
        <f t="shared" si="43"/>
        <v>#VALUE!</v>
      </c>
      <c r="Y53" s="600"/>
      <c r="Z53" s="531" t="s">
        <v>822</v>
      </c>
      <c r="AA53" s="533" t="s">
        <v>822</v>
      </c>
      <c r="AB53" s="533" t="s">
        <v>822</v>
      </c>
      <c r="AC53" s="531" t="e">
        <f t="shared" si="45"/>
        <v>#VALUE!</v>
      </c>
      <c r="AD53" s="600"/>
      <c r="AE53" s="531" t="s">
        <v>822</v>
      </c>
      <c r="AF53" s="533" t="s">
        <v>822</v>
      </c>
      <c r="AG53" s="533" t="s">
        <v>822</v>
      </c>
      <c r="AH53" s="531" t="e">
        <f t="shared" si="47"/>
        <v>#VALUE!</v>
      </c>
      <c r="AI53" s="600"/>
      <c r="AJ53" s="531" t="s">
        <v>822</v>
      </c>
      <c r="AK53" s="533" t="s">
        <v>822</v>
      </c>
      <c r="AL53" s="533" t="s">
        <v>822</v>
      </c>
      <c r="AM53" s="531" t="e">
        <f t="shared" si="49"/>
        <v>#VALUE!</v>
      </c>
      <c r="AN53" s="600"/>
      <c r="AO53" s="531" t="s">
        <v>822</v>
      </c>
      <c r="AP53" s="533" t="s">
        <v>822</v>
      </c>
      <c r="AQ53" s="533" t="s">
        <v>822</v>
      </c>
      <c r="AR53" s="531" t="e">
        <f t="shared" si="51"/>
        <v>#VALUE!</v>
      </c>
      <c r="AS53" s="600"/>
      <c r="AT53" s="531" t="s">
        <v>822</v>
      </c>
      <c r="AU53" s="533" t="s">
        <v>822</v>
      </c>
      <c r="AV53" s="533" t="s">
        <v>822</v>
      </c>
      <c r="AW53" s="531" t="e">
        <f t="shared" si="53"/>
        <v>#VALUE!</v>
      </c>
      <c r="AX53" s="600"/>
      <c r="AZ53" s="521" t="e">
        <f t="shared" si="55"/>
        <v>#N/A</v>
      </c>
      <c r="BA53" s="600"/>
    </row>
    <row r="54" spans="2:53">
      <c r="B54" s="610"/>
      <c r="C54" s="320">
        <v>8</v>
      </c>
      <c r="D54" s="226"/>
      <c r="E54" s="182"/>
      <c r="F54" s="511"/>
      <c r="G54" s="512"/>
      <c r="H54" s="668"/>
      <c r="I54" s="513" t="str">
        <f t="shared" si="38"/>
        <v>-</v>
      </c>
      <c r="J54" s="513" t="str">
        <f t="shared" si="39"/>
        <v>-</v>
      </c>
      <c r="K54" s="200" t="str">
        <f t="shared" si="40"/>
        <v>-</v>
      </c>
      <c r="L54" s="621"/>
      <c r="M54" s="201" t="e">
        <f>RANK(K54, K$47:$K$61)</f>
        <v>#VALUE!</v>
      </c>
      <c r="N54" s="604"/>
      <c r="O54" s="604"/>
      <c r="P54" s="531" t="s">
        <v>822</v>
      </c>
      <c r="Q54" s="533" t="s">
        <v>822</v>
      </c>
      <c r="R54" s="533" t="s">
        <v>822</v>
      </c>
      <c r="S54" s="531" t="e">
        <f t="shared" si="41"/>
        <v>#VALUE!</v>
      </c>
      <c r="T54" s="600"/>
      <c r="U54" s="531" t="s">
        <v>822</v>
      </c>
      <c r="V54" s="533" t="s">
        <v>822</v>
      </c>
      <c r="W54" s="533" t="s">
        <v>822</v>
      </c>
      <c r="X54" s="531" t="e">
        <f t="shared" si="43"/>
        <v>#VALUE!</v>
      </c>
      <c r="Y54" s="600"/>
      <c r="Z54" s="531" t="s">
        <v>822</v>
      </c>
      <c r="AA54" s="533" t="s">
        <v>822</v>
      </c>
      <c r="AB54" s="533" t="s">
        <v>822</v>
      </c>
      <c r="AC54" s="531" t="e">
        <f t="shared" si="45"/>
        <v>#VALUE!</v>
      </c>
      <c r="AD54" s="600"/>
      <c r="AE54" s="531" t="s">
        <v>822</v>
      </c>
      <c r="AF54" s="533" t="s">
        <v>822</v>
      </c>
      <c r="AG54" s="533" t="s">
        <v>822</v>
      </c>
      <c r="AH54" s="531" t="e">
        <f t="shared" si="47"/>
        <v>#VALUE!</v>
      </c>
      <c r="AI54" s="600"/>
      <c r="AJ54" s="531" t="s">
        <v>822</v>
      </c>
      <c r="AK54" s="533" t="s">
        <v>822</v>
      </c>
      <c r="AL54" s="533" t="s">
        <v>822</v>
      </c>
      <c r="AM54" s="531" t="e">
        <f t="shared" si="49"/>
        <v>#VALUE!</v>
      </c>
      <c r="AN54" s="600"/>
      <c r="AO54" s="531" t="s">
        <v>822</v>
      </c>
      <c r="AP54" s="533" t="s">
        <v>822</v>
      </c>
      <c r="AQ54" s="533" t="s">
        <v>822</v>
      </c>
      <c r="AR54" s="531" t="e">
        <f t="shared" si="51"/>
        <v>#VALUE!</v>
      </c>
      <c r="AS54" s="600"/>
      <c r="AT54" s="531" t="s">
        <v>822</v>
      </c>
      <c r="AU54" s="533" t="s">
        <v>822</v>
      </c>
      <c r="AV54" s="533" t="s">
        <v>822</v>
      </c>
      <c r="AW54" s="531" t="e">
        <f t="shared" si="53"/>
        <v>#VALUE!</v>
      </c>
      <c r="AX54" s="600"/>
      <c r="AZ54" s="521" t="e">
        <f t="shared" si="55"/>
        <v>#N/A</v>
      </c>
      <c r="BA54" s="600"/>
    </row>
    <row r="55" spans="2:53">
      <c r="B55" s="610"/>
      <c r="C55" s="320">
        <v>9</v>
      </c>
      <c r="D55" s="226"/>
      <c r="E55" s="182"/>
      <c r="F55" s="511"/>
      <c r="G55" s="512"/>
      <c r="H55" s="668"/>
      <c r="I55" s="513" t="str">
        <f t="shared" si="38"/>
        <v>-</v>
      </c>
      <c r="J55" s="513" t="str">
        <f t="shared" si="39"/>
        <v>-</v>
      </c>
      <c r="K55" s="200" t="str">
        <f t="shared" si="40"/>
        <v>-</v>
      </c>
      <c r="L55" s="621"/>
      <c r="M55" s="201" t="e">
        <f>RANK(K55, K$47:$K$61)</f>
        <v>#VALUE!</v>
      </c>
      <c r="N55" s="604"/>
      <c r="O55" s="604"/>
      <c r="P55" s="531" t="s">
        <v>822</v>
      </c>
      <c r="Q55" s="533" t="s">
        <v>822</v>
      </c>
      <c r="R55" s="533" t="s">
        <v>822</v>
      </c>
      <c r="S55" s="531" t="e">
        <f t="shared" si="41"/>
        <v>#VALUE!</v>
      </c>
      <c r="T55" s="600"/>
      <c r="U55" s="531" t="s">
        <v>822</v>
      </c>
      <c r="V55" s="533" t="s">
        <v>822</v>
      </c>
      <c r="W55" s="533" t="s">
        <v>822</v>
      </c>
      <c r="X55" s="531" t="e">
        <f t="shared" si="43"/>
        <v>#VALUE!</v>
      </c>
      <c r="Y55" s="600"/>
      <c r="Z55" s="531" t="s">
        <v>822</v>
      </c>
      <c r="AA55" s="533" t="s">
        <v>822</v>
      </c>
      <c r="AB55" s="533" t="s">
        <v>822</v>
      </c>
      <c r="AC55" s="531" t="e">
        <f t="shared" si="45"/>
        <v>#VALUE!</v>
      </c>
      <c r="AD55" s="600"/>
      <c r="AE55" s="531" t="s">
        <v>822</v>
      </c>
      <c r="AF55" s="533" t="s">
        <v>822</v>
      </c>
      <c r="AG55" s="533" t="s">
        <v>822</v>
      </c>
      <c r="AH55" s="531" t="e">
        <f t="shared" si="47"/>
        <v>#VALUE!</v>
      </c>
      <c r="AI55" s="600"/>
      <c r="AJ55" s="531" t="s">
        <v>822</v>
      </c>
      <c r="AK55" s="533" t="s">
        <v>822</v>
      </c>
      <c r="AL55" s="533" t="s">
        <v>822</v>
      </c>
      <c r="AM55" s="531" t="e">
        <f t="shared" si="49"/>
        <v>#VALUE!</v>
      </c>
      <c r="AN55" s="600"/>
      <c r="AO55" s="531" t="s">
        <v>822</v>
      </c>
      <c r="AP55" s="533" t="s">
        <v>822</v>
      </c>
      <c r="AQ55" s="533" t="s">
        <v>822</v>
      </c>
      <c r="AR55" s="531" t="e">
        <f t="shared" si="51"/>
        <v>#VALUE!</v>
      </c>
      <c r="AS55" s="600"/>
      <c r="AT55" s="531" t="s">
        <v>822</v>
      </c>
      <c r="AU55" s="533" t="s">
        <v>822</v>
      </c>
      <c r="AV55" s="533" t="s">
        <v>822</v>
      </c>
      <c r="AW55" s="531" t="e">
        <f t="shared" si="53"/>
        <v>#VALUE!</v>
      </c>
      <c r="AX55" s="600"/>
      <c r="AZ55" s="521" t="e">
        <f t="shared" si="55"/>
        <v>#N/A</v>
      </c>
      <c r="BA55" s="600"/>
    </row>
    <row r="56" spans="2:53">
      <c r="B56" s="610"/>
      <c r="C56" s="320">
        <v>10</v>
      </c>
      <c r="D56" s="226"/>
      <c r="E56" s="182"/>
      <c r="F56" s="511"/>
      <c r="G56" s="512"/>
      <c r="H56" s="668"/>
      <c r="I56" s="513" t="str">
        <f t="shared" si="38"/>
        <v>-</v>
      </c>
      <c r="J56" s="513" t="str">
        <f t="shared" si="39"/>
        <v>-</v>
      </c>
      <c r="K56" s="200" t="str">
        <f t="shared" si="40"/>
        <v>-</v>
      </c>
      <c r="L56" s="621"/>
      <c r="M56" s="201" t="e">
        <f>RANK(K56, K$47:$K$61)</f>
        <v>#VALUE!</v>
      </c>
      <c r="N56" s="604"/>
      <c r="O56" s="604"/>
      <c r="P56" s="531" t="s">
        <v>822</v>
      </c>
      <c r="Q56" s="533" t="s">
        <v>822</v>
      </c>
      <c r="R56" s="533" t="s">
        <v>822</v>
      </c>
      <c r="S56" s="531" t="e">
        <f t="shared" si="41"/>
        <v>#VALUE!</v>
      </c>
      <c r="T56" s="600"/>
      <c r="U56" s="531" t="s">
        <v>822</v>
      </c>
      <c r="V56" s="533" t="s">
        <v>822</v>
      </c>
      <c r="W56" s="533" t="s">
        <v>822</v>
      </c>
      <c r="X56" s="531" t="e">
        <f t="shared" si="43"/>
        <v>#VALUE!</v>
      </c>
      <c r="Y56" s="600"/>
      <c r="Z56" s="531" t="s">
        <v>822</v>
      </c>
      <c r="AA56" s="533" t="s">
        <v>822</v>
      </c>
      <c r="AB56" s="533" t="s">
        <v>822</v>
      </c>
      <c r="AC56" s="531" t="e">
        <f t="shared" si="45"/>
        <v>#VALUE!</v>
      </c>
      <c r="AD56" s="600"/>
      <c r="AE56" s="531" t="s">
        <v>822</v>
      </c>
      <c r="AF56" s="533" t="s">
        <v>822</v>
      </c>
      <c r="AG56" s="533" t="s">
        <v>822</v>
      </c>
      <c r="AH56" s="531" t="e">
        <f t="shared" si="47"/>
        <v>#VALUE!</v>
      </c>
      <c r="AI56" s="600"/>
      <c r="AJ56" s="531" t="s">
        <v>822</v>
      </c>
      <c r="AK56" s="533" t="s">
        <v>822</v>
      </c>
      <c r="AL56" s="533" t="s">
        <v>822</v>
      </c>
      <c r="AM56" s="531" t="e">
        <f t="shared" si="49"/>
        <v>#VALUE!</v>
      </c>
      <c r="AN56" s="600"/>
      <c r="AO56" s="531" t="s">
        <v>822</v>
      </c>
      <c r="AP56" s="533" t="s">
        <v>822</v>
      </c>
      <c r="AQ56" s="533" t="s">
        <v>822</v>
      </c>
      <c r="AR56" s="531" t="e">
        <f t="shared" si="51"/>
        <v>#VALUE!</v>
      </c>
      <c r="AS56" s="600"/>
      <c r="AT56" s="531" t="s">
        <v>822</v>
      </c>
      <c r="AU56" s="533" t="s">
        <v>822</v>
      </c>
      <c r="AV56" s="533" t="s">
        <v>822</v>
      </c>
      <c r="AW56" s="531" t="e">
        <f t="shared" si="53"/>
        <v>#VALUE!</v>
      </c>
      <c r="AX56" s="600"/>
      <c r="AZ56" s="521" t="e">
        <f t="shared" si="55"/>
        <v>#N/A</v>
      </c>
      <c r="BA56" s="600"/>
    </row>
    <row r="57" spans="2:53">
      <c r="B57" s="610"/>
      <c r="C57" s="320">
        <v>11</v>
      </c>
      <c r="D57" s="226"/>
      <c r="E57" s="182"/>
      <c r="F57" s="511"/>
      <c r="G57" s="512"/>
      <c r="H57" s="668"/>
      <c r="I57" s="513" t="str">
        <f t="shared" si="38"/>
        <v>-</v>
      </c>
      <c r="J57" s="513" t="str">
        <f t="shared" si="39"/>
        <v>-</v>
      </c>
      <c r="K57" s="200" t="str">
        <f t="shared" si="40"/>
        <v>-</v>
      </c>
      <c r="L57" s="621"/>
      <c r="M57" s="201" t="e">
        <f>RANK(K57, K$47:$K$61)</f>
        <v>#VALUE!</v>
      </c>
      <c r="N57" s="604"/>
      <c r="O57" s="604"/>
      <c r="P57" s="531" t="s">
        <v>822</v>
      </c>
      <c r="Q57" s="533" t="s">
        <v>822</v>
      </c>
      <c r="R57" s="533" t="s">
        <v>822</v>
      </c>
      <c r="S57" s="531" t="e">
        <f t="shared" si="41"/>
        <v>#VALUE!</v>
      </c>
      <c r="T57" s="600"/>
      <c r="U57" s="531" t="s">
        <v>822</v>
      </c>
      <c r="V57" s="533" t="s">
        <v>822</v>
      </c>
      <c r="W57" s="533" t="s">
        <v>822</v>
      </c>
      <c r="X57" s="531" t="e">
        <f t="shared" si="43"/>
        <v>#VALUE!</v>
      </c>
      <c r="Y57" s="600"/>
      <c r="Z57" s="531" t="s">
        <v>822</v>
      </c>
      <c r="AA57" s="533" t="s">
        <v>822</v>
      </c>
      <c r="AB57" s="533" t="s">
        <v>822</v>
      </c>
      <c r="AC57" s="531" t="e">
        <f t="shared" si="45"/>
        <v>#VALUE!</v>
      </c>
      <c r="AD57" s="600"/>
      <c r="AE57" s="531" t="s">
        <v>822</v>
      </c>
      <c r="AF57" s="533" t="s">
        <v>822</v>
      </c>
      <c r="AG57" s="533" t="s">
        <v>822</v>
      </c>
      <c r="AH57" s="531" t="e">
        <f t="shared" si="47"/>
        <v>#VALUE!</v>
      </c>
      <c r="AI57" s="600"/>
      <c r="AJ57" s="531" t="s">
        <v>822</v>
      </c>
      <c r="AK57" s="533" t="s">
        <v>822</v>
      </c>
      <c r="AL57" s="533" t="s">
        <v>822</v>
      </c>
      <c r="AM57" s="531" t="e">
        <f t="shared" si="49"/>
        <v>#VALUE!</v>
      </c>
      <c r="AN57" s="600"/>
      <c r="AO57" s="531" t="s">
        <v>822</v>
      </c>
      <c r="AP57" s="533" t="s">
        <v>822</v>
      </c>
      <c r="AQ57" s="533" t="s">
        <v>822</v>
      </c>
      <c r="AR57" s="531" t="e">
        <f t="shared" si="51"/>
        <v>#VALUE!</v>
      </c>
      <c r="AS57" s="600"/>
      <c r="AT57" s="531" t="s">
        <v>822</v>
      </c>
      <c r="AU57" s="533" t="s">
        <v>822</v>
      </c>
      <c r="AV57" s="533" t="s">
        <v>822</v>
      </c>
      <c r="AW57" s="531" t="e">
        <f t="shared" si="53"/>
        <v>#VALUE!</v>
      </c>
      <c r="AX57" s="600"/>
      <c r="AZ57" s="521" t="e">
        <f t="shared" si="55"/>
        <v>#N/A</v>
      </c>
      <c r="BA57" s="600"/>
    </row>
    <row r="58" spans="2:53">
      <c r="B58" s="610"/>
      <c r="C58" s="320">
        <v>12</v>
      </c>
      <c r="D58" s="226"/>
      <c r="E58" s="182"/>
      <c r="F58" s="511"/>
      <c r="G58" s="512"/>
      <c r="H58" s="668"/>
      <c r="I58" s="513" t="str">
        <f t="shared" si="38"/>
        <v>-</v>
      </c>
      <c r="J58" s="513" t="str">
        <f t="shared" si="39"/>
        <v>-</v>
      </c>
      <c r="K58" s="200" t="str">
        <f t="shared" si="40"/>
        <v>-</v>
      </c>
      <c r="L58" s="621"/>
      <c r="M58" s="201" t="e">
        <f>RANK(K58, K$47:$K$61)</f>
        <v>#VALUE!</v>
      </c>
      <c r="N58" s="604"/>
      <c r="O58" s="604"/>
      <c r="P58" s="531" t="s">
        <v>822</v>
      </c>
      <c r="Q58" s="533" t="s">
        <v>822</v>
      </c>
      <c r="R58" s="533" t="s">
        <v>822</v>
      </c>
      <c r="S58" s="531" t="e">
        <f t="shared" si="41"/>
        <v>#VALUE!</v>
      </c>
      <c r="T58" s="600"/>
      <c r="U58" s="531" t="s">
        <v>822</v>
      </c>
      <c r="V58" s="533" t="s">
        <v>822</v>
      </c>
      <c r="W58" s="533" t="s">
        <v>822</v>
      </c>
      <c r="X58" s="531" t="e">
        <f t="shared" si="43"/>
        <v>#VALUE!</v>
      </c>
      <c r="Y58" s="600"/>
      <c r="Z58" s="531" t="s">
        <v>822</v>
      </c>
      <c r="AA58" s="533" t="s">
        <v>822</v>
      </c>
      <c r="AB58" s="533" t="s">
        <v>822</v>
      </c>
      <c r="AC58" s="531" t="e">
        <f t="shared" si="45"/>
        <v>#VALUE!</v>
      </c>
      <c r="AD58" s="600"/>
      <c r="AE58" s="531" t="s">
        <v>822</v>
      </c>
      <c r="AF58" s="533" t="s">
        <v>822</v>
      </c>
      <c r="AG58" s="533" t="s">
        <v>822</v>
      </c>
      <c r="AH58" s="531" t="e">
        <f t="shared" si="47"/>
        <v>#VALUE!</v>
      </c>
      <c r="AI58" s="600"/>
      <c r="AJ58" s="531" t="s">
        <v>822</v>
      </c>
      <c r="AK58" s="533" t="s">
        <v>822</v>
      </c>
      <c r="AL58" s="533" t="s">
        <v>822</v>
      </c>
      <c r="AM58" s="531" t="e">
        <f t="shared" si="49"/>
        <v>#VALUE!</v>
      </c>
      <c r="AN58" s="600"/>
      <c r="AO58" s="531" t="s">
        <v>822</v>
      </c>
      <c r="AP58" s="533" t="s">
        <v>822</v>
      </c>
      <c r="AQ58" s="533" t="s">
        <v>822</v>
      </c>
      <c r="AR58" s="531" t="e">
        <f t="shared" si="51"/>
        <v>#VALUE!</v>
      </c>
      <c r="AS58" s="600"/>
      <c r="AT58" s="531" t="s">
        <v>822</v>
      </c>
      <c r="AU58" s="533" t="s">
        <v>822</v>
      </c>
      <c r="AV58" s="533" t="s">
        <v>822</v>
      </c>
      <c r="AW58" s="531" t="e">
        <f t="shared" si="53"/>
        <v>#VALUE!</v>
      </c>
      <c r="AX58" s="600"/>
      <c r="AZ58" s="521" t="e">
        <f t="shared" si="55"/>
        <v>#N/A</v>
      </c>
      <c r="BA58" s="600"/>
    </row>
    <row r="59" spans="2:53">
      <c r="B59" s="610"/>
      <c r="C59" s="320">
        <v>13</v>
      </c>
      <c r="D59" s="226"/>
      <c r="E59" s="182"/>
      <c r="F59" s="511"/>
      <c r="G59" s="512"/>
      <c r="H59" s="668"/>
      <c r="I59" s="513" t="str">
        <f t="shared" si="38"/>
        <v>-</v>
      </c>
      <c r="J59" s="513" t="str">
        <f t="shared" si="39"/>
        <v>-</v>
      </c>
      <c r="K59" s="200" t="str">
        <f t="shared" si="40"/>
        <v>-</v>
      </c>
      <c r="L59" s="621"/>
      <c r="M59" s="201" t="e">
        <f>RANK(K59, K$47:$K$61)</f>
        <v>#VALUE!</v>
      </c>
      <c r="N59" s="604"/>
      <c r="O59" s="604"/>
      <c r="P59" s="531" t="s">
        <v>822</v>
      </c>
      <c r="Q59" s="533" t="s">
        <v>822</v>
      </c>
      <c r="R59" s="533" t="s">
        <v>822</v>
      </c>
      <c r="S59" s="531" t="e">
        <f t="shared" si="41"/>
        <v>#VALUE!</v>
      </c>
      <c r="T59" s="600"/>
      <c r="U59" s="531" t="s">
        <v>822</v>
      </c>
      <c r="V59" s="533" t="s">
        <v>822</v>
      </c>
      <c r="W59" s="533" t="s">
        <v>822</v>
      </c>
      <c r="X59" s="531" t="e">
        <f t="shared" si="43"/>
        <v>#VALUE!</v>
      </c>
      <c r="Y59" s="600"/>
      <c r="Z59" s="531" t="s">
        <v>822</v>
      </c>
      <c r="AA59" s="533" t="s">
        <v>822</v>
      </c>
      <c r="AB59" s="533" t="s">
        <v>822</v>
      </c>
      <c r="AC59" s="531" t="e">
        <f t="shared" si="45"/>
        <v>#VALUE!</v>
      </c>
      <c r="AD59" s="600"/>
      <c r="AE59" s="531" t="s">
        <v>822</v>
      </c>
      <c r="AF59" s="533" t="s">
        <v>822</v>
      </c>
      <c r="AG59" s="533" t="s">
        <v>822</v>
      </c>
      <c r="AH59" s="531" t="e">
        <f t="shared" si="47"/>
        <v>#VALUE!</v>
      </c>
      <c r="AI59" s="600"/>
      <c r="AJ59" s="531" t="s">
        <v>822</v>
      </c>
      <c r="AK59" s="533" t="s">
        <v>822</v>
      </c>
      <c r="AL59" s="533" t="s">
        <v>822</v>
      </c>
      <c r="AM59" s="531" t="e">
        <f t="shared" si="49"/>
        <v>#VALUE!</v>
      </c>
      <c r="AN59" s="600"/>
      <c r="AO59" s="531" t="s">
        <v>822</v>
      </c>
      <c r="AP59" s="533" t="s">
        <v>822</v>
      </c>
      <c r="AQ59" s="533" t="s">
        <v>822</v>
      </c>
      <c r="AR59" s="531" t="e">
        <f t="shared" si="51"/>
        <v>#VALUE!</v>
      </c>
      <c r="AS59" s="600"/>
      <c r="AT59" s="531" t="s">
        <v>822</v>
      </c>
      <c r="AU59" s="533" t="s">
        <v>822</v>
      </c>
      <c r="AV59" s="533" t="s">
        <v>822</v>
      </c>
      <c r="AW59" s="531" t="e">
        <f t="shared" si="53"/>
        <v>#VALUE!</v>
      </c>
      <c r="AX59" s="600"/>
      <c r="AZ59" s="521" t="e">
        <f t="shared" si="55"/>
        <v>#N/A</v>
      </c>
      <c r="BA59" s="600"/>
    </row>
    <row r="60" spans="2:53">
      <c r="B60" s="610"/>
      <c r="C60" s="320">
        <v>14</v>
      </c>
      <c r="D60" s="226"/>
      <c r="E60" s="182"/>
      <c r="F60" s="511"/>
      <c r="G60" s="512"/>
      <c r="H60" s="668"/>
      <c r="I60" s="513" t="str">
        <f t="shared" si="38"/>
        <v>-</v>
      </c>
      <c r="J60" s="513" t="str">
        <f t="shared" si="39"/>
        <v>-</v>
      </c>
      <c r="K60" s="200" t="str">
        <f t="shared" si="40"/>
        <v>-</v>
      </c>
      <c r="L60" s="621"/>
      <c r="M60" s="201" t="e">
        <f>RANK(K60, K$47:$K$61)</f>
        <v>#VALUE!</v>
      </c>
      <c r="N60" s="604"/>
      <c r="O60" s="604"/>
      <c r="P60" s="531" t="s">
        <v>822</v>
      </c>
      <c r="Q60" s="533" t="s">
        <v>822</v>
      </c>
      <c r="R60" s="533" t="s">
        <v>822</v>
      </c>
      <c r="S60" s="531" t="e">
        <f t="shared" si="41"/>
        <v>#VALUE!</v>
      </c>
      <c r="T60" s="600"/>
      <c r="U60" s="531" t="s">
        <v>822</v>
      </c>
      <c r="V60" s="533" t="s">
        <v>822</v>
      </c>
      <c r="W60" s="533" t="s">
        <v>822</v>
      </c>
      <c r="X60" s="531" t="e">
        <f t="shared" si="43"/>
        <v>#VALUE!</v>
      </c>
      <c r="Y60" s="600"/>
      <c r="Z60" s="531" t="s">
        <v>822</v>
      </c>
      <c r="AA60" s="533" t="s">
        <v>822</v>
      </c>
      <c r="AB60" s="533" t="s">
        <v>822</v>
      </c>
      <c r="AC60" s="531" t="e">
        <f t="shared" si="45"/>
        <v>#VALUE!</v>
      </c>
      <c r="AD60" s="600"/>
      <c r="AE60" s="531" t="s">
        <v>822</v>
      </c>
      <c r="AF60" s="533" t="s">
        <v>822</v>
      </c>
      <c r="AG60" s="533" t="s">
        <v>822</v>
      </c>
      <c r="AH60" s="531" t="e">
        <f t="shared" si="47"/>
        <v>#VALUE!</v>
      </c>
      <c r="AI60" s="600"/>
      <c r="AJ60" s="531" t="s">
        <v>822</v>
      </c>
      <c r="AK60" s="533" t="s">
        <v>822</v>
      </c>
      <c r="AL60" s="533" t="s">
        <v>822</v>
      </c>
      <c r="AM60" s="531" t="e">
        <f t="shared" si="49"/>
        <v>#VALUE!</v>
      </c>
      <c r="AN60" s="600"/>
      <c r="AO60" s="531" t="s">
        <v>822</v>
      </c>
      <c r="AP60" s="533" t="s">
        <v>822</v>
      </c>
      <c r="AQ60" s="533" t="s">
        <v>822</v>
      </c>
      <c r="AR60" s="531" t="e">
        <f t="shared" si="51"/>
        <v>#VALUE!</v>
      </c>
      <c r="AS60" s="600"/>
      <c r="AT60" s="531" t="s">
        <v>822</v>
      </c>
      <c r="AU60" s="533" t="s">
        <v>822</v>
      </c>
      <c r="AV60" s="533" t="s">
        <v>822</v>
      </c>
      <c r="AW60" s="531" t="e">
        <f t="shared" si="53"/>
        <v>#VALUE!</v>
      </c>
      <c r="AX60" s="600"/>
      <c r="AZ60" s="521" t="e">
        <f t="shared" si="55"/>
        <v>#N/A</v>
      </c>
      <c r="BA60" s="600"/>
    </row>
    <row r="61" spans="2:53">
      <c r="B61" s="610"/>
      <c r="C61" s="320">
        <v>15</v>
      </c>
      <c r="D61" s="226"/>
      <c r="E61" s="182"/>
      <c r="F61" s="511"/>
      <c r="G61" s="512"/>
      <c r="H61" s="669"/>
      <c r="I61" s="202"/>
      <c r="J61" s="202"/>
      <c r="K61" s="202"/>
      <c r="L61" s="622"/>
      <c r="M61" s="201" t="e">
        <f>RANK(K61, K$47:$K$61)</f>
        <v>#N/A</v>
      </c>
      <c r="N61" s="604"/>
      <c r="O61" s="604"/>
      <c r="P61" s="531" t="s">
        <v>822</v>
      </c>
      <c r="Q61" s="533" t="s">
        <v>822</v>
      </c>
      <c r="R61" s="533" t="s">
        <v>822</v>
      </c>
      <c r="S61" s="531" t="e">
        <f t="shared" si="41"/>
        <v>#VALUE!</v>
      </c>
      <c r="T61" s="601"/>
      <c r="U61" s="531" t="s">
        <v>822</v>
      </c>
      <c r="V61" s="533" t="s">
        <v>822</v>
      </c>
      <c r="W61" s="533" t="s">
        <v>822</v>
      </c>
      <c r="X61" s="531" t="e">
        <f t="shared" si="43"/>
        <v>#VALUE!</v>
      </c>
      <c r="Y61" s="601"/>
      <c r="Z61" s="531" t="s">
        <v>822</v>
      </c>
      <c r="AA61" s="533" t="s">
        <v>822</v>
      </c>
      <c r="AB61" s="533" t="s">
        <v>822</v>
      </c>
      <c r="AC61" s="531" t="e">
        <f t="shared" si="45"/>
        <v>#VALUE!</v>
      </c>
      <c r="AD61" s="601"/>
      <c r="AE61" s="531" t="s">
        <v>822</v>
      </c>
      <c r="AF61" s="533" t="s">
        <v>822</v>
      </c>
      <c r="AG61" s="533" t="s">
        <v>822</v>
      </c>
      <c r="AH61" s="531" t="e">
        <f t="shared" si="47"/>
        <v>#VALUE!</v>
      </c>
      <c r="AI61" s="601"/>
      <c r="AJ61" s="531" t="s">
        <v>822</v>
      </c>
      <c r="AK61" s="533" t="s">
        <v>822</v>
      </c>
      <c r="AL61" s="533" t="s">
        <v>822</v>
      </c>
      <c r="AM61" s="531" t="e">
        <f t="shared" si="49"/>
        <v>#VALUE!</v>
      </c>
      <c r="AN61" s="601"/>
      <c r="AO61" s="531" t="s">
        <v>822</v>
      </c>
      <c r="AP61" s="533" t="s">
        <v>822</v>
      </c>
      <c r="AQ61" s="533" t="s">
        <v>822</v>
      </c>
      <c r="AR61" s="531" t="e">
        <f t="shared" si="51"/>
        <v>#VALUE!</v>
      </c>
      <c r="AS61" s="601"/>
      <c r="AT61" s="531" t="s">
        <v>822</v>
      </c>
      <c r="AU61" s="533" t="s">
        <v>822</v>
      </c>
      <c r="AV61" s="533" t="s">
        <v>822</v>
      </c>
      <c r="AW61" s="531" t="e">
        <f t="shared" si="53"/>
        <v>#VALUE!</v>
      </c>
      <c r="AX61" s="601"/>
      <c r="AZ61" s="521" t="e">
        <f t="shared" si="55"/>
        <v>#N/A</v>
      </c>
      <c r="BA61" s="601"/>
    </row>
    <row r="62" spans="2:53" ht="15.75">
      <c r="B62" s="633" t="s">
        <v>163</v>
      </c>
      <c r="C62" s="634"/>
      <c r="D62" s="634"/>
      <c r="E62" s="634"/>
      <c r="F62" s="634"/>
      <c r="G62" s="634"/>
      <c r="H62" s="635"/>
      <c r="I62" s="208"/>
      <c r="J62" s="208"/>
      <c r="K62" s="208"/>
      <c r="L62" s="208"/>
      <c r="M62" s="207"/>
      <c r="N62" s="606" t="s">
        <v>156</v>
      </c>
      <c r="O62" s="606" t="s">
        <v>105</v>
      </c>
      <c r="P62" s="632">
        <f>P42+7</f>
        <v>46133</v>
      </c>
      <c r="Q62" s="610"/>
      <c r="R62" s="610"/>
      <c r="S62" s="610"/>
      <c r="T62" s="610"/>
      <c r="U62" s="629">
        <f>P62+1</f>
        <v>46134</v>
      </c>
      <c r="V62" s="630"/>
      <c r="W62" s="630"/>
      <c r="X62" s="630"/>
      <c r="Y62" s="631"/>
      <c r="Z62" s="629">
        <f>U62+1</f>
        <v>46135</v>
      </c>
      <c r="AA62" s="630"/>
      <c r="AB62" s="630"/>
      <c r="AC62" s="630"/>
      <c r="AD62" s="631"/>
      <c r="AE62" s="629">
        <f>Z62+1</f>
        <v>46136</v>
      </c>
      <c r="AF62" s="630"/>
      <c r="AG62" s="630"/>
      <c r="AH62" s="630"/>
      <c r="AI62" s="631"/>
      <c r="AJ62" s="629">
        <f>AE62+1</f>
        <v>46137</v>
      </c>
      <c r="AK62" s="630"/>
      <c r="AL62" s="630"/>
      <c r="AM62" s="630"/>
      <c r="AN62" s="631"/>
      <c r="AO62" s="629">
        <f>AJ62+1</f>
        <v>46138</v>
      </c>
      <c r="AP62" s="630"/>
      <c r="AQ62" s="630"/>
      <c r="AR62" s="630"/>
      <c r="AS62" s="631"/>
      <c r="AT62" s="629">
        <f>AO62+1</f>
        <v>46139</v>
      </c>
      <c r="AU62" s="630"/>
      <c r="AV62" s="630"/>
      <c r="AW62" s="630"/>
      <c r="AX62" s="631"/>
    </row>
    <row r="63" spans="2:53" ht="15.75">
      <c r="B63" s="636"/>
      <c r="C63" s="636"/>
      <c r="D63" s="636"/>
      <c r="E63" s="636"/>
      <c r="F63" s="636"/>
      <c r="G63" s="636"/>
      <c r="H63" s="636"/>
      <c r="I63" s="205"/>
      <c r="J63" s="205"/>
      <c r="K63" s="205"/>
      <c r="L63" s="205"/>
      <c r="M63" s="206"/>
      <c r="N63" s="608"/>
      <c r="O63" s="608"/>
      <c r="P63" s="632" t="s">
        <v>336</v>
      </c>
      <c r="Q63" s="610"/>
      <c r="R63" s="610"/>
      <c r="S63" s="610"/>
      <c r="T63" s="610"/>
      <c r="U63" s="632" t="s">
        <v>337</v>
      </c>
      <c r="V63" s="610"/>
      <c r="W63" s="610"/>
      <c r="X63" s="610"/>
      <c r="Y63" s="610"/>
      <c r="Z63" s="632" t="s">
        <v>338</v>
      </c>
      <c r="AA63" s="610"/>
      <c r="AB63" s="610"/>
      <c r="AC63" s="610"/>
      <c r="AD63" s="610"/>
      <c r="AE63" s="632" t="s">
        <v>339</v>
      </c>
      <c r="AF63" s="610"/>
      <c r="AG63" s="610"/>
      <c r="AH63" s="610"/>
      <c r="AI63" s="610"/>
      <c r="AJ63" s="632" t="s">
        <v>340</v>
      </c>
      <c r="AK63" s="610"/>
      <c r="AL63" s="610"/>
      <c r="AM63" s="610"/>
      <c r="AN63" s="610"/>
      <c r="AO63" s="632" t="s">
        <v>341</v>
      </c>
      <c r="AP63" s="610"/>
      <c r="AQ63" s="610"/>
      <c r="AR63" s="610"/>
      <c r="AS63" s="610"/>
      <c r="AT63" s="632" t="s">
        <v>342</v>
      </c>
      <c r="AU63" s="610"/>
      <c r="AV63" s="610"/>
      <c r="AW63" s="610"/>
      <c r="AX63" s="610"/>
    </row>
    <row r="64" spans="2:53">
      <c r="B64" s="604" t="s">
        <v>398</v>
      </c>
      <c r="C64" s="604" t="s">
        <v>408</v>
      </c>
      <c r="D64" s="604"/>
      <c r="E64" s="604" t="s">
        <v>399</v>
      </c>
      <c r="F64" s="604"/>
      <c r="G64" s="604"/>
      <c r="H64" s="637" t="s">
        <v>395</v>
      </c>
      <c r="I64" s="656" t="s">
        <v>400</v>
      </c>
      <c r="J64" s="656"/>
      <c r="K64" s="656"/>
      <c r="L64" s="657" t="s">
        <v>395</v>
      </c>
      <c r="M64" s="642" t="s">
        <v>396</v>
      </c>
      <c r="N64" s="604"/>
      <c r="O64" s="604" t="s">
        <v>401</v>
      </c>
      <c r="P64" s="623" t="s">
        <v>397</v>
      </c>
      <c r="Q64" s="624"/>
      <c r="R64" s="624"/>
      <c r="S64" s="625"/>
      <c r="T64" s="604" t="s">
        <v>395</v>
      </c>
      <c r="U64" s="623" t="s">
        <v>397</v>
      </c>
      <c r="V64" s="624"/>
      <c r="W64" s="624"/>
      <c r="X64" s="625"/>
      <c r="Y64" s="604" t="s">
        <v>395</v>
      </c>
      <c r="Z64" s="623" t="s">
        <v>397</v>
      </c>
      <c r="AA64" s="624"/>
      <c r="AB64" s="624"/>
      <c r="AC64" s="625"/>
      <c r="AD64" s="604" t="s">
        <v>395</v>
      </c>
      <c r="AE64" s="623" t="s">
        <v>397</v>
      </c>
      <c r="AF64" s="624"/>
      <c r="AG64" s="624"/>
      <c r="AH64" s="625"/>
      <c r="AI64" s="604" t="s">
        <v>395</v>
      </c>
      <c r="AJ64" s="623" t="s">
        <v>397</v>
      </c>
      <c r="AK64" s="624"/>
      <c r="AL64" s="624"/>
      <c r="AM64" s="625"/>
      <c r="AN64" s="604" t="s">
        <v>395</v>
      </c>
      <c r="AO64" s="623" t="s">
        <v>397</v>
      </c>
      <c r="AP64" s="624"/>
      <c r="AQ64" s="624"/>
      <c r="AR64" s="625"/>
      <c r="AS64" s="604" t="s">
        <v>395</v>
      </c>
      <c r="AT64" s="623" t="s">
        <v>397</v>
      </c>
      <c r="AU64" s="624"/>
      <c r="AV64" s="624"/>
      <c r="AW64" s="625"/>
      <c r="AX64" s="604" t="s">
        <v>395</v>
      </c>
      <c r="BA64" s="604" t="s">
        <v>395</v>
      </c>
    </row>
    <row r="65" spans="2:53">
      <c r="B65" s="604"/>
      <c r="C65" s="604"/>
      <c r="D65" s="604"/>
      <c r="E65" s="604" t="s">
        <v>402</v>
      </c>
      <c r="F65" s="604"/>
      <c r="G65" s="604"/>
      <c r="H65" s="638"/>
      <c r="I65" s="656" t="s">
        <v>402</v>
      </c>
      <c r="J65" s="656"/>
      <c r="K65" s="656"/>
      <c r="L65" s="658"/>
      <c r="M65" s="643"/>
      <c r="N65" s="604"/>
      <c r="O65" s="604"/>
      <c r="P65" s="623" t="s">
        <v>403</v>
      </c>
      <c r="Q65" s="624"/>
      <c r="R65" s="624"/>
      <c r="S65" s="625"/>
      <c r="T65" s="604"/>
      <c r="U65" s="623" t="s">
        <v>403</v>
      </c>
      <c r="V65" s="624"/>
      <c r="W65" s="624"/>
      <c r="X65" s="625"/>
      <c r="Y65" s="604"/>
      <c r="Z65" s="623" t="s">
        <v>403</v>
      </c>
      <c r="AA65" s="624"/>
      <c r="AB65" s="624"/>
      <c r="AC65" s="625"/>
      <c r="AD65" s="604"/>
      <c r="AE65" s="623" t="s">
        <v>403</v>
      </c>
      <c r="AF65" s="624"/>
      <c r="AG65" s="624"/>
      <c r="AH65" s="625"/>
      <c r="AI65" s="604"/>
      <c r="AJ65" s="623" t="s">
        <v>403</v>
      </c>
      <c r="AK65" s="624"/>
      <c r="AL65" s="624"/>
      <c r="AM65" s="625"/>
      <c r="AN65" s="604"/>
      <c r="AO65" s="623" t="s">
        <v>403</v>
      </c>
      <c r="AP65" s="624"/>
      <c r="AQ65" s="624"/>
      <c r="AR65" s="625"/>
      <c r="AS65" s="604"/>
      <c r="AT65" s="623" t="s">
        <v>403</v>
      </c>
      <c r="AU65" s="624"/>
      <c r="AV65" s="624"/>
      <c r="AW65" s="625"/>
      <c r="AX65" s="604"/>
      <c r="BA65" s="604"/>
    </row>
    <row r="66" spans="2:53">
      <c r="B66" s="604"/>
      <c r="C66" s="604"/>
      <c r="D66" s="604"/>
      <c r="E66" s="304" t="s">
        <v>404</v>
      </c>
      <c r="F66" s="304" t="s">
        <v>405</v>
      </c>
      <c r="G66" s="304" t="s">
        <v>406</v>
      </c>
      <c r="H66" s="639"/>
      <c r="I66" s="303" t="s">
        <v>404</v>
      </c>
      <c r="J66" s="303" t="s">
        <v>405</v>
      </c>
      <c r="K66" s="303" t="s">
        <v>406</v>
      </c>
      <c r="L66" s="659"/>
      <c r="M66" s="644"/>
      <c r="N66" s="604"/>
      <c r="O66" s="604"/>
      <c r="P66" s="304" t="s">
        <v>404</v>
      </c>
      <c r="Q66" s="304" t="s">
        <v>405</v>
      </c>
      <c r="R66" s="304" t="s">
        <v>406</v>
      </c>
      <c r="S66" s="304" t="s">
        <v>396</v>
      </c>
      <c r="T66" s="604"/>
      <c r="U66" s="304" t="s">
        <v>404</v>
      </c>
      <c r="V66" s="304" t="s">
        <v>405</v>
      </c>
      <c r="W66" s="304" t="s">
        <v>406</v>
      </c>
      <c r="X66" s="304" t="s">
        <v>396</v>
      </c>
      <c r="Y66" s="604"/>
      <c r="Z66" s="304" t="s">
        <v>404</v>
      </c>
      <c r="AA66" s="304" t="s">
        <v>405</v>
      </c>
      <c r="AB66" s="304" t="s">
        <v>406</v>
      </c>
      <c r="AC66" s="304" t="s">
        <v>396</v>
      </c>
      <c r="AD66" s="604"/>
      <c r="AE66" s="304" t="s">
        <v>404</v>
      </c>
      <c r="AF66" s="304" t="s">
        <v>405</v>
      </c>
      <c r="AG66" s="304" t="s">
        <v>406</v>
      </c>
      <c r="AH66" s="304" t="s">
        <v>396</v>
      </c>
      <c r="AI66" s="604"/>
      <c r="AJ66" s="304" t="s">
        <v>404</v>
      </c>
      <c r="AK66" s="304" t="s">
        <v>405</v>
      </c>
      <c r="AL66" s="304" t="s">
        <v>406</v>
      </c>
      <c r="AM66" s="304" t="s">
        <v>396</v>
      </c>
      <c r="AN66" s="604"/>
      <c r="AO66" s="304" t="s">
        <v>404</v>
      </c>
      <c r="AP66" s="304" t="s">
        <v>405</v>
      </c>
      <c r="AQ66" s="304" t="s">
        <v>406</v>
      </c>
      <c r="AR66" s="304" t="s">
        <v>396</v>
      </c>
      <c r="AS66" s="604"/>
      <c r="AT66" s="304" t="s">
        <v>404</v>
      </c>
      <c r="AU66" s="304" t="s">
        <v>405</v>
      </c>
      <c r="AV66" s="304" t="s">
        <v>406</v>
      </c>
      <c r="AW66" s="304" t="s">
        <v>396</v>
      </c>
      <c r="AX66" s="604"/>
      <c r="AZ66" s="520" t="s">
        <v>396</v>
      </c>
      <c r="BA66" s="604"/>
    </row>
    <row r="67" spans="2:53">
      <c r="B67" s="604" t="s">
        <v>409</v>
      </c>
      <c r="C67" s="305">
        <v>1</v>
      </c>
      <c r="D67" s="226" t="s">
        <v>823</v>
      </c>
      <c r="E67" s="182">
        <v>15</v>
      </c>
      <c r="F67" s="511">
        <v>1500</v>
      </c>
      <c r="G67" s="512">
        <v>100</v>
      </c>
      <c r="H67" s="667">
        <f>AVERAGE(G67:G81)</f>
        <v>98.84615384615384</v>
      </c>
      <c r="I67" s="513">
        <f t="shared" ref="I67:I80" si="57">IFERROR(AVERAGE(P67,U67,Z67,AE67,AJ67,AO67,AT67),"-")</f>
        <v>12.4</v>
      </c>
      <c r="J67" s="513">
        <f t="shared" ref="J67:J80" si="58">IFERROR(AVERAGE(Q67,V67,AA67,AF67,AK67,AP67,AU67),"-")</f>
        <v>1545.1628571428569</v>
      </c>
      <c r="K67" s="200">
        <f t="shared" ref="K67:K80" si="59">IFERROR(AVERAGE(R67,W67,AB67,AG67,AL67,AQ67,AV67),"-")</f>
        <v>126.02545054945051</v>
      </c>
      <c r="L67" s="620">
        <f>IFERROR(AVERAGE(K67:K81),"-")</f>
        <v>98.005464310361845</v>
      </c>
      <c r="M67" s="201">
        <f>RANK(K67, K$67:$K$81)</f>
        <v>1</v>
      </c>
      <c r="N67" s="604"/>
      <c r="O67" s="604"/>
      <c r="P67" s="536">
        <v>13</v>
      </c>
      <c r="Q67" s="538">
        <v>1489.199999999998</v>
      </c>
      <c r="R67" s="538">
        <v>114.553846153846</v>
      </c>
      <c r="S67" s="536">
        <f t="shared" ref="S67:S81" si="60">RANK(R67, R$67:R$81)</f>
        <v>1</v>
      </c>
      <c r="T67" s="599">
        <f t="shared" ref="T67" si="61">AVERAGE(R67:R81)</f>
        <v>96.412820512820574</v>
      </c>
      <c r="U67" s="536">
        <v>13</v>
      </c>
      <c r="V67" s="538">
        <v>1539.5999999999981</v>
      </c>
      <c r="W67" s="538">
        <v>118.43076923076909</v>
      </c>
      <c r="X67" s="536">
        <f t="shared" ref="X67:X81" si="62">RANK(W67, W$67:W$81)</f>
        <v>1</v>
      </c>
      <c r="Y67" s="599">
        <f t="shared" ref="Y67" si="63">AVERAGE(W67:W81)</f>
        <v>99.349120879120818</v>
      </c>
      <c r="Z67" s="536">
        <v>10</v>
      </c>
      <c r="AA67" s="538">
        <v>1552.8000000000004</v>
      </c>
      <c r="AB67" s="538">
        <v>155.28000000000003</v>
      </c>
      <c r="AC67" s="536">
        <f t="shared" ref="AC67:AC81" si="64">RANK(AB67, AB$67:AB$81)</f>
        <v>1</v>
      </c>
      <c r="AD67" s="599">
        <f t="shared" ref="AD67" si="65">AVERAGE(AB67:AB81)</f>
        <v>105.84307692307692</v>
      </c>
      <c r="AE67" s="536">
        <v>13</v>
      </c>
      <c r="AF67" s="538">
        <v>1585.7142857142876</v>
      </c>
      <c r="AG67" s="538">
        <v>121.97802197802213</v>
      </c>
      <c r="AH67" s="536">
        <f t="shared" ref="AH67:AH81" si="66">RANK(AG67, AG$67:AG$81)</f>
        <v>1</v>
      </c>
      <c r="AI67" s="599">
        <f t="shared" ref="AI67" si="67">AVERAGE(AG67:AG81)</f>
        <v>94.762197802197846</v>
      </c>
      <c r="AJ67" s="536">
        <v>13</v>
      </c>
      <c r="AK67" s="538">
        <v>1558.4999999999995</v>
      </c>
      <c r="AL67" s="538">
        <v>119.88461538461534</v>
      </c>
      <c r="AM67" s="536">
        <f t="shared" ref="AM67:AM81" si="68">RANK(AL67, AL$67:AL$81)</f>
        <v>1</v>
      </c>
      <c r="AN67" s="599">
        <f t="shared" ref="AN67" si="69">AVERAGE(AL67:AL81)</f>
        <v>96.865796703296809</v>
      </c>
      <c r="AO67" s="536" t="s">
        <v>822</v>
      </c>
      <c r="AP67" s="538" t="s">
        <v>822</v>
      </c>
      <c r="AQ67" s="538" t="s">
        <v>822</v>
      </c>
      <c r="AR67" s="536" t="e">
        <f t="shared" ref="AR67:AR81" si="70">RANK(AQ67, AQ$67:AQ$81)</f>
        <v>#VALUE!</v>
      </c>
      <c r="AS67" s="599">
        <f t="shared" ref="AS67" si="71">AVERAGE(AQ67:AQ81)</f>
        <v>87.387736900780382</v>
      </c>
      <c r="AT67" s="536" t="s">
        <v>822</v>
      </c>
      <c r="AU67" s="538" t="s">
        <v>822</v>
      </c>
      <c r="AV67" s="538" t="s">
        <v>822</v>
      </c>
      <c r="AW67" s="536" t="e">
        <f t="shared" ref="AW67:AW81" si="72">RANK(AV67, AV$67:AV$81)</f>
        <v>#VALUE!</v>
      </c>
      <c r="AX67" s="599">
        <f t="shared" ref="AX67" si="73">AVERAGE(AV67:AV81)</f>
        <v>85.668945868945798</v>
      </c>
      <c r="AZ67" s="521" t="e">
        <f t="shared" ref="AZ67:AZ81" si="74">RANK(AY67, AY$67:AY$81)</f>
        <v>#N/A</v>
      </c>
      <c r="BA67" s="599" t="e">
        <f t="shared" ref="BA67" si="75">AVERAGE(AY67:AY81)</f>
        <v>#DIV/0!</v>
      </c>
    </row>
    <row r="68" spans="2:53">
      <c r="B68" s="610"/>
      <c r="C68" s="305">
        <v>2</v>
      </c>
      <c r="D68" s="226" t="s">
        <v>740</v>
      </c>
      <c r="E68" s="182">
        <v>13</v>
      </c>
      <c r="F68" s="511">
        <v>1500</v>
      </c>
      <c r="G68" s="512">
        <v>115.38461538461539</v>
      </c>
      <c r="H68" s="668"/>
      <c r="I68" s="513">
        <f t="shared" si="57"/>
        <v>13</v>
      </c>
      <c r="J68" s="513">
        <f t="shared" si="58"/>
        <v>1372.7142857142867</v>
      </c>
      <c r="K68" s="200">
        <f t="shared" si="59"/>
        <v>105.59340659340667</v>
      </c>
      <c r="L68" s="621"/>
      <c r="M68" s="201">
        <f>RANK(K68, K$67:$K$81)</f>
        <v>2</v>
      </c>
      <c r="N68" s="604"/>
      <c r="O68" s="604"/>
      <c r="P68" s="536">
        <v>13</v>
      </c>
      <c r="Q68" s="538">
        <v>1420.000000000005</v>
      </c>
      <c r="R68" s="538">
        <v>109.23076923076961</v>
      </c>
      <c r="S68" s="536">
        <f t="shared" si="60"/>
        <v>2</v>
      </c>
      <c r="T68" s="600"/>
      <c r="U68" s="536">
        <v>13</v>
      </c>
      <c r="V68" s="538">
        <v>1507.9999999999975</v>
      </c>
      <c r="W68" s="538">
        <v>115.9999999999998</v>
      </c>
      <c r="X68" s="536">
        <f t="shared" si="62"/>
        <v>2</v>
      </c>
      <c r="Y68" s="600"/>
      <c r="Z68" s="536">
        <v>13</v>
      </c>
      <c r="AA68" s="538">
        <v>1399.9999999999975</v>
      </c>
      <c r="AB68" s="538">
        <v>107.69230769230749</v>
      </c>
      <c r="AC68" s="536">
        <f t="shared" si="64"/>
        <v>2</v>
      </c>
      <c r="AD68" s="600"/>
      <c r="AE68" s="536">
        <v>13</v>
      </c>
      <c r="AF68" s="538">
        <v>1212.0000000000043</v>
      </c>
      <c r="AG68" s="538">
        <v>93.230769230769567</v>
      </c>
      <c r="AH68" s="536">
        <f t="shared" si="66"/>
        <v>2</v>
      </c>
      <c r="AI68" s="600"/>
      <c r="AJ68" s="536">
        <v>13</v>
      </c>
      <c r="AK68" s="538">
        <v>1404.000000000005</v>
      </c>
      <c r="AL68" s="538">
        <v>108.00000000000038</v>
      </c>
      <c r="AM68" s="536">
        <f t="shared" si="68"/>
        <v>2</v>
      </c>
      <c r="AN68" s="600"/>
      <c r="AO68" s="536">
        <v>13</v>
      </c>
      <c r="AP68" s="538">
        <v>1359.9999999999975</v>
      </c>
      <c r="AQ68" s="538">
        <v>104.61538461538443</v>
      </c>
      <c r="AR68" s="536">
        <f t="shared" si="70"/>
        <v>1</v>
      </c>
      <c r="AS68" s="600"/>
      <c r="AT68" s="536">
        <v>13</v>
      </c>
      <c r="AU68" s="538">
        <v>1304.9999999999995</v>
      </c>
      <c r="AV68" s="538">
        <v>100.38461538461534</v>
      </c>
      <c r="AW68" s="536">
        <f t="shared" si="72"/>
        <v>1</v>
      </c>
      <c r="AX68" s="600"/>
      <c r="AZ68" s="521" t="e">
        <f t="shared" si="74"/>
        <v>#N/A</v>
      </c>
      <c r="BA68" s="600"/>
    </row>
    <row r="69" spans="2:53">
      <c r="B69" s="610"/>
      <c r="C69" s="305">
        <v>3</v>
      </c>
      <c r="D69" s="226" t="s">
        <v>840</v>
      </c>
      <c r="E69" s="182">
        <v>15</v>
      </c>
      <c r="F69" s="511">
        <v>1500</v>
      </c>
      <c r="G69" s="512">
        <v>100</v>
      </c>
      <c r="H69" s="668"/>
      <c r="I69" s="513">
        <f t="shared" si="57"/>
        <v>15</v>
      </c>
      <c r="J69" s="513">
        <f t="shared" si="58"/>
        <v>1197.8163265306118</v>
      </c>
      <c r="K69" s="200">
        <f t="shared" si="59"/>
        <v>79.854421768707454</v>
      </c>
      <c r="L69" s="621"/>
      <c r="M69" s="201">
        <f>RANK(K69, K$67:$K$81)</f>
        <v>4</v>
      </c>
      <c r="N69" s="604"/>
      <c r="O69" s="604"/>
      <c r="P69" s="536">
        <v>15</v>
      </c>
      <c r="Q69" s="538">
        <v>1230.9999999999995</v>
      </c>
      <c r="R69" s="538">
        <v>82.066666666666634</v>
      </c>
      <c r="S69" s="536">
        <f t="shared" si="60"/>
        <v>3</v>
      </c>
      <c r="T69" s="600"/>
      <c r="U69" s="536">
        <v>15</v>
      </c>
      <c r="V69" s="538">
        <v>1228.2857142857158</v>
      </c>
      <c r="W69" s="538">
        <v>81.885714285714386</v>
      </c>
      <c r="X69" s="536">
        <f t="shared" si="62"/>
        <v>3</v>
      </c>
      <c r="Y69" s="600"/>
      <c r="Z69" s="536">
        <v>15</v>
      </c>
      <c r="AA69" s="538">
        <v>1194.0000000000018</v>
      </c>
      <c r="AB69" s="538">
        <v>79.600000000000122</v>
      </c>
      <c r="AC69" s="536">
        <f t="shared" si="64"/>
        <v>4</v>
      </c>
      <c r="AD69" s="600"/>
      <c r="AE69" s="536">
        <v>15</v>
      </c>
      <c r="AF69" s="538">
        <v>1271.9999999999968</v>
      </c>
      <c r="AG69" s="538">
        <v>84.799999999999784</v>
      </c>
      <c r="AH69" s="536">
        <f t="shared" si="66"/>
        <v>3</v>
      </c>
      <c r="AI69" s="600"/>
      <c r="AJ69" s="536">
        <v>15</v>
      </c>
      <c r="AK69" s="538">
        <v>1179.4285714285702</v>
      </c>
      <c r="AL69" s="538">
        <v>78.628571428571348</v>
      </c>
      <c r="AM69" s="536">
        <f t="shared" si="68"/>
        <v>4</v>
      </c>
      <c r="AN69" s="600"/>
      <c r="AO69" s="536">
        <v>15</v>
      </c>
      <c r="AP69" s="538">
        <v>1146.0000000000018</v>
      </c>
      <c r="AQ69" s="538">
        <v>76.400000000000119</v>
      </c>
      <c r="AR69" s="536">
        <f t="shared" si="70"/>
        <v>3</v>
      </c>
      <c r="AS69" s="600"/>
      <c r="AT69" s="536">
        <v>15</v>
      </c>
      <c r="AU69" s="538">
        <v>1133.999999999997</v>
      </c>
      <c r="AV69" s="538">
        <v>75.59999999999981</v>
      </c>
      <c r="AW69" s="536">
        <f t="shared" si="72"/>
        <v>3</v>
      </c>
      <c r="AX69" s="600"/>
      <c r="AZ69" s="521" t="e">
        <f t="shared" si="74"/>
        <v>#N/A</v>
      </c>
      <c r="BA69" s="600"/>
    </row>
    <row r="70" spans="2:53">
      <c r="B70" s="610"/>
      <c r="C70" s="305">
        <v>4</v>
      </c>
      <c r="D70" s="226" t="s">
        <v>908</v>
      </c>
      <c r="E70" s="182">
        <v>15</v>
      </c>
      <c r="F70" s="511">
        <v>1200</v>
      </c>
      <c r="G70" s="512">
        <v>80</v>
      </c>
      <c r="H70" s="668"/>
      <c r="I70" s="513">
        <f t="shared" si="57"/>
        <v>15</v>
      </c>
      <c r="J70" s="513">
        <f t="shared" si="58"/>
        <v>1208.2286749482407</v>
      </c>
      <c r="K70" s="200">
        <f t="shared" si="59"/>
        <v>80.548578329882716</v>
      </c>
      <c r="L70" s="621"/>
      <c r="M70" s="201">
        <f>RANK(K70, K$67:$K$81)</f>
        <v>3</v>
      </c>
      <c r="N70" s="604"/>
      <c r="O70" s="604"/>
      <c r="P70" s="536">
        <v>15</v>
      </c>
      <c r="Q70" s="538">
        <v>1197</v>
      </c>
      <c r="R70" s="538">
        <v>79.8</v>
      </c>
      <c r="S70" s="536">
        <f t="shared" si="60"/>
        <v>4</v>
      </c>
      <c r="T70" s="600"/>
      <c r="U70" s="536">
        <v>15</v>
      </c>
      <c r="V70" s="538">
        <v>1216.2000000000005</v>
      </c>
      <c r="W70" s="538">
        <v>81.080000000000027</v>
      </c>
      <c r="X70" s="536">
        <f t="shared" si="62"/>
        <v>4</v>
      </c>
      <c r="Y70" s="600"/>
      <c r="Z70" s="536">
        <v>15</v>
      </c>
      <c r="AA70" s="538">
        <v>1212.0000000000005</v>
      </c>
      <c r="AB70" s="538">
        <v>80.800000000000026</v>
      </c>
      <c r="AC70" s="536">
        <f t="shared" si="64"/>
        <v>3</v>
      </c>
      <c r="AD70" s="600"/>
      <c r="AE70" s="536">
        <v>15</v>
      </c>
      <c r="AF70" s="538">
        <v>1185.599999999999</v>
      </c>
      <c r="AG70" s="538">
        <v>79.039999999999935</v>
      </c>
      <c r="AH70" s="536">
        <f t="shared" si="66"/>
        <v>4</v>
      </c>
      <c r="AI70" s="600"/>
      <c r="AJ70" s="536">
        <v>15</v>
      </c>
      <c r="AK70" s="538">
        <v>1214.250000000002</v>
      </c>
      <c r="AL70" s="538">
        <v>80.950000000000131</v>
      </c>
      <c r="AM70" s="536">
        <f t="shared" si="68"/>
        <v>3</v>
      </c>
      <c r="AN70" s="600"/>
      <c r="AO70" s="536">
        <v>15</v>
      </c>
      <c r="AP70" s="538">
        <v>1217.2173913043487</v>
      </c>
      <c r="AQ70" s="538">
        <v>81.147826086956584</v>
      </c>
      <c r="AR70" s="536">
        <f t="shared" si="70"/>
        <v>2</v>
      </c>
      <c r="AS70" s="600"/>
      <c r="AT70" s="536">
        <v>15</v>
      </c>
      <c r="AU70" s="538">
        <v>1215.3333333333335</v>
      </c>
      <c r="AV70" s="538">
        <v>81.022222222222226</v>
      </c>
      <c r="AW70" s="536">
        <f t="shared" si="72"/>
        <v>2</v>
      </c>
      <c r="AX70" s="600"/>
      <c r="AZ70" s="521" t="e">
        <f t="shared" si="74"/>
        <v>#N/A</v>
      </c>
      <c r="BA70" s="600"/>
    </row>
    <row r="71" spans="2:53">
      <c r="B71" s="610"/>
      <c r="C71" s="305">
        <v>5</v>
      </c>
      <c r="D71" s="226"/>
      <c r="E71" s="182"/>
      <c r="F71" s="511"/>
      <c r="G71" s="512"/>
      <c r="H71" s="668"/>
      <c r="I71" s="513" t="str">
        <f t="shared" si="57"/>
        <v>-</v>
      </c>
      <c r="J71" s="513" t="str">
        <f t="shared" si="58"/>
        <v>-</v>
      </c>
      <c r="K71" s="200" t="str">
        <f t="shared" si="59"/>
        <v>-</v>
      </c>
      <c r="L71" s="621"/>
      <c r="M71" s="201" t="e">
        <f>RANK(K71, K$67:$K$81)</f>
        <v>#VALUE!</v>
      </c>
      <c r="N71" s="604"/>
      <c r="O71" s="604"/>
      <c r="P71" s="536"/>
      <c r="Q71" s="538"/>
      <c r="R71" s="538"/>
      <c r="S71" s="536" t="e">
        <f t="shared" si="60"/>
        <v>#N/A</v>
      </c>
      <c r="T71" s="600"/>
      <c r="U71" s="536"/>
      <c r="V71" s="538"/>
      <c r="W71" s="538"/>
      <c r="X71" s="536" t="e">
        <f t="shared" si="62"/>
        <v>#N/A</v>
      </c>
      <c r="Y71" s="600"/>
      <c r="Z71" s="536"/>
      <c r="AA71" s="538"/>
      <c r="AB71" s="538"/>
      <c r="AC71" s="536" t="e">
        <f t="shared" si="64"/>
        <v>#N/A</v>
      </c>
      <c r="AD71" s="600"/>
      <c r="AE71" s="536"/>
      <c r="AF71" s="538"/>
      <c r="AG71" s="538"/>
      <c r="AH71" s="536" t="e">
        <f t="shared" si="66"/>
        <v>#N/A</v>
      </c>
      <c r="AI71" s="600"/>
      <c r="AJ71" s="536"/>
      <c r="AK71" s="538"/>
      <c r="AL71" s="538"/>
      <c r="AM71" s="536" t="e">
        <f t="shared" si="68"/>
        <v>#N/A</v>
      </c>
      <c r="AN71" s="600"/>
      <c r="AO71" s="536"/>
      <c r="AP71" s="538"/>
      <c r="AQ71" s="538"/>
      <c r="AR71" s="536" t="e">
        <f t="shared" si="70"/>
        <v>#N/A</v>
      </c>
      <c r="AS71" s="600"/>
      <c r="AT71" s="536"/>
      <c r="AU71" s="538"/>
      <c r="AV71" s="538"/>
      <c r="AW71" s="536" t="e">
        <f t="shared" si="72"/>
        <v>#N/A</v>
      </c>
      <c r="AX71" s="600"/>
      <c r="AZ71" s="521" t="e">
        <f t="shared" si="74"/>
        <v>#N/A</v>
      </c>
      <c r="BA71" s="600"/>
    </row>
    <row r="72" spans="2:53">
      <c r="B72" s="610"/>
      <c r="C72" s="305">
        <v>6</v>
      </c>
      <c r="D72" s="226"/>
      <c r="E72" s="182"/>
      <c r="F72" s="511"/>
      <c r="G72" s="512"/>
      <c r="H72" s="668"/>
      <c r="I72" s="513" t="str">
        <f t="shared" si="57"/>
        <v>-</v>
      </c>
      <c r="J72" s="513" t="str">
        <f t="shared" si="58"/>
        <v>-</v>
      </c>
      <c r="K72" s="200" t="str">
        <f t="shared" si="59"/>
        <v>-</v>
      </c>
      <c r="L72" s="621"/>
      <c r="M72" s="201" t="e">
        <f>RANK(K72, K$67:$K$81)</f>
        <v>#VALUE!</v>
      </c>
      <c r="N72" s="604"/>
      <c r="O72" s="604"/>
      <c r="P72" s="536"/>
      <c r="Q72" s="538"/>
      <c r="R72" s="538"/>
      <c r="S72" s="536" t="e">
        <f t="shared" si="60"/>
        <v>#N/A</v>
      </c>
      <c r="T72" s="600"/>
      <c r="U72" s="536"/>
      <c r="V72" s="538"/>
      <c r="W72" s="538"/>
      <c r="X72" s="536" t="e">
        <f t="shared" si="62"/>
        <v>#N/A</v>
      </c>
      <c r="Y72" s="600"/>
      <c r="Z72" s="536"/>
      <c r="AA72" s="538"/>
      <c r="AB72" s="538"/>
      <c r="AC72" s="536" t="e">
        <f t="shared" si="64"/>
        <v>#N/A</v>
      </c>
      <c r="AD72" s="600"/>
      <c r="AE72" s="536"/>
      <c r="AF72" s="538"/>
      <c r="AG72" s="538"/>
      <c r="AH72" s="536" t="e">
        <f t="shared" si="66"/>
        <v>#N/A</v>
      </c>
      <c r="AI72" s="600"/>
      <c r="AJ72" s="536"/>
      <c r="AK72" s="538"/>
      <c r="AL72" s="538"/>
      <c r="AM72" s="536" t="e">
        <f t="shared" si="68"/>
        <v>#N/A</v>
      </c>
      <c r="AN72" s="600"/>
      <c r="AO72" s="536"/>
      <c r="AP72" s="538"/>
      <c r="AQ72" s="538"/>
      <c r="AR72" s="536" t="e">
        <f t="shared" si="70"/>
        <v>#N/A</v>
      </c>
      <c r="AS72" s="600"/>
      <c r="AT72" s="536"/>
      <c r="AU72" s="538"/>
      <c r="AV72" s="538"/>
      <c r="AW72" s="536" t="e">
        <f t="shared" si="72"/>
        <v>#N/A</v>
      </c>
      <c r="AX72" s="600"/>
      <c r="AZ72" s="521" t="e">
        <f t="shared" si="74"/>
        <v>#N/A</v>
      </c>
      <c r="BA72" s="600"/>
    </row>
    <row r="73" spans="2:53">
      <c r="B73" s="610"/>
      <c r="C73" s="305">
        <v>7</v>
      </c>
      <c r="D73" s="226"/>
      <c r="E73" s="182"/>
      <c r="F73" s="511"/>
      <c r="G73" s="512"/>
      <c r="H73" s="668"/>
      <c r="I73" s="513" t="str">
        <f t="shared" si="57"/>
        <v>-</v>
      </c>
      <c r="J73" s="513" t="str">
        <f t="shared" si="58"/>
        <v>-</v>
      </c>
      <c r="K73" s="200" t="str">
        <f t="shared" si="59"/>
        <v>-</v>
      </c>
      <c r="L73" s="621"/>
      <c r="M73" s="201" t="e">
        <f>RANK(K73, K$67:$K$81)</f>
        <v>#VALUE!</v>
      </c>
      <c r="N73" s="604"/>
      <c r="O73" s="604"/>
      <c r="P73" s="536"/>
      <c r="Q73" s="538"/>
      <c r="R73" s="538"/>
      <c r="S73" s="536" t="e">
        <f t="shared" si="60"/>
        <v>#N/A</v>
      </c>
      <c r="T73" s="600"/>
      <c r="U73" s="536"/>
      <c r="V73" s="538"/>
      <c r="W73" s="538"/>
      <c r="X73" s="536" t="e">
        <f t="shared" si="62"/>
        <v>#N/A</v>
      </c>
      <c r="Y73" s="600"/>
      <c r="Z73" s="536"/>
      <c r="AA73" s="538"/>
      <c r="AB73" s="538"/>
      <c r="AC73" s="536" t="e">
        <f t="shared" si="64"/>
        <v>#N/A</v>
      </c>
      <c r="AD73" s="600"/>
      <c r="AE73" s="536"/>
      <c r="AF73" s="538"/>
      <c r="AG73" s="538"/>
      <c r="AH73" s="536" t="e">
        <f t="shared" si="66"/>
        <v>#N/A</v>
      </c>
      <c r="AI73" s="600"/>
      <c r="AJ73" s="536"/>
      <c r="AK73" s="538"/>
      <c r="AL73" s="538"/>
      <c r="AM73" s="536" t="e">
        <f t="shared" si="68"/>
        <v>#N/A</v>
      </c>
      <c r="AN73" s="600"/>
      <c r="AO73" s="536"/>
      <c r="AP73" s="538"/>
      <c r="AQ73" s="538"/>
      <c r="AR73" s="536" t="e">
        <f t="shared" si="70"/>
        <v>#N/A</v>
      </c>
      <c r="AS73" s="600"/>
      <c r="AT73" s="536"/>
      <c r="AU73" s="538"/>
      <c r="AV73" s="538"/>
      <c r="AW73" s="536" t="e">
        <f t="shared" si="72"/>
        <v>#N/A</v>
      </c>
      <c r="AX73" s="600"/>
      <c r="AZ73" s="521" t="e">
        <f t="shared" si="74"/>
        <v>#N/A</v>
      </c>
      <c r="BA73" s="600"/>
    </row>
    <row r="74" spans="2:53">
      <c r="B74" s="610"/>
      <c r="C74" s="305">
        <v>8</v>
      </c>
      <c r="D74" s="226"/>
      <c r="E74" s="182"/>
      <c r="F74" s="511"/>
      <c r="G74" s="512"/>
      <c r="H74" s="668"/>
      <c r="I74" s="513" t="str">
        <f t="shared" si="57"/>
        <v>-</v>
      </c>
      <c r="J74" s="513" t="str">
        <f t="shared" si="58"/>
        <v>-</v>
      </c>
      <c r="K74" s="200" t="str">
        <f t="shared" si="59"/>
        <v>-</v>
      </c>
      <c r="L74" s="621"/>
      <c r="M74" s="201" t="e">
        <f>RANK(K74, K$67:$K$81)</f>
        <v>#VALUE!</v>
      </c>
      <c r="N74" s="604"/>
      <c r="O74" s="604"/>
      <c r="P74" s="536"/>
      <c r="Q74" s="538"/>
      <c r="R74" s="538"/>
      <c r="S74" s="536" t="e">
        <f t="shared" si="60"/>
        <v>#N/A</v>
      </c>
      <c r="T74" s="600"/>
      <c r="U74" s="536"/>
      <c r="V74" s="538"/>
      <c r="W74" s="538"/>
      <c r="X74" s="536" t="e">
        <f t="shared" si="62"/>
        <v>#N/A</v>
      </c>
      <c r="Y74" s="600"/>
      <c r="Z74" s="536"/>
      <c r="AA74" s="538"/>
      <c r="AB74" s="538"/>
      <c r="AC74" s="536" t="e">
        <f t="shared" si="64"/>
        <v>#N/A</v>
      </c>
      <c r="AD74" s="600"/>
      <c r="AE74" s="536"/>
      <c r="AF74" s="538"/>
      <c r="AG74" s="538"/>
      <c r="AH74" s="536" t="e">
        <f t="shared" si="66"/>
        <v>#N/A</v>
      </c>
      <c r="AI74" s="600"/>
      <c r="AJ74" s="536"/>
      <c r="AK74" s="538"/>
      <c r="AL74" s="538"/>
      <c r="AM74" s="536" t="e">
        <f t="shared" si="68"/>
        <v>#N/A</v>
      </c>
      <c r="AN74" s="600"/>
      <c r="AO74" s="536"/>
      <c r="AP74" s="538"/>
      <c r="AQ74" s="538"/>
      <c r="AR74" s="536" t="e">
        <f t="shared" si="70"/>
        <v>#N/A</v>
      </c>
      <c r="AS74" s="600"/>
      <c r="AT74" s="536"/>
      <c r="AU74" s="538"/>
      <c r="AV74" s="538"/>
      <c r="AW74" s="536" t="e">
        <f t="shared" si="72"/>
        <v>#N/A</v>
      </c>
      <c r="AX74" s="600"/>
      <c r="AZ74" s="521" t="e">
        <f t="shared" si="74"/>
        <v>#N/A</v>
      </c>
      <c r="BA74" s="600"/>
    </row>
    <row r="75" spans="2:53">
      <c r="B75" s="610"/>
      <c r="C75" s="305">
        <v>9</v>
      </c>
      <c r="D75" s="226"/>
      <c r="E75" s="182"/>
      <c r="F75" s="511"/>
      <c r="G75" s="512"/>
      <c r="H75" s="668"/>
      <c r="I75" s="513" t="str">
        <f t="shared" si="57"/>
        <v>-</v>
      </c>
      <c r="J75" s="513" t="str">
        <f t="shared" si="58"/>
        <v>-</v>
      </c>
      <c r="K75" s="200" t="str">
        <f t="shared" si="59"/>
        <v>-</v>
      </c>
      <c r="L75" s="621"/>
      <c r="M75" s="201" t="e">
        <f>RANK(K75, K$67:$K$81)</f>
        <v>#VALUE!</v>
      </c>
      <c r="N75" s="604"/>
      <c r="O75" s="604"/>
      <c r="P75" s="536"/>
      <c r="Q75" s="538"/>
      <c r="R75" s="538"/>
      <c r="S75" s="536" t="e">
        <f t="shared" si="60"/>
        <v>#N/A</v>
      </c>
      <c r="T75" s="600"/>
      <c r="U75" s="536"/>
      <c r="V75" s="538"/>
      <c r="W75" s="538"/>
      <c r="X75" s="536" t="e">
        <f t="shared" si="62"/>
        <v>#N/A</v>
      </c>
      <c r="Y75" s="600"/>
      <c r="Z75" s="536"/>
      <c r="AA75" s="538"/>
      <c r="AB75" s="538"/>
      <c r="AC75" s="536" t="e">
        <f t="shared" si="64"/>
        <v>#N/A</v>
      </c>
      <c r="AD75" s="600"/>
      <c r="AE75" s="536"/>
      <c r="AF75" s="538"/>
      <c r="AG75" s="538"/>
      <c r="AH75" s="536" t="e">
        <f t="shared" si="66"/>
        <v>#N/A</v>
      </c>
      <c r="AI75" s="600"/>
      <c r="AJ75" s="536"/>
      <c r="AK75" s="538"/>
      <c r="AL75" s="538"/>
      <c r="AM75" s="536" t="e">
        <f t="shared" si="68"/>
        <v>#N/A</v>
      </c>
      <c r="AN75" s="600"/>
      <c r="AO75" s="536"/>
      <c r="AP75" s="538"/>
      <c r="AQ75" s="538"/>
      <c r="AR75" s="536" t="e">
        <f t="shared" si="70"/>
        <v>#N/A</v>
      </c>
      <c r="AS75" s="600"/>
      <c r="AT75" s="536"/>
      <c r="AU75" s="538"/>
      <c r="AV75" s="538"/>
      <c r="AW75" s="536" t="e">
        <f t="shared" si="72"/>
        <v>#N/A</v>
      </c>
      <c r="AX75" s="600"/>
      <c r="AZ75" s="521" t="e">
        <f t="shared" si="74"/>
        <v>#N/A</v>
      </c>
      <c r="BA75" s="600"/>
    </row>
    <row r="76" spans="2:53">
      <c r="B76" s="610"/>
      <c r="C76" s="305">
        <v>10</v>
      </c>
      <c r="D76" s="226"/>
      <c r="E76" s="182"/>
      <c r="F76" s="511"/>
      <c r="G76" s="512"/>
      <c r="H76" s="668"/>
      <c r="I76" s="513" t="str">
        <f t="shared" si="57"/>
        <v>-</v>
      </c>
      <c r="J76" s="513" t="str">
        <f t="shared" si="58"/>
        <v>-</v>
      </c>
      <c r="K76" s="200" t="str">
        <f t="shared" si="59"/>
        <v>-</v>
      </c>
      <c r="L76" s="621"/>
      <c r="M76" s="201" t="e">
        <f>RANK(K76, K$67:$K$81)</f>
        <v>#VALUE!</v>
      </c>
      <c r="N76" s="604"/>
      <c r="O76" s="604"/>
      <c r="P76" s="536"/>
      <c r="Q76" s="538"/>
      <c r="R76" s="538"/>
      <c r="S76" s="536" t="e">
        <f t="shared" si="60"/>
        <v>#N/A</v>
      </c>
      <c r="T76" s="600"/>
      <c r="U76" s="536"/>
      <c r="V76" s="538"/>
      <c r="W76" s="538"/>
      <c r="X76" s="536" t="e">
        <f t="shared" si="62"/>
        <v>#N/A</v>
      </c>
      <c r="Y76" s="600"/>
      <c r="Z76" s="536"/>
      <c r="AA76" s="538"/>
      <c r="AB76" s="538"/>
      <c r="AC76" s="536" t="e">
        <f t="shared" si="64"/>
        <v>#N/A</v>
      </c>
      <c r="AD76" s="600"/>
      <c r="AE76" s="536"/>
      <c r="AF76" s="538"/>
      <c r="AG76" s="538"/>
      <c r="AH76" s="536" t="e">
        <f t="shared" si="66"/>
        <v>#N/A</v>
      </c>
      <c r="AI76" s="600"/>
      <c r="AJ76" s="536"/>
      <c r="AK76" s="538"/>
      <c r="AL76" s="538"/>
      <c r="AM76" s="536" t="e">
        <f t="shared" si="68"/>
        <v>#N/A</v>
      </c>
      <c r="AN76" s="600"/>
      <c r="AO76" s="536"/>
      <c r="AP76" s="538"/>
      <c r="AQ76" s="538"/>
      <c r="AR76" s="536" t="e">
        <f t="shared" si="70"/>
        <v>#N/A</v>
      </c>
      <c r="AS76" s="600"/>
      <c r="AT76" s="536"/>
      <c r="AU76" s="538"/>
      <c r="AV76" s="538"/>
      <c r="AW76" s="536" t="e">
        <f t="shared" si="72"/>
        <v>#N/A</v>
      </c>
      <c r="AX76" s="600"/>
      <c r="AZ76" s="521" t="e">
        <f t="shared" si="74"/>
        <v>#N/A</v>
      </c>
      <c r="BA76" s="600"/>
    </row>
    <row r="77" spans="2:53">
      <c r="B77" s="610"/>
      <c r="C77" s="305">
        <v>11</v>
      </c>
      <c r="D77" s="226"/>
      <c r="E77" s="182"/>
      <c r="F77" s="511"/>
      <c r="G77" s="512"/>
      <c r="H77" s="668"/>
      <c r="I77" s="513" t="str">
        <f t="shared" si="57"/>
        <v>-</v>
      </c>
      <c r="J77" s="513" t="str">
        <f t="shared" si="58"/>
        <v>-</v>
      </c>
      <c r="K77" s="200" t="str">
        <f t="shared" si="59"/>
        <v>-</v>
      </c>
      <c r="L77" s="621"/>
      <c r="M77" s="201" t="e">
        <f>RANK(K77, K$67:$K$81)</f>
        <v>#VALUE!</v>
      </c>
      <c r="N77" s="604"/>
      <c r="O77" s="604"/>
      <c r="P77" s="536"/>
      <c r="Q77" s="538"/>
      <c r="R77" s="538"/>
      <c r="S77" s="536" t="e">
        <f t="shared" si="60"/>
        <v>#N/A</v>
      </c>
      <c r="T77" s="600"/>
      <c r="U77" s="536"/>
      <c r="V77" s="538"/>
      <c r="W77" s="538"/>
      <c r="X77" s="536" t="e">
        <f t="shared" si="62"/>
        <v>#N/A</v>
      </c>
      <c r="Y77" s="600"/>
      <c r="Z77" s="536"/>
      <c r="AA77" s="538"/>
      <c r="AB77" s="538"/>
      <c r="AC77" s="536" t="e">
        <f t="shared" si="64"/>
        <v>#N/A</v>
      </c>
      <c r="AD77" s="600"/>
      <c r="AE77" s="536"/>
      <c r="AF77" s="538"/>
      <c r="AG77" s="538"/>
      <c r="AH77" s="536" t="e">
        <f t="shared" si="66"/>
        <v>#N/A</v>
      </c>
      <c r="AI77" s="600"/>
      <c r="AJ77" s="536"/>
      <c r="AK77" s="538"/>
      <c r="AL77" s="538"/>
      <c r="AM77" s="536" t="e">
        <f t="shared" si="68"/>
        <v>#N/A</v>
      </c>
      <c r="AN77" s="600"/>
      <c r="AO77" s="536"/>
      <c r="AP77" s="538"/>
      <c r="AQ77" s="538"/>
      <c r="AR77" s="536" t="e">
        <f t="shared" si="70"/>
        <v>#N/A</v>
      </c>
      <c r="AS77" s="600"/>
      <c r="AT77" s="536"/>
      <c r="AU77" s="538"/>
      <c r="AV77" s="538"/>
      <c r="AW77" s="536" t="e">
        <f t="shared" si="72"/>
        <v>#N/A</v>
      </c>
      <c r="AX77" s="600"/>
      <c r="AZ77" s="521" t="e">
        <f t="shared" si="74"/>
        <v>#N/A</v>
      </c>
      <c r="BA77" s="600"/>
    </row>
    <row r="78" spans="2:53">
      <c r="B78" s="610"/>
      <c r="C78" s="305">
        <v>12</v>
      </c>
      <c r="D78" s="226"/>
      <c r="E78" s="182"/>
      <c r="F78" s="511"/>
      <c r="G78" s="512"/>
      <c r="H78" s="668"/>
      <c r="I78" s="513" t="str">
        <f t="shared" si="57"/>
        <v>-</v>
      </c>
      <c r="J78" s="513" t="str">
        <f t="shared" si="58"/>
        <v>-</v>
      </c>
      <c r="K78" s="200" t="str">
        <f t="shared" si="59"/>
        <v>-</v>
      </c>
      <c r="L78" s="621"/>
      <c r="M78" s="201" t="e">
        <f>RANK(K78, K$67:$K$81)</f>
        <v>#VALUE!</v>
      </c>
      <c r="N78" s="604"/>
      <c r="O78" s="604"/>
      <c r="P78" s="536"/>
      <c r="Q78" s="538"/>
      <c r="R78" s="538"/>
      <c r="S78" s="536" t="e">
        <f t="shared" si="60"/>
        <v>#N/A</v>
      </c>
      <c r="T78" s="600"/>
      <c r="U78" s="536"/>
      <c r="V78" s="538"/>
      <c r="W78" s="538"/>
      <c r="X78" s="536" t="e">
        <f t="shared" si="62"/>
        <v>#N/A</v>
      </c>
      <c r="Y78" s="600"/>
      <c r="Z78" s="536"/>
      <c r="AA78" s="538"/>
      <c r="AB78" s="538"/>
      <c r="AC78" s="536" t="e">
        <f t="shared" si="64"/>
        <v>#N/A</v>
      </c>
      <c r="AD78" s="600"/>
      <c r="AE78" s="536"/>
      <c r="AF78" s="538"/>
      <c r="AG78" s="538"/>
      <c r="AH78" s="536" t="e">
        <f t="shared" si="66"/>
        <v>#N/A</v>
      </c>
      <c r="AI78" s="600"/>
      <c r="AJ78" s="536"/>
      <c r="AK78" s="538"/>
      <c r="AL78" s="538"/>
      <c r="AM78" s="536" t="e">
        <f t="shared" si="68"/>
        <v>#N/A</v>
      </c>
      <c r="AN78" s="600"/>
      <c r="AO78" s="536"/>
      <c r="AP78" s="538"/>
      <c r="AQ78" s="538"/>
      <c r="AR78" s="536" t="e">
        <f t="shared" si="70"/>
        <v>#N/A</v>
      </c>
      <c r="AS78" s="600"/>
      <c r="AT78" s="536"/>
      <c r="AU78" s="538"/>
      <c r="AV78" s="538"/>
      <c r="AW78" s="536" t="e">
        <f t="shared" si="72"/>
        <v>#N/A</v>
      </c>
      <c r="AX78" s="600"/>
      <c r="AZ78" s="521" t="e">
        <f t="shared" si="74"/>
        <v>#N/A</v>
      </c>
      <c r="BA78" s="600"/>
    </row>
    <row r="79" spans="2:53">
      <c r="B79" s="610"/>
      <c r="C79" s="305">
        <v>13</v>
      </c>
      <c r="D79" s="226"/>
      <c r="E79" s="182"/>
      <c r="F79" s="511"/>
      <c r="G79" s="512"/>
      <c r="H79" s="668"/>
      <c r="I79" s="513" t="str">
        <f t="shared" si="57"/>
        <v>-</v>
      </c>
      <c r="J79" s="513" t="str">
        <f t="shared" si="58"/>
        <v>-</v>
      </c>
      <c r="K79" s="200" t="str">
        <f t="shared" si="59"/>
        <v>-</v>
      </c>
      <c r="L79" s="621"/>
      <c r="M79" s="201" t="e">
        <f>RANK(K79, K$67:$K$81)</f>
        <v>#VALUE!</v>
      </c>
      <c r="N79" s="604"/>
      <c r="O79" s="604"/>
      <c r="P79" s="536"/>
      <c r="Q79" s="538"/>
      <c r="R79" s="538"/>
      <c r="S79" s="536" t="e">
        <f t="shared" si="60"/>
        <v>#N/A</v>
      </c>
      <c r="T79" s="600"/>
      <c r="U79" s="536"/>
      <c r="V79" s="538"/>
      <c r="W79" s="538"/>
      <c r="X79" s="536" t="e">
        <f t="shared" si="62"/>
        <v>#N/A</v>
      </c>
      <c r="Y79" s="600"/>
      <c r="Z79" s="536"/>
      <c r="AA79" s="538"/>
      <c r="AB79" s="538"/>
      <c r="AC79" s="536" t="e">
        <f t="shared" si="64"/>
        <v>#N/A</v>
      </c>
      <c r="AD79" s="600"/>
      <c r="AE79" s="536"/>
      <c r="AF79" s="538"/>
      <c r="AG79" s="538"/>
      <c r="AH79" s="536" t="e">
        <f t="shared" si="66"/>
        <v>#N/A</v>
      </c>
      <c r="AI79" s="600"/>
      <c r="AJ79" s="536"/>
      <c r="AK79" s="538"/>
      <c r="AL79" s="538"/>
      <c r="AM79" s="536" t="e">
        <f t="shared" si="68"/>
        <v>#N/A</v>
      </c>
      <c r="AN79" s="600"/>
      <c r="AO79" s="536"/>
      <c r="AP79" s="538"/>
      <c r="AQ79" s="538"/>
      <c r="AR79" s="536" t="e">
        <f t="shared" si="70"/>
        <v>#N/A</v>
      </c>
      <c r="AS79" s="600"/>
      <c r="AT79" s="536"/>
      <c r="AU79" s="538"/>
      <c r="AV79" s="538"/>
      <c r="AW79" s="536" t="e">
        <f t="shared" si="72"/>
        <v>#N/A</v>
      </c>
      <c r="AX79" s="600"/>
      <c r="AZ79" s="521" t="e">
        <f t="shared" si="74"/>
        <v>#N/A</v>
      </c>
      <c r="BA79" s="600"/>
    </row>
    <row r="80" spans="2:53">
      <c r="B80" s="610"/>
      <c r="C80" s="305">
        <v>14</v>
      </c>
      <c r="D80" s="226"/>
      <c r="E80" s="182"/>
      <c r="F80" s="511"/>
      <c r="G80" s="512"/>
      <c r="H80" s="668"/>
      <c r="I80" s="513" t="str">
        <f t="shared" si="57"/>
        <v>-</v>
      </c>
      <c r="J80" s="513" t="str">
        <f t="shared" si="58"/>
        <v>-</v>
      </c>
      <c r="K80" s="200" t="str">
        <f t="shared" si="59"/>
        <v>-</v>
      </c>
      <c r="L80" s="621"/>
      <c r="M80" s="201" t="e">
        <f>RANK(K80, K$67:$K$81)</f>
        <v>#VALUE!</v>
      </c>
      <c r="N80" s="604"/>
      <c r="O80" s="604"/>
      <c r="P80" s="536"/>
      <c r="Q80" s="538"/>
      <c r="R80" s="538"/>
      <c r="S80" s="536" t="e">
        <f t="shared" si="60"/>
        <v>#N/A</v>
      </c>
      <c r="T80" s="600"/>
      <c r="U80" s="536"/>
      <c r="V80" s="538"/>
      <c r="W80" s="538"/>
      <c r="X80" s="536" t="e">
        <f t="shared" si="62"/>
        <v>#N/A</v>
      </c>
      <c r="Y80" s="600"/>
      <c r="Z80" s="536"/>
      <c r="AA80" s="538"/>
      <c r="AB80" s="538"/>
      <c r="AC80" s="536" t="e">
        <f t="shared" si="64"/>
        <v>#N/A</v>
      </c>
      <c r="AD80" s="600"/>
      <c r="AE80" s="536"/>
      <c r="AF80" s="538"/>
      <c r="AG80" s="538"/>
      <c r="AH80" s="536" t="e">
        <f t="shared" si="66"/>
        <v>#N/A</v>
      </c>
      <c r="AI80" s="600"/>
      <c r="AJ80" s="536"/>
      <c r="AK80" s="538"/>
      <c r="AL80" s="538"/>
      <c r="AM80" s="536" t="e">
        <f t="shared" si="68"/>
        <v>#N/A</v>
      </c>
      <c r="AN80" s="600"/>
      <c r="AO80" s="536"/>
      <c r="AP80" s="538"/>
      <c r="AQ80" s="538"/>
      <c r="AR80" s="536" t="e">
        <f t="shared" si="70"/>
        <v>#N/A</v>
      </c>
      <c r="AS80" s="600"/>
      <c r="AT80" s="536"/>
      <c r="AU80" s="538"/>
      <c r="AV80" s="538"/>
      <c r="AW80" s="536" t="e">
        <f t="shared" si="72"/>
        <v>#N/A</v>
      </c>
      <c r="AX80" s="600"/>
      <c r="AZ80" s="521" t="e">
        <f t="shared" si="74"/>
        <v>#N/A</v>
      </c>
      <c r="BA80" s="600"/>
    </row>
    <row r="81" spans="2:53">
      <c r="B81" s="610"/>
      <c r="C81" s="305">
        <v>15</v>
      </c>
      <c r="D81" s="226"/>
      <c r="E81" s="182"/>
      <c r="F81" s="511"/>
      <c r="G81" s="512"/>
      <c r="H81" s="669"/>
      <c r="I81" s="202"/>
      <c r="J81" s="202"/>
      <c r="K81" s="202"/>
      <c r="L81" s="622"/>
      <c r="M81" s="201" t="e">
        <f>RANK(K81, K$67:$K$81)</f>
        <v>#N/A</v>
      </c>
      <c r="N81" s="604"/>
      <c r="O81" s="604"/>
      <c r="P81" s="536"/>
      <c r="Q81" s="538"/>
      <c r="R81" s="538"/>
      <c r="S81" s="536" t="e">
        <f t="shared" si="60"/>
        <v>#N/A</v>
      </c>
      <c r="T81" s="601"/>
      <c r="U81" s="536"/>
      <c r="V81" s="538"/>
      <c r="W81" s="538"/>
      <c r="X81" s="536" t="e">
        <f t="shared" si="62"/>
        <v>#N/A</v>
      </c>
      <c r="Y81" s="601"/>
      <c r="Z81" s="536"/>
      <c r="AA81" s="538"/>
      <c r="AB81" s="538"/>
      <c r="AC81" s="536" t="e">
        <f t="shared" si="64"/>
        <v>#N/A</v>
      </c>
      <c r="AD81" s="601"/>
      <c r="AE81" s="536"/>
      <c r="AF81" s="538"/>
      <c r="AG81" s="538"/>
      <c r="AH81" s="536" t="e">
        <f t="shared" si="66"/>
        <v>#N/A</v>
      </c>
      <c r="AI81" s="601"/>
      <c r="AJ81" s="536"/>
      <c r="AK81" s="538"/>
      <c r="AL81" s="538"/>
      <c r="AM81" s="536" t="e">
        <f t="shared" si="68"/>
        <v>#N/A</v>
      </c>
      <c r="AN81" s="601"/>
      <c r="AO81" s="536"/>
      <c r="AP81" s="538"/>
      <c r="AQ81" s="538"/>
      <c r="AR81" s="536" t="e">
        <f t="shared" si="70"/>
        <v>#N/A</v>
      </c>
      <c r="AS81" s="601"/>
      <c r="AT81" s="536"/>
      <c r="AU81" s="538"/>
      <c r="AV81" s="538"/>
      <c r="AW81" s="536" t="e">
        <f t="shared" si="72"/>
        <v>#N/A</v>
      </c>
      <c r="AX81" s="601"/>
      <c r="AZ81" s="521" t="e">
        <f t="shared" si="74"/>
        <v>#N/A</v>
      </c>
      <c r="BA81" s="601"/>
    </row>
    <row r="82" spans="2:53" ht="15.75">
      <c r="B82" s="633" t="s">
        <v>163</v>
      </c>
      <c r="C82" s="634"/>
      <c r="D82" s="634"/>
      <c r="E82" s="634"/>
      <c r="F82" s="634"/>
      <c r="G82" s="634"/>
      <c r="H82" s="635"/>
      <c r="I82" s="208"/>
      <c r="J82" s="208"/>
      <c r="K82" s="208"/>
      <c r="L82" s="208"/>
      <c r="M82" s="207"/>
      <c r="N82" s="606" t="s">
        <v>156</v>
      </c>
      <c r="O82" s="606" t="s">
        <v>105</v>
      </c>
      <c r="P82" s="632">
        <f>P62+7</f>
        <v>46140</v>
      </c>
      <c r="Q82" s="610"/>
      <c r="R82" s="610"/>
      <c r="S82" s="610"/>
      <c r="T82" s="610"/>
      <c r="U82" s="629">
        <f>P82+1</f>
        <v>46141</v>
      </c>
      <c r="V82" s="630"/>
      <c r="W82" s="630"/>
      <c r="X82" s="630"/>
      <c r="Y82" s="631"/>
      <c r="Z82" s="629">
        <f>U82+1</f>
        <v>46142</v>
      </c>
      <c r="AA82" s="630"/>
      <c r="AB82" s="630"/>
      <c r="AC82" s="630"/>
      <c r="AD82" s="631"/>
      <c r="AE82" s="629">
        <f>Z82+1</f>
        <v>46143</v>
      </c>
      <c r="AF82" s="630"/>
      <c r="AG82" s="630"/>
      <c r="AH82" s="630"/>
      <c r="AI82" s="631"/>
      <c r="AJ82" s="629">
        <f>AE82+1</f>
        <v>46144</v>
      </c>
      <c r="AK82" s="630"/>
      <c r="AL82" s="630"/>
      <c r="AM82" s="630"/>
      <c r="AN82" s="631"/>
      <c r="AO82" s="629">
        <f>AJ82+1</f>
        <v>46145</v>
      </c>
      <c r="AP82" s="630"/>
      <c r="AQ82" s="630"/>
      <c r="AR82" s="630"/>
      <c r="AS82" s="631"/>
      <c r="AT82" s="629">
        <f>AO82+1</f>
        <v>46146</v>
      </c>
      <c r="AU82" s="630"/>
      <c r="AV82" s="630"/>
      <c r="AW82" s="630"/>
      <c r="AX82" s="631"/>
    </row>
    <row r="83" spans="2:53" ht="15.75">
      <c r="B83" s="636"/>
      <c r="C83" s="636"/>
      <c r="D83" s="636"/>
      <c r="E83" s="636"/>
      <c r="F83" s="636"/>
      <c r="G83" s="636"/>
      <c r="H83" s="636"/>
      <c r="I83" s="205"/>
      <c r="J83" s="205"/>
      <c r="K83" s="205"/>
      <c r="L83" s="205"/>
      <c r="M83" s="206"/>
      <c r="N83" s="608"/>
      <c r="O83" s="608"/>
      <c r="P83" s="632" t="s">
        <v>336</v>
      </c>
      <c r="Q83" s="610"/>
      <c r="R83" s="610"/>
      <c r="S83" s="610"/>
      <c r="T83" s="610"/>
      <c r="U83" s="632" t="s">
        <v>337</v>
      </c>
      <c r="V83" s="610"/>
      <c r="W83" s="610"/>
      <c r="X83" s="610"/>
      <c r="Y83" s="610"/>
      <c r="Z83" s="632" t="s">
        <v>338</v>
      </c>
      <c r="AA83" s="610"/>
      <c r="AB83" s="610"/>
      <c r="AC83" s="610"/>
      <c r="AD83" s="610"/>
      <c r="AE83" s="632" t="s">
        <v>339</v>
      </c>
      <c r="AF83" s="610"/>
      <c r="AG83" s="610"/>
      <c r="AH83" s="610"/>
      <c r="AI83" s="610"/>
      <c r="AJ83" s="632" t="s">
        <v>340</v>
      </c>
      <c r="AK83" s="610"/>
      <c r="AL83" s="610"/>
      <c r="AM83" s="610"/>
      <c r="AN83" s="610"/>
      <c r="AO83" s="632" t="s">
        <v>341</v>
      </c>
      <c r="AP83" s="610"/>
      <c r="AQ83" s="610"/>
      <c r="AR83" s="610"/>
      <c r="AS83" s="610"/>
      <c r="AT83" s="632" t="s">
        <v>342</v>
      </c>
      <c r="AU83" s="610"/>
      <c r="AV83" s="610"/>
      <c r="AW83" s="610"/>
      <c r="AX83" s="610"/>
    </row>
    <row r="84" spans="2:53">
      <c r="B84" s="604" t="s">
        <v>423</v>
      </c>
      <c r="C84" s="604" t="s">
        <v>424</v>
      </c>
      <c r="D84" s="604"/>
      <c r="E84" s="604" t="s">
        <v>425</v>
      </c>
      <c r="F84" s="604"/>
      <c r="G84" s="604"/>
      <c r="H84" s="637" t="s">
        <v>426</v>
      </c>
      <c r="I84" s="656" t="s">
        <v>427</v>
      </c>
      <c r="J84" s="656"/>
      <c r="K84" s="656"/>
      <c r="L84" s="657" t="s">
        <v>426</v>
      </c>
      <c r="M84" s="642" t="s">
        <v>428</v>
      </c>
      <c r="N84" s="604"/>
      <c r="O84" s="604" t="s">
        <v>429</v>
      </c>
      <c r="P84" s="623" t="s">
        <v>430</v>
      </c>
      <c r="Q84" s="624"/>
      <c r="R84" s="624"/>
      <c r="S84" s="625"/>
      <c r="T84" s="604" t="s">
        <v>426</v>
      </c>
      <c r="U84" s="623" t="s">
        <v>430</v>
      </c>
      <c r="V84" s="624"/>
      <c r="W84" s="624"/>
      <c r="X84" s="625"/>
      <c r="Y84" s="604" t="s">
        <v>426</v>
      </c>
      <c r="Z84" s="623" t="s">
        <v>430</v>
      </c>
      <c r="AA84" s="624"/>
      <c r="AB84" s="624"/>
      <c r="AC84" s="625"/>
      <c r="AD84" s="604" t="s">
        <v>426</v>
      </c>
      <c r="AE84" s="623" t="s">
        <v>430</v>
      </c>
      <c r="AF84" s="624"/>
      <c r="AG84" s="624"/>
      <c r="AH84" s="625"/>
      <c r="AI84" s="604" t="s">
        <v>426</v>
      </c>
      <c r="AJ84" s="623" t="s">
        <v>430</v>
      </c>
      <c r="AK84" s="624"/>
      <c r="AL84" s="624"/>
      <c r="AM84" s="625"/>
      <c r="AN84" s="604" t="s">
        <v>426</v>
      </c>
      <c r="AO84" s="623" t="s">
        <v>430</v>
      </c>
      <c r="AP84" s="624"/>
      <c r="AQ84" s="624"/>
      <c r="AR84" s="625"/>
      <c r="AS84" s="604" t="s">
        <v>426</v>
      </c>
      <c r="AT84" s="623" t="s">
        <v>430</v>
      </c>
      <c r="AU84" s="624"/>
      <c r="AV84" s="624"/>
      <c r="AW84" s="625"/>
      <c r="AX84" s="604" t="s">
        <v>426</v>
      </c>
      <c r="BA84" s="604" t="s">
        <v>395</v>
      </c>
    </row>
    <row r="85" spans="2:53">
      <c r="B85" s="604"/>
      <c r="C85" s="604"/>
      <c r="D85" s="604"/>
      <c r="E85" s="604" t="s">
        <v>431</v>
      </c>
      <c r="F85" s="604"/>
      <c r="G85" s="604"/>
      <c r="H85" s="638"/>
      <c r="I85" s="656" t="s">
        <v>431</v>
      </c>
      <c r="J85" s="656"/>
      <c r="K85" s="656"/>
      <c r="L85" s="658"/>
      <c r="M85" s="643"/>
      <c r="N85" s="604"/>
      <c r="O85" s="604"/>
      <c r="P85" s="623" t="s">
        <v>432</v>
      </c>
      <c r="Q85" s="624"/>
      <c r="R85" s="624"/>
      <c r="S85" s="625"/>
      <c r="T85" s="604"/>
      <c r="U85" s="623" t="s">
        <v>432</v>
      </c>
      <c r="V85" s="624"/>
      <c r="W85" s="624"/>
      <c r="X85" s="625"/>
      <c r="Y85" s="604"/>
      <c r="Z85" s="623" t="s">
        <v>432</v>
      </c>
      <c r="AA85" s="624"/>
      <c r="AB85" s="624"/>
      <c r="AC85" s="625"/>
      <c r="AD85" s="604"/>
      <c r="AE85" s="623" t="s">
        <v>432</v>
      </c>
      <c r="AF85" s="624"/>
      <c r="AG85" s="624"/>
      <c r="AH85" s="625"/>
      <c r="AI85" s="604"/>
      <c r="AJ85" s="623" t="s">
        <v>432</v>
      </c>
      <c r="AK85" s="624"/>
      <c r="AL85" s="624"/>
      <c r="AM85" s="625"/>
      <c r="AN85" s="604"/>
      <c r="AO85" s="623" t="s">
        <v>432</v>
      </c>
      <c r="AP85" s="624"/>
      <c r="AQ85" s="624"/>
      <c r="AR85" s="625"/>
      <c r="AS85" s="604"/>
      <c r="AT85" s="623" t="s">
        <v>432</v>
      </c>
      <c r="AU85" s="624"/>
      <c r="AV85" s="624"/>
      <c r="AW85" s="625"/>
      <c r="AX85" s="604"/>
      <c r="BA85" s="604"/>
    </row>
    <row r="86" spans="2:53">
      <c r="B86" s="604"/>
      <c r="C86" s="604"/>
      <c r="D86" s="604"/>
      <c r="E86" s="298" t="s">
        <v>433</v>
      </c>
      <c r="F86" s="298" t="s">
        <v>434</v>
      </c>
      <c r="G86" s="298" t="s">
        <v>435</v>
      </c>
      <c r="H86" s="639"/>
      <c r="I86" s="299" t="s">
        <v>433</v>
      </c>
      <c r="J86" s="299" t="s">
        <v>434</v>
      </c>
      <c r="K86" s="299" t="s">
        <v>435</v>
      </c>
      <c r="L86" s="659"/>
      <c r="M86" s="644"/>
      <c r="N86" s="604"/>
      <c r="O86" s="604"/>
      <c r="P86" s="298" t="s">
        <v>433</v>
      </c>
      <c r="Q86" s="298" t="s">
        <v>434</v>
      </c>
      <c r="R86" s="298" t="s">
        <v>435</v>
      </c>
      <c r="S86" s="298" t="s">
        <v>428</v>
      </c>
      <c r="T86" s="604"/>
      <c r="U86" s="298" t="s">
        <v>433</v>
      </c>
      <c r="V86" s="298" t="s">
        <v>434</v>
      </c>
      <c r="W86" s="298" t="s">
        <v>435</v>
      </c>
      <c r="X86" s="298" t="s">
        <v>428</v>
      </c>
      <c r="Y86" s="604"/>
      <c r="Z86" s="298" t="s">
        <v>433</v>
      </c>
      <c r="AA86" s="298" t="s">
        <v>434</v>
      </c>
      <c r="AB86" s="298" t="s">
        <v>435</v>
      </c>
      <c r="AC86" s="298" t="s">
        <v>428</v>
      </c>
      <c r="AD86" s="604"/>
      <c r="AE86" s="298" t="s">
        <v>433</v>
      </c>
      <c r="AF86" s="298" t="s">
        <v>434</v>
      </c>
      <c r="AG86" s="298" t="s">
        <v>435</v>
      </c>
      <c r="AH86" s="298" t="s">
        <v>428</v>
      </c>
      <c r="AI86" s="604"/>
      <c r="AJ86" s="298" t="s">
        <v>433</v>
      </c>
      <c r="AK86" s="298" t="s">
        <v>434</v>
      </c>
      <c r="AL86" s="298" t="s">
        <v>435</v>
      </c>
      <c r="AM86" s="298" t="s">
        <v>428</v>
      </c>
      <c r="AN86" s="604"/>
      <c r="AO86" s="298" t="s">
        <v>433</v>
      </c>
      <c r="AP86" s="298" t="s">
        <v>434</v>
      </c>
      <c r="AQ86" s="298" t="s">
        <v>435</v>
      </c>
      <c r="AR86" s="298" t="s">
        <v>428</v>
      </c>
      <c r="AS86" s="604"/>
      <c r="AT86" s="298" t="s">
        <v>433</v>
      </c>
      <c r="AU86" s="298" t="s">
        <v>434</v>
      </c>
      <c r="AV86" s="298" t="s">
        <v>435</v>
      </c>
      <c r="AW86" s="298" t="s">
        <v>428</v>
      </c>
      <c r="AX86" s="604"/>
      <c r="AZ86" s="520" t="s">
        <v>396</v>
      </c>
      <c r="BA86" s="604"/>
    </row>
    <row r="87" spans="2:53">
      <c r="B87" s="604" t="s">
        <v>438</v>
      </c>
      <c r="C87" s="297">
        <v>1</v>
      </c>
      <c r="D87" s="226"/>
      <c r="E87" s="182"/>
      <c r="F87" s="422"/>
      <c r="G87" s="423"/>
      <c r="H87" s="667" t="e">
        <f>AVERAGE(G87:G101)</f>
        <v>#DIV/0!</v>
      </c>
      <c r="I87" s="513" t="str">
        <f t="shared" ref="I87:I100" si="76">IFERROR(AVERAGE(P87,U87,Z87,AE87,AJ87,AO87,AT87),"-")</f>
        <v>-</v>
      </c>
      <c r="J87" s="513" t="str">
        <f t="shared" ref="J87:J100" si="77">IFERROR(AVERAGE(Q87,V87,AA87,AF87,AK87,AP87,AU87),"-")</f>
        <v>-</v>
      </c>
      <c r="K87" s="200" t="str">
        <f t="shared" ref="K87:K100" si="78">IFERROR(AVERAGE(R87,W87,AB87,AG87,AL87,AQ87,AV87),"-")</f>
        <v>-</v>
      </c>
      <c r="L87" s="620" t="str">
        <f>IFERROR(AVERAGE(K87:K101),"-")</f>
        <v>-</v>
      </c>
      <c r="M87" s="201" t="e">
        <f>RANK(K87, K$87:$K$101)</f>
        <v>#VALUE!</v>
      </c>
      <c r="N87" s="604"/>
      <c r="O87" s="604"/>
      <c r="P87" s="182"/>
      <c r="Q87" s="182"/>
      <c r="R87" s="503"/>
      <c r="S87" s="297" t="e">
        <f>RANK(R87, R$87:R$101)</f>
        <v>#N/A</v>
      </c>
      <c r="T87" s="605" t="e">
        <f>AVERAGE(R87:R101)</f>
        <v>#DIV/0!</v>
      </c>
      <c r="U87" s="182"/>
      <c r="V87" s="182"/>
      <c r="W87" s="503"/>
      <c r="X87" s="486">
        <v>1</v>
      </c>
      <c r="Y87" s="605" t="e">
        <f t="shared" ref="Y87" si="79">AVERAGE(W87:W101)</f>
        <v>#DIV/0!</v>
      </c>
      <c r="Z87" s="182"/>
      <c r="AA87" s="182"/>
      <c r="AB87" s="503"/>
      <c r="AC87" s="441" t="e">
        <f t="shared" ref="AC87:AC101" si="80">RANK(AB87, AB$87:AB$101)</f>
        <v>#N/A</v>
      </c>
      <c r="AD87" s="605" t="e">
        <f t="shared" ref="AD87" si="81">AVERAGE(AB87:AB101)</f>
        <v>#DIV/0!</v>
      </c>
      <c r="AE87" s="182"/>
      <c r="AF87" s="182"/>
      <c r="AG87" s="503"/>
      <c r="AH87" s="441" t="e">
        <f t="shared" ref="AH87:AH101" si="82">RANK(AG87, AG$87:AG$101)</f>
        <v>#N/A</v>
      </c>
      <c r="AI87" s="605" t="e">
        <f t="shared" ref="AI87" si="83">AVERAGE(AG87:AG101)</f>
        <v>#DIV/0!</v>
      </c>
      <c r="AJ87" s="182"/>
      <c r="AK87" s="182"/>
      <c r="AL87" s="503"/>
      <c r="AM87" s="441" t="e">
        <f t="shared" ref="AM87:AM101" si="84">RANK(AL87, AL$87:AL$101)</f>
        <v>#N/A</v>
      </c>
      <c r="AN87" s="605" t="e">
        <f t="shared" ref="AN87" si="85">AVERAGE(AL87:AL101)</f>
        <v>#DIV/0!</v>
      </c>
      <c r="AO87" s="182"/>
      <c r="AP87" s="182"/>
      <c r="AQ87" s="503"/>
      <c r="AR87" s="441" t="e">
        <f t="shared" ref="AR87:AR101" si="86">RANK(AQ87, AQ$87:AQ$101)</f>
        <v>#N/A</v>
      </c>
      <c r="AS87" s="605" t="e">
        <f t="shared" ref="AS87" si="87">AVERAGE(AQ87:AQ101)</f>
        <v>#DIV/0!</v>
      </c>
      <c r="AT87" s="182"/>
      <c r="AU87" s="182"/>
      <c r="AV87" s="503"/>
      <c r="AW87" s="441" t="e">
        <f t="shared" ref="AW87:AW101" si="88">RANK(AV87, AV$87:AV$101)</f>
        <v>#N/A</v>
      </c>
      <c r="AX87" s="605" t="e">
        <f t="shared" ref="AX87" si="89">AVERAGE(AV87:AV101)</f>
        <v>#DIV/0!</v>
      </c>
      <c r="AZ87" s="521" t="e">
        <f t="shared" ref="AZ87:AZ101" si="90">RANK(AY87, AY$87:AY$101)</f>
        <v>#N/A</v>
      </c>
      <c r="BA87" s="605" t="e">
        <f t="shared" ref="BA87" si="91">AVERAGE(AY87:AY101)</f>
        <v>#DIV/0!</v>
      </c>
    </row>
    <row r="88" spans="2:53">
      <c r="B88" s="610"/>
      <c r="C88" s="297">
        <v>2</v>
      </c>
      <c r="D88" s="226"/>
      <c r="E88" s="182"/>
      <c r="F88" s="422"/>
      <c r="G88" s="423"/>
      <c r="H88" s="668"/>
      <c r="I88" s="513" t="str">
        <f t="shared" si="76"/>
        <v>-</v>
      </c>
      <c r="J88" s="513" t="str">
        <f t="shared" si="77"/>
        <v>-</v>
      </c>
      <c r="K88" s="200" t="str">
        <f t="shared" si="78"/>
        <v>-</v>
      </c>
      <c r="L88" s="621"/>
      <c r="M88" s="201" t="e">
        <f>RANK(K88, K$87:$K$101)</f>
        <v>#VALUE!</v>
      </c>
      <c r="N88" s="604"/>
      <c r="O88" s="604"/>
      <c r="P88" s="502"/>
      <c r="Q88" s="182"/>
      <c r="R88" s="503"/>
      <c r="S88" s="297" t="e">
        <f t="shared" ref="S88:S101" si="92">RANK(R88, R$87:R$101)</f>
        <v>#N/A</v>
      </c>
      <c r="T88" s="605"/>
      <c r="U88" s="502"/>
      <c r="V88" s="182"/>
      <c r="W88" s="503"/>
      <c r="X88" s="486">
        <v>2</v>
      </c>
      <c r="Y88" s="605"/>
      <c r="Z88" s="502"/>
      <c r="AA88" s="182"/>
      <c r="AB88" s="503"/>
      <c r="AC88" s="441" t="e">
        <f t="shared" si="80"/>
        <v>#N/A</v>
      </c>
      <c r="AD88" s="605"/>
      <c r="AE88" s="502"/>
      <c r="AF88" s="182"/>
      <c r="AG88" s="503"/>
      <c r="AH88" s="441" t="e">
        <f t="shared" si="82"/>
        <v>#N/A</v>
      </c>
      <c r="AI88" s="605"/>
      <c r="AJ88" s="502"/>
      <c r="AK88" s="182"/>
      <c r="AL88" s="503"/>
      <c r="AM88" s="441" t="e">
        <f t="shared" si="84"/>
        <v>#N/A</v>
      </c>
      <c r="AN88" s="605"/>
      <c r="AO88" s="502"/>
      <c r="AP88" s="182"/>
      <c r="AQ88" s="503"/>
      <c r="AR88" s="441" t="e">
        <f t="shared" si="86"/>
        <v>#N/A</v>
      </c>
      <c r="AS88" s="605"/>
      <c r="AT88" s="502"/>
      <c r="AU88" s="182"/>
      <c r="AV88" s="503"/>
      <c r="AW88" s="441" t="e">
        <f t="shared" si="88"/>
        <v>#N/A</v>
      </c>
      <c r="AX88" s="605"/>
      <c r="AZ88" s="521" t="e">
        <f t="shared" si="90"/>
        <v>#N/A</v>
      </c>
      <c r="BA88" s="605"/>
    </row>
    <row r="89" spans="2:53">
      <c r="B89" s="610"/>
      <c r="C89" s="297">
        <v>3</v>
      </c>
      <c r="D89" s="226"/>
      <c r="E89" s="182"/>
      <c r="F89" s="422"/>
      <c r="G89" s="423"/>
      <c r="H89" s="668"/>
      <c r="I89" s="513" t="str">
        <f t="shared" si="76"/>
        <v>-</v>
      </c>
      <c r="J89" s="513" t="str">
        <f t="shared" si="77"/>
        <v>-</v>
      </c>
      <c r="K89" s="200" t="str">
        <f t="shared" si="78"/>
        <v>-</v>
      </c>
      <c r="L89" s="621"/>
      <c r="M89" s="201" t="e">
        <f>RANK(K89, K$87:$K$101)</f>
        <v>#VALUE!</v>
      </c>
      <c r="N89" s="604"/>
      <c r="O89" s="604"/>
      <c r="P89" s="502"/>
      <c r="Q89" s="502"/>
      <c r="R89" s="502"/>
      <c r="S89" s="297" t="e">
        <f t="shared" si="92"/>
        <v>#N/A</v>
      </c>
      <c r="T89" s="605"/>
      <c r="U89" s="502"/>
      <c r="V89" s="502"/>
      <c r="W89" s="502"/>
      <c r="X89" s="441" t="e">
        <f t="shared" ref="X89:X101" si="93">RANK(W89, W$87:W$101)</f>
        <v>#N/A</v>
      </c>
      <c r="Y89" s="605"/>
      <c r="Z89" s="502"/>
      <c r="AA89" s="502"/>
      <c r="AB89" s="502"/>
      <c r="AC89" s="441" t="e">
        <f t="shared" si="80"/>
        <v>#N/A</v>
      </c>
      <c r="AD89" s="605"/>
      <c r="AE89" s="502"/>
      <c r="AF89" s="502"/>
      <c r="AG89" s="502"/>
      <c r="AH89" s="441" t="e">
        <f t="shared" si="82"/>
        <v>#N/A</v>
      </c>
      <c r="AI89" s="605"/>
      <c r="AJ89" s="502"/>
      <c r="AK89" s="502"/>
      <c r="AL89" s="502"/>
      <c r="AM89" s="441" t="e">
        <f t="shared" si="84"/>
        <v>#N/A</v>
      </c>
      <c r="AN89" s="605"/>
      <c r="AO89" s="502"/>
      <c r="AP89" s="502"/>
      <c r="AQ89" s="502"/>
      <c r="AR89" s="441" t="e">
        <f t="shared" si="86"/>
        <v>#N/A</v>
      </c>
      <c r="AS89" s="605"/>
      <c r="AT89" s="502"/>
      <c r="AU89" s="502"/>
      <c r="AV89" s="502"/>
      <c r="AW89" s="441" t="e">
        <f t="shared" si="88"/>
        <v>#N/A</v>
      </c>
      <c r="AX89" s="605"/>
      <c r="AZ89" s="521" t="e">
        <f t="shared" si="90"/>
        <v>#N/A</v>
      </c>
      <c r="BA89" s="605"/>
    </row>
    <row r="90" spans="2:53">
      <c r="B90" s="610"/>
      <c r="C90" s="297">
        <v>4</v>
      </c>
      <c r="D90" s="226"/>
      <c r="E90" s="182"/>
      <c r="F90" s="422"/>
      <c r="G90" s="423"/>
      <c r="H90" s="668"/>
      <c r="I90" s="513" t="str">
        <f t="shared" si="76"/>
        <v>-</v>
      </c>
      <c r="J90" s="513" t="str">
        <f t="shared" si="77"/>
        <v>-</v>
      </c>
      <c r="K90" s="200" t="str">
        <f t="shared" si="78"/>
        <v>-</v>
      </c>
      <c r="L90" s="621"/>
      <c r="M90" s="201" t="e">
        <f>RANK(K90, K$87:$K$101)</f>
        <v>#VALUE!</v>
      </c>
      <c r="N90" s="604"/>
      <c r="O90" s="604"/>
      <c r="P90" s="502"/>
      <c r="Q90" s="502"/>
      <c r="R90" s="502"/>
      <c r="S90" s="297" t="e">
        <f t="shared" si="92"/>
        <v>#N/A</v>
      </c>
      <c r="T90" s="605"/>
      <c r="U90" s="502"/>
      <c r="V90" s="502"/>
      <c r="W90" s="502"/>
      <c r="X90" s="441" t="e">
        <f t="shared" si="93"/>
        <v>#N/A</v>
      </c>
      <c r="Y90" s="605"/>
      <c r="Z90" s="502"/>
      <c r="AA90" s="502"/>
      <c r="AB90" s="502"/>
      <c r="AC90" s="441" t="e">
        <f t="shared" si="80"/>
        <v>#N/A</v>
      </c>
      <c r="AD90" s="605"/>
      <c r="AE90" s="502"/>
      <c r="AF90" s="502"/>
      <c r="AG90" s="502"/>
      <c r="AH90" s="441" t="e">
        <f t="shared" si="82"/>
        <v>#N/A</v>
      </c>
      <c r="AI90" s="605"/>
      <c r="AJ90" s="502"/>
      <c r="AK90" s="502"/>
      <c r="AL90" s="502"/>
      <c r="AM90" s="441" t="e">
        <f t="shared" si="84"/>
        <v>#N/A</v>
      </c>
      <c r="AN90" s="605"/>
      <c r="AO90" s="502"/>
      <c r="AP90" s="502"/>
      <c r="AQ90" s="502"/>
      <c r="AR90" s="441" t="e">
        <f t="shared" si="86"/>
        <v>#N/A</v>
      </c>
      <c r="AS90" s="605"/>
      <c r="AT90" s="502"/>
      <c r="AU90" s="502"/>
      <c r="AV90" s="502"/>
      <c r="AW90" s="441" t="e">
        <f t="shared" si="88"/>
        <v>#N/A</v>
      </c>
      <c r="AX90" s="605"/>
      <c r="AZ90" s="521" t="e">
        <f t="shared" si="90"/>
        <v>#N/A</v>
      </c>
      <c r="BA90" s="605"/>
    </row>
    <row r="91" spans="2:53">
      <c r="B91" s="610"/>
      <c r="C91" s="297">
        <v>5</v>
      </c>
      <c r="D91" s="226"/>
      <c r="E91" s="182"/>
      <c r="F91" s="422"/>
      <c r="G91" s="423"/>
      <c r="H91" s="668"/>
      <c r="I91" s="513" t="str">
        <f t="shared" si="76"/>
        <v>-</v>
      </c>
      <c r="J91" s="513" t="str">
        <f t="shared" si="77"/>
        <v>-</v>
      </c>
      <c r="K91" s="200" t="str">
        <f t="shared" si="78"/>
        <v>-</v>
      </c>
      <c r="L91" s="621"/>
      <c r="M91" s="201" t="e">
        <f>RANK(K91, K$87:$K$101)</f>
        <v>#VALUE!</v>
      </c>
      <c r="N91" s="604"/>
      <c r="O91" s="604"/>
      <c r="P91" s="502"/>
      <c r="Q91" s="502"/>
      <c r="R91" s="502"/>
      <c r="S91" s="297" t="e">
        <f t="shared" si="92"/>
        <v>#N/A</v>
      </c>
      <c r="T91" s="605"/>
      <c r="U91" s="502"/>
      <c r="V91" s="502"/>
      <c r="W91" s="502"/>
      <c r="X91" s="441" t="e">
        <f t="shared" si="93"/>
        <v>#N/A</v>
      </c>
      <c r="Y91" s="605"/>
      <c r="Z91" s="502"/>
      <c r="AA91" s="502"/>
      <c r="AB91" s="502"/>
      <c r="AC91" s="441" t="e">
        <f t="shared" si="80"/>
        <v>#N/A</v>
      </c>
      <c r="AD91" s="605"/>
      <c r="AE91" s="502"/>
      <c r="AF91" s="502"/>
      <c r="AG91" s="502"/>
      <c r="AH91" s="441" t="e">
        <f t="shared" si="82"/>
        <v>#N/A</v>
      </c>
      <c r="AI91" s="605"/>
      <c r="AJ91" s="502"/>
      <c r="AK91" s="502"/>
      <c r="AL91" s="502"/>
      <c r="AM91" s="441" t="e">
        <f t="shared" si="84"/>
        <v>#N/A</v>
      </c>
      <c r="AN91" s="605"/>
      <c r="AO91" s="502"/>
      <c r="AP91" s="502"/>
      <c r="AQ91" s="502"/>
      <c r="AR91" s="441" t="e">
        <f t="shared" si="86"/>
        <v>#N/A</v>
      </c>
      <c r="AS91" s="605"/>
      <c r="AT91" s="502"/>
      <c r="AU91" s="502"/>
      <c r="AV91" s="502"/>
      <c r="AW91" s="441" t="e">
        <f t="shared" si="88"/>
        <v>#N/A</v>
      </c>
      <c r="AX91" s="605"/>
      <c r="AZ91" s="521" t="e">
        <f t="shared" si="90"/>
        <v>#N/A</v>
      </c>
      <c r="BA91" s="605"/>
    </row>
    <row r="92" spans="2:53">
      <c r="B92" s="610"/>
      <c r="C92" s="297">
        <v>6</v>
      </c>
      <c r="D92" s="226"/>
      <c r="E92" s="182"/>
      <c r="F92" s="422"/>
      <c r="G92" s="423"/>
      <c r="H92" s="668"/>
      <c r="I92" s="513" t="str">
        <f t="shared" si="76"/>
        <v>-</v>
      </c>
      <c r="J92" s="513" t="str">
        <f t="shared" si="77"/>
        <v>-</v>
      </c>
      <c r="K92" s="200" t="str">
        <f t="shared" si="78"/>
        <v>-</v>
      </c>
      <c r="L92" s="621"/>
      <c r="M92" s="201" t="e">
        <f>RANK(K92, K$87:$K$101)</f>
        <v>#VALUE!</v>
      </c>
      <c r="N92" s="604"/>
      <c r="O92" s="604"/>
      <c r="P92" s="502"/>
      <c r="Q92" s="502"/>
      <c r="R92" s="502"/>
      <c r="S92" s="297" t="e">
        <f t="shared" si="92"/>
        <v>#N/A</v>
      </c>
      <c r="T92" s="605"/>
      <c r="U92" s="502"/>
      <c r="V92" s="502"/>
      <c r="W92" s="502"/>
      <c r="X92" s="441" t="e">
        <f t="shared" si="93"/>
        <v>#N/A</v>
      </c>
      <c r="Y92" s="605"/>
      <c r="Z92" s="502"/>
      <c r="AA92" s="502"/>
      <c r="AB92" s="502"/>
      <c r="AC92" s="441" t="e">
        <f t="shared" si="80"/>
        <v>#N/A</v>
      </c>
      <c r="AD92" s="605"/>
      <c r="AE92" s="502"/>
      <c r="AF92" s="502"/>
      <c r="AG92" s="502"/>
      <c r="AH92" s="441" t="e">
        <f t="shared" si="82"/>
        <v>#N/A</v>
      </c>
      <c r="AI92" s="605"/>
      <c r="AJ92" s="502"/>
      <c r="AK92" s="502"/>
      <c r="AL92" s="502"/>
      <c r="AM92" s="441" t="e">
        <f t="shared" si="84"/>
        <v>#N/A</v>
      </c>
      <c r="AN92" s="605"/>
      <c r="AO92" s="502"/>
      <c r="AP92" s="502"/>
      <c r="AQ92" s="502"/>
      <c r="AR92" s="441" t="e">
        <f t="shared" si="86"/>
        <v>#N/A</v>
      </c>
      <c r="AS92" s="605"/>
      <c r="AT92" s="502"/>
      <c r="AU92" s="502"/>
      <c r="AV92" s="502"/>
      <c r="AW92" s="441" t="e">
        <f t="shared" si="88"/>
        <v>#N/A</v>
      </c>
      <c r="AX92" s="605"/>
      <c r="AZ92" s="521" t="e">
        <f t="shared" si="90"/>
        <v>#N/A</v>
      </c>
      <c r="BA92" s="605"/>
    </row>
    <row r="93" spans="2:53">
      <c r="B93" s="610"/>
      <c r="C93" s="297">
        <v>7</v>
      </c>
      <c r="D93" s="226"/>
      <c r="E93" s="182"/>
      <c r="F93" s="422"/>
      <c r="G93" s="423"/>
      <c r="H93" s="668"/>
      <c r="I93" s="513" t="str">
        <f t="shared" si="76"/>
        <v>-</v>
      </c>
      <c r="J93" s="513" t="str">
        <f t="shared" si="77"/>
        <v>-</v>
      </c>
      <c r="K93" s="200" t="str">
        <f t="shared" si="78"/>
        <v>-</v>
      </c>
      <c r="L93" s="621"/>
      <c r="M93" s="201" t="e">
        <f>RANK(K93, K$87:$K$101)</f>
        <v>#VALUE!</v>
      </c>
      <c r="N93" s="604"/>
      <c r="O93" s="604"/>
      <c r="P93" s="502"/>
      <c r="Q93" s="502"/>
      <c r="R93" s="502"/>
      <c r="S93" s="297" t="e">
        <f t="shared" si="92"/>
        <v>#N/A</v>
      </c>
      <c r="T93" s="605"/>
      <c r="U93" s="502"/>
      <c r="V93" s="502"/>
      <c r="W93" s="502"/>
      <c r="X93" s="441" t="e">
        <f t="shared" si="93"/>
        <v>#N/A</v>
      </c>
      <c r="Y93" s="605"/>
      <c r="Z93" s="502"/>
      <c r="AA93" s="502"/>
      <c r="AB93" s="502"/>
      <c r="AC93" s="441" t="e">
        <f t="shared" si="80"/>
        <v>#N/A</v>
      </c>
      <c r="AD93" s="605"/>
      <c r="AE93" s="502"/>
      <c r="AF93" s="502"/>
      <c r="AG93" s="502"/>
      <c r="AH93" s="441" t="e">
        <f t="shared" si="82"/>
        <v>#N/A</v>
      </c>
      <c r="AI93" s="605"/>
      <c r="AJ93" s="502"/>
      <c r="AK93" s="502"/>
      <c r="AL93" s="502"/>
      <c r="AM93" s="441" t="e">
        <f t="shared" si="84"/>
        <v>#N/A</v>
      </c>
      <c r="AN93" s="605"/>
      <c r="AO93" s="502"/>
      <c r="AP93" s="502"/>
      <c r="AQ93" s="502"/>
      <c r="AR93" s="441" t="e">
        <f t="shared" si="86"/>
        <v>#N/A</v>
      </c>
      <c r="AS93" s="605"/>
      <c r="AT93" s="502"/>
      <c r="AU93" s="502"/>
      <c r="AV93" s="502"/>
      <c r="AW93" s="441" t="e">
        <f t="shared" si="88"/>
        <v>#N/A</v>
      </c>
      <c r="AX93" s="605"/>
      <c r="AZ93" s="521" t="e">
        <f t="shared" si="90"/>
        <v>#N/A</v>
      </c>
      <c r="BA93" s="605"/>
    </row>
    <row r="94" spans="2:53">
      <c r="B94" s="610"/>
      <c r="C94" s="297">
        <v>8</v>
      </c>
      <c r="D94" s="226"/>
      <c r="E94" s="182"/>
      <c r="F94" s="422"/>
      <c r="G94" s="423"/>
      <c r="H94" s="668"/>
      <c r="I94" s="513" t="str">
        <f t="shared" si="76"/>
        <v>-</v>
      </c>
      <c r="J94" s="513" t="str">
        <f t="shared" si="77"/>
        <v>-</v>
      </c>
      <c r="K94" s="200" t="str">
        <f t="shared" si="78"/>
        <v>-</v>
      </c>
      <c r="L94" s="621"/>
      <c r="M94" s="201" t="e">
        <f>RANK(K94, K$87:$K$101)</f>
        <v>#VALUE!</v>
      </c>
      <c r="N94" s="604"/>
      <c r="O94" s="604"/>
      <c r="P94" s="502"/>
      <c r="Q94" s="502"/>
      <c r="R94" s="502"/>
      <c r="S94" s="297" t="e">
        <f t="shared" si="92"/>
        <v>#N/A</v>
      </c>
      <c r="T94" s="605"/>
      <c r="U94" s="502"/>
      <c r="V94" s="502"/>
      <c r="W94" s="502"/>
      <c r="X94" s="441" t="e">
        <f t="shared" si="93"/>
        <v>#N/A</v>
      </c>
      <c r="Y94" s="605"/>
      <c r="Z94" s="502"/>
      <c r="AA94" s="502"/>
      <c r="AB94" s="502"/>
      <c r="AC94" s="441" t="e">
        <f t="shared" si="80"/>
        <v>#N/A</v>
      </c>
      <c r="AD94" s="605"/>
      <c r="AE94" s="502"/>
      <c r="AF94" s="502"/>
      <c r="AG94" s="502"/>
      <c r="AH94" s="441" t="e">
        <f t="shared" si="82"/>
        <v>#N/A</v>
      </c>
      <c r="AI94" s="605"/>
      <c r="AJ94" s="502"/>
      <c r="AK94" s="502"/>
      <c r="AL94" s="502"/>
      <c r="AM94" s="441" t="e">
        <f t="shared" si="84"/>
        <v>#N/A</v>
      </c>
      <c r="AN94" s="605"/>
      <c r="AO94" s="502"/>
      <c r="AP94" s="502"/>
      <c r="AQ94" s="502"/>
      <c r="AR94" s="441" t="e">
        <f t="shared" si="86"/>
        <v>#N/A</v>
      </c>
      <c r="AS94" s="605"/>
      <c r="AT94" s="502"/>
      <c r="AU94" s="502"/>
      <c r="AV94" s="502"/>
      <c r="AW94" s="441" t="e">
        <f t="shared" si="88"/>
        <v>#N/A</v>
      </c>
      <c r="AX94" s="605"/>
      <c r="AZ94" s="521" t="e">
        <f t="shared" si="90"/>
        <v>#N/A</v>
      </c>
      <c r="BA94" s="605"/>
    </row>
    <row r="95" spans="2:53">
      <c r="B95" s="610"/>
      <c r="C95" s="297">
        <v>9</v>
      </c>
      <c r="D95" s="226"/>
      <c r="E95" s="182"/>
      <c r="F95" s="422"/>
      <c r="G95" s="423"/>
      <c r="H95" s="668"/>
      <c r="I95" s="513" t="str">
        <f t="shared" si="76"/>
        <v>-</v>
      </c>
      <c r="J95" s="513" t="str">
        <f t="shared" si="77"/>
        <v>-</v>
      </c>
      <c r="K95" s="200" t="str">
        <f t="shared" si="78"/>
        <v>-</v>
      </c>
      <c r="L95" s="621"/>
      <c r="M95" s="201" t="e">
        <f>RANK(K95, K$87:$K$101)</f>
        <v>#VALUE!</v>
      </c>
      <c r="N95" s="604"/>
      <c r="O95" s="604"/>
      <c r="P95" s="502"/>
      <c r="Q95" s="502"/>
      <c r="R95" s="502"/>
      <c r="S95" s="297" t="e">
        <f t="shared" si="92"/>
        <v>#N/A</v>
      </c>
      <c r="T95" s="605"/>
      <c r="U95" s="502"/>
      <c r="V95" s="502"/>
      <c r="W95" s="502"/>
      <c r="X95" s="441" t="e">
        <f t="shared" si="93"/>
        <v>#N/A</v>
      </c>
      <c r="Y95" s="605"/>
      <c r="Z95" s="502"/>
      <c r="AA95" s="502"/>
      <c r="AB95" s="502"/>
      <c r="AC95" s="441" t="e">
        <f t="shared" si="80"/>
        <v>#N/A</v>
      </c>
      <c r="AD95" s="605"/>
      <c r="AE95" s="502"/>
      <c r="AF95" s="502"/>
      <c r="AG95" s="502"/>
      <c r="AH95" s="441" t="e">
        <f t="shared" si="82"/>
        <v>#N/A</v>
      </c>
      <c r="AI95" s="605"/>
      <c r="AJ95" s="502"/>
      <c r="AK95" s="502"/>
      <c r="AL95" s="502"/>
      <c r="AM95" s="441" t="e">
        <f t="shared" si="84"/>
        <v>#N/A</v>
      </c>
      <c r="AN95" s="605"/>
      <c r="AO95" s="502"/>
      <c r="AP95" s="502"/>
      <c r="AQ95" s="502"/>
      <c r="AR95" s="441" t="e">
        <f t="shared" si="86"/>
        <v>#N/A</v>
      </c>
      <c r="AS95" s="605"/>
      <c r="AT95" s="502"/>
      <c r="AU95" s="502"/>
      <c r="AV95" s="502"/>
      <c r="AW95" s="441" t="e">
        <f t="shared" si="88"/>
        <v>#N/A</v>
      </c>
      <c r="AX95" s="605"/>
      <c r="AZ95" s="521" t="e">
        <f t="shared" si="90"/>
        <v>#N/A</v>
      </c>
      <c r="BA95" s="605"/>
    </row>
    <row r="96" spans="2:53">
      <c r="B96" s="610"/>
      <c r="C96" s="297">
        <v>10</v>
      </c>
      <c r="D96" s="226"/>
      <c r="E96" s="182"/>
      <c r="F96" s="422"/>
      <c r="G96" s="423"/>
      <c r="H96" s="668"/>
      <c r="I96" s="513" t="str">
        <f t="shared" si="76"/>
        <v>-</v>
      </c>
      <c r="J96" s="513" t="str">
        <f t="shared" si="77"/>
        <v>-</v>
      </c>
      <c r="K96" s="200" t="str">
        <f t="shared" si="78"/>
        <v>-</v>
      </c>
      <c r="L96" s="621"/>
      <c r="M96" s="201" t="e">
        <f>RANK(K96, K$87:$K$101)</f>
        <v>#VALUE!</v>
      </c>
      <c r="N96" s="604"/>
      <c r="O96" s="604"/>
      <c r="P96" s="502"/>
      <c r="Q96" s="502"/>
      <c r="R96" s="502"/>
      <c r="S96" s="297" t="e">
        <f t="shared" si="92"/>
        <v>#N/A</v>
      </c>
      <c r="T96" s="605"/>
      <c r="U96" s="502"/>
      <c r="V96" s="502"/>
      <c r="W96" s="502"/>
      <c r="X96" s="441" t="e">
        <f t="shared" si="93"/>
        <v>#N/A</v>
      </c>
      <c r="Y96" s="605"/>
      <c r="Z96" s="502"/>
      <c r="AA96" s="502"/>
      <c r="AB96" s="502"/>
      <c r="AC96" s="441" t="e">
        <f t="shared" si="80"/>
        <v>#N/A</v>
      </c>
      <c r="AD96" s="605"/>
      <c r="AE96" s="502"/>
      <c r="AF96" s="502"/>
      <c r="AG96" s="502"/>
      <c r="AH96" s="441" t="e">
        <f t="shared" si="82"/>
        <v>#N/A</v>
      </c>
      <c r="AI96" s="605"/>
      <c r="AJ96" s="502"/>
      <c r="AK96" s="502"/>
      <c r="AL96" s="502"/>
      <c r="AM96" s="441" t="e">
        <f t="shared" si="84"/>
        <v>#N/A</v>
      </c>
      <c r="AN96" s="605"/>
      <c r="AO96" s="502"/>
      <c r="AP96" s="502"/>
      <c r="AQ96" s="502"/>
      <c r="AR96" s="441" t="e">
        <f t="shared" si="86"/>
        <v>#N/A</v>
      </c>
      <c r="AS96" s="605"/>
      <c r="AT96" s="502"/>
      <c r="AU96" s="502"/>
      <c r="AV96" s="502"/>
      <c r="AW96" s="441" t="e">
        <f t="shared" si="88"/>
        <v>#N/A</v>
      </c>
      <c r="AX96" s="605"/>
      <c r="AZ96" s="521" t="e">
        <f t="shared" si="90"/>
        <v>#N/A</v>
      </c>
      <c r="BA96" s="605"/>
    </row>
    <row r="97" spans="2:53">
      <c r="B97" s="610"/>
      <c r="C97" s="297">
        <v>11</v>
      </c>
      <c r="D97" s="226"/>
      <c r="E97" s="182"/>
      <c r="F97" s="422"/>
      <c r="G97" s="423"/>
      <c r="H97" s="668"/>
      <c r="I97" s="513" t="str">
        <f t="shared" si="76"/>
        <v>-</v>
      </c>
      <c r="J97" s="513" t="str">
        <f t="shared" si="77"/>
        <v>-</v>
      </c>
      <c r="K97" s="200" t="str">
        <f t="shared" si="78"/>
        <v>-</v>
      </c>
      <c r="L97" s="621"/>
      <c r="M97" s="201" t="e">
        <f>RANK(K97, K$87:$K$101)</f>
        <v>#VALUE!</v>
      </c>
      <c r="N97" s="604"/>
      <c r="O97" s="604"/>
      <c r="P97" s="502"/>
      <c r="Q97" s="502"/>
      <c r="R97" s="502"/>
      <c r="S97" s="297" t="e">
        <f t="shared" si="92"/>
        <v>#N/A</v>
      </c>
      <c r="T97" s="605"/>
      <c r="U97" s="502"/>
      <c r="V97" s="502"/>
      <c r="W97" s="502"/>
      <c r="X97" s="441" t="e">
        <f t="shared" si="93"/>
        <v>#N/A</v>
      </c>
      <c r="Y97" s="605"/>
      <c r="Z97" s="502"/>
      <c r="AA97" s="502"/>
      <c r="AB97" s="502"/>
      <c r="AC97" s="441" t="e">
        <f t="shared" si="80"/>
        <v>#N/A</v>
      </c>
      <c r="AD97" s="605"/>
      <c r="AE97" s="502"/>
      <c r="AF97" s="502"/>
      <c r="AG97" s="502"/>
      <c r="AH97" s="441" t="e">
        <f t="shared" si="82"/>
        <v>#N/A</v>
      </c>
      <c r="AI97" s="605"/>
      <c r="AJ97" s="502"/>
      <c r="AK97" s="502"/>
      <c r="AL97" s="502"/>
      <c r="AM97" s="441" t="e">
        <f t="shared" si="84"/>
        <v>#N/A</v>
      </c>
      <c r="AN97" s="605"/>
      <c r="AO97" s="502"/>
      <c r="AP97" s="502"/>
      <c r="AQ97" s="502"/>
      <c r="AR97" s="441" t="e">
        <f t="shared" si="86"/>
        <v>#N/A</v>
      </c>
      <c r="AS97" s="605"/>
      <c r="AT97" s="502"/>
      <c r="AU97" s="502"/>
      <c r="AV97" s="502"/>
      <c r="AW97" s="441" t="e">
        <f t="shared" si="88"/>
        <v>#N/A</v>
      </c>
      <c r="AX97" s="605"/>
      <c r="AZ97" s="521" t="e">
        <f t="shared" si="90"/>
        <v>#N/A</v>
      </c>
      <c r="BA97" s="605"/>
    </row>
    <row r="98" spans="2:53">
      <c r="B98" s="610"/>
      <c r="C98" s="297">
        <v>12</v>
      </c>
      <c r="D98" s="226"/>
      <c r="E98" s="182"/>
      <c r="F98" s="422"/>
      <c r="G98" s="423"/>
      <c r="H98" s="668"/>
      <c r="I98" s="513" t="str">
        <f t="shared" si="76"/>
        <v>-</v>
      </c>
      <c r="J98" s="513" t="str">
        <f t="shared" si="77"/>
        <v>-</v>
      </c>
      <c r="K98" s="200" t="str">
        <f t="shared" si="78"/>
        <v>-</v>
      </c>
      <c r="L98" s="621"/>
      <c r="M98" s="201" t="e">
        <f>RANK(K98, K$87:$K$101)</f>
        <v>#VALUE!</v>
      </c>
      <c r="N98" s="604"/>
      <c r="O98" s="604"/>
      <c r="P98" s="502"/>
      <c r="Q98" s="502"/>
      <c r="R98" s="502"/>
      <c r="S98" s="297" t="e">
        <f t="shared" si="92"/>
        <v>#N/A</v>
      </c>
      <c r="T98" s="605"/>
      <c r="U98" s="502"/>
      <c r="V98" s="502"/>
      <c r="W98" s="502"/>
      <c r="X98" s="441" t="e">
        <f t="shared" si="93"/>
        <v>#N/A</v>
      </c>
      <c r="Y98" s="605"/>
      <c r="Z98" s="502"/>
      <c r="AA98" s="502"/>
      <c r="AB98" s="502"/>
      <c r="AC98" s="441" t="e">
        <f t="shared" si="80"/>
        <v>#N/A</v>
      </c>
      <c r="AD98" s="605"/>
      <c r="AE98" s="502"/>
      <c r="AF98" s="502"/>
      <c r="AG98" s="502"/>
      <c r="AH98" s="441" t="e">
        <f t="shared" si="82"/>
        <v>#N/A</v>
      </c>
      <c r="AI98" s="605"/>
      <c r="AJ98" s="502"/>
      <c r="AK98" s="502"/>
      <c r="AL98" s="502"/>
      <c r="AM98" s="441" t="e">
        <f t="shared" si="84"/>
        <v>#N/A</v>
      </c>
      <c r="AN98" s="605"/>
      <c r="AO98" s="502"/>
      <c r="AP98" s="502"/>
      <c r="AQ98" s="502"/>
      <c r="AR98" s="441" t="e">
        <f t="shared" si="86"/>
        <v>#N/A</v>
      </c>
      <c r="AS98" s="605"/>
      <c r="AT98" s="502"/>
      <c r="AU98" s="502"/>
      <c r="AV98" s="502"/>
      <c r="AW98" s="441" t="e">
        <f t="shared" si="88"/>
        <v>#N/A</v>
      </c>
      <c r="AX98" s="605"/>
      <c r="AZ98" s="521" t="e">
        <f t="shared" si="90"/>
        <v>#N/A</v>
      </c>
      <c r="BA98" s="605"/>
    </row>
    <row r="99" spans="2:53">
      <c r="B99" s="610"/>
      <c r="C99" s="297">
        <v>13</v>
      </c>
      <c r="D99" s="226"/>
      <c r="E99" s="182"/>
      <c r="F99" s="422"/>
      <c r="G99" s="423"/>
      <c r="H99" s="668"/>
      <c r="I99" s="513" t="str">
        <f t="shared" si="76"/>
        <v>-</v>
      </c>
      <c r="J99" s="513" t="str">
        <f t="shared" si="77"/>
        <v>-</v>
      </c>
      <c r="K99" s="200" t="str">
        <f t="shared" si="78"/>
        <v>-</v>
      </c>
      <c r="L99" s="621"/>
      <c r="M99" s="201" t="e">
        <f>RANK(K99, K$87:$K$101)</f>
        <v>#VALUE!</v>
      </c>
      <c r="N99" s="604"/>
      <c r="O99" s="604"/>
      <c r="P99" s="502"/>
      <c r="Q99" s="502"/>
      <c r="R99" s="502"/>
      <c r="S99" s="297" t="e">
        <f t="shared" si="92"/>
        <v>#N/A</v>
      </c>
      <c r="T99" s="605"/>
      <c r="U99" s="502"/>
      <c r="V99" s="502"/>
      <c r="W99" s="502"/>
      <c r="X99" s="441" t="e">
        <f t="shared" si="93"/>
        <v>#N/A</v>
      </c>
      <c r="Y99" s="605"/>
      <c r="Z99" s="502"/>
      <c r="AA99" s="502"/>
      <c r="AB99" s="502"/>
      <c r="AC99" s="441" t="e">
        <f t="shared" si="80"/>
        <v>#N/A</v>
      </c>
      <c r="AD99" s="605"/>
      <c r="AE99" s="502"/>
      <c r="AF99" s="502"/>
      <c r="AG99" s="502"/>
      <c r="AH99" s="441" t="e">
        <f t="shared" si="82"/>
        <v>#N/A</v>
      </c>
      <c r="AI99" s="605"/>
      <c r="AJ99" s="502"/>
      <c r="AK99" s="502"/>
      <c r="AL99" s="502"/>
      <c r="AM99" s="441" t="e">
        <f t="shared" si="84"/>
        <v>#N/A</v>
      </c>
      <c r="AN99" s="605"/>
      <c r="AO99" s="502"/>
      <c r="AP99" s="502"/>
      <c r="AQ99" s="502"/>
      <c r="AR99" s="441" t="e">
        <f t="shared" si="86"/>
        <v>#N/A</v>
      </c>
      <c r="AS99" s="605"/>
      <c r="AT99" s="502"/>
      <c r="AU99" s="502"/>
      <c r="AV99" s="502"/>
      <c r="AW99" s="441" t="e">
        <f t="shared" si="88"/>
        <v>#N/A</v>
      </c>
      <c r="AX99" s="605"/>
      <c r="AZ99" s="521" t="e">
        <f t="shared" si="90"/>
        <v>#N/A</v>
      </c>
      <c r="BA99" s="605"/>
    </row>
    <row r="100" spans="2:53">
      <c r="B100" s="610"/>
      <c r="C100" s="297">
        <v>14</v>
      </c>
      <c r="D100" s="226"/>
      <c r="E100" s="182"/>
      <c r="F100" s="422"/>
      <c r="G100" s="423"/>
      <c r="H100" s="668"/>
      <c r="I100" s="513" t="str">
        <f t="shared" si="76"/>
        <v>-</v>
      </c>
      <c r="J100" s="513" t="str">
        <f t="shared" si="77"/>
        <v>-</v>
      </c>
      <c r="K100" s="200" t="str">
        <f t="shared" si="78"/>
        <v>-</v>
      </c>
      <c r="L100" s="621"/>
      <c r="M100" s="201" t="e">
        <f>RANK(K100, K$87:$K$101)</f>
        <v>#VALUE!</v>
      </c>
      <c r="N100" s="604"/>
      <c r="O100" s="604"/>
      <c r="P100" s="502"/>
      <c r="Q100" s="502"/>
      <c r="R100" s="502"/>
      <c r="S100" s="297" t="e">
        <f t="shared" si="92"/>
        <v>#N/A</v>
      </c>
      <c r="T100" s="605"/>
      <c r="U100" s="502"/>
      <c r="V100" s="502"/>
      <c r="W100" s="502"/>
      <c r="X100" s="441" t="e">
        <f t="shared" si="93"/>
        <v>#N/A</v>
      </c>
      <c r="Y100" s="605"/>
      <c r="Z100" s="502"/>
      <c r="AA100" s="502"/>
      <c r="AB100" s="502"/>
      <c r="AC100" s="441" t="e">
        <f t="shared" si="80"/>
        <v>#N/A</v>
      </c>
      <c r="AD100" s="605"/>
      <c r="AE100" s="502"/>
      <c r="AF100" s="502"/>
      <c r="AG100" s="502"/>
      <c r="AH100" s="441" t="e">
        <f t="shared" si="82"/>
        <v>#N/A</v>
      </c>
      <c r="AI100" s="605"/>
      <c r="AJ100" s="502"/>
      <c r="AK100" s="502"/>
      <c r="AL100" s="502"/>
      <c r="AM100" s="441" t="e">
        <f t="shared" si="84"/>
        <v>#N/A</v>
      </c>
      <c r="AN100" s="605"/>
      <c r="AO100" s="502"/>
      <c r="AP100" s="502"/>
      <c r="AQ100" s="502"/>
      <c r="AR100" s="441" t="e">
        <f t="shared" si="86"/>
        <v>#N/A</v>
      </c>
      <c r="AS100" s="605"/>
      <c r="AT100" s="502"/>
      <c r="AU100" s="502"/>
      <c r="AV100" s="502"/>
      <c r="AW100" s="441" t="e">
        <f t="shared" si="88"/>
        <v>#N/A</v>
      </c>
      <c r="AX100" s="605"/>
      <c r="AZ100" s="521" t="e">
        <f t="shared" si="90"/>
        <v>#N/A</v>
      </c>
      <c r="BA100" s="605"/>
    </row>
    <row r="101" spans="2:53">
      <c r="B101" s="610"/>
      <c r="C101" s="297">
        <v>15</v>
      </c>
      <c r="D101" s="226"/>
      <c r="E101" s="182"/>
      <c r="F101" s="422"/>
      <c r="G101" s="423"/>
      <c r="H101" s="669"/>
      <c r="I101" s="202"/>
      <c r="J101" s="202"/>
      <c r="K101" s="202"/>
      <c r="L101" s="622"/>
      <c r="M101" s="199" t="e">
        <f>RANK(K101, K$87:$K$101)</f>
        <v>#N/A</v>
      </c>
      <c r="N101" s="604"/>
      <c r="O101" s="604"/>
      <c r="P101" s="502"/>
      <c r="Q101" s="502"/>
      <c r="R101" s="502"/>
      <c r="S101" s="297" t="e">
        <f t="shared" si="92"/>
        <v>#N/A</v>
      </c>
      <c r="T101" s="605"/>
      <c r="U101" s="502"/>
      <c r="V101" s="502"/>
      <c r="W101" s="502"/>
      <c r="X101" s="441" t="e">
        <f t="shared" si="93"/>
        <v>#N/A</v>
      </c>
      <c r="Y101" s="605"/>
      <c r="Z101" s="502"/>
      <c r="AA101" s="502"/>
      <c r="AB101" s="502"/>
      <c r="AC101" s="441" t="e">
        <f t="shared" si="80"/>
        <v>#N/A</v>
      </c>
      <c r="AD101" s="605"/>
      <c r="AE101" s="502"/>
      <c r="AF101" s="502"/>
      <c r="AG101" s="502"/>
      <c r="AH101" s="441" t="e">
        <f t="shared" si="82"/>
        <v>#N/A</v>
      </c>
      <c r="AI101" s="605"/>
      <c r="AJ101" s="502"/>
      <c r="AK101" s="502"/>
      <c r="AL101" s="502"/>
      <c r="AM101" s="441" t="e">
        <f t="shared" si="84"/>
        <v>#N/A</v>
      </c>
      <c r="AN101" s="605"/>
      <c r="AO101" s="502"/>
      <c r="AP101" s="502"/>
      <c r="AQ101" s="502"/>
      <c r="AR101" s="441" t="e">
        <f t="shared" si="86"/>
        <v>#N/A</v>
      </c>
      <c r="AS101" s="605"/>
      <c r="AT101" s="502"/>
      <c r="AU101" s="502"/>
      <c r="AV101" s="502"/>
      <c r="AW101" s="441" t="e">
        <f t="shared" si="88"/>
        <v>#N/A</v>
      </c>
      <c r="AX101" s="605"/>
      <c r="AZ101" s="521" t="e">
        <f t="shared" si="90"/>
        <v>#N/A</v>
      </c>
      <c r="BA101" s="605"/>
    </row>
    <row r="102" spans="2:53" ht="15.75">
      <c r="B102" s="633" t="s">
        <v>163</v>
      </c>
      <c r="C102" s="634"/>
      <c r="D102" s="634"/>
      <c r="E102" s="634"/>
      <c r="F102" s="634"/>
      <c r="G102" s="634"/>
      <c r="H102" s="635"/>
      <c r="I102" s="208"/>
      <c r="J102" s="208"/>
      <c r="K102" s="208"/>
      <c r="L102" s="208"/>
      <c r="M102" s="207"/>
      <c r="N102" s="606" t="s">
        <v>156</v>
      </c>
      <c r="O102" s="606" t="s">
        <v>105</v>
      </c>
      <c r="P102" s="632">
        <f>P82+7</f>
        <v>46147</v>
      </c>
      <c r="Q102" s="610"/>
      <c r="R102" s="610"/>
      <c r="S102" s="610"/>
      <c r="T102" s="610"/>
      <c r="U102" s="629">
        <f>P102+1</f>
        <v>46148</v>
      </c>
      <c r="V102" s="630"/>
      <c r="W102" s="630"/>
      <c r="X102" s="630"/>
      <c r="Y102" s="631"/>
      <c r="Z102" s="629">
        <f>U102+1</f>
        <v>46149</v>
      </c>
      <c r="AA102" s="630"/>
      <c r="AB102" s="630"/>
      <c r="AC102" s="630"/>
      <c r="AD102" s="631"/>
      <c r="AE102" s="629">
        <f>Z102+1</f>
        <v>46150</v>
      </c>
      <c r="AF102" s="630"/>
      <c r="AG102" s="630"/>
      <c r="AH102" s="630"/>
      <c r="AI102" s="631"/>
      <c r="AJ102" s="629">
        <f>AE102+1</f>
        <v>46151</v>
      </c>
      <c r="AK102" s="630"/>
      <c r="AL102" s="630"/>
      <c r="AM102" s="630"/>
      <c r="AN102" s="631"/>
      <c r="AO102" s="629">
        <f>AJ102+1</f>
        <v>46152</v>
      </c>
      <c r="AP102" s="630"/>
      <c r="AQ102" s="630"/>
      <c r="AR102" s="630"/>
      <c r="AS102" s="631"/>
      <c r="AT102" s="629">
        <f>AO102+1</f>
        <v>46153</v>
      </c>
      <c r="AU102" s="630"/>
      <c r="AV102" s="630"/>
      <c r="AW102" s="630"/>
      <c r="AX102" s="631"/>
    </row>
    <row r="103" spans="2:53" ht="15.75">
      <c r="B103" s="636"/>
      <c r="C103" s="636"/>
      <c r="D103" s="636"/>
      <c r="E103" s="636"/>
      <c r="F103" s="636"/>
      <c r="G103" s="636"/>
      <c r="H103" s="636"/>
      <c r="I103" s="205"/>
      <c r="J103" s="205"/>
      <c r="K103" s="205"/>
      <c r="L103" s="205"/>
      <c r="M103" s="206"/>
      <c r="N103" s="608"/>
      <c r="O103" s="608"/>
      <c r="P103" s="632" t="s">
        <v>158</v>
      </c>
      <c r="Q103" s="610"/>
      <c r="R103" s="610"/>
      <c r="S103" s="610"/>
      <c r="T103" s="610"/>
      <c r="U103" s="632" t="s">
        <v>114</v>
      </c>
      <c r="V103" s="610"/>
      <c r="W103" s="610"/>
      <c r="X103" s="610"/>
      <c r="Y103" s="610"/>
      <c r="Z103" s="632" t="s">
        <v>159</v>
      </c>
      <c r="AA103" s="610"/>
      <c r="AB103" s="610"/>
      <c r="AC103" s="610"/>
      <c r="AD103" s="610"/>
      <c r="AE103" s="632" t="s">
        <v>157</v>
      </c>
      <c r="AF103" s="610"/>
      <c r="AG103" s="610"/>
      <c r="AH103" s="610"/>
      <c r="AI103" s="610"/>
      <c r="AJ103" s="632" t="s">
        <v>160</v>
      </c>
      <c r="AK103" s="610"/>
      <c r="AL103" s="610"/>
      <c r="AM103" s="610"/>
      <c r="AN103" s="610"/>
      <c r="AO103" s="632" t="s">
        <v>115</v>
      </c>
      <c r="AP103" s="610"/>
      <c r="AQ103" s="610"/>
      <c r="AR103" s="610"/>
      <c r="AS103" s="610"/>
      <c r="AT103" s="632" t="s">
        <v>162</v>
      </c>
      <c r="AU103" s="610"/>
      <c r="AV103" s="610"/>
      <c r="AW103" s="610"/>
      <c r="AX103" s="610"/>
    </row>
    <row r="104" spans="2:53">
      <c r="B104" s="604" t="s">
        <v>154</v>
      </c>
      <c r="C104" s="604" t="s">
        <v>408</v>
      </c>
      <c r="D104" s="604"/>
      <c r="E104" s="604" t="s">
        <v>399</v>
      </c>
      <c r="F104" s="604"/>
      <c r="G104" s="604"/>
      <c r="H104" s="637" t="s">
        <v>395</v>
      </c>
      <c r="I104" s="656" t="s">
        <v>400</v>
      </c>
      <c r="J104" s="656"/>
      <c r="K104" s="656"/>
      <c r="L104" s="657" t="s">
        <v>395</v>
      </c>
      <c r="M104" s="642" t="s">
        <v>396</v>
      </c>
      <c r="N104" s="604"/>
      <c r="O104" s="604" t="s">
        <v>401</v>
      </c>
      <c r="P104" s="623" t="s">
        <v>397</v>
      </c>
      <c r="Q104" s="624"/>
      <c r="R104" s="624"/>
      <c r="S104" s="625"/>
      <c r="T104" s="604" t="s">
        <v>395</v>
      </c>
      <c r="U104" s="623" t="s">
        <v>397</v>
      </c>
      <c r="V104" s="624"/>
      <c r="W104" s="624"/>
      <c r="X104" s="625"/>
      <c r="Y104" s="604" t="s">
        <v>395</v>
      </c>
      <c r="Z104" s="623" t="s">
        <v>397</v>
      </c>
      <c r="AA104" s="624"/>
      <c r="AB104" s="624"/>
      <c r="AC104" s="625"/>
      <c r="AD104" s="604" t="s">
        <v>395</v>
      </c>
      <c r="AE104" s="623" t="s">
        <v>397</v>
      </c>
      <c r="AF104" s="624"/>
      <c r="AG104" s="624"/>
      <c r="AH104" s="625"/>
      <c r="AI104" s="604" t="s">
        <v>395</v>
      </c>
      <c r="AJ104" s="623" t="s">
        <v>397</v>
      </c>
      <c r="AK104" s="624"/>
      <c r="AL104" s="624"/>
      <c r="AM104" s="625"/>
      <c r="AN104" s="604" t="s">
        <v>395</v>
      </c>
      <c r="AO104" s="623" t="s">
        <v>397</v>
      </c>
      <c r="AP104" s="624"/>
      <c r="AQ104" s="624"/>
      <c r="AR104" s="625"/>
      <c r="AS104" s="604" t="s">
        <v>395</v>
      </c>
      <c r="AT104" s="623" t="s">
        <v>397</v>
      </c>
      <c r="AU104" s="624"/>
      <c r="AV104" s="624"/>
      <c r="AW104" s="625"/>
      <c r="AX104" s="604" t="s">
        <v>395</v>
      </c>
      <c r="BA104" s="604" t="s">
        <v>395</v>
      </c>
    </row>
    <row r="105" spans="2:53">
      <c r="B105" s="604"/>
      <c r="C105" s="604"/>
      <c r="D105" s="604"/>
      <c r="E105" s="604" t="s">
        <v>402</v>
      </c>
      <c r="F105" s="604"/>
      <c r="G105" s="604"/>
      <c r="H105" s="638"/>
      <c r="I105" s="656" t="s">
        <v>402</v>
      </c>
      <c r="J105" s="656"/>
      <c r="K105" s="656"/>
      <c r="L105" s="658"/>
      <c r="M105" s="643"/>
      <c r="N105" s="604"/>
      <c r="O105" s="604"/>
      <c r="P105" s="623" t="s">
        <v>403</v>
      </c>
      <c r="Q105" s="624"/>
      <c r="R105" s="624"/>
      <c r="S105" s="625"/>
      <c r="T105" s="604"/>
      <c r="U105" s="623" t="s">
        <v>403</v>
      </c>
      <c r="V105" s="624"/>
      <c r="W105" s="624"/>
      <c r="X105" s="625"/>
      <c r="Y105" s="604"/>
      <c r="Z105" s="623" t="s">
        <v>403</v>
      </c>
      <c r="AA105" s="624"/>
      <c r="AB105" s="624"/>
      <c r="AC105" s="625"/>
      <c r="AD105" s="604"/>
      <c r="AE105" s="623" t="s">
        <v>403</v>
      </c>
      <c r="AF105" s="624"/>
      <c r="AG105" s="624"/>
      <c r="AH105" s="625"/>
      <c r="AI105" s="604"/>
      <c r="AJ105" s="623" t="s">
        <v>403</v>
      </c>
      <c r="AK105" s="624"/>
      <c r="AL105" s="624"/>
      <c r="AM105" s="625"/>
      <c r="AN105" s="604"/>
      <c r="AO105" s="623" t="s">
        <v>403</v>
      </c>
      <c r="AP105" s="624"/>
      <c r="AQ105" s="624"/>
      <c r="AR105" s="625"/>
      <c r="AS105" s="604"/>
      <c r="AT105" s="623" t="s">
        <v>403</v>
      </c>
      <c r="AU105" s="624"/>
      <c r="AV105" s="624"/>
      <c r="AW105" s="625"/>
      <c r="AX105" s="604"/>
      <c r="BA105" s="604"/>
    </row>
    <row r="106" spans="2:53">
      <c r="B106" s="604"/>
      <c r="C106" s="604"/>
      <c r="D106" s="604"/>
      <c r="E106" s="334" t="s">
        <v>404</v>
      </c>
      <c r="F106" s="334" t="s">
        <v>405</v>
      </c>
      <c r="G106" s="334" t="s">
        <v>406</v>
      </c>
      <c r="H106" s="639"/>
      <c r="I106" s="335" t="s">
        <v>404</v>
      </c>
      <c r="J106" s="335" t="s">
        <v>405</v>
      </c>
      <c r="K106" s="335" t="s">
        <v>406</v>
      </c>
      <c r="L106" s="659"/>
      <c r="M106" s="644"/>
      <c r="N106" s="604"/>
      <c r="O106" s="604"/>
      <c r="P106" s="334" t="s">
        <v>404</v>
      </c>
      <c r="Q106" s="334" t="s">
        <v>405</v>
      </c>
      <c r="R106" s="334" t="s">
        <v>406</v>
      </c>
      <c r="S106" s="334" t="s">
        <v>396</v>
      </c>
      <c r="T106" s="604"/>
      <c r="U106" s="334" t="s">
        <v>404</v>
      </c>
      <c r="V106" s="334" t="s">
        <v>405</v>
      </c>
      <c r="W106" s="334" t="s">
        <v>406</v>
      </c>
      <c r="X106" s="334" t="s">
        <v>396</v>
      </c>
      <c r="Y106" s="604"/>
      <c r="Z106" s="334" t="s">
        <v>404</v>
      </c>
      <c r="AA106" s="334" t="s">
        <v>405</v>
      </c>
      <c r="AB106" s="334" t="s">
        <v>406</v>
      </c>
      <c r="AC106" s="334" t="s">
        <v>396</v>
      </c>
      <c r="AD106" s="604"/>
      <c r="AE106" s="334" t="s">
        <v>404</v>
      </c>
      <c r="AF106" s="334" t="s">
        <v>405</v>
      </c>
      <c r="AG106" s="334" t="s">
        <v>406</v>
      </c>
      <c r="AH106" s="334" t="s">
        <v>396</v>
      </c>
      <c r="AI106" s="604"/>
      <c r="AJ106" s="334" t="s">
        <v>404</v>
      </c>
      <c r="AK106" s="334" t="s">
        <v>405</v>
      </c>
      <c r="AL106" s="334" t="s">
        <v>406</v>
      </c>
      <c r="AM106" s="334" t="s">
        <v>396</v>
      </c>
      <c r="AN106" s="604"/>
      <c r="AO106" s="334" t="s">
        <v>404</v>
      </c>
      <c r="AP106" s="334" t="s">
        <v>405</v>
      </c>
      <c r="AQ106" s="334" t="s">
        <v>406</v>
      </c>
      <c r="AR106" s="334" t="s">
        <v>396</v>
      </c>
      <c r="AS106" s="604"/>
      <c r="AT106" s="334" t="s">
        <v>404</v>
      </c>
      <c r="AU106" s="334" t="s">
        <v>405</v>
      </c>
      <c r="AV106" s="334" t="s">
        <v>406</v>
      </c>
      <c r="AW106" s="334" t="s">
        <v>396</v>
      </c>
      <c r="AX106" s="604"/>
      <c r="AZ106" s="520" t="s">
        <v>396</v>
      </c>
      <c r="BA106" s="604"/>
    </row>
    <row r="107" spans="2:53">
      <c r="B107" s="604" t="s">
        <v>409</v>
      </c>
      <c r="C107" s="333">
        <v>1</v>
      </c>
      <c r="D107" s="226"/>
      <c r="E107" s="182"/>
      <c r="F107" s="333"/>
      <c r="G107" s="336"/>
      <c r="H107" s="667" t="e">
        <f>AVERAGE(G107:G121)</f>
        <v>#DIV/0!</v>
      </c>
      <c r="I107" s="513" t="str">
        <f t="shared" ref="I107:I120" si="94">IFERROR(AVERAGE(P107,U107,Z107,AE107,AJ107,AO107,AT107),"-")</f>
        <v>-</v>
      </c>
      <c r="J107" s="513" t="str">
        <f t="shared" ref="J107:J120" si="95">IFERROR(AVERAGE(Q107,V107,AA107,AF107,AK107,AP107,AU107),"-")</f>
        <v>-</v>
      </c>
      <c r="K107" s="200" t="str">
        <f t="shared" ref="K107:K120" si="96">IFERROR(AVERAGE(R107,W107,AB107,AG107,AL107,AQ107,AV107),"-")</f>
        <v>-</v>
      </c>
      <c r="L107" s="620" t="str">
        <f>IFERROR(AVERAGE(K107:K121),"-")</f>
        <v>-</v>
      </c>
      <c r="M107" s="201" t="e">
        <f>RANK(K107, K$87:$K$101)</f>
        <v>#VALUE!</v>
      </c>
      <c r="N107" s="604"/>
      <c r="O107" s="604"/>
      <c r="P107" s="182"/>
      <c r="Q107" s="182"/>
      <c r="R107" s="336"/>
      <c r="S107" s="333" t="e">
        <f>RANK(R107, R$107:R$121)</f>
        <v>#N/A</v>
      </c>
      <c r="T107" s="605" t="e">
        <f>AVERAGE(R107:R121)</f>
        <v>#DIV/0!</v>
      </c>
      <c r="U107" s="182"/>
      <c r="V107" s="182"/>
      <c r="W107" s="348"/>
      <c r="X107" s="344" t="e">
        <f>RANK(W107, W$107:W$121)</f>
        <v>#N/A</v>
      </c>
      <c r="Y107" s="605" t="e">
        <f>AVERAGE(W107:W121)</f>
        <v>#DIV/0!</v>
      </c>
      <c r="Z107" s="182"/>
      <c r="AA107" s="182"/>
      <c r="AB107" s="348"/>
      <c r="AC107" s="344" t="e">
        <f>RANK(AB107, AB$107:AB$121)</f>
        <v>#N/A</v>
      </c>
      <c r="AD107" s="605" t="e">
        <f>AVERAGE(AB107:AB121)</f>
        <v>#DIV/0!</v>
      </c>
      <c r="AE107" s="182"/>
      <c r="AF107" s="182"/>
      <c r="AG107" s="348"/>
      <c r="AH107" s="344" t="e">
        <f>RANK(AG107, AG$107:AG$121)</f>
        <v>#N/A</v>
      </c>
      <c r="AI107" s="605" t="e">
        <f>AVERAGE(AG107:AG121)</f>
        <v>#DIV/0!</v>
      </c>
      <c r="AJ107" s="182"/>
      <c r="AK107" s="182"/>
      <c r="AL107" s="348"/>
      <c r="AM107" s="344" t="e">
        <f>RANK(AL107, AL$107:AL$121)</f>
        <v>#N/A</v>
      </c>
      <c r="AN107" s="605" t="e">
        <f>AVERAGE(AL107:AL121)</f>
        <v>#DIV/0!</v>
      </c>
      <c r="AO107" s="182"/>
      <c r="AP107" s="182"/>
      <c r="AQ107" s="348"/>
      <c r="AR107" s="344" t="e">
        <f>RANK(AQ107, AQ$107:AQ$121)</f>
        <v>#N/A</v>
      </c>
      <c r="AS107" s="605" t="e">
        <f>AVERAGE(AQ107:AQ121)</f>
        <v>#DIV/0!</v>
      </c>
      <c r="AT107" s="182"/>
      <c r="AU107" s="182"/>
      <c r="AV107" s="348"/>
      <c r="AW107" s="344" t="e">
        <f>RANK(AV107, AV$107:AV$121)</f>
        <v>#N/A</v>
      </c>
      <c r="AX107" s="605" t="e">
        <f>AVERAGE(AV107:AV121)</f>
        <v>#DIV/0!</v>
      </c>
      <c r="AZ107" s="521" t="e">
        <f>RANK(AY107, AY$107:AY$121)</f>
        <v>#N/A</v>
      </c>
      <c r="BA107" s="605" t="e">
        <f>AVERAGE(AY107:AY121)</f>
        <v>#DIV/0!</v>
      </c>
    </row>
    <row r="108" spans="2:53">
      <c r="B108" s="610"/>
      <c r="C108" s="333">
        <v>2</v>
      </c>
      <c r="D108" s="226"/>
      <c r="E108" s="182"/>
      <c r="F108" s="333"/>
      <c r="G108" s="336"/>
      <c r="H108" s="668"/>
      <c r="I108" s="513" t="str">
        <f t="shared" si="94"/>
        <v>-</v>
      </c>
      <c r="J108" s="513" t="str">
        <f t="shared" si="95"/>
        <v>-</v>
      </c>
      <c r="K108" s="200" t="str">
        <f t="shared" si="96"/>
        <v>-</v>
      </c>
      <c r="L108" s="621"/>
      <c r="M108" s="201" t="e">
        <f>RANK(K108, K$87:$K$101)</f>
        <v>#VALUE!</v>
      </c>
      <c r="N108" s="604"/>
      <c r="O108" s="604"/>
      <c r="P108" s="333"/>
      <c r="Q108" s="182"/>
      <c r="R108" s="345"/>
      <c r="S108" s="344" t="e">
        <f t="shared" ref="S108:S121" si="97">RANK(R108, R$107:R$121)</f>
        <v>#N/A</v>
      </c>
      <c r="T108" s="605"/>
      <c r="U108" s="347"/>
      <c r="V108" s="182"/>
      <c r="W108" s="348"/>
      <c r="X108" s="344" t="e">
        <f t="shared" ref="X108:X121" si="98">RANK(W108, W$107:W$121)</f>
        <v>#N/A</v>
      </c>
      <c r="Y108" s="605"/>
      <c r="Z108" s="347"/>
      <c r="AA108" s="182"/>
      <c r="AB108" s="348"/>
      <c r="AC108" s="344" t="e">
        <f t="shared" ref="AC108:AC121" si="99">RANK(AB108, AB$107:AB$121)</f>
        <v>#N/A</v>
      </c>
      <c r="AD108" s="605"/>
      <c r="AE108" s="347"/>
      <c r="AF108" s="182"/>
      <c r="AG108" s="348"/>
      <c r="AH108" s="344" t="e">
        <f t="shared" ref="AH108:AH121" si="100">RANK(AG108, AG$107:AG$121)</f>
        <v>#N/A</v>
      </c>
      <c r="AI108" s="605"/>
      <c r="AJ108" s="347"/>
      <c r="AK108" s="182"/>
      <c r="AL108" s="348"/>
      <c r="AM108" s="344" t="e">
        <f t="shared" ref="AM108:AM121" si="101">RANK(AL108, AL$107:AL$121)</f>
        <v>#N/A</v>
      </c>
      <c r="AN108" s="605"/>
      <c r="AO108" s="347"/>
      <c r="AP108" s="182"/>
      <c r="AQ108" s="348"/>
      <c r="AR108" s="344" t="e">
        <f t="shared" ref="AR108:AR121" si="102">RANK(AQ108, AQ$107:AQ$121)</f>
        <v>#N/A</v>
      </c>
      <c r="AS108" s="605"/>
      <c r="AT108" s="347"/>
      <c r="AU108" s="182"/>
      <c r="AV108" s="348"/>
      <c r="AW108" s="344" t="e">
        <f t="shared" ref="AW108:AW121" si="103">RANK(AV108, AV$107:AV$121)</f>
        <v>#N/A</v>
      </c>
      <c r="AX108" s="605"/>
      <c r="AZ108" s="521" t="e">
        <f t="shared" ref="AZ108:AZ121" si="104">RANK(AY108, AY$107:AY$121)</f>
        <v>#N/A</v>
      </c>
      <c r="BA108" s="605"/>
    </row>
    <row r="109" spans="2:53">
      <c r="B109" s="610"/>
      <c r="C109" s="333">
        <v>3</v>
      </c>
      <c r="D109" s="226"/>
      <c r="E109" s="182"/>
      <c r="F109" s="333"/>
      <c r="G109" s="336"/>
      <c r="H109" s="668"/>
      <c r="I109" s="513" t="str">
        <f t="shared" si="94"/>
        <v>-</v>
      </c>
      <c r="J109" s="513" t="str">
        <f t="shared" si="95"/>
        <v>-</v>
      </c>
      <c r="K109" s="200" t="str">
        <f t="shared" si="96"/>
        <v>-</v>
      </c>
      <c r="L109" s="621"/>
      <c r="M109" s="201" t="e">
        <f>RANK(K109, K$87:$K$101)</f>
        <v>#VALUE!</v>
      </c>
      <c r="N109" s="604"/>
      <c r="O109" s="604"/>
      <c r="P109" s="333"/>
      <c r="Q109" s="333"/>
      <c r="R109" s="333"/>
      <c r="S109" s="344" t="e">
        <f t="shared" si="97"/>
        <v>#N/A</v>
      </c>
      <c r="T109" s="605"/>
      <c r="U109" s="347"/>
      <c r="V109" s="347"/>
      <c r="W109" s="347"/>
      <c r="X109" s="344" t="e">
        <f t="shared" si="98"/>
        <v>#N/A</v>
      </c>
      <c r="Y109" s="605"/>
      <c r="Z109" s="347"/>
      <c r="AA109" s="347"/>
      <c r="AB109" s="347"/>
      <c r="AC109" s="344" t="e">
        <f t="shared" si="99"/>
        <v>#N/A</v>
      </c>
      <c r="AD109" s="605"/>
      <c r="AE109" s="347"/>
      <c r="AF109" s="347"/>
      <c r="AG109" s="347"/>
      <c r="AH109" s="344" t="e">
        <f t="shared" si="100"/>
        <v>#N/A</v>
      </c>
      <c r="AI109" s="605"/>
      <c r="AJ109" s="347"/>
      <c r="AK109" s="347"/>
      <c r="AL109" s="347"/>
      <c r="AM109" s="344" t="e">
        <f t="shared" si="101"/>
        <v>#N/A</v>
      </c>
      <c r="AN109" s="605"/>
      <c r="AO109" s="347"/>
      <c r="AP109" s="347"/>
      <c r="AQ109" s="347"/>
      <c r="AR109" s="344" t="e">
        <f t="shared" si="102"/>
        <v>#N/A</v>
      </c>
      <c r="AS109" s="605"/>
      <c r="AT109" s="347"/>
      <c r="AU109" s="347"/>
      <c r="AV109" s="347"/>
      <c r="AW109" s="344" t="e">
        <f t="shared" si="103"/>
        <v>#N/A</v>
      </c>
      <c r="AX109" s="605"/>
      <c r="AZ109" s="521" t="e">
        <f t="shared" si="104"/>
        <v>#N/A</v>
      </c>
      <c r="BA109" s="605"/>
    </row>
    <row r="110" spans="2:53">
      <c r="B110" s="610"/>
      <c r="C110" s="333">
        <v>4</v>
      </c>
      <c r="D110" s="226"/>
      <c r="E110" s="182"/>
      <c r="F110" s="333"/>
      <c r="G110" s="336"/>
      <c r="H110" s="668"/>
      <c r="I110" s="513" t="str">
        <f t="shared" si="94"/>
        <v>-</v>
      </c>
      <c r="J110" s="513" t="str">
        <f t="shared" si="95"/>
        <v>-</v>
      </c>
      <c r="K110" s="200" t="str">
        <f t="shared" si="96"/>
        <v>-</v>
      </c>
      <c r="L110" s="621"/>
      <c r="M110" s="201" t="e">
        <f>RANK(K110, K$87:$K$101)</f>
        <v>#VALUE!</v>
      </c>
      <c r="N110" s="604"/>
      <c r="O110" s="604"/>
      <c r="P110" s="333"/>
      <c r="Q110" s="333"/>
      <c r="R110" s="333"/>
      <c r="S110" s="344" t="e">
        <f t="shared" si="97"/>
        <v>#N/A</v>
      </c>
      <c r="T110" s="605"/>
      <c r="U110" s="347"/>
      <c r="V110" s="347"/>
      <c r="W110" s="347"/>
      <c r="X110" s="344" t="e">
        <f t="shared" si="98"/>
        <v>#N/A</v>
      </c>
      <c r="Y110" s="605"/>
      <c r="Z110" s="347"/>
      <c r="AA110" s="347"/>
      <c r="AB110" s="347"/>
      <c r="AC110" s="344" t="e">
        <f t="shared" si="99"/>
        <v>#N/A</v>
      </c>
      <c r="AD110" s="605"/>
      <c r="AE110" s="347"/>
      <c r="AF110" s="347"/>
      <c r="AG110" s="347"/>
      <c r="AH110" s="344" t="e">
        <f t="shared" si="100"/>
        <v>#N/A</v>
      </c>
      <c r="AI110" s="605"/>
      <c r="AJ110" s="347"/>
      <c r="AK110" s="347"/>
      <c r="AL110" s="347"/>
      <c r="AM110" s="344" t="e">
        <f t="shared" si="101"/>
        <v>#N/A</v>
      </c>
      <c r="AN110" s="605"/>
      <c r="AO110" s="347"/>
      <c r="AP110" s="347"/>
      <c r="AQ110" s="347"/>
      <c r="AR110" s="344" t="e">
        <f t="shared" si="102"/>
        <v>#N/A</v>
      </c>
      <c r="AS110" s="605"/>
      <c r="AT110" s="347"/>
      <c r="AU110" s="347"/>
      <c r="AV110" s="347"/>
      <c r="AW110" s="344" t="e">
        <f t="shared" si="103"/>
        <v>#N/A</v>
      </c>
      <c r="AX110" s="605"/>
      <c r="AZ110" s="521" t="e">
        <f t="shared" si="104"/>
        <v>#N/A</v>
      </c>
      <c r="BA110" s="605"/>
    </row>
    <row r="111" spans="2:53">
      <c r="B111" s="610"/>
      <c r="C111" s="333">
        <v>5</v>
      </c>
      <c r="D111" s="226"/>
      <c r="E111" s="182"/>
      <c r="F111" s="333"/>
      <c r="G111" s="336"/>
      <c r="H111" s="668"/>
      <c r="I111" s="513" t="str">
        <f t="shared" si="94"/>
        <v>-</v>
      </c>
      <c r="J111" s="513" t="str">
        <f t="shared" si="95"/>
        <v>-</v>
      </c>
      <c r="K111" s="200" t="str">
        <f t="shared" si="96"/>
        <v>-</v>
      </c>
      <c r="L111" s="621"/>
      <c r="M111" s="201" t="e">
        <f>RANK(K111, K$87:$K$101)</f>
        <v>#VALUE!</v>
      </c>
      <c r="N111" s="604"/>
      <c r="O111" s="604"/>
      <c r="P111" s="333"/>
      <c r="Q111" s="333"/>
      <c r="R111" s="333"/>
      <c r="S111" s="344" t="e">
        <f t="shared" si="97"/>
        <v>#N/A</v>
      </c>
      <c r="T111" s="605"/>
      <c r="U111" s="347"/>
      <c r="V111" s="347"/>
      <c r="W111" s="347"/>
      <c r="X111" s="344" t="e">
        <f t="shared" si="98"/>
        <v>#N/A</v>
      </c>
      <c r="Y111" s="605"/>
      <c r="Z111" s="347"/>
      <c r="AA111" s="347"/>
      <c r="AB111" s="347"/>
      <c r="AC111" s="344" t="e">
        <f t="shared" si="99"/>
        <v>#N/A</v>
      </c>
      <c r="AD111" s="605"/>
      <c r="AE111" s="347"/>
      <c r="AF111" s="347"/>
      <c r="AG111" s="347"/>
      <c r="AH111" s="344" t="e">
        <f t="shared" si="100"/>
        <v>#N/A</v>
      </c>
      <c r="AI111" s="605"/>
      <c r="AJ111" s="347"/>
      <c r="AK111" s="347"/>
      <c r="AL111" s="347"/>
      <c r="AM111" s="344" t="e">
        <f t="shared" si="101"/>
        <v>#N/A</v>
      </c>
      <c r="AN111" s="605"/>
      <c r="AO111" s="347"/>
      <c r="AP111" s="347"/>
      <c r="AQ111" s="347"/>
      <c r="AR111" s="344" t="e">
        <f t="shared" si="102"/>
        <v>#N/A</v>
      </c>
      <c r="AS111" s="605"/>
      <c r="AT111" s="347"/>
      <c r="AU111" s="347"/>
      <c r="AV111" s="347"/>
      <c r="AW111" s="344" t="e">
        <f t="shared" si="103"/>
        <v>#N/A</v>
      </c>
      <c r="AX111" s="605"/>
      <c r="AZ111" s="521" t="e">
        <f t="shared" si="104"/>
        <v>#N/A</v>
      </c>
      <c r="BA111" s="605"/>
    </row>
    <row r="112" spans="2:53">
      <c r="B112" s="610"/>
      <c r="C112" s="333">
        <v>6</v>
      </c>
      <c r="D112" s="226"/>
      <c r="E112" s="182"/>
      <c r="F112" s="333"/>
      <c r="G112" s="336"/>
      <c r="H112" s="668"/>
      <c r="I112" s="513" t="str">
        <f t="shared" si="94"/>
        <v>-</v>
      </c>
      <c r="J112" s="513" t="str">
        <f t="shared" si="95"/>
        <v>-</v>
      </c>
      <c r="K112" s="200" t="str">
        <f t="shared" si="96"/>
        <v>-</v>
      </c>
      <c r="L112" s="621"/>
      <c r="M112" s="201" t="e">
        <f>RANK(K112, K$87:$K$101)</f>
        <v>#VALUE!</v>
      </c>
      <c r="N112" s="604"/>
      <c r="O112" s="604"/>
      <c r="P112" s="333"/>
      <c r="Q112" s="333"/>
      <c r="R112" s="333"/>
      <c r="S112" s="344" t="e">
        <f t="shared" si="97"/>
        <v>#N/A</v>
      </c>
      <c r="T112" s="605"/>
      <c r="U112" s="347"/>
      <c r="V112" s="347"/>
      <c r="W112" s="347"/>
      <c r="X112" s="344" t="e">
        <f t="shared" si="98"/>
        <v>#N/A</v>
      </c>
      <c r="Y112" s="605"/>
      <c r="Z112" s="347"/>
      <c r="AA112" s="347"/>
      <c r="AB112" s="347"/>
      <c r="AC112" s="344" t="e">
        <f t="shared" si="99"/>
        <v>#N/A</v>
      </c>
      <c r="AD112" s="605"/>
      <c r="AE112" s="347"/>
      <c r="AF112" s="347"/>
      <c r="AG112" s="347"/>
      <c r="AH112" s="344" t="e">
        <f t="shared" si="100"/>
        <v>#N/A</v>
      </c>
      <c r="AI112" s="605"/>
      <c r="AJ112" s="347"/>
      <c r="AK112" s="347"/>
      <c r="AL112" s="347"/>
      <c r="AM112" s="344" t="e">
        <f t="shared" si="101"/>
        <v>#N/A</v>
      </c>
      <c r="AN112" s="605"/>
      <c r="AO112" s="347"/>
      <c r="AP112" s="347"/>
      <c r="AQ112" s="347"/>
      <c r="AR112" s="344" t="e">
        <f t="shared" si="102"/>
        <v>#N/A</v>
      </c>
      <c r="AS112" s="605"/>
      <c r="AT112" s="347"/>
      <c r="AU112" s="347"/>
      <c r="AV112" s="347"/>
      <c r="AW112" s="344" t="e">
        <f t="shared" si="103"/>
        <v>#N/A</v>
      </c>
      <c r="AX112" s="605"/>
      <c r="AZ112" s="521" t="e">
        <f t="shared" si="104"/>
        <v>#N/A</v>
      </c>
      <c r="BA112" s="605"/>
    </row>
    <row r="113" spans="2:53">
      <c r="B113" s="610"/>
      <c r="C113" s="333">
        <v>7</v>
      </c>
      <c r="D113" s="226"/>
      <c r="E113" s="182"/>
      <c r="F113" s="333"/>
      <c r="G113" s="336"/>
      <c r="H113" s="668"/>
      <c r="I113" s="513" t="str">
        <f t="shared" si="94"/>
        <v>-</v>
      </c>
      <c r="J113" s="513" t="str">
        <f t="shared" si="95"/>
        <v>-</v>
      </c>
      <c r="K113" s="200" t="str">
        <f t="shared" si="96"/>
        <v>-</v>
      </c>
      <c r="L113" s="621"/>
      <c r="M113" s="201" t="e">
        <f>RANK(K113, K$87:$K$101)</f>
        <v>#VALUE!</v>
      </c>
      <c r="N113" s="604"/>
      <c r="O113" s="604"/>
      <c r="P113" s="333"/>
      <c r="Q113" s="333"/>
      <c r="R113" s="333"/>
      <c r="S113" s="344" t="e">
        <f t="shared" si="97"/>
        <v>#N/A</v>
      </c>
      <c r="T113" s="605"/>
      <c r="U113" s="347"/>
      <c r="V113" s="347"/>
      <c r="W113" s="347"/>
      <c r="X113" s="344" t="e">
        <f t="shared" si="98"/>
        <v>#N/A</v>
      </c>
      <c r="Y113" s="605"/>
      <c r="Z113" s="347"/>
      <c r="AA113" s="347"/>
      <c r="AB113" s="347"/>
      <c r="AC113" s="344" t="e">
        <f t="shared" si="99"/>
        <v>#N/A</v>
      </c>
      <c r="AD113" s="605"/>
      <c r="AE113" s="347"/>
      <c r="AF113" s="347"/>
      <c r="AG113" s="347"/>
      <c r="AH113" s="344" t="e">
        <f t="shared" si="100"/>
        <v>#N/A</v>
      </c>
      <c r="AI113" s="605"/>
      <c r="AJ113" s="347"/>
      <c r="AK113" s="347"/>
      <c r="AL113" s="347"/>
      <c r="AM113" s="344" t="e">
        <f t="shared" si="101"/>
        <v>#N/A</v>
      </c>
      <c r="AN113" s="605"/>
      <c r="AO113" s="347"/>
      <c r="AP113" s="347"/>
      <c r="AQ113" s="347"/>
      <c r="AR113" s="344" t="e">
        <f t="shared" si="102"/>
        <v>#N/A</v>
      </c>
      <c r="AS113" s="605"/>
      <c r="AT113" s="347"/>
      <c r="AU113" s="347"/>
      <c r="AV113" s="347"/>
      <c r="AW113" s="344" t="e">
        <f t="shared" si="103"/>
        <v>#N/A</v>
      </c>
      <c r="AX113" s="605"/>
      <c r="AZ113" s="521" t="e">
        <f t="shared" si="104"/>
        <v>#N/A</v>
      </c>
      <c r="BA113" s="605"/>
    </row>
    <row r="114" spans="2:53">
      <c r="B114" s="610"/>
      <c r="C114" s="333">
        <v>8</v>
      </c>
      <c r="D114" s="226"/>
      <c r="E114" s="182"/>
      <c r="F114" s="333"/>
      <c r="G114" s="336"/>
      <c r="H114" s="668"/>
      <c r="I114" s="513" t="str">
        <f t="shared" si="94"/>
        <v>-</v>
      </c>
      <c r="J114" s="513" t="str">
        <f t="shared" si="95"/>
        <v>-</v>
      </c>
      <c r="K114" s="200" t="str">
        <f t="shared" si="96"/>
        <v>-</v>
      </c>
      <c r="L114" s="621"/>
      <c r="M114" s="201" t="e">
        <f>RANK(K114, K$87:$K$101)</f>
        <v>#VALUE!</v>
      </c>
      <c r="N114" s="604"/>
      <c r="O114" s="604"/>
      <c r="P114" s="333"/>
      <c r="Q114" s="333"/>
      <c r="R114" s="333"/>
      <c r="S114" s="344" t="e">
        <f t="shared" si="97"/>
        <v>#N/A</v>
      </c>
      <c r="T114" s="605"/>
      <c r="U114" s="347"/>
      <c r="V114" s="347"/>
      <c r="W114" s="347"/>
      <c r="X114" s="344" t="e">
        <f t="shared" si="98"/>
        <v>#N/A</v>
      </c>
      <c r="Y114" s="605"/>
      <c r="Z114" s="347"/>
      <c r="AA114" s="347"/>
      <c r="AB114" s="347"/>
      <c r="AC114" s="344" t="e">
        <f t="shared" si="99"/>
        <v>#N/A</v>
      </c>
      <c r="AD114" s="605"/>
      <c r="AE114" s="347"/>
      <c r="AF114" s="347"/>
      <c r="AG114" s="347"/>
      <c r="AH114" s="344" t="e">
        <f t="shared" si="100"/>
        <v>#N/A</v>
      </c>
      <c r="AI114" s="605"/>
      <c r="AJ114" s="347"/>
      <c r="AK114" s="347"/>
      <c r="AL114" s="347"/>
      <c r="AM114" s="344" t="e">
        <f t="shared" si="101"/>
        <v>#N/A</v>
      </c>
      <c r="AN114" s="605"/>
      <c r="AO114" s="347"/>
      <c r="AP114" s="347"/>
      <c r="AQ114" s="347"/>
      <c r="AR114" s="344" t="e">
        <f t="shared" si="102"/>
        <v>#N/A</v>
      </c>
      <c r="AS114" s="605"/>
      <c r="AT114" s="347"/>
      <c r="AU114" s="347"/>
      <c r="AV114" s="347"/>
      <c r="AW114" s="344" t="e">
        <f t="shared" si="103"/>
        <v>#N/A</v>
      </c>
      <c r="AX114" s="605"/>
      <c r="AZ114" s="521" t="e">
        <f t="shared" si="104"/>
        <v>#N/A</v>
      </c>
      <c r="BA114" s="605"/>
    </row>
    <row r="115" spans="2:53">
      <c r="B115" s="610"/>
      <c r="C115" s="333">
        <v>9</v>
      </c>
      <c r="D115" s="226"/>
      <c r="E115" s="182"/>
      <c r="F115" s="333"/>
      <c r="G115" s="336"/>
      <c r="H115" s="668"/>
      <c r="I115" s="513" t="str">
        <f t="shared" si="94"/>
        <v>-</v>
      </c>
      <c r="J115" s="513" t="str">
        <f t="shared" si="95"/>
        <v>-</v>
      </c>
      <c r="K115" s="200" t="str">
        <f t="shared" si="96"/>
        <v>-</v>
      </c>
      <c r="L115" s="621"/>
      <c r="M115" s="201" t="e">
        <f>RANK(K115, K$87:$K$101)</f>
        <v>#VALUE!</v>
      </c>
      <c r="N115" s="604"/>
      <c r="O115" s="604"/>
      <c r="P115" s="333"/>
      <c r="Q115" s="333"/>
      <c r="R115" s="333"/>
      <c r="S115" s="344" t="e">
        <f t="shared" si="97"/>
        <v>#N/A</v>
      </c>
      <c r="T115" s="605"/>
      <c r="U115" s="347"/>
      <c r="V115" s="347"/>
      <c r="W115" s="347"/>
      <c r="X115" s="344" t="e">
        <f t="shared" si="98"/>
        <v>#N/A</v>
      </c>
      <c r="Y115" s="605"/>
      <c r="Z115" s="347"/>
      <c r="AA115" s="347"/>
      <c r="AB115" s="347"/>
      <c r="AC115" s="344" t="e">
        <f t="shared" si="99"/>
        <v>#N/A</v>
      </c>
      <c r="AD115" s="605"/>
      <c r="AE115" s="347"/>
      <c r="AF115" s="347"/>
      <c r="AG115" s="347"/>
      <c r="AH115" s="344" t="e">
        <f t="shared" si="100"/>
        <v>#N/A</v>
      </c>
      <c r="AI115" s="605"/>
      <c r="AJ115" s="347"/>
      <c r="AK115" s="347"/>
      <c r="AL115" s="347"/>
      <c r="AM115" s="344" t="e">
        <f t="shared" si="101"/>
        <v>#N/A</v>
      </c>
      <c r="AN115" s="605"/>
      <c r="AO115" s="347"/>
      <c r="AP115" s="347"/>
      <c r="AQ115" s="347"/>
      <c r="AR115" s="344" t="e">
        <f t="shared" si="102"/>
        <v>#N/A</v>
      </c>
      <c r="AS115" s="605"/>
      <c r="AT115" s="347"/>
      <c r="AU115" s="347"/>
      <c r="AV115" s="347"/>
      <c r="AW115" s="344" t="e">
        <f t="shared" si="103"/>
        <v>#N/A</v>
      </c>
      <c r="AX115" s="605"/>
      <c r="AZ115" s="521" t="e">
        <f t="shared" si="104"/>
        <v>#N/A</v>
      </c>
      <c r="BA115" s="605"/>
    </row>
    <row r="116" spans="2:53">
      <c r="B116" s="610"/>
      <c r="C116" s="333">
        <v>10</v>
      </c>
      <c r="D116" s="226"/>
      <c r="E116" s="182"/>
      <c r="F116" s="333"/>
      <c r="G116" s="336"/>
      <c r="H116" s="668"/>
      <c r="I116" s="513" t="str">
        <f t="shared" si="94"/>
        <v>-</v>
      </c>
      <c r="J116" s="513" t="str">
        <f t="shared" si="95"/>
        <v>-</v>
      </c>
      <c r="K116" s="200" t="str">
        <f t="shared" si="96"/>
        <v>-</v>
      </c>
      <c r="L116" s="621"/>
      <c r="M116" s="201" t="e">
        <f>RANK(K116, K$87:$K$101)</f>
        <v>#VALUE!</v>
      </c>
      <c r="N116" s="604"/>
      <c r="O116" s="604"/>
      <c r="P116" s="333"/>
      <c r="Q116" s="333"/>
      <c r="R116" s="333"/>
      <c r="S116" s="344" t="e">
        <f t="shared" si="97"/>
        <v>#N/A</v>
      </c>
      <c r="T116" s="605"/>
      <c r="U116" s="347"/>
      <c r="V116" s="347"/>
      <c r="W116" s="347"/>
      <c r="X116" s="344" t="e">
        <f t="shared" si="98"/>
        <v>#N/A</v>
      </c>
      <c r="Y116" s="605"/>
      <c r="Z116" s="347"/>
      <c r="AA116" s="347"/>
      <c r="AB116" s="347"/>
      <c r="AC116" s="344" t="e">
        <f t="shared" si="99"/>
        <v>#N/A</v>
      </c>
      <c r="AD116" s="605"/>
      <c r="AE116" s="347"/>
      <c r="AF116" s="347"/>
      <c r="AG116" s="347"/>
      <c r="AH116" s="344" t="e">
        <f t="shared" si="100"/>
        <v>#N/A</v>
      </c>
      <c r="AI116" s="605"/>
      <c r="AJ116" s="347"/>
      <c r="AK116" s="347"/>
      <c r="AL116" s="347"/>
      <c r="AM116" s="344" t="e">
        <f t="shared" si="101"/>
        <v>#N/A</v>
      </c>
      <c r="AN116" s="605"/>
      <c r="AO116" s="347"/>
      <c r="AP116" s="347"/>
      <c r="AQ116" s="347"/>
      <c r="AR116" s="344" t="e">
        <f t="shared" si="102"/>
        <v>#N/A</v>
      </c>
      <c r="AS116" s="605"/>
      <c r="AT116" s="347"/>
      <c r="AU116" s="347"/>
      <c r="AV116" s="347"/>
      <c r="AW116" s="344" t="e">
        <f t="shared" si="103"/>
        <v>#N/A</v>
      </c>
      <c r="AX116" s="605"/>
      <c r="AZ116" s="521" t="e">
        <f t="shared" si="104"/>
        <v>#N/A</v>
      </c>
      <c r="BA116" s="605"/>
    </row>
    <row r="117" spans="2:53">
      <c r="B117" s="610"/>
      <c r="C117" s="333">
        <v>11</v>
      </c>
      <c r="D117" s="226"/>
      <c r="E117" s="182"/>
      <c r="F117" s="333"/>
      <c r="G117" s="336"/>
      <c r="H117" s="668"/>
      <c r="I117" s="513" t="str">
        <f t="shared" si="94"/>
        <v>-</v>
      </c>
      <c r="J117" s="513" t="str">
        <f t="shared" si="95"/>
        <v>-</v>
      </c>
      <c r="K117" s="200" t="str">
        <f t="shared" si="96"/>
        <v>-</v>
      </c>
      <c r="L117" s="621"/>
      <c r="M117" s="201" t="e">
        <f>RANK(K117, K$87:$K$101)</f>
        <v>#VALUE!</v>
      </c>
      <c r="N117" s="604"/>
      <c r="O117" s="604"/>
      <c r="P117" s="333"/>
      <c r="Q117" s="333"/>
      <c r="R117" s="333"/>
      <c r="S117" s="344" t="e">
        <f t="shared" si="97"/>
        <v>#N/A</v>
      </c>
      <c r="T117" s="605"/>
      <c r="U117" s="347"/>
      <c r="V117" s="347"/>
      <c r="W117" s="347"/>
      <c r="X117" s="344" t="e">
        <f t="shared" si="98"/>
        <v>#N/A</v>
      </c>
      <c r="Y117" s="605"/>
      <c r="Z117" s="347"/>
      <c r="AA117" s="347"/>
      <c r="AB117" s="347"/>
      <c r="AC117" s="344" t="e">
        <f t="shared" si="99"/>
        <v>#N/A</v>
      </c>
      <c r="AD117" s="605"/>
      <c r="AE117" s="347"/>
      <c r="AF117" s="347"/>
      <c r="AG117" s="347"/>
      <c r="AH117" s="344" t="e">
        <f t="shared" si="100"/>
        <v>#N/A</v>
      </c>
      <c r="AI117" s="605"/>
      <c r="AJ117" s="347"/>
      <c r="AK117" s="347"/>
      <c r="AL117" s="347"/>
      <c r="AM117" s="344" t="e">
        <f t="shared" si="101"/>
        <v>#N/A</v>
      </c>
      <c r="AN117" s="605"/>
      <c r="AO117" s="347"/>
      <c r="AP117" s="347"/>
      <c r="AQ117" s="347"/>
      <c r="AR117" s="344" t="e">
        <f t="shared" si="102"/>
        <v>#N/A</v>
      </c>
      <c r="AS117" s="605"/>
      <c r="AT117" s="347"/>
      <c r="AU117" s="347"/>
      <c r="AV117" s="347"/>
      <c r="AW117" s="344" t="e">
        <f t="shared" si="103"/>
        <v>#N/A</v>
      </c>
      <c r="AX117" s="605"/>
      <c r="AZ117" s="521" t="e">
        <f t="shared" si="104"/>
        <v>#N/A</v>
      </c>
      <c r="BA117" s="605"/>
    </row>
    <row r="118" spans="2:53">
      <c r="B118" s="610"/>
      <c r="C118" s="333">
        <v>12</v>
      </c>
      <c r="D118" s="226"/>
      <c r="E118" s="182"/>
      <c r="F118" s="333"/>
      <c r="G118" s="336"/>
      <c r="H118" s="668"/>
      <c r="I118" s="513" t="str">
        <f t="shared" si="94"/>
        <v>-</v>
      </c>
      <c r="J118" s="513" t="str">
        <f t="shared" si="95"/>
        <v>-</v>
      </c>
      <c r="K118" s="200" t="str">
        <f t="shared" si="96"/>
        <v>-</v>
      </c>
      <c r="L118" s="621"/>
      <c r="M118" s="201" t="e">
        <f>RANK(K118, K$87:$K$101)</f>
        <v>#VALUE!</v>
      </c>
      <c r="N118" s="604"/>
      <c r="O118" s="604"/>
      <c r="P118" s="333"/>
      <c r="Q118" s="333"/>
      <c r="R118" s="333"/>
      <c r="S118" s="344" t="e">
        <f t="shared" si="97"/>
        <v>#N/A</v>
      </c>
      <c r="T118" s="605"/>
      <c r="U118" s="347"/>
      <c r="V118" s="347"/>
      <c r="W118" s="347"/>
      <c r="X118" s="344" t="e">
        <f t="shared" si="98"/>
        <v>#N/A</v>
      </c>
      <c r="Y118" s="605"/>
      <c r="Z118" s="347"/>
      <c r="AA118" s="347"/>
      <c r="AB118" s="347"/>
      <c r="AC118" s="344" t="e">
        <f t="shared" si="99"/>
        <v>#N/A</v>
      </c>
      <c r="AD118" s="605"/>
      <c r="AE118" s="347"/>
      <c r="AF118" s="347"/>
      <c r="AG118" s="347"/>
      <c r="AH118" s="344" t="e">
        <f t="shared" si="100"/>
        <v>#N/A</v>
      </c>
      <c r="AI118" s="605"/>
      <c r="AJ118" s="347"/>
      <c r="AK118" s="347"/>
      <c r="AL118" s="347"/>
      <c r="AM118" s="344" t="e">
        <f t="shared" si="101"/>
        <v>#N/A</v>
      </c>
      <c r="AN118" s="605"/>
      <c r="AO118" s="347"/>
      <c r="AP118" s="347"/>
      <c r="AQ118" s="347"/>
      <c r="AR118" s="344" t="e">
        <f t="shared" si="102"/>
        <v>#N/A</v>
      </c>
      <c r="AS118" s="605"/>
      <c r="AT118" s="347"/>
      <c r="AU118" s="347"/>
      <c r="AV118" s="347"/>
      <c r="AW118" s="344" t="e">
        <f t="shared" si="103"/>
        <v>#N/A</v>
      </c>
      <c r="AX118" s="605"/>
      <c r="AZ118" s="521" t="e">
        <f t="shared" si="104"/>
        <v>#N/A</v>
      </c>
      <c r="BA118" s="605"/>
    </row>
    <row r="119" spans="2:53">
      <c r="B119" s="610"/>
      <c r="C119" s="333">
        <v>13</v>
      </c>
      <c r="D119" s="226"/>
      <c r="E119" s="182"/>
      <c r="F119" s="333"/>
      <c r="G119" s="336"/>
      <c r="H119" s="668"/>
      <c r="I119" s="513" t="str">
        <f t="shared" si="94"/>
        <v>-</v>
      </c>
      <c r="J119" s="513" t="str">
        <f t="shared" si="95"/>
        <v>-</v>
      </c>
      <c r="K119" s="200" t="str">
        <f t="shared" si="96"/>
        <v>-</v>
      </c>
      <c r="L119" s="621"/>
      <c r="M119" s="201" t="e">
        <f>RANK(K119, K$87:$K$101)</f>
        <v>#VALUE!</v>
      </c>
      <c r="N119" s="604"/>
      <c r="O119" s="604"/>
      <c r="P119" s="333"/>
      <c r="Q119" s="333"/>
      <c r="R119" s="333"/>
      <c r="S119" s="344" t="e">
        <f t="shared" si="97"/>
        <v>#N/A</v>
      </c>
      <c r="T119" s="605"/>
      <c r="U119" s="347"/>
      <c r="V119" s="347"/>
      <c r="W119" s="347"/>
      <c r="X119" s="344" t="e">
        <f t="shared" si="98"/>
        <v>#N/A</v>
      </c>
      <c r="Y119" s="605"/>
      <c r="Z119" s="347"/>
      <c r="AA119" s="347"/>
      <c r="AB119" s="347"/>
      <c r="AC119" s="344" t="e">
        <f t="shared" si="99"/>
        <v>#N/A</v>
      </c>
      <c r="AD119" s="605"/>
      <c r="AE119" s="347"/>
      <c r="AF119" s="347"/>
      <c r="AG119" s="347"/>
      <c r="AH119" s="344" t="e">
        <f t="shared" si="100"/>
        <v>#N/A</v>
      </c>
      <c r="AI119" s="605"/>
      <c r="AJ119" s="347"/>
      <c r="AK119" s="347"/>
      <c r="AL119" s="347"/>
      <c r="AM119" s="344" t="e">
        <f t="shared" si="101"/>
        <v>#N/A</v>
      </c>
      <c r="AN119" s="605"/>
      <c r="AO119" s="347"/>
      <c r="AP119" s="347"/>
      <c r="AQ119" s="347"/>
      <c r="AR119" s="344" t="e">
        <f t="shared" si="102"/>
        <v>#N/A</v>
      </c>
      <c r="AS119" s="605"/>
      <c r="AT119" s="347"/>
      <c r="AU119" s="347"/>
      <c r="AV119" s="347"/>
      <c r="AW119" s="344" t="e">
        <f t="shared" si="103"/>
        <v>#N/A</v>
      </c>
      <c r="AX119" s="605"/>
      <c r="AZ119" s="521" t="e">
        <f t="shared" si="104"/>
        <v>#N/A</v>
      </c>
      <c r="BA119" s="605"/>
    </row>
    <row r="120" spans="2:53">
      <c r="B120" s="610"/>
      <c r="C120" s="333">
        <v>14</v>
      </c>
      <c r="D120" s="226"/>
      <c r="E120" s="182"/>
      <c r="F120" s="333"/>
      <c r="G120" s="336"/>
      <c r="H120" s="668"/>
      <c r="I120" s="513" t="str">
        <f t="shared" si="94"/>
        <v>-</v>
      </c>
      <c r="J120" s="513" t="str">
        <f t="shared" si="95"/>
        <v>-</v>
      </c>
      <c r="K120" s="200" t="str">
        <f t="shared" si="96"/>
        <v>-</v>
      </c>
      <c r="L120" s="621"/>
      <c r="M120" s="201" t="e">
        <f>RANK(K120, K$87:$K$101)</f>
        <v>#VALUE!</v>
      </c>
      <c r="N120" s="604"/>
      <c r="O120" s="604"/>
      <c r="P120" s="333"/>
      <c r="Q120" s="333"/>
      <c r="R120" s="333"/>
      <c r="S120" s="344" t="e">
        <f t="shared" si="97"/>
        <v>#N/A</v>
      </c>
      <c r="T120" s="605"/>
      <c r="U120" s="347"/>
      <c r="V120" s="347"/>
      <c r="W120" s="347"/>
      <c r="X120" s="344" t="e">
        <f t="shared" si="98"/>
        <v>#N/A</v>
      </c>
      <c r="Y120" s="605"/>
      <c r="Z120" s="347"/>
      <c r="AA120" s="347"/>
      <c r="AB120" s="347"/>
      <c r="AC120" s="344" t="e">
        <f t="shared" si="99"/>
        <v>#N/A</v>
      </c>
      <c r="AD120" s="605"/>
      <c r="AE120" s="347"/>
      <c r="AF120" s="347"/>
      <c r="AG120" s="347"/>
      <c r="AH120" s="344" t="e">
        <f t="shared" si="100"/>
        <v>#N/A</v>
      </c>
      <c r="AI120" s="605"/>
      <c r="AJ120" s="347"/>
      <c r="AK120" s="347"/>
      <c r="AL120" s="347"/>
      <c r="AM120" s="344" t="e">
        <f t="shared" si="101"/>
        <v>#N/A</v>
      </c>
      <c r="AN120" s="605"/>
      <c r="AO120" s="347"/>
      <c r="AP120" s="347"/>
      <c r="AQ120" s="347"/>
      <c r="AR120" s="344" t="e">
        <f t="shared" si="102"/>
        <v>#N/A</v>
      </c>
      <c r="AS120" s="605"/>
      <c r="AT120" s="347"/>
      <c r="AU120" s="347"/>
      <c r="AV120" s="347"/>
      <c r="AW120" s="344" t="e">
        <f t="shared" si="103"/>
        <v>#N/A</v>
      </c>
      <c r="AX120" s="605"/>
      <c r="AZ120" s="521" t="e">
        <f t="shared" si="104"/>
        <v>#N/A</v>
      </c>
      <c r="BA120" s="605"/>
    </row>
    <row r="121" spans="2:53">
      <c r="B121" s="610"/>
      <c r="C121" s="333">
        <v>15</v>
      </c>
      <c r="D121" s="226"/>
      <c r="E121" s="182"/>
      <c r="F121" s="333"/>
      <c r="G121" s="336"/>
      <c r="H121" s="669"/>
      <c r="I121" s="202"/>
      <c r="J121" s="202"/>
      <c r="K121" s="202"/>
      <c r="L121" s="622"/>
      <c r="M121" s="199" t="e">
        <f>RANK(K121, K$87:$K$101)</f>
        <v>#N/A</v>
      </c>
      <c r="N121" s="604"/>
      <c r="O121" s="604"/>
      <c r="P121" s="333"/>
      <c r="Q121" s="333"/>
      <c r="R121" s="333"/>
      <c r="S121" s="344" t="e">
        <f t="shared" si="97"/>
        <v>#N/A</v>
      </c>
      <c r="T121" s="605"/>
      <c r="U121" s="347"/>
      <c r="V121" s="347"/>
      <c r="W121" s="347"/>
      <c r="X121" s="344" t="e">
        <f t="shared" si="98"/>
        <v>#N/A</v>
      </c>
      <c r="Y121" s="605"/>
      <c r="Z121" s="347"/>
      <c r="AA121" s="347"/>
      <c r="AB121" s="347"/>
      <c r="AC121" s="344" t="e">
        <f t="shared" si="99"/>
        <v>#N/A</v>
      </c>
      <c r="AD121" s="605"/>
      <c r="AE121" s="347"/>
      <c r="AF121" s="347"/>
      <c r="AG121" s="347"/>
      <c r="AH121" s="344" t="e">
        <f t="shared" si="100"/>
        <v>#N/A</v>
      </c>
      <c r="AI121" s="605"/>
      <c r="AJ121" s="347"/>
      <c r="AK121" s="347"/>
      <c r="AL121" s="347"/>
      <c r="AM121" s="344" t="e">
        <f t="shared" si="101"/>
        <v>#N/A</v>
      </c>
      <c r="AN121" s="605"/>
      <c r="AO121" s="347"/>
      <c r="AP121" s="347"/>
      <c r="AQ121" s="347"/>
      <c r="AR121" s="344" t="e">
        <f t="shared" si="102"/>
        <v>#N/A</v>
      </c>
      <c r="AS121" s="605"/>
      <c r="AT121" s="347"/>
      <c r="AU121" s="347"/>
      <c r="AV121" s="347"/>
      <c r="AW121" s="344" t="e">
        <f t="shared" si="103"/>
        <v>#N/A</v>
      </c>
      <c r="AX121" s="605"/>
      <c r="AZ121" s="521" t="e">
        <f t="shared" si="104"/>
        <v>#N/A</v>
      </c>
      <c r="BA121" s="605"/>
    </row>
    <row r="123" spans="2:53" ht="15.75">
      <c r="B123" s="613" t="s">
        <v>559</v>
      </c>
      <c r="C123" s="614"/>
      <c r="D123" s="614"/>
      <c r="E123" s="614"/>
      <c r="F123" s="614"/>
      <c r="G123" s="614"/>
      <c r="H123" s="615"/>
      <c r="I123" s="337"/>
      <c r="J123" s="337"/>
      <c r="K123" s="337"/>
      <c r="L123" s="337"/>
      <c r="M123" s="338"/>
    </row>
    <row r="124" spans="2:53" ht="15.75">
      <c r="B124" s="616"/>
      <c r="C124" s="616"/>
      <c r="D124" s="616"/>
      <c r="E124" s="616"/>
      <c r="F124" s="616"/>
      <c r="G124" s="616"/>
      <c r="H124" s="616"/>
      <c r="I124" s="339"/>
      <c r="J124" s="339"/>
      <c r="K124" s="339"/>
      <c r="L124" s="339"/>
      <c r="M124" s="340"/>
    </row>
    <row r="125" spans="2:53">
      <c r="B125" s="604" t="s">
        <v>560</v>
      </c>
      <c r="C125" s="604" t="s">
        <v>561</v>
      </c>
      <c r="D125" s="604"/>
      <c r="E125" s="604" t="s">
        <v>562</v>
      </c>
      <c r="F125" s="604"/>
      <c r="G125" s="604"/>
      <c r="H125" s="637" t="s">
        <v>563</v>
      </c>
      <c r="I125" s="617" t="s">
        <v>564</v>
      </c>
      <c r="J125" s="617"/>
      <c r="K125" s="617"/>
      <c r="L125" s="673" t="s">
        <v>563</v>
      </c>
      <c r="M125" s="676" t="s">
        <v>565</v>
      </c>
    </row>
    <row r="126" spans="2:53">
      <c r="B126" s="604"/>
      <c r="C126" s="604"/>
      <c r="D126" s="604"/>
      <c r="E126" s="604" t="s">
        <v>566</v>
      </c>
      <c r="F126" s="604"/>
      <c r="G126" s="604"/>
      <c r="H126" s="638"/>
      <c r="I126" s="617" t="s">
        <v>566</v>
      </c>
      <c r="J126" s="617"/>
      <c r="K126" s="617"/>
      <c r="L126" s="674"/>
      <c r="M126" s="677"/>
    </row>
    <row r="127" spans="2:53">
      <c r="B127" s="604"/>
      <c r="C127" s="604"/>
      <c r="D127" s="604"/>
      <c r="E127" s="334" t="s">
        <v>567</v>
      </c>
      <c r="F127" s="334" t="s">
        <v>568</v>
      </c>
      <c r="G127" s="334" t="s">
        <v>569</v>
      </c>
      <c r="H127" s="639"/>
      <c r="I127" s="341" t="s">
        <v>567</v>
      </c>
      <c r="J127" s="341" t="s">
        <v>568</v>
      </c>
      <c r="K127" s="341" t="s">
        <v>569</v>
      </c>
      <c r="L127" s="675"/>
      <c r="M127" s="678"/>
    </row>
    <row r="128" spans="2:53">
      <c r="B128" s="604" t="s">
        <v>573</v>
      </c>
      <c r="C128" s="333">
        <v>1</v>
      </c>
      <c r="D128" s="226"/>
      <c r="E128" s="182"/>
      <c r="F128" s="333"/>
      <c r="G128" s="336"/>
      <c r="H128" s="667" t="e">
        <f>AVERAGE(G128:G142)</f>
        <v>#DIV/0!</v>
      </c>
      <c r="I128" s="199" t="e">
        <f t="shared" ref="I128:J128" si="105">AVERAGEIF($D$7:$D$121,$D128,I$7:I$121)</f>
        <v>#DIV/0!</v>
      </c>
      <c r="J128" s="199" t="e">
        <f t="shared" si="105"/>
        <v>#DIV/0!</v>
      </c>
      <c r="K128" s="199" t="e">
        <f>AVERAGEIF($D$7:$D$121,$D128,K$7:K$121)</f>
        <v>#DIV/0!</v>
      </c>
      <c r="L128" s="670" t="e">
        <f>AVERAGE(K128:K142)</f>
        <v>#DIV/0!</v>
      </c>
      <c r="M128" s="199" t="e">
        <f>RANK(K128, K$128:$K$142)</f>
        <v>#DIV/0!</v>
      </c>
    </row>
    <row r="129" spans="2:39">
      <c r="B129" s="610"/>
      <c r="C129" s="333">
        <v>2</v>
      </c>
      <c r="D129" s="226"/>
      <c r="E129" s="182"/>
      <c r="F129" s="333"/>
      <c r="G129" s="336"/>
      <c r="H129" s="668"/>
      <c r="I129" s="199"/>
      <c r="J129" s="199"/>
      <c r="K129" s="199"/>
      <c r="L129" s="671"/>
      <c r="M129" s="199" t="e">
        <f>RANK(K129, K$128:$K$142)</f>
        <v>#DIV/0!</v>
      </c>
      <c r="N129" s="108"/>
      <c r="O129" s="108"/>
      <c r="P129" s="108"/>
      <c r="Q129" s="108"/>
      <c r="R129" s="108"/>
      <c r="S129" s="108"/>
      <c r="T129" s="108"/>
      <c r="X129" s="108"/>
      <c r="AC129" s="108"/>
      <c r="AH129" s="108"/>
      <c r="AM129" s="108"/>
    </row>
    <row r="130" spans="2:39">
      <c r="B130" s="610"/>
      <c r="C130" s="333">
        <v>3</v>
      </c>
      <c r="D130" s="226"/>
      <c r="E130" s="182"/>
      <c r="F130" s="333"/>
      <c r="G130" s="336"/>
      <c r="H130" s="668"/>
      <c r="I130" s="199"/>
      <c r="J130" s="199"/>
      <c r="K130" s="199"/>
      <c r="L130" s="671"/>
      <c r="M130" s="199" t="e">
        <f>RANK(K130, K$128:$K$142)</f>
        <v>#DIV/0!</v>
      </c>
      <c r="N130" s="108"/>
      <c r="O130" s="108"/>
      <c r="P130" s="108"/>
      <c r="Q130" s="108"/>
      <c r="R130" s="108"/>
      <c r="S130" s="108"/>
      <c r="T130" s="108"/>
      <c r="X130" s="108"/>
      <c r="AC130" s="108"/>
      <c r="AH130" s="108"/>
      <c r="AM130" s="108"/>
    </row>
    <row r="131" spans="2:39">
      <c r="B131" s="610"/>
      <c r="C131" s="333">
        <v>4</v>
      </c>
      <c r="D131" s="226"/>
      <c r="E131" s="182"/>
      <c r="F131" s="333"/>
      <c r="G131" s="336"/>
      <c r="H131" s="668"/>
      <c r="I131" s="199"/>
      <c r="J131" s="199"/>
      <c r="K131" s="199"/>
      <c r="L131" s="671"/>
      <c r="M131" s="199" t="e">
        <f>RANK(K131, K$128:$K$142)</f>
        <v>#DIV/0!</v>
      </c>
      <c r="N131" s="108"/>
      <c r="O131" s="108"/>
      <c r="P131" s="108"/>
      <c r="Q131" s="108"/>
      <c r="R131" s="108"/>
      <c r="S131" s="108"/>
      <c r="T131" s="108"/>
      <c r="X131" s="108"/>
      <c r="AC131" s="108"/>
      <c r="AH131" s="108"/>
      <c r="AM131" s="108"/>
    </row>
    <row r="132" spans="2:39">
      <c r="B132" s="610"/>
      <c r="C132" s="333">
        <v>5</v>
      </c>
      <c r="D132" s="226"/>
      <c r="E132" s="182"/>
      <c r="F132" s="333"/>
      <c r="G132" s="336"/>
      <c r="H132" s="668"/>
      <c r="I132" s="199"/>
      <c r="J132" s="199"/>
      <c r="K132" s="199"/>
      <c r="L132" s="671"/>
      <c r="M132" s="199" t="e">
        <f>RANK(K132, K$128:$K$142)</f>
        <v>#DIV/0!</v>
      </c>
      <c r="N132" s="108"/>
      <c r="O132" s="108"/>
      <c r="P132" s="108"/>
      <c r="Q132" s="108"/>
      <c r="R132" s="108"/>
      <c r="S132" s="108"/>
      <c r="T132" s="108"/>
      <c r="X132" s="108"/>
      <c r="AC132" s="108"/>
      <c r="AH132" s="108"/>
      <c r="AM132" s="108"/>
    </row>
    <row r="133" spans="2:39">
      <c r="B133" s="610"/>
      <c r="C133" s="333">
        <v>6</v>
      </c>
      <c r="D133" s="342"/>
      <c r="E133" s="182"/>
      <c r="F133" s="333"/>
      <c r="G133" s="336"/>
      <c r="H133" s="668"/>
      <c r="I133" s="199"/>
      <c r="J133" s="199"/>
      <c r="K133" s="199"/>
      <c r="L133" s="671"/>
      <c r="M133" s="199" t="e">
        <f>RANK(K133, K$128:$K$142)</f>
        <v>#DIV/0!</v>
      </c>
      <c r="N133" s="108"/>
      <c r="O133" s="108"/>
      <c r="P133" s="108"/>
      <c r="Q133" s="108"/>
      <c r="R133" s="108"/>
      <c r="S133" s="108"/>
      <c r="T133" s="108"/>
      <c r="X133" s="108"/>
      <c r="AC133" s="108"/>
      <c r="AH133" s="108"/>
      <c r="AM133" s="108"/>
    </row>
    <row r="134" spans="2:39">
      <c r="B134" s="610"/>
      <c r="C134" s="333">
        <v>7</v>
      </c>
      <c r="D134" s="226"/>
      <c r="E134" s="182"/>
      <c r="F134" s="333"/>
      <c r="G134" s="336"/>
      <c r="H134" s="668"/>
      <c r="I134" s="199"/>
      <c r="J134" s="199"/>
      <c r="K134" s="199"/>
      <c r="L134" s="671"/>
      <c r="M134" s="199" t="e">
        <f>RANK(K134, K$128:$K$142)</f>
        <v>#DIV/0!</v>
      </c>
      <c r="N134" s="108"/>
      <c r="O134" s="108"/>
      <c r="P134" s="108"/>
      <c r="Q134" s="108"/>
      <c r="R134" s="108"/>
      <c r="S134" s="108"/>
      <c r="T134" s="108"/>
      <c r="X134" s="108"/>
      <c r="AC134" s="108"/>
      <c r="AH134" s="108"/>
      <c r="AM134" s="108"/>
    </row>
    <row r="135" spans="2:39">
      <c r="B135" s="610"/>
      <c r="C135" s="333">
        <v>8</v>
      </c>
      <c r="D135" s="226"/>
      <c r="E135" s="182"/>
      <c r="F135" s="333"/>
      <c r="G135" s="336"/>
      <c r="H135" s="668"/>
      <c r="I135" s="199"/>
      <c r="J135" s="199"/>
      <c r="K135" s="199"/>
      <c r="L135" s="671"/>
      <c r="M135" s="199" t="e">
        <f>RANK(K135, K$128:$K$142)</f>
        <v>#DIV/0!</v>
      </c>
      <c r="N135" s="108"/>
      <c r="O135" s="108"/>
      <c r="P135" s="108"/>
      <c r="Q135" s="108"/>
      <c r="R135" s="108"/>
      <c r="S135" s="108"/>
      <c r="T135" s="108"/>
      <c r="X135" s="108"/>
      <c r="AC135" s="108"/>
      <c r="AH135" s="108"/>
      <c r="AM135" s="108"/>
    </row>
    <row r="136" spans="2:39">
      <c r="B136" s="610"/>
      <c r="C136" s="333">
        <v>9</v>
      </c>
      <c r="D136" s="226"/>
      <c r="E136" s="333"/>
      <c r="F136" s="333"/>
      <c r="G136" s="333"/>
      <c r="H136" s="668"/>
      <c r="I136" s="199"/>
      <c r="J136" s="199"/>
      <c r="K136" s="199"/>
      <c r="L136" s="671"/>
      <c r="M136" s="199" t="e">
        <f>RANK(K136, K$128:$K$142)</f>
        <v>#DIV/0!</v>
      </c>
      <c r="N136" s="108"/>
      <c r="O136" s="108"/>
      <c r="P136" s="108"/>
      <c r="Q136" s="108"/>
      <c r="R136" s="108"/>
      <c r="S136" s="108"/>
      <c r="T136" s="108"/>
      <c r="X136" s="108"/>
      <c r="AC136" s="108"/>
      <c r="AH136" s="108"/>
      <c r="AM136" s="108"/>
    </row>
    <row r="137" spans="2:39">
      <c r="B137" s="610"/>
      <c r="C137" s="333">
        <v>10</v>
      </c>
      <c r="D137" s="226"/>
      <c r="E137" s="333"/>
      <c r="F137" s="333"/>
      <c r="G137" s="333"/>
      <c r="H137" s="668"/>
      <c r="I137" s="199"/>
      <c r="J137" s="199"/>
      <c r="K137" s="199"/>
      <c r="L137" s="671"/>
      <c r="M137" s="199" t="e">
        <f>RANK(K137, K$128:$K$142)</f>
        <v>#DIV/0!</v>
      </c>
      <c r="N137" s="108"/>
      <c r="O137" s="108"/>
      <c r="P137" s="108"/>
      <c r="Q137" s="108"/>
      <c r="R137" s="108"/>
      <c r="S137" s="108"/>
      <c r="T137" s="108"/>
      <c r="X137" s="108"/>
      <c r="AC137" s="108"/>
      <c r="AH137" s="108"/>
      <c r="AM137" s="108"/>
    </row>
    <row r="138" spans="2:39">
      <c r="B138" s="610"/>
      <c r="C138" s="333">
        <v>11</v>
      </c>
      <c r="D138" s="226"/>
      <c r="E138" s="333"/>
      <c r="F138" s="333"/>
      <c r="G138" s="333"/>
      <c r="H138" s="668"/>
      <c r="I138" s="199"/>
      <c r="J138" s="199"/>
      <c r="K138" s="199"/>
      <c r="L138" s="671"/>
      <c r="M138" s="199" t="e">
        <f>RANK(K138, K$128:$K$142)</f>
        <v>#DIV/0!</v>
      </c>
      <c r="N138" s="108"/>
      <c r="O138" s="108"/>
      <c r="P138" s="108"/>
      <c r="Q138" s="108"/>
      <c r="R138" s="108"/>
      <c r="S138" s="108"/>
      <c r="T138" s="108"/>
      <c r="X138" s="108"/>
      <c r="AC138" s="108"/>
      <c r="AH138" s="108"/>
      <c r="AM138" s="108"/>
    </row>
    <row r="139" spans="2:39">
      <c r="B139" s="610"/>
      <c r="C139" s="333">
        <v>12</v>
      </c>
      <c r="D139" s="226"/>
      <c r="E139" s="333"/>
      <c r="F139" s="333"/>
      <c r="G139" s="333"/>
      <c r="H139" s="668"/>
      <c r="I139" s="199"/>
      <c r="J139" s="199"/>
      <c r="K139" s="199"/>
      <c r="L139" s="671"/>
      <c r="M139" s="199" t="e">
        <f>RANK(K139, K$128:$K$142)</f>
        <v>#DIV/0!</v>
      </c>
      <c r="N139" s="108"/>
      <c r="O139" s="108"/>
      <c r="P139" s="108"/>
      <c r="Q139" s="108"/>
      <c r="R139" s="108"/>
      <c r="S139" s="108"/>
      <c r="T139" s="108"/>
      <c r="X139" s="108"/>
      <c r="AC139" s="108"/>
      <c r="AH139" s="108"/>
      <c r="AM139" s="108"/>
    </row>
    <row r="140" spans="2:39">
      <c r="B140" s="610"/>
      <c r="C140" s="333">
        <v>13</v>
      </c>
      <c r="D140" s="226"/>
      <c r="E140" s="333"/>
      <c r="F140" s="333"/>
      <c r="G140" s="333"/>
      <c r="H140" s="668"/>
      <c r="I140" s="199"/>
      <c r="J140" s="199"/>
      <c r="K140" s="199"/>
      <c r="L140" s="671"/>
      <c r="M140" s="199" t="e">
        <f>RANK(K140, K$128:$K$142)</f>
        <v>#DIV/0!</v>
      </c>
      <c r="N140" s="108"/>
      <c r="O140" s="108"/>
      <c r="P140" s="108"/>
      <c r="Q140" s="108"/>
      <c r="R140" s="108"/>
      <c r="S140" s="108"/>
      <c r="T140" s="108"/>
      <c r="X140" s="108"/>
      <c r="AC140" s="108"/>
      <c r="AH140" s="108"/>
      <c r="AM140" s="108"/>
    </row>
    <row r="141" spans="2:39">
      <c r="B141" s="610"/>
      <c r="C141" s="333">
        <v>14</v>
      </c>
      <c r="D141" s="226"/>
      <c r="E141" s="333"/>
      <c r="F141" s="333"/>
      <c r="G141" s="333"/>
      <c r="H141" s="668"/>
      <c r="I141" s="199"/>
      <c r="J141" s="199"/>
      <c r="K141" s="199"/>
      <c r="L141" s="671"/>
      <c r="M141" s="199" t="e">
        <f>RANK(K141, K$128:$K$142)</f>
        <v>#DIV/0!</v>
      </c>
      <c r="N141" s="108"/>
      <c r="O141" s="108"/>
      <c r="P141" s="108"/>
      <c r="Q141" s="108"/>
      <c r="R141" s="108"/>
      <c r="S141" s="108"/>
      <c r="T141" s="108"/>
      <c r="X141" s="108"/>
      <c r="AC141" s="108"/>
      <c r="AH141" s="108"/>
      <c r="AM141" s="108"/>
    </row>
    <row r="142" spans="2:39">
      <c r="B142" s="610"/>
      <c r="C142" s="333">
        <v>15</v>
      </c>
      <c r="D142" s="226"/>
      <c r="E142" s="333"/>
      <c r="F142" s="333"/>
      <c r="G142" s="333"/>
      <c r="H142" s="669"/>
      <c r="I142" s="199"/>
      <c r="J142" s="199"/>
      <c r="K142" s="199"/>
      <c r="L142" s="672"/>
      <c r="M142" s="199" t="e">
        <f>RANK(K142, K$128:$K$142)</f>
        <v>#DIV/0!</v>
      </c>
      <c r="N142" s="108"/>
      <c r="O142" s="108"/>
      <c r="P142" s="108"/>
      <c r="Q142" s="108"/>
      <c r="R142" s="108"/>
      <c r="S142" s="108"/>
      <c r="T142" s="108"/>
      <c r="X142" s="108"/>
      <c r="AC142" s="108"/>
      <c r="AH142" s="108"/>
      <c r="AM142" s="108"/>
    </row>
  </sheetData>
  <mergeCells count="379">
    <mergeCell ref="BA87:BA101"/>
    <mergeCell ref="BA104:BA106"/>
    <mergeCell ref="BA107:BA121"/>
    <mergeCell ref="BA4:BA6"/>
    <mergeCell ref="BA7:BA21"/>
    <mergeCell ref="BA24:BA26"/>
    <mergeCell ref="BA27:BA41"/>
    <mergeCell ref="BA44:BA46"/>
    <mergeCell ref="BA47:BA61"/>
    <mergeCell ref="BA64:BA66"/>
    <mergeCell ref="BA67:BA81"/>
    <mergeCell ref="BA84:BA86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A247"/>
  <sheetViews>
    <sheetView topLeftCell="A73" zoomScale="40" zoomScaleNormal="40" workbookViewId="0">
      <pane xSplit="15" topLeftCell="P1" activePane="topRight" state="frozen"/>
      <selection activeCell="K7" sqref="I7:K36"/>
      <selection pane="topRight" activeCell="T112" sqref="S112:T141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51" width="8.85546875" style="108"/>
    <col min="52" max="52" width="5.42578125" style="108" customWidth="1"/>
    <col min="53" max="53" width="13.140625" style="108" customWidth="1"/>
    <col min="54" max="16384" width="8.85546875" style="108"/>
  </cols>
  <sheetData>
    <row r="1" spans="1:53" ht="24">
      <c r="A1" s="75"/>
      <c r="B1" s="221" t="s">
        <v>332</v>
      </c>
      <c r="C1" s="220">
        <f>AVERAGE(L7,L42,L77,L112,L147,L182)</f>
        <v>87.069420243517385</v>
      </c>
    </row>
    <row r="2" spans="1:53" ht="15.75">
      <c r="A2" s="81"/>
      <c r="B2" s="633" t="s">
        <v>163</v>
      </c>
      <c r="C2" s="633"/>
      <c r="D2" s="633"/>
      <c r="E2" s="633"/>
      <c r="F2" s="633"/>
      <c r="G2" s="633"/>
      <c r="H2" s="633"/>
      <c r="I2" s="306"/>
      <c r="J2" s="306"/>
      <c r="K2" s="306"/>
      <c r="L2" s="306"/>
      <c r="M2" s="197"/>
      <c r="N2" s="606" t="s">
        <v>156</v>
      </c>
      <c r="O2" s="606" t="s">
        <v>155</v>
      </c>
      <c r="P2" s="645">
        <v>46112</v>
      </c>
      <c r="Q2" s="646"/>
      <c r="R2" s="646"/>
      <c r="S2" s="646"/>
      <c r="T2" s="647"/>
      <c r="U2" s="632">
        <f>P2+1</f>
        <v>46113</v>
      </c>
      <c r="V2" s="610"/>
      <c r="W2" s="610"/>
      <c r="X2" s="610"/>
      <c r="Y2" s="610"/>
      <c r="Z2" s="632">
        <f>U2+1</f>
        <v>46114</v>
      </c>
      <c r="AA2" s="610"/>
      <c r="AB2" s="610"/>
      <c r="AC2" s="610"/>
      <c r="AD2" s="610"/>
      <c r="AE2" s="632">
        <f>Z2+1</f>
        <v>46115</v>
      </c>
      <c r="AF2" s="610"/>
      <c r="AG2" s="610"/>
      <c r="AH2" s="610"/>
      <c r="AI2" s="610"/>
      <c r="AJ2" s="632">
        <f>AE2+1</f>
        <v>46116</v>
      </c>
      <c r="AK2" s="610"/>
      <c r="AL2" s="610"/>
      <c r="AM2" s="610"/>
      <c r="AN2" s="610"/>
      <c r="AO2" s="632">
        <f>AJ2+1</f>
        <v>46117</v>
      </c>
      <c r="AP2" s="610"/>
      <c r="AQ2" s="610"/>
      <c r="AR2" s="610"/>
      <c r="AS2" s="610"/>
      <c r="AT2" s="629">
        <f>AO2+1</f>
        <v>46118</v>
      </c>
      <c r="AU2" s="630"/>
      <c r="AV2" s="630"/>
      <c r="AW2" s="630"/>
      <c r="AX2" s="631"/>
    </row>
    <row r="3" spans="1:53" ht="15.75">
      <c r="A3" s="81"/>
      <c r="B3" s="641"/>
      <c r="C3" s="641"/>
      <c r="D3" s="641"/>
      <c r="E3" s="641"/>
      <c r="F3" s="641"/>
      <c r="G3" s="641"/>
      <c r="H3" s="641"/>
      <c r="I3" s="307"/>
      <c r="J3" s="307"/>
      <c r="K3" s="307"/>
      <c r="L3" s="307"/>
      <c r="M3" s="198"/>
      <c r="N3" s="608"/>
      <c r="O3" s="608"/>
      <c r="P3" s="629" t="s">
        <v>158</v>
      </c>
      <c r="Q3" s="630"/>
      <c r="R3" s="630"/>
      <c r="S3" s="630"/>
      <c r="T3" s="631"/>
      <c r="U3" s="629" t="s">
        <v>114</v>
      </c>
      <c r="V3" s="630"/>
      <c r="W3" s="630"/>
      <c r="X3" s="630"/>
      <c r="Y3" s="631"/>
      <c r="Z3" s="629" t="s">
        <v>159</v>
      </c>
      <c r="AA3" s="630"/>
      <c r="AB3" s="630"/>
      <c r="AC3" s="630"/>
      <c r="AD3" s="631"/>
      <c r="AE3" s="629" t="s">
        <v>157</v>
      </c>
      <c r="AF3" s="630"/>
      <c r="AG3" s="630"/>
      <c r="AH3" s="630"/>
      <c r="AI3" s="631"/>
      <c r="AJ3" s="629" t="s">
        <v>160</v>
      </c>
      <c r="AK3" s="630"/>
      <c r="AL3" s="630"/>
      <c r="AM3" s="630"/>
      <c r="AN3" s="631"/>
      <c r="AO3" s="629" t="s">
        <v>161</v>
      </c>
      <c r="AP3" s="630"/>
      <c r="AQ3" s="630"/>
      <c r="AR3" s="630"/>
      <c r="AS3" s="631"/>
      <c r="AT3" s="629" t="s">
        <v>162</v>
      </c>
      <c r="AU3" s="630"/>
      <c r="AV3" s="630"/>
      <c r="AW3" s="630"/>
      <c r="AX3" s="631"/>
    </row>
    <row r="4" spans="1:53" ht="14.25">
      <c r="A4" s="81"/>
      <c r="B4" s="604" t="s">
        <v>154</v>
      </c>
      <c r="C4" s="604" t="s">
        <v>408</v>
      </c>
      <c r="D4" s="604"/>
      <c r="E4" s="604" t="s">
        <v>399</v>
      </c>
      <c r="F4" s="604"/>
      <c r="G4" s="604"/>
      <c r="H4" s="637" t="s">
        <v>395</v>
      </c>
      <c r="I4" s="656" t="s">
        <v>400</v>
      </c>
      <c r="J4" s="656"/>
      <c r="K4" s="656"/>
      <c r="L4" s="657" t="s">
        <v>395</v>
      </c>
      <c r="M4" s="642" t="s">
        <v>396</v>
      </c>
      <c r="N4" s="604"/>
      <c r="O4" s="604" t="s">
        <v>401</v>
      </c>
      <c r="P4" s="623" t="s">
        <v>397</v>
      </c>
      <c r="Q4" s="624"/>
      <c r="R4" s="624"/>
      <c r="S4" s="625"/>
      <c r="T4" s="604" t="s">
        <v>395</v>
      </c>
      <c r="U4" s="623" t="s">
        <v>397</v>
      </c>
      <c r="V4" s="624"/>
      <c r="W4" s="624"/>
      <c r="X4" s="625"/>
      <c r="Y4" s="604" t="s">
        <v>395</v>
      </c>
      <c r="Z4" s="623" t="s">
        <v>397</v>
      </c>
      <c r="AA4" s="624"/>
      <c r="AB4" s="624"/>
      <c r="AC4" s="625"/>
      <c r="AD4" s="604" t="s">
        <v>395</v>
      </c>
      <c r="AE4" s="623" t="s">
        <v>397</v>
      </c>
      <c r="AF4" s="624"/>
      <c r="AG4" s="624"/>
      <c r="AH4" s="625"/>
      <c r="AI4" s="604" t="s">
        <v>395</v>
      </c>
      <c r="AJ4" s="623" t="s">
        <v>397</v>
      </c>
      <c r="AK4" s="624"/>
      <c r="AL4" s="624"/>
      <c r="AM4" s="625"/>
      <c r="AN4" s="604" t="s">
        <v>395</v>
      </c>
      <c r="AO4" s="623" t="s">
        <v>397</v>
      </c>
      <c r="AP4" s="624"/>
      <c r="AQ4" s="624"/>
      <c r="AR4" s="625"/>
      <c r="AS4" s="604" t="s">
        <v>395</v>
      </c>
      <c r="AT4" s="623" t="s">
        <v>397</v>
      </c>
      <c r="AU4" s="624"/>
      <c r="AV4" s="624"/>
      <c r="AW4" s="625"/>
      <c r="AX4" s="604" t="s">
        <v>395</v>
      </c>
      <c r="BA4" s="604" t="s">
        <v>395</v>
      </c>
    </row>
    <row r="5" spans="1:53" ht="14.25">
      <c r="A5" s="81"/>
      <c r="B5" s="604"/>
      <c r="C5" s="604"/>
      <c r="D5" s="604"/>
      <c r="E5" s="604" t="s">
        <v>402</v>
      </c>
      <c r="F5" s="604"/>
      <c r="G5" s="604"/>
      <c r="H5" s="638"/>
      <c r="I5" s="656" t="s">
        <v>402</v>
      </c>
      <c r="J5" s="656"/>
      <c r="K5" s="656"/>
      <c r="L5" s="658"/>
      <c r="M5" s="643"/>
      <c r="N5" s="604"/>
      <c r="O5" s="604"/>
      <c r="P5" s="623" t="s">
        <v>403</v>
      </c>
      <c r="Q5" s="624"/>
      <c r="R5" s="624"/>
      <c r="S5" s="625"/>
      <c r="T5" s="604"/>
      <c r="U5" s="623" t="s">
        <v>403</v>
      </c>
      <c r="V5" s="624"/>
      <c r="W5" s="624"/>
      <c r="X5" s="625"/>
      <c r="Y5" s="604"/>
      <c r="Z5" s="623" t="s">
        <v>403</v>
      </c>
      <c r="AA5" s="624"/>
      <c r="AB5" s="624"/>
      <c r="AC5" s="625"/>
      <c r="AD5" s="604"/>
      <c r="AE5" s="623" t="s">
        <v>403</v>
      </c>
      <c r="AF5" s="624"/>
      <c r="AG5" s="624"/>
      <c r="AH5" s="625"/>
      <c r="AI5" s="604"/>
      <c r="AJ5" s="623" t="s">
        <v>403</v>
      </c>
      <c r="AK5" s="624"/>
      <c r="AL5" s="624"/>
      <c r="AM5" s="625"/>
      <c r="AN5" s="604"/>
      <c r="AO5" s="623" t="s">
        <v>403</v>
      </c>
      <c r="AP5" s="624"/>
      <c r="AQ5" s="624"/>
      <c r="AR5" s="625"/>
      <c r="AS5" s="604"/>
      <c r="AT5" s="623" t="s">
        <v>403</v>
      </c>
      <c r="AU5" s="624"/>
      <c r="AV5" s="624"/>
      <c r="AW5" s="625"/>
      <c r="AX5" s="604"/>
      <c r="BA5" s="604"/>
    </row>
    <row r="6" spans="1:53" ht="14.25">
      <c r="A6" s="79"/>
      <c r="B6" s="604"/>
      <c r="C6" s="604"/>
      <c r="D6" s="604"/>
      <c r="E6" s="468" t="s">
        <v>404</v>
      </c>
      <c r="F6" s="468" t="s">
        <v>405</v>
      </c>
      <c r="G6" s="468" t="s">
        <v>406</v>
      </c>
      <c r="H6" s="639"/>
      <c r="I6" s="470" t="s">
        <v>404</v>
      </c>
      <c r="J6" s="470" t="s">
        <v>405</v>
      </c>
      <c r="K6" s="470" t="s">
        <v>406</v>
      </c>
      <c r="L6" s="659"/>
      <c r="M6" s="644"/>
      <c r="N6" s="604"/>
      <c r="O6" s="604"/>
      <c r="P6" s="468" t="s">
        <v>404</v>
      </c>
      <c r="Q6" s="468" t="s">
        <v>405</v>
      </c>
      <c r="R6" s="468" t="s">
        <v>406</v>
      </c>
      <c r="S6" s="468" t="s">
        <v>396</v>
      </c>
      <c r="T6" s="604"/>
      <c r="U6" s="468" t="s">
        <v>404</v>
      </c>
      <c r="V6" s="468" t="s">
        <v>405</v>
      </c>
      <c r="W6" s="468" t="s">
        <v>406</v>
      </c>
      <c r="X6" s="468" t="s">
        <v>396</v>
      </c>
      <c r="Y6" s="604"/>
      <c r="Z6" s="468" t="s">
        <v>404</v>
      </c>
      <c r="AA6" s="468" t="s">
        <v>405</v>
      </c>
      <c r="AB6" s="468" t="s">
        <v>406</v>
      </c>
      <c r="AC6" s="468" t="s">
        <v>396</v>
      </c>
      <c r="AD6" s="604"/>
      <c r="AE6" s="468" t="s">
        <v>404</v>
      </c>
      <c r="AF6" s="468" t="s">
        <v>405</v>
      </c>
      <c r="AG6" s="468" t="s">
        <v>406</v>
      </c>
      <c r="AH6" s="468" t="s">
        <v>396</v>
      </c>
      <c r="AI6" s="604"/>
      <c r="AJ6" s="468" t="s">
        <v>404</v>
      </c>
      <c r="AK6" s="468" t="s">
        <v>405</v>
      </c>
      <c r="AL6" s="468" t="s">
        <v>406</v>
      </c>
      <c r="AM6" s="468" t="s">
        <v>396</v>
      </c>
      <c r="AN6" s="604"/>
      <c r="AO6" s="468" t="s">
        <v>404</v>
      </c>
      <c r="AP6" s="468" t="s">
        <v>405</v>
      </c>
      <c r="AQ6" s="468" t="s">
        <v>406</v>
      </c>
      <c r="AR6" s="468" t="s">
        <v>396</v>
      </c>
      <c r="AS6" s="604"/>
      <c r="AT6" s="468" t="s">
        <v>404</v>
      </c>
      <c r="AU6" s="468" t="s">
        <v>405</v>
      </c>
      <c r="AV6" s="468" t="s">
        <v>406</v>
      </c>
      <c r="AW6" s="468" t="s">
        <v>396</v>
      </c>
      <c r="AX6" s="604"/>
      <c r="AZ6" s="520" t="s">
        <v>396</v>
      </c>
      <c r="BA6" s="604"/>
    </row>
    <row r="7" spans="1:53" ht="14.25">
      <c r="A7" s="81"/>
      <c r="B7" s="604" t="s">
        <v>134</v>
      </c>
      <c r="C7" s="465">
        <v>1</v>
      </c>
      <c r="D7" s="226" t="s">
        <v>367</v>
      </c>
      <c r="E7" s="182">
        <v>6</v>
      </c>
      <c r="F7" s="502">
        <v>1500</v>
      </c>
      <c r="G7" s="503">
        <v>250</v>
      </c>
      <c r="H7" s="667">
        <f>AVERAGE(G7:G36)</f>
        <v>97.962962962962976</v>
      </c>
      <c r="I7" s="513">
        <f>IFERROR(AVERAGE(P7,U7,Z7,AE7,AJ7,AO7,AT7),"-")</f>
        <v>6.1428571428571432</v>
      </c>
      <c r="J7" s="513">
        <f>IFERROR(AVERAGE(Q7,V7,AA7,AF7,AK7,AP7,AU7),"-")</f>
        <v>1457.050921624</v>
      </c>
      <c r="K7" s="200">
        <f>IFERROR(AVERAGE(R7,W7,AB7,AG7,AL7,AQ7,AV7),"-")</f>
        <v>237.80450437343396</v>
      </c>
      <c r="L7" s="620">
        <f>IFERROR(AVERAGE(K7:K36),"-")</f>
        <v>87.362432734179066</v>
      </c>
      <c r="M7" s="471">
        <f>RANK(K7, K$7:$K$36)</f>
        <v>2</v>
      </c>
      <c r="N7" s="604"/>
      <c r="O7" s="604"/>
      <c r="P7" s="521">
        <v>7</v>
      </c>
      <c r="Q7" s="182">
        <v>1480.970873786408</v>
      </c>
      <c r="R7" s="182">
        <v>211.56726768377257</v>
      </c>
      <c r="S7" s="521">
        <f>RANK(R7, R$7:R$36)</f>
        <v>1</v>
      </c>
      <c r="T7" s="605">
        <f>AVERAGE(R7:R36)</f>
        <v>84.754779963634064</v>
      </c>
      <c r="U7" s="521">
        <v>6</v>
      </c>
      <c r="V7" s="182">
        <v>1464.2231707317069</v>
      </c>
      <c r="W7" s="182">
        <v>244.03719512195116</v>
      </c>
      <c r="X7" s="521">
        <f>RANK(W7, W$7:W$36)</f>
        <v>1</v>
      </c>
      <c r="Y7" s="605">
        <f>AVERAGE(W7:W36)</f>
        <v>87.806557601947802</v>
      </c>
      <c r="Z7" s="521">
        <v>6</v>
      </c>
      <c r="AA7" s="182">
        <v>1447.5712500000009</v>
      </c>
      <c r="AB7" s="182">
        <v>241.26187500000015</v>
      </c>
      <c r="AC7" s="521">
        <f>RANK(AB7, AB$7:AB$36)</f>
        <v>2</v>
      </c>
      <c r="AD7" s="605">
        <f>AVERAGE(AB7:AB36)</f>
        <v>87.189976934819853</v>
      </c>
      <c r="AE7" s="521">
        <v>6</v>
      </c>
      <c r="AF7" s="182">
        <v>1446.3529411764712</v>
      </c>
      <c r="AG7" s="182">
        <v>241.05882352941185</v>
      </c>
      <c r="AH7" s="521">
        <f>RANK(AG7, AG$7:AG$36)</f>
        <v>2</v>
      </c>
      <c r="AI7" s="605">
        <f>AVERAGE(AG7:AG36)</f>
        <v>88.085856127896122</v>
      </c>
      <c r="AJ7" s="521">
        <v>6</v>
      </c>
      <c r="AK7" s="182">
        <v>1447.8171428571438</v>
      </c>
      <c r="AL7" s="182">
        <v>241.30285714285731</v>
      </c>
      <c r="AM7" s="521">
        <f>RANK(AL7, AL$7:AL$36)</f>
        <v>2</v>
      </c>
      <c r="AN7" s="605">
        <f>AVERAGE(AL7:AL36)</f>
        <v>88.040913713225862</v>
      </c>
      <c r="AO7" s="521">
        <v>6</v>
      </c>
      <c r="AP7" s="182">
        <v>1459.096240601504</v>
      </c>
      <c r="AQ7" s="182">
        <v>243.18270676691733</v>
      </c>
      <c r="AR7" s="521">
        <f>RANK(AQ7, AQ$7:AQ$36)</f>
        <v>2</v>
      </c>
      <c r="AS7" s="605">
        <f>AVERAGE(AQ7:AQ36)</f>
        <v>87.732264558071066</v>
      </c>
      <c r="AT7" s="521">
        <v>6</v>
      </c>
      <c r="AU7" s="182">
        <v>1453.3248322147649</v>
      </c>
      <c r="AV7" s="182">
        <v>242.22080536912748</v>
      </c>
      <c r="AW7" s="521">
        <f>RANK(AV7, AV$7:AV$36)</f>
        <v>2</v>
      </c>
      <c r="AX7" s="605">
        <f>AVERAGE(AV7:AV36)</f>
        <v>87.926680239658822</v>
      </c>
      <c r="AZ7" s="521" t="e">
        <f>RANK(AY7, AY$7:AY$36)</f>
        <v>#N/A</v>
      </c>
      <c r="BA7" s="605" t="e">
        <f>AVERAGE(AY7:AY36)</f>
        <v>#DIV/0!</v>
      </c>
    </row>
    <row r="8" spans="1:53" ht="15" customHeight="1">
      <c r="A8" s="81"/>
      <c r="B8" s="610"/>
      <c r="C8" s="465">
        <v>2</v>
      </c>
      <c r="D8" s="226" t="s">
        <v>824</v>
      </c>
      <c r="E8" s="182">
        <v>6</v>
      </c>
      <c r="F8" s="502">
        <v>1500</v>
      </c>
      <c r="G8" s="503">
        <v>250</v>
      </c>
      <c r="H8" s="668"/>
      <c r="I8" s="513">
        <f t="shared" ref="I8:K36" si="0">IFERROR(AVERAGE(P8,U8,Z8,AE8,AJ8,AO8,AT8),"-")</f>
        <v>6.1428571428571432</v>
      </c>
      <c r="J8" s="513">
        <f t="shared" si="0"/>
        <v>1462.0756821341877</v>
      </c>
      <c r="K8" s="200">
        <f t="shared" si="0"/>
        <v>238.87361286577206</v>
      </c>
      <c r="L8" s="621"/>
      <c r="M8" s="471">
        <f>RANK(K8, K$7:$K$36)</f>
        <v>1</v>
      </c>
      <c r="N8" s="604"/>
      <c r="O8" s="604"/>
      <c r="P8" s="521">
        <v>7</v>
      </c>
      <c r="Q8" s="182">
        <v>1412.8662420382168</v>
      </c>
      <c r="R8" s="182">
        <v>201.83803457688811</v>
      </c>
      <c r="S8" s="521">
        <f t="shared" ref="S8:S36" si="1">RANK(R8, R$7:R$36)</f>
        <v>2</v>
      </c>
      <c r="T8" s="605"/>
      <c r="U8" s="521">
        <v>6</v>
      </c>
      <c r="V8" s="182">
        <v>1461.6986301369864</v>
      </c>
      <c r="W8" s="182">
        <v>243.61643835616439</v>
      </c>
      <c r="X8" s="521">
        <f t="shared" ref="X8:X36" si="2">RANK(W8, W$7:W$36)</f>
        <v>2</v>
      </c>
      <c r="Y8" s="605"/>
      <c r="Z8" s="521">
        <v>6</v>
      </c>
      <c r="AA8" s="182">
        <v>1468.4023668639054</v>
      </c>
      <c r="AB8" s="182">
        <v>244.73372781065089</v>
      </c>
      <c r="AC8" s="521">
        <f t="shared" ref="AC8:AC36" si="3">RANK(AB8, AB$7:AB$36)</f>
        <v>1</v>
      </c>
      <c r="AD8" s="605"/>
      <c r="AE8" s="521">
        <v>6</v>
      </c>
      <c r="AF8" s="182">
        <v>1476.9230769230769</v>
      </c>
      <c r="AG8" s="182">
        <v>246.15384615384616</v>
      </c>
      <c r="AH8" s="521">
        <f t="shared" ref="AH8:AH36" si="4">RANK(AG8, AG$7:AG$36)</f>
        <v>1</v>
      </c>
      <c r="AI8" s="605"/>
      <c r="AJ8" s="521">
        <v>6</v>
      </c>
      <c r="AK8" s="182">
        <v>1457.3831775700933</v>
      </c>
      <c r="AL8" s="182">
        <v>242.89719626168221</v>
      </c>
      <c r="AM8" s="521">
        <f t="shared" ref="AM8:AM36" si="5">RANK(AL8, AL$7:AL$36)</f>
        <v>1</v>
      </c>
      <c r="AN8" s="605"/>
      <c r="AO8" s="521">
        <v>6</v>
      </c>
      <c r="AP8" s="182">
        <v>1491.2562814070352</v>
      </c>
      <c r="AQ8" s="182">
        <v>248.5427135678392</v>
      </c>
      <c r="AR8" s="521">
        <f t="shared" ref="AR8:AR36" si="6">RANK(AQ8, AQ$7:AQ$36)</f>
        <v>1</v>
      </c>
      <c r="AS8" s="605"/>
      <c r="AT8" s="521">
        <v>6</v>
      </c>
      <c r="AU8" s="182">
        <v>1466.0000000000005</v>
      </c>
      <c r="AV8" s="182">
        <v>244.3333333333334</v>
      </c>
      <c r="AW8" s="521">
        <f t="shared" ref="AW8:AW36" si="7">RANK(AV8, AV$7:AV$36)</f>
        <v>1</v>
      </c>
      <c r="AX8" s="605"/>
      <c r="AZ8" s="521" t="e">
        <f t="shared" ref="AZ8:AZ36" si="8">RANK(AY8, AY$7:AY$36)</f>
        <v>#N/A</v>
      </c>
      <c r="BA8" s="605"/>
    </row>
    <row r="9" spans="1:53" ht="14.25">
      <c r="A9" s="81"/>
      <c r="B9" s="610"/>
      <c r="C9" s="465">
        <v>3</v>
      </c>
      <c r="D9" s="226" t="s">
        <v>801</v>
      </c>
      <c r="E9" s="182">
        <v>18</v>
      </c>
      <c r="F9" s="502">
        <v>1500</v>
      </c>
      <c r="G9" s="503">
        <v>83.3</v>
      </c>
      <c r="H9" s="668"/>
      <c r="I9" s="513">
        <f t="shared" si="0"/>
        <v>18</v>
      </c>
      <c r="J9" s="513">
        <f t="shared" si="0"/>
        <v>1310.9818279977719</v>
      </c>
      <c r="K9" s="200">
        <f t="shared" si="0"/>
        <v>72.832323777653997</v>
      </c>
      <c r="L9" s="621"/>
      <c r="M9" s="471">
        <f>RANK(K9, K$7:$K$36)</f>
        <v>17</v>
      </c>
      <c r="N9" s="604"/>
      <c r="O9" s="604"/>
      <c r="P9" s="521">
        <v>18</v>
      </c>
      <c r="Q9" s="182">
        <v>1261.7716535433069</v>
      </c>
      <c r="R9" s="182">
        <v>70.098425196850386</v>
      </c>
      <c r="S9" s="521">
        <f t="shared" si="1"/>
        <v>18</v>
      </c>
      <c r="T9" s="605"/>
      <c r="U9" s="521">
        <v>18</v>
      </c>
      <c r="V9" s="182">
        <v>1252.6153846153845</v>
      </c>
      <c r="W9" s="182">
        <v>69.589743589743591</v>
      </c>
      <c r="X9" s="521">
        <f t="shared" si="2"/>
        <v>19</v>
      </c>
      <c r="Y9" s="605"/>
      <c r="Z9" s="521">
        <v>18</v>
      </c>
      <c r="AA9" s="182">
        <v>1257.8365384615392</v>
      </c>
      <c r="AB9" s="182">
        <v>69.879807692307736</v>
      </c>
      <c r="AC9" s="521">
        <f t="shared" si="3"/>
        <v>20</v>
      </c>
      <c r="AD9" s="605"/>
      <c r="AE9" s="521">
        <v>18</v>
      </c>
      <c r="AF9" s="182">
        <v>1275.4067796610179</v>
      </c>
      <c r="AG9" s="182">
        <v>70.855932203389884</v>
      </c>
      <c r="AH9" s="521">
        <f t="shared" si="4"/>
        <v>19</v>
      </c>
      <c r="AI9" s="605"/>
      <c r="AJ9" s="521">
        <v>18</v>
      </c>
      <c r="AK9" s="182">
        <v>1378.390909090909</v>
      </c>
      <c r="AL9" s="182">
        <v>76.577272727272714</v>
      </c>
      <c r="AM9" s="521">
        <f t="shared" si="5"/>
        <v>14</v>
      </c>
      <c r="AN9" s="605"/>
      <c r="AO9" s="521">
        <v>18</v>
      </c>
      <c r="AP9" s="182">
        <v>1375.7250000000004</v>
      </c>
      <c r="AQ9" s="182">
        <v>76.429166666666688</v>
      </c>
      <c r="AR9" s="521">
        <f t="shared" si="6"/>
        <v>14</v>
      </c>
      <c r="AS9" s="605"/>
      <c r="AT9" s="521">
        <v>18</v>
      </c>
      <c r="AU9" s="182">
        <v>1375.1265306122452</v>
      </c>
      <c r="AV9" s="182">
        <v>76.395918367346951</v>
      </c>
      <c r="AW9" s="521">
        <f t="shared" si="7"/>
        <v>14</v>
      </c>
      <c r="AX9" s="605"/>
      <c r="AZ9" s="521" t="e">
        <f t="shared" si="8"/>
        <v>#N/A</v>
      </c>
      <c r="BA9" s="605"/>
    </row>
    <row r="10" spans="1:53" ht="14.25">
      <c r="A10" s="81"/>
      <c r="B10" s="610"/>
      <c r="C10" s="465">
        <v>4</v>
      </c>
      <c r="D10" s="226" t="s">
        <v>741</v>
      </c>
      <c r="E10" s="182">
        <v>18</v>
      </c>
      <c r="F10" s="502">
        <v>1500</v>
      </c>
      <c r="G10" s="503">
        <v>83.3</v>
      </c>
      <c r="H10" s="668"/>
      <c r="I10" s="513">
        <f t="shared" si="0"/>
        <v>18</v>
      </c>
      <c r="J10" s="513">
        <f t="shared" si="0"/>
        <v>1332.7527807652027</v>
      </c>
      <c r="K10" s="200">
        <f t="shared" si="0"/>
        <v>74.041821153622365</v>
      </c>
      <c r="L10" s="621"/>
      <c r="M10" s="471">
        <f>RANK(K10, K$7:$K$36)</f>
        <v>15</v>
      </c>
      <c r="N10" s="604"/>
      <c r="O10" s="604"/>
      <c r="P10" s="521">
        <v>18</v>
      </c>
      <c r="Q10" s="182">
        <v>1325.2173913043478</v>
      </c>
      <c r="R10" s="182">
        <v>73.623188405797094</v>
      </c>
      <c r="S10" s="521">
        <f t="shared" si="1"/>
        <v>15</v>
      </c>
      <c r="T10" s="605"/>
      <c r="U10" s="521">
        <v>18</v>
      </c>
      <c r="V10" s="182">
        <v>1326.1538461538455</v>
      </c>
      <c r="W10" s="182">
        <v>73.675213675213641</v>
      </c>
      <c r="X10" s="521">
        <f t="shared" si="2"/>
        <v>15</v>
      </c>
      <c r="Y10" s="605"/>
      <c r="Z10" s="521">
        <v>18</v>
      </c>
      <c r="AA10" s="182">
        <v>1327.6923076923069</v>
      </c>
      <c r="AB10" s="182">
        <v>73.760683760683719</v>
      </c>
      <c r="AC10" s="521">
        <f t="shared" si="3"/>
        <v>14</v>
      </c>
      <c r="AD10" s="605"/>
      <c r="AE10" s="521">
        <v>18</v>
      </c>
      <c r="AF10" s="182">
        <v>1325.9999999999995</v>
      </c>
      <c r="AG10" s="182">
        <v>73.666666666666643</v>
      </c>
      <c r="AH10" s="521">
        <f t="shared" si="4"/>
        <v>17</v>
      </c>
      <c r="AI10" s="605"/>
      <c r="AJ10" s="521">
        <v>18</v>
      </c>
      <c r="AK10" s="182">
        <v>1337.1428571428567</v>
      </c>
      <c r="AL10" s="182">
        <v>74.285714285714263</v>
      </c>
      <c r="AM10" s="521">
        <f t="shared" si="5"/>
        <v>16</v>
      </c>
      <c r="AN10" s="605"/>
      <c r="AO10" s="521">
        <v>18</v>
      </c>
      <c r="AP10" s="182">
        <v>1329.7297297297287</v>
      </c>
      <c r="AQ10" s="182">
        <v>73.873873873873819</v>
      </c>
      <c r="AR10" s="521">
        <f t="shared" si="6"/>
        <v>17</v>
      </c>
      <c r="AS10" s="605"/>
      <c r="AT10" s="521">
        <v>18</v>
      </c>
      <c r="AU10" s="182">
        <v>1357.3333333333335</v>
      </c>
      <c r="AV10" s="182">
        <v>75.407407407407419</v>
      </c>
      <c r="AW10" s="521">
        <f t="shared" si="7"/>
        <v>16</v>
      </c>
      <c r="AX10" s="605"/>
      <c r="AZ10" s="521" t="e">
        <f t="shared" si="8"/>
        <v>#N/A</v>
      </c>
      <c r="BA10" s="605"/>
    </row>
    <row r="11" spans="1:53" ht="14.25">
      <c r="A11" s="81"/>
      <c r="B11" s="610"/>
      <c r="C11" s="465">
        <v>5</v>
      </c>
      <c r="D11" s="226" t="s">
        <v>353</v>
      </c>
      <c r="E11" s="182">
        <v>16</v>
      </c>
      <c r="F11" s="502">
        <v>1500</v>
      </c>
      <c r="G11" s="503">
        <v>93.8</v>
      </c>
      <c r="H11" s="668"/>
      <c r="I11" s="513">
        <f t="shared" si="0"/>
        <v>16</v>
      </c>
      <c r="J11" s="513">
        <f t="shared" si="0"/>
        <v>1400.0564539037682</v>
      </c>
      <c r="K11" s="200">
        <f t="shared" si="0"/>
        <v>87.503528368985513</v>
      </c>
      <c r="L11" s="621"/>
      <c r="M11" s="471">
        <f>RANK(K11, K$7:$K$36)</f>
        <v>4</v>
      </c>
      <c r="N11" s="604"/>
      <c r="O11" s="604"/>
      <c r="P11" s="521">
        <v>16</v>
      </c>
      <c r="Q11" s="182">
        <v>1407.80487804878</v>
      </c>
      <c r="R11" s="182">
        <v>87.987804878048749</v>
      </c>
      <c r="S11" s="521">
        <f t="shared" si="1"/>
        <v>5</v>
      </c>
      <c r="T11" s="605"/>
      <c r="U11" s="521">
        <v>16</v>
      </c>
      <c r="V11" s="182">
        <v>1422.3529411764687</v>
      </c>
      <c r="W11" s="182">
        <v>88.897058823529292</v>
      </c>
      <c r="X11" s="521">
        <f t="shared" si="2"/>
        <v>4</v>
      </c>
      <c r="Y11" s="605"/>
      <c r="Z11" s="521">
        <v>16</v>
      </c>
      <c r="AA11" s="182">
        <v>1399.4117647058806</v>
      </c>
      <c r="AB11" s="182">
        <v>87.463235294117538</v>
      </c>
      <c r="AC11" s="521">
        <f t="shared" si="3"/>
        <v>4</v>
      </c>
      <c r="AD11" s="605"/>
      <c r="AE11" s="521">
        <v>16</v>
      </c>
      <c r="AF11" s="182">
        <v>1404.7058823529394</v>
      </c>
      <c r="AG11" s="182">
        <v>87.794117647058712</v>
      </c>
      <c r="AH11" s="521">
        <f t="shared" si="4"/>
        <v>4</v>
      </c>
      <c r="AI11" s="605"/>
      <c r="AJ11" s="521">
        <v>16</v>
      </c>
      <c r="AK11" s="182">
        <v>1386.315789473683</v>
      </c>
      <c r="AL11" s="182">
        <v>86.644736842105189</v>
      </c>
      <c r="AM11" s="521">
        <f t="shared" si="5"/>
        <v>5</v>
      </c>
      <c r="AN11" s="605"/>
      <c r="AO11" s="521">
        <v>16</v>
      </c>
      <c r="AP11" s="182">
        <v>1406.4705882352923</v>
      </c>
      <c r="AQ11" s="182">
        <v>87.90441176470577</v>
      </c>
      <c r="AR11" s="521">
        <f t="shared" si="6"/>
        <v>4</v>
      </c>
      <c r="AS11" s="605"/>
      <c r="AT11" s="521">
        <v>16</v>
      </c>
      <c r="AU11" s="182">
        <v>1373.3333333333333</v>
      </c>
      <c r="AV11" s="182">
        <v>85.833333333333329</v>
      </c>
      <c r="AW11" s="521">
        <f t="shared" si="7"/>
        <v>5</v>
      </c>
      <c r="AX11" s="605"/>
      <c r="AZ11" s="521" t="e">
        <f t="shared" si="8"/>
        <v>#N/A</v>
      </c>
      <c r="BA11" s="605"/>
    </row>
    <row r="12" spans="1:53" ht="14.25">
      <c r="A12" s="81"/>
      <c r="B12" s="610"/>
      <c r="C12" s="465">
        <v>6</v>
      </c>
      <c r="D12" s="226" t="s">
        <v>369</v>
      </c>
      <c r="E12" s="182">
        <v>16</v>
      </c>
      <c r="F12" s="502">
        <v>1565</v>
      </c>
      <c r="G12" s="503">
        <v>97.8</v>
      </c>
      <c r="H12" s="668"/>
      <c r="I12" s="513">
        <f t="shared" si="0"/>
        <v>16</v>
      </c>
      <c r="J12" s="513">
        <f t="shared" si="0"/>
        <v>1388.7521612837586</v>
      </c>
      <c r="K12" s="200">
        <f t="shared" si="0"/>
        <v>86.797010080234912</v>
      </c>
      <c r="L12" s="621"/>
      <c r="M12" s="471">
        <f>RANK(K12, K$7:$K$36)</f>
        <v>5</v>
      </c>
      <c r="N12" s="604"/>
      <c r="O12" s="604"/>
      <c r="P12" s="521">
        <v>16</v>
      </c>
      <c r="Q12" s="182">
        <v>1397.8378378378368</v>
      </c>
      <c r="R12" s="182">
        <v>87.364864864864799</v>
      </c>
      <c r="S12" s="521">
        <f t="shared" si="1"/>
        <v>6</v>
      </c>
      <c r="T12" s="605"/>
      <c r="U12" s="521">
        <v>16</v>
      </c>
      <c r="V12" s="182">
        <v>1376.3636363636379</v>
      </c>
      <c r="W12" s="182">
        <v>86.022727272727366</v>
      </c>
      <c r="X12" s="521">
        <f t="shared" si="2"/>
        <v>6</v>
      </c>
      <c r="Y12" s="605"/>
      <c r="Z12" s="521">
        <v>16</v>
      </c>
      <c r="AA12" s="182">
        <v>1388.5714285714273</v>
      </c>
      <c r="AB12" s="182">
        <v>86.785714285714207</v>
      </c>
      <c r="AC12" s="521">
        <f t="shared" si="3"/>
        <v>5</v>
      </c>
      <c r="AD12" s="605"/>
      <c r="AE12" s="521">
        <v>16</v>
      </c>
      <c r="AF12" s="182">
        <v>1395.4285714285702</v>
      </c>
      <c r="AG12" s="182">
        <v>87.214285714285637</v>
      </c>
      <c r="AH12" s="521">
        <f t="shared" si="4"/>
        <v>5</v>
      </c>
      <c r="AI12" s="605"/>
      <c r="AJ12" s="521">
        <v>16</v>
      </c>
      <c r="AK12" s="182">
        <v>1397.6470588235277</v>
      </c>
      <c r="AL12" s="182">
        <v>87.35294117647048</v>
      </c>
      <c r="AM12" s="521">
        <f t="shared" si="5"/>
        <v>4</v>
      </c>
      <c r="AN12" s="605"/>
      <c r="AO12" s="521">
        <v>16</v>
      </c>
      <c r="AP12" s="182">
        <v>1377.4647887323929</v>
      </c>
      <c r="AQ12" s="182">
        <v>86.091549295774556</v>
      </c>
      <c r="AR12" s="521">
        <f t="shared" si="6"/>
        <v>5</v>
      </c>
      <c r="AS12" s="605"/>
      <c r="AT12" s="521">
        <v>16</v>
      </c>
      <c r="AU12" s="182">
        <v>1387.9518072289152</v>
      </c>
      <c r="AV12" s="182">
        <v>86.746987951807199</v>
      </c>
      <c r="AW12" s="521">
        <f t="shared" si="7"/>
        <v>4</v>
      </c>
      <c r="AX12" s="605"/>
      <c r="AZ12" s="521" t="e">
        <f t="shared" si="8"/>
        <v>#N/A</v>
      </c>
      <c r="BA12" s="605"/>
    </row>
    <row r="13" spans="1:53" ht="14.25">
      <c r="A13" s="81"/>
      <c r="B13" s="610"/>
      <c r="C13" s="465">
        <v>7</v>
      </c>
      <c r="D13" s="226" t="s">
        <v>345</v>
      </c>
      <c r="E13" s="182">
        <v>14</v>
      </c>
      <c r="F13" s="502">
        <v>1440</v>
      </c>
      <c r="G13" s="503">
        <v>102.9</v>
      </c>
      <c r="H13" s="668"/>
      <c r="I13" s="513">
        <f t="shared" si="0"/>
        <v>15</v>
      </c>
      <c r="J13" s="513">
        <f t="shared" si="0"/>
        <v>1205.1397783251211</v>
      </c>
      <c r="K13" s="200">
        <f t="shared" si="0"/>
        <v>80.342651888341393</v>
      </c>
      <c r="L13" s="621"/>
      <c r="M13" s="471">
        <f>RANK(K13, K$7:$K$36)</f>
        <v>10</v>
      </c>
      <c r="N13" s="604"/>
      <c r="O13" s="604"/>
      <c r="P13" s="521">
        <v>15</v>
      </c>
      <c r="Q13" s="182">
        <v>1185.5172413793082</v>
      </c>
      <c r="R13" s="182">
        <v>79.034482758620541</v>
      </c>
      <c r="S13" s="521">
        <f t="shared" si="1"/>
        <v>13</v>
      </c>
      <c r="T13" s="605"/>
      <c r="U13" s="521">
        <v>15</v>
      </c>
      <c r="V13" s="182">
        <v>1277.9999999999977</v>
      </c>
      <c r="W13" s="182">
        <v>85.199999999999847</v>
      </c>
      <c r="X13" s="521">
        <f t="shared" si="2"/>
        <v>7</v>
      </c>
      <c r="Y13" s="605"/>
      <c r="Z13" s="521">
        <v>15</v>
      </c>
      <c r="AA13" s="182">
        <v>1096.8749999999984</v>
      </c>
      <c r="AB13" s="182">
        <v>73.124999999999901</v>
      </c>
      <c r="AC13" s="521">
        <f t="shared" si="3"/>
        <v>15</v>
      </c>
      <c r="AD13" s="605"/>
      <c r="AE13" s="521">
        <v>15</v>
      </c>
      <c r="AF13" s="182">
        <v>1267.9999999999977</v>
      </c>
      <c r="AG13" s="182">
        <v>84.533333333333175</v>
      </c>
      <c r="AH13" s="521">
        <f t="shared" si="4"/>
        <v>7</v>
      </c>
      <c r="AI13" s="605"/>
      <c r="AJ13" s="521">
        <v>15</v>
      </c>
      <c r="AK13" s="182">
        <v>1255.9999999999977</v>
      </c>
      <c r="AL13" s="182">
        <v>83.733333333333178</v>
      </c>
      <c r="AM13" s="521">
        <f t="shared" si="5"/>
        <v>9</v>
      </c>
      <c r="AN13" s="605"/>
      <c r="AO13" s="521">
        <v>15</v>
      </c>
      <c r="AP13" s="182">
        <v>1103.999999999998</v>
      </c>
      <c r="AQ13" s="182">
        <v>73.599999999999866</v>
      </c>
      <c r="AR13" s="521">
        <f t="shared" si="6"/>
        <v>18</v>
      </c>
      <c r="AS13" s="605"/>
      <c r="AT13" s="521">
        <v>15</v>
      </c>
      <c r="AU13" s="182">
        <v>1247.5862068965494</v>
      </c>
      <c r="AV13" s="182">
        <v>83.172413793103289</v>
      </c>
      <c r="AW13" s="521">
        <f t="shared" si="7"/>
        <v>9</v>
      </c>
      <c r="AX13" s="605"/>
      <c r="AZ13" s="521" t="e">
        <f t="shared" si="8"/>
        <v>#N/A</v>
      </c>
      <c r="BA13" s="605"/>
    </row>
    <row r="14" spans="1:53" ht="14.25">
      <c r="A14" s="81"/>
      <c r="B14" s="610"/>
      <c r="C14" s="465">
        <v>8</v>
      </c>
      <c r="D14" s="226" t="s">
        <v>783</v>
      </c>
      <c r="E14" s="182">
        <v>16</v>
      </c>
      <c r="F14" s="502">
        <v>1440</v>
      </c>
      <c r="G14" s="503">
        <v>90</v>
      </c>
      <c r="H14" s="668"/>
      <c r="I14" s="513">
        <f t="shared" si="0"/>
        <v>16</v>
      </c>
      <c r="J14" s="513">
        <f t="shared" si="0"/>
        <v>1280.2711392448225</v>
      </c>
      <c r="K14" s="200">
        <f t="shared" si="0"/>
        <v>80.016946202801407</v>
      </c>
      <c r="L14" s="621"/>
      <c r="M14" s="471">
        <f>RANK(K14, K$7:$K$36)</f>
        <v>11</v>
      </c>
      <c r="N14" s="604"/>
      <c r="O14" s="604"/>
      <c r="P14" s="521">
        <v>16</v>
      </c>
      <c r="Q14" s="182">
        <v>1341.0810810810799</v>
      </c>
      <c r="R14" s="182">
        <v>83.817567567567494</v>
      </c>
      <c r="S14" s="521">
        <f t="shared" si="1"/>
        <v>9</v>
      </c>
      <c r="T14" s="605"/>
      <c r="U14" s="521">
        <v>16</v>
      </c>
      <c r="V14" s="182">
        <v>1275.7894736842095</v>
      </c>
      <c r="W14" s="182">
        <v>79.736842105263094</v>
      </c>
      <c r="X14" s="521">
        <f t="shared" si="2"/>
        <v>11</v>
      </c>
      <c r="Y14" s="605"/>
      <c r="Z14" s="521">
        <v>16</v>
      </c>
      <c r="AA14" s="182">
        <v>1265.4545454545439</v>
      </c>
      <c r="AB14" s="182">
        <v>79.090909090908994</v>
      </c>
      <c r="AC14" s="521">
        <f t="shared" si="3"/>
        <v>11</v>
      </c>
      <c r="AD14" s="605"/>
      <c r="AE14" s="521">
        <v>16</v>
      </c>
      <c r="AF14" s="182">
        <v>1269.2307692307686</v>
      </c>
      <c r="AG14" s="182">
        <v>79.326923076923038</v>
      </c>
      <c r="AH14" s="521">
        <f t="shared" si="4"/>
        <v>12</v>
      </c>
      <c r="AI14" s="605"/>
      <c r="AJ14" s="521">
        <v>16</v>
      </c>
      <c r="AK14" s="182">
        <v>1286.842105263157</v>
      </c>
      <c r="AL14" s="182">
        <v>80.427631578947313</v>
      </c>
      <c r="AM14" s="521">
        <f t="shared" si="5"/>
        <v>12</v>
      </c>
      <c r="AN14" s="605"/>
      <c r="AO14" s="521">
        <v>16</v>
      </c>
      <c r="AP14" s="182">
        <v>1267.4999999999995</v>
      </c>
      <c r="AQ14" s="182">
        <v>79.218749999999972</v>
      </c>
      <c r="AR14" s="521">
        <f t="shared" si="6"/>
        <v>10</v>
      </c>
      <c r="AS14" s="605"/>
      <c r="AT14" s="521">
        <v>16</v>
      </c>
      <c r="AU14" s="182">
        <v>1256</v>
      </c>
      <c r="AV14" s="182">
        <v>78.5</v>
      </c>
      <c r="AW14" s="521">
        <f t="shared" si="7"/>
        <v>11</v>
      </c>
      <c r="AX14" s="605"/>
      <c r="AZ14" s="521" t="e">
        <f t="shared" si="8"/>
        <v>#N/A</v>
      </c>
      <c r="BA14" s="605"/>
    </row>
    <row r="15" spans="1:53" ht="14.25">
      <c r="A15" s="81"/>
      <c r="B15" s="610"/>
      <c r="C15" s="465">
        <v>9</v>
      </c>
      <c r="D15" s="226" t="s">
        <v>784</v>
      </c>
      <c r="E15" s="182">
        <v>16</v>
      </c>
      <c r="F15" s="502">
        <v>1440</v>
      </c>
      <c r="G15" s="503">
        <v>90</v>
      </c>
      <c r="H15" s="668"/>
      <c r="I15" s="513">
        <f t="shared" si="0"/>
        <v>16.714285714285715</v>
      </c>
      <c r="J15" s="513">
        <f t="shared" si="0"/>
        <v>1161.3749521681534</v>
      </c>
      <c r="K15" s="200">
        <f t="shared" si="0"/>
        <v>69.534310911852145</v>
      </c>
      <c r="L15" s="621"/>
      <c r="M15" s="471">
        <f>RANK(K15, K$7:$K$36)</f>
        <v>21</v>
      </c>
      <c r="N15" s="604"/>
      <c r="O15" s="604"/>
      <c r="P15" s="521">
        <v>17</v>
      </c>
      <c r="Q15" s="182">
        <v>1134.5454545454545</v>
      </c>
      <c r="R15" s="182">
        <v>66.737967914438499</v>
      </c>
      <c r="S15" s="521">
        <f t="shared" si="1"/>
        <v>23</v>
      </c>
      <c r="T15" s="605"/>
      <c r="U15" s="521">
        <v>17</v>
      </c>
      <c r="V15" s="182">
        <v>1177.8947368421045</v>
      </c>
      <c r="W15" s="182">
        <v>69.287925696594385</v>
      </c>
      <c r="X15" s="521">
        <f t="shared" si="2"/>
        <v>20</v>
      </c>
      <c r="Y15" s="605"/>
      <c r="Z15" s="521">
        <v>17</v>
      </c>
      <c r="AA15" s="182">
        <v>1219.4117647058808</v>
      </c>
      <c r="AB15" s="182">
        <v>71.730103806228286</v>
      </c>
      <c r="AC15" s="521">
        <f t="shared" si="3"/>
        <v>16</v>
      </c>
      <c r="AD15" s="605"/>
      <c r="AE15" s="521">
        <v>16</v>
      </c>
      <c r="AF15" s="182">
        <v>1205.9999999999995</v>
      </c>
      <c r="AG15" s="182">
        <v>75.374999999999972</v>
      </c>
      <c r="AH15" s="521">
        <f t="shared" si="4"/>
        <v>15</v>
      </c>
      <c r="AI15" s="605"/>
      <c r="AJ15" s="521">
        <v>16</v>
      </c>
      <c r="AK15" s="182">
        <v>1113.3333333333323</v>
      </c>
      <c r="AL15" s="182">
        <v>69.583333333333272</v>
      </c>
      <c r="AM15" s="521">
        <f t="shared" si="5"/>
        <v>21</v>
      </c>
      <c r="AN15" s="605"/>
      <c r="AO15" s="521">
        <v>17</v>
      </c>
      <c r="AP15" s="182">
        <v>1130.2040816326535</v>
      </c>
      <c r="AQ15" s="182">
        <v>66.482593037214912</v>
      </c>
      <c r="AR15" s="521">
        <f t="shared" si="6"/>
        <v>22</v>
      </c>
      <c r="AS15" s="605"/>
      <c r="AT15" s="521">
        <v>17</v>
      </c>
      <c r="AU15" s="182">
        <v>1148.2352941176475</v>
      </c>
      <c r="AV15" s="182">
        <v>67.543252595155735</v>
      </c>
      <c r="AW15" s="521">
        <f t="shared" si="7"/>
        <v>22</v>
      </c>
      <c r="AX15" s="605"/>
      <c r="AZ15" s="521" t="e">
        <f t="shared" si="8"/>
        <v>#N/A</v>
      </c>
      <c r="BA15" s="605"/>
    </row>
    <row r="16" spans="1:53" ht="14.25">
      <c r="A16" s="81"/>
      <c r="B16" s="610"/>
      <c r="C16" s="465">
        <v>10</v>
      </c>
      <c r="D16" s="226" t="s">
        <v>785</v>
      </c>
      <c r="E16" s="182">
        <v>18</v>
      </c>
      <c r="F16" s="502">
        <v>1636</v>
      </c>
      <c r="G16" s="503">
        <v>90.9</v>
      </c>
      <c r="H16" s="668"/>
      <c r="I16" s="513">
        <f t="shared" si="0"/>
        <v>18</v>
      </c>
      <c r="J16" s="513">
        <f t="shared" si="0"/>
        <v>1537.1983812440496</v>
      </c>
      <c r="K16" s="200">
        <f t="shared" si="0"/>
        <v>85.399910069113844</v>
      </c>
      <c r="L16" s="621"/>
      <c r="M16" s="471">
        <f>RANK(K16, K$7:$K$36)</f>
        <v>6</v>
      </c>
      <c r="N16" s="604"/>
      <c r="O16" s="604"/>
      <c r="P16" s="521">
        <v>18</v>
      </c>
      <c r="Q16" s="182">
        <v>1565.7692307692316</v>
      </c>
      <c r="R16" s="182">
        <v>86.987179487179532</v>
      </c>
      <c r="S16" s="521">
        <f t="shared" si="1"/>
        <v>7</v>
      </c>
      <c r="T16" s="605"/>
      <c r="U16" s="521">
        <v>18</v>
      </c>
      <c r="V16" s="182">
        <v>1514.6938775510209</v>
      </c>
      <c r="W16" s="182">
        <v>84.149659863945601</v>
      </c>
      <c r="X16" s="521">
        <f t="shared" si="2"/>
        <v>9</v>
      </c>
      <c r="Y16" s="605"/>
      <c r="Z16" s="521">
        <v>18</v>
      </c>
      <c r="AA16" s="182">
        <v>1552.8571428571424</v>
      </c>
      <c r="AB16" s="182">
        <v>86.269841269841251</v>
      </c>
      <c r="AC16" s="521">
        <f t="shared" si="3"/>
        <v>6</v>
      </c>
      <c r="AD16" s="605"/>
      <c r="AE16" s="521">
        <v>18</v>
      </c>
      <c r="AF16" s="182">
        <v>1537.5000000000005</v>
      </c>
      <c r="AG16" s="182">
        <v>85.416666666666686</v>
      </c>
      <c r="AH16" s="521">
        <f t="shared" si="4"/>
        <v>6</v>
      </c>
      <c r="AI16" s="605"/>
      <c r="AJ16" s="521">
        <v>18</v>
      </c>
      <c r="AK16" s="182">
        <v>1536.7346938775513</v>
      </c>
      <c r="AL16" s="182">
        <v>85.37414965986396</v>
      </c>
      <c r="AM16" s="521">
        <f t="shared" si="5"/>
        <v>8</v>
      </c>
      <c r="AN16" s="605"/>
      <c r="AO16" s="521">
        <v>18</v>
      </c>
      <c r="AP16" s="182">
        <v>1508.5714285714298</v>
      </c>
      <c r="AQ16" s="182">
        <v>83.809523809523881</v>
      </c>
      <c r="AR16" s="521">
        <f t="shared" si="6"/>
        <v>9</v>
      </c>
      <c r="AS16" s="605"/>
      <c r="AT16" s="521">
        <v>18</v>
      </c>
      <c r="AU16" s="182">
        <v>1544.2622950819687</v>
      </c>
      <c r="AV16" s="182">
        <v>85.792349726776038</v>
      </c>
      <c r="AW16" s="521">
        <f t="shared" si="7"/>
        <v>6</v>
      </c>
      <c r="AX16" s="605"/>
      <c r="AZ16" s="521" t="e">
        <f t="shared" si="8"/>
        <v>#N/A</v>
      </c>
      <c r="BA16" s="605"/>
    </row>
    <row r="17" spans="2:53">
      <c r="B17" s="610"/>
      <c r="C17" s="465">
        <v>11</v>
      </c>
      <c r="D17" s="226" t="s">
        <v>786</v>
      </c>
      <c r="E17" s="182">
        <v>18</v>
      </c>
      <c r="F17" s="502">
        <v>1636</v>
      </c>
      <c r="G17" s="503">
        <v>90.9</v>
      </c>
      <c r="H17" s="668"/>
      <c r="I17" s="513">
        <f t="shared" si="0"/>
        <v>18</v>
      </c>
      <c r="J17" s="513">
        <f t="shared" si="0"/>
        <v>1525.0125348819868</v>
      </c>
      <c r="K17" s="200">
        <f t="shared" si="0"/>
        <v>84.722918604554806</v>
      </c>
      <c r="L17" s="621"/>
      <c r="M17" s="471">
        <f>RANK(K17, K$7:$K$36)</f>
        <v>8</v>
      </c>
      <c r="N17" s="604"/>
      <c r="O17" s="604"/>
      <c r="P17" s="521">
        <v>18</v>
      </c>
      <c r="Q17" s="182">
        <v>1545.365853658536</v>
      </c>
      <c r="R17" s="182">
        <v>85.853658536585328</v>
      </c>
      <c r="S17" s="521">
        <f t="shared" si="1"/>
        <v>8</v>
      </c>
      <c r="T17" s="605"/>
      <c r="U17" s="521">
        <v>18</v>
      </c>
      <c r="V17" s="182">
        <v>1525.7142857142842</v>
      </c>
      <c r="W17" s="182">
        <v>84.761904761904674</v>
      </c>
      <c r="X17" s="521">
        <f t="shared" si="2"/>
        <v>8</v>
      </c>
      <c r="Y17" s="605"/>
      <c r="Z17" s="521">
        <v>18</v>
      </c>
      <c r="AA17" s="182">
        <v>1535.624999999998</v>
      </c>
      <c r="AB17" s="182">
        <v>85.312499999999886</v>
      </c>
      <c r="AC17" s="521">
        <f t="shared" si="3"/>
        <v>7</v>
      </c>
      <c r="AD17" s="605"/>
      <c r="AE17" s="521">
        <v>18</v>
      </c>
      <c r="AF17" s="182">
        <v>1492.1052631578937</v>
      </c>
      <c r="AG17" s="182">
        <v>82.894736842105203</v>
      </c>
      <c r="AH17" s="521">
        <f t="shared" si="4"/>
        <v>9</v>
      </c>
      <c r="AI17" s="605"/>
      <c r="AJ17" s="521">
        <v>18</v>
      </c>
      <c r="AK17" s="182">
        <v>1537.2972972972962</v>
      </c>
      <c r="AL17" s="182">
        <v>85.405405405405347</v>
      </c>
      <c r="AM17" s="521">
        <f t="shared" si="5"/>
        <v>7</v>
      </c>
      <c r="AN17" s="605"/>
      <c r="AO17" s="521">
        <v>18</v>
      </c>
      <c r="AP17" s="182">
        <v>1511.7073170731701</v>
      </c>
      <c r="AQ17" s="182">
        <v>83.983739837398332</v>
      </c>
      <c r="AR17" s="521">
        <f t="shared" si="6"/>
        <v>7</v>
      </c>
      <c r="AS17" s="605"/>
      <c r="AT17" s="521">
        <v>18</v>
      </c>
      <c r="AU17" s="182">
        <v>1527.2727272727273</v>
      </c>
      <c r="AV17" s="182">
        <v>84.848484848484844</v>
      </c>
      <c r="AW17" s="521">
        <f t="shared" si="7"/>
        <v>7</v>
      </c>
      <c r="AX17" s="605"/>
      <c r="AZ17" s="521" t="e">
        <f t="shared" si="8"/>
        <v>#N/A</v>
      </c>
      <c r="BA17" s="605"/>
    </row>
    <row r="18" spans="2:53">
      <c r="B18" s="610"/>
      <c r="C18" s="465">
        <v>12</v>
      </c>
      <c r="D18" s="226" t="s">
        <v>355</v>
      </c>
      <c r="E18" s="182">
        <v>17</v>
      </c>
      <c r="F18" s="502">
        <v>1500</v>
      </c>
      <c r="G18" s="503">
        <v>88.2</v>
      </c>
      <c r="H18" s="668"/>
      <c r="I18" s="513">
        <f t="shared" si="0"/>
        <v>17</v>
      </c>
      <c r="J18" s="513">
        <f t="shared" si="0"/>
        <v>1399.7579421526782</v>
      </c>
      <c r="K18" s="200">
        <f t="shared" si="0"/>
        <v>82.338702479569307</v>
      </c>
      <c r="L18" s="621"/>
      <c r="M18" s="471">
        <f>RANK(K18, K$7:$K$36)</f>
        <v>9</v>
      </c>
      <c r="N18" s="604"/>
      <c r="O18" s="604"/>
      <c r="P18" s="521">
        <v>17</v>
      </c>
      <c r="Q18" s="182">
        <v>1400.5263157894726</v>
      </c>
      <c r="R18" s="182">
        <v>82.383900928792514</v>
      </c>
      <c r="S18" s="521">
        <f t="shared" si="1"/>
        <v>10</v>
      </c>
      <c r="T18" s="605"/>
      <c r="U18" s="521">
        <v>17</v>
      </c>
      <c r="V18" s="182">
        <v>1403.3333333333323</v>
      </c>
      <c r="W18" s="182">
        <v>82.549019607843078</v>
      </c>
      <c r="X18" s="521">
        <f t="shared" si="2"/>
        <v>10</v>
      </c>
      <c r="Y18" s="605"/>
      <c r="Z18" s="521">
        <v>17</v>
      </c>
      <c r="AA18" s="182">
        <v>1374.9999999999991</v>
      </c>
      <c r="AB18" s="182">
        <v>80.882352941176421</v>
      </c>
      <c r="AC18" s="521">
        <f t="shared" si="3"/>
        <v>9</v>
      </c>
      <c r="AD18" s="605"/>
      <c r="AE18" s="521">
        <v>17</v>
      </c>
      <c r="AF18" s="182">
        <v>1378.4999999999995</v>
      </c>
      <c r="AG18" s="182">
        <v>81.088235294117624</v>
      </c>
      <c r="AH18" s="521">
        <f t="shared" si="4"/>
        <v>10</v>
      </c>
      <c r="AI18" s="605"/>
      <c r="AJ18" s="521">
        <v>17</v>
      </c>
      <c r="AK18" s="182">
        <v>1405.9459459459449</v>
      </c>
      <c r="AL18" s="182">
        <v>82.702702702702638</v>
      </c>
      <c r="AM18" s="521">
        <f t="shared" si="5"/>
        <v>10</v>
      </c>
      <c r="AN18" s="605"/>
      <c r="AO18" s="521">
        <v>17</v>
      </c>
      <c r="AP18" s="182">
        <v>1424.9999999999989</v>
      </c>
      <c r="AQ18" s="182">
        <v>83.823529411764639</v>
      </c>
      <c r="AR18" s="521">
        <f t="shared" si="6"/>
        <v>8</v>
      </c>
      <c r="AS18" s="605"/>
      <c r="AT18" s="521">
        <v>17</v>
      </c>
      <c r="AU18" s="182">
        <v>1409.9999999999995</v>
      </c>
      <c r="AV18" s="182">
        <v>82.941176470588204</v>
      </c>
      <c r="AW18" s="521">
        <f t="shared" si="7"/>
        <v>10</v>
      </c>
      <c r="AX18" s="605"/>
      <c r="AZ18" s="521" t="e">
        <f t="shared" si="8"/>
        <v>#N/A</v>
      </c>
      <c r="BA18" s="605"/>
    </row>
    <row r="19" spans="2:53">
      <c r="B19" s="610"/>
      <c r="C19" s="465">
        <v>13</v>
      </c>
      <c r="D19" s="226" t="s">
        <v>665</v>
      </c>
      <c r="E19" s="182">
        <v>20</v>
      </c>
      <c r="F19" s="502">
        <v>1440</v>
      </c>
      <c r="G19" s="503">
        <v>72</v>
      </c>
      <c r="H19" s="668"/>
      <c r="I19" s="513">
        <f t="shared" si="0"/>
        <v>20</v>
      </c>
      <c r="J19" s="513">
        <f t="shared" si="0"/>
        <v>1337.8806129642587</v>
      </c>
      <c r="K19" s="200">
        <f t="shared" si="0"/>
        <v>66.894030648212933</v>
      </c>
      <c r="L19" s="621"/>
      <c r="M19" s="471">
        <f>RANK(K19, K$7:$K$36)</f>
        <v>23</v>
      </c>
      <c r="N19" s="604"/>
      <c r="O19" s="604"/>
      <c r="P19" s="521">
        <v>20</v>
      </c>
      <c r="Q19" s="182">
        <v>1371.3043478260856</v>
      </c>
      <c r="R19" s="182">
        <v>68.565217391304287</v>
      </c>
      <c r="S19" s="521">
        <f t="shared" si="1"/>
        <v>21</v>
      </c>
      <c r="T19" s="605"/>
      <c r="U19" s="521">
        <v>20</v>
      </c>
      <c r="V19" s="182">
        <v>1326.176470588237</v>
      </c>
      <c r="W19" s="182">
        <v>66.308823529411853</v>
      </c>
      <c r="X19" s="521">
        <f t="shared" si="2"/>
        <v>23</v>
      </c>
      <c r="Y19" s="605"/>
      <c r="Z19" s="521">
        <v>20</v>
      </c>
      <c r="AA19" s="182">
        <v>1342.2580645161304</v>
      </c>
      <c r="AB19" s="182">
        <v>67.112903225806519</v>
      </c>
      <c r="AC19" s="521">
        <f t="shared" si="3"/>
        <v>22</v>
      </c>
      <c r="AD19" s="605"/>
      <c r="AE19" s="521">
        <v>20</v>
      </c>
      <c r="AF19" s="182">
        <v>1356.4864864864855</v>
      </c>
      <c r="AG19" s="182">
        <v>67.82432432432428</v>
      </c>
      <c r="AH19" s="521">
        <f t="shared" si="4"/>
        <v>22</v>
      </c>
      <c r="AI19" s="605"/>
      <c r="AJ19" s="521">
        <v>20</v>
      </c>
      <c r="AK19" s="182">
        <v>1319.1999999999989</v>
      </c>
      <c r="AL19" s="182">
        <v>65.959999999999951</v>
      </c>
      <c r="AM19" s="521">
        <f t="shared" si="5"/>
        <v>23</v>
      </c>
      <c r="AN19" s="605"/>
      <c r="AO19" s="521">
        <v>20</v>
      </c>
      <c r="AP19" s="182">
        <v>1321.6901408450692</v>
      </c>
      <c r="AQ19" s="182">
        <v>66.084507042253463</v>
      </c>
      <c r="AR19" s="521">
        <f t="shared" si="6"/>
        <v>23</v>
      </c>
      <c r="AS19" s="605"/>
      <c r="AT19" s="521">
        <v>20</v>
      </c>
      <c r="AU19" s="182">
        <v>1328.0487804878044</v>
      </c>
      <c r="AV19" s="182">
        <v>66.402439024390219</v>
      </c>
      <c r="AW19" s="521">
        <f t="shared" si="7"/>
        <v>23</v>
      </c>
      <c r="AX19" s="605"/>
      <c r="AZ19" s="521" t="e">
        <f t="shared" si="8"/>
        <v>#N/A</v>
      </c>
      <c r="BA19" s="605"/>
    </row>
    <row r="20" spans="2:53">
      <c r="B20" s="610"/>
      <c r="C20" s="465">
        <v>14</v>
      </c>
      <c r="D20" s="226" t="s">
        <v>370</v>
      </c>
      <c r="E20" s="182">
        <v>14</v>
      </c>
      <c r="F20" s="502">
        <v>1440</v>
      </c>
      <c r="G20" s="503">
        <v>102.9</v>
      </c>
      <c r="H20" s="668"/>
      <c r="I20" s="513">
        <f t="shared" si="0"/>
        <v>15</v>
      </c>
      <c r="J20" s="513">
        <f t="shared" si="0"/>
        <v>1345.3890336624081</v>
      </c>
      <c r="K20" s="200">
        <f t="shared" si="0"/>
        <v>89.69260224416054</v>
      </c>
      <c r="L20" s="621"/>
      <c r="M20" s="471">
        <f>RANK(K20, K$7:$K$36)</f>
        <v>3</v>
      </c>
      <c r="N20" s="604"/>
      <c r="O20" s="604"/>
      <c r="P20" s="521">
        <v>15</v>
      </c>
      <c r="Q20" s="182">
        <v>1365.5555555555561</v>
      </c>
      <c r="R20" s="182">
        <v>91.037037037037081</v>
      </c>
      <c r="S20" s="521">
        <f t="shared" si="1"/>
        <v>3</v>
      </c>
      <c r="T20" s="605"/>
      <c r="U20" s="521">
        <v>15</v>
      </c>
      <c r="V20" s="182">
        <v>1356.6101694915267</v>
      </c>
      <c r="W20" s="182">
        <v>90.440677966101774</v>
      </c>
      <c r="X20" s="521">
        <f t="shared" si="2"/>
        <v>3</v>
      </c>
      <c r="Y20" s="605"/>
      <c r="Z20" s="521">
        <v>15</v>
      </c>
      <c r="AA20" s="182">
        <v>1345.2631578947378</v>
      </c>
      <c r="AB20" s="182">
        <v>89.684210526315852</v>
      </c>
      <c r="AC20" s="521">
        <f t="shared" si="3"/>
        <v>3</v>
      </c>
      <c r="AD20" s="605"/>
      <c r="AE20" s="521">
        <v>15</v>
      </c>
      <c r="AF20" s="182">
        <v>1334.7368421052643</v>
      </c>
      <c r="AG20" s="182">
        <v>88.982456140350948</v>
      </c>
      <c r="AH20" s="521">
        <f t="shared" si="4"/>
        <v>3</v>
      </c>
      <c r="AI20" s="605"/>
      <c r="AJ20" s="521">
        <v>15</v>
      </c>
      <c r="AK20" s="182">
        <v>1327.6363636363646</v>
      </c>
      <c r="AL20" s="182">
        <v>88.509090909090972</v>
      </c>
      <c r="AM20" s="521">
        <f t="shared" si="5"/>
        <v>3</v>
      </c>
      <c r="AN20" s="605"/>
      <c r="AO20" s="521">
        <v>15</v>
      </c>
      <c r="AP20" s="182">
        <v>1338.8888888888896</v>
      </c>
      <c r="AQ20" s="182">
        <v>89.259259259259309</v>
      </c>
      <c r="AR20" s="521">
        <f t="shared" si="6"/>
        <v>3</v>
      </c>
      <c r="AS20" s="605"/>
      <c r="AT20" s="521">
        <v>15</v>
      </c>
      <c r="AU20" s="182">
        <v>1349.0322580645175</v>
      </c>
      <c r="AV20" s="182">
        <v>89.935483870967829</v>
      </c>
      <c r="AW20" s="521">
        <f t="shared" si="7"/>
        <v>3</v>
      </c>
      <c r="AX20" s="605"/>
      <c r="AZ20" s="521" t="e">
        <f t="shared" si="8"/>
        <v>#N/A</v>
      </c>
      <c r="BA20" s="605"/>
    </row>
    <row r="21" spans="2:53">
      <c r="B21" s="610"/>
      <c r="C21" s="465">
        <v>15</v>
      </c>
      <c r="D21" s="226" t="s">
        <v>347</v>
      </c>
      <c r="E21" s="182">
        <v>19</v>
      </c>
      <c r="F21" s="502">
        <v>1440</v>
      </c>
      <c r="G21" s="503">
        <v>75.8</v>
      </c>
      <c r="H21" s="668"/>
      <c r="I21" s="513">
        <f t="shared" si="0"/>
        <v>19</v>
      </c>
      <c r="J21" s="513">
        <f t="shared" si="0"/>
        <v>1339.9129371983793</v>
      </c>
      <c r="K21" s="200">
        <f t="shared" si="0"/>
        <v>70.521733536756798</v>
      </c>
      <c r="L21" s="621"/>
      <c r="M21" s="471">
        <f>RANK(K21, K$7:$K$36)</f>
        <v>19</v>
      </c>
      <c r="N21" s="604"/>
      <c r="O21" s="604"/>
      <c r="P21" s="521">
        <v>19</v>
      </c>
      <c r="Q21" s="182">
        <v>1350.3703703703698</v>
      </c>
      <c r="R21" s="182">
        <v>71.072124756335256</v>
      </c>
      <c r="S21" s="521">
        <f t="shared" si="1"/>
        <v>17</v>
      </c>
      <c r="T21" s="605"/>
      <c r="U21" s="521">
        <v>19</v>
      </c>
      <c r="V21" s="182">
        <v>1334.0740740740735</v>
      </c>
      <c r="W21" s="182">
        <v>70.21442495126702</v>
      </c>
      <c r="X21" s="521">
        <f t="shared" si="2"/>
        <v>18</v>
      </c>
      <c r="Y21" s="605"/>
      <c r="Z21" s="521">
        <v>19</v>
      </c>
      <c r="AA21" s="182">
        <v>1329.599999999999</v>
      </c>
      <c r="AB21" s="182">
        <v>69.978947368421004</v>
      </c>
      <c r="AC21" s="521">
        <f t="shared" si="3"/>
        <v>19</v>
      </c>
      <c r="AD21" s="605"/>
      <c r="AE21" s="521">
        <v>19</v>
      </c>
      <c r="AF21" s="182">
        <v>1330.2439024390239</v>
      </c>
      <c r="AG21" s="182">
        <v>70.01283697047495</v>
      </c>
      <c r="AH21" s="521">
        <f t="shared" si="4"/>
        <v>21</v>
      </c>
      <c r="AI21" s="605"/>
      <c r="AJ21" s="521">
        <v>19</v>
      </c>
      <c r="AK21" s="182">
        <v>1358.3720930232557</v>
      </c>
      <c r="AL21" s="182">
        <v>71.493268053855559</v>
      </c>
      <c r="AM21" s="521">
        <f t="shared" si="5"/>
        <v>19</v>
      </c>
      <c r="AN21" s="605"/>
      <c r="AO21" s="521">
        <v>19</v>
      </c>
      <c r="AP21" s="182">
        <v>1352.530120481927</v>
      </c>
      <c r="AQ21" s="182">
        <v>71.185795814838272</v>
      </c>
      <c r="AR21" s="521">
        <f t="shared" si="6"/>
        <v>20</v>
      </c>
      <c r="AS21" s="605"/>
      <c r="AT21" s="521">
        <v>19</v>
      </c>
      <c r="AU21" s="182">
        <v>1324.2000000000048</v>
      </c>
      <c r="AV21" s="182">
        <v>69.694736842105513</v>
      </c>
      <c r="AW21" s="521">
        <f t="shared" si="7"/>
        <v>21</v>
      </c>
      <c r="AX21" s="605"/>
      <c r="AZ21" s="521" t="e">
        <f t="shared" si="8"/>
        <v>#N/A</v>
      </c>
      <c r="BA21" s="605"/>
    </row>
    <row r="22" spans="2:53">
      <c r="B22" s="610"/>
      <c r="C22" s="465">
        <v>16</v>
      </c>
      <c r="D22" s="226" t="s">
        <v>368</v>
      </c>
      <c r="E22" s="182">
        <v>19</v>
      </c>
      <c r="F22" s="502">
        <v>1440</v>
      </c>
      <c r="G22" s="503">
        <v>75.8</v>
      </c>
      <c r="H22" s="668"/>
      <c r="I22" s="513">
        <f t="shared" si="0"/>
        <v>19</v>
      </c>
      <c r="J22" s="513">
        <f t="shared" si="0"/>
        <v>1331.0422400835039</v>
      </c>
      <c r="K22" s="200">
        <f t="shared" si="0"/>
        <v>70.054854741237051</v>
      </c>
      <c r="L22" s="621"/>
      <c r="M22" s="471">
        <f>RANK(K22, K$7:$K$36)</f>
        <v>20</v>
      </c>
      <c r="N22" s="604"/>
      <c r="O22" s="604"/>
      <c r="P22" s="521">
        <v>19</v>
      </c>
      <c r="Q22" s="182">
        <v>1328.709677419356</v>
      </c>
      <c r="R22" s="182">
        <v>69.93208828522927</v>
      </c>
      <c r="S22" s="521">
        <f t="shared" si="1"/>
        <v>19</v>
      </c>
      <c r="T22" s="605"/>
      <c r="U22" s="521">
        <v>19</v>
      </c>
      <c r="V22" s="182">
        <v>1315.6363636363644</v>
      </c>
      <c r="W22" s="182">
        <v>69.244019138756016</v>
      </c>
      <c r="X22" s="521">
        <f t="shared" si="2"/>
        <v>21</v>
      </c>
      <c r="Y22" s="605"/>
      <c r="Z22" s="521">
        <v>19</v>
      </c>
      <c r="AA22" s="182">
        <v>1317.5510204081636</v>
      </c>
      <c r="AB22" s="182">
        <v>69.344790547798084</v>
      </c>
      <c r="AC22" s="521">
        <f t="shared" si="3"/>
        <v>21</v>
      </c>
      <c r="AD22" s="605"/>
      <c r="AE22" s="521">
        <v>19</v>
      </c>
      <c r="AF22" s="182">
        <v>1345.5555555555563</v>
      </c>
      <c r="AG22" s="182">
        <v>70.818713450292435</v>
      </c>
      <c r="AH22" s="521">
        <f t="shared" si="4"/>
        <v>20</v>
      </c>
      <c r="AI22" s="605"/>
      <c r="AJ22" s="521">
        <v>19</v>
      </c>
      <c r="AK22" s="182">
        <v>1339.6363636363644</v>
      </c>
      <c r="AL22" s="182">
        <v>70.507177033492866</v>
      </c>
      <c r="AM22" s="521">
        <f t="shared" si="5"/>
        <v>20</v>
      </c>
      <c r="AN22" s="605"/>
      <c r="AO22" s="521">
        <v>19</v>
      </c>
      <c r="AP22" s="182">
        <v>1318.0327868852471</v>
      </c>
      <c r="AQ22" s="182">
        <v>69.370146678170897</v>
      </c>
      <c r="AR22" s="521">
        <f t="shared" si="6"/>
        <v>21</v>
      </c>
      <c r="AS22" s="605"/>
      <c r="AT22" s="521">
        <v>19</v>
      </c>
      <c r="AU22" s="182">
        <v>1352.1739130434769</v>
      </c>
      <c r="AV22" s="182">
        <v>71.167048054919832</v>
      </c>
      <c r="AW22" s="521">
        <f t="shared" si="7"/>
        <v>19</v>
      </c>
      <c r="AX22" s="605"/>
      <c r="AZ22" s="521" t="e">
        <f t="shared" si="8"/>
        <v>#N/A</v>
      </c>
      <c r="BA22" s="605"/>
    </row>
    <row r="23" spans="2:53">
      <c r="B23" s="610"/>
      <c r="C23" s="465">
        <v>17</v>
      </c>
      <c r="D23" s="226" t="s">
        <v>787</v>
      </c>
      <c r="E23" s="182">
        <v>19</v>
      </c>
      <c r="F23" s="502">
        <v>1500</v>
      </c>
      <c r="G23" s="503">
        <v>78.900000000000006</v>
      </c>
      <c r="H23" s="668"/>
      <c r="I23" s="513">
        <f t="shared" si="0"/>
        <v>19</v>
      </c>
      <c r="J23" s="513">
        <f t="shared" si="0"/>
        <v>1398.6242771536879</v>
      </c>
      <c r="K23" s="200">
        <f t="shared" si="0"/>
        <v>73.611804060720402</v>
      </c>
      <c r="L23" s="621"/>
      <c r="M23" s="471">
        <f>RANK(K23, K$7:$K$36)</f>
        <v>16</v>
      </c>
      <c r="N23" s="604"/>
      <c r="O23" s="604"/>
      <c r="P23" s="521">
        <v>19</v>
      </c>
      <c r="Q23" s="182">
        <v>1404.3243243243232</v>
      </c>
      <c r="R23" s="182">
        <v>73.911806543385438</v>
      </c>
      <c r="S23" s="521">
        <f t="shared" si="1"/>
        <v>14</v>
      </c>
      <c r="T23" s="605"/>
      <c r="U23" s="521">
        <v>19</v>
      </c>
      <c r="V23" s="182">
        <v>1394.9999999999989</v>
      </c>
      <c r="W23" s="182">
        <v>73.421052631578888</v>
      </c>
      <c r="X23" s="521">
        <f t="shared" si="2"/>
        <v>16</v>
      </c>
      <c r="Y23" s="605"/>
      <c r="Z23" s="521">
        <v>19</v>
      </c>
      <c r="AA23" s="182">
        <v>1360.588235294116</v>
      </c>
      <c r="AB23" s="182">
        <v>71.609907120742946</v>
      </c>
      <c r="AC23" s="521">
        <f t="shared" si="3"/>
        <v>17</v>
      </c>
      <c r="AD23" s="605"/>
      <c r="AE23" s="521">
        <v>19</v>
      </c>
      <c r="AF23" s="182">
        <v>1392.972972972972</v>
      </c>
      <c r="AG23" s="182">
        <v>73.314366998577469</v>
      </c>
      <c r="AH23" s="521">
        <f t="shared" si="4"/>
        <v>18</v>
      </c>
      <c r="AI23" s="605"/>
      <c r="AJ23" s="521">
        <v>19</v>
      </c>
      <c r="AK23" s="182">
        <v>1409.9999999999989</v>
      </c>
      <c r="AL23" s="182">
        <v>74.210526315789409</v>
      </c>
      <c r="AM23" s="521">
        <f t="shared" si="5"/>
        <v>17</v>
      </c>
      <c r="AN23" s="605"/>
      <c r="AO23" s="521">
        <v>19</v>
      </c>
      <c r="AP23" s="182">
        <v>1405.9459459459449</v>
      </c>
      <c r="AQ23" s="182">
        <v>73.997155049786571</v>
      </c>
      <c r="AR23" s="521">
        <f t="shared" si="6"/>
        <v>16</v>
      </c>
      <c r="AS23" s="605"/>
      <c r="AT23" s="521">
        <v>19</v>
      </c>
      <c r="AU23" s="182">
        <v>1421.5384615384608</v>
      </c>
      <c r="AV23" s="182">
        <v>74.817813765182152</v>
      </c>
      <c r="AW23" s="521">
        <f t="shared" si="7"/>
        <v>18</v>
      </c>
      <c r="AX23" s="605"/>
      <c r="AZ23" s="521" t="e">
        <f t="shared" si="8"/>
        <v>#N/A</v>
      </c>
      <c r="BA23" s="605"/>
    </row>
    <row r="24" spans="2:53">
      <c r="B24" s="610"/>
      <c r="C24" s="465">
        <v>18</v>
      </c>
      <c r="D24" s="226" t="s">
        <v>807</v>
      </c>
      <c r="E24" s="182">
        <v>18</v>
      </c>
      <c r="F24" s="502">
        <v>1500</v>
      </c>
      <c r="G24" s="503">
        <v>83.3</v>
      </c>
      <c r="H24" s="668"/>
      <c r="I24" s="513">
        <f t="shared" si="0"/>
        <v>18</v>
      </c>
      <c r="J24" s="513">
        <f t="shared" si="0"/>
        <v>1306.4660974683491</v>
      </c>
      <c r="K24" s="200">
        <f t="shared" si="0"/>
        <v>72.581449859352745</v>
      </c>
      <c r="L24" s="621"/>
      <c r="M24" s="471">
        <f>RANK(K24, K$7:$K$36)</f>
        <v>18</v>
      </c>
      <c r="N24" s="604"/>
      <c r="O24" s="604"/>
      <c r="P24" s="521">
        <v>18</v>
      </c>
      <c r="Q24" s="182">
        <v>1234.6153846153852</v>
      </c>
      <c r="R24" s="182">
        <v>68.58974358974362</v>
      </c>
      <c r="S24" s="521">
        <f t="shared" si="1"/>
        <v>20</v>
      </c>
      <c r="T24" s="605"/>
      <c r="U24" s="521">
        <v>18</v>
      </c>
      <c r="V24" s="182">
        <v>1274.4578313253007</v>
      </c>
      <c r="W24" s="182">
        <v>70.80321285140559</v>
      </c>
      <c r="X24" s="521">
        <f t="shared" si="2"/>
        <v>17</v>
      </c>
      <c r="Y24" s="605"/>
      <c r="Z24" s="521">
        <v>18</v>
      </c>
      <c r="AA24" s="182">
        <v>1265.5670103092787</v>
      </c>
      <c r="AB24" s="182">
        <v>70.309278350515484</v>
      </c>
      <c r="AC24" s="521">
        <f t="shared" si="3"/>
        <v>18</v>
      </c>
      <c r="AD24" s="605"/>
      <c r="AE24" s="521">
        <v>18</v>
      </c>
      <c r="AF24" s="182">
        <v>1329.9999999999993</v>
      </c>
      <c r="AG24" s="182">
        <v>73.888888888888857</v>
      </c>
      <c r="AH24" s="521">
        <f t="shared" si="4"/>
        <v>16</v>
      </c>
      <c r="AI24" s="605"/>
      <c r="AJ24" s="521">
        <v>18</v>
      </c>
      <c r="AK24" s="182">
        <v>1329.6296296296291</v>
      </c>
      <c r="AL24" s="182">
        <v>73.868312757201622</v>
      </c>
      <c r="AM24" s="521">
        <f t="shared" si="5"/>
        <v>18</v>
      </c>
      <c r="AN24" s="605"/>
      <c r="AO24" s="521">
        <v>18</v>
      </c>
      <c r="AP24" s="182">
        <v>1359.5294117647059</v>
      </c>
      <c r="AQ24" s="182">
        <v>75.529411764705884</v>
      </c>
      <c r="AR24" s="521">
        <f t="shared" si="6"/>
        <v>15</v>
      </c>
      <c r="AS24" s="605"/>
      <c r="AT24" s="521">
        <v>18</v>
      </c>
      <c r="AU24" s="182">
        <v>1351.4634146341459</v>
      </c>
      <c r="AV24" s="182">
        <v>75.081300813008113</v>
      </c>
      <c r="AW24" s="521">
        <f t="shared" si="7"/>
        <v>17</v>
      </c>
      <c r="AX24" s="605"/>
      <c r="AZ24" s="521" t="e">
        <f t="shared" si="8"/>
        <v>#N/A</v>
      </c>
      <c r="BA24" s="605"/>
    </row>
    <row r="25" spans="2:53">
      <c r="B25" s="610"/>
      <c r="C25" s="465">
        <v>19</v>
      </c>
      <c r="D25" s="226" t="s">
        <v>642</v>
      </c>
      <c r="E25" s="182">
        <v>17</v>
      </c>
      <c r="F25" s="502">
        <v>1440</v>
      </c>
      <c r="G25" s="503">
        <v>84.7</v>
      </c>
      <c r="H25" s="668"/>
      <c r="I25" s="513">
        <f t="shared" si="0"/>
        <v>17</v>
      </c>
      <c r="J25" s="513">
        <f t="shared" si="0"/>
        <v>1346.4541181050938</v>
      </c>
      <c r="K25" s="200">
        <f t="shared" si="0"/>
        <v>79.20318341794669</v>
      </c>
      <c r="L25" s="621"/>
      <c r="M25" s="471">
        <f>RANK(K25, K$7:$K$36)</f>
        <v>12</v>
      </c>
      <c r="N25" s="604"/>
      <c r="O25" s="604"/>
      <c r="P25" s="521">
        <v>17</v>
      </c>
      <c r="Q25" s="182">
        <v>1361.3333333333335</v>
      </c>
      <c r="R25" s="182">
        <v>80.078431372549034</v>
      </c>
      <c r="S25" s="521">
        <f t="shared" si="1"/>
        <v>11</v>
      </c>
      <c r="T25" s="605"/>
      <c r="U25" s="521">
        <v>17</v>
      </c>
      <c r="V25" s="182">
        <v>1305.4054054054045</v>
      </c>
      <c r="W25" s="182">
        <v>76.788553259141437</v>
      </c>
      <c r="X25" s="521">
        <f t="shared" si="2"/>
        <v>14</v>
      </c>
      <c r="Y25" s="605"/>
      <c r="Z25" s="521">
        <v>17</v>
      </c>
      <c r="AA25" s="182">
        <v>1341.8181818181802</v>
      </c>
      <c r="AB25" s="182">
        <v>78.930481283422367</v>
      </c>
      <c r="AC25" s="521">
        <f t="shared" si="3"/>
        <v>12</v>
      </c>
      <c r="AD25" s="605"/>
      <c r="AE25" s="521">
        <v>17</v>
      </c>
      <c r="AF25" s="182">
        <v>1372.1052631578937</v>
      </c>
      <c r="AG25" s="182">
        <v>80.712074303405515</v>
      </c>
      <c r="AH25" s="521">
        <f t="shared" si="4"/>
        <v>11</v>
      </c>
      <c r="AI25" s="605"/>
      <c r="AJ25" s="521">
        <v>17</v>
      </c>
      <c r="AK25" s="182">
        <v>1374.7058823529394</v>
      </c>
      <c r="AL25" s="182">
        <v>80.865051903114079</v>
      </c>
      <c r="AM25" s="521">
        <f t="shared" si="5"/>
        <v>11</v>
      </c>
      <c r="AN25" s="605"/>
      <c r="AO25" s="521">
        <v>17</v>
      </c>
      <c r="AP25" s="182">
        <v>1343.2653061224494</v>
      </c>
      <c r="AQ25" s="182">
        <v>79.015606242497029</v>
      </c>
      <c r="AR25" s="521">
        <f t="shared" si="6"/>
        <v>11</v>
      </c>
      <c r="AS25" s="605"/>
      <c r="AT25" s="521">
        <v>17</v>
      </c>
      <c r="AU25" s="182">
        <v>1326.5454545454554</v>
      </c>
      <c r="AV25" s="182">
        <v>78.032085561497382</v>
      </c>
      <c r="AW25" s="521">
        <f t="shared" si="7"/>
        <v>12</v>
      </c>
      <c r="AX25" s="605"/>
      <c r="AZ25" s="521" t="e">
        <f t="shared" si="8"/>
        <v>#N/A</v>
      </c>
      <c r="BA25" s="605"/>
    </row>
    <row r="26" spans="2:53">
      <c r="B26" s="610"/>
      <c r="C26" s="465">
        <v>20</v>
      </c>
      <c r="D26" s="226" t="s">
        <v>666</v>
      </c>
      <c r="E26" s="182">
        <v>18</v>
      </c>
      <c r="F26" s="502">
        <v>1500</v>
      </c>
      <c r="G26" s="503">
        <v>83.3</v>
      </c>
      <c r="H26" s="668"/>
      <c r="I26" s="513">
        <f t="shared" si="0"/>
        <v>18</v>
      </c>
      <c r="J26" s="513">
        <f t="shared" si="0"/>
        <v>1398.2474126324853</v>
      </c>
      <c r="K26" s="200">
        <f t="shared" si="0"/>
        <v>77.68041181291585</v>
      </c>
      <c r="L26" s="621"/>
      <c r="M26" s="471">
        <f>RANK(K26, K$7:$K$36)</f>
        <v>13</v>
      </c>
      <c r="N26" s="604"/>
      <c r="O26" s="604"/>
      <c r="P26" s="521">
        <v>18</v>
      </c>
      <c r="Q26" s="182">
        <v>1423.1578947368432</v>
      </c>
      <c r="R26" s="182">
        <v>79.064327485380176</v>
      </c>
      <c r="S26" s="521">
        <f t="shared" si="1"/>
        <v>12</v>
      </c>
      <c r="T26" s="605"/>
      <c r="U26" s="521">
        <v>18</v>
      </c>
      <c r="V26" s="182">
        <v>1403.0769230769238</v>
      </c>
      <c r="W26" s="182">
        <v>77.948717948717984</v>
      </c>
      <c r="X26" s="521">
        <f t="shared" si="2"/>
        <v>13</v>
      </c>
      <c r="Y26" s="605"/>
      <c r="Z26" s="521">
        <v>18</v>
      </c>
      <c r="AA26" s="182">
        <v>1385.3333333333333</v>
      </c>
      <c r="AB26" s="182">
        <v>76.962962962962962</v>
      </c>
      <c r="AC26" s="521">
        <f t="shared" si="3"/>
        <v>13</v>
      </c>
      <c r="AD26" s="605"/>
      <c r="AE26" s="521">
        <v>18</v>
      </c>
      <c r="AF26" s="182">
        <v>1410.0000000000005</v>
      </c>
      <c r="AG26" s="182">
        <v>78.333333333333357</v>
      </c>
      <c r="AH26" s="521">
        <f t="shared" si="4"/>
        <v>13</v>
      </c>
      <c r="AI26" s="605"/>
      <c r="AJ26" s="521">
        <v>18</v>
      </c>
      <c r="AK26" s="182">
        <v>1414.4680851063831</v>
      </c>
      <c r="AL26" s="182">
        <v>78.581560283687949</v>
      </c>
      <c r="AM26" s="521">
        <f t="shared" si="5"/>
        <v>13</v>
      </c>
      <c r="AN26" s="605"/>
      <c r="AO26" s="521">
        <v>18</v>
      </c>
      <c r="AP26" s="182">
        <v>1383.0000000000014</v>
      </c>
      <c r="AQ26" s="182">
        <v>76.833333333333414</v>
      </c>
      <c r="AR26" s="521">
        <f t="shared" si="6"/>
        <v>12</v>
      </c>
      <c r="AS26" s="605"/>
      <c r="AT26" s="521">
        <v>18</v>
      </c>
      <c r="AU26" s="182">
        <v>1368.6956521739116</v>
      </c>
      <c r="AV26" s="182">
        <v>76.038647342995091</v>
      </c>
      <c r="AW26" s="521">
        <f t="shared" si="7"/>
        <v>15</v>
      </c>
      <c r="AX26" s="605"/>
      <c r="AZ26" s="521" t="e">
        <f t="shared" si="8"/>
        <v>#N/A</v>
      </c>
      <c r="BA26" s="605"/>
    </row>
    <row r="27" spans="2:53">
      <c r="B27" s="610"/>
      <c r="C27" s="465">
        <v>21</v>
      </c>
      <c r="D27" s="226" t="s">
        <v>791</v>
      </c>
      <c r="E27" s="182">
        <v>18</v>
      </c>
      <c r="F27" s="502">
        <v>1636</v>
      </c>
      <c r="G27" s="503">
        <v>90.9</v>
      </c>
      <c r="H27" s="668"/>
      <c r="I27" s="513">
        <f t="shared" si="0"/>
        <v>18</v>
      </c>
      <c r="J27" s="513">
        <f t="shared" si="0"/>
        <v>1232.3202799524593</v>
      </c>
      <c r="K27" s="200">
        <f t="shared" si="0"/>
        <v>68.462237775136629</v>
      </c>
      <c r="L27" s="621"/>
      <c r="M27" s="471">
        <f>RANK(K27, K$7:$K$36)</f>
        <v>22</v>
      </c>
      <c r="N27" s="604"/>
      <c r="O27" s="604"/>
      <c r="P27" s="521">
        <v>18</v>
      </c>
      <c r="Q27" s="182">
        <v>1205.0442477876106</v>
      </c>
      <c r="R27" s="182">
        <v>66.946902654867259</v>
      </c>
      <c r="S27" s="521">
        <f t="shared" si="1"/>
        <v>22</v>
      </c>
      <c r="T27" s="605"/>
      <c r="U27" s="521">
        <v>18</v>
      </c>
      <c r="V27" s="182">
        <v>1218.7786259541983</v>
      </c>
      <c r="W27" s="182">
        <v>67.70992366412213</v>
      </c>
      <c r="X27" s="521">
        <f t="shared" si="2"/>
        <v>22</v>
      </c>
      <c r="Y27" s="605"/>
      <c r="Z27" s="521">
        <v>18</v>
      </c>
      <c r="AA27" s="182">
        <v>1193.3999999999994</v>
      </c>
      <c r="AB27" s="182">
        <v>66.299999999999969</v>
      </c>
      <c r="AC27" s="521">
        <f t="shared" si="3"/>
        <v>23</v>
      </c>
      <c r="AD27" s="605"/>
      <c r="AE27" s="521">
        <v>18</v>
      </c>
      <c r="AF27" s="182">
        <v>1200.6250000000002</v>
      </c>
      <c r="AG27" s="182">
        <v>66.7013888888889</v>
      </c>
      <c r="AH27" s="521">
        <f t="shared" si="4"/>
        <v>23</v>
      </c>
      <c r="AI27" s="605"/>
      <c r="AJ27" s="521">
        <v>18</v>
      </c>
      <c r="AK27" s="182">
        <v>1219.8165137614678</v>
      </c>
      <c r="AL27" s="182">
        <v>67.767584097859327</v>
      </c>
      <c r="AM27" s="521">
        <f t="shared" si="5"/>
        <v>22</v>
      </c>
      <c r="AN27" s="605"/>
      <c r="AO27" s="521">
        <v>18</v>
      </c>
      <c r="AP27" s="182">
        <v>1311.2621359223297</v>
      </c>
      <c r="AQ27" s="182">
        <v>72.847896440129432</v>
      </c>
      <c r="AR27" s="521">
        <f t="shared" si="6"/>
        <v>19</v>
      </c>
      <c r="AS27" s="605"/>
      <c r="AT27" s="521">
        <v>18</v>
      </c>
      <c r="AU27" s="182">
        <v>1277.3154362416099</v>
      </c>
      <c r="AV27" s="182">
        <v>70.961968680089441</v>
      </c>
      <c r="AW27" s="521">
        <f t="shared" si="7"/>
        <v>20</v>
      </c>
      <c r="AX27" s="605"/>
      <c r="AZ27" s="521" t="e">
        <f t="shared" si="8"/>
        <v>#N/A</v>
      </c>
      <c r="BA27" s="605"/>
    </row>
    <row r="28" spans="2:53">
      <c r="B28" s="610"/>
      <c r="C28" s="465">
        <v>22</v>
      </c>
      <c r="D28" s="226" t="s">
        <v>668</v>
      </c>
      <c r="E28" s="182">
        <v>20</v>
      </c>
      <c r="F28" s="502">
        <v>1500</v>
      </c>
      <c r="G28" s="503">
        <v>75</v>
      </c>
      <c r="H28" s="668"/>
      <c r="I28" s="513">
        <f t="shared" si="0"/>
        <v>20</v>
      </c>
      <c r="J28" s="513">
        <f t="shared" si="0"/>
        <v>1213.8798405242176</v>
      </c>
      <c r="K28" s="200">
        <f t="shared" si="0"/>
        <v>60.693992026210886</v>
      </c>
      <c r="L28" s="621"/>
      <c r="M28" s="471">
        <f>RANK(K28, K$7:$K$36)</f>
        <v>26</v>
      </c>
      <c r="N28" s="604"/>
      <c r="O28" s="604"/>
      <c r="P28" s="521">
        <v>20</v>
      </c>
      <c r="Q28" s="182">
        <v>1184.7272727272734</v>
      </c>
      <c r="R28" s="182">
        <v>59.23636363636367</v>
      </c>
      <c r="S28" s="521">
        <f t="shared" si="1"/>
        <v>26</v>
      </c>
      <c r="T28" s="605"/>
      <c r="U28" s="521">
        <v>20</v>
      </c>
      <c r="V28" s="182">
        <v>1227.5000000000005</v>
      </c>
      <c r="W28" s="182">
        <v>61.375000000000021</v>
      </c>
      <c r="X28" s="521">
        <f t="shared" si="2"/>
        <v>26</v>
      </c>
      <c r="Y28" s="605"/>
      <c r="Z28" s="521">
        <v>20</v>
      </c>
      <c r="AA28" s="182">
        <v>1262.8571428571424</v>
      </c>
      <c r="AB28" s="182">
        <v>63.142857142857125</v>
      </c>
      <c r="AC28" s="521">
        <f t="shared" si="3"/>
        <v>25</v>
      </c>
      <c r="AD28" s="605"/>
      <c r="AE28" s="521">
        <v>20</v>
      </c>
      <c r="AF28" s="182">
        <v>1239.5744680851067</v>
      </c>
      <c r="AG28" s="182">
        <v>61.978723404255334</v>
      </c>
      <c r="AH28" s="521">
        <f t="shared" si="4"/>
        <v>26</v>
      </c>
      <c r="AI28" s="605"/>
      <c r="AJ28" s="521">
        <v>20</v>
      </c>
      <c r="AK28" s="182">
        <v>1187.5000000000002</v>
      </c>
      <c r="AL28" s="182">
        <v>59.375000000000014</v>
      </c>
      <c r="AM28" s="521">
        <f t="shared" si="5"/>
        <v>27</v>
      </c>
      <c r="AN28" s="605"/>
      <c r="AO28" s="521">
        <v>20</v>
      </c>
      <c r="AP28" s="182">
        <v>1180.0000000000005</v>
      </c>
      <c r="AQ28" s="182">
        <v>59.000000000000021</v>
      </c>
      <c r="AR28" s="521">
        <f t="shared" si="6"/>
        <v>27</v>
      </c>
      <c r="AS28" s="605"/>
      <c r="AT28" s="521">
        <v>20</v>
      </c>
      <c r="AU28" s="182">
        <v>1215.0000000000009</v>
      </c>
      <c r="AV28" s="182">
        <v>60.750000000000043</v>
      </c>
      <c r="AW28" s="521">
        <f t="shared" si="7"/>
        <v>26</v>
      </c>
      <c r="AX28" s="605"/>
      <c r="AZ28" s="521" t="e">
        <f t="shared" si="8"/>
        <v>#N/A</v>
      </c>
      <c r="BA28" s="605"/>
    </row>
    <row r="29" spans="2:53">
      <c r="B29" s="610"/>
      <c r="C29" s="465">
        <v>23</v>
      </c>
      <c r="D29" s="226" t="s">
        <v>788</v>
      </c>
      <c r="E29" s="182">
        <v>17</v>
      </c>
      <c r="F29" s="502">
        <v>1565</v>
      </c>
      <c r="G29" s="503">
        <v>92.1</v>
      </c>
      <c r="H29" s="668"/>
      <c r="I29" s="513">
        <f t="shared" si="0"/>
        <v>18.285714285714285</v>
      </c>
      <c r="J29" s="513">
        <f t="shared" si="0"/>
        <v>1398.7632830365922</v>
      </c>
      <c r="K29" s="200">
        <f t="shared" si="0"/>
        <v>76.575073494650084</v>
      </c>
      <c r="L29" s="621"/>
      <c r="M29" s="471">
        <f>RANK(K29, K$7:$K$36)</f>
        <v>14</v>
      </c>
      <c r="N29" s="604"/>
      <c r="O29" s="604"/>
      <c r="P29" s="521">
        <v>20</v>
      </c>
      <c r="Q29" s="182">
        <v>1428.8372093023254</v>
      </c>
      <c r="R29" s="182">
        <v>71.441860465116264</v>
      </c>
      <c r="S29" s="521">
        <f t="shared" si="1"/>
        <v>16</v>
      </c>
      <c r="T29" s="605"/>
      <c r="U29" s="521">
        <v>18</v>
      </c>
      <c r="V29" s="182">
        <v>1414.736842105262</v>
      </c>
      <c r="W29" s="182">
        <v>78.596491228070107</v>
      </c>
      <c r="X29" s="521">
        <f t="shared" si="2"/>
        <v>12</v>
      </c>
      <c r="Y29" s="605"/>
      <c r="Z29" s="521">
        <v>18</v>
      </c>
      <c r="AA29" s="182">
        <v>1425.8823529411745</v>
      </c>
      <c r="AB29" s="182">
        <v>79.215686274509693</v>
      </c>
      <c r="AC29" s="521">
        <f t="shared" si="3"/>
        <v>10</v>
      </c>
      <c r="AD29" s="605"/>
      <c r="AE29" s="521">
        <v>18</v>
      </c>
      <c r="AF29" s="182">
        <v>1387.8947368421043</v>
      </c>
      <c r="AG29" s="182">
        <v>77.105263157894683</v>
      </c>
      <c r="AH29" s="521">
        <f t="shared" si="4"/>
        <v>14</v>
      </c>
      <c r="AI29" s="605"/>
      <c r="AJ29" s="521">
        <v>18</v>
      </c>
      <c r="AK29" s="182">
        <v>1375.2631578947357</v>
      </c>
      <c r="AL29" s="182">
        <v>76.403508771929765</v>
      </c>
      <c r="AM29" s="521">
        <f t="shared" si="5"/>
        <v>15</v>
      </c>
      <c r="AN29" s="605"/>
      <c r="AO29" s="521">
        <v>18</v>
      </c>
      <c r="AP29" s="182">
        <v>1381.395348837209</v>
      </c>
      <c r="AQ29" s="182">
        <v>76.744186046511615</v>
      </c>
      <c r="AR29" s="521">
        <f t="shared" si="6"/>
        <v>13</v>
      </c>
      <c r="AS29" s="605"/>
      <c r="AT29" s="521">
        <v>18</v>
      </c>
      <c r="AU29" s="182">
        <v>1377.3333333333333</v>
      </c>
      <c r="AV29" s="182">
        <v>76.518518518518519</v>
      </c>
      <c r="AW29" s="521">
        <f t="shared" si="7"/>
        <v>13</v>
      </c>
      <c r="AX29" s="605"/>
      <c r="AZ29" s="521" t="e">
        <f t="shared" si="8"/>
        <v>#N/A</v>
      </c>
      <c r="BA29" s="605"/>
    </row>
    <row r="30" spans="2:53">
      <c r="B30" s="610"/>
      <c r="C30" s="465">
        <v>24</v>
      </c>
      <c r="D30" s="226" t="s">
        <v>676</v>
      </c>
      <c r="E30" s="182">
        <v>19</v>
      </c>
      <c r="F30" s="502">
        <v>1385</v>
      </c>
      <c r="G30" s="503">
        <v>72.900000000000006</v>
      </c>
      <c r="H30" s="668"/>
      <c r="I30" s="513">
        <f t="shared" si="0"/>
        <v>19.571428571428573</v>
      </c>
      <c r="J30" s="513">
        <f t="shared" si="0"/>
        <v>1179.5830044618685</v>
      </c>
      <c r="K30" s="200">
        <f t="shared" si="0"/>
        <v>60.283160248156094</v>
      </c>
      <c r="L30" s="621"/>
      <c r="M30" s="471">
        <f>RANK(K30, K$7:$K$36)</f>
        <v>27</v>
      </c>
      <c r="N30" s="604"/>
      <c r="O30" s="604"/>
      <c r="P30" s="521">
        <v>20</v>
      </c>
      <c r="Q30" s="182">
        <v>1160.4545454545455</v>
      </c>
      <c r="R30" s="182">
        <v>58.022727272727273</v>
      </c>
      <c r="S30" s="521">
        <f t="shared" si="1"/>
        <v>27</v>
      </c>
      <c r="T30" s="605"/>
      <c r="U30" s="521">
        <v>20</v>
      </c>
      <c r="V30" s="182">
        <v>1224.2857142857138</v>
      </c>
      <c r="W30" s="182">
        <v>61.214285714285687</v>
      </c>
      <c r="X30" s="521">
        <f t="shared" si="2"/>
        <v>27</v>
      </c>
      <c r="Y30" s="605"/>
      <c r="Z30" s="521">
        <v>20</v>
      </c>
      <c r="AA30" s="182">
        <v>1208.7804878048776</v>
      </c>
      <c r="AB30" s="182">
        <v>60.43902439024388</v>
      </c>
      <c r="AC30" s="521">
        <f t="shared" si="3"/>
        <v>27</v>
      </c>
      <c r="AD30" s="605"/>
      <c r="AE30" s="521">
        <v>20</v>
      </c>
      <c r="AF30" s="182">
        <v>1194.8936170212769</v>
      </c>
      <c r="AG30" s="182">
        <v>59.744680851063848</v>
      </c>
      <c r="AH30" s="521">
        <f t="shared" si="4"/>
        <v>27</v>
      </c>
      <c r="AI30" s="605"/>
      <c r="AJ30" s="521">
        <v>19</v>
      </c>
      <c r="AK30" s="182">
        <v>1166.6666666666665</v>
      </c>
      <c r="AL30" s="182">
        <v>61.403508771929815</v>
      </c>
      <c r="AM30" s="521">
        <f t="shared" si="5"/>
        <v>26</v>
      </c>
      <c r="AN30" s="605"/>
      <c r="AO30" s="521">
        <v>19</v>
      </c>
      <c r="AP30" s="182">
        <v>1168</v>
      </c>
      <c r="AQ30" s="182">
        <v>61.473684210526315</v>
      </c>
      <c r="AR30" s="521">
        <f t="shared" si="6"/>
        <v>26</v>
      </c>
      <c r="AS30" s="605"/>
      <c r="AT30" s="521">
        <v>19</v>
      </c>
      <c r="AU30" s="182">
        <v>1134.0000000000005</v>
      </c>
      <c r="AV30" s="182">
        <v>59.684210526315816</v>
      </c>
      <c r="AW30" s="521">
        <f t="shared" si="7"/>
        <v>27</v>
      </c>
      <c r="AX30" s="605"/>
      <c r="AZ30" s="521" t="e">
        <f t="shared" si="8"/>
        <v>#N/A</v>
      </c>
      <c r="BA30" s="605"/>
    </row>
    <row r="31" spans="2:53">
      <c r="B31" s="610"/>
      <c r="C31" s="465">
        <v>25</v>
      </c>
      <c r="D31" s="226" t="s">
        <v>789</v>
      </c>
      <c r="E31" s="182">
        <v>15</v>
      </c>
      <c r="F31" s="502">
        <v>1440</v>
      </c>
      <c r="G31" s="503">
        <v>96</v>
      </c>
      <c r="H31" s="668"/>
      <c r="I31" s="513">
        <f t="shared" si="0"/>
        <v>15</v>
      </c>
      <c r="J31" s="513">
        <f t="shared" si="0"/>
        <v>1272.0139353038498</v>
      </c>
      <c r="K31" s="200">
        <f t="shared" si="0"/>
        <v>84.800929020256632</v>
      </c>
      <c r="L31" s="621"/>
      <c r="M31" s="471">
        <f>RANK(K31, K$7:$K$36)</f>
        <v>7</v>
      </c>
      <c r="N31" s="604"/>
      <c r="O31" s="604"/>
      <c r="P31" s="521">
        <v>15</v>
      </c>
      <c r="Q31" s="182">
        <v>1321.8749999999982</v>
      </c>
      <c r="R31" s="182">
        <v>88.124999999999872</v>
      </c>
      <c r="S31" s="521">
        <f t="shared" si="1"/>
        <v>4</v>
      </c>
      <c r="T31" s="605"/>
      <c r="U31" s="521">
        <v>15</v>
      </c>
      <c r="V31" s="182">
        <v>1291.8749999999982</v>
      </c>
      <c r="W31" s="182">
        <v>86.124999999999872</v>
      </c>
      <c r="X31" s="521">
        <f t="shared" si="2"/>
        <v>5</v>
      </c>
      <c r="Y31" s="605"/>
      <c r="Z31" s="521">
        <v>15</v>
      </c>
      <c r="AA31" s="182">
        <v>1233.7499999999982</v>
      </c>
      <c r="AB31" s="182">
        <v>82.249999999999872</v>
      </c>
      <c r="AC31" s="521">
        <f t="shared" si="3"/>
        <v>8</v>
      </c>
      <c r="AD31" s="605"/>
      <c r="AE31" s="521">
        <v>15</v>
      </c>
      <c r="AF31" s="182">
        <v>1254.9999999999991</v>
      </c>
      <c r="AG31" s="182">
        <v>83.6666666666666</v>
      </c>
      <c r="AH31" s="521">
        <f t="shared" si="4"/>
        <v>8</v>
      </c>
      <c r="AI31" s="605"/>
      <c r="AJ31" s="521">
        <v>15</v>
      </c>
      <c r="AK31" s="182">
        <v>1282.9411764705865</v>
      </c>
      <c r="AL31" s="182">
        <v>85.52941176470577</v>
      </c>
      <c r="AM31" s="521">
        <f t="shared" si="5"/>
        <v>6</v>
      </c>
      <c r="AN31" s="605"/>
      <c r="AO31" s="521">
        <v>15</v>
      </c>
      <c r="AP31" s="182">
        <v>1265.1428571428557</v>
      </c>
      <c r="AQ31" s="182">
        <v>84.342857142857056</v>
      </c>
      <c r="AR31" s="521">
        <f t="shared" si="6"/>
        <v>6</v>
      </c>
      <c r="AS31" s="605"/>
      <c r="AT31" s="521">
        <v>15</v>
      </c>
      <c r="AU31" s="182">
        <v>1253.5135135135126</v>
      </c>
      <c r="AV31" s="182">
        <v>83.567567567567508</v>
      </c>
      <c r="AW31" s="521">
        <f t="shared" si="7"/>
        <v>8</v>
      </c>
      <c r="AX31" s="605"/>
      <c r="AZ31" s="521" t="e">
        <f t="shared" si="8"/>
        <v>#N/A</v>
      </c>
      <c r="BA31" s="605"/>
    </row>
    <row r="32" spans="2:53">
      <c r="B32" s="610"/>
      <c r="C32" s="465">
        <v>26</v>
      </c>
      <c r="D32" s="226" t="s">
        <v>742</v>
      </c>
      <c r="E32" s="182">
        <v>21</v>
      </c>
      <c r="F32" s="502">
        <v>1500</v>
      </c>
      <c r="G32" s="503">
        <v>71.400000000000006</v>
      </c>
      <c r="H32" s="668"/>
      <c r="I32" s="513">
        <f t="shared" si="0"/>
        <v>21</v>
      </c>
      <c r="J32" s="513">
        <f t="shared" si="0"/>
        <v>1338.3229957790365</v>
      </c>
      <c r="K32" s="200">
        <f t="shared" si="0"/>
        <v>63.729666465668402</v>
      </c>
      <c r="L32" s="621"/>
      <c r="M32" s="471">
        <f>RANK(K32, K$7:$K$36)</f>
        <v>25</v>
      </c>
      <c r="N32" s="604"/>
      <c r="O32" s="604"/>
      <c r="P32" s="521">
        <v>21</v>
      </c>
      <c r="Q32" s="182">
        <v>1340.4545454545455</v>
      </c>
      <c r="R32" s="182">
        <v>63.831168831168831</v>
      </c>
      <c r="S32" s="521">
        <f t="shared" si="1"/>
        <v>24</v>
      </c>
      <c r="T32" s="605"/>
      <c r="U32" s="521">
        <v>21</v>
      </c>
      <c r="V32" s="182">
        <v>1318.6046511627903</v>
      </c>
      <c r="W32" s="182">
        <v>62.790697674418588</v>
      </c>
      <c r="X32" s="521">
        <f t="shared" si="2"/>
        <v>25</v>
      </c>
      <c r="Y32" s="605"/>
      <c r="Z32" s="521">
        <v>21</v>
      </c>
      <c r="AA32" s="182">
        <v>1309.9999999999995</v>
      </c>
      <c r="AB32" s="182">
        <v>62.380952380952358</v>
      </c>
      <c r="AC32" s="521">
        <f t="shared" si="3"/>
        <v>26</v>
      </c>
      <c r="AD32" s="605"/>
      <c r="AE32" s="521">
        <v>21</v>
      </c>
      <c r="AF32" s="182">
        <v>1352.1951219512191</v>
      </c>
      <c r="AG32" s="182">
        <v>64.390243902439011</v>
      </c>
      <c r="AH32" s="521">
        <f t="shared" si="4"/>
        <v>25</v>
      </c>
      <c r="AI32" s="605"/>
      <c r="AJ32" s="521">
        <v>21</v>
      </c>
      <c r="AK32" s="182">
        <v>1360.909090909091</v>
      </c>
      <c r="AL32" s="182">
        <v>64.805194805194816</v>
      </c>
      <c r="AM32" s="521">
        <f t="shared" si="5"/>
        <v>24</v>
      </c>
      <c r="AN32" s="605"/>
      <c r="AO32" s="521">
        <v>21</v>
      </c>
      <c r="AP32" s="182">
        <v>1336.0975609756094</v>
      </c>
      <c r="AQ32" s="182">
        <v>63.623693379790929</v>
      </c>
      <c r="AR32" s="521">
        <f t="shared" si="6"/>
        <v>24</v>
      </c>
      <c r="AS32" s="605"/>
      <c r="AT32" s="521">
        <v>21</v>
      </c>
      <c r="AU32" s="182">
        <v>1350.0000000000005</v>
      </c>
      <c r="AV32" s="182">
        <v>64.285714285714306</v>
      </c>
      <c r="AW32" s="521">
        <f t="shared" si="7"/>
        <v>24</v>
      </c>
      <c r="AX32" s="605"/>
      <c r="AZ32" s="521" t="e">
        <f t="shared" si="8"/>
        <v>#N/A</v>
      </c>
      <c r="BA32" s="605"/>
    </row>
    <row r="33" spans="2:53">
      <c r="B33" s="610"/>
      <c r="C33" s="465">
        <v>27</v>
      </c>
      <c r="D33" s="226" t="s">
        <v>790</v>
      </c>
      <c r="E33" s="182">
        <v>19</v>
      </c>
      <c r="F33" s="502">
        <v>1500</v>
      </c>
      <c r="G33" s="503">
        <v>78.900000000000006</v>
      </c>
      <c r="H33" s="668"/>
      <c r="I33" s="513">
        <f t="shared" si="0"/>
        <v>19</v>
      </c>
      <c r="J33" s="513">
        <f t="shared" si="0"/>
        <v>1212.0539602148363</v>
      </c>
      <c r="K33" s="200">
        <f t="shared" si="0"/>
        <v>63.792313695517699</v>
      </c>
      <c r="L33" s="621"/>
      <c r="M33" s="471">
        <f>RANK(K33, K$7:$K$36)</f>
        <v>24</v>
      </c>
      <c r="N33" s="604"/>
      <c r="O33" s="604"/>
      <c r="P33" s="521">
        <v>19</v>
      </c>
      <c r="Q33" s="182">
        <v>1163.3684210526317</v>
      </c>
      <c r="R33" s="182">
        <v>61.229916897506932</v>
      </c>
      <c r="S33" s="521">
        <f t="shared" si="1"/>
        <v>25</v>
      </c>
      <c r="T33" s="605"/>
      <c r="U33" s="521">
        <v>19</v>
      </c>
      <c r="V33" s="182">
        <v>1259.1764705882358</v>
      </c>
      <c r="W33" s="182">
        <v>66.272445820433461</v>
      </c>
      <c r="X33" s="521">
        <f t="shared" si="2"/>
        <v>24</v>
      </c>
      <c r="Y33" s="605"/>
      <c r="Z33" s="521">
        <v>19</v>
      </c>
      <c r="AA33" s="182">
        <v>1257.2608695652173</v>
      </c>
      <c r="AB33" s="182">
        <v>66.171624713958806</v>
      </c>
      <c r="AC33" s="521">
        <f t="shared" si="3"/>
        <v>24</v>
      </c>
      <c r="AD33" s="605"/>
      <c r="AE33" s="521">
        <v>19</v>
      </c>
      <c r="AF33" s="182">
        <v>1243.8461538461545</v>
      </c>
      <c r="AG33" s="182">
        <v>65.465587044534445</v>
      </c>
      <c r="AH33" s="521">
        <f t="shared" si="4"/>
        <v>24</v>
      </c>
      <c r="AI33" s="605"/>
      <c r="AJ33" s="521">
        <v>19</v>
      </c>
      <c r="AK33" s="182">
        <v>1169.2258064516138</v>
      </c>
      <c r="AL33" s="182">
        <v>61.538200339558621</v>
      </c>
      <c r="AM33" s="521">
        <f t="shared" si="5"/>
        <v>25</v>
      </c>
      <c r="AN33" s="605"/>
      <c r="AO33" s="521">
        <v>19</v>
      </c>
      <c r="AP33" s="182">
        <v>1187.900000000001</v>
      </c>
      <c r="AQ33" s="182">
        <v>62.521052631579003</v>
      </c>
      <c r="AR33" s="521">
        <f t="shared" si="6"/>
        <v>25</v>
      </c>
      <c r="AS33" s="605"/>
      <c r="AT33" s="521">
        <v>19</v>
      </c>
      <c r="AU33" s="182">
        <v>1203.6000000000004</v>
      </c>
      <c r="AV33" s="182">
        <v>63.34736842105265</v>
      </c>
      <c r="AW33" s="521">
        <f t="shared" si="7"/>
        <v>25</v>
      </c>
      <c r="AX33" s="605"/>
      <c r="AZ33" s="521" t="e">
        <f t="shared" si="8"/>
        <v>#N/A</v>
      </c>
      <c r="BA33" s="605"/>
    </row>
    <row r="34" spans="2:53">
      <c r="B34" s="610"/>
      <c r="C34" s="465">
        <v>28</v>
      </c>
      <c r="D34" s="226"/>
      <c r="E34" s="182"/>
      <c r="F34" s="502"/>
      <c r="G34" s="503"/>
      <c r="H34" s="668"/>
      <c r="I34" s="513" t="str">
        <f t="shared" si="0"/>
        <v>-</v>
      </c>
      <c r="J34" s="513" t="str">
        <f t="shared" si="0"/>
        <v>-</v>
      </c>
      <c r="K34" s="200" t="str">
        <f t="shared" si="0"/>
        <v>-</v>
      </c>
      <c r="L34" s="621"/>
      <c r="M34" s="471" t="e">
        <f>RANK(K34, K$7:$K$36)</f>
        <v>#VALUE!</v>
      </c>
      <c r="N34" s="604"/>
      <c r="O34" s="604"/>
      <c r="P34" s="521" t="s">
        <v>822</v>
      </c>
      <c r="Q34" s="182" t="s">
        <v>822</v>
      </c>
      <c r="R34" s="182" t="s">
        <v>822</v>
      </c>
      <c r="S34" s="521" t="e">
        <f t="shared" si="1"/>
        <v>#VALUE!</v>
      </c>
      <c r="T34" s="605"/>
      <c r="U34" s="521" t="s">
        <v>822</v>
      </c>
      <c r="V34" s="182" t="s">
        <v>822</v>
      </c>
      <c r="W34" s="182" t="s">
        <v>822</v>
      </c>
      <c r="X34" s="521" t="e">
        <f t="shared" si="2"/>
        <v>#VALUE!</v>
      </c>
      <c r="Y34" s="605"/>
      <c r="Z34" s="521" t="s">
        <v>822</v>
      </c>
      <c r="AA34" s="182" t="s">
        <v>822</v>
      </c>
      <c r="AB34" s="182" t="s">
        <v>822</v>
      </c>
      <c r="AC34" s="521" t="e">
        <f t="shared" si="3"/>
        <v>#VALUE!</v>
      </c>
      <c r="AD34" s="605"/>
      <c r="AE34" s="521" t="s">
        <v>822</v>
      </c>
      <c r="AF34" s="182" t="s">
        <v>822</v>
      </c>
      <c r="AG34" s="182" t="s">
        <v>822</v>
      </c>
      <c r="AH34" s="521" t="e">
        <f t="shared" si="4"/>
        <v>#VALUE!</v>
      </c>
      <c r="AI34" s="605"/>
      <c r="AJ34" s="521" t="s">
        <v>822</v>
      </c>
      <c r="AK34" s="182" t="s">
        <v>822</v>
      </c>
      <c r="AL34" s="182" t="s">
        <v>822</v>
      </c>
      <c r="AM34" s="521" t="e">
        <f t="shared" si="5"/>
        <v>#VALUE!</v>
      </c>
      <c r="AN34" s="605"/>
      <c r="AO34" s="521" t="s">
        <v>822</v>
      </c>
      <c r="AP34" s="182" t="s">
        <v>822</v>
      </c>
      <c r="AQ34" s="182" t="s">
        <v>822</v>
      </c>
      <c r="AR34" s="521" t="e">
        <f t="shared" si="6"/>
        <v>#VALUE!</v>
      </c>
      <c r="AS34" s="605"/>
      <c r="AT34" s="521" t="s">
        <v>822</v>
      </c>
      <c r="AU34" s="182" t="s">
        <v>822</v>
      </c>
      <c r="AV34" s="182" t="s">
        <v>822</v>
      </c>
      <c r="AW34" s="521" t="e">
        <f t="shared" si="7"/>
        <v>#VALUE!</v>
      </c>
      <c r="AX34" s="605"/>
      <c r="AZ34" s="521" t="e">
        <f t="shared" si="8"/>
        <v>#N/A</v>
      </c>
      <c r="BA34" s="605"/>
    </row>
    <row r="35" spans="2:53">
      <c r="B35" s="610"/>
      <c r="C35" s="465">
        <v>29</v>
      </c>
      <c r="D35" s="226"/>
      <c r="E35" s="182"/>
      <c r="F35" s="502"/>
      <c r="G35" s="503"/>
      <c r="H35" s="668"/>
      <c r="I35" s="513" t="str">
        <f t="shared" si="0"/>
        <v>-</v>
      </c>
      <c r="J35" s="513" t="str">
        <f t="shared" si="0"/>
        <v>-</v>
      </c>
      <c r="K35" s="200" t="str">
        <f t="shared" si="0"/>
        <v>-</v>
      </c>
      <c r="L35" s="621"/>
      <c r="M35" s="471" t="e">
        <f>RANK(K35, K$7:$K$36)</f>
        <v>#VALUE!</v>
      </c>
      <c r="N35" s="604"/>
      <c r="O35" s="604"/>
      <c r="P35" s="521" t="s">
        <v>822</v>
      </c>
      <c r="Q35" s="182" t="s">
        <v>822</v>
      </c>
      <c r="R35" s="182" t="s">
        <v>822</v>
      </c>
      <c r="S35" s="521" t="e">
        <f t="shared" si="1"/>
        <v>#VALUE!</v>
      </c>
      <c r="T35" s="605"/>
      <c r="U35" s="521" t="s">
        <v>822</v>
      </c>
      <c r="V35" s="182" t="s">
        <v>822</v>
      </c>
      <c r="W35" s="182" t="s">
        <v>822</v>
      </c>
      <c r="X35" s="521" t="e">
        <f t="shared" si="2"/>
        <v>#VALUE!</v>
      </c>
      <c r="Y35" s="605"/>
      <c r="Z35" s="521" t="s">
        <v>822</v>
      </c>
      <c r="AA35" s="182" t="s">
        <v>822</v>
      </c>
      <c r="AB35" s="182" t="s">
        <v>822</v>
      </c>
      <c r="AC35" s="521" t="e">
        <f t="shared" si="3"/>
        <v>#VALUE!</v>
      </c>
      <c r="AD35" s="605"/>
      <c r="AE35" s="521" t="s">
        <v>822</v>
      </c>
      <c r="AF35" s="182" t="s">
        <v>822</v>
      </c>
      <c r="AG35" s="182" t="s">
        <v>822</v>
      </c>
      <c r="AH35" s="521" t="e">
        <f t="shared" si="4"/>
        <v>#VALUE!</v>
      </c>
      <c r="AI35" s="605"/>
      <c r="AJ35" s="521" t="s">
        <v>822</v>
      </c>
      <c r="AK35" s="182" t="s">
        <v>822</v>
      </c>
      <c r="AL35" s="182" t="s">
        <v>822</v>
      </c>
      <c r="AM35" s="521" t="e">
        <f t="shared" si="5"/>
        <v>#VALUE!</v>
      </c>
      <c r="AN35" s="605"/>
      <c r="AO35" s="521" t="s">
        <v>822</v>
      </c>
      <c r="AP35" s="182" t="s">
        <v>822</v>
      </c>
      <c r="AQ35" s="182" t="s">
        <v>822</v>
      </c>
      <c r="AR35" s="521" t="e">
        <f t="shared" si="6"/>
        <v>#VALUE!</v>
      </c>
      <c r="AS35" s="605"/>
      <c r="AT35" s="521" t="s">
        <v>822</v>
      </c>
      <c r="AU35" s="182" t="s">
        <v>822</v>
      </c>
      <c r="AV35" s="182" t="s">
        <v>822</v>
      </c>
      <c r="AW35" s="521" t="e">
        <f t="shared" si="7"/>
        <v>#VALUE!</v>
      </c>
      <c r="AX35" s="605"/>
      <c r="AZ35" s="521" t="e">
        <f t="shared" si="8"/>
        <v>#N/A</v>
      </c>
      <c r="BA35" s="605"/>
    </row>
    <row r="36" spans="2:53">
      <c r="B36" s="610"/>
      <c r="C36" s="465">
        <v>30</v>
      </c>
      <c r="D36" s="226"/>
      <c r="E36" s="182"/>
      <c r="F36" s="502"/>
      <c r="G36" s="503"/>
      <c r="H36" s="669"/>
      <c r="I36" s="513" t="str">
        <f t="shared" si="0"/>
        <v>-</v>
      </c>
      <c r="J36" s="513" t="str">
        <f t="shared" si="0"/>
        <v>-</v>
      </c>
      <c r="K36" s="200" t="str">
        <f t="shared" si="0"/>
        <v>-</v>
      </c>
      <c r="L36" s="622"/>
      <c r="M36" s="471" t="e">
        <f>RANK(K36, K$7:$K$36)</f>
        <v>#VALUE!</v>
      </c>
      <c r="N36" s="604"/>
      <c r="O36" s="604"/>
      <c r="P36" s="521" t="s">
        <v>822</v>
      </c>
      <c r="Q36" s="182" t="s">
        <v>822</v>
      </c>
      <c r="R36" s="182" t="s">
        <v>822</v>
      </c>
      <c r="S36" s="521" t="e">
        <f t="shared" si="1"/>
        <v>#VALUE!</v>
      </c>
      <c r="T36" s="605"/>
      <c r="U36" s="521" t="s">
        <v>822</v>
      </c>
      <c r="V36" s="182" t="s">
        <v>822</v>
      </c>
      <c r="W36" s="182" t="s">
        <v>822</v>
      </c>
      <c r="X36" s="521" t="e">
        <f t="shared" si="2"/>
        <v>#VALUE!</v>
      </c>
      <c r="Y36" s="605"/>
      <c r="Z36" s="521" t="s">
        <v>822</v>
      </c>
      <c r="AA36" s="182" t="s">
        <v>822</v>
      </c>
      <c r="AB36" s="182" t="s">
        <v>822</v>
      </c>
      <c r="AC36" s="521" t="e">
        <f t="shared" si="3"/>
        <v>#VALUE!</v>
      </c>
      <c r="AD36" s="605"/>
      <c r="AE36" s="521" t="s">
        <v>822</v>
      </c>
      <c r="AF36" s="182" t="s">
        <v>822</v>
      </c>
      <c r="AG36" s="182" t="s">
        <v>822</v>
      </c>
      <c r="AH36" s="521" t="e">
        <f t="shared" si="4"/>
        <v>#VALUE!</v>
      </c>
      <c r="AI36" s="605"/>
      <c r="AJ36" s="521" t="s">
        <v>822</v>
      </c>
      <c r="AK36" s="182" t="s">
        <v>822</v>
      </c>
      <c r="AL36" s="182" t="s">
        <v>822</v>
      </c>
      <c r="AM36" s="521" t="e">
        <f t="shared" si="5"/>
        <v>#VALUE!</v>
      </c>
      <c r="AN36" s="605"/>
      <c r="AO36" s="521" t="s">
        <v>822</v>
      </c>
      <c r="AP36" s="182" t="s">
        <v>822</v>
      </c>
      <c r="AQ36" s="182" t="s">
        <v>822</v>
      </c>
      <c r="AR36" s="521" t="e">
        <f t="shared" si="6"/>
        <v>#VALUE!</v>
      </c>
      <c r="AS36" s="605"/>
      <c r="AT36" s="521" t="s">
        <v>822</v>
      </c>
      <c r="AU36" s="182" t="s">
        <v>822</v>
      </c>
      <c r="AV36" s="182" t="s">
        <v>822</v>
      </c>
      <c r="AW36" s="521" t="e">
        <f t="shared" si="7"/>
        <v>#VALUE!</v>
      </c>
      <c r="AX36" s="605"/>
      <c r="AZ36" s="521" t="e">
        <f t="shared" si="8"/>
        <v>#N/A</v>
      </c>
      <c r="BA36" s="605"/>
    </row>
    <row r="37" spans="2:53" ht="15.75">
      <c r="B37" s="648" t="s">
        <v>163</v>
      </c>
      <c r="C37" s="649"/>
      <c r="D37" s="649"/>
      <c r="E37" s="649"/>
      <c r="F37" s="649"/>
      <c r="G37" s="649"/>
      <c r="H37" s="649"/>
      <c r="I37" s="203"/>
      <c r="J37" s="203"/>
      <c r="K37" s="203"/>
      <c r="L37" s="203"/>
      <c r="M37" s="204"/>
      <c r="N37" s="606" t="s">
        <v>156</v>
      </c>
      <c r="O37" s="606" t="s">
        <v>105</v>
      </c>
      <c r="P37" s="632">
        <f>AT2+1</f>
        <v>46119</v>
      </c>
      <c r="Q37" s="610"/>
      <c r="R37" s="610"/>
      <c r="S37" s="610"/>
      <c r="T37" s="610"/>
      <c r="U37" s="632">
        <f>P37+1</f>
        <v>46120</v>
      </c>
      <c r="V37" s="610"/>
      <c r="W37" s="610"/>
      <c r="X37" s="610"/>
      <c r="Y37" s="610"/>
      <c r="Z37" s="632">
        <f>U37+1</f>
        <v>46121</v>
      </c>
      <c r="AA37" s="610"/>
      <c r="AB37" s="610"/>
      <c r="AC37" s="610"/>
      <c r="AD37" s="610"/>
      <c r="AE37" s="632">
        <f>Z37+1</f>
        <v>46122</v>
      </c>
      <c r="AF37" s="610"/>
      <c r="AG37" s="610"/>
      <c r="AH37" s="610"/>
      <c r="AI37" s="610"/>
      <c r="AJ37" s="632">
        <f>AE37+1</f>
        <v>46123</v>
      </c>
      <c r="AK37" s="610"/>
      <c r="AL37" s="610"/>
      <c r="AM37" s="610"/>
      <c r="AN37" s="610"/>
      <c r="AO37" s="632">
        <f>AJ37+1</f>
        <v>46124</v>
      </c>
      <c r="AP37" s="610"/>
      <c r="AQ37" s="610"/>
      <c r="AR37" s="610"/>
      <c r="AS37" s="610"/>
      <c r="AT37" s="632">
        <f>AO37+1</f>
        <v>46125</v>
      </c>
      <c r="AU37" s="610"/>
      <c r="AV37" s="610"/>
      <c r="AW37" s="610"/>
      <c r="AX37" s="610"/>
    </row>
    <row r="38" spans="2:53" ht="15.75">
      <c r="B38" s="636"/>
      <c r="C38" s="636"/>
      <c r="D38" s="636"/>
      <c r="E38" s="636"/>
      <c r="F38" s="636"/>
      <c r="G38" s="636"/>
      <c r="H38" s="636"/>
      <c r="I38" s="205"/>
      <c r="J38" s="205"/>
      <c r="K38" s="205"/>
      <c r="L38" s="205"/>
      <c r="M38" s="206"/>
      <c r="N38" s="608"/>
      <c r="O38" s="608"/>
      <c r="P38" s="632" t="s">
        <v>336</v>
      </c>
      <c r="Q38" s="610"/>
      <c r="R38" s="610"/>
      <c r="S38" s="610"/>
      <c r="T38" s="610"/>
      <c r="U38" s="632" t="s">
        <v>337</v>
      </c>
      <c r="V38" s="610"/>
      <c r="W38" s="610"/>
      <c r="X38" s="610"/>
      <c r="Y38" s="610"/>
      <c r="Z38" s="632" t="s">
        <v>338</v>
      </c>
      <c r="AA38" s="610"/>
      <c r="AB38" s="610"/>
      <c r="AC38" s="610"/>
      <c r="AD38" s="610"/>
      <c r="AE38" s="632" t="s">
        <v>339</v>
      </c>
      <c r="AF38" s="610"/>
      <c r="AG38" s="610"/>
      <c r="AH38" s="610"/>
      <c r="AI38" s="610"/>
      <c r="AJ38" s="632" t="s">
        <v>340</v>
      </c>
      <c r="AK38" s="610"/>
      <c r="AL38" s="610"/>
      <c r="AM38" s="610"/>
      <c r="AN38" s="610"/>
      <c r="AO38" s="632" t="s">
        <v>341</v>
      </c>
      <c r="AP38" s="610"/>
      <c r="AQ38" s="610"/>
      <c r="AR38" s="610"/>
      <c r="AS38" s="610"/>
      <c r="AT38" s="632" t="s">
        <v>342</v>
      </c>
      <c r="AU38" s="610"/>
      <c r="AV38" s="610"/>
      <c r="AW38" s="610"/>
      <c r="AX38" s="610"/>
    </row>
    <row r="39" spans="2:53">
      <c r="B39" s="604" t="s">
        <v>441</v>
      </c>
      <c r="C39" s="604" t="s">
        <v>442</v>
      </c>
      <c r="D39" s="604"/>
      <c r="E39" s="604" t="s">
        <v>443</v>
      </c>
      <c r="F39" s="604"/>
      <c r="G39" s="604"/>
      <c r="H39" s="637" t="s">
        <v>444</v>
      </c>
      <c r="I39" s="656" t="s">
        <v>445</v>
      </c>
      <c r="J39" s="656"/>
      <c r="K39" s="656"/>
      <c r="L39" s="657" t="s">
        <v>444</v>
      </c>
      <c r="M39" s="642" t="s">
        <v>446</v>
      </c>
      <c r="N39" s="604"/>
      <c r="O39" s="604" t="s">
        <v>447</v>
      </c>
      <c r="P39" s="623" t="s">
        <v>448</v>
      </c>
      <c r="Q39" s="624"/>
      <c r="R39" s="624"/>
      <c r="S39" s="625"/>
      <c r="T39" s="604" t="s">
        <v>444</v>
      </c>
      <c r="U39" s="623" t="s">
        <v>448</v>
      </c>
      <c r="V39" s="624"/>
      <c r="W39" s="624"/>
      <c r="X39" s="625"/>
      <c r="Y39" s="604" t="s">
        <v>444</v>
      </c>
      <c r="Z39" s="623" t="s">
        <v>448</v>
      </c>
      <c r="AA39" s="624"/>
      <c r="AB39" s="624"/>
      <c r="AC39" s="625"/>
      <c r="AD39" s="604" t="s">
        <v>444</v>
      </c>
      <c r="AE39" s="623" t="s">
        <v>448</v>
      </c>
      <c r="AF39" s="624"/>
      <c r="AG39" s="624"/>
      <c r="AH39" s="625"/>
      <c r="AI39" s="604" t="s">
        <v>444</v>
      </c>
      <c r="AJ39" s="623" t="s">
        <v>448</v>
      </c>
      <c r="AK39" s="624"/>
      <c r="AL39" s="624"/>
      <c r="AM39" s="625"/>
      <c r="AN39" s="604" t="s">
        <v>444</v>
      </c>
      <c r="AO39" s="623" t="s">
        <v>448</v>
      </c>
      <c r="AP39" s="624"/>
      <c r="AQ39" s="624"/>
      <c r="AR39" s="625"/>
      <c r="AS39" s="604" t="s">
        <v>444</v>
      </c>
      <c r="AT39" s="623" t="s">
        <v>448</v>
      </c>
      <c r="AU39" s="624"/>
      <c r="AV39" s="624"/>
      <c r="AW39" s="625"/>
      <c r="AX39" s="604" t="s">
        <v>444</v>
      </c>
      <c r="BA39" s="604" t="s">
        <v>395</v>
      </c>
    </row>
    <row r="40" spans="2:53">
      <c r="B40" s="604"/>
      <c r="C40" s="604"/>
      <c r="D40" s="604"/>
      <c r="E40" s="604" t="s">
        <v>449</v>
      </c>
      <c r="F40" s="604"/>
      <c r="G40" s="604"/>
      <c r="H40" s="638"/>
      <c r="I40" s="656" t="s">
        <v>449</v>
      </c>
      <c r="J40" s="656"/>
      <c r="K40" s="656"/>
      <c r="L40" s="658"/>
      <c r="M40" s="643"/>
      <c r="N40" s="604"/>
      <c r="O40" s="604"/>
      <c r="P40" s="623" t="s">
        <v>450</v>
      </c>
      <c r="Q40" s="624"/>
      <c r="R40" s="624"/>
      <c r="S40" s="625"/>
      <c r="T40" s="604"/>
      <c r="U40" s="623" t="s">
        <v>450</v>
      </c>
      <c r="V40" s="624"/>
      <c r="W40" s="624"/>
      <c r="X40" s="625"/>
      <c r="Y40" s="604"/>
      <c r="Z40" s="623" t="s">
        <v>450</v>
      </c>
      <c r="AA40" s="624"/>
      <c r="AB40" s="624"/>
      <c r="AC40" s="625"/>
      <c r="AD40" s="604"/>
      <c r="AE40" s="623" t="s">
        <v>450</v>
      </c>
      <c r="AF40" s="624"/>
      <c r="AG40" s="624"/>
      <c r="AH40" s="625"/>
      <c r="AI40" s="604"/>
      <c r="AJ40" s="623" t="s">
        <v>450</v>
      </c>
      <c r="AK40" s="624"/>
      <c r="AL40" s="624"/>
      <c r="AM40" s="625"/>
      <c r="AN40" s="604"/>
      <c r="AO40" s="623" t="s">
        <v>450</v>
      </c>
      <c r="AP40" s="624"/>
      <c r="AQ40" s="624"/>
      <c r="AR40" s="625"/>
      <c r="AS40" s="604"/>
      <c r="AT40" s="623" t="s">
        <v>450</v>
      </c>
      <c r="AU40" s="624"/>
      <c r="AV40" s="624"/>
      <c r="AW40" s="625"/>
      <c r="AX40" s="604"/>
      <c r="BA40" s="604"/>
    </row>
    <row r="41" spans="2:53">
      <c r="B41" s="604"/>
      <c r="C41" s="604"/>
      <c r="D41" s="604"/>
      <c r="E41" s="304" t="s">
        <v>451</v>
      </c>
      <c r="F41" s="304" t="s">
        <v>452</v>
      </c>
      <c r="G41" s="304" t="s">
        <v>453</v>
      </c>
      <c r="H41" s="639"/>
      <c r="I41" s="303" t="s">
        <v>451</v>
      </c>
      <c r="J41" s="303" t="s">
        <v>452</v>
      </c>
      <c r="K41" s="303" t="s">
        <v>453</v>
      </c>
      <c r="L41" s="659"/>
      <c r="M41" s="644"/>
      <c r="N41" s="604"/>
      <c r="O41" s="604"/>
      <c r="P41" s="304" t="s">
        <v>451</v>
      </c>
      <c r="Q41" s="304" t="s">
        <v>452</v>
      </c>
      <c r="R41" s="304" t="s">
        <v>453</v>
      </c>
      <c r="S41" s="304" t="s">
        <v>446</v>
      </c>
      <c r="T41" s="604"/>
      <c r="U41" s="304" t="s">
        <v>451</v>
      </c>
      <c r="V41" s="304" t="s">
        <v>452</v>
      </c>
      <c r="W41" s="304" t="s">
        <v>453</v>
      </c>
      <c r="X41" s="304" t="s">
        <v>446</v>
      </c>
      <c r="Y41" s="604"/>
      <c r="Z41" s="304" t="s">
        <v>451</v>
      </c>
      <c r="AA41" s="304" t="s">
        <v>452</v>
      </c>
      <c r="AB41" s="304" t="s">
        <v>453</v>
      </c>
      <c r="AC41" s="304" t="s">
        <v>446</v>
      </c>
      <c r="AD41" s="604"/>
      <c r="AE41" s="304" t="s">
        <v>451</v>
      </c>
      <c r="AF41" s="304" t="s">
        <v>452</v>
      </c>
      <c r="AG41" s="304" t="s">
        <v>453</v>
      </c>
      <c r="AH41" s="304" t="s">
        <v>446</v>
      </c>
      <c r="AI41" s="604"/>
      <c r="AJ41" s="304" t="s">
        <v>451</v>
      </c>
      <c r="AK41" s="304" t="s">
        <v>452</v>
      </c>
      <c r="AL41" s="304" t="s">
        <v>453</v>
      </c>
      <c r="AM41" s="304" t="s">
        <v>446</v>
      </c>
      <c r="AN41" s="604"/>
      <c r="AO41" s="304" t="s">
        <v>451</v>
      </c>
      <c r="AP41" s="304" t="s">
        <v>452</v>
      </c>
      <c r="AQ41" s="304" t="s">
        <v>453</v>
      </c>
      <c r="AR41" s="304" t="s">
        <v>446</v>
      </c>
      <c r="AS41" s="604"/>
      <c r="AT41" s="304" t="s">
        <v>451</v>
      </c>
      <c r="AU41" s="304" t="s">
        <v>452</v>
      </c>
      <c r="AV41" s="304" t="s">
        <v>453</v>
      </c>
      <c r="AW41" s="304" t="s">
        <v>446</v>
      </c>
      <c r="AX41" s="604"/>
      <c r="AZ41" s="520" t="s">
        <v>396</v>
      </c>
      <c r="BA41" s="604"/>
    </row>
    <row r="42" spans="2:53">
      <c r="B42" s="604" t="s">
        <v>454</v>
      </c>
      <c r="C42" s="305">
        <v>1</v>
      </c>
      <c r="D42" s="226" t="s">
        <v>367</v>
      </c>
      <c r="E42" s="182">
        <v>6</v>
      </c>
      <c r="F42" s="502">
        <v>1500</v>
      </c>
      <c r="G42" s="503">
        <v>250</v>
      </c>
      <c r="H42" s="667">
        <f>AVERAGE(G42:G71)</f>
        <v>97.962962962962976</v>
      </c>
      <c r="I42" s="513">
        <f>IFERROR(AVERAGE(P42,U42,Z42,AE42,AJ42,AO42,AT42),"-")</f>
        <v>6</v>
      </c>
      <c r="J42" s="513">
        <f>IFERROR(AVERAGE(Q42,V42,AA42,AF42,AK42,AP42,AU42),"-")</f>
        <v>1414.1403226216937</v>
      </c>
      <c r="K42" s="200">
        <f>IFERROR(AVERAGE(R42,W42,AB42,AG42,AL42,AQ42,AV42),"-")</f>
        <v>235.6900537702823</v>
      </c>
      <c r="L42" s="620">
        <f>IFERROR(AVERAGE(K42:K71),"-")</f>
        <v>87.318764841125642</v>
      </c>
      <c r="M42" s="201">
        <f>RANK(K42, K$42:$K$71)</f>
        <v>2</v>
      </c>
      <c r="N42" s="604"/>
      <c r="O42" s="604"/>
      <c r="P42" s="526">
        <v>6</v>
      </c>
      <c r="Q42" s="530">
        <v>1410.2080291970808</v>
      </c>
      <c r="R42" s="530">
        <v>235.0346715328468</v>
      </c>
      <c r="S42" s="526">
        <f t="shared" ref="S42:S71" si="9">RANK(R42, R$42:R$71)</f>
        <v>2</v>
      </c>
      <c r="T42" s="605">
        <f>AVERAGE(R42:R71)</f>
        <v>88.071271356639485</v>
      </c>
      <c r="U42" s="526">
        <v>6</v>
      </c>
      <c r="V42" s="530">
        <v>1417.7490774907747</v>
      </c>
      <c r="W42" s="530">
        <v>236.29151291512912</v>
      </c>
      <c r="X42" s="526">
        <f t="shared" ref="X42:X71" si="10">RANK(W42, W$42:W$71)</f>
        <v>1</v>
      </c>
      <c r="Y42" s="605">
        <f>AVERAGE(W42:W71)</f>
        <v>86.416129741112073</v>
      </c>
      <c r="Z42" s="526">
        <v>6</v>
      </c>
      <c r="AA42" s="530">
        <v>1410.6730038022813</v>
      </c>
      <c r="AB42" s="530">
        <v>235.11216730038021</v>
      </c>
      <c r="AC42" s="526">
        <f t="shared" ref="AC42:AC71" si="11">RANK(AB42, AB$42:AB$71)</f>
        <v>2</v>
      </c>
      <c r="AD42" s="605">
        <f>AVERAGE(AB42:AB71)</f>
        <v>88.043208978842713</v>
      </c>
      <c r="AE42" s="526">
        <v>6</v>
      </c>
      <c r="AF42" s="530">
        <v>1403.2470119521913</v>
      </c>
      <c r="AG42" s="530">
        <v>233.8745019920319</v>
      </c>
      <c r="AH42" s="526">
        <f t="shared" ref="AH42:AH71" si="12">RANK(AG42, AG$42:AG$71)</f>
        <v>2</v>
      </c>
      <c r="AI42" s="605">
        <f>AVERAGE(AG42:AG71)</f>
        <v>87.760250455712153</v>
      </c>
      <c r="AJ42" s="526">
        <v>6</v>
      </c>
      <c r="AK42" s="530">
        <v>1427.4444444444443</v>
      </c>
      <c r="AL42" s="530">
        <v>237.90740740740739</v>
      </c>
      <c r="AM42" s="526">
        <f t="shared" ref="AM42:AM71" si="13">RANK(AL42, AL$42:AL$71)</f>
        <v>2</v>
      </c>
      <c r="AN42" s="605">
        <f>AVERAGE(AL42:AL71)</f>
        <v>88.454861134591766</v>
      </c>
      <c r="AO42" s="526">
        <v>6</v>
      </c>
      <c r="AP42" s="530">
        <v>1405.1214057507987</v>
      </c>
      <c r="AQ42" s="530">
        <v>234.18690095846645</v>
      </c>
      <c r="AR42" s="526">
        <f t="shared" ref="AR42:AR71" si="14">RANK(AQ42, AQ$42:AQ$71)</f>
        <v>2</v>
      </c>
      <c r="AS42" s="605">
        <f>AVERAGE(AQ42:AQ71)</f>
        <v>85.930886762100627</v>
      </c>
      <c r="AT42" s="526">
        <v>6</v>
      </c>
      <c r="AU42" s="530">
        <v>1424.5392857142856</v>
      </c>
      <c r="AV42" s="530">
        <v>237.42321428571427</v>
      </c>
      <c r="AW42" s="526">
        <f t="shared" ref="AW42:AW71" si="15">RANK(AV42, AV$42:AV$71)</f>
        <v>2</v>
      </c>
      <c r="AX42" s="605">
        <f>AVERAGE(AV42:AV71)</f>
        <v>86.554745458880674</v>
      </c>
      <c r="AZ42" s="521" t="e">
        <f t="shared" ref="AZ42:AZ71" si="16">RANK(AY42, AY$42:AY$71)</f>
        <v>#N/A</v>
      </c>
      <c r="BA42" s="605" t="e">
        <f>AVERAGE(AY42:AY71)</f>
        <v>#DIV/0!</v>
      </c>
    </row>
    <row r="43" spans="2:53">
      <c r="B43" s="610"/>
      <c r="C43" s="305">
        <v>2</v>
      </c>
      <c r="D43" s="226" t="s">
        <v>824</v>
      </c>
      <c r="E43" s="182">
        <v>6</v>
      </c>
      <c r="F43" s="502">
        <v>1500</v>
      </c>
      <c r="G43" s="503">
        <v>250</v>
      </c>
      <c r="H43" s="668"/>
      <c r="I43" s="513">
        <f t="shared" ref="I43:I71" si="17">IFERROR(AVERAGE(P43,U43,Z43,AE43,AJ43,AO43,AT43),"-")</f>
        <v>6.1428571428571432</v>
      </c>
      <c r="J43" s="513">
        <f t="shared" ref="J43:J71" si="18">IFERROR(AVERAGE(Q43,V43,AA43,AF43,AK43,AP43,AU43),"-")</f>
        <v>1444.2136233083472</v>
      </c>
      <c r="K43" s="200">
        <f t="shared" ref="K43:K71" si="19">IFERROR(AVERAGE(R43,W43,AB43,AG43,AL43,AQ43,AV43),"-")</f>
        <v>235.73462495656787</v>
      </c>
      <c r="L43" s="621"/>
      <c r="M43" s="201">
        <f>RANK(K43, K$42:$K$71)</f>
        <v>1</v>
      </c>
      <c r="N43" s="604"/>
      <c r="O43" s="604"/>
      <c r="P43" s="526">
        <v>6</v>
      </c>
      <c r="Q43" s="530">
        <v>1423.9655172413795</v>
      </c>
      <c r="R43" s="530">
        <v>237.3275862068966</v>
      </c>
      <c r="S43" s="526">
        <f t="shared" si="9"/>
        <v>1</v>
      </c>
      <c r="T43" s="605"/>
      <c r="U43" s="526">
        <v>7</v>
      </c>
      <c r="V43" s="530">
        <v>1460.4878048780492</v>
      </c>
      <c r="W43" s="530">
        <v>208.64111498257847</v>
      </c>
      <c r="X43" s="526">
        <f t="shared" si="10"/>
        <v>2</v>
      </c>
      <c r="Y43" s="605"/>
      <c r="Z43" s="526">
        <v>6</v>
      </c>
      <c r="AA43" s="530">
        <v>1422.9787234042556</v>
      </c>
      <c r="AB43" s="530">
        <v>237.16312056737593</v>
      </c>
      <c r="AC43" s="526">
        <f t="shared" si="11"/>
        <v>1</v>
      </c>
      <c r="AD43" s="605"/>
      <c r="AE43" s="526">
        <v>6</v>
      </c>
      <c r="AF43" s="530">
        <v>1432.6530612244896</v>
      </c>
      <c r="AG43" s="530">
        <v>238.7755102040816</v>
      </c>
      <c r="AH43" s="526">
        <f t="shared" si="12"/>
        <v>1</v>
      </c>
      <c r="AI43" s="605"/>
      <c r="AJ43" s="526">
        <v>6</v>
      </c>
      <c r="AK43" s="530">
        <v>1448.0769230769229</v>
      </c>
      <c r="AL43" s="530">
        <v>241.34615384615381</v>
      </c>
      <c r="AM43" s="526">
        <f t="shared" si="13"/>
        <v>1</v>
      </c>
      <c r="AN43" s="605"/>
      <c r="AO43" s="526">
        <v>6</v>
      </c>
      <c r="AP43" s="530">
        <v>1464.4444444444443</v>
      </c>
      <c r="AQ43" s="530">
        <v>244.07407407407405</v>
      </c>
      <c r="AR43" s="526">
        <f t="shared" si="14"/>
        <v>1</v>
      </c>
      <c r="AS43" s="605"/>
      <c r="AT43" s="526">
        <v>6</v>
      </c>
      <c r="AU43" s="530">
        <v>1456.8888888888889</v>
      </c>
      <c r="AV43" s="530">
        <v>242.81481481481481</v>
      </c>
      <c r="AW43" s="526">
        <f t="shared" si="15"/>
        <v>1</v>
      </c>
      <c r="AX43" s="605"/>
      <c r="AZ43" s="521" t="e">
        <f t="shared" si="16"/>
        <v>#N/A</v>
      </c>
      <c r="BA43" s="605"/>
    </row>
    <row r="44" spans="2:53">
      <c r="B44" s="610"/>
      <c r="C44" s="305">
        <v>3</v>
      </c>
      <c r="D44" s="226" t="s">
        <v>801</v>
      </c>
      <c r="E44" s="182">
        <v>18</v>
      </c>
      <c r="F44" s="502">
        <v>1500</v>
      </c>
      <c r="G44" s="503">
        <v>83.3</v>
      </c>
      <c r="H44" s="668"/>
      <c r="I44" s="513">
        <f t="shared" si="17"/>
        <v>18</v>
      </c>
      <c r="J44" s="513">
        <f t="shared" si="18"/>
        <v>1274.1975669066046</v>
      </c>
      <c r="K44" s="200">
        <f t="shared" si="19"/>
        <v>70.788753717033586</v>
      </c>
      <c r="L44" s="621"/>
      <c r="M44" s="201">
        <f>RANK(K44, K$42:$K$71)</f>
        <v>19</v>
      </c>
      <c r="N44" s="604"/>
      <c r="O44" s="604"/>
      <c r="P44" s="526">
        <v>18</v>
      </c>
      <c r="Q44" s="530">
        <v>1280.6191616766462</v>
      </c>
      <c r="R44" s="530">
        <v>71.145508982035892</v>
      </c>
      <c r="S44" s="526">
        <f t="shared" si="9"/>
        <v>21</v>
      </c>
      <c r="T44" s="605"/>
      <c r="U44" s="526">
        <v>18</v>
      </c>
      <c r="V44" s="530">
        <v>1282.2750000000001</v>
      </c>
      <c r="W44" s="530">
        <v>71.237500000000011</v>
      </c>
      <c r="X44" s="526">
        <f t="shared" si="10"/>
        <v>18</v>
      </c>
      <c r="Y44" s="605"/>
      <c r="Z44" s="526">
        <v>18</v>
      </c>
      <c r="AA44" s="530">
        <v>1271.489552238806</v>
      </c>
      <c r="AB44" s="530">
        <v>70.638308457711446</v>
      </c>
      <c r="AC44" s="526">
        <f t="shared" si="11"/>
        <v>22</v>
      </c>
      <c r="AD44" s="605"/>
      <c r="AE44" s="526">
        <v>18</v>
      </c>
      <c r="AF44" s="530">
        <v>1268.487096774194</v>
      </c>
      <c r="AG44" s="530">
        <v>70.471505376344112</v>
      </c>
      <c r="AH44" s="526">
        <f t="shared" si="12"/>
        <v>20</v>
      </c>
      <c r="AI44" s="605"/>
      <c r="AJ44" s="526">
        <v>18</v>
      </c>
      <c r="AK44" s="530">
        <v>1270.155882352941</v>
      </c>
      <c r="AL44" s="530">
        <v>70.564215686274508</v>
      </c>
      <c r="AM44" s="526">
        <f t="shared" si="13"/>
        <v>20</v>
      </c>
      <c r="AN44" s="605"/>
      <c r="AO44" s="526">
        <v>18</v>
      </c>
      <c r="AP44" s="530">
        <v>1279.894736842105</v>
      </c>
      <c r="AQ44" s="530">
        <v>71.105263157894726</v>
      </c>
      <c r="AR44" s="526">
        <f t="shared" si="14"/>
        <v>17</v>
      </c>
      <c r="AS44" s="605"/>
      <c r="AT44" s="526">
        <v>18</v>
      </c>
      <c r="AU44" s="530">
        <v>1266.4615384615381</v>
      </c>
      <c r="AV44" s="530">
        <v>70.358974358974336</v>
      </c>
      <c r="AW44" s="526">
        <f t="shared" si="15"/>
        <v>19</v>
      </c>
      <c r="AX44" s="605"/>
      <c r="AZ44" s="521" t="e">
        <f t="shared" si="16"/>
        <v>#N/A</v>
      </c>
      <c r="BA44" s="605"/>
    </row>
    <row r="45" spans="2:53">
      <c r="B45" s="610"/>
      <c r="C45" s="305">
        <v>4</v>
      </c>
      <c r="D45" s="226" t="s">
        <v>741</v>
      </c>
      <c r="E45" s="182">
        <v>18</v>
      </c>
      <c r="F45" s="502">
        <v>1500</v>
      </c>
      <c r="G45" s="503">
        <v>83.3</v>
      </c>
      <c r="H45" s="668"/>
      <c r="I45" s="513">
        <f t="shared" si="17"/>
        <v>18.142857142857142</v>
      </c>
      <c r="J45" s="513">
        <f t="shared" si="18"/>
        <v>1362.0167083307847</v>
      </c>
      <c r="K45" s="200">
        <f t="shared" si="19"/>
        <v>75.109817484986706</v>
      </c>
      <c r="L45" s="621"/>
      <c r="M45" s="201">
        <f>RANK(K45, K$42:$K$71)</f>
        <v>15</v>
      </c>
      <c r="N45" s="604"/>
      <c r="O45" s="604"/>
      <c r="P45" s="526">
        <v>18</v>
      </c>
      <c r="Q45" s="530">
        <v>1388</v>
      </c>
      <c r="R45" s="530">
        <v>77.111111111111114</v>
      </c>
      <c r="S45" s="526">
        <f t="shared" si="9"/>
        <v>13</v>
      </c>
      <c r="T45" s="605"/>
      <c r="U45" s="526">
        <v>18</v>
      </c>
      <c r="V45" s="530">
        <v>1368.2926829268288</v>
      </c>
      <c r="W45" s="530">
        <v>76.016260162601597</v>
      </c>
      <c r="X45" s="526">
        <f t="shared" si="10"/>
        <v>13</v>
      </c>
      <c r="Y45" s="605"/>
      <c r="Z45" s="526">
        <v>18</v>
      </c>
      <c r="AA45" s="530">
        <v>1368.5714285714282</v>
      </c>
      <c r="AB45" s="530">
        <v>76.03174603174601</v>
      </c>
      <c r="AC45" s="526">
        <f t="shared" si="11"/>
        <v>14</v>
      </c>
      <c r="AD45" s="605"/>
      <c r="AE45" s="526">
        <v>18</v>
      </c>
      <c r="AF45" s="530">
        <v>1387.8947368421043</v>
      </c>
      <c r="AG45" s="530">
        <v>77.105263157894683</v>
      </c>
      <c r="AH45" s="526">
        <f t="shared" si="12"/>
        <v>14</v>
      </c>
      <c r="AI45" s="605"/>
      <c r="AJ45" s="526">
        <v>18</v>
      </c>
      <c r="AK45" s="530">
        <v>1372.8571428571424</v>
      </c>
      <c r="AL45" s="530">
        <v>76.269841269841251</v>
      </c>
      <c r="AM45" s="526">
        <f t="shared" si="13"/>
        <v>14</v>
      </c>
      <c r="AN45" s="605"/>
      <c r="AO45" s="526">
        <v>18</v>
      </c>
      <c r="AP45" s="530">
        <v>1313.1818181818182</v>
      </c>
      <c r="AQ45" s="530">
        <v>72.954545454545453</v>
      </c>
      <c r="AR45" s="526">
        <f t="shared" si="14"/>
        <v>15</v>
      </c>
      <c r="AS45" s="605"/>
      <c r="AT45" s="526">
        <v>19</v>
      </c>
      <c r="AU45" s="530">
        <v>1335.3191489361704</v>
      </c>
      <c r="AV45" s="530">
        <v>70.279955207166864</v>
      </c>
      <c r="AW45" s="526">
        <f t="shared" si="15"/>
        <v>20</v>
      </c>
      <c r="AX45" s="605"/>
      <c r="AZ45" s="521" t="e">
        <f t="shared" si="16"/>
        <v>#N/A</v>
      </c>
      <c r="BA45" s="605"/>
    </row>
    <row r="46" spans="2:53">
      <c r="B46" s="610"/>
      <c r="C46" s="305">
        <v>5</v>
      </c>
      <c r="D46" s="226" t="s">
        <v>353</v>
      </c>
      <c r="E46" s="182">
        <v>16</v>
      </c>
      <c r="F46" s="502">
        <v>1500</v>
      </c>
      <c r="G46" s="503">
        <v>93.8</v>
      </c>
      <c r="H46" s="668"/>
      <c r="I46" s="513">
        <f t="shared" si="17"/>
        <v>16</v>
      </c>
      <c r="J46" s="513">
        <f t="shared" si="18"/>
        <v>1366.6229583424702</v>
      </c>
      <c r="K46" s="200">
        <f t="shared" si="19"/>
        <v>85.413934896404385</v>
      </c>
      <c r="L46" s="621"/>
      <c r="M46" s="201">
        <f>RANK(K46, K$42:$K$71)</f>
        <v>5</v>
      </c>
      <c r="N46" s="604"/>
      <c r="O46" s="604"/>
      <c r="P46" s="526">
        <v>16</v>
      </c>
      <c r="Q46" s="530">
        <v>1393.1707317073167</v>
      </c>
      <c r="R46" s="530">
        <v>87.073170731707293</v>
      </c>
      <c r="S46" s="526">
        <f t="shared" si="9"/>
        <v>5</v>
      </c>
      <c r="T46" s="605"/>
      <c r="U46" s="526">
        <v>16</v>
      </c>
      <c r="V46" s="530">
        <v>1321.4999999999995</v>
      </c>
      <c r="W46" s="530">
        <v>82.593749999999972</v>
      </c>
      <c r="X46" s="526">
        <f t="shared" si="10"/>
        <v>10</v>
      </c>
      <c r="Y46" s="605"/>
      <c r="Z46" s="526">
        <v>16</v>
      </c>
      <c r="AA46" s="530">
        <v>1401.5384615384608</v>
      </c>
      <c r="AB46" s="530">
        <v>87.596153846153797</v>
      </c>
      <c r="AC46" s="526">
        <f t="shared" si="11"/>
        <v>4</v>
      </c>
      <c r="AD46" s="605"/>
      <c r="AE46" s="526">
        <v>16</v>
      </c>
      <c r="AF46" s="530">
        <v>1383.3333333333321</v>
      </c>
      <c r="AG46" s="530">
        <v>86.458333333333258</v>
      </c>
      <c r="AH46" s="526">
        <f t="shared" si="12"/>
        <v>5</v>
      </c>
      <c r="AI46" s="605"/>
      <c r="AJ46" s="526">
        <v>16</v>
      </c>
      <c r="AK46" s="530">
        <v>1368.5714285714282</v>
      </c>
      <c r="AL46" s="530">
        <v>85.535714285714263</v>
      </c>
      <c r="AM46" s="526">
        <f t="shared" si="13"/>
        <v>7</v>
      </c>
      <c r="AN46" s="605"/>
      <c r="AO46" s="526">
        <v>16</v>
      </c>
      <c r="AP46" s="530">
        <v>1341.4285714285711</v>
      </c>
      <c r="AQ46" s="530">
        <v>83.839285714285694</v>
      </c>
      <c r="AR46" s="526">
        <f t="shared" si="14"/>
        <v>4</v>
      </c>
      <c r="AS46" s="605"/>
      <c r="AT46" s="526">
        <v>16</v>
      </c>
      <c r="AU46" s="530">
        <v>1356.8181818181818</v>
      </c>
      <c r="AV46" s="530">
        <v>84.80113636363636</v>
      </c>
      <c r="AW46" s="526">
        <f t="shared" si="15"/>
        <v>6</v>
      </c>
      <c r="AX46" s="605"/>
      <c r="AZ46" s="521" t="e">
        <f t="shared" si="16"/>
        <v>#N/A</v>
      </c>
      <c r="BA46" s="605"/>
    </row>
    <row r="47" spans="2:53">
      <c r="B47" s="610"/>
      <c r="C47" s="305">
        <v>6</v>
      </c>
      <c r="D47" s="226" t="s">
        <v>369</v>
      </c>
      <c r="E47" s="182">
        <v>16</v>
      </c>
      <c r="F47" s="502">
        <v>1565</v>
      </c>
      <c r="G47" s="503">
        <v>97.8</v>
      </c>
      <c r="H47" s="668"/>
      <c r="I47" s="513">
        <f t="shared" si="17"/>
        <v>16</v>
      </c>
      <c r="J47" s="513">
        <f t="shared" si="18"/>
        <v>1378.0846400400553</v>
      </c>
      <c r="K47" s="200">
        <f t="shared" si="19"/>
        <v>86.130290002503457</v>
      </c>
      <c r="L47" s="621"/>
      <c r="M47" s="201">
        <f>RANK(K47, K$42:$K$71)</f>
        <v>4</v>
      </c>
      <c r="N47" s="604"/>
      <c r="O47" s="604"/>
      <c r="P47" s="526">
        <v>16</v>
      </c>
      <c r="Q47" s="530">
        <v>1404.1558441558434</v>
      </c>
      <c r="R47" s="530">
        <v>87.759740259740212</v>
      </c>
      <c r="S47" s="526">
        <f t="shared" si="9"/>
        <v>4</v>
      </c>
      <c r="T47" s="605"/>
      <c r="U47" s="526">
        <v>16</v>
      </c>
      <c r="V47" s="530">
        <v>1336.9230769230762</v>
      </c>
      <c r="W47" s="530">
        <v>83.557692307692264</v>
      </c>
      <c r="X47" s="526">
        <f t="shared" si="10"/>
        <v>8</v>
      </c>
      <c r="Y47" s="605"/>
      <c r="Z47" s="526">
        <v>16</v>
      </c>
      <c r="AA47" s="530">
        <v>1394.9999999999982</v>
      </c>
      <c r="AB47" s="530">
        <v>87.187499999999886</v>
      </c>
      <c r="AC47" s="526">
        <f t="shared" si="11"/>
        <v>6</v>
      </c>
      <c r="AD47" s="605"/>
      <c r="AE47" s="526">
        <v>16</v>
      </c>
      <c r="AF47" s="530">
        <v>1404.1791044776137</v>
      </c>
      <c r="AG47" s="530">
        <v>87.761194029850856</v>
      </c>
      <c r="AH47" s="526">
        <f t="shared" si="12"/>
        <v>4</v>
      </c>
      <c r="AI47" s="605"/>
      <c r="AJ47" s="526">
        <v>16</v>
      </c>
      <c r="AK47" s="530">
        <v>1411.6666666666656</v>
      </c>
      <c r="AL47" s="530">
        <v>88.2291666666666</v>
      </c>
      <c r="AM47" s="526">
        <f t="shared" si="13"/>
        <v>5</v>
      </c>
      <c r="AN47" s="605"/>
      <c r="AO47" s="526">
        <v>16</v>
      </c>
      <c r="AP47" s="530">
        <v>1323.4482758620688</v>
      </c>
      <c r="AQ47" s="530">
        <v>82.715517241379303</v>
      </c>
      <c r="AR47" s="526">
        <f t="shared" si="14"/>
        <v>7</v>
      </c>
      <c r="AS47" s="605"/>
      <c r="AT47" s="526">
        <v>16</v>
      </c>
      <c r="AU47" s="530">
        <v>1371.2195121951213</v>
      </c>
      <c r="AV47" s="530">
        <v>85.701219512195081</v>
      </c>
      <c r="AW47" s="526">
        <f t="shared" si="15"/>
        <v>5</v>
      </c>
      <c r="AX47" s="605"/>
      <c r="AZ47" s="521" t="e">
        <f t="shared" si="16"/>
        <v>#N/A</v>
      </c>
      <c r="BA47" s="605"/>
    </row>
    <row r="48" spans="2:53">
      <c r="B48" s="610"/>
      <c r="C48" s="305">
        <v>7</v>
      </c>
      <c r="D48" s="226" t="s">
        <v>345</v>
      </c>
      <c r="E48" s="182">
        <v>14</v>
      </c>
      <c r="F48" s="502">
        <v>1440</v>
      </c>
      <c r="G48" s="503">
        <v>102.9</v>
      </c>
      <c r="H48" s="668"/>
      <c r="I48" s="513">
        <f t="shared" si="17"/>
        <v>15</v>
      </c>
      <c r="J48" s="513">
        <f t="shared" si="18"/>
        <v>1277.096504994252</v>
      </c>
      <c r="K48" s="200">
        <f t="shared" si="19"/>
        <v>85.139766999616796</v>
      </c>
      <c r="L48" s="621"/>
      <c r="M48" s="201">
        <f>RANK(K48, K$42:$K$71)</f>
        <v>6</v>
      </c>
      <c r="N48" s="604"/>
      <c r="O48" s="604"/>
      <c r="P48" s="526">
        <v>15</v>
      </c>
      <c r="Q48" s="530">
        <v>1065.4545454545439</v>
      </c>
      <c r="R48" s="530">
        <v>71.030303030302932</v>
      </c>
      <c r="S48" s="526">
        <f t="shared" si="9"/>
        <v>22</v>
      </c>
      <c r="T48" s="605"/>
      <c r="U48" s="526">
        <v>15</v>
      </c>
      <c r="V48" s="530">
        <v>1387.1999999999782</v>
      </c>
      <c r="W48" s="530">
        <v>92.479999999998554</v>
      </c>
      <c r="X48" s="526">
        <f t="shared" si="10"/>
        <v>3</v>
      </c>
      <c r="Y48" s="605"/>
      <c r="Z48" s="526">
        <v>15</v>
      </c>
      <c r="AA48" s="530">
        <v>1330.4347826087003</v>
      </c>
      <c r="AB48" s="530">
        <v>88.695652173913359</v>
      </c>
      <c r="AC48" s="526">
        <f t="shared" si="11"/>
        <v>3</v>
      </c>
      <c r="AD48" s="605"/>
      <c r="AE48" s="526">
        <v>15</v>
      </c>
      <c r="AF48" s="530">
        <v>1276.5517241379287</v>
      </c>
      <c r="AG48" s="530">
        <v>85.103448275861908</v>
      </c>
      <c r="AH48" s="526">
        <f t="shared" si="12"/>
        <v>7</v>
      </c>
      <c r="AI48" s="605"/>
      <c r="AJ48" s="526">
        <v>15</v>
      </c>
      <c r="AK48" s="530">
        <v>1343.9999999999961</v>
      </c>
      <c r="AL48" s="530">
        <v>89.599999999999739</v>
      </c>
      <c r="AM48" s="526">
        <f t="shared" si="13"/>
        <v>4</v>
      </c>
      <c r="AN48" s="605"/>
      <c r="AO48" s="526">
        <v>15</v>
      </c>
      <c r="AP48" s="530">
        <v>1244.9999999999982</v>
      </c>
      <c r="AQ48" s="530">
        <v>82.999999999999872</v>
      </c>
      <c r="AR48" s="526">
        <f t="shared" si="14"/>
        <v>6</v>
      </c>
      <c r="AS48" s="605"/>
      <c r="AT48" s="526">
        <v>15</v>
      </c>
      <c r="AU48" s="530">
        <v>1291.0344827586182</v>
      </c>
      <c r="AV48" s="530">
        <v>86.06896551724121</v>
      </c>
      <c r="AW48" s="526">
        <f t="shared" si="15"/>
        <v>4</v>
      </c>
      <c r="AX48" s="605"/>
      <c r="AZ48" s="521" t="e">
        <f t="shared" si="16"/>
        <v>#N/A</v>
      </c>
      <c r="BA48" s="605"/>
    </row>
    <row r="49" spans="2:53">
      <c r="B49" s="610"/>
      <c r="C49" s="305">
        <v>8</v>
      </c>
      <c r="D49" s="226" t="s">
        <v>783</v>
      </c>
      <c r="E49" s="182">
        <v>16</v>
      </c>
      <c r="F49" s="502">
        <v>1440</v>
      </c>
      <c r="G49" s="503">
        <v>90</v>
      </c>
      <c r="H49" s="668"/>
      <c r="I49" s="513">
        <f t="shared" si="17"/>
        <v>16</v>
      </c>
      <c r="J49" s="513">
        <f t="shared" si="18"/>
        <v>1332.7272519509174</v>
      </c>
      <c r="K49" s="200">
        <f t="shared" si="19"/>
        <v>83.29545324693234</v>
      </c>
      <c r="L49" s="621"/>
      <c r="M49" s="201">
        <f>RANK(K49, K$42:$K$71)</f>
        <v>7</v>
      </c>
      <c r="N49" s="604"/>
      <c r="O49" s="604"/>
      <c r="P49" s="526">
        <v>16</v>
      </c>
      <c r="Q49" s="530">
        <v>1327.4999999999995</v>
      </c>
      <c r="R49" s="530">
        <v>82.968749999999972</v>
      </c>
      <c r="S49" s="526">
        <f t="shared" si="9"/>
        <v>9</v>
      </c>
      <c r="T49" s="605"/>
      <c r="U49" s="526">
        <v>16</v>
      </c>
      <c r="V49" s="530">
        <v>1341.5384615384608</v>
      </c>
      <c r="W49" s="530">
        <v>83.846153846153797</v>
      </c>
      <c r="X49" s="526">
        <f t="shared" si="10"/>
        <v>7</v>
      </c>
      <c r="Y49" s="605"/>
      <c r="Z49" s="526">
        <v>16</v>
      </c>
      <c r="AA49" s="530">
        <v>1314.7058823529396</v>
      </c>
      <c r="AB49" s="530">
        <v>82.169117647058727</v>
      </c>
      <c r="AC49" s="526">
        <f t="shared" si="11"/>
        <v>11</v>
      </c>
      <c r="AD49" s="605"/>
      <c r="AE49" s="526">
        <v>16</v>
      </c>
      <c r="AF49" s="530">
        <v>1319.9999999999995</v>
      </c>
      <c r="AG49" s="530">
        <v>82.499999999999972</v>
      </c>
      <c r="AH49" s="526">
        <f t="shared" si="12"/>
        <v>10</v>
      </c>
      <c r="AI49" s="605"/>
      <c r="AJ49" s="526">
        <v>16</v>
      </c>
      <c r="AK49" s="530">
        <v>1362.1621621621609</v>
      </c>
      <c r="AL49" s="530">
        <v>85.135135135135059</v>
      </c>
      <c r="AM49" s="526">
        <f t="shared" si="13"/>
        <v>8</v>
      </c>
      <c r="AN49" s="605"/>
      <c r="AO49" s="526">
        <v>16</v>
      </c>
      <c r="AP49" s="530">
        <v>1333.9534883720928</v>
      </c>
      <c r="AQ49" s="530">
        <v>83.3720930232558</v>
      </c>
      <c r="AR49" s="526">
        <f t="shared" si="14"/>
        <v>5</v>
      </c>
      <c r="AS49" s="605"/>
      <c r="AT49" s="526">
        <v>16</v>
      </c>
      <c r="AU49" s="530">
        <v>1329.2307692307686</v>
      </c>
      <c r="AV49" s="530">
        <v>83.076923076923038</v>
      </c>
      <c r="AW49" s="526">
        <f t="shared" si="15"/>
        <v>7</v>
      </c>
      <c r="AX49" s="605"/>
      <c r="AZ49" s="521" t="e">
        <f t="shared" si="16"/>
        <v>#N/A</v>
      </c>
      <c r="BA49" s="605"/>
    </row>
    <row r="50" spans="2:53">
      <c r="B50" s="610"/>
      <c r="C50" s="305">
        <v>9</v>
      </c>
      <c r="D50" s="226" t="s">
        <v>784</v>
      </c>
      <c r="E50" s="182">
        <v>16</v>
      </c>
      <c r="F50" s="502">
        <v>1440</v>
      </c>
      <c r="G50" s="503">
        <v>90</v>
      </c>
      <c r="H50" s="668"/>
      <c r="I50" s="513">
        <f t="shared" si="17"/>
        <v>16.857142857142858</v>
      </c>
      <c r="J50" s="513">
        <f t="shared" si="18"/>
        <v>1211.3042671614107</v>
      </c>
      <c r="K50" s="200">
        <f t="shared" si="19"/>
        <v>71.889046527702021</v>
      </c>
      <c r="L50" s="621"/>
      <c r="M50" s="201">
        <f>RANK(K50, K$42:$K$71)</f>
        <v>18</v>
      </c>
      <c r="N50" s="604"/>
      <c r="O50" s="604"/>
      <c r="P50" s="526">
        <v>16</v>
      </c>
      <c r="Q50" s="530">
        <v>1210.6666666666665</v>
      </c>
      <c r="R50" s="530">
        <v>75.666666666666657</v>
      </c>
      <c r="S50" s="526">
        <f t="shared" si="9"/>
        <v>15</v>
      </c>
      <c r="T50" s="605"/>
      <c r="U50" s="526">
        <v>17</v>
      </c>
      <c r="V50" s="530">
        <v>1210.909090909091</v>
      </c>
      <c r="W50" s="530">
        <v>71.229946524064175</v>
      </c>
      <c r="X50" s="526">
        <f t="shared" si="10"/>
        <v>19</v>
      </c>
      <c r="Y50" s="605"/>
      <c r="Z50" s="526">
        <v>17</v>
      </c>
      <c r="AA50" s="530">
        <v>1254.8571428571531</v>
      </c>
      <c r="AB50" s="530">
        <v>73.815126050420773</v>
      </c>
      <c r="AC50" s="526">
        <f t="shared" si="11"/>
        <v>16</v>
      </c>
      <c r="AD50" s="605"/>
      <c r="AE50" s="526">
        <v>17</v>
      </c>
      <c r="AF50" s="530">
        <v>1186.3636363636365</v>
      </c>
      <c r="AG50" s="530">
        <v>69.786096256684502</v>
      </c>
      <c r="AH50" s="526">
        <f t="shared" si="12"/>
        <v>21</v>
      </c>
      <c r="AI50" s="605"/>
      <c r="AJ50" s="526">
        <v>17</v>
      </c>
      <c r="AK50" s="530">
        <v>1210.4999999999995</v>
      </c>
      <c r="AL50" s="530">
        <v>71.205882352941146</v>
      </c>
      <c r="AM50" s="526">
        <f t="shared" si="13"/>
        <v>18</v>
      </c>
      <c r="AN50" s="605"/>
      <c r="AO50" s="526">
        <v>17</v>
      </c>
      <c r="AP50" s="530">
        <v>1177.3333333333335</v>
      </c>
      <c r="AQ50" s="530">
        <v>69.254901960784323</v>
      </c>
      <c r="AR50" s="526">
        <f t="shared" si="14"/>
        <v>20</v>
      </c>
      <c r="AS50" s="605"/>
      <c r="AT50" s="526">
        <v>17</v>
      </c>
      <c r="AU50" s="530">
        <v>1228.4999999999945</v>
      </c>
      <c r="AV50" s="530">
        <v>72.264705882352615</v>
      </c>
      <c r="AW50" s="526">
        <f t="shared" si="15"/>
        <v>16</v>
      </c>
      <c r="AX50" s="605"/>
      <c r="AZ50" s="521" t="e">
        <f t="shared" si="16"/>
        <v>#N/A</v>
      </c>
      <c r="BA50" s="605"/>
    </row>
    <row r="51" spans="2:53">
      <c r="B51" s="610"/>
      <c r="C51" s="305">
        <v>10</v>
      </c>
      <c r="D51" s="226" t="s">
        <v>785</v>
      </c>
      <c r="E51" s="182">
        <v>18</v>
      </c>
      <c r="F51" s="502">
        <v>1636</v>
      </c>
      <c r="G51" s="503">
        <v>90.9</v>
      </c>
      <c r="H51" s="668"/>
      <c r="I51" s="513">
        <f t="shared" si="17"/>
        <v>18</v>
      </c>
      <c r="J51" s="513">
        <f t="shared" si="18"/>
        <v>1482.7951818195077</v>
      </c>
      <c r="K51" s="200">
        <f t="shared" si="19"/>
        <v>82.377510101083757</v>
      </c>
      <c r="L51" s="621"/>
      <c r="M51" s="201">
        <f>RANK(K51, K$42:$K$71)</f>
        <v>9</v>
      </c>
      <c r="N51" s="604"/>
      <c r="O51" s="604"/>
      <c r="P51" s="526">
        <v>18</v>
      </c>
      <c r="Q51" s="530">
        <v>1560.0000000000014</v>
      </c>
      <c r="R51" s="530">
        <v>86.666666666666742</v>
      </c>
      <c r="S51" s="526">
        <f t="shared" si="9"/>
        <v>6</v>
      </c>
      <c r="T51" s="605"/>
      <c r="U51" s="526">
        <v>18</v>
      </c>
      <c r="V51" s="530">
        <v>1558.9473684210539</v>
      </c>
      <c r="W51" s="530">
        <v>86.608187134502998</v>
      </c>
      <c r="X51" s="526">
        <f t="shared" si="10"/>
        <v>5</v>
      </c>
      <c r="Y51" s="605"/>
      <c r="Z51" s="526">
        <v>18</v>
      </c>
      <c r="AA51" s="530">
        <v>1510.3846153846162</v>
      </c>
      <c r="AB51" s="530">
        <v>83.910256410256451</v>
      </c>
      <c r="AC51" s="526">
        <f t="shared" si="11"/>
        <v>9</v>
      </c>
      <c r="AD51" s="605"/>
      <c r="AE51" s="526">
        <v>18</v>
      </c>
      <c r="AF51" s="530">
        <v>1503.1578947368432</v>
      </c>
      <c r="AG51" s="530">
        <v>83.508771929824618</v>
      </c>
      <c r="AH51" s="526">
        <f t="shared" si="12"/>
        <v>8</v>
      </c>
      <c r="AI51" s="605"/>
      <c r="AJ51" s="526">
        <v>18</v>
      </c>
      <c r="AK51" s="530">
        <v>1541.4545454545466</v>
      </c>
      <c r="AL51" s="530">
        <v>85.636363636363697</v>
      </c>
      <c r="AM51" s="526">
        <f t="shared" si="13"/>
        <v>6</v>
      </c>
      <c r="AN51" s="605"/>
      <c r="AO51" s="526">
        <v>18</v>
      </c>
      <c r="AP51" s="530">
        <v>1338.8571428571415</v>
      </c>
      <c r="AQ51" s="530">
        <v>74.380952380952309</v>
      </c>
      <c r="AR51" s="526">
        <f t="shared" si="14"/>
        <v>13</v>
      </c>
      <c r="AS51" s="605"/>
      <c r="AT51" s="526">
        <v>18</v>
      </c>
      <c r="AU51" s="530">
        <v>1366.7647058823511</v>
      </c>
      <c r="AV51" s="530">
        <v>75.9313725490195</v>
      </c>
      <c r="AW51" s="526">
        <f t="shared" si="15"/>
        <v>12</v>
      </c>
      <c r="AX51" s="605"/>
      <c r="AZ51" s="521" t="e">
        <f t="shared" si="16"/>
        <v>#N/A</v>
      </c>
      <c r="BA51" s="605"/>
    </row>
    <row r="52" spans="2:53">
      <c r="B52" s="610"/>
      <c r="C52" s="305">
        <v>11</v>
      </c>
      <c r="D52" s="226" t="s">
        <v>786</v>
      </c>
      <c r="E52" s="182">
        <v>18</v>
      </c>
      <c r="F52" s="502">
        <v>1636</v>
      </c>
      <c r="G52" s="503">
        <v>90.9</v>
      </c>
      <c r="H52" s="668"/>
      <c r="I52" s="513">
        <f t="shared" si="17"/>
        <v>18</v>
      </c>
      <c r="J52" s="513">
        <f t="shared" si="18"/>
        <v>1468.6581093325278</v>
      </c>
      <c r="K52" s="200">
        <f t="shared" si="19"/>
        <v>81.592117185140438</v>
      </c>
      <c r="L52" s="621"/>
      <c r="M52" s="201">
        <f>RANK(K52, K$42:$K$71)</f>
        <v>10</v>
      </c>
      <c r="N52" s="604"/>
      <c r="O52" s="604"/>
      <c r="P52" s="526">
        <v>18</v>
      </c>
      <c r="Q52" s="530">
        <v>1515</v>
      </c>
      <c r="R52" s="530">
        <v>84.166666666666671</v>
      </c>
      <c r="S52" s="526">
        <f t="shared" si="9"/>
        <v>8</v>
      </c>
      <c r="T52" s="605"/>
      <c r="U52" s="526">
        <v>18</v>
      </c>
      <c r="V52" s="530">
        <v>1510.909090909091</v>
      </c>
      <c r="W52" s="530">
        <v>83.939393939393938</v>
      </c>
      <c r="X52" s="526">
        <f t="shared" si="10"/>
        <v>6</v>
      </c>
      <c r="Y52" s="605"/>
      <c r="Z52" s="526">
        <v>18</v>
      </c>
      <c r="AA52" s="530">
        <v>1520.9999999999995</v>
      </c>
      <c r="AB52" s="530">
        <v>84.499999999999972</v>
      </c>
      <c r="AC52" s="526">
        <f t="shared" si="11"/>
        <v>7</v>
      </c>
      <c r="AD52" s="605"/>
      <c r="AE52" s="526">
        <v>18</v>
      </c>
      <c r="AF52" s="530">
        <v>1536.2790697674418</v>
      </c>
      <c r="AG52" s="530">
        <v>85.348837209302317</v>
      </c>
      <c r="AH52" s="526">
        <f t="shared" si="12"/>
        <v>6</v>
      </c>
      <c r="AI52" s="605"/>
      <c r="AJ52" s="526">
        <v>18</v>
      </c>
      <c r="AK52" s="530">
        <v>1494.4186046511625</v>
      </c>
      <c r="AL52" s="530">
        <v>83.023255813953469</v>
      </c>
      <c r="AM52" s="526">
        <f t="shared" si="13"/>
        <v>10</v>
      </c>
      <c r="AN52" s="605"/>
      <c r="AO52" s="526">
        <v>18</v>
      </c>
      <c r="AP52" s="530">
        <v>1308.0000000000009</v>
      </c>
      <c r="AQ52" s="530">
        <v>72.666666666666714</v>
      </c>
      <c r="AR52" s="526">
        <f t="shared" si="14"/>
        <v>16</v>
      </c>
      <c r="AS52" s="605"/>
      <c r="AT52" s="526">
        <v>18</v>
      </c>
      <c r="AU52" s="530">
        <v>1395.0000000000005</v>
      </c>
      <c r="AV52" s="530">
        <v>77.500000000000028</v>
      </c>
      <c r="AW52" s="526">
        <f t="shared" si="15"/>
        <v>11</v>
      </c>
      <c r="AX52" s="605"/>
      <c r="AZ52" s="521" t="e">
        <f t="shared" si="16"/>
        <v>#N/A</v>
      </c>
      <c r="BA52" s="605"/>
    </row>
    <row r="53" spans="2:53">
      <c r="B53" s="610"/>
      <c r="C53" s="305">
        <v>12</v>
      </c>
      <c r="D53" s="226" t="s">
        <v>355</v>
      </c>
      <c r="E53" s="182">
        <v>17</v>
      </c>
      <c r="F53" s="502">
        <v>1500</v>
      </c>
      <c r="G53" s="503">
        <v>88.2</v>
      </c>
      <c r="H53" s="668"/>
      <c r="I53" s="513">
        <f t="shared" si="17"/>
        <v>17</v>
      </c>
      <c r="J53" s="513">
        <f t="shared" si="18"/>
        <v>1374.64935064935</v>
      </c>
      <c r="K53" s="200">
        <f t="shared" si="19"/>
        <v>80.861726508785296</v>
      </c>
      <c r="L53" s="621"/>
      <c r="M53" s="201">
        <f>RANK(K53, K$42:$K$71)</f>
        <v>11</v>
      </c>
      <c r="N53" s="604"/>
      <c r="O53" s="604"/>
      <c r="P53" s="526">
        <v>17</v>
      </c>
      <c r="Q53" s="530">
        <v>1378.571428571428</v>
      </c>
      <c r="R53" s="530">
        <v>81.092436974789877</v>
      </c>
      <c r="S53" s="526">
        <f t="shared" si="9"/>
        <v>10</v>
      </c>
      <c r="T53" s="605"/>
      <c r="U53" s="526">
        <v>17</v>
      </c>
      <c r="V53" s="530">
        <v>1333.4999999999995</v>
      </c>
      <c r="W53" s="530">
        <v>78.441176470588204</v>
      </c>
      <c r="X53" s="526">
        <f t="shared" si="10"/>
        <v>12</v>
      </c>
      <c r="Y53" s="605"/>
      <c r="Z53" s="526">
        <v>17</v>
      </c>
      <c r="AA53" s="530">
        <v>1429.9999999999989</v>
      </c>
      <c r="AB53" s="530">
        <v>84.117647058823465</v>
      </c>
      <c r="AC53" s="526">
        <f t="shared" si="11"/>
        <v>8</v>
      </c>
      <c r="AD53" s="605"/>
      <c r="AE53" s="526">
        <v>17</v>
      </c>
      <c r="AF53" s="530">
        <v>1409.9999999999995</v>
      </c>
      <c r="AG53" s="530">
        <v>82.941176470588204</v>
      </c>
      <c r="AH53" s="526">
        <f t="shared" si="12"/>
        <v>9</v>
      </c>
      <c r="AI53" s="605"/>
      <c r="AJ53" s="526">
        <v>17</v>
      </c>
      <c r="AK53" s="530">
        <v>1384.4999999999995</v>
      </c>
      <c r="AL53" s="530">
        <v>81.441176470588204</v>
      </c>
      <c r="AM53" s="526">
        <f t="shared" si="13"/>
        <v>11</v>
      </c>
      <c r="AN53" s="605"/>
      <c r="AO53" s="526">
        <v>17</v>
      </c>
      <c r="AP53" s="530">
        <v>1344.5454545454545</v>
      </c>
      <c r="AQ53" s="530">
        <v>79.090909090909093</v>
      </c>
      <c r="AR53" s="526">
        <f t="shared" si="14"/>
        <v>9</v>
      </c>
      <c r="AS53" s="605"/>
      <c r="AT53" s="526">
        <v>17</v>
      </c>
      <c r="AU53" s="530">
        <v>1341.4285714285711</v>
      </c>
      <c r="AV53" s="530">
        <v>78.907563025210067</v>
      </c>
      <c r="AW53" s="526">
        <f t="shared" si="15"/>
        <v>9</v>
      </c>
      <c r="AX53" s="605"/>
      <c r="AZ53" s="521" t="e">
        <f t="shared" si="16"/>
        <v>#N/A</v>
      </c>
      <c r="BA53" s="605"/>
    </row>
    <row r="54" spans="2:53">
      <c r="B54" s="610"/>
      <c r="C54" s="305">
        <v>13</v>
      </c>
      <c r="D54" s="226" t="s">
        <v>665</v>
      </c>
      <c r="E54" s="182">
        <v>20</v>
      </c>
      <c r="F54" s="502">
        <v>1440</v>
      </c>
      <c r="G54" s="503">
        <v>72</v>
      </c>
      <c r="H54" s="668"/>
      <c r="I54" s="513">
        <f t="shared" si="17"/>
        <v>20</v>
      </c>
      <c r="J54" s="513">
        <f t="shared" si="18"/>
        <v>1333.4447440068288</v>
      </c>
      <c r="K54" s="200">
        <f t="shared" si="19"/>
        <v>66.672237200341442</v>
      </c>
      <c r="L54" s="621"/>
      <c r="M54" s="201">
        <f>RANK(K54, K$42:$K$71)</f>
        <v>23</v>
      </c>
      <c r="N54" s="604"/>
      <c r="O54" s="604"/>
      <c r="P54" s="526">
        <v>20</v>
      </c>
      <c r="Q54" s="530">
        <v>1311.0810810810799</v>
      </c>
      <c r="R54" s="530">
        <v>65.554054054053992</v>
      </c>
      <c r="S54" s="526">
        <f t="shared" si="9"/>
        <v>24</v>
      </c>
      <c r="T54" s="605"/>
      <c r="U54" s="526">
        <v>20</v>
      </c>
      <c r="V54" s="530">
        <v>1287.8873239436607</v>
      </c>
      <c r="W54" s="530">
        <v>64.394366197183032</v>
      </c>
      <c r="X54" s="526">
        <f t="shared" si="10"/>
        <v>25</v>
      </c>
      <c r="Y54" s="605"/>
      <c r="Z54" s="526">
        <v>20</v>
      </c>
      <c r="AA54" s="530">
        <v>1362.4615384615399</v>
      </c>
      <c r="AB54" s="530">
        <v>68.123076923076994</v>
      </c>
      <c r="AC54" s="526">
        <f t="shared" si="11"/>
        <v>23</v>
      </c>
      <c r="AD54" s="605"/>
      <c r="AE54" s="526">
        <v>20</v>
      </c>
      <c r="AF54" s="530">
        <v>1368.6956521739116</v>
      </c>
      <c r="AG54" s="530">
        <v>68.434782608695585</v>
      </c>
      <c r="AH54" s="526">
        <f t="shared" si="12"/>
        <v>23</v>
      </c>
      <c r="AI54" s="605"/>
      <c r="AJ54" s="526">
        <v>20</v>
      </c>
      <c r="AK54" s="530">
        <v>1361.599999999999</v>
      </c>
      <c r="AL54" s="530">
        <v>68.079999999999956</v>
      </c>
      <c r="AM54" s="526">
        <f t="shared" si="13"/>
        <v>23</v>
      </c>
      <c r="AN54" s="605"/>
      <c r="AO54" s="526">
        <v>20</v>
      </c>
      <c r="AP54" s="530">
        <v>1316.1538461538455</v>
      </c>
      <c r="AQ54" s="530">
        <v>65.807692307692278</v>
      </c>
      <c r="AR54" s="526">
        <f t="shared" si="14"/>
        <v>25</v>
      </c>
      <c r="AS54" s="605"/>
      <c r="AT54" s="526">
        <v>20</v>
      </c>
      <c r="AU54" s="530">
        <v>1326.2337662337654</v>
      </c>
      <c r="AV54" s="530">
        <v>66.311688311688272</v>
      </c>
      <c r="AW54" s="526">
        <f t="shared" si="15"/>
        <v>24</v>
      </c>
      <c r="AX54" s="605"/>
      <c r="AZ54" s="521" t="e">
        <f t="shared" si="16"/>
        <v>#N/A</v>
      </c>
      <c r="BA54" s="605"/>
    </row>
    <row r="55" spans="2:53">
      <c r="B55" s="610"/>
      <c r="C55" s="305">
        <v>14</v>
      </c>
      <c r="D55" s="226" t="s">
        <v>370</v>
      </c>
      <c r="E55" s="182">
        <v>14</v>
      </c>
      <c r="F55" s="502">
        <v>1440</v>
      </c>
      <c r="G55" s="503">
        <v>102.9</v>
      </c>
      <c r="H55" s="668"/>
      <c r="I55" s="513">
        <f t="shared" si="17"/>
        <v>14.857142857142858</v>
      </c>
      <c r="J55" s="513">
        <f t="shared" si="18"/>
        <v>1330.8224700956557</v>
      </c>
      <c r="K55" s="200">
        <f t="shared" si="19"/>
        <v>89.637824536989299</v>
      </c>
      <c r="L55" s="621"/>
      <c r="M55" s="201">
        <f>RANK(K55, K$42:$K$71)</f>
        <v>3</v>
      </c>
      <c r="N55" s="604"/>
      <c r="O55" s="604"/>
      <c r="P55" s="526">
        <v>14</v>
      </c>
      <c r="Q55" s="530">
        <v>1347.0000000000011</v>
      </c>
      <c r="R55" s="530">
        <v>96.214285714285793</v>
      </c>
      <c r="S55" s="526">
        <f t="shared" si="9"/>
        <v>3</v>
      </c>
      <c r="T55" s="605"/>
      <c r="U55" s="526">
        <v>15</v>
      </c>
      <c r="V55" s="530">
        <v>1351.9354838709689</v>
      </c>
      <c r="W55" s="530">
        <v>90.129032258064598</v>
      </c>
      <c r="X55" s="526">
        <f t="shared" si="10"/>
        <v>4</v>
      </c>
      <c r="Y55" s="605"/>
      <c r="Z55" s="526">
        <v>15</v>
      </c>
      <c r="AA55" s="530">
        <v>1313.3333333333339</v>
      </c>
      <c r="AB55" s="530">
        <v>87.5555555555556</v>
      </c>
      <c r="AC55" s="526">
        <f t="shared" si="11"/>
        <v>5</v>
      </c>
      <c r="AD55" s="605"/>
      <c r="AE55" s="526">
        <v>15</v>
      </c>
      <c r="AF55" s="530">
        <v>1332.6315789473695</v>
      </c>
      <c r="AG55" s="530">
        <v>88.842105263157961</v>
      </c>
      <c r="AH55" s="526">
        <f t="shared" si="12"/>
        <v>3</v>
      </c>
      <c r="AI55" s="605"/>
      <c r="AJ55" s="526">
        <v>15</v>
      </c>
      <c r="AK55" s="530">
        <v>1350.476190476192</v>
      </c>
      <c r="AL55" s="530">
        <v>90.031746031746124</v>
      </c>
      <c r="AM55" s="526">
        <f t="shared" si="13"/>
        <v>3</v>
      </c>
      <c r="AN55" s="605"/>
      <c r="AO55" s="526">
        <v>15</v>
      </c>
      <c r="AP55" s="530">
        <v>1272.9230769230783</v>
      </c>
      <c r="AQ55" s="530">
        <v>84.861538461538558</v>
      </c>
      <c r="AR55" s="526">
        <f t="shared" si="14"/>
        <v>3</v>
      </c>
      <c r="AS55" s="605"/>
      <c r="AT55" s="526">
        <v>15</v>
      </c>
      <c r="AU55" s="530">
        <v>1347.4576271186452</v>
      </c>
      <c r="AV55" s="530">
        <v>89.830508474576348</v>
      </c>
      <c r="AW55" s="526">
        <f t="shared" si="15"/>
        <v>3</v>
      </c>
      <c r="AX55" s="605"/>
      <c r="AZ55" s="521" t="e">
        <f t="shared" si="16"/>
        <v>#N/A</v>
      </c>
      <c r="BA55" s="605"/>
    </row>
    <row r="56" spans="2:53">
      <c r="B56" s="610"/>
      <c r="C56" s="305">
        <v>15</v>
      </c>
      <c r="D56" s="226" t="s">
        <v>347</v>
      </c>
      <c r="E56" s="182">
        <v>19</v>
      </c>
      <c r="F56" s="502">
        <v>1440</v>
      </c>
      <c r="G56" s="503">
        <v>75.8</v>
      </c>
      <c r="H56" s="668"/>
      <c r="I56" s="513">
        <f t="shared" si="17"/>
        <v>19</v>
      </c>
      <c r="J56" s="513">
        <f t="shared" si="18"/>
        <v>1334.6630209927077</v>
      </c>
      <c r="K56" s="200">
        <f t="shared" si="19"/>
        <v>70.245422157510944</v>
      </c>
      <c r="L56" s="621"/>
      <c r="M56" s="199">
        <f>RANK(K56, K$42:$K$71)</f>
        <v>21</v>
      </c>
      <c r="N56" s="604"/>
      <c r="O56" s="604"/>
      <c r="P56" s="526">
        <v>19</v>
      </c>
      <c r="Q56" s="530">
        <v>1375.862068965517</v>
      </c>
      <c r="R56" s="530">
        <v>72.413793103448256</v>
      </c>
      <c r="S56" s="526">
        <f t="shared" si="9"/>
        <v>18</v>
      </c>
      <c r="T56" s="605"/>
      <c r="U56" s="526">
        <v>19</v>
      </c>
      <c r="V56" s="530">
        <v>1313.2584269662921</v>
      </c>
      <c r="W56" s="530">
        <v>69.118864577173269</v>
      </c>
      <c r="X56" s="526">
        <f t="shared" si="10"/>
        <v>22</v>
      </c>
      <c r="Y56" s="605"/>
      <c r="Z56" s="526">
        <v>19</v>
      </c>
      <c r="AA56" s="530">
        <v>1345.8227848101258</v>
      </c>
      <c r="AB56" s="530">
        <v>70.832778147901351</v>
      </c>
      <c r="AC56" s="526">
        <f t="shared" si="11"/>
        <v>21</v>
      </c>
      <c r="AD56" s="605"/>
      <c r="AE56" s="526">
        <v>19</v>
      </c>
      <c r="AF56" s="530">
        <v>1341.4285714285711</v>
      </c>
      <c r="AG56" s="530">
        <v>70.601503759398483</v>
      </c>
      <c r="AH56" s="526">
        <f t="shared" si="12"/>
        <v>18</v>
      </c>
      <c r="AI56" s="605"/>
      <c r="AJ56" s="526">
        <v>19</v>
      </c>
      <c r="AK56" s="530">
        <v>1339.7727272727273</v>
      </c>
      <c r="AL56" s="530">
        <v>70.514354066985646</v>
      </c>
      <c r="AM56" s="526">
        <f t="shared" si="13"/>
        <v>21</v>
      </c>
      <c r="AN56" s="605"/>
      <c r="AO56" s="526">
        <v>19</v>
      </c>
      <c r="AP56" s="530">
        <v>1294.1052631578948</v>
      </c>
      <c r="AQ56" s="530">
        <v>68.11080332409972</v>
      </c>
      <c r="AR56" s="526">
        <f t="shared" si="14"/>
        <v>22</v>
      </c>
      <c r="AS56" s="605"/>
      <c r="AT56" s="526">
        <v>19</v>
      </c>
      <c r="AU56" s="530">
        <v>1332.391304347826</v>
      </c>
      <c r="AV56" s="530">
        <v>70.125858123569785</v>
      </c>
      <c r="AW56" s="526">
        <f t="shared" si="15"/>
        <v>21</v>
      </c>
      <c r="AX56" s="605"/>
      <c r="AZ56" s="521" t="e">
        <f t="shared" si="16"/>
        <v>#N/A</v>
      </c>
      <c r="BA56" s="605"/>
    </row>
    <row r="57" spans="2:53">
      <c r="B57" s="610"/>
      <c r="C57" s="305">
        <v>16</v>
      </c>
      <c r="D57" s="226" t="s">
        <v>368</v>
      </c>
      <c r="E57" s="182">
        <v>19</v>
      </c>
      <c r="F57" s="502">
        <v>1440</v>
      </c>
      <c r="G57" s="503">
        <v>75.8</v>
      </c>
      <c r="H57" s="668"/>
      <c r="I57" s="513">
        <f t="shared" si="17"/>
        <v>19</v>
      </c>
      <c r="J57" s="513">
        <f t="shared" si="18"/>
        <v>1330.9616971501798</v>
      </c>
      <c r="K57" s="200">
        <f t="shared" si="19"/>
        <v>70.050615639483155</v>
      </c>
      <c r="L57" s="621"/>
      <c r="M57" s="199">
        <f>RANK(K57, K$42:$K$71)</f>
        <v>22</v>
      </c>
      <c r="N57" s="604"/>
      <c r="O57" s="604"/>
      <c r="P57" s="526">
        <v>19</v>
      </c>
      <c r="Q57" s="530">
        <v>1355.0769230769247</v>
      </c>
      <c r="R57" s="530">
        <v>71.31983805668024</v>
      </c>
      <c r="S57" s="526">
        <f t="shared" si="9"/>
        <v>20</v>
      </c>
      <c r="T57" s="605"/>
      <c r="U57" s="526">
        <v>19</v>
      </c>
      <c r="V57" s="530">
        <v>1356.0000000000014</v>
      </c>
      <c r="W57" s="530">
        <v>71.368421052631646</v>
      </c>
      <c r="X57" s="526">
        <f t="shared" si="10"/>
        <v>17</v>
      </c>
      <c r="Y57" s="605"/>
      <c r="Z57" s="526">
        <v>19</v>
      </c>
      <c r="AA57" s="530">
        <v>1352.0689655172423</v>
      </c>
      <c r="AB57" s="530">
        <v>71.16152450090749</v>
      </c>
      <c r="AC57" s="526">
        <f t="shared" si="11"/>
        <v>19</v>
      </c>
      <c r="AD57" s="605"/>
      <c r="AE57" s="526">
        <v>19</v>
      </c>
      <c r="AF57" s="530">
        <v>1340.6557377049194</v>
      </c>
      <c r="AG57" s="530">
        <v>70.560828300258919</v>
      </c>
      <c r="AH57" s="526">
        <f t="shared" si="12"/>
        <v>19</v>
      </c>
      <c r="AI57" s="605"/>
      <c r="AJ57" s="526">
        <v>19</v>
      </c>
      <c r="AK57" s="530">
        <v>1338.4615384615399</v>
      </c>
      <c r="AL57" s="530">
        <v>70.445344129554726</v>
      </c>
      <c r="AM57" s="526">
        <f t="shared" si="13"/>
        <v>22</v>
      </c>
      <c r="AN57" s="605"/>
      <c r="AO57" s="526">
        <v>19</v>
      </c>
      <c r="AP57" s="530">
        <v>1303.7837837837828</v>
      </c>
      <c r="AQ57" s="530">
        <v>68.620199146514892</v>
      </c>
      <c r="AR57" s="526">
        <f t="shared" si="14"/>
        <v>21</v>
      </c>
      <c r="AS57" s="605"/>
      <c r="AT57" s="526">
        <v>19</v>
      </c>
      <c r="AU57" s="530">
        <v>1270.6849315068484</v>
      </c>
      <c r="AV57" s="530">
        <v>66.878154289834129</v>
      </c>
      <c r="AW57" s="526">
        <f t="shared" si="15"/>
        <v>23</v>
      </c>
      <c r="AX57" s="605"/>
      <c r="AZ57" s="521" t="e">
        <f t="shared" si="16"/>
        <v>#N/A</v>
      </c>
      <c r="BA57" s="605"/>
    </row>
    <row r="58" spans="2:53">
      <c r="B58" s="610"/>
      <c r="C58" s="305">
        <v>17</v>
      </c>
      <c r="D58" s="226" t="s">
        <v>787</v>
      </c>
      <c r="E58" s="182">
        <v>19</v>
      </c>
      <c r="F58" s="502">
        <v>1500</v>
      </c>
      <c r="G58" s="503">
        <v>78.900000000000006</v>
      </c>
      <c r="H58" s="668"/>
      <c r="I58" s="513">
        <f t="shared" si="17"/>
        <v>19</v>
      </c>
      <c r="J58" s="513">
        <f t="shared" si="18"/>
        <v>1375.135978124699</v>
      </c>
      <c r="K58" s="200">
        <f t="shared" si="19"/>
        <v>72.375577796036779</v>
      </c>
      <c r="L58" s="621"/>
      <c r="M58" s="199">
        <f>RANK(K58, K$42:$K$71)</f>
        <v>17</v>
      </c>
      <c r="N58" s="604"/>
      <c r="O58" s="604"/>
      <c r="P58" s="526">
        <v>19</v>
      </c>
      <c r="Q58" s="530">
        <v>1383.0769230769224</v>
      </c>
      <c r="R58" s="530">
        <v>72.793522267206441</v>
      </c>
      <c r="S58" s="526">
        <f t="shared" si="9"/>
        <v>17</v>
      </c>
      <c r="T58" s="605"/>
      <c r="U58" s="526">
        <v>19</v>
      </c>
      <c r="V58" s="530">
        <v>1346.842105263157</v>
      </c>
      <c r="W58" s="530">
        <v>70.886426592797733</v>
      </c>
      <c r="X58" s="526">
        <f t="shared" si="10"/>
        <v>20</v>
      </c>
      <c r="Y58" s="605"/>
      <c r="Z58" s="526">
        <v>19</v>
      </c>
      <c r="AA58" s="530">
        <v>1385.1428571428555</v>
      </c>
      <c r="AB58" s="530">
        <v>72.90225563909766</v>
      </c>
      <c r="AC58" s="526">
        <f t="shared" si="11"/>
        <v>17</v>
      </c>
      <c r="AD58" s="605"/>
      <c r="AE58" s="526">
        <v>19</v>
      </c>
      <c r="AF58" s="530">
        <v>1409.9999999999989</v>
      </c>
      <c r="AG58" s="530">
        <v>74.210526315789409</v>
      </c>
      <c r="AH58" s="526">
        <f t="shared" si="12"/>
        <v>16</v>
      </c>
      <c r="AI58" s="605"/>
      <c r="AJ58" s="526">
        <v>19</v>
      </c>
      <c r="AK58" s="530">
        <v>1415.6756756756745</v>
      </c>
      <c r="AL58" s="530">
        <v>74.509246088193393</v>
      </c>
      <c r="AM58" s="526">
        <f t="shared" si="13"/>
        <v>16</v>
      </c>
      <c r="AN58" s="605"/>
      <c r="AO58" s="526">
        <v>19</v>
      </c>
      <c r="AP58" s="530">
        <v>1345.7142857142851</v>
      </c>
      <c r="AQ58" s="530">
        <v>70.827067669172905</v>
      </c>
      <c r="AR58" s="526">
        <f t="shared" si="14"/>
        <v>18</v>
      </c>
      <c r="AS58" s="605"/>
      <c r="AT58" s="526">
        <v>19</v>
      </c>
      <c r="AU58" s="530">
        <v>1339.4999999999995</v>
      </c>
      <c r="AV58" s="530">
        <v>70.499999999999972</v>
      </c>
      <c r="AW58" s="526">
        <f t="shared" si="15"/>
        <v>18</v>
      </c>
      <c r="AX58" s="605"/>
      <c r="AZ58" s="521" t="e">
        <f t="shared" si="16"/>
        <v>#N/A</v>
      </c>
      <c r="BA58" s="605"/>
    </row>
    <row r="59" spans="2:53">
      <c r="B59" s="610"/>
      <c r="C59" s="305">
        <v>18</v>
      </c>
      <c r="D59" s="226" t="s">
        <v>807</v>
      </c>
      <c r="E59" s="182">
        <v>18</v>
      </c>
      <c r="F59" s="502">
        <v>1500</v>
      </c>
      <c r="G59" s="503">
        <v>83.3</v>
      </c>
      <c r="H59" s="668"/>
      <c r="I59" s="513">
        <f t="shared" si="17"/>
        <v>18</v>
      </c>
      <c r="J59" s="513">
        <f t="shared" si="18"/>
        <v>1271.2932604015955</v>
      </c>
      <c r="K59" s="200">
        <f t="shared" si="19"/>
        <v>70.627403355644191</v>
      </c>
      <c r="L59" s="621"/>
      <c r="M59" s="199">
        <f>RANK(K59, K$42:$K$71)</f>
        <v>20</v>
      </c>
      <c r="N59" s="604"/>
      <c r="O59" s="604"/>
      <c r="P59" s="526">
        <v>18</v>
      </c>
      <c r="Q59" s="530">
        <v>1285.4545454545457</v>
      </c>
      <c r="R59" s="530">
        <v>71.414141414141426</v>
      </c>
      <c r="S59" s="526">
        <f t="shared" si="9"/>
        <v>19</v>
      </c>
      <c r="T59" s="605"/>
      <c r="U59" s="526">
        <v>18</v>
      </c>
      <c r="V59" s="530">
        <v>1262.9411764705887</v>
      </c>
      <c r="W59" s="530">
        <v>70.163398692810489</v>
      </c>
      <c r="X59" s="526">
        <f t="shared" si="10"/>
        <v>21</v>
      </c>
      <c r="Y59" s="605"/>
      <c r="Z59" s="526">
        <v>18</v>
      </c>
      <c r="AA59" s="530">
        <v>1279.578947368421</v>
      </c>
      <c r="AB59" s="530">
        <v>71.087719298245617</v>
      </c>
      <c r="AC59" s="526">
        <f t="shared" si="11"/>
        <v>20</v>
      </c>
      <c r="AD59" s="605"/>
      <c r="AE59" s="526">
        <v>18</v>
      </c>
      <c r="AF59" s="530">
        <v>1247.0103092783509</v>
      </c>
      <c r="AG59" s="530">
        <v>69.278350515463941</v>
      </c>
      <c r="AH59" s="526">
        <f t="shared" si="12"/>
        <v>22</v>
      </c>
      <c r="AI59" s="605"/>
      <c r="AJ59" s="526">
        <v>18</v>
      </c>
      <c r="AK59" s="530">
        <v>1272.7659574468087</v>
      </c>
      <c r="AL59" s="530">
        <v>70.709219858156033</v>
      </c>
      <c r="AM59" s="526">
        <f t="shared" si="13"/>
        <v>19</v>
      </c>
      <c r="AN59" s="605"/>
      <c r="AO59" s="526">
        <v>18</v>
      </c>
      <c r="AP59" s="530">
        <v>1258.3018867924536</v>
      </c>
      <c r="AQ59" s="530">
        <v>69.905660377358529</v>
      </c>
      <c r="AR59" s="526">
        <f t="shared" si="14"/>
        <v>19</v>
      </c>
      <c r="AS59" s="605"/>
      <c r="AT59" s="526">
        <v>18</v>
      </c>
      <c r="AU59" s="530">
        <v>1293.0000000000005</v>
      </c>
      <c r="AV59" s="530">
        <v>71.833333333333357</v>
      </c>
      <c r="AW59" s="526">
        <f t="shared" si="15"/>
        <v>17</v>
      </c>
      <c r="AX59" s="605"/>
      <c r="AZ59" s="521" t="e">
        <f t="shared" si="16"/>
        <v>#N/A</v>
      </c>
      <c r="BA59" s="605"/>
    </row>
    <row r="60" spans="2:53">
      <c r="B60" s="610"/>
      <c r="C60" s="305">
        <v>19</v>
      </c>
      <c r="D60" s="226" t="s">
        <v>642</v>
      </c>
      <c r="E60" s="182">
        <v>17</v>
      </c>
      <c r="F60" s="502">
        <v>1440</v>
      </c>
      <c r="G60" s="503">
        <v>84.7</v>
      </c>
      <c r="H60" s="668"/>
      <c r="I60" s="513">
        <f t="shared" si="17"/>
        <v>17</v>
      </c>
      <c r="J60" s="513">
        <f t="shared" si="18"/>
        <v>1323.1728035620233</v>
      </c>
      <c r="K60" s="200">
        <f t="shared" si="19"/>
        <v>77.833694327177838</v>
      </c>
      <c r="L60" s="621"/>
      <c r="M60" s="199">
        <f>RANK(K60, K$42:$K$71)</f>
        <v>13</v>
      </c>
      <c r="N60" s="604"/>
      <c r="O60" s="604"/>
      <c r="P60" s="526">
        <v>17</v>
      </c>
      <c r="Q60" s="530">
        <v>1363.4042553191491</v>
      </c>
      <c r="R60" s="530">
        <v>80.200250312891129</v>
      </c>
      <c r="S60" s="526">
        <f t="shared" si="9"/>
        <v>11</v>
      </c>
      <c r="T60" s="605"/>
      <c r="U60" s="526">
        <v>17</v>
      </c>
      <c r="V60" s="530">
        <v>1265.7692307692314</v>
      </c>
      <c r="W60" s="530">
        <v>74.457013574660664</v>
      </c>
      <c r="X60" s="526">
        <f t="shared" si="10"/>
        <v>15</v>
      </c>
      <c r="Y60" s="605"/>
      <c r="Z60" s="526">
        <v>17</v>
      </c>
      <c r="AA60" s="530">
        <v>1371.2195121951213</v>
      </c>
      <c r="AB60" s="530">
        <v>80.659971305595377</v>
      </c>
      <c r="AC60" s="526">
        <f t="shared" si="11"/>
        <v>12</v>
      </c>
      <c r="AD60" s="605"/>
      <c r="AE60" s="526">
        <v>17</v>
      </c>
      <c r="AF60" s="530">
        <v>1341.2500000000005</v>
      </c>
      <c r="AG60" s="530">
        <v>78.897058823529434</v>
      </c>
      <c r="AH60" s="526">
        <f t="shared" si="12"/>
        <v>13</v>
      </c>
      <c r="AI60" s="605"/>
      <c r="AJ60" s="526">
        <v>17</v>
      </c>
      <c r="AK60" s="530">
        <v>1322.4489795918371</v>
      </c>
      <c r="AL60" s="530">
        <v>77.791116446578656</v>
      </c>
      <c r="AM60" s="526">
        <f t="shared" si="13"/>
        <v>13</v>
      </c>
      <c r="AN60" s="605"/>
      <c r="AO60" s="526">
        <v>17</v>
      </c>
      <c r="AP60" s="530">
        <v>1274.1176470588241</v>
      </c>
      <c r="AQ60" s="530">
        <v>74.948096885813186</v>
      </c>
      <c r="AR60" s="526">
        <f t="shared" si="14"/>
        <v>12</v>
      </c>
      <c r="AS60" s="605"/>
      <c r="AT60" s="526">
        <v>17</v>
      </c>
      <c r="AU60" s="530">
        <v>1324</v>
      </c>
      <c r="AV60" s="530">
        <v>77.882352941176464</v>
      </c>
      <c r="AW60" s="526">
        <f t="shared" si="15"/>
        <v>10</v>
      </c>
      <c r="AX60" s="605"/>
      <c r="AZ60" s="521" t="e">
        <f t="shared" si="16"/>
        <v>#N/A</v>
      </c>
      <c r="BA60" s="605"/>
    </row>
    <row r="61" spans="2:53">
      <c r="B61" s="610"/>
      <c r="C61" s="305">
        <v>20</v>
      </c>
      <c r="D61" s="226" t="s">
        <v>666</v>
      </c>
      <c r="E61" s="182">
        <v>18</v>
      </c>
      <c r="F61" s="502">
        <v>1500</v>
      </c>
      <c r="G61" s="503">
        <v>83.3</v>
      </c>
      <c r="H61" s="668"/>
      <c r="I61" s="513">
        <f t="shared" si="17"/>
        <v>18</v>
      </c>
      <c r="J61" s="513">
        <f t="shared" si="18"/>
        <v>1369.6114452537336</v>
      </c>
      <c r="K61" s="200">
        <f t="shared" si="19"/>
        <v>76.089524736318523</v>
      </c>
      <c r="L61" s="621"/>
      <c r="M61" s="199">
        <f>RANK(K61, K$42:$K$71)</f>
        <v>14</v>
      </c>
      <c r="N61" s="604"/>
      <c r="O61" s="604"/>
      <c r="P61" s="526">
        <v>18</v>
      </c>
      <c r="Q61" s="530">
        <v>1410.967741935485</v>
      </c>
      <c r="R61" s="530">
        <v>78.387096774193608</v>
      </c>
      <c r="S61" s="526">
        <f t="shared" si="9"/>
        <v>12</v>
      </c>
      <c r="T61" s="605"/>
      <c r="U61" s="526">
        <v>18</v>
      </c>
      <c r="V61" s="530">
        <v>1361.538461538463</v>
      </c>
      <c r="W61" s="530">
        <v>75.64102564102572</v>
      </c>
      <c r="X61" s="526">
        <f t="shared" si="10"/>
        <v>14</v>
      </c>
      <c r="Y61" s="605"/>
      <c r="Z61" s="526">
        <v>18</v>
      </c>
      <c r="AA61" s="530">
        <v>1310.9999999999907</v>
      </c>
      <c r="AB61" s="530">
        <v>72.833333333332817</v>
      </c>
      <c r="AC61" s="526">
        <f t="shared" si="11"/>
        <v>18</v>
      </c>
      <c r="AD61" s="605"/>
      <c r="AE61" s="526">
        <v>18</v>
      </c>
      <c r="AF61" s="530">
        <v>1381.0344827586218</v>
      </c>
      <c r="AG61" s="530">
        <v>76.724137931034548</v>
      </c>
      <c r="AH61" s="526">
        <f t="shared" si="12"/>
        <v>15</v>
      </c>
      <c r="AI61" s="605"/>
      <c r="AJ61" s="526">
        <v>18</v>
      </c>
      <c r="AK61" s="530">
        <v>1367.2131147540997</v>
      </c>
      <c r="AL61" s="530">
        <v>75.956284153005541</v>
      </c>
      <c r="AM61" s="526">
        <f t="shared" si="13"/>
        <v>15</v>
      </c>
      <c r="AN61" s="605"/>
      <c r="AO61" s="526">
        <v>18</v>
      </c>
      <c r="AP61" s="530">
        <v>1390.5263157894747</v>
      </c>
      <c r="AQ61" s="530">
        <v>77.251461988304143</v>
      </c>
      <c r="AR61" s="526">
        <f t="shared" si="14"/>
        <v>11</v>
      </c>
      <c r="AS61" s="605"/>
      <c r="AT61" s="526">
        <v>18</v>
      </c>
      <c r="AU61" s="530">
        <v>1365.0000000000014</v>
      </c>
      <c r="AV61" s="530">
        <v>75.833333333333414</v>
      </c>
      <c r="AW61" s="526">
        <f t="shared" si="15"/>
        <v>13</v>
      </c>
      <c r="AX61" s="605"/>
      <c r="AZ61" s="521" t="e">
        <f t="shared" si="16"/>
        <v>#N/A</v>
      </c>
      <c r="BA61" s="605"/>
    </row>
    <row r="62" spans="2:53">
      <c r="B62" s="610"/>
      <c r="C62" s="305">
        <v>21</v>
      </c>
      <c r="D62" s="226" t="s">
        <v>791</v>
      </c>
      <c r="E62" s="182">
        <v>18</v>
      </c>
      <c r="F62" s="502">
        <v>1636</v>
      </c>
      <c r="G62" s="503">
        <v>90.9</v>
      </c>
      <c r="H62" s="668"/>
      <c r="I62" s="513">
        <f t="shared" si="17"/>
        <v>18</v>
      </c>
      <c r="J62" s="513">
        <f t="shared" si="18"/>
        <v>1326.6620579190746</v>
      </c>
      <c r="K62" s="200">
        <f t="shared" si="19"/>
        <v>73.703447662170802</v>
      </c>
      <c r="L62" s="621"/>
      <c r="M62" s="199">
        <f>RANK(K62, K$42:$K$71)</f>
        <v>16</v>
      </c>
      <c r="N62" s="604"/>
      <c r="O62" s="604"/>
      <c r="P62" s="526">
        <v>18</v>
      </c>
      <c r="Q62" s="530">
        <v>1324.0298507462687</v>
      </c>
      <c r="R62" s="530">
        <v>73.557213930348269</v>
      </c>
      <c r="S62" s="526">
        <f t="shared" si="9"/>
        <v>16</v>
      </c>
      <c r="T62" s="605"/>
      <c r="U62" s="526">
        <v>18</v>
      </c>
      <c r="V62" s="530">
        <v>1326.3414634146336</v>
      </c>
      <c r="W62" s="530">
        <v>73.685636856368532</v>
      </c>
      <c r="X62" s="526">
        <f t="shared" si="10"/>
        <v>16</v>
      </c>
      <c r="Y62" s="605"/>
      <c r="Z62" s="526">
        <v>18</v>
      </c>
      <c r="AA62" s="530">
        <v>1340.847457627118</v>
      </c>
      <c r="AB62" s="530">
        <v>74.491525423728774</v>
      </c>
      <c r="AC62" s="526">
        <f t="shared" si="11"/>
        <v>15</v>
      </c>
      <c r="AD62" s="605"/>
      <c r="AE62" s="526">
        <v>18</v>
      </c>
      <c r="AF62" s="530">
        <v>1311.8446601941753</v>
      </c>
      <c r="AG62" s="530">
        <v>72.880258899676406</v>
      </c>
      <c r="AH62" s="526">
        <f t="shared" si="12"/>
        <v>17</v>
      </c>
      <c r="AI62" s="605"/>
      <c r="AJ62" s="526">
        <v>18</v>
      </c>
      <c r="AK62" s="530">
        <v>1320.5309734513273</v>
      </c>
      <c r="AL62" s="530">
        <v>73.362831858407077</v>
      </c>
      <c r="AM62" s="526">
        <f t="shared" si="13"/>
        <v>17</v>
      </c>
      <c r="AN62" s="605"/>
      <c r="AO62" s="526">
        <v>18</v>
      </c>
      <c r="AP62" s="530">
        <v>1319.9999999999998</v>
      </c>
      <c r="AQ62" s="530">
        <v>73.333333333333314</v>
      </c>
      <c r="AR62" s="526">
        <f t="shared" si="14"/>
        <v>14</v>
      </c>
      <c r="AS62" s="605"/>
      <c r="AT62" s="526">
        <v>18</v>
      </c>
      <c r="AU62" s="530">
        <v>1343.0399999999995</v>
      </c>
      <c r="AV62" s="530">
        <v>74.613333333333301</v>
      </c>
      <c r="AW62" s="526">
        <f t="shared" si="15"/>
        <v>14</v>
      </c>
      <c r="AX62" s="605"/>
      <c r="AZ62" s="521" t="e">
        <f t="shared" si="16"/>
        <v>#N/A</v>
      </c>
      <c r="BA62" s="605"/>
    </row>
    <row r="63" spans="2:53">
      <c r="B63" s="610"/>
      <c r="C63" s="305">
        <v>22</v>
      </c>
      <c r="D63" s="226" t="s">
        <v>668</v>
      </c>
      <c r="E63" s="182">
        <v>20</v>
      </c>
      <c r="F63" s="502">
        <v>1500</v>
      </c>
      <c r="G63" s="503">
        <v>75</v>
      </c>
      <c r="H63" s="668"/>
      <c r="I63" s="513">
        <f t="shared" si="17"/>
        <v>20</v>
      </c>
      <c r="J63" s="513">
        <f t="shared" si="18"/>
        <v>1232.6115240189599</v>
      </c>
      <c r="K63" s="200">
        <f t="shared" si="19"/>
        <v>61.630576200947999</v>
      </c>
      <c r="L63" s="621"/>
      <c r="M63" s="199">
        <f>RANK(K63, K$42:$K$71)</f>
        <v>26</v>
      </c>
      <c r="N63" s="604"/>
      <c r="O63" s="604"/>
      <c r="P63" s="526">
        <v>20</v>
      </c>
      <c r="Q63" s="530">
        <v>1237.3584905660384</v>
      </c>
      <c r="R63" s="530">
        <v>61.86792452830192</v>
      </c>
      <c r="S63" s="526">
        <f t="shared" si="9"/>
        <v>27</v>
      </c>
      <c r="T63" s="605"/>
      <c r="U63" s="526">
        <v>20</v>
      </c>
      <c r="V63" s="530">
        <v>1218.0000000000002</v>
      </c>
      <c r="W63" s="530">
        <v>60.900000000000013</v>
      </c>
      <c r="X63" s="526">
        <f t="shared" si="10"/>
        <v>26</v>
      </c>
      <c r="Y63" s="605"/>
      <c r="Z63" s="526">
        <v>20</v>
      </c>
      <c r="AA63" s="530">
        <v>1210.4347826086957</v>
      </c>
      <c r="AB63" s="530">
        <v>60.521739130434788</v>
      </c>
      <c r="AC63" s="526">
        <f t="shared" si="11"/>
        <v>27</v>
      </c>
      <c r="AD63" s="605"/>
      <c r="AE63" s="526">
        <v>20</v>
      </c>
      <c r="AF63" s="530">
        <v>1230.5882352941182</v>
      </c>
      <c r="AG63" s="530">
        <v>61.529411764705912</v>
      </c>
      <c r="AH63" s="526">
        <f t="shared" si="12"/>
        <v>26</v>
      </c>
      <c r="AI63" s="605"/>
      <c r="AJ63" s="526">
        <v>20</v>
      </c>
      <c r="AK63" s="530">
        <v>1256.4705882352946</v>
      </c>
      <c r="AL63" s="530">
        <v>62.823529411764731</v>
      </c>
      <c r="AM63" s="526">
        <f t="shared" si="13"/>
        <v>26</v>
      </c>
      <c r="AN63" s="605"/>
      <c r="AO63" s="526">
        <v>20</v>
      </c>
      <c r="AP63" s="530">
        <v>1251.4285714285722</v>
      </c>
      <c r="AQ63" s="530">
        <v>62.571428571428612</v>
      </c>
      <c r="AR63" s="526">
        <f t="shared" si="14"/>
        <v>26</v>
      </c>
      <c r="AS63" s="605"/>
      <c r="AT63" s="526">
        <v>20</v>
      </c>
      <c r="AU63" s="530">
        <v>1224.0000000000007</v>
      </c>
      <c r="AV63" s="530">
        <v>61.200000000000031</v>
      </c>
      <c r="AW63" s="526">
        <f t="shared" si="15"/>
        <v>26</v>
      </c>
      <c r="AX63" s="605"/>
      <c r="AZ63" s="521" t="e">
        <f t="shared" si="16"/>
        <v>#N/A</v>
      </c>
      <c r="BA63" s="605"/>
    </row>
    <row r="64" spans="2:53">
      <c r="B64" s="610"/>
      <c r="C64" s="305">
        <v>23</v>
      </c>
      <c r="D64" s="226" t="s">
        <v>788</v>
      </c>
      <c r="E64" s="182">
        <v>17</v>
      </c>
      <c r="F64" s="502">
        <v>1565</v>
      </c>
      <c r="G64" s="503">
        <v>92.1</v>
      </c>
      <c r="H64" s="668"/>
      <c r="I64" s="513">
        <f t="shared" si="17"/>
        <v>17.285714285714285</v>
      </c>
      <c r="J64" s="513">
        <f t="shared" si="18"/>
        <v>1371.0082828687787</v>
      </c>
      <c r="K64" s="200">
        <f t="shared" si="19"/>
        <v>79.379150494124104</v>
      </c>
      <c r="L64" s="621"/>
      <c r="M64" s="199">
        <f>RANK(K64, K$42:$K$71)</f>
        <v>12</v>
      </c>
      <c r="N64" s="604"/>
      <c r="O64" s="604"/>
      <c r="P64" s="526">
        <v>18</v>
      </c>
      <c r="Q64" s="530">
        <v>1376.0869565217392</v>
      </c>
      <c r="R64" s="530">
        <v>76.449275362318843</v>
      </c>
      <c r="S64" s="526">
        <f t="shared" si="9"/>
        <v>14</v>
      </c>
      <c r="T64" s="605"/>
      <c r="U64" s="526">
        <v>17</v>
      </c>
      <c r="V64" s="530">
        <v>1400.8695652173915</v>
      </c>
      <c r="W64" s="530">
        <v>82.404092071611259</v>
      </c>
      <c r="X64" s="526">
        <f t="shared" si="10"/>
        <v>11</v>
      </c>
      <c r="Y64" s="605"/>
      <c r="Z64" s="526">
        <v>17</v>
      </c>
      <c r="AA64" s="530">
        <v>1399.4999999999995</v>
      </c>
      <c r="AB64" s="530">
        <v>82.323529411764682</v>
      </c>
      <c r="AC64" s="526">
        <f t="shared" si="11"/>
        <v>10</v>
      </c>
      <c r="AD64" s="605"/>
      <c r="AE64" s="526">
        <v>17</v>
      </c>
      <c r="AF64" s="530">
        <v>1374.5454545454545</v>
      </c>
      <c r="AG64" s="530">
        <v>80.855614973262036</v>
      </c>
      <c r="AH64" s="526">
        <f t="shared" si="12"/>
        <v>12</v>
      </c>
      <c r="AI64" s="605"/>
      <c r="AJ64" s="526">
        <v>17</v>
      </c>
      <c r="AK64" s="530">
        <v>1382.7906976744184</v>
      </c>
      <c r="AL64" s="530">
        <v>81.340629274965792</v>
      </c>
      <c r="AM64" s="526">
        <f t="shared" si="13"/>
        <v>12</v>
      </c>
      <c r="AN64" s="605"/>
      <c r="AO64" s="526">
        <v>17</v>
      </c>
      <c r="AP64" s="530">
        <v>1322.4489795918371</v>
      </c>
      <c r="AQ64" s="530">
        <v>77.791116446578656</v>
      </c>
      <c r="AR64" s="526">
        <f t="shared" si="14"/>
        <v>10</v>
      </c>
      <c r="AS64" s="605"/>
      <c r="AT64" s="526">
        <v>18</v>
      </c>
      <c r="AU64" s="530">
        <v>1340.8163265306125</v>
      </c>
      <c r="AV64" s="530">
        <v>74.489795918367363</v>
      </c>
      <c r="AW64" s="526">
        <f t="shared" si="15"/>
        <v>15</v>
      </c>
      <c r="AX64" s="605"/>
      <c r="AZ64" s="521" t="e">
        <f t="shared" si="16"/>
        <v>#N/A</v>
      </c>
      <c r="BA64" s="605"/>
    </row>
    <row r="65" spans="2:53">
      <c r="B65" s="610"/>
      <c r="C65" s="305">
        <v>24</v>
      </c>
      <c r="D65" s="226" t="s">
        <v>676</v>
      </c>
      <c r="E65" s="182">
        <v>19</v>
      </c>
      <c r="F65" s="502">
        <v>1385</v>
      </c>
      <c r="G65" s="503">
        <v>72.900000000000006</v>
      </c>
      <c r="H65" s="668"/>
      <c r="I65" s="513">
        <f t="shared" si="17"/>
        <v>19.857142857142858</v>
      </c>
      <c r="J65" s="513">
        <f t="shared" si="18"/>
        <v>1216.5982976184332</v>
      </c>
      <c r="K65" s="200">
        <f t="shared" si="19"/>
        <v>61.283298339568276</v>
      </c>
      <c r="L65" s="621"/>
      <c r="M65" s="199">
        <f>RANK(K65, K$42:$K$71)</f>
        <v>27</v>
      </c>
      <c r="N65" s="604"/>
      <c r="O65" s="604"/>
      <c r="P65" s="526">
        <v>19</v>
      </c>
      <c r="Q65" s="530">
        <v>1205.9999999999995</v>
      </c>
      <c r="R65" s="530">
        <v>63.473684210526294</v>
      </c>
      <c r="S65" s="526">
        <f t="shared" si="9"/>
        <v>26</v>
      </c>
      <c r="T65" s="605"/>
      <c r="U65" s="526">
        <v>20</v>
      </c>
      <c r="V65" s="530">
        <v>1207.4999999999995</v>
      </c>
      <c r="W65" s="530">
        <v>60.374999999999979</v>
      </c>
      <c r="X65" s="526">
        <f t="shared" si="10"/>
        <v>27</v>
      </c>
      <c r="Y65" s="605"/>
      <c r="Z65" s="526">
        <v>20</v>
      </c>
      <c r="AA65" s="530">
        <v>1223.6842105263149</v>
      </c>
      <c r="AB65" s="530">
        <v>61.184210526315745</v>
      </c>
      <c r="AC65" s="526">
        <f t="shared" si="11"/>
        <v>26</v>
      </c>
      <c r="AD65" s="605"/>
      <c r="AE65" s="526">
        <v>20</v>
      </c>
      <c r="AF65" s="530">
        <v>1216.3636363636365</v>
      </c>
      <c r="AG65" s="530">
        <v>60.818181818181827</v>
      </c>
      <c r="AH65" s="526">
        <f t="shared" si="12"/>
        <v>27</v>
      </c>
      <c r="AI65" s="605"/>
      <c r="AJ65" s="526">
        <v>20</v>
      </c>
      <c r="AK65" s="530">
        <v>1206.3157894736833</v>
      </c>
      <c r="AL65" s="530">
        <v>60.315789473684163</v>
      </c>
      <c r="AM65" s="526">
        <f t="shared" si="13"/>
        <v>27</v>
      </c>
      <c r="AN65" s="605"/>
      <c r="AO65" s="526">
        <v>20</v>
      </c>
      <c r="AP65" s="530">
        <v>1215.348837209302</v>
      </c>
      <c r="AQ65" s="530">
        <v>60.767441860465098</v>
      </c>
      <c r="AR65" s="526">
        <f t="shared" si="14"/>
        <v>27</v>
      </c>
      <c r="AS65" s="605"/>
      <c r="AT65" s="526">
        <v>20</v>
      </c>
      <c r="AU65" s="530">
        <v>1240.9756097560971</v>
      </c>
      <c r="AV65" s="530">
        <v>62.048780487804855</v>
      </c>
      <c r="AW65" s="526">
        <f t="shared" si="15"/>
        <v>25</v>
      </c>
      <c r="AX65" s="605"/>
      <c r="AZ65" s="521" t="e">
        <f t="shared" si="16"/>
        <v>#N/A</v>
      </c>
      <c r="BA65" s="605"/>
    </row>
    <row r="66" spans="2:53">
      <c r="B66" s="610"/>
      <c r="C66" s="305">
        <v>25</v>
      </c>
      <c r="D66" s="226" t="s">
        <v>789</v>
      </c>
      <c r="E66" s="182">
        <v>15</v>
      </c>
      <c r="F66" s="502">
        <v>1440</v>
      </c>
      <c r="G66" s="503">
        <v>96</v>
      </c>
      <c r="H66" s="668"/>
      <c r="I66" s="513">
        <f t="shared" si="17"/>
        <v>15</v>
      </c>
      <c r="J66" s="513">
        <f t="shared" si="18"/>
        <v>1239.2921458509684</v>
      </c>
      <c r="K66" s="200">
        <f t="shared" si="19"/>
        <v>82.619476390064534</v>
      </c>
      <c r="L66" s="621"/>
      <c r="M66" s="199">
        <f>RANK(K66, K$42:$K$71)</f>
        <v>8</v>
      </c>
      <c r="N66" s="604"/>
      <c r="O66" s="604"/>
      <c r="P66" s="526">
        <v>15</v>
      </c>
      <c r="Q66" s="530">
        <v>1281.1764705882338</v>
      </c>
      <c r="R66" s="530">
        <v>85.411764705882248</v>
      </c>
      <c r="S66" s="526">
        <f t="shared" si="9"/>
        <v>7</v>
      </c>
      <c r="T66" s="605"/>
      <c r="U66" s="526">
        <v>15</v>
      </c>
      <c r="V66" s="530">
        <v>1248.3333333333323</v>
      </c>
      <c r="W66" s="530">
        <v>83.222222222222157</v>
      </c>
      <c r="X66" s="526">
        <f t="shared" si="10"/>
        <v>9</v>
      </c>
      <c r="Y66" s="605"/>
      <c r="Z66" s="526">
        <v>15</v>
      </c>
      <c r="AA66" s="530">
        <v>1207.2727272727257</v>
      </c>
      <c r="AB66" s="530">
        <v>80.484848484848371</v>
      </c>
      <c r="AC66" s="526">
        <f t="shared" si="11"/>
        <v>13</v>
      </c>
      <c r="AD66" s="605"/>
      <c r="AE66" s="526">
        <v>15</v>
      </c>
      <c r="AF66" s="530">
        <v>1219.4594594594585</v>
      </c>
      <c r="AG66" s="530">
        <v>81.297297297297234</v>
      </c>
      <c r="AH66" s="526">
        <f t="shared" si="12"/>
        <v>11</v>
      </c>
      <c r="AI66" s="605"/>
      <c r="AJ66" s="526">
        <v>15</v>
      </c>
      <c r="AK66" s="530">
        <v>1263.6363636363621</v>
      </c>
      <c r="AL66" s="530">
        <v>84.24242424242415</v>
      </c>
      <c r="AM66" s="526">
        <f t="shared" si="13"/>
        <v>9</v>
      </c>
      <c r="AN66" s="605"/>
      <c r="AO66" s="526">
        <v>15</v>
      </c>
      <c r="AP66" s="530">
        <v>1213.4999999999995</v>
      </c>
      <c r="AQ66" s="530">
        <v>80.899999999999963</v>
      </c>
      <c r="AR66" s="526">
        <f t="shared" si="14"/>
        <v>8</v>
      </c>
      <c r="AS66" s="605"/>
      <c r="AT66" s="526">
        <v>15</v>
      </c>
      <c r="AU66" s="530">
        <v>1241.6666666666656</v>
      </c>
      <c r="AV66" s="530">
        <v>82.7777777777777</v>
      </c>
      <c r="AW66" s="526">
        <f t="shared" si="15"/>
        <v>8</v>
      </c>
      <c r="AX66" s="605"/>
      <c r="AZ66" s="521" t="e">
        <f t="shared" si="16"/>
        <v>#N/A</v>
      </c>
      <c r="BA66" s="605"/>
    </row>
    <row r="67" spans="2:53">
      <c r="B67" s="610"/>
      <c r="C67" s="305">
        <v>26</v>
      </c>
      <c r="D67" s="226" t="s">
        <v>742</v>
      </c>
      <c r="E67" s="182">
        <v>21</v>
      </c>
      <c r="F67" s="502">
        <v>1500</v>
      </c>
      <c r="G67" s="503">
        <v>71.400000000000006</v>
      </c>
      <c r="H67" s="668"/>
      <c r="I67" s="513">
        <f t="shared" si="17"/>
        <v>21</v>
      </c>
      <c r="J67" s="513">
        <f t="shared" si="18"/>
        <v>1367.5186036716702</v>
      </c>
      <c r="K67" s="200">
        <f t="shared" si="19"/>
        <v>65.119933508174796</v>
      </c>
      <c r="L67" s="621"/>
      <c r="M67" s="199">
        <f>RANK(K67, K$42:$K$71)</f>
        <v>25</v>
      </c>
      <c r="N67" s="604"/>
      <c r="O67" s="604"/>
      <c r="P67" s="526">
        <v>21</v>
      </c>
      <c r="Q67" s="530">
        <v>1398.5714285714282</v>
      </c>
      <c r="R67" s="530">
        <v>66.59863945578229</v>
      </c>
      <c r="S67" s="526">
        <f t="shared" si="9"/>
        <v>23</v>
      </c>
      <c r="T67" s="605"/>
      <c r="U67" s="526">
        <v>21</v>
      </c>
      <c r="V67" s="530">
        <v>1368.5714285714282</v>
      </c>
      <c r="W67" s="530">
        <v>65.170068027210874</v>
      </c>
      <c r="X67" s="526">
        <f t="shared" si="10"/>
        <v>24</v>
      </c>
      <c r="Y67" s="605"/>
      <c r="Z67" s="526">
        <v>21</v>
      </c>
      <c r="AA67" s="530">
        <v>1393.1707317073167</v>
      </c>
      <c r="AB67" s="530">
        <v>66.341463414634134</v>
      </c>
      <c r="AC67" s="526">
        <f t="shared" si="11"/>
        <v>24</v>
      </c>
      <c r="AD67" s="605"/>
      <c r="AE67" s="526">
        <v>21</v>
      </c>
      <c r="AF67" s="530">
        <v>1366.1538461538453</v>
      </c>
      <c r="AG67" s="530">
        <v>65.054945054945009</v>
      </c>
      <c r="AH67" s="526">
        <f t="shared" si="12"/>
        <v>25</v>
      </c>
      <c r="AI67" s="605"/>
      <c r="AJ67" s="526">
        <v>21</v>
      </c>
      <c r="AK67" s="530">
        <v>1391.1627906976742</v>
      </c>
      <c r="AL67" s="530">
        <v>66.245847176079721</v>
      </c>
      <c r="AM67" s="526">
        <f t="shared" si="13"/>
        <v>24</v>
      </c>
      <c r="AN67" s="605"/>
      <c r="AO67" s="526">
        <v>21</v>
      </c>
      <c r="AP67" s="530">
        <v>1395</v>
      </c>
      <c r="AQ67" s="530">
        <v>66.428571428571431</v>
      </c>
      <c r="AR67" s="526">
        <f t="shared" si="14"/>
        <v>24</v>
      </c>
      <c r="AS67" s="605"/>
      <c r="AT67" s="526">
        <v>21</v>
      </c>
      <c r="AU67" s="530">
        <v>1260.0000000000007</v>
      </c>
      <c r="AV67" s="530">
        <v>60.000000000000036</v>
      </c>
      <c r="AW67" s="526">
        <f t="shared" si="15"/>
        <v>27</v>
      </c>
      <c r="AX67" s="605"/>
      <c r="AZ67" s="521" t="e">
        <f t="shared" si="16"/>
        <v>#N/A</v>
      </c>
      <c r="BA67" s="605"/>
    </row>
    <row r="68" spans="2:53">
      <c r="B68" s="610"/>
      <c r="C68" s="305">
        <v>27</v>
      </c>
      <c r="D68" s="226" t="s">
        <v>790</v>
      </c>
      <c r="E68" s="182">
        <v>19</v>
      </c>
      <c r="F68" s="502">
        <v>1500</v>
      </c>
      <c r="G68" s="503">
        <v>78.900000000000006</v>
      </c>
      <c r="H68" s="668"/>
      <c r="I68" s="513">
        <f t="shared" si="17"/>
        <v>19</v>
      </c>
      <c r="J68" s="513">
        <f t="shared" si="18"/>
        <v>1259.9920864072119</v>
      </c>
      <c r="K68" s="200">
        <f t="shared" si="19"/>
        <v>66.315372968800631</v>
      </c>
      <c r="L68" s="621"/>
      <c r="M68" s="199">
        <f>RANK(K68, K$42:$K$71)</f>
        <v>24</v>
      </c>
      <c r="N68" s="604"/>
      <c r="O68" s="604"/>
      <c r="P68" s="526">
        <v>19</v>
      </c>
      <c r="Q68" s="530">
        <v>1239.2857142857138</v>
      </c>
      <c r="R68" s="530">
        <v>65.225563909774408</v>
      </c>
      <c r="S68" s="526">
        <f t="shared" si="9"/>
        <v>25</v>
      </c>
      <c r="T68" s="605"/>
      <c r="U68" s="526">
        <v>19</v>
      </c>
      <c r="V68" s="530">
        <v>1262.3076923076915</v>
      </c>
      <c r="W68" s="530">
        <v>66.437246963562714</v>
      </c>
      <c r="X68" s="526">
        <f t="shared" si="10"/>
        <v>23</v>
      </c>
      <c r="Y68" s="605"/>
      <c r="Z68" s="526">
        <v>19</v>
      </c>
      <c r="AA68" s="530">
        <v>1248.799999999999</v>
      </c>
      <c r="AB68" s="530">
        <v>65.726315789473631</v>
      </c>
      <c r="AC68" s="526">
        <f t="shared" si="11"/>
        <v>25</v>
      </c>
      <c r="AD68" s="605"/>
      <c r="AE68" s="526">
        <v>19</v>
      </c>
      <c r="AF68" s="530">
        <v>1252.2352941176468</v>
      </c>
      <c r="AG68" s="530">
        <v>65.907120743034042</v>
      </c>
      <c r="AH68" s="526">
        <f t="shared" si="12"/>
        <v>24</v>
      </c>
      <c r="AI68" s="605"/>
      <c r="AJ68" s="526">
        <v>19</v>
      </c>
      <c r="AK68" s="530">
        <v>1254.3529411764705</v>
      </c>
      <c r="AL68" s="530">
        <v>66.01857585139318</v>
      </c>
      <c r="AM68" s="526">
        <f t="shared" si="13"/>
        <v>25</v>
      </c>
      <c r="AN68" s="605"/>
      <c r="AO68" s="526">
        <v>19</v>
      </c>
      <c r="AP68" s="530">
        <v>1279.9999999999995</v>
      </c>
      <c r="AQ68" s="530">
        <v>67.368421052631561</v>
      </c>
      <c r="AR68" s="526">
        <f t="shared" si="14"/>
        <v>23</v>
      </c>
      <c r="AS68" s="605"/>
      <c r="AT68" s="526">
        <v>19</v>
      </c>
      <c r="AU68" s="530">
        <v>1282.9629629629626</v>
      </c>
      <c r="AV68" s="530">
        <v>67.524366471734879</v>
      </c>
      <c r="AW68" s="526">
        <f t="shared" si="15"/>
        <v>22</v>
      </c>
      <c r="AX68" s="605"/>
      <c r="AZ68" s="521" t="e">
        <f t="shared" si="16"/>
        <v>#N/A</v>
      </c>
      <c r="BA68" s="605"/>
    </row>
    <row r="69" spans="2:53">
      <c r="B69" s="610"/>
      <c r="C69" s="305">
        <v>28</v>
      </c>
      <c r="D69" s="226"/>
      <c r="E69" s="182"/>
      <c r="F69" s="502"/>
      <c r="G69" s="503"/>
      <c r="H69" s="668"/>
      <c r="I69" s="513" t="str">
        <f t="shared" si="17"/>
        <v>-</v>
      </c>
      <c r="J69" s="513" t="str">
        <f t="shared" si="18"/>
        <v>-</v>
      </c>
      <c r="K69" s="200" t="str">
        <f t="shared" si="19"/>
        <v>-</v>
      </c>
      <c r="L69" s="621"/>
      <c r="M69" s="199" t="e">
        <f>RANK(K69, K$42:$K$71)</f>
        <v>#VALUE!</v>
      </c>
      <c r="N69" s="604"/>
      <c r="O69" s="604"/>
      <c r="P69" s="526" t="s">
        <v>822</v>
      </c>
      <c r="Q69" s="530" t="s">
        <v>822</v>
      </c>
      <c r="R69" s="530" t="s">
        <v>822</v>
      </c>
      <c r="S69" s="526" t="e">
        <f t="shared" si="9"/>
        <v>#VALUE!</v>
      </c>
      <c r="T69" s="605"/>
      <c r="U69" s="526" t="s">
        <v>822</v>
      </c>
      <c r="V69" s="530" t="s">
        <v>822</v>
      </c>
      <c r="W69" s="530" t="s">
        <v>822</v>
      </c>
      <c r="X69" s="526" t="e">
        <f t="shared" si="10"/>
        <v>#VALUE!</v>
      </c>
      <c r="Y69" s="605"/>
      <c r="Z69" s="526" t="s">
        <v>822</v>
      </c>
      <c r="AA69" s="530" t="s">
        <v>822</v>
      </c>
      <c r="AB69" s="530" t="s">
        <v>822</v>
      </c>
      <c r="AC69" s="526" t="e">
        <f t="shared" si="11"/>
        <v>#VALUE!</v>
      </c>
      <c r="AD69" s="605"/>
      <c r="AE69" s="526" t="s">
        <v>822</v>
      </c>
      <c r="AF69" s="530" t="s">
        <v>822</v>
      </c>
      <c r="AG69" s="530" t="s">
        <v>822</v>
      </c>
      <c r="AH69" s="526" t="e">
        <f t="shared" si="12"/>
        <v>#VALUE!</v>
      </c>
      <c r="AI69" s="605"/>
      <c r="AJ69" s="526" t="s">
        <v>822</v>
      </c>
      <c r="AK69" s="530" t="s">
        <v>822</v>
      </c>
      <c r="AL69" s="530" t="s">
        <v>822</v>
      </c>
      <c r="AM69" s="526" t="e">
        <f t="shared" si="13"/>
        <v>#VALUE!</v>
      </c>
      <c r="AN69" s="605"/>
      <c r="AO69" s="526" t="s">
        <v>822</v>
      </c>
      <c r="AP69" s="530" t="s">
        <v>822</v>
      </c>
      <c r="AQ69" s="530" t="s">
        <v>822</v>
      </c>
      <c r="AR69" s="526" t="e">
        <f t="shared" si="14"/>
        <v>#VALUE!</v>
      </c>
      <c r="AS69" s="605"/>
      <c r="AT69" s="526" t="s">
        <v>822</v>
      </c>
      <c r="AU69" s="530" t="s">
        <v>822</v>
      </c>
      <c r="AV69" s="530" t="s">
        <v>822</v>
      </c>
      <c r="AW69" s="526" t="e">
        <f t="shared" si="15"/>
        <v>#VALUE!</v>
      </c>
      <c r="AX69" s="605"/>
      <c r="AZ69" s="521" t="e">
        <f t="shared" si="16"/>
        <v>#N/A</v>
      </c>
      <c r="BA69" s="605"/>
    </row>
    <row r="70" spans="2:53">
      <c r="B70" s="610"/>
      <c r="C70" s="305">
        <v>29</v>
      </c>
      <c r="D70" s="226"/>
      <c r="E70" s="182"/>
      <c r="F70" s="502"/>
      <c r="G70" s="503"/>
      <c r="H70" s="668"/>
      <c r="I70" s="513" t="str">
        <f t="shared" si="17"/>
        <v>-</v>
      </c>
      <c r="J70" s="513" t="str">
        <f t="shared" si="18"/>
        <v>-</v>
      </c>
      <c r="K70" s="200" t="str">
        <f t="shared" si="19"/>
        <v>-</v>
      </c>
      <c r="L70" s="621"/>
      <c r="M70" s="199" t="e">
        <f>RANK(K70, K$42:$K$71)</f>
        <v>#VALUE!</v>
      </c>
      <c r="N70" s="604"/>
      <c r="O70" s="604"/>
      <c r="P70" s="526" t="s">
        <v>822</v>
      </c>
      <c r="Q70" s="530" t="s">
        <v>822</v>
      </c>
      <c r="R70" s="530" t="s">
        <v>822</v>
      </c>
      <c r="S70" s="526" t="e">
        <f t="shared" si="9"/>
        <v>#VALUE!</v>
      </c>
      <c r="T70" s="605"/>
      <c r="U70" s="526" t="s">
        <v>822</v>
      </c>
      <c r="V70" s="530" t="s">
        <v>822</v>
      </c>
      <c r="W70" s="530" t="s">
        <v>822</v>
      </c>
      <c r="X70" s="526" t="e">
        <f t="shared" si="10"/>
        <v>#VALUE!</v>
      </c>
      <c r="Y70" s="605"/>
      <c r="Z70" s="526" t="s">
        <v>822</v>
      </c>
      <c r="AA70" s="530" t="s">
        <v>822</v>
      </c>
      <c r="AB70" s="530" t="s">
        <v>822</v>
      </c>
      <c r="AC70" s="526" t="e">
        <f t="shared" si="11"/>
        <v>#VALUE!</v>
      </c>
      <c r="AD70" s="605"/>
      <c r="AE70" s="526" t="s">
        <v>822</v>
      </c>
      <c r="AF70" s="530" t="s">
        <v>822</v>
      </c>
      <c r="AG70" s="530" t="s">
        <v>822</v>
      </c>
      <c r="AH70" s="526" t="e">
        <f t="shared" si="12"/>
        <v>#VALUE!</v>
      </c>
      <c r="AI70" s="605"/>
      <c r="AJ70" s="526" t="s">
        <v>822</v>
      </c>
      <c r="AK70" s="530" t="s">
        <v>822</v>
      </c>
      <c r="AL70" s="530" t="s">
        <v>822</v>
      </c>
      <c r="AM70" s="526" t="e">
        <f t="shared" si="13"/>
        <v>#VALUE!</v>
      </c>
      <c r="AN70" s="605"/>
      <c r="AO70" s="526" t="s">
        <v>822</v>
      </c>
      <c r="AP70" s="530" t="s">
        <v>822</v>
      </c>
      <c r="AQ70" s="530" t="s">
        <v>822</v>
      </c>
      <c r="AR70" s="526" t="e">
        <f t="shared" si="14"/>
        <v>#VALUE!</v>
      </c>
      <c r="AS70" s="605"/>
      <c r="AT70" s="526" t="s">
        <v>822</v>
      </c>
      <c r="AU70" s="530" t="s">
        <v>822</v>
      </c>
      <c r="AV70" s="530" t="s">
        <v>822</v>
      </c>
      <c r="AW70" s="526" t="e">
        <f t="shared" si="15"/>
        <v>#VALUE!</v>
      </c>
      <c r="AX70" s="605"/>
      <c r="AZ70" s="521" t="e">
        <f t="shared" si="16"/>
        <v>#N/A</v>
      </c>
      <c r="BA70" s="605"/>
    </row>
    <row r="71" spans="2:53">
      <c r="B71" s="610"/>
      <c r="C71" s="305">
        <v>30</v>
      </c>
      <c r="D71" s="226"/>
      <c r="E71" s="182"/>
      <c r="F71" s="502"/>
      <c r="G71" s="503"/>
      <c r="H71" s="669"/>
      <c r="I71" s="513" t="str">
        <f t="shared" si="17"/>
        <v>-</v>
      </c>
      <c r="J71" s="513" t="str">
        <f t="shared" si="18"/>
        <v>-</v>
      </c>
      <c r="K71" s="200" t="str">
        <f t="shared" si="19"/>
        <v>-</v>
      </c>
      <c r="L71" s="622"/>
      <c r="M71" s="199" t="e">
        <f>RANK(K71, K$42:$K$71)</f>
        <v>#VALUE!</v>
      </c>
      <c r="N71" s="604"/>
      <c r="O71" s="604"/>
      <c r="P71" s="526" t="s">
        <v>822</v>
      </c>
      <c r="Q71" s="530" t="s">
        <v>822</v>
      </c>
      <c r="R71" s="530" t="s">
        <v>822</v>
      </c>
      <c r="S71" s="526" t="e">
        <f t="shared" si="9"/>
        <v>#VALUE!</v>
      </c>
      <c r="T71" s="605"/>
      <c r="U71" s="526" t="s">
        <v>822</v>
      </c>
      <c r="V71" s="530" t="s">
        <v>822</v>
      </c>
      <c r="W71" s="530" t="s">
        <v>822</v>
      </c>
      <c r="X71" s="526" t="e">
        <f t="shared" si="10"/>
        <v>#VALUE!</v>
      </c>
      <c r="Y71" s="605"/>
      <c r="Z71" s="526" t="s">
        <v>822</v>
      </c>
      <c r="AA71" s="530" t="s">
        <v>822</v>
      </c>
      <c r="AB71" s="530" t="s">
        <v>822</v>
      </c>
      <c r="AC71" s="526" t="e">
        <f t="shared" si="11"/>
        <v>#VALUE!</v>
      </c>
      <c r="AD71" s="605"/>
      <c r="AE71" s="526" t="s">
        <v>822</v>
      </c>
      <c r="AF71" s="530" t="s">
        <v>822</v>
      </c>
      <c r="AG71" s="530" t="s">
        <v>822</v>
      </c>
      <c r="AH71" s="526" t="e">
        <f t="shared" si="12"/>
        <v>#VALUE!</v>
      </c>
      <c r="AI71" s="605"/>
      <c r="AJ71" s="526" t="s">
        <v>822</v>
      </c>
      <c r="AK71" s="530" t="s">
        <v>822</v>
      </c>
      <c r="AL71" s="530" t="s">
        <v>822</v>
      </c>
      <c r="AM71" s="526" t="e">
        <f t="shared" si="13"/>
        <v>#VALUE!</v>
      </c>
      <c r="AN71" s="605"/>
      <c r="AO71" s="526" t="s">
        <v>822</v>
      </c>
      <c r="AP71" s="530" t="s">
        <v>822</v>
      </c>
      <c r="AQ71" s="530" t="s">
        <v>822</v>
      </c>
      <c r="AR71" s="526" t="e">
        <f t="shared" si="14"/>
        <v>#VALUE!</v>
      </c>
      <c r="AS71" s="605"/>
      <c r="AT71" s="526" t="s">
        <v>822</v>
      </c>
      <c r="AU71" s="530" t="s">
        <v>822</v>
      </c>
      <c r="AV71" s="530" t="s">
        <v>822</v>
      </c>
      <c r="AW71" s="526" t="e">
        <f t="shared" si="15"/>
        <v>#VALUE!</v>
      </c>
      <c r="AX71" s="605"/>
      <c r="AZ71" s="521" t="e">
        <f t="shared" si="16"/>
        <v>#N/A</v>
      </c>
      <c r="BA71" s="605"/>
    </row>
    <row r="72" spans="2:53" ht="15.75">
      <c r="B72" s="648" t="s">
        <v>163</v>
      </c>
      <c r="C72" s="649"/>
      <c r="D72" s="649"/>
      <c r="E72" s="649"/>
      <c r="F72" s="649"/>
      <c r="G72" s="649"/>
      <c r="H72" s="649"/>
      <c r="I72" s="208"/>
      <c r="J72" s="203"/>
      <c r="K72" s="208"/>
      <c r="L72" s="208"/>
      <c r="M72" s="204"/>
      <c r="N72" s="606" t="s">
        <v>156</v>
      </c>
      <c r="O72" s="606" t="s">
        <v>105</v>
      </c>
      <c r="P72" s="629">
        <f>P37+7</f>
        <v>46126</v>
      </c>
      <c r="Q72" s="630"/>
      <c r="R72" s="630"/>
      <c r="S72" s="630"/>
      <c r="T72" s="631"/>
      <c r="U72" s="629">
        <f>P72+1</f>
        <v>46127</v>
      </c>
      <c r="V72" s="630"/>
      <c r="W72" s="630"/>
      <c r="X72" s="630"/>
      <c r="Y72" s="631"/>
      <c r="Z72" s="629">
        <f>U72+1</f>
        <v>46128</v>
      </c>
      <c r="AA72" s="630"/>
      <c r="AB72" s="630"/>
      <c r="AC72" s="630"/>
      <c r="AD72" s="631"/>
      <c r="AE72" s="629">
        <f>Z72+1</f>
        <v>46129</v>
      </c>
      <c r="AF72" s="630"/>
      <c r="AG72" s="630"/>
      <c r="AH72" s="630"/>
      <c r="AI72" s="631"/>
      <c r="AJ72" s="629">
        <f>AE72+1</f>
        <v>46130</v>
      </c>
      <c r="AK72" s="630"/>
      <c r="AL72" s="630"/>
      <c r="AM72" s="630"/>
      <c r="AN72" s="631"/>
      <c r="AO72" s="629">
        <f>AJ72+1</f>
        <v>46131</v>
      </c>
      <c r="AP72" s="630"/>
      <c r="AQ72" s="630"/>
      <c r="AR72" s="630"/>
      <c r="AS72" s="631"/>
      <c r="AT72" s="629">
        <f>AO72+1</f>
        <v>46132</v>
      </c>
      <c r="AU72" s="630"/>
      <c r="AV72" s="630"/>
      <c r="AW72" s="630"/>
      <c r="AX72" s="631"/>
    </row>
    <row r="73" spans="2:53" ht="15.75">
      <c r="B73" s="636"/>
      <c r="C73" s="636"/>
      <c r="D73" s="636"/>
      <c r="E73" s="636"/>
      <c r="F73" s="636"/>
      <c r="G73" s="636"/>
      <c r="H73" s="636"/>
      <c r="I73" s="205"/>
      <c r="J73" s="205"/>
      <c r="K73" s="205"/>
      <c r="L73" s="205"/>
      <c r="M73" s="206"/>
      <c r="N73" s="608"/>
      <c r="O73" s="608"/>
      <c r="P73" s="629" t="s">
        <v>336</v>
      </c>
      <c r="Q73" s="630"/>
      <c r="R73" s="630"/>
      <c r="S73" s="630"/>
      <c r="T73" s="631"/>
      <c r="U73" s="629" t="s">
        <v>337</v>
      </c>
      <c r="V73" s="630"/>
      <c r="W73" s="630"/>
      <c r="X73" s="630"/>
      <c r="Y73" s="631"/>
      <c r="Z73" s="629" t="s">
        <v>338</v>
      </c>
      <c r="AA73" s="630"/>
      <c r="AB73" s="630"/>
      <c r="AC73" s="630"/>
      <c r="AD73" s="631"/>
      <c r="AE73" s="629" t="s">
        <v>339</v>
      </c>
      <c r="AF73" s="630"/>
      <c r="AG73" s="630"/>
      <c r="AH73" s="630"/>
      <c r="AI73" s="631"/>
      <c r="AJ73" s="629" t="s">
        <v>340</v>
      </c>
      <c r="AK73" s="630"/>
      <c r="AL73" s="630"/>
      <c r="AM73" s="630"/>
      <c r="AN73" s="631"/>
      <c r="AO73" s="629" t="s">
        <v>341</v>
      </c>
      <c r="AP73" s="630"/>
      <c r="AQ73" s="630"/>
      <c r="AR73" s="630"/>
      <c r="AS73" s="631"/>
      <c r="AT73" s="629" t="s">
        <v>342</v>
      </c>
      <c r="AU73" s="630"/>
      <c r="AV73" s="630"/>
      <c r="AW73" s="630"/>
      <c r="AX73" s="631"/>
    </row>
    <row r="74" spans="2:53">
      <c r="B74" s="604" t="s">
        <v>441</v>
      </c>
      <c r="C74" s="604" t="s">
        <v>442</v>
      </c>
      <c r="D74" s="604"/>
      <c r="E74" s="604" t="s">
        <v>443</v>
      </c>
      <c r="F74" s="604"/>
      <c r="G74" s="604"/>
      <c r="H74" s="637" t="s">
        <v>444</v>
      </c>
      <c r="I74" s="656" t="s">
        <v>445</v>
      </c>
      <c r="J74" s="656"/>
      <c r="K74" s="656"/>
      <c r="L74" s="657" t="s">
        <v>444</v>
      </c>
      <c r="M74" s="642" t="s">
        <v>446</v>
      </c>
      <c r="N74" s="604"/>
      <c r="O74" s="604" t="s">
        <v>447</v>
      </c>
      <c r="P74" s="623" t="s">
        <v>448</v>
      </c>
      <c r="Q74" s="624"/>
      <c r="R74" s="624"/>
      <c r="S74" s="625"/>
      <c r="T74" s="604" t="s">
        <v>444</v>
      </c>
      <c r="U74" s="623" t="s">
        <v>448</v>
      </c>
      <c r="V74" s="624"/>
      <c r="W74" s="624"/>
      <c r="X74" s="625"/>
      <c r="Y74" s="604" t="s">
        <v>444</v>
      </c>
      <c r="Z74" s="623" t="s">
        <v>448</v>
      </c>
      <c r="AA74" s="624"/>
      <c r="AB74" s="624"/>
      <c r="AC74" s="625"/>
      <c r="AD74" s="604" t="s">
        <v>444</v>
      </c>
      <c r="AE74" s="623" t="s">
        <v>448</v>
      </c>
      <c r="AF74" s="624"/>
      <c r="AG74" s="624"/>
      <c r="AH74" s="625"/>
      <c r="AI74" s="604" t="s">
        <v>444</v>
      </c>
      <c r="AJ74" s="623" t="s">
        <v>448</v>
      </c>
      <c r="AK74" s="624"/>
      <c r="AL74" s="624"/>
      <c r="AM74" s="625"/>
      <c r="AN74" s="604" t="s">
        <v>444</v>
      </c>
      <c r="AO74" s="623" t="s">
        <v>448</v>
      </c>
      <c r="AP74" s="624"/>
      <c r="AQ74" s="624"/>
      <c r="AR74" s="625"/>
      <c r="AS74" s="604" t="s">
        <v>444</v>
      </c>
      <c r="AT74" s="623" t="s">
        <v>448</v>
      </c>
      <c r="AU74" s="624"/>
      <c r="AV74" s="624"/>
      <c r="AW74" s="625"/>
      <c r="AX74" s="604" t="s">
        <v>444</v>
      </c>
      <c r="BA74" s="604" t="s">
        <v>395</v>
      </c>
    </row>
    <row r="75" spans="2:53">
      <c r="B75" s="604"/>
      <c r="C75" s="604"/>
      <c r="D75" s="604"/>
      <c r="E75" s="604" t="s">
        <v>449</v>
      </c>
      <c r="F75" s="604"/>
      <c r="G75" s="604"/>
      <c r="H75" s="638"/>
      <c r="I75" s="656" t="s">
        <v>449</v>
      </c>
      <c r="J75" s="656"/>
      <c r="K75" s="656"/>
      <c r="L75" s="658"/>
      <c r="M75" s="643"/>
      <c r="N75" s="604"/>
      <c r="O75" s="604"/>
      <c r="P75" s="623" t="s">
        <v>450</v>
      </c>
      <c r="Q75" s="624"/>
      <c r="R75" s="624"/>
      <c r="S75" s="625"/>
      <c r="T75" s="604"/>
      <c r="U75" s="623" t="s">
        <v>450</v>
      </c>
      <c r="V75" s="624"/>
      <c r="W75" s="624"/>
      <c r="X75" s="625"/>
      <c r="Y75" s="604"/>
      <c r="Z75" s="623" t="s">
        <v>450</v>
      </c>
      <c r="AA75" s="624"/>
      <c r="AB75" s="624"/>
      <c r="AC75" s="625"/>
      <c r="AD75" s="604"/>
      <c r="AE75" s="623" t="s">
        <v>450</v>
      </c>
      <c r="AF75" s="624"/>
      <c r="AG75" s="624"/>
      <c r="AH75" s="625"/>
      <c r="AI75" s="604"/>
      <c r="AJ75" s="623" t="s">
        <v>450</v>
      </c>
      <c r="AK75" s="624"/>
      <c r="AL75" s="624"/>
      <c r="AM75" s="625"/>
      <c r="AN75" s="604"/>
      <c r="AO75" s="623" t="s">
        <v>450</v>
      </c>
      <c r="AP75" s="624"/>
      <c r="AQ75" s="624"/>
      <c r="AR75" s="625"/>
      <c r="AS75" s="604"/>
      <c r="AT75" s="623" t="s">
        <v>450</v>
      </c>
      <c r="AU75" s="624"/>
      <c r="AV75" s="624"/>
      <c r="AW75" s="625"/>
      <c r="AX75" s="604"/>
      <c r="BA75" s="604"/>
    </row>
    <row r="76" spans="2:53">
      <c r="B76" s="604"/>
      <c r="C76" s="604"/>
      <c r="D76" s="604"/>
      <c r="E76" s="304" t="s">
        <v>451</v>
      </c>
      <c r="F76" s="304" t="s">
        <v>452</v>
      </c>
      <c r="G76" s="304" t="s">
        <v>453</v>
      </c>
      <c r="H76" s="639"/>
      <c r="I76" s="303" t="s">
        <v>451</v>
      </c>
      <c r="J76" s="303" t="s">
        <v>452</v>
      </c>
      <c r="K76" s="303" t="s">
        <v>453</v>
      </c>
      <c r="L76" s="659"/>
      <c r="M76" s="644"/>
      <c r="N76" s="604"/>
      <c r="O76" s="604"/>
      <c r="P76" s="304" t="s">
        <v>451</v>
      </c>
      <c r="Q76" s="304" t="s">
        <v>452</v>
      </c>
      <c r="R76" s="304" t="s">
        <v>453</v>
      </c>
      <c r="S76" s="304" t="s">
        <v>446</v>
      </c>
      <c r="T76" s="604"/>
      <c r="U76" s="304" t="s">
        <v>451</v>
      </c>
      <c r="V76" s="304" t="s">
        <v>452</v>
      </c>
      <c r="W76" s="304" t="s">
        <v>453</v>
      </c>
      <c r="X76" s="304" t="s">
        <v>446</v>
      </c>
      <c r="Y76" s="604"/>
      <c r="Z76" s="304" t="s">
        <v>451</v>
      </c>
      <c r="AA76" s="304" t="s">
        <v>452</v>
      </c>
      <c r="AB76" s="304" t="s">
        <v>453</v>
      </c>
      <c r="AC76" s="304" t="s">
        <v>446</v>
      </c>
      <c r="AD76" s="604"/>
      <c r="AE76" s="304" t="s">
        <v>451</v>
      </c>
      <c r="AF76" s="304" t="s">
        <v>452</v>
      </c>
      <c r="AG76" s="304" t="s">
        <v>453</v>
      </c>
      <c r="AH76" s="304" t="s">
        <v>446</v>
      </c>
      <c r="AI76" s="604"/>
      <c r="AJ76" s="304" t="s">
        <v>451</v>
      </c>
      <c r="AK76" s="304" t="s">
        <v>452</v>
      </c>
      <c r="AL76" s="304" t="s">
        <v>453</v>
      </c>
      <c r="AM76" s="304" t="s">
        <v>446</v>
      </c>
      <c r="AN76" s="604"/>
      <c r="AO76" s="304" t="s">
        <v>451</v>
      </c>
      <c r="AP76" s="304" t="s">
        <v>452</v>
      </c>
      <c r="AQ76" s="304" t="s">
        <v>453</v>
      </c>
      <c r="AR76" s="304" t="s">
        <v>446</v>
      </c>
      <c r="AS76" s="604"/>
      <c r="AT76" s="304" t="s">
        <v>451</v>
      </c>
      <c r="AU76" s="304" t="s">
        <v>452</v>
      </c>
      <c r="AV76" s="304" t="s">
        <v>453</v>
      </c>
      <c r="AW76" s="304" t="s">
        <v>446</v>
      </c>
      <c r="AX76" s="604"/>
      <c r="AZ76" s="520" t="s">
        <v>396</v>
      </c>
      <c r="BA76" s="604"/>
    </row>
    <row r="77" spans="2:53">
      <c r="B77" s="604" t="s">
        <v>454</v>
      </c>
      <c r="C77" s="305">
        <v>1</v>
      </c>
      <c r="D77" s="226" t="s">
        <v>367</v>
      </c>
      <c r="E77" s="182">
        <v>6</v>
      </c>
      <c r="F77" s="511">
        <v>1500</v>
      </c>
      <c r="G77" s="512">
        <v>250</v>
      </c>
      <c r="H77" s="667">
        <f>AVERAGE(G77:G106)</f>
        <v>97.962962962962976</v>
      </c>
      <c r="I77" s="513">
        <f>IFERROR(AVERAGE(P77,U77,Z77,AE77,AJ77,AO77,AT77),"-")</f>
        <v>6</v>
      </c>
      <c r="J77" s="513">
        <f>IFERROR(AVERAGE(Q77,V77,AA77,AF77,AK77,AP77,AU77),"-")</f>
        <v>1477.319005849251</v>
      </c>
      <c r="K77" s="200">
        <f>IFERROR(AVERAGE(R77,W77,AB77,AG77,AL77,AQ77,AV77),"-")</f>
        <v>246.21983430820848</v>
      </c>
      <c r="L77" s="620">
        <f>IFERROR(AVERAGE(K77:K106),"-")</f>
        <v>87.79370100809065</v>
      </c>
      <c r="M77" s="201">
        <f>RANK(K77, K$77:$K$106)</f>
        <v>1</v>
      </c>
      <c r="N77" s="604"/>
      <c r="O77" s="604"/>
      <c r="P77" s="531">
        <v>6</v>
      </c>
      <c r="Q77" s="533">
        <v>1480.2240000000002</v>
      </c>
      <c r="R77" s="533">
        <v>246.70400000000004</v>
      </c>
      <c r="S77" s="531">
        <f>RANK(R77, R$77:R$106)</f>
        <v>1</v>
      </c>
      <c r="T77" s="605">
        <f>AVERAGE(R77:R106)</f>
        <v>87.577768513654064</v>
      </c>
      <c r="U77" s="531">
        <v>6</v>
      </c>
      <c r="V77" s="533">
        <v>1498.4771573604053</v>
      </c>
      <c r="W77" s="533">
        <v>249.74619289340089</v>
      </c>
      <c r="X77" s="531">
        <f>RANK(W77, W$77:W$106)</f>
        <v>1</v>
      </c>
      <c r="Y77" s="605">
        <f>AVERAGE(W77:W106)</f>
        <v>89.019598939859762</v>
      </c>
      <c r="Z77" s="531">
        <v>6</v>
      </c>
      <c r="AA77" s="533">
        <v>1484.2838709677412</v>
      </c>
      <c r="AB77" s="533">
        <v>247.3806451612902</v>
      </c>
      <c r="AC77" s="531">
        <f>RANK(AB77, AB$77:AB$106)</f>
        <v>1</v>
      </c>
      <c r="AD77" s="605">
        <f>AVERAGE(AB77:AB106)</f>
        <v>88.199944060031939</v>
      </c>
      <c r="AE77" s="531">
        <v>6</v>
      </c>
      <c r="AF77" s="533">
        <v>1480.8000000000006</v>
      </c>
      <c r="AG77" s="533">
        <v>246.8000000000001</v>
      </c>
      <c r="AH77" s="531">
        <f>RANK(AG77, AG$77:AG$106)</f>
        <v>2</v>
      </c>
      <c r="AI77" s="605">
        <f>AVERAGE(AG77:AG106)</f>
        <v>88.527825864666099</v>
      </c>
      <c r="AJ77" s="531">
        <v>6</v>
      </c>
      <c r="AK77" s="533">
        <v>1453.4078212290501</v>
      </c>
      <c r="AL77" s="533">
        <v>242.23463687150834</v>
      </c>
      <c r="AM77" s="531">
        <f>RANK(AL77, AL$77:AL$106)</f>
        <v>2</v>
      </c>
      <c r="AN77" s="605">
        <f>AVERAGE(AL77:AL106)</f>
        <v>87.413262922556981</v>
      </c>
      <c r="AO77" s="531">
        <v>6</v>
      </c>
      <c r="AP77" s="533">
        <v>1470.0401913875601</v>
      </c>
      <c r="AQ77" s="533">
        <v>245.00669856459334</v>
      </c>
      <c r="AR77" s="531">
        <f>RANK(AQ77, AQ$77:AQ$106)</f>
        <v>1</v>
      </c>
      <c r="AS77" s="605">
        <f>AVERAGE(AQ77:AQ106)</f>
        <v>87.295821372621617</v>
      </c>
      <c r="AT77" s="531">
        <v>6</v>
      </c>
      <c r="AU77" s="533">
        <v>1473.9999999999993</v>
      </c>
      <c r="AV77" s="533">
        <v>245.66666666666654</v>
      </c>
      <c r="AW77" s="531">
        <f>RANK(AV77, AV$77:AV$106)</f>
        <v>1</v>
      </c>
      <c r="AX77" s="605">
        <f>AVERAGE(AV77:AV106)</f>
        <v>86.521685383244204</v>
      </c>
      <c r="AZ77" s="521" t="e">
        <f>RANK(AY77, AY$77:AY$106)</f>
        <v>#N/A</v>
      </c>
      <c r="BA77" s="605" t="e">
        <f>AVERAGE(AY77:AY106)</f>
        <v>#DIV/0!</v>
      </c>
    </row>
    <row r="78" spans="2:53">
      <c r="B78" s="610"/>
      <c r="C78" s="305">
        <v>2</v>
      </c>
      <c r="D78" s="226" t="s">
        <v>824</v>
      </c>
      <c r="E78" s="182">
        <v>6</v>
      </c>
      <c r="F78" s="511">
        <v>1500</v>
      </c>
      <c r="G78" s="512">
        <v>250</v>
      </c>
      <c r="H78" s="668"/>
      <c r="I78" s="513">
        <f t="shared" ref="I78:I106" si="20">IFERROR(AVERAGE(P78,U78,Z78,AE78,AJ78,AO78,AT78),"-")</f>
        <v>6</v>
      </c>
      <c r="J78" s="513">
        <f t="shared" ref="J78:J106" si="21">IFERROR(AVERAGE(Q78,V78,AA78,AF78,AK78,AP78,AU78),"-")</f>
        <v>1474.4909103103876</v>
      </c>
      <c r="K78" s="200">
        <f t="shared" ref="K78:K106" si="22">IFERROR(AVERAGE(R78,W78,AB78,AG78,AL78,AQ78,AV78),"-")</f>
        <v>245.74848505173125</v>
      </c>
      <c r="L78" s="621"/>
      <c r="M78" s="201">
        <f>RANK(K78, K$77:$K$106)</f>
        <v>2</v>
      </c>
      <c r="N78" s="604"/>
      <c r="O78" s="604"/>
      <c r="P78" s="531">
        <v>6</v>
      </c>
      <c r="Q78" s="533">
        <v>1473.4883720930229</v>
      </c>
      <c r="R78" s="533">
        <v>245.58139534883716</v>
      </c>
      <c r="S78" s="531">
        <f t="shared" ref="S78:S106" si="23">RANK(R78, R$77:R$106)</f>
        <v>2</v>
      </c>
      <c r="T78" s="605"/>
      <c r="U78" s="531">
        <v>6</v>
      </c>
      <c r="V78" s="533">
        <v>1482.2222222222222</v>
      </c>
      <c r="W78" s="533">
        <v>247.03703703703704</v>
      </c>
      <c r="X78" s="531">
        <f t="shared" ref="X78:X106" si="24">RANK(W78, W$77:W$106)</f>
        <v>2</v>
      </c>
      <c r="Y78" s="605"/>
      <c r="Z78" s="531">
        <v>6</v>
      </c>
      <c r="AA78" s="533">
        <v>1462.2413793103449</v>
      </c>
      <c r="AB78" s="533">
        <v>243.70689655172416</v>
      </c>
      <c r="AC78" s="531">
        <f t="shared" ref="AC78:AC106" si="25">RANK(AB78, AB$77:AB$106)</f>
        <v>2</v>
      </c>
      <c r="AD78" s="605"/>
      <c r="AE78" s="531">
        <v>6</v>
      </c>
      <c r="AF78" s="533">
        <v>1500.0000000000007</v>
      </c>
      <c r="AG78" s="533">
        <v>250.00000000000011</v>
      </c>
      <c r="AH78" s="531">
        <f t="shared" ref="AH78:AH106" si="26">RANK(AG78, AG$77:AG$106)</f>
        <v>1</v>
      </c>
      <c r="AI78" s="605"/>
      <c r="AJ78" s="531">
        <v>6</v>
      </c>
      <c r="AK78" s="533">
        <v>1482.9629629629624</v>
      </c>
      <c r="AL78" s="533">
        <v>247.16049382716039</v>
      </c>
      <c r="AM78" s="531">
        <f t="shared" ref="AM78:AM106" si="27">RANK(AL78, AL$77:AL$106)</f>
        <v>1</v>
      </c>
      <c r="AN78" s="605"/>
      <c r="AO78" s="531">
        <v>6</v>
      </c>
      <c r="AP78" s="533">
        <v>1459.5505617977528</v>
      </c>
      <c r="AQ78" s="533">
        <v>243.25842696629215</v>
      </c>
      <c r="AR78" s="531">
        <f t="shared" ref="AR78:AR106" si="28">RANK(AQ78, AQ$77:AQ$106)</f>
        <v>2</v>
      </c>
      <c r="AS78" s="605"/>
      <c r="AT78" s="531">
        <v>6</v>
      </c>
      <c r="AU78" s="533">
        <v>1460.9708737864075</v>
      </c>
      <c r="AV78" s="533">
        <v>243.49514563106791</v>
      </c>
      <c r="AW78" s="531">
        <f t="shared" ref="AW78:AW106" si="29">RANK(AV78, AV$77:AV$106)</f>
        <v>2</v>
      </c>
      <c r="AX78" s="605"/>
      <c r="AZ78" s="521" t="e">
        <f t="shared" ref="AZ78:AZ106" si="30">RANK(AY78, AY$77:AY$106)</f>
        <v>#N/A</v>
      </c>
      <c r="BA78" s="605"/>
    </row>
    <row r="79" spans="2:53">
      <c r="B79" s="610"/>
      <c r="C79" s="305">
        <v>3</v>
      </c>
      <c r="D79" s="226" t="s">
        <v>801</v>
      </c>
      <c r="E79" s="182">
        <v>18</v>
      </c>
      <c r="F79" s="511">
        <v>1500</v>
      </c>
      <c r="G79" s="512">
        <v>83.3</v>
      </c>
      <c r="H79" s="668"/>
      <c r="I79" s="513">
        <f t="shared" si="20"/>
        <v>18</v>
      </c>
      <c r="J79" s="513">
        <f t="shared" si="21"/>
        <v>1329.0253227339406</v>
      </c>
      <c r="K79" s="200">
        <f t="shared" si="22"/>
        <v>73.834740151885597</v>
      </c>
      <c r="L79" s="621"/>
      <c r="M79" s="201">
        <f>RANK(K79, K$77:$K$106)</f>
        <v>18</v>
      </c>
      <c r="N79" s="604"/>
      <c r="O79" s="604"/>
      <c r="P79" s="531">
        <v>18</v>
      </c>
      <c r="Q79" s="533">
        <v>1323.3461538461545</v>
      </c>
      <c r="R79" s="533">
        <v>73.519230769230802</v>
      </c>
      <c r="S79" s="531">
        <f t="shared" si="23"/>
        <v>16</v>
      </c>
      <c r="T79" s="605"/>
      <c r="U79" s="531">
        <v>18</v>
      </c>
      <c r="V79" s="533">
        <v>1381.695652173913</v>
      </c>
      <c r="W79" s="533">
        <v>76.760869565217391</v>
      </c>
      <c r="X79" s="531">
        <f t="shared" si="24"/>
        <v>16</v>
      </c>
      <c r="Y79" s="605"/>
      <c r="Z79" s="531">
        <v>18</v>
      </c>
      <c r="AA79" s="533">
        <v>1334.8993288590602</v>
      </c>
      <c r="AB79" s="533">
        <v>74.161073825503351</v>
      </c>
      <c r="AC79" s="531">
        <f t="shared" si="25"/>
        <v>17</v>
      </c>
      <c r="AD79" s="605"/>
      <c r="AE79" s="531">
        <v>18</v>
      </c>
      <c r="AF79" s="533">
        <v>1309.8591549295777</v>
      </c>
      <c r="AG79" s="533">
        <v>72.769953051643199</v>
      </c>
      <c r="AH79" s="531">
        <f t="shared" si="26"/>
        <v>19</v>
      </c>
      <c r="AI79" s="605"/>
      <c r="AJ79" s="531">
        <v>18</v>
      </c>
      <c r="AK79" s="533">
        <v>1331.3513513513517</v>
      </c>
      <c r="AL79" s="533">
        <v>73.963963963963977</v>
      </c>
      <c r="AM79" s="531">
        <f t="shared" si="27"/>
        <v>18</v>
      </c>
      <c r="AN79" s="605"/>
      <c r="AO79" s="531">
        <v>18</v>
      </c>
      <c r="AP79" s="533">
        <v>1305.5056179775281</v>
      </c>
      <c r="AQ79" s="533">
        <v>72.528089887640448</v>
      </c>
      <c r="AR79" s="531">
        <f t="shared" si="28"/>
        <v>18</v>
      </c>
      <c r="AS79" s="605"/>
      <c r="AT79" s="531">
        <v>18</v>
      </c>
      <c r="AU79" s="533">
        <v>1316.5200000000002</v>
      </c>
      <c r="AV79" s="533">
        <v>73.140000000000015</v>
      </c>
      <c r="AW79" s="531">
        <f t="shared" si="29"/>
        <v>18</v>
      </c>
      <c r="AX79" s="605"/>
      <c r="AZ79" s="521" t="e">
        <f t="shared" si="30"/>
        <v>#N/A</v>
      </c>
      <c r="BA79" s="605"/>
    </row>
    <row r="80" spans="2:53">
      <c r="B80" s="610"/>
      <c r="C80" s="305">
        <v>4</v>
      </c>
      <c r="D80" s="226" t="s">
        <v>741</v>
      </c>
      <c r="E80" s="182">
        <v>18</v>
      </c>
      <c r="F80" s="511">
        <v>1500</v>
      </c>
      <c r="G80" s="512">
        <v>83.3</v>
      </c>
      <c r="H80" s="668"/>
      <c r="I80" s="513">
        <f t="shared" si="20"/>
        <v>18</v>
      </c>
      <c r="J80" s="513">
        <f t="shared" si="21"/>
        <v>1361.7402963068284</v>
      </c>
      <c r="K80" s="200">
        <f t="shared" si="22"/>
        <v>75.652238683712682</v>
      </c>
      <c r="L80" s="621"/>
      <c r="M80" s="201">
        <f>RANK(K80, K$77:$K$106)</f>
        <v>15</v>
      </c>
      <c r="N80" s="604"/>
      <c r="O80" s="604"/>
      <c r="P80" s="531">
        <v>18</v>
      </c>
      <c r="Q80" s="533">
        <v>1308</v>
      </c>
      <c r="R80" s="533">
        <v>72.666666666666671</v>
      </c>
      <c r="S80" s="531">
        <f t="shared" si="23"/>
        <v>19</v>
      </c>
      <c r="T80" s="605"/>
      <c r="U80" s="531">
        <v>18</v>
      </c>
      <c r="V80" s="533">
        <v>1394.2105263157885</v>
      </c>
      <c r="W80" s="533">
        <v>77.456140350877135</v>
      </c>
      <c r="X80" s="531">
        <f t="shared" si="24"/>
        <v>15</v>
      </c>
      <c r="Y80" s="605"/>
      <c r="Z80" s="531">
        <v>18</v>
      </c>
      <c r="AA80" s="533">
        <v>1395.3846153846148</v>
      </c>
      <c r="AB80" s="533">
        <v>77.521367521367495</v>
      </c>
      <c r="AC80" s="531">
        <f t="shared" si="25"/>
        <v>14</v>
      </c>
      <c r="AD80" s="605"/>
      <c r="AE80" s="531">
        <v>18</v>
      </c>
      <c r="AF80" s="533">
        <v>1406.6666666666656</v>
      </c>
      <c r="AG80" s="533">
        <v>78.148148148148096</v>
      </c>
      <c r="AH80" s="531">
        <f t="shared" si="26"/>
        <v>13</v>
      </c>
      <c r="AI80" s="605"/>
      <c r="AJ80" s="531">
        <v>18</v>
      </c>
      <c r="AK80" s="533">
        <v>1348.571428571428</v>
      </c>
      <c r="AL80" s="533">
        <v>74.920634920634882</v>
      </c>
      <c r="AM80" s="531">
        <f t="shared" si="27"/>
        <v>16</v>
      </c>
      <c r="AN80" s="605"/>
      <c r="AO80" s="531">
        <v>18</v>
      </c>
      <c r="AP80" s="533">
        <v>1335.348837209302</v>
      </c>
      <c r="AQ80" s="533">
        <v>74.186046511627893</v>
      </c>
      <c r="AR80" s="531">
        <f t="shared" si="28"/>
        <v>16</v>
      </c>
      <c r="AS80" s="605"/>
      <c r="AT80" s="531">
        <v>18</v>
      </c>
      <c r="AU80" s="533">
        <v>1344</v>
      </c>
      <c r="AV80" s="533">
        <v>74.666666666666671</v>
      </c>
      <c r="AW80" s="531">
        <f t="shared" si="29"/>
        <v>14</v>
      </c>
      <c r="AX80" s="605"/>
      <c r="AZ80" s="521" t="e">
        <f t="shared" si="30"/>
        <v>#N/A</v>
      </c>
      <c r="BA80" s="605"/>
    </row>
    <row r="81" spans="2:53">
      <c r="B81" s="610"/>
      <c r="C81" s="305">
        <v>5</v>
      </c>
      <c r="D81" s="226" t="s">
        <v>353</v>
      </c>
      <c r="E81" s="182">
        <v>16</v>
      </c>
      <c r="F81" s="511">
        <v>1500</v>
      </c>
      <c r="G81" s="512">
        <v>93.8</v>
      </c>
      <c r="H81" s="668"/>
      <c r="I81" s="513">
        <f t="shared" si="20"/>
        <v>16</v>
      </c>
      <c r="J81" s="513">
        <f t="shared" si="21"/>
        <v>1395.5740705287735</v>
      </c>
      <c r="K81" s="200">
        <f t="shared" si="22"/>
        <v>87.223379408048345</v>
      </c>
      <c r="L81" s="621"/>
      <c r="M81" s="201">
        <f>RANK(K81, K$77:$K$106)</f>
        <v>3</v>
      </c>
      <c r="N81" s="604"/>
      <c r="O81" s="604"/>
      <c r="P81" s="531">
        <v>16</v>
      </c>
      <c r="Q81" s="533">
        <v>1415.9999999999995</v>
      </c>
      <c r="R81" s="533">
        <v>88.499999999999972</v>
      </c>
      <c r="S81" s="531">
        <f t="shared" si="23"/>
        <v>3</v>
      </c>
      <c r="T81" s="605"/>
      <c r="U81" s="531">
        <v>16</v>
      </c>
      <c r="V81" s="533">
        <v>1372.3076923076915</v>
      </c>
      <c r="W81" s="533">
        <v>85.769230769230717</v>
      </c>
      <c r="X81" s="531">
        <f t="shared" si="24"/>
        <v>7</v>
      </c>
      <c r="Y81" s="605"/>
      <c r="Z81" s="531">
        <v>16</v>
      </c>
      <c r="AA81" s="533">
        <v>1399.9999999999989</v>
      </c>
      <c r="AB81" s="533">
        <v>87.499999999999929</v>
      </c>
      <c r="AC81" s="531">
        <f t="shared" si="25"/>
        <v>5</v>
      </c>
      <c r="AD81" s="605"/>
      <c r="AE81" s="531">
        <v>16</v>
      </c>
      <c r="AF81" s="533">
        <v>1398.8571428571415</v>
      </c>
      <c r="AG81" s="533">
        <v>87.428571428571345</v>
      </c>
      <c r="AH81" s="531">
        <f t="shared" si="26"/>
        <v>3</v>
      </c>
      <c r="AI81" s="605"/>
      <c r="AJ81" s="531">
        <v>16</v>
      </c>
      <c r="AK81" s="533">
        <v>1415.9999999999995</v>
      </c>
      <c r="AL81" s="533">
        <v>88.499999999999972</v>
      </c>
      <c r="AM81" s="531">
        <f t="shared" si="27"/>
        <v>3</v>
      </c>
      <c r="AN81" s="605"/>
      <c r="AO81" s="531">
        <v>16</v>
      </c>
      <c r="AP81" s="533">
        <v>1365.365853658536</v>
      </c>
      <c r="AQ81" s="533">
        <v>85.335365853658502</v>
      </c>
      <c r="AR81" s="531">
        <f t="shared" si="28"/>
        <v>5</v>
      </c>
      <c r="AS81" s="605"/>
      <c r="AT81" s="531">
        <v>16</v>
      </c>
      <c r="AU81" s="533">
        <v>1400.4878048780483</v>
      </c>
      <c r="AV81" s="533">
        <v>87.530487804878021</v>
      </c>
      <c r="AW81" s="531">
        <f t="shared" si="29"/>
        <v>3</v>
      </c>
      <c r="AX81" s="605"/>
      <c r="AZ81" s="521" t="e">
        <f t="shared" si="30"/>
        <v>#N/A</v>
      </c>
      <c r="BA81" s="605"/>
    </row>
    <row r="82" spans="2:53">
      <c r="B82" s="610"/>
      <c r="C82" s="305">
        <v>6</v>
      </c>
      <c r="D82" s="226" t="s">
        <v>369</v>
      </c>
      <c r="E82" s="182">
        <v>16</v>
      </c>
      <c r="F82" s="511">
        <v>1565</v>
      </c>
      <c r="G82" s="512">
        <v>97.8</v>
      </c>
      <c r="H82" s="668"/>
      <c r="I82" s="513">
        <f t="shared" si="20"/>
        <v>16.142857142857142</v>
      </c>
      <c r="J82" s="513">
        <f t="shared" si="21"/>
        <v>1368.1908195061744</v>
      </c>
      <c r="K82" s="200">
        <f t="shared" si="22"/>
        <v>84.774454401140403</v>
      </c>
      <c r="L82" s="621"/>
      <c r="M82" s="201">
        <f>RANK(K82, K$77:$K$106)</f>
        <v>6</v>
      </c>
      <c r="N82" s="604"/>
      <c r="O82" s="604"/>
      <c r="P82" s="531">
        <v>16</v>
      </c>
      <c r="Q82" s="533">
        <v>1405.3846153846146</v>
      </c>
      <c r="R82" s="533">
        <v>87.83653846153841</v>
      </c>
      <c r="S82" s="531">
        <f t="shared" si="23"/>
        <v>4</v>
      </c>
      <c r="T82" s="605"/>
      <c r="U82" s="531">
        <v>16</v>
      </c>
      <c r="V82" s="533">
        <v>1386.5753424657523</v>
      </c>
      <c r="W82" s="533">
        <v>86.660958904109521</v>
      </c>
      <c r="X82" s="531">
        <f t="shared" si="24"/>
        <v>5</v>
      </c>
      <c r="Y82" s="605"/>
      <c r="Z82" s="531">
        <v>16</v>
      </c>
      <c r="AA82" s="533">
        <v>1368.1818181818196</v>
      </c>
      <c r="AB82" s="533">
        <v>85.511363636363726</v>
      </c>
      <c r="AC82" s="531">
        <f t="shared" si="25"/>
        <v>7</v>
      </c>
      <c r="AD82" s="605"/>
      <c r="AE82" s="531">
        <v>16</v>
      </c>
      <c r="AF82" s="533">
        <v>1371.42857142857</v>
      </c>
      <c r="AG82" s="533">
        <v>85.714285714285623</v>
      </c>
      <c r="AH82" s="531">
        <f t="shared" si="26"/>
        <v>5</v>
      </c>
      <c r="AI82" s="605"/>
      <c r="AJ82" s="531">
        <v>16</v>
      </c>
      <c r="AK82" s="533">
        <v>1402.2857142857129</v>
      </c>
      <c r="AL82" s="533">
        <v>87.642857142857054</v>
      </c>
      <c r="AM82" s="531">
        <f t="shared" si="27"/>
        <v>4</v>
      </c>
      <c r="AN82" s="605"/>
      <c r="AO82" s="531">
        <v>17</v>
      </c>
      <c r="AP82" s="533">
        <v>1404.1463414634143</v>
      </c>
      <c r="AQ82" s="533">
        <v>82.596843615494961</v>
      </c>
      <c r="AR82" s="531">
        <f t="shared" si="28"/>
        <v>7</v>
      </c>
      <c r="AS82" s="605"/>
      <c r="AT82" s="531">
        <v>16</v>
      </c>
      <c r="AU82" s="533">
        <v>1239.3333333333378</v>
      </c>
      <c r="AV82" s="533">
        <v>77.458333333333613</v>
      </c>
      <c r="AW82" s="531">
        <f t="shared" si="29"/>
        <v>13</v>
      </c>
      <c r="AX82" s="605"/>
      <c r="AZ82" s="521" t="e">
        <f t="shared" si="30"/>
        <v>#N/A</v>
      </c>
      <c r="BA82" s="605"/>
    </row>
    <row r="83" spans="2:53">
      <c r="B83" s="610"/>
      <c r="C83" s="305">
        <v>7</v>
      </c>
      <c r="D83" s="226" t="s">
        <v>345</v>
      </c>
      <c r="E83" s="182">
        <v>14</v>
      </c>
      <c r="F83" s="511">
        <v>1440</v>
      </c>
      <c r="G83" s="512">
        <v>102.9</v>
      </c>
      <c r="H83" s="668"/>
      <c r="I83" s="513">
        <f t="shared" si="20"/>
        <v>14.857142857142858</v>
      </c>
      <c r="J83" s="513">
        <f t="shared" si="21"/>
        <v>1264.0170310390101</v>
      </c>
      <c r="K83" s="200">
        <f t="shared" si="22"/>
        <v>85.13901952176559</v>
      </c>
      <c r="L83" s="621"/>
      <c r="M83" s="201">
        <f>RANK(K83, K$77:$K$106)</f>
        <v>5</v>
      </c>
      <c r="N83" s="604"/>
      <c r="O83" s="604"/>
      <c r="P83" s="531">
        <v>15</v>
      </c>
      <c r="Q83" s="533">
        <v>1252.2580645161272</v>
      </c>
      <c r="R83" s="533">
        <v>83.483870967741808</v>
      </c>
      <c r="S83" s="531">
        <f t="shared" si="23"/>
        <v>7</v>
      </c>
      <c r="T83" s="605"/>
      <c r="U83" s="531">
        <v>15</v>
      </c>
      <c r="V83" s="533">
        <v>1306.6666666666636</v>
      </c>
      <c r="W83" s="533">
        <v>87.111111111110901</v>
      </c>
      <c r="X83" s="531">
        <f t="shared" si="24"/>
        <v>4</v>
      </c>
      <c r="Y83" s="605"/>
      <c r="Z83" s="531">
        <v>15</v>
      </c>
      <c r="AA83" s="533">
        <v>1314.782608695657</v>
      </c>
      <c r="AB83" s="533">
        <v>87.652173913043796</v>
      </c>
      <c r="AC83" s="531">
        <f t="shared" si="25"/>
        <v>4</v>
      </c>
      <c r="AD83" s="605"/>
      <c r="AE83" s="531">
        <v>15</v>
      </c>
      <c r="AF83" s="533">
        <v>1302.2222222222192</v>
      </c>
      <c r="AG83" s="533">
        <v>86.814814814814611</v>
      </c>
      <c r="AH83" s="531">
        <f t="shared" si="26"/>
        <v>4</v>
      </c>
      <c r="AI83" s="605"/>
      <c r="AJ83" s="531">
        <v>15</v>
      </c>
      <c r="AK83" s="533">
        <v>1287.4999999999961</v>
      </c>
      <c r="AL83" s="533">
        <v>85.833333333333073</v>
      </c>
      <c r="AM83" s="531">
        <f t="shared" si="27"/>
        <v>7</v>
      </c>
      <c r="AN83" s="605"/>
      <c r="AO83" s="531">
        <v>14</v>
      </c>
      <c r="AP83" s="533">
        <v>1280.6896551724112</v>
      </c>
      <c r="AQ83" s="533">
        <v>91.477832512315089</v>
      </c>
      <c r="AR83" s="531">
        <f t="shared" si="28"/>
        <v>3</v>
      </c>
      <c r="AS83" s="605"/>
      <c r="AT83" s="531">
        <v>15</v>
      </c>
      <c r="AU83" s="533">
        <v>1103.999999999998</v>
      </c>
      <c r="AV83" s="533">
        <v>73.599999999999866</v>
      </c>
      <c r="AW83" s="531">
        <f t="shared" si="29"/>
        <v>16</v>
      </c>
      <c r="AX83" s="605"/>
      <c r="AZ83" s="521" t="e">
        <f t="shared" si="30"/>
        <v>#N/A</v>
      </c>
      <c r="BA83" s="605"/>
    </row>
    <row r="84" spans="2:53">
      <c r="B84" s="610"/>
      <c r="C84" s="305">
        <v>8</v>
      </c>
      <c r="D84" s="226" t="s">
        <v>783</v>
      </c>
      <c r="E84" s="182">
        <v>16</v>
      </c>
      <c r="F84" s="511">
        <v>1440</v>
      </c>
      <c r="G84" s="512">
        <v>90</v>
      </c>
      <c r="H84" s="668"/>
      <c r="I84" s="513">
        <f t="shared" si="20"/>
        <v>16</v>
      </c>
      <c r="J84" s="513">
        <f t="shared" si="21"/>
        <v>1264.3838563783543</v>
      </c>
      <c r="K84" s="200">
        <f t="shared" si="22"/>
        <v>79.023991023647142</v>
      </c>
      <c r="L84" s="621"/>
      <c r="M84" s="201">
        <f>RANK(K84, K$77:$K$106)</f>
        <v>11</v>
      </c>
      <c r="N84" s="604"/>
      <c r="O84" s="604"/>
      <c r="P84" s="531">
        <v>16</v>
      </c>
      <c r="Q84" s="533">
        <v>1257.2727272727273</v>
      </c>
      <c r="R84" s="533">
        <v>78.579545454545453</v>
      </c>
      <c r="S84" s="531">
        <f t="shared" si="23"/>
        <v>12</v>
      </c>
      <c r="T84" s="605"/>
      <c r="U84" s="531">
        <v>16</v>
      </c>
      <c r="V84" s="533">
        <v>1295.9999999999995</v>
      </c>
      <c r="W84" s="533">
        <v>80.999999999999972</v>
      </c>
      <c r="X84" s="531">
        <f t="shared" si="24"/>
        <v>11</v>
      </c>
      <c r="Y84" s="605"/>
      <c r="Z84" s="531">
        <v>16</v>
      </c>
      <c r="AA84" s="533">
        <v>1259.9999999999989</v>
      </c>
      <c r="AB84" s="533">
        <v>78.749999999999929</v>
      </c>
      <c r="AC84" s="531">
        <f t="shared" si="25"/>
        <v>12</v>
      </c>
      <c r="AD84" s="605"/>
      <c r="AE84" s="531">
        <v>16</v>
      </c>
      <c r="AF84" s="533">
        <v>1278.9473684210516</v>
      </c>
      <c r="AG84" s="533">
        <v>79.934210526315724</v>
      </c>
      <c r="AH84" s="531">
        <f t="shared" si="26"/>
        <v>12</v>
      </c>
      <c r="AI84" s="605"/>
      <c r="AJ84" s="531">
        <v>16</v>
      </c>
      <c r="AK84" s="533">
        <v>1249.9999999999991</v>
      </c>
      <c r="AL84" s="533">
        <v>78.124999999999943</v>
      </c>
      <c r="AM84" s="531">
        <f t="shared" si="27"/>
        <v>12</v>
      </c>
      <c r="AN84" s="605"/>
      <c r="AO84" s="531">
        <v>16</v>
      </c>
      <c r="AP84" s="533">
        <v>1252.8571428571424</v>
      </c>
      <c r="AQ84" s="533">
        <v>78.303571428571402</v>
      </c>
      <c r="AR84" s="531">
        <f t="shared" si="28"/>
        <v>12</v>
      </c>
      <c r="AS84" s="605"/>
      <c r="AT84" s="531">
        <v>16</v>
      </c>
      <c r="AU84" s="533">
        <v>1255.6097560975604</v>
      </c>
      <c r="AV84" s="533">
        <v>78.475609756097526</v>
      </c>
      <c r="AW84" s="531">
        <f t="shared" si="29"/>
        <v>11</v>
      </c>
      <c r="AX84" s="605"/>
      <c r="AZ84" s="521" t="e">
        <f t="shared" si="30"/>
        <v>#N/A</v>
      </c>
      <c r="BA84" s="605"/>
    </row>
    <row r="85" spans="2:53">
      <c r="B85" s="610"/>
      <c r="C85" s="305">
        <v>9</v>
      </c>
      <c r="D85" s="226" t="s">
        <v>784</v>
      </c>
      <c r="E85" s="182">
        <v>16</v>
      </c>
      <c r="F85" s="511">
        <v>1440</v>
      </c>
      <c r="G85" s="512">
        <v>90</v>
      </c>
      <c r="H85" s="668"/>
      <c r="I85" s="513">
        <f t="shared" si="20"/>
        <v>16.857142857142858</v>
      </c>
      <c r="J85" s="513">
        <f t="shared" si="21"/>
        <v>1132.8520786315808</v>
      </c>
      <c r="K85" s="200">
        <f t="shared" si="22"/>
        <v>67.2418239531182</v>
      </c>
      <c r="L85" s="621"/>
      <c r="M85" s="201">
        <f>RANK(K85, K$77:$K$106)</f>
        <v>22</v>
      </c>
      <c r="N85" s="604"/>
      <c r="O85" s="604"/>
      <c r="P85" s="531">
        <v>17</v>
      </c>
      <c r="Q85" s="533">
        <v>1146.8181818181818</v>
      </c>
      <c r="R85" s="533">
        <v>67.459893048128336</v>
      </c>
      <c r="S85" s="531">
        <f t="shared" si="23"/>
        <v>22</v>
      </c>
      <c r="T85" s="605"/>
      <c r="U85" s="531">
        <v>16</v>
      </c>
      <c r="V85" s="533">
        <v>1148.9999999999995</v>
      </c>
      <c r="W85" s="533">
        <v>71.812499999999972</v>
      </c>
      <c r="X85" s="531">
        <f t="shared" si="24"/>
        <v>19</v>
      </c>
      <c r="Y85" s="605"/>
      <c r="Z85" s="531">
        <v>17</v>
      </c>
      <c r="AA85" s="533">
        <v>1065.4545454545439</v>
      </c>
      <c r="AB85" s="533">
        <v>62.673796791443756</v>
      </c>
      <c r="AC85" s="531">
        <f t="shared" si="25"/>
        <v>24</v>
      </c>
      <c r="AD85" s="605"/>
      <c r="AE85" s="531">
        <v>17</v>
      </c>
      <c r="AF85" s="533">
        <v>1142.9268292682923</v>
      </c>
      <c r="AG85" s="533">
        <v>67.230989956958368</v>
      </c>
      <c r="AH85" s="531">
        <f t="shared" si="26"/>
        <v>23</v>
      </c>
      <c r="AI85" s="605"/>
      <c r="AJ85" s="531">
        <v>17</v>
      </c>
      <c r="AK85" s="533">
        <v>1141.5789473684204</v>
      </c>
      <c r="AL85" s="533">
        <v>67.151702786377669</v>
      </c>
      <c r="AM85" s="531">
        <f t="shared" si="27"/>
        <v>21</v>
      </c>
      <c r="AN85" s="605"/>
      <c r="AO85" s="531">
        <v>17</v>
      </c>
      <c r="AP85" s="533">
        <v>1145.5813953488371</v>
      </c>
      <c r="AQ85" s="533">
        <v>67.387140902872773</v>
      </c>
      <c r="AR85" s="531">
        <f t="shared" si="28"/>
        <v>22</v>
      </c>
      <c r="AS85" s="605"/>
      <c r="AT85" s="531">
        <v>17</v>
      </c>
      <c r="AU85" s="533">
        <v>1138.6046511627906</v>
      </c>
      <c r="AV85" s="533">
        <v>66.976744186046503</v>
      </c>
      <c r="AW85" s="531">
        <f t="shared" si="29"/>
        <v>22</v>
      </c>
      <c r="AX85" s="605"/>
      <c r="AZ85" s="521" t="e">
        <f t="shared" si="30"/>
        <v>#N/A</v>
      </c>
      <c r="BA85" s="605"/>
    </row>
    <row r="86" spans="2:53">
      <c r="B86" s="610"/>
      <c r="C86" s="305">
        <v>10</v>
      </c>
      <c r="D86" s="226" t="s">
        <v>785</v>
      </c>
      <c r="E86" s="182">
        <v>18</v>
      </c>
      <c r="F86" s="511">
        <v>1636</v>
      </c>
      <c r="G86" s="512">
        <v>90.9</v>
      </c>
      <c r="H86" s="668"/>
      <c r="I86" s="513">
        <f t="shared" si="20"/>
        <v>18</v>
      </c>
      <c r="J86" s="513">
        <f t="shared" si="21"/>
        <v>1483.3617132869238</v>
      </c>
      <c r="K86" s="200">
        <f t="shared" si="22"/>
        <v>82.40898407149578</v>
      </c>
      <c r="L86" s="621"/>
      <c r="M86" s="201">
        <f>RANK(K86, K$77:$K$106)</f>
        <v>9</v>
      </c>
      <c r="N86" s="604"/>
      <c r="O86" s="604"/>
      <c r="P86" s="531">
        <v>18</v>
      </c>
      <c r="Q86" s="533">
        <v>1487.2131147540997</v>
      </c>
      <c r="R86" s="533">
        <v>82.622950819672212</v>
      </c>
      <c r="S86" s="531">
        <f t="shared" si="23"/>
        <v>9</v>
      </c>
      <c r="T86" s="605"/>
      <c r="U86" s="531">
        <v>18</v>
      </c>
      <c r="V86" s="533">
        <v>1548.8888888888896</v>
      </c>
      <c r="W86" s="533">
        <v>86.049382716049422</v>
      </c>
      <c r="X86" s="531">
        <f t="shared" si="24"/>
        <v>6</v>
      </c>
      <c r="Y86" s="605"/>
      <c r="Z86" s="531">
        <v>18</v>
      </c>
      <c r="AA86" s="533">
        <v>1517.5000000000005</v>
      </c>
      <c r="AB86" s="533">
        <v>84.305555555555586</v>
      </c>
      <c r="AC86" s="531">
        <f t="shared" si="25"/>
        <v>8</v>
      </c>
      <c r="AD86" s="605"/>
      <c r="AE86" s="531">
        <v>18</v>
      </c>
      <c r="AF86" s="533">
        <v>1521.9230769230778</v>
      </c>
      <c r="AG86" s="533">
        <v>84.551282051282101</v>
      </c>
      <c r="AH86" s="531">
        <f t="shared" si="26"/>
        <v>9</v>
      </c>
      <c r="AI86" s="605"/>
      <c r="AJ86" s="531">
        <v>18</v>
      </c>
      <c r="AK86" s="533">
        <v>1426.0714285714296</v>
      </c>
      <c r="AL86" s="533">
        <v>79.226190476190538</v>
      </c>
      <c r="AM86" s="531">
        <f t="shared" si="27"/>
        <v>10</v>
      </c>
      <c r="AN86" s="605"/>
      <c r="AO86" s="531">
        <v>18</v>
      </c>
      <c r="AP86" s="533">
        <v>1442.9032258064531</v>
      </c>
      <c r="AQ86" s="533">
        <v>80.161290322580726</v>
      </c>
      <c r="AR86" s="531">
        <f t="shared" si="28"/>
        <v>9</v>
      </c>
      <c r="AS86" s="605"/>
      <c r="AT86" s="531">
        <v>18</v>
      </c>
      <c r="AU86" s="533">
        <v>1439.0322580645175</v>
      </c>
      <c r="AV86" s="533">
        <v>79.946236559139862</v>
      </c>
      <c r="AW86" s="531">
        <f t="shared" si="29"/>
        <v>7</v>
      </c>
      <c r="AX86" s="605"/>
      <c r="AZ86" s="521" t="e">
        <f t="shared" si="30"/>
        <v>#N/A</v>
      </c>
      <c r="BA86" s="605"/>
    </row>
    <row r="87" spans="2:53">
      <c r="B87" s="610"/>
      <c r="C87" s="305">
        <v>11</v>
      </c>
      <c r="D87" s="226" t="s">
        <v>786</v>
      </c>
      <c r="E87" s="182">
        <v>18</v>
      </c>
      <c r="F87" s="511">
        <v>1636</v>
      </c>
      <c r="G87" s="512">
        <v>90.9</v>
      </c>
      <c r="H87" s="668"/>
      <c r="I87" s="513">
        <f t="shared" si="20"/>
        <v>18</v>
      </c>
      <c r="J87" s="513">
        <f t="shared" si="21"/>
        <v>1475.0755477413525</v>
      </c>
      <c r="K87" s="200">
        <f t="shared" si="22"/>
        <v>81.948641541186234</v>
      </c>
      <c r="L87" s="621"/>
      <c r="M87" s="201">
        <f>RANK(K87, K$77:$K$106)</f>
        <v>10</v>
      </c>
      <c r="N87" s="604"/>
      <c r="O87" s="604"/>
      <c r="P87" s="531">
        <v>18</v>
      </c>
      <c r="Q87" s="533">
        <v>1426.5306122448985</v>
      </c>
      <c r="R87" s="533">
        <v>79.251700680272137</v>
      </c>
      <c r="S87" s="531">
        <f t="shared" si="23"/>
        <v>10</v>
      </c>
      <c r="T87" s="605"/>
      <c r="U87" s="531">
        <v>18</v>
      </c>
      <c r="V87" s="533">
        <v>1509.9999999999995</v>
      </c>
      <c r="W87" s="533">
        <v>83.888888888888857</v>
      </c>
      <c r="X87" s="531">
        <f t="shared" si="24"/>
        <v>8</v>
      </c>
      <c r="Y87" s="605"/>
      <c r="Z87" s="531">
        <v>18</v>
      </c>
      <c r="AA87" s="533">
        <v>1554.9999999999989</v>
      </c>
      <c r="AB87" s="533">
        <v>86.388888888888829</v>
      </c>
      <c r="AC87" s="531">
        <f t="shared" si="25"/>
        <v>6</v>
      </c>
      <c r="AD87" s="605"/>
      <c r="AE87" s="531">
        <v>18</v>
      </c>
      <c r="AF87" s="533">
        <v>1538.5714285714282</v>
      </c>
      <c r="AG87" s="533">
        <v>85.476190476190453</v>
      </c>
      <c r="AH87" s="531">
        <f t="shared" si="26"/>
        <v>8</v>
      </c>
      <c r="AI87" s="605"/>
      <c r="AJ87" s="531">
        <v>18</v>
      </c>
      <c r="AK87" s="533">
        <v>1415.4545454545455</v>
      </c>
      <c r="AL87" s="533">
        <v>78.63636363636364</v>
      </c>
      <c r="AM87" s="531">
        <f t="shared" si="27"/>
        <v>11</v>
      </c>
      <c r="AN87" s="605"/>
      <c r="AO87" s="531">
        <v>18</v>
      </c>
      <c r="AP87" s="533">
        <v>1441.2765957446811</v>
      </c>
      <c r="AQ87" s="533">
        <v>80.070921985815616</v>
      </c>
      <c r="AR87" s="531">
        <f t="shared" si="28"/>
        <v>10</v>
      </c>
      <c r="AS87" s="605"/>
      <c r="AT87" s="531">
        <v>18</v>
      </c>
      <c r="AU87" s="533">
        <v>1438.695652173913</v>
      </c>
      <c r="AV87" s="533">
        <v>79.927536231884062</v>
      </c>
      <c r="AW87" s="531">
        <f t="shared" si="29"/>
        <v>8</v>
      </c>
      <c r="AX87" s="605"/>
      <c r="AZ87" s="521" t="e">
        <f t="shared" si="30"/>
        <v>#N/A</v>
      </c>
      <c r="BA87" s="605"/>
    </row>
    <row r="88" spans="2:53">
      <c r="B88" s="610"/>
      <c r="C88" s="305">
        <v>12</v>
      </c>
      <c r="D88" s="226" t="s">
        <v>355</v>
      </c>
      <c r="E88" s="182">
        <v>17</v>
      </c>
      <c r="F88" s="511">
        <v>1500</v>
      </c>
      <c r="G88" s="512">
        <v>88.2</v>
      </c>
      <c r="H88" s="668"/>
      <c r="I88" s="513">
        <f t="shared" si="20"/>
        <v>17</v>
      </c>
      <c r="J88" s="513">
        <f t="shared" si="21"/>
        <v>1402.0441716567962</v>
      </c>
      <c r="K88" s="200">
        <f t="shared" si="22"/>
        <v>82.473186568046827</v>
      </c>
      <c r="L88" s="621"/>
      <c r="M88" s="201">
        <f>RANK(K88, K$77:$K$106)</f>
        <v>8</v>
      </c>
      <c r="N88" s="604"/>
      <c r="O88" s="604"/>
      <c r="P88" s="531">
        <v>17</v>
      </c>
      <c r="Q88" s="533">
        <v>1419.9999999999993</v>
      </c>
      <c r="R88" s="533">
        <v>83.529411764705841</v>
      </c>
      <c r="S88" s="531">
        <f t="shared" si="23"/>
        <v>6</v>
      </c>
      <c r="T88" s="605"/>
      <c r="U88" s="531">
        <v>17</v>
      </c>
      <c r="V88" s="533">
        <v>1401.0810810810799</v>
      </c>
      <c r="W88" s="533">
        <v>82.416534181239996</v>
      </c>
      <c r="X88" s="531">
        <f t="shared" si="24"/>
        <v>10</v>
      </c>
      <c r="Y88" s="605"/>
      <c r="Z88" s="531">
        <v>17</v>
      </c>
      <c r="AA88" s="533">
        <v>1411.7647058823511</v>
      </c>
      <c r="AB88" s="533">
        <v>83.044982698961832</v>
      </c>
      <c r="AC88" s="531">
        <f t="shared" si="25"/>
        <v>10</v>
      </c>
      <c r="AD88" s="605"/>
      <c r="AE88" s="531">
        <v>17</v>
      </c>
      <c r="AF88" s="533">
        <v>1425.4054054054045</v>
      </c>
      <c r="AG88" s="533">
        <v>83.847376788553206</v>
      </c>
      <c r="AH88" s="531">
        <f t="shared" si="26"/>
        <v>10</v>
      </c>
      <c r="AI88" s="605"/>
      <c r="AJ88" s="531">
        <v>17</v>
      </c>
      <c r="AK88" s="533">
        <v>1362.1621621621609</v>
      </c>
      <c r="AL88" s="533">
        <v>80.127186009538875</v>
      </c>
      <c r="AM88" s="531">
        <f t="shared" si="27"/>
        <v>8</v>
      </c>
      <c r="AN88" s="605"/>
      <c r="AO88" s="531">
        <v>17</v>
      </c>
      <c r="AP88" s="533">
        <v>1381.4634146341459</v>
      </c>
      <c r="AQ88" s="533">
        <v>81.262553802008583</v>
      </c>
      <c r="AR88" s="531">
        <f t="shared" si="28"/>
        <v>8</v>
      </c>
      <c r="AS88" s="605"/>
      <c r="AT88" s="531">
        <v>17</v>
      </c>
      <c r="AU88" s="533">
        <v>1412.4324324324314</v>
      </c>
      <c r="AV88" s="533">
        <v>83.084260731319489</v>
      </c>
      <c r="AW88" s="531">
        <f t="shared" si="29"/>
        <v>5</v>
      </c>
      <c r="AX88" s="605"/>
      <c r="AZ88" s="521" t="e">
        <f t="shared" si="30"/>
        <v>#N/A</v>
      </c>
      <c r="BA88" s="605"/>
    </row>
    <row r="89" spans="2:53">
      <c r="B89" s="610"/>
      <c r="C89" s="305">
        <v>13</v>
      </c>
      <c r="D89" s="226" t="s">
        <v>665</v>
      </c>
      <c r="E89" s="182">
        <v>20</v>
      </c>
      <c r="F89" s="511">
        <v>1440</v>
      </c>
      <c r="G89" s="512">
        <v>72</v>
      </c>
      <c r="H89" s="668"/>
      <c r="I89" s="513">
        <f t="shared" si="20"/>
        <v>20</v>
      </c>
      <c r="J89" s="513">
        <f t="shared" si="21"/>
        <v>1343.7472103655914</v>
      </c>
      <c r="K89" s="200">
        <f t="shared" si="22"/>
        <v>67.187360518279576</v>
      </c>
      <c r="L89" s="621"/>
      <c r="M89" s="201">
        <f>RANK(K89, K$77:$K$106)</f>
        <v>23</v>
      </c>
      <c r="N89" s="604"/>
      <c r="O89" s="604"/>
      <c r="P89" s="531">
        <v>20</v>
      </c>
      <c r="Q89" s="533">
        <v>1338.1578947368412</v>
      </c>
      <c r="R89" s="533">
        <v>66.907894736842053</v>
      </c>
      <c r="S89" s="531">
        <f t="shared" si="23"/>
        <v>23</v>
      </c>
      <c r="T89" s="605"/>
      <c r="U89" s="531">
        <v>20</v>
      </c>
      <c r="V89" s="533">
        <v>1358.8732394366184</v>
      </c>
      <c r="W89" s="533">
        <v>67.94366197183092</v>
      </c>
      <c r="X89" s="531">
        <f t="shared" si="24"/>
        <v>23</v>
      </c>
      <c r="Y89" s="605"/>
      <c r="Z89" s="531">
        <v>20</v>
      </c>
      <c r="AA89" s="533">
        <v>1356.7741935483884</v>
      </c>
      <c r="AB89" s="533">
        <v>67.838709677419416</v>
      </c>
      <c r="AC89" s="531">
        <f t="shared" si="25"/>
        <v>22</v>
      </c>
      <c r="AD89" s="605"/>
      <c r="AE89" s="531">
        <v>20</v>
      </c>
      <c r="AF89" s="533">
        <v>1354.5454545454559</v>
      </c>
      <c r="AG89" s="533">
        <v>67.727272727272791</v>
      </c>
      <c r="AH89" s="531">
        <f t="shared" si="26"/>
        <v>22</v>
      </c>
      <c r="AI89" s="605"/>
      <c r="AJ89" s="531">
        <v>20</v>
      </c>
      <c r="AK89" s="533">
        <v>1326.5753424657523</v>
      </c>
      <c r="AL89" s="533">
        <v>66.328767123287619</v>
      </c>
      <c r="AM89" s="531">
        <f t="shared" si="27"/>
        <v>23</v>
      </c>
      <c r="AN89" s="605"/>
      <c r="AO89" s="531">
        <v>20</v>
      </c>
      <c r="AP89" s="533">
        <v>1319.9999999999989</v>
      </c>
      <c r="AQ89" s="533">
        <v>65.999999999999943</v>
      </c>
      <c r="AR89" s="531">
        <f t="shared" si="28"/>
        <v>23</v>
      </c>
      <c r="AS89" s="605"/>
      <c r="AT89" s="531">
        <v>20</v>
      </c>
      <c r="AU89" s="533">
        <v>1351.3043478260856</v>
      </c>
      <c r="AV89" s="533">
        <v>67.565217391304287</v>
      </c>
      <c r="AW89" s="531">
        <f t="shared" si="29"/>
        <v>21</v>
      </c>
      <c r="AX89" s="605"/>
      <c r="AZ89" s="521" t="e">
        <f t="shared" si="30"/>
        <v>#N/A</v>
      </c>
      <c r="BA89" s="605"/>
    </row>
    <row r="90" spans="2:53">
      <c r="B90" s="610"/>
      <c r="C90" s="305">
        <v>14</v>
      </c>
      <c r="D90" s="226" t="s">
        <v>370</v>
      </c>
      <c r="E90" s="182">
        <v>14</v>
      </c>
      <c r="F90" s="511">
        <v>1440</v>
      </c>
      <c r="G90" s="512">
        <v>102.9</v>
      </c>
      <c r="H90" s="668"/>
      <c r="I90" s="513">
        <f t="shared" si="20"/>
        <v>14.857142857142858</v>
      </c>
      <c r="J90" s="513">
        <f t="shared" si="21"/>
        <v>1287.6219333092827</v>
      </c>
      <c r="K90" s="200">
        <f t="shared" si="22"/>
        <v>86.71265660000995</v>
      </c>
      <c r="L90" s="621"/>
      <c r="M90" s="201">
        <f>RANK(K90, K$77:$K$106)</f>
        <v>4</v>
      </c>
      <c r="N90" s="604"/>
      <c r="O90" s="604"/>
      <c r="P90" s="531">
        <v>15</v>
      </c>
      <c r="Q90" s="533">
        <v>1285.7142857142871</v>
      </c>
      <c r="R90" s="533">
        <v>85.714285714285808</v>
      </c>
      <c r="S90" s="531">
        <f t="shared" si="23"/>
        <v>5</v>
      </c>
      <c r="T90" s="605"/>
      <c r="U90" s="531">
        <v>14</v>
      </c>
      <c r="V90" s="533">
        <v>1280.6557377049191</v>
      </c>
      <c r="W90" s="533">
        <v>91.475409836065651</v>
      </c>
      <c r="X90" s="531">
        <f t="shared" si="24"/>
        <v>3</v>
      </c>
      <c r="Y90" s="605"/>
      <c r="Z90" s="531">
        <v>15</v>
      </c>
      <c r="AA90" s="533">
        <v>1314.8936170212721</v>
      </c>
      <c r="AB90" s="533">
        <v>87.659574468084813</v>
      </c>
      <c r="AC90" s="531">
        <f t="shared" si="25"/>
        <v>3</v>
      </c>
      <c r="AD90" s="605"/>
      <c r="AE90" s="531">
        <v>15</v>
      </c>
      <c r="AF90" s="533">
        <v>1282.3728813559333</v>
      </c>
      <c r="AG90" s="533">
        <v>85.491525423728888</v>
      </c>
      <c r="AH90" s="531">
        <f t="shared" si="26"/>
        <v>7</v>
      </c>
      <c r="AI90" s="605"/>
      <c r="AJ90" s="531">
        <v>15</v>
      </c>
      <c r="AK90" s="533">
        <v>1296.2068965517251</v>
      </c>
      <c r="AL90" s="533">
        <v>86.413793103448342</v>
      </c>
      <c r="AM90" s="531">
        <f t="shared" si="27"/>
        <v>5</v>
      </c>
      <c r="AN90" s="605"/>
      <c r="AO90" s="531">
        <v>15</v>
      </c>
      <c r="AP90" s="533">
        <v>1292.5423728813571</v>
      </c>
      <c r="AQ90" s="533">
        <v>86.169491525423808</v>
      </c>
      <c r="AR90" s="531">
        <f t="shared" si="28"/>
        <v>4</v>
      </c>
      <c r="AS90" s="605"/>
      <c r="AT90" s="531">
        <v>15</v>
      </c>
      <c r="AU90" s="533">
        <v>1260.967741935485</v>
      </c>
      <c r="AV90" s="533">
        <v>84.064516129032341</v>
      </c>
      <c r="AW90" s="531">
        <f t="shared" si="29"/>
        <v>4</v>
      </c>
      <c r="AX90" s="605"/>
      <c r="AZ90" s="521" t="e">
        <f t="shared" si="30"/>
        <v>#N/A</v>
      </c>
      <c r="BA90" s="605"/>
    </row>
    <row r="91" spans="2:53">
      <c r="B91" s="610"/>
      <c r="C91" s="305">
        <v>15</v>
      </c>
      <c r="D91" s="226" t="s">
        <v>347</v>
      </c>
      <c r="E91" s="182">
        <v>19</v>
      </c>
      <c r="F91" s="511">
        <v>1440</v>
      </c>
      <c r="G91" s="512">
        <v>75.8</v>
      </c>
      <c r="H91" s="668"/>
      <c r="I91" s="513">
        <f t="shared" si="20"/>
        <v>19</v>
      </c>
      <c r="J91" s="513">
        <f t="shared" si="21"/>
        <v>1341.3737425666968</v>
      </c>
      <c r="K91" s="200">
        <f t="shared" si="22"/>
        <v>70.598618029826142</v>
      </c>
      <c r="L91" s="621"/>
      <c r="M91" s="201">
        <f>RANK(K91, K$77:$K$106)</f>
        <v>20</v>
      </c>
      <c r="N91" s="604"/>
      <c r="O91" s="604"/>
      <c r="P91" s="531">
        <v>19</v>
      </c>
      <c r="Q91" s="533">
        <v>1332.391304347826</v>
      </c>
      <c r="R91" s="533">
        <v>70.125858123569785</v>
      </c>
      <c r="S91" s="531">
        <f t="shared" si="23"/>
        <v>20</v>
      </c>
      <c r="T91" s="605"/>
      <c r="U91" s="531">
        <v>19</v>
      </c>
      <c r="V91" s="533">
        <v>1327.3170731707312</v>
      </c>
      <c r="W91" s="533">
        <v>69.85879332477532</v>
      </c>
      <c r="X91" s="531">
        <f t="shared" si="24"/>
        <v>22</v>
      </c>
      <c r="Y91" s="605"/>
      <c r="Z91" s="531">
        <v>19</v>
      </c>
      <c r="AA91" s="533">
        <v>1357.6119402985091</v>
      </c>
      <c r="AB91" s="533">
        <v>71.45326001571101</v>
      </c>
      <c r="AC91" s="531">
        <f t="shared" si="25"/>
        <v>19</v>
      </c>
      <c r="AD91" s="605"/>
      <c r="AE91" s="531">
        <v>19</v>
      </c>
      <c r="AF91" s="533">
        <v>1363.9999999999991</v>
      </c>
      <c r="AG91" s="533">
        <v>71.789473684210478</v>
      </c>
      <c r="AH91" s="531">
        <f t="shared" si="26"/>
        <v>20</v>
      </c>
      <c r="AI91" s="605"/>
      <c r="AJ91" s="531">
        <v>19</v>
      </c>
      <c r="AK91" s="533">
        <v>1346.6666666666661</v>
      </c>
      <c r="AL91" s="533">
        <v>70.877192982456108</v>
      </c>
      <c r="AM91" s="531">
        <f t="shared" si="27"/>
        <v>20</v>
      </c>
      <c r="AN91" s="605"/>
      <c r="AO91" s="531">
        <v>19</v>
      </c>
      <c r="AP91" s="533">
        <v>1344.9999999999995</v>
      </c>
      <c r="AQ91" s="533">
        <v>70.789473684210506</v>
      </c>
      <c r="AR91" s="531">
        <f t="shared" si="28"/>
        <v>20</v>
      </c>
      <c r="AS91" s="605"/>
      <c r="AT91" s="531">
        <v>19</v>
      </c>
      <c r="AU91" s="533">
        <v>1316.629213483146</v>
      </c>
      <c r="AV91" s="533">
        <v>69.296274393849785</v>
      </c>
      <c r="AW91" s="531">
        <f t="shared" si="29"/>
        <v>20</v>
      </c>
      <c r="AX91" s="605"/>
      <c r="AZ91" s="521" t="e">
        <f t="shared" si="30"/>
        <v>#N/A</v>
      </c>
      <c r="BA91" s="605"/>
    </row>
    <row r="92" spans="2:53">
      <c r="B92" s="610"/>
      <c r="C92" s="305">
        <v>16</v>
      </c>
      <c r="D92" s="226" t="s">
        <v>368</v>
      </c>
      <c r="E92" s="182">
        <v>19</v>
      </c>
      <c r="F92" s="511">
        <v>1440</v>
      </c>
      <c r="G92" s="512">
        <v>75.8</v>
      </c>
      <c r="H92" s="668"/>
      <c r="I92" s="513">
        <f t="shared" si="20"/>
        <v>19</v>
      </c>
      <c r="J92" s="513">
        <f t="shared" si="21"/>
        <v>1309.5597110365293</v>
      </c>
      <c r="K92" s="200">
        <f t="shared" si="22"/>
        <v>68.924195317712076</v>
      </c>
      <c r="L92" s="621"/>
      <c r="M92" s="201">
        <f>RANK(K92, K$77:$K$106)</f>
        <v>21</v>
      </c>
      <c r="N92" s="604"/>
      <c r="O92" s="604"/>
      <c r="P92" s="531">
        <v>19</v>
      </c>
      <c r="Q92" s="533">
        <v>1290.4225352112664</v>
      </c>
      <c r="R92" s="533">
        <v>67.916975537435079</v>
      </c>
      <c r="S92" s="531">
        <f t="shared" si="23"/>
        <v>21</v>
      </c>
      <c r="T92" s="605"/>
      <c r="U92" s="531">
        <v>19</v>
      </c>
      <c r="V92" s="533">
        <v>1349.523809523811</v>
      </c>
      <c r="W92" s="533">
        <v>71.027568922305846</v>
      </c>
      <c r="X92" s="531">
        <f t="shared" si="24"/>
        <v>20</v>
      </c>
      <c r="Y92" s="605"/>
      <c r="Z92" s="531">
        <v>19</v>
      </c>
      <c r="AA92" s="533">
        <v>1350.0000000000011</v>
      </c>
      <c r="AB92" s="533">
        <v>71.052631578947427</v>
      </c>
      <c r="AC92" s="531">
        <f t="shared" si="25"/>
        <v>21</v>
      </c>
      <c r="AD92" s="605"/>
      <c r="AE92" s="531">
        <v>19</v>
      </c>
      <c r="AF92" s="533">
        <v>1359.0000000000011</v>
      </c>
      <c r="AG92" s="533">
        <v>71.526315789473742</v>
      </c>
      <c r="AH92" s="531">
        <f t="shared" si="26"/>
        <v>21</v>
      </c>
      <c r="AI92" s="605"/>
      <c r="AJ92" s="531">
        <v>19</v>
      </c>
      <c r="AK92" s="533">
        <v>1267.1641791044792</v>
      </c>
      <c r="AL92" s="533">
        <v>66.692851531814696</v>
      </c>
      <c r="AM92" s="531">
        <f t="shared" si="27"/>
        <v>22</v>
      </c>
      <c r="AN92" s="605"/>
      <c r="AO92" s="531">
        <v>19</v>
      </c>
      <c r="AP92" s="533">
        <v>1294.2857142857129</v>
      </c>
      <c r="AQ92" s="533">
        <v>68.120300751879626</v>
      </c>
      <c r="AR92" s="531">
        <f t="shared" si="28"/>
        <v>21</v>
      </c>
      <c r="AS92" s="605"/>
      <c r="AT92" s="531">
        <v>19</v>
      </c>
      <c r="AU92" s="533">
        <v>1256.5217391304334</v>
      </c>
      <c r="AV92" s="533">
        <v>66.132723112128076</v>
      </c>
      <c r="AW92" s="531">
        <f t="shared" si="29"/>
        <v>23</v>
      </c>
      <c r="AX92" s="605"/>
      <c r="AZ92" s="521" t="e">
        <f t="shared" si="30"/>
        <v>#N/A</v>
      </c>
      <c r="BA92" s="605"/>
    </row>
    <row r="93" spans="2:53">
      <c r="B93" s="610"/>
      <c r="C93" s="305">
        <v>17</v>
      </c>
      <c r="D93" s="226" t="s">
        <v>787</v>
      </c>
      <c r="E93" s="182">
        <v>19</v>
      </c>
      <c r="F93" s="511">
        <v>1500</v>
      </c>
      <c r="G93" s="512">
        <v>78.900000000000006</v>
      </c>
      <c r="H93" s="668"/>
      <c r="I93" s="513">
        <f t="shared" si="20"/>
        <v>19</v>
      </c>
      <c r="J93" s="513">
        <f t="shared" si="21"/>
        <v>1391.4240876615329</v>
      </c>
      <c r="K93" s="200">
        <f t="shared" si="22"/>
        <v>73.232846719028046</v>
      </c>
      <c r="L93" s="621"/>
      <c r="M93" s="201">
        <f>RANK(K93, K$77:$K$106)</f>
        <v>19</v>
      </c>
      <c r="N93" s="604"/>
      <c r="O93" s="604"/>
      <c r="P93" s="531">
        <v>19</v>
      </c>
      <c r="Q93" s="533">
        <v>1392.3076923076917</v>
      </c>
      <c r="R93" s="533">
        <v>73.279352226720619</v>
      </c>
      <c r="S93" s="531">
        <f t="shared" si="23"/>
        <v>17</v>
      </c>
      <c r="T93" s="605"/>
      <c r="U93" s="531">
        <v>19</v>
      </c>
      <c r="V93" s="533">
        <v>1414.054054054053</v>
      </c>
      <c r="W93" s="533">
        <v>74.423897581792261</v>
      </c>
      <c r="X93" s="531">
        <f t="shared" si="24"/>
        <v>17</v>
      </c>
      <c r="Y93" s="605"/>
      <c r="Z93" s="531">
        <v>19</v>
      </c>
      <c r="AA93" s="533">
        <v>1432.4999999999982</v>
      </c>
      <c r="AB93" s="533">
        <v>75.394736842105161</v>
      </c>
      <c r="AC93" s="531">
        <f t="shared" si="25"/>
        <v>16</v>
      </c>
      <c r="AD93" s="605"/>
      <c r="AE93" s="531">
        <v>19</v>
      </c>
      <c r="AF93" s="533">
        <v>1404.9999999999989</v>
      </c>
      <c r="AG93" s="533">
        <v>73.947368421052573</v>
      </c>
      <c r="AH93" s="531">
        <f t="shared" si="26"/>
        <v>18</v>
      </c>
      <c r="AI93" s="605"/>
      <c r="AJ93" s="531">
        <v>19</v>
      </c>
      <c r="AK93" s="533">
        <v>1383.5294117647043</v>
      </c>
      <c r="AL93" s="533">
        <v>72.817337461300227</v>
      </c>
      <c r="AM93" s="531">
        <f t="shared" si="27"/>
        <v>19</v>
      </c>
      <c r="AN93" s="605"/>
      <c r="AO93" s="531">
        <v>19</v>
      </c>
      <c r="AP93" s="533">
        <v>1353.6585365853653</v>
      </c>
      <c r="AQ93" s="533">
        <v>71.245186136071851</v>
      </c>
      <c r="AR93" s="531">
        <f t="shared" si="28"/>
        <v>19</v>
      </c>
      <c r="AS93" s="605"/>
      <c r="AT93" s="531">
        <v>19</v>
      </c>
      <c r="AU93" s="533">
        <v>1358.9189189189178</v>
      </c>
      <c r="AV93" s="533">
        <v>71.522048364153576</v>
      </c>
      <c r="AW93" s="531">
        <f t="shared" si="29"/>
        <v>19</v>
      </c>
      <c r="AX93" s="605"/>
      <c r="AZ93" s="521" t="e">
        <f t="shared" si="30"/>
        <v>#N/A</v>
      </c>
      <c r="BA93" s="605"/>
    </row>
    <row r="94" spans="2:53">
      <c r="B94" s="610"/>
      <c r="C94" s="305">
        <v>18</v>
      </c>
      <c r="D94" s="226" t="s">
        <v>807</v>
      </c>
      <c r="E94" s="182">
        <v>18</v>
      </c>
      <c r="F94" s="511">
        <v>1500</v>
      </c>
      <c r="G94" s="512">
        <v>83.3</v>
      </c>
      <c r="H94" s="668"/>
      <c r="I94" s="513">
        <f t="shared" si="20"/>
        <v>18</v>
      </c>
      <c r="J94" s="513">
        <f t="shared" si="21"/>
        <v>1350.4379762885835</v>
      </c>
      <c r="K94" s="200">
        <f t="shared" si="22"/>
        <v>75.024332016032417</v>
      </c>
      <c r="L94" s="621"/>
      <c r="M94" s="201">
        <f>RANK(K94, K$77:$K$106)</f>
        <v>16</v>
      </c>
      <c r="N94" s="604"/>
      <c r="O94" s="604"/>
      <c r="P94" s="531">
        <v>18</v>
      </c>
      <c r="Q94" s="533">
        <v>1318.7500000000002</v>
      </c>
      <c r="R94" s="533">
        <v>73.2638888888889</v>
      </c>
      <c r="S94" s="531">
        <f t="shared" si="23"/>
        <v>18</v>
      </c>
      <c r="T94" s="605"/>
      <c r="U94" s="531">
        <v>18</v>
      </c>
      <c r="V94" s="533">
        <v>1258.7142857142615</v>
      </c>
      <c r="W94" s="533">
        <v>69.928571428570081</v>
      </c>
      <c r="X94" s="531">
        <f t="shared" si="24"/>
        <v>21</v>
      </c>
      <c r="Y94" s="605"/>
      <c r="Z94" s="531">
        <v>18</v>
      </c>
      <c r="AA94" s="533">
        <v>1325.060240963855</v>
      </c>
      <c r="AB94" s="533">
        <v>73.614457831325282</v>
      </c>
      <c r="AC94" s="531">
        <f t="shared" si="25"/>
        <v>18</v>
      </c>
      <c r="AD94" s="605"/>
      <c r="AE94" s="531">
        <v>18</v>
      </c>
      <c r="AF94" s="533">
        <v>1341.2195121951213</v>
      </c>
      <c r="AG94" s="533">
        <v>74.51219512195118</v>
      </c>
      <c r="AH94" s="531">
        <f t="shared" si="26"/>
        <v>16</v>
      </c>
      <c r="AI94" s="605"/>
      <c r="AJ94" s="531">
        <v>18</v>
      </c>
      <c r="AK94" s="533">
        <v>1393.0120481927706</v>
      </c>
      <c r="AL94" s="533">
        <v>77.389558232931705</v>
      </c>
      <c r="AM94" s="531">
        <f t="shared" si="27"/>
        <v>13</v>
      </c>
      <c r="AN94" s="605"/>
      <c r="AO94" s="531">
        <v>18</v>
      </c>
      <c r="AP94" s="533">
        <v>1396.0824742268046</v>
      </c>
      <c r="AQ94" s="533">
        <v>77.560137457044704</v>
      </c>
      <c r="AR94" s="531">
        <f t="shared" si="28"/>
        <v>15</v>
      </c>
      <c r="AS94" s="605"/>
      <c r="AT94" s="531">
        <v>18</v>
      </c>
      <c r="AU94" s="533">
        <v>1420.2272727272727</v>
      </c>
      <c r="AV94" s="533">
        <v>78.901515151515156</v>
      </c>
      <c r="AW94" s="531">
        <f t="shared" si="29"/>
        <v>9</v>
      </c>
      <c r="AX94" s="605"/>
      <c r="AZ94" s="521" t="e">
        <f t="shared" si="30"/>
        <v>#N/A</v>
      </c>
      <c r="BA94" s="605"/>
    </row>
    <row r="95" spans="2:53">
      <c r="B95" s="610"/>
      <c r="C95" s="305">
        <v>19</v>
      </c>
      <c r="D95" s="226" t="s">
        <v>642</v>
      </c>
      <c r="E95" s="182">
        <v>17</v>
      </c>
      <c r="F95" s="511">
        <v>1440</v>
      </c>
      <c r="G95" s="512">
        <v>84.7</v>
      </c>
      <c r="H95" s="668"/>
      <c r="I95" s="513">
        <f t="shared" si="20"/>
        <v>17</v>
      </c>
      <c r="J95" s="513">
        <f t="shared" si="21"/>
        <v>1329.3036329425388</v>
      </c>
      <c r="K95" s="200">
        <f t="shared" si="22"/>
        <v>78.194331349561097</v>
      </c>
      <c r="L95" s="621"/>
      <c r="M95" s="201">
        <f>RANK(K95, K$77:$K$106)</f>
        <v>13</v>
      </c>
      <c r="N95" s="604"/>
      <c r="O95" s="604"/>
      <c r="P95" s="531">
        <v>17</v>
      </c>
      <c r="Q95" s="533">
        <v>1316.4000000000003</v>
      </c>
      <c r="R95" s="533">
        <v>77.435294117647075</v>
      </c>
      <c r="S95" s="531">
        <f t="shared" si="23"/>
        <v>13</v>
      </c>
      <c r="T95" s="605"/>
      <c r="U95" s="531">
        <v>17</v>
      </c>
      <c r="V95" s="533">
        <v>1365.3333333333335</v>
      </c>
      <c r="W95" s="533">
        <v>80.313725490196092</v>
      </c>
      <c r="X95" s="531">
        <f t="shared" si="24"/>
        <v>12</v>
      </c>
      <c r="Y95" s="605"/>
      <c r="Z95" s="531">
        <v>17</v>
      </c>
      <c r="AA95" s="533">
        <v>1343.9999999999986</v>
      </c>
      <c r="AB95" s="533">
        <v>79.058823529411683</v>
      </c>
      <c r="AC95" s="531">
        <f t="shared" si="25"/>
        <v>11</v>
      </c>
      <c r="AD95" s="605"/>
      <c r="AE95" s="531">
        <v>17</v>
      </c>
      <c r="AF95" s="533">
        <v>1318.695652173913</v>
      </c>
      <c r="AG95" s="533">
        <v>77.570332480818408</v>
      </c>
      <c r="AH95" s="531">
        <f t="shared" si="26"/>
        <v>14</v>
      </c>
      <c r="AI95" s="605"/>
      <c r="AJ95" s="531">
        <v>17</v>
      </c>
      <c r="AK95" s="533">
        <v>1314.2857142857138</v>
      </c>
      <c r="AL95" s="533">
        <v>77.310924369747866</v>
      </c>
      <c r="AM95" s="531">
        <f t="shared" si="27"/>
        <v>14</v>
      </c>
      <c r="AN95" s="605"/>
      <c r="AO95" s="531">
        <v>17</v>
      </c>
      <c r="AP95" s="533">
        <v>1325.1063829787236</v>
      </c>
      <c r="AQ95" s="533">
        <v>77.947434292866092</v>
      </c>
      <c r="AR95" s="531">
        <f t="shared" si="28"/>
        <v>14</v>
      </c>
      <c r="AS95" s="605"/>
      <c r="AT95" s="531">
        <v>17</v>
      </c>
      <c r="AU95" s="533">
        <v>1321.304347826087</v>
      </c>
      <c r="AV95" s="533">
        <v>77.723785166240418</v>
      </c>
      <c r="AW95" s="531">
        <f t="shared" si="29"/>
        <v>12</v>
      </c>
      <c r="AX95" s="605"/>
      <c r="AZ95" s="521" t="e">
        <f t="shared" si="30"/>
        <v>#N/A</v>
      </c>
      <c r="BA95" s="605"/>
    </row>
    <row r="96" spans="2:53">
      <c r="B96" s="610"/>
      <c r="C96" s="305">
        <v>20</v>
      </c>
      <c r="D96" s="226" t="s">
        <v>666</v>
      </c>
      <c r="E96" s="182">
        <v>18</v>
      </c>
      <c r="F96" s="511">
        <v>1500</v>
      </c>
      <c r="G96" s="512">
        <v>83.3</v>
      </c>
      <c r="H96" s="668"/>
      <c r="I96" s="513">
        <f t="shared" si="20"/>
        <v>18</v>
      </c>
      <c r="J96" s="513">
        <f t="shared" si="21"/>
        <v>1333.8007378021957</v>
      </c>
      <c r="K96" s="200">
        <f t="shared" si="22"/>
        <v>74.100040989010878</v>
      </c>
      <c r="L96" s="621"/>
      <c r="M96" s="201">
        <f>RANK(K96, K$77:$K$106)</f>
        <v>17</v>
      </c>
      <c r="N96" s="604"/>
      <c r="O96" s="604"/>
      <c r="P96" s="531">
        <v>18</v>
      </c>
      <c r="Q96" s="533">
        <v>1367.0000000000014</v>
      </c>
      <c r="R96" s="533">
        <v>75.944444444444514</v>
      </c>
      <c r="S96" s="531">
        <f t="shared" si="23"/>
        <v>14</v>
      </c>
      <c r="T96" s="605"/>
      <c r="U96" s="531">
        <v>18</v>
      </c>
      <c r="V96" s="533">
        <v>1337.2881355932213</v>
      </c>
      <c r="W96" s="533">
        <v>74.293785310734521</v>
      </c>
      <c r="X96" s="531">
        <f t="shared" si="24"/>
        <v>18</v>
      </c>
      <c r="Y96" s="605"/>
      <c r="Z96" s="531">
        <v>18</v>
      </c>
      <c r="AA96" s="533">
        <v>1280.3999999999965</v>
      </c>
      <c r="AB96" s="533">
        <v>71.133333333333141</v>
      </c>
      <c r="AC96" s="531">
        <f t="shared" si="25"/>
        <v>20</v>
      </c>
      <c r="AD96" s="605"/>
      <c r="AE96" s="531">
        <v>18</v>
      </c>
      <c r="AF96" s="533">
        <v>1336.3636363636372</v>
      </c>
      <c r="AG96" s="533">
        <v>74.242424242424292</v>
      </c>
      <c r="AH96" s="531">
        <f t="shared" si="26"/>
        <v>17</v>
      </c>
      <c r="AI96" s="605"/>
      <c r="AJ96" s="531">
        <v>18</v>
      </c>
      <c r="AK96" s="533">
        <v>1344.8275862068974</v>
      </c>
      <c r="AL96" s="533">
        <v>74.712643678160973</v>
      </c>
      <c r="AM96" s="531">
        <f t="shared" si="27"/>
        <v>17</v>
      </c>
      <c r="AN96" s="605"/>
      <c r="AO96" s="531">
        <v>18</v>
      </c>
      <c r="AP96" s="533">
        <v>1327.5000000000016</v>
      </c>
      <c r="AQ96" s="533">
        <v>73.750000000000085</v>
      </c>
      <c r="AR96" s="531">
        <f t="shared" si="28"/>
        <v>17</v>
      </c>
      <c r="AS96" s="605"/>
      <c r="AT96" s="531">
        <v>18</v>
      </c>
      <c r="AU96" s="533">
        <v>1343.2258064516141</v>
      </c>
      <c r="AV96" s="533">
        <v>74.623655913978553</v>
      </c>
      <c r="AW96" s="531">
        <f t="shared" si="29"/>
        <v>15</v>
      </c>
      <c r="AX96" s="605"/>
      <c r="AZ96" s="521" t="e">
        <f t="shared" si="30"/>
        <v>#N/A</v>
      </c>
      <c r="BA96" s="605"/>
    </row>
    <row r="97" spans="2:53">
      <c r="B97" s="610"/>
      <c r="C97" s="305">
        <v>21</v>
      </c>
      <c r="D97" s="226" t="s">
        <v>791</v>
      </c>
      <c r="E97" s="182">
        <v>18</v>
      </c>
      <c r="F97" s="511">
        <v>1636</v>
      </c>
      <c r="G97" s="512">
        <v>90.9</v>
      </c>
      <c r="H97" s="668"/>
      <c r="I97" s="513">
        <f t="shared" si="20"/>
        <v>18</v>
      </c>
      <c r="J97" s="513">
        <f t="shared" si="21"/>
        <v>1408.4662392532987</v>
      </c>
      <c r="K97" s="200">
        <f t="shared" si="22"/>
        <v>78.248124402961039</v>
      </c>
      <c r="L97" s="621"/>
      <c r="M97" s="201">
        <f>RANK(K97, K$77:$K$106)</f>
        <v>12</v>
      </c>
      <c r="N97" s="604"/>
      <c r="O97" s="604"/>
      <c r="P97" s="531">
        <v>18</v>
      </c>
      <c r="Q97" s="533">
        <v>1422.2222222222219</v>
      </c>
      <c r="R97" s="533">
        <v>79.012345679012327</v>
      </c>
      <c r="S97" s="531">
        <f t="shared" si="23"/>
        <v>11</v>
      </c>
      <c r="T97" s="605"/>
      <c r="U97" s="531">
        <v>18</v>
      </c>
      <c r="V97" s="533">
        <v>1419.6330275229357</v>
      </c>
      <c r="W97" s="533">
        <v>78.868501529051983</v>
      </c>
      <c r="X97" s="531">
        <f t="shared" si="24"/>
        <v>14</v>
      </c>
      <c r="Y97" s="605"/>
      <c r="Z97" s="531">
        <v>18</v>
      </c>
      <c r="AA97" s="533">
        <v>1416.3461538461547</v>
      </c>
      <c r="AB97" s="533">
        <v>78.685897435897488</v>
      </c>
      <c r="AC97" s="531">
        <f t="shared" si="25"/>
        <v>13</v>
      </c>
      <c r="AD97" s="605"/>
      <c r="AE97" s="531">
        <v>18</v>
      </c>
      <c r="AF97" s="533">
        <v>1395.7894736842109</v>
      </c>
      <c r="AG97" s="533">
        <v>77.543859649122822</v>
      </c>
      <c r="AH97" s="531">
        <f t="shared" si="26"/>
        <v>15</v>
      </c>
      <c r="AI97" s="605"/>
      <c r="AJ97" s="531">
        <v>18</v>
      </c>
      <c r="AK97" s="533">
        <v>1366.7307692307677</v>
      </c>
      <c r="AL97" s="533">
        <v>75.929487179487097</v>
      </c>
      <c r="AM97" s="531">
        <f t="shared" si="27"/>
        <v>15</v>
      </c>
      <c r="AN97" s="605"/>
      <c r="AO97" s="531">
        <v>18</v>
      </c>
      <c r="AP97" s="533">
        <v>1419.4594594594603</v>
      </c>
      <c r="AQ97" s="533">
        <v>78.858858858858909</v>
      </c>
      <c r="AR97" s="531">
        <f t="shared" si="28"/>
        <v>11</v>
      </c>
      <c r="AS97" s="605"/>
      <c r="AT97" s="531">
        <v>18</v>
      </c>
      <c r="AU97" s="533">
        <v>1419.0825688073392</v>
      </c>
      <c r="AV97" s="533">
        <v>78.837920489296621</v>
      </c>
      <c r="AW97" s="531">
        <f t="shared" si="29"/>
        <v>10</v>
      </c>
      <c r="AX97" s="605"/>
      <c r="AZ97" s="521" t="e">
        <f t="shared" si="30"/>
        <v>#N/A</v>
      </c>
      <c r="BA97" s="605"/>
    </row>
    <row r="98" spans="2:53">
      <c r="B98" s="610"/>
      <c r="C98" s="305">
        <v>22</v>
      </c>
      <c r="D98" s="226" t="s">
        <v>668</v>
      </c>
      <c r="E98" s="182">
        <v>20</v>
      </c>
      <c r="F98" s="511">
        <v>1500</v>
      </c>
      <c r="G98" s="512">
        <v>75</v>
      </c>
      <c r="H98" s="668"/>
      <c r="I98" s="513">
        <f t="shared" si="20"/>
        <v>20</v>
      </c>
      <c r="J98" s="513">
        <f t="shared" si="21"/>
        <v>1203.3145055277691</v>
      </c>
      <c r="K98" s="200">
        <f t="shared" si="22"/>
        <v>60.16572527638845</v>
      </c>
      <c r="L98" s="621"/>
      <c r="M98" s="201">
        <f>RANK(K98, K$77:$K$106)</f>
        <v>26</v>
      </c>
      <c r="N98" s="604"/>
      <c r="O98" s="604"/>
      <c r="P98" s="531">
        <v>20</v>
      </c>
      <c r="Q98" s="533">
        <v>1224.905660377359</v>
      </c>
      <c r="R98" s="533">
        <v>61.245283018867951</v>
      </c>
      <c r="S98" s="531">
        <f t="shared" si="23"/>
        <v>26</v>
      </c>
      <c r="T98" s="605"/>
      <c r="U98" s="531">
        <v>20</v>
      </c>
      <c r="V98" s="533">
        <v>1194.33962264151</v>
      </c>
      <c r="W98" s="533">
        <v>59.716981132075503</v>
      </c>
      <c r="X98" s="531">
        <f t="shared" si="24"/>
        <v>27</v>
      </c>
      <c r="Y98" s="605"/>
      <c r="Z98" s="531">
        <v>20</v>
      </c>
      <c r="AA98" s="533">
        <v>1216.3636363636365</v>
      </c>
      <c r="AB98" s="533">
        <v>60.818181818181827</v>
      </c>
      <c r="AC98" s="531">
        <f t="shared" si="25"/>
        <v>26</v>
      </c>
      <c r="AD98" s="605"/>
      <c r="AE98" s="531">
        <v>20</v>
      </c>
      <c r="AF98" s="533">
        <v>1183.5294117647063</v>
      </c>
      <c r="AG98" s="533">
        <v>59.176470588235318</v>
      </c>
      <c r="AH98" s="531">
        <f t="shared" si="26"/>
        <v>25</v>
      </c>
      <c r="AI98" s="605"/>
      <c r="AJ98" s="531">
        <v>20</v>
      </c>
      <c r="AK98" s="533">
        <v>1178.7500000000005</v>
      </c>
      <c r="AL98" s="533">
        <v>58.937500000000021</v>
      </c>
      <c r="AM98" s="531">
        <f t="shared" si="27"/>
        <v>26</v>
      </c>
      <c r="AN98" s="605"/>
      <c r="AO98" s="531">
        <v>20</v>
      </c>
      <c r="AP98" s="533">
        <v>1218.1132075471705</v>
      </c>
      <c r="AQ98" s="533">
        <v>60.905660377358529</v>
      </c>
      <c r="AR98" s="531">
        <f t="shared" si="28"/>
        <v>25</v>
      </c>
      <c r="AS98" s="605"/>
      <c r="AT98" s="531">
        <v>20</v>
      </c>
      <c r="AU98" s="533">
        <v>1207.2000000000003</v>
      </c>
      <c r="AV98" s="533">
        <v>60.360000000000014</v>
      </c>
      <c r="AW98" s="531">
        <f t="shared" si="29"/>
        <v>26</v>
      </c>
      <c r="AX98" s="605"/>
      <c r="AZ98" s="521" t="e">
        <f t="shared" si="30"/>
        <v>#N/A</v>
      </c>
      <c r="BA98" s="605"/>
    </row>
    <row r="99" spans="2:53">
      <c r="B99" s="610"/>
      <c r="C99" s="305">
        <v>23</v>
      </c>
      <c r="D99" s="226" t="s">
        <v>788</v>
      </c>
      <c r="E99" s="182">
        <v>17</v>
      </c>
      <c r="F99" s="511">
        <v>1565</v>
      </c>
      <c r="G99" s="512">
        <v>92.1</v>
      </c>
      <c r="H99" s="668"/>
      <c r="I99" s="513">
        <f t="shared" si="20"/>
        <v>17.571428571428573</v>
      </c>
      <c r="J99" s="513">
        <f t="shared" si="21"/>
        <v>1361.0331419324757</v>
      </c>
      <c r="K99" s="200">
        <f t="shared" si="22"/>
        <v>77.509022733334646</v>
      </c>
      <c r="L99" s="621"/>
      <c r="M99" s="201">
        <f>RANK(K99, K$77:$K$106)</f>
        <v>14</v>
      </c>
      <c r="N99" s="604"/>
      <c r="O99" s="604"/>
      <c r="P99" s="531">
        <v>18</v>
      </c>
      <c r="Q99" s="533">
        <v>1345.5319148936173</v>
      </c>
      <c r="R99" s="533">
        <v>74.751773049645408</v>
      </c>
      <c r="S99" s="531">
        <f t="shared" si="23"/>
        <v>15</v>
      </c>
      <c r="T99" s="605"/>
      <c r="U99" s="531">
        <v>18</v>
      </c>
      <c r="V99" s="533">
        <v>1419.9999999999995</v>
      </c>
      <c r="W99" s="533">
        <v>78.888888888888857</v>
      </c>
      <c r="X99" s="531">
        <f t="shared" si="24"/>
        <v>13</v>
      </c>
      <c r="Y99" s="605"/>
      <c r="Z99" s="531">
        <v>18</v>
      </c>
      <c r="AA99" s="533">
        <v>1381.6216216216205</v>
      </c>
      <c r="AB99" s="533">
        <v>76.756756756756701</v>
      </c>
      <c r="AC99" s="531">
        <f t="shared" si="25"/>
        <v>15</v>
      </c>
      <c r="AD99" s="605"/>
      <c r="AE99" s="531">
        <v>17</v>
      </c>
      <c r="AF99" s="533">
        <v>1381.4285714285709</v>
      </c>
      <c r="AG99" s="533">
        <v>81.260504201680646</v>
      </c>
      <c r="AH99" s="531">
        <f t="shared" si="26"/>
        <v>11</v>
      </c>
      <c r="AI99" s="605"/>
      <c r="AJ99" s="531">
        <v>17</v>
      </c>
      <c r="AK99" s="533">
        <v>1354.7368421052622</v>
      </c>
      <c r="AL99" s="533">
        <v>79.690402476780136</v>
      </c>
      <c r="AM99" s="531">
        <f t="shared" si="27"/>
        <v>9</v>
      </c>
      <c r="AN99" s="605"/>
      <c r="AO99" s="531">
        <v>17</v>
      </c>
      <c r="AP99" s="533">
        <v>1325.2173913043478</v>
      </c>
      <c r="AQ99" s="533">
        <v>77.953964194373398</v>
      </c>
      <c r="AR99" s="531">
        <f t="shared" si="28"/>
        <v>13</v>
      </c>
      <c r="AS99" s="605"/>
      <c r="AT99" s="531">
        <v>18</v>
      </c>
      <c r="AU99" s="533">
        <v>1318.695652173913</v>
      </c>
      <c r="AV99" s="533">
        <v>73.260869565217391</v>
      </c>
      <c r="AW99" s="531">
        <f t="shared" si="29"/>
        <v>17</v>
      </c>
      <c r="AX99" s="605"/>
      <c r="AZ99" s="521" t="e">
        <f t="shared" si="30"/>
        <v>#N/A</v>
      </c>
      <c r="BA99" s="605"/>
    </row>
    <row r="100" spans="2:53">
      <c r="B100" s="610"/>
      <c r="C100" s="305">
        <v>24</v>
      </c>
      <c r="D100" s="226" t="s">
        <v>676</v>
      </c>
      <c r="E100" s="182">
        <v>19</v>
      </c>
      <c r="F100" s="511">
        <v>1385</v>
      </c>
      <c r="G100" s="512">
        <v>72.900000000000006</v>
      </c>
      <c r="H100" s="668"/>
      <c r="I100" s="513">
        <f t="shared" si="20"/>
        <v>19.714285714285715</v>
      </c>
      <c r="J100" s="513">
        <f t="shared" si="21"/>
        <v>1179.0508371900044</v>
      </c>
      <c r="K100" s="200">
        <f t="shared" si="22"/>
        <v>59.834795570701282</v>
      </c>
      <c r="L100" s="621"/>
      <c r="M100" s="201">
        <f>RANK(K100, K$77:$K$106)</f>
        <v>27</v>
      </c>
      <c r="N100" s="604"/>
      <c r="O100" s="604"/>
      <c r="P100" s="531">
        <v>20</v>
      </c>
      <c r="Q100" s="533">
        <v>1196.9999999999995</v>
      </c>
      <c r="R100" s="533">
        <v>59.84999999999998</v>
      </c>
      <c r="S100" s="531">
        <f t="shared" si="23"/>
        <v>27</v>
      </c>
      <c r="T100" s="605"/>
      <c r="U100" s="531">
        <v>19</v>
      </c>
      <c r="V100" s="533">
        <v>1158.4615384615377</v>
      </c>
      <c r="W100" s="533">
        <v>60.971659919028298</v>
      </c>
      <c r="X100" s="531">
        <f t="shared" si="24"/>
        <v>26</v>
      </c>
      <c r="Y100" s="605"/>
      <c r="Z100" s="531">
        <v>20</v>
      </c>
      <c r="AA100" s="533">
        <v>1180.5882352941162</v>
      </c>
      <c r="AB100" s="533">
        <v>59.029411764705813</v>
      </c>
      <c r="AC100" s="531">
        <f t="shared" si="25"/>
        <v>27</v>
      </c>
      <c r="AD100" s="605"/>
      <c r="AE100" s="531">
        <v>20</v>
      </c>
      <c r="AF100" s="533">
        <v>1176.585365853658</v>
      </c>
      <c r="AG100" s="533">
        <v>58.829268292682897</v>
      </c>
      <c r="AH100" s="531">
        <f t="shared" si="26"/>
        <v>26</v>
      </c>
      <c r="AI100" s="605"/>
      <c r="AJ100" s="531">
        <v>19</v>
      </c>
      <c r="AK100" s="533">
        <v>1188.3333333333323</v>
      </c>
      <c r="AL100" s="533">
        <v>62.543859649122759</v>
      </c>
      <c r="AM100" s="531">
        <f t="shared" si="27"/>
        <v>25</v>
      </c>
      <c r="AN100" s="605"/>
      <c r="AO100" s="531">
        <v>20</v>
      </c>
      <c r="AP100" s="533">
        <v>1174.0540540540533</v>
      </c>
      <c r="AQ100" s="533">
        <v>58.702702702702666</v>
      </c>
      <c r="AR100" s="531">
        <f t="shared" si="28"/>
        <v>27</v>
      </c>
      <c r="AS100" s="605"/>
      <c r="AT100" s="531">
        <v>20</v>
      </c>
      <c r="AU100" s="533">
        <v>1178.3333333333326</v>
      </c>
      <c r="AV100" s="533">
        <v>58.916666666666629</v>
      </c>
      <c r="AW100" s="531">
        <f t="shared" si="29"/>
        <v>27</v>
      </c>
      <c r="AX100" s="605"/>
      <c r="AZ100" s="521" t="e">
        <f t="shared" si="30"/>
        <v>#N/A</v>
      </c>
      <c r="BA100" s="605"/>
    </row>
    <row r="101" spans="2:53">
      <c r="B101" s="610"/>
      <c r="C101" s="305">
        <v>25</v>
      </c>
      <c r="D101" s="226" t="s">
        <v>789</v>
      </c>
      <c r="E101" s="182">
        <v>15</v>
      </c>
      <c r="F101" s="511">
        <v>1440</v>
      </c>
      <c r="G101" s="512">
        <v>96</v>
      </c>
      <c r="H101" s="668"/>
      <c r="I101" s="513">
        <f t="shared" si="20"/>
        <v>15</v>
      </c>
      <c r="J101" s="513">
        <f t="shared" si="21"/>
        <v>1264.6056510378405</v>
      </c>
      <c r="K101" s="200">
        <f t="shared" si="22"/>
        <v>84.307043402522694</v>
      </c>
      <c r="L101" s="621"/>
      <c r="M101" s="201">
        <f>RANK(K101, K$77:$K$106)</f>
        <v>7</v>
      </c>
      <c r="N101" s="604"/>
      <c r="O101" s="604"/>
      <c r="P101" s="531">
        <v>15</v>
      </c>
      <c r="Q101" s="533">
        <v>1251.6666666666711</v>
      </c>
      <c r="R101" s="533">
        <v>83.444444444444741</v>
      </c>
      <c r="S101" s="531">
        <f t="shared" si="23"/>
        <v>8</v>
      </c>
      <c r="T101" s="605"/>
      <c r="U101" s="531">
        <v>15</v>
      </c>
      <c r="V101" s="533">
        <v>1258.2352941176455</v>
      </c>
      <c r="W101" s="533">
        <v>83.882352941176364</v>
      </c>
      <c r="X101" s="531">
        <f t="shared" si="24"/>
        <v>9</v>
      </c>
      <c r="Y101" s="605"/>
      <c r="Z101" s="531">
        <v>15</v>
      </c>
      <c r="AA101" s="533">
        <v>1257.8571428571186</v>
      </c>
      <c r="AB101" s="533">
        <v>83.857142857141241</v>
      </c>
      <c r="AC101" s="531">
        <f t="shared" si="25"/>
        <v>9</v>
      </c>
      <c r="AD101" s="605"/>
      <c r="AE101" s="531">
        <v>15</v>
      </c>
      <c r="AF101" s="533">
        <v>1282.4999999999982</v>
      </c>
      <c r="AG101" s="533">
        <v>85.499999999999872</v>
      </c>
      <c r="AH101" s="531">
        <f t="shared" si="26"/>
        <v>6</v>
      </c>
      <c r="AI101" s="605"/>
      <c r="AJ101" s="531">
        <v>15</v>
      </c>
      <c r="AK101" s="533">
        <v>1293.1034482758596</v>
      </c>
      <c r="AL101" s="533">
        <v>86.206896551723972</v>
      </c>
      <c r="AM101" s="531">
        <f t="shared" si="27"/>
        <v>6</v>
      </c>
      <c r="AN101" s="605"/>
      <c r="AO101" s="531">
        <v>15</v>
      </c>
      <c r="AP101" s="533">
        <v>1267.0588235294103</v>
      </c>
      <c r="AQ101" s="533">
        <v>84.470588235294016</v>
      </c>
      <c r="AR101" s="531">
        <f t="shared" si="28"/>
        <v>6</v>
      </c>
      <c r="AS101" s="605"/>
      <c r="AT101" s="531">
        <v>15</v>
      </c>
      <c r="AU101" s="533">
        <v>1241.8181818181802</v>
      </c>
      <c r="AV101" s="533">
        <v>82.787878787878682</v>
      </c>
      <c r="AW101" s="531">
        <f t="shared" si="29"/>
        <v>6</v>
      </c>
      <c r="AX101" s="605"/>
      <c r="AZ101" s="521" t="e">
        <f t="shared" si="30"/>
        <v>#N/A</v>
      </c>
      <c r="BA101" s="605"/>
    </row>
    <row r="102" spans="2:53">
      <c r="B102" s="610"/>
      <c r="C102" s="305">
        <v>26</v>
      </c>
      <c r="D102" s="226" t="s">
        <v>742</v>
      </c>
      <c r="E102" s="182">
        <v>21</v>
      </c>
      <c r="F102" s="511">
        <v>1500</v>
      </c>
      <c r="G102" s="512">
        <v>71.400000000000006</v>
      </c>
      <c r="H102" s="668"/>
      <c r="I102" s="513">
        <f t="shared" si="20"/>
        <v>21</v>
      </c>
      <c r="J102" s="513">
        <f t="shared" si="21"/>
        <v>1290.6059418589864</v>
      </c>
      <c r="K102" s="200">
        <f t="shared" si="22"/>
        <v>61.457425802808878</v>
      </c>
      <c r="L102" s="621"/>
      <c r="M102" s="201">
        <f>RANK(K102, K$77:$K$106)</f>
        <v>25</v>
      </c>
      <c r="N102" s="604"/>
      <c r="O102" s="604"/>
      <c r="P102" s="531">
        <v>21</v>
      </c>
      <c r="Q102" s="533">
        <v>1341.7021276595747</v>
      </c>
      <c r="R102" s="533">
        <v>63.890577507598792</v>
      </c>
      <c r="S102" s="531">
        <f t="shared" si="23"/>
        <v>24</v>
      </c>
      <c r="T102" s="605"/>
      <c r="U102" s="531">
        <v>21</v>
      </c>
      <c r="V102" s="533">
        <v>1330.2439024390239</v>
      </c>
      <c r="W102" s="533">
        <v>63.344947735191617</v>
      </c>
      <c r="X102" s="531">
        <f t="shared" si="24"/>
        <v>24</v>
      </c>
      <c r="Y102" s="605"/>
      <c r="Z102" s="531">
        <v>21</v>
      </c>
      <c r="AA102" s="533">
        <v>1300.9756097560971</v>
      </c>
      <c r="AB102" s="533">
        <v>61.951219512195102</v>
      </c>
      <c r="AC102" s="531">
        <f t="shared" si="25"/>
        <v>25</v>
      </c>
      <c r="AD102" s="605"/>
      <c r="AE102" s="531">
        <v>21</v>
      </c>
      <c r="AF102" s="533">
        <v>1232.0930232558137</v>
      </c>
      <c r="AG102" s="533">
        <v>58.67109634551494</v>
      </c>
      <c r="AH102" s="531">
        <f t="shared" si="26"/>
        <v>27</v>
      </c>
      <c r="AI102" s="605"/>
      <c r="AJ102" s="531">
        <v>21</v>
      </c>
      <c r="AK102" s="533">
        <v>1211.0204081632655</v>
      </c>
      <c r="AL102" s="533">
        <v>57.667638483965028</v>
      </c>
      <c r="AM102" s="531">
        <f t="shared" si="27"/>
        <v>27</v>
      </c>
      <c r="AN102" s="605"/>
      <c r="AO102" s="531">
        <v>21</v>
      </c>
      <c r="AP102" s="533">
        <v>1251.2500000000002</v>
      </c>
      <c r="AQ102" s="533">
        <v>59.583333333333343</v>
      </c>
      <c r="AR102" s="531">
        <f t="shared" si="28"/>
        <v>26</v>
      </c>
      <c r="AS102" s="605"/>
      <c r="AT102" s="531">
        <v>21</v>
      </c>
      <c r="AU102" s="533">
        <v>1366.9565217391305</v>
      </c>
      <c r="AV102" s="533">
        <v>65.093167701863351</v>
      </c>
      <c r="AW102" s="531">
        <f t="shared" si="29"/>
        <v>24</v>
      </c>
      <c r="AX102" s="605"/>
      <c r="AZ102" s="521" t="e">
        <f t="shared" si="30"/>
        <v>#N/A</v>
      </c>
      <c r="BA102" s="605"/>
    </row>
    <row r="103" spans="2:53">
      <c r="B103" s="610"/>
      <c r="C103" s="305">
        <v>27</v>
      </c>
      <c r="D103" s="226" t="s">
        <v>790</v>
      </c>
      <c r="E103" s="182">
        <v>19</v>
      </c>
      <c r="F103" s="511">
        <v>1500</v>
      </c>
      <c r="G103" s="512">
        <v>78.900000000000006</v>
      </c>
      <c r="H103" s="668"/>
      <c r="I103" s="513">
        <f t="shared" si="20"/>
        <v>19</v>
      </c>
      <c r="J103" s="513">
        <f t="shared" si="21"/>
        <v>1201.6479663193945</v>
      </c>
      <c r="K103" s="200">
        <f t="shared" si="22"/>
        <v>63.244629806283918</v>
      </c>
      <c r="L103" s="621"/>
      <c r="M103" s="201">
        <f>RANK(K103, K$77:$K$106)</f>
        <v>24</v>
      </c>
      <c r="N103" s="604"/>
      <c r="O103" s="604"/>
      <c r="P103" s="531">
        <v>19</v>
      </c>
      <c r="Q103" s="533">
        <v>1179.5604395604396</v>
      </c>
      <c r="R103" s="533">
        <v>62.08212839791787</v>
      </c>
      <c r="S103" s="531">
        <f t="shared" si="23"/>
        <v>25</v>
      </c>
      <c r="T103" s="605"/>
      <c r="U103" s="531">
        <v>19</v>
      </c>
      <c r="V103" s="533">
        <v>1194.7499999999995</v>
      </c>
      <c r="W103" s="533">
        <v>62.881578947368396</v>
      </c>
      <c r="X103" s="531">
        <f t="shared" si="24"/>
        <v>25</v>
      </c>
      <c r="Y103" s="605"/>
      <c r="Z103" s="531">
        <v>19</v>
      </c>
      <c r="AA103" s="533">
        <v>1225.4545454545469</v>
      </c>
      <c r="AB103" s="533">
        <v>64.497607655502463</v>
      </c>
      <c r="AC103" s="531">
        <f t="shared" si="25"/>
        <v>23</v>
      </c>
      <c r="AD103" s="605"/>
      <c r="AE103" s="531">
        <v>19</v>
      </c>
      <c r="AF103" s="533">
        <v>1211.1999999999989</v>
      </c>
      <c r="AG103" s="533">
        <v>63.747368421052578</v>
      </c>
      <c r="AH103" s="531">
        <f t="shared" si="26"/>
        <v>24</v>
      </c>
      <c r="AI103" s="605"/>
      <c r="AJ103" s="531">
        <v>19</v>
      </c>
      <c r="AK103" s="533">
        <v>1199.2207792207785</v>
      </c>
      <c r="AL103" s="533">
        <v>63.116883116883081</v>
      </c>
      <c r="AM103" s="531">
        <f t="shared" si="27"/>
        <v>24</v>
      </c>
      <c r="AN103" s="605"/>
      <c r="AO103" s="531">
        <v>19</v>
      </c>
      <c r="AP103" s="533">
        <v>1203.7499999999995</v>
      </c>
      <c r="AQ103" s="533">
        <v>63.355263157894711</v>
      </c>
      <c r="AR103" s="531">
        <f t="shared" si="28"/>
        <v>24</v>
      </c>
      <c r="AS103" s="605"/>
      <c r="AT103" s="531">
        <v>19</v>
      </c>
      <c r="AU103" s="533">
        <v>1197.5999999999992</v>
      </c>
      <c r="AV103" s="533">
        <v>63.031578947368381</v>
      </c>
      <c r="AW103" s="531">
        <f t="shared" si="29"/>
        <v>25</v>
      </c>
      <c r="AX103" s="605"/>
      <c r="AZ103" s="521" t="e">
        <f t="shared" si="30"/>
        <v>#N/A</v>
      </c>
      <c r="BA103" s="605"/>
    </row>
    <row r="104" spans="2:53">
      <c r="B104" s="610"/>
      <c r="C104" s="305">
        <v>28</v>
      </c>
      <c r="D104" s="226"/>
      <c r="E104" s="182"/>
      <c r="F104" s="511"/>
      <c r="G104" s="512"/>
      <c r="H104" s="668"/>
      <c r="I104" s="513" t="str">
        <f t="shared" si="20"/>
        <v>-</v>
      </c>
      <c r="J104" s="513" t="str">
        <f t="shared" si="21"/>
        <v>-</v>
      </c>
      <c r="K104" s="200" t="str">
        <f t="shared" si="22"/>
        <v>-</v>
      </c>
      <c r="L104" s="621"/>
      <c r="M104" s="201" t="e">
        <f>RANK(K104, K$77:$K$106)</f>
        <v>#VALUE!</v>
      </c>
      <c r="N104" s="604"/>
      <c r="O104" s="604"/>
      <c r="P104" s="531" t="s">
        <v>822</v>
      </c>
      <c r="Q104" s="533" t="s">
        <v>822</v>
      </c>
      <c r="R104" s="533" t="s">
        <v>822</v>
      </c>
      <c r="S104" s="531" t="e">
        <f t="shared" si="23"/>
        <v>#VALUE!</v>
      </c>
      <c r="T104" s="605"/>
      <c r="U104" s="531" t="s">
        <v>822</v>
      </c>
      <c r="V104" s="533" t="s">
        <v>822</v>
      </c>
      <c r="W104" s="533" t="s">
        <v>822</v>
      </c>
      <c r="X104" s="531" t="e">
        <f t="shared" si="24"/>
        <v>#VALUE!</v>
      </c>
      <c r="Y104" s="605"/>
      <c r="Z104" s="531" t="s">
        <v>822</v>
      </c>
      <c r="AA104" s="533" t="s">
        <v>822</v>
      </c>
      <c r="AB104" s="533" t="s">
        <v>822</v>
      </c>
      <c r="AC104" s="531" t="e">
        <f t="shared" si="25"/>
        <v>#VALUE!</v>
      </c>
      <c r="AD104" s="605"/>
      <c r="AE104" s="531" t="s">
        <v>822</v>
      </c>
      <c r="AF104" s="533" t="s">
        <v>822</v>
      </c>
      <c r="AG104" s="533" t="s">
        <v>822</v>
      </c>
      <c r="AH104" s="531" t="e">
        <f t="shared" si="26"/>
        <v>#VALUE!</v>
      </c>
      <c r="AI104" s="605"/>
      <c r="AJ104" s="531" t="s">
        <v>822</v>
      </c>
      <c r="AK104" s="533" t="s">
        <v>822</v>
      </c>
      <c r="AL104" s="533" t="s">
        <v>822</v>
      </c>
      <c r="AM104" s="531" t="e">
        <f t="shared" si="27"/>
        <v>#VALUE!</v>
      </c>
      <c r="AN104" s="605"/>
      <c r="AO104" s="531" t="s">
        <v>822</v>
      </c>
      <c r="AP104" s="533" t="s">
        <v>822</v>
      </c>
      <c r="AQ104" s="533" t="s">
        <v>822</v>
      </c>
      <c r="AR104" s="531" t="e">
        <f t="shared" si="28"/>
        <v>#VALUE!</v>
      </c>
      <c r="AS104" s="605"/>
      <c r="AT104" s="531" t="s">
        <v>822</v>
      </c>
      <c r="AU104" s="533" t="s">
        <v>822</v>
      </c>
      <c r="AV104" s="533" t="s">
        <v>822</v>
      </c>
      <c r="AW104" s="531" t="e">
        <f t="shared" si="29"/>
        <v>#VALUE!</v>
      </c>
      <c r="AX104" s="605"/>
      <c r="AZ104" s="521" t="e">
        <f t="shared" si="30"/>
        <v>#N/A</v>
      </c>
      <c r="BA104" s="605"/>
    </row>
    <row r="105" spans="2:53">
      <c r="B105" s="610"/>
      <c r="C105" s="305">
        <v>29</v>
      </c>
      <c r="D105" s="226"/>
      <c r="E105" s="182"/>
      <c r="F105" s="511"/>
      <c r="G105" s="512"/>
      <c r="H105" s="668"/>
      <c r="I105" s="513" t="str">
        <f t="shared" si="20"/>
        <v>-</v>
      </c>
      <c r="J105" s="513" t="str">
        <f t="shared" si="21"/>
        <v>-</v>
      </c>
      <c r="K105" s="200" t="str">
        <f t="shared" si="22"/>
        <v>-</v>
      </c>
      <c r="L105" s="621"/>
      <c r="M105" s="201" t="e">
        <f>RANK(K105, K$77:$K$106)</f>
        <v>#VALUE!</v>
      </c>
      <c r="N105" s="604"/>
      <c r="O105" s="604"/>
      <c r="P105" s="531" t="s">
        <v>822</v>
      </c>
      <c r="Q105" s="533" t="s">
        <v>822</v>
      </c>
      <c r="R105" s="533" t="s">
        <v>822</v>
      </c>
      <c r="S105" s="531" t="e">
        <f t="shared" si="23"/>
        <v>#VALUE!</v>
      </c>
      <c r="T105" s="605"/>
      <c r="U105" s="531" t="s">
        <v>822</v>
      </c>
      <c r="V105" s="533" t="s">
        <v>822</v>
      </c>
      <c r="W105" s="533" t="s">
        <v>822</v>
      </c>
      <c r="X105" s="531" t="e">
        <f t="shared" si="24"/>
        <v>#VALUE!</v>
      </c>
      <c r="Y105" s="605"/>
      <c r="Z105" s="531" t="s">
        <v>822</v>
      </c>
      <c r="AA105" s="533" t="s">
        <v>822</v>
      </c>
      <c r="AB105" s="533" t="s">
        <v>822</v>
      </c>
      <c r="AC105" s="531" t="e">
        <f t="shared" si="25"/>
        <v>#VALUE!</v>
      </c>
      <c r="AD105" s="605"/>
      <c r="AE105" s="531" t="s">
        <v>822</v>
      </c>
      <c r="AF105" s="533" t="s">
        <v>822</v>
      </c>
      <c r="AG105" s="533" t="s">
        <v>822</v>
      </c>
      <c r="AH105" s="531" t="e">
        <f t="shared" si="26"/>
        <v>#VALUE!</v>
      </c>
      <c r="AI105" s="605"/>
      <c r="AJ105" s="531" t="s">
        <v>822</v>
      </c>
      <c r="AK105" s="533" t="s">
        <v>822</v>
      </c>
      <c r="AL105" s="533" t="s">
        <v>822</v>
      </c>
      <c r="AM105" s="531" t="e">
        <f t="shared" si="27"/>
        <v>#VALUE!</v>
      </c>
      <c r="AN105" s="605"/>
      <c r="AO105" s="531" t="s">
        <v>822</v>
      </c>
      <c r="AP105" s="533" t="s">
        <v>822</v>
      </c>
      <c r="AQ105" s="533" t="s">
        <v>822</v>
      </c>
      <c r="AR105" s="531" t="e">
        <f t="shared" si="28"/>
        <v>#VALUE!</v>
      </c>
      <c r="AS105" s="605"/>
      <c r="AT105" s="531" t="s">
        <v>822</v>
      </c>
      <c r="AU105" s="533" t="s">
        <v>822</v>
      </c>
      <c r="AV105" s="533" t="s">
        <v>822</v>
      </c>
      <c r="AW105" s="531" t="e">
        <f t="shared" si="29"/>
        <v>#VALUE!</v>
      </c>
      <c r="AX105" s="605"/>
      <c r="AZ105" s="521" t="e">
        <f t="shared" si="30"/>
        <v>#N/A</v>
      </c>
      <c r="BA105" s="605"/>
    </row>
    <row r="106" spans="2:53">
      <c r="B106" s="610"/>
      <c r="C106" s="305">
        <v>30</v>
      </c>
      <c r="D106" s="226"/>
      <c r="E106" s="182"/>
      <c r="F106" s="511"/>
      <c r="G106" s="512"/>
      <c r="H106" s="669"/>
      <c r="I106" s="513" t="str">
        <f t="shared" si="20"/>
        <v>-</v>
      </c>
      <c r="J106" s="513" t="str">
        <f t="shared" si="21"/>
        <v>-</v>
      </c>
      <c r="K106" s="200" t="str">
        <f t="shared" si="22"/>
        <v>-</v>
      </c>
      <c r="L106" s="622"/>
      <c r="M106" s="201" t="e">
        <f>RANK(K106, K$77:$K$106)</f>
        <v>#VALUE!</v>
      </c>
      <c r="N106" s="604"/>
      <c r="O106" s="604"/>
      <c r="P106" s="531" t="s">
        <v>822</v>
      </c>
      <c r="Q106" s="533" t="s">
        <v>822</v>
      </c>
      <c r="R106" s="533" t="s">
        <v>822</v>
      </c>
      <c r="S106" s="531" t="e">
        <f t="shared" si="23"/>
        <v>#VALUE!</v>
      </c>
      <c r="T106" s="605"/>
      <c r="U106" s="531" t="s">
        <v>822</v>
      </c>
      <c r="V106" s="533" t="s">
        <v>822</v>
      </c>
      <c r="W106" s="533" t="s">
        <v>822</v>
      </c>
      <c r="X106" s="531" t="e">
        <f t="shared" si="24"/>
        <v>#VALUE!</v>
      </c>
      <c r="Y106" s="605"/>
      <c r="Z106" s="531" t="s">
        <v>822</v>
      </c>
      <c r="AA106" s="533" t="s">
        <v>822</v>
      </c>
      <c r="AB106" s="533" t="s">
        <v>822</v>
      </c>
      <c r="AC106" s="531" t="e">
        <f t="shared" si="25"/>
        <v>#VALUE!</v>
      </c>
      <c r="AD106" s="605"/>
      <c r="AE106" s="531" t="s">
        <v>822</v>
      </c>
      <c r="AF106" s="533" t="s">
        <v>822</v>
      </c>
      <c r="AG106" s="533" t="s">
        <v>822</v>
      </c>
      <c r="AH106" s="531" t="e">
        <f t="shared" si="26"/>
        <v>#VALUE!</v>
      </c>
      <c r="AI106" s="605"/>
      <c r="AJ106" s="531" t="s">
        <v>822</v>
      </c>
      <c r="AK106" s="533" t="s">
        <v>822</v>
      </c>
      <c r="AL106" s="533" t="s">
        <v>822</v>
      </c>
      <c r="AM106" s="531" t="e">
        <f t="shared" si="27"/>
        <v>#VALUE!</v>
      </c>
      <c r="AN106" s="605"/>
      <c r="AO106" s="531" t="s">
        <v>822</v>
      </c>
      <c r="AP106" s="533" t="s">
        <v>822</v>
      </c>
      <c r="AQ106" s="533" t="s">
        <v>822</v>
      </c>
      <c r="AR106" s="531" t="e">
        <f t="shared" si="28"/>
        <v>#VALUE!</v>
      </c>
      <c r="AS106" s="605"/>
      <c r="AT106" s="531" t="s">
        <v>822</v>
      </c>
      <c r="AU106" s="533" t="s">
        <v>822</v>
      </c>
      <c r="AV106" s="533" t="s">
        <v>822</v>
      </c>
      <c r="AW106" s="531" t="e">
        <f t="shared" si="29"/>
        <v>#VALUE!</v>
      </c>
      <c r="AX106" s="605"/>
      <c r="AZ106" s="521" t="e">
        <f t="shared" si="30"/>
        <v>#N/A</v>
      </c>
      <c r="BA106" s="605"/>
    </row>
    <row r="107" spans="2:53" ht="15.75">
      <c r="B107" s="633" t="s">
        <v>163</v>
      </c>
      <c r="C107" s="634"/>
      <c r="D107" s="634"/>
      <c r="E107" s="634"/>
      <c r="F107" s="634"/>
      <c r="G107" s="634"/>
      <c r="H107" s="635"/>
      <c r="I107" s="208"/>
      <c r="J107" s="208"/>
      <c r="K107" s="208"/>
      <c r="L107" s="208"/>
      <c r="M107" s="207"/>
      <c r="N107" s="606" t="s">
        <v>156</v>
      </c>
      <c r="O107" s="606" t="s">
        <v>105</v>
      </c>
      <c r="P107" s="632">
        <f>P72+7</f>
        <v>46133</v>
      </c>
      <c r="Q107" s="610"/>
      <c r="R107" s="610"/>
      <c r="S107" s="610"/>
      <c r="T107" s="610"/>
      <c r="U107" s="629">
        <f>P107+1</f>
        <v>46134</v>
      </c>
      <c r="V107" s="630"/>
      <c r="W107" s="630"/>
      <c r="X107" s="630"/>
      <c r="Y107" s="631"/>
      <c r="Z107" s="629">
        <f>U107+1</f>
        <v>46135</v>
      </c>
      <c r="AA107" s="630"/>
      <c r="AB107" s="630"/>
      <c r="AC107" s="630"/>
      <c r="AD107" s="631"/>
      <c r="AE107" s="629">
        <f>Z107+1</f>
        <v>46136</v>
      </c>
      <c r="AF107" s="630"/>
      <c r="AG107" s="630"/>
      <c r="AH107" s="630"/>
      <c r="AI107" s="631"/>
      <c r="AJ107" s="629">
        <f>AE107+1</f>
        <v>46137</v>
      </c>
      <c r="AK107" s="630"/>
      <c r="AL107" s="630"/>
      <c r="AM107" s="630"/>
      <c r="AN107" s="631"/>
      <c r="AO107" s="629">
        <f>AJ107+1</f>
        <v>46138</v>
      </c>
      <c r="AP107" s="630"/>
      <c r="AQ107" s="630"/>
      <c r="AR107" s="630"/>
      <c r="AS107" s="631"/>
      <c r="AT107" s="629">
        <f>AO107+1</f>
        <v>46139</v>
      </c>
      <c r="AU107" s="630"/>
      <c r="AV107" s="630"/>
      <c r="AW107" s="630"/>
      <c r="AX107" s="631"/>
    </row>
    <row r="108" spans="2:53" ht="15.75">
      <c r="B108" s="636"/>
      <c r="C108" s="636"/>
      <c r="D108" s="636"/>
      <c r="E108" s="636"/>
      <c r="F108" s="636"/>
      <c r="G108" s="636"/>
      <c r="H108" s="636"/>
      <c r="I108" s="205"/>
      <c r="J108" s="205"/>
      <c r="K108" s="205"/>
      <c r="L108" s="205"/>
      <c r="M108" s="206"/>
      <c r="N108" s="608"/>
      <c r="O108" s="608"/>
      <c r="P108" s="632" t="s">
        <v>336</v>
      </c>
      <c r="Q108" s="610"/>
      <c r="R108" s="610"/>
      <c r="S108" s="610"/>
      <c r="T108" s="610"/>
      <c r="U108" s="632" t="s">
        <v>337</v>
      </c>
      <c r="V108" s="610"/>
      <c r="W108" s="610"/>
      <c r="X108" s="610"/>
      <c r="Y108" s="610"/>
      <c r="Z108" s="632" t="s">
        <v>338</v>
      </c>
      <c r="AA108" s="610"/>
      <c r="AB108" s="610"/>
      <c r="AC108" s="610"/>
      <c r="AD108" s="610"/>
      <c r="AE108" s="632" t="s">
        <v>339</v>
      </c>
      <c r="AF108" s="610"/>
      <c r="AG108" s="610"/>
      <c r="AH108" s="610"/>
      <c r="AI108" s="610"/>
      <c r="AJ108" s="632" t="s">
        <v>340</v>
      </c>
      <c r="AK108" s="610"/>
      <c r="AL108" s="610"/>
      <c r="AM108" s="610"/>
      <c r="AN108" s="610"/>
      <c r="AO108" s="632" t="s">
        <v>341</v>
      </c>
      <c r="AP108" s="610"/>
      <c r="AQ108" s="610"/>
      <c r="AR108" s="610"/>
      <c r="AS108" s="610"/>
      <c r="AT108" s="632" t="s">
        <v>342</v>
      </c>
      <c r="AU108" s="610"/>
      <c r="AV108" s="610"/>
      <c r="AW108" s="610"/>
      <c r="AX108" s="610"/>
    </row>
    <row r="109" spans="2:53">
      <c r="B109" s="604" t="s">
        <v>441</v>
      </c>
      <c r="C109" s="604" t="s">
        <v>442</v>
      </c>
      <c r="D109" s="604"/>
      <c r="E109" s="604" t="s">
        <v>443</v>
      </c>
      <c r="F109" s="604"/>
      <c r="G109" s="604"/>
      <c r="H109" s="637" t="s">
        <v>444</v>
      </c>
      <c r="I109" s="656" t="s">
        <v>445</v>
      </c>
      <c r="J109" s="656"/>
      <c r="K109" s="656"/>
      <c r="L109" s="657" t="s">
        <v>444</v>
      </c>
      <c r="M109" s="642" t="s">
        <v>446</v>
      </c>
      <c r="N109" s="604"/>
      <c r="O109" s="604" t="s">
        <v>447</v>
      </c>
      <c r="P109" s="623" t="s">
        <v>448</v>
      </c>
      <c r="Q109" s="624"/>
      <c r="R109" s="624"/>
      <c r="S109" s="625"/>
      <c r="T109" s="604" t="s">
        <v>444</v>
      </c>
      <c r="U109" s="623" t="s">
        <v>448</v>
      </c>
      <c r="V109" s="624"/>
      <c r="W109" s="624"/>
      <c r="X109" s="625"/>
      <c r="Y109" s="604" t="s">
        <v>444</v>
      </c>
      <c r="Z109" s="623" t="s">
        <v>448</v>
      </c>
      <c r="AA109" s="624"/>
      <c r="AB109" s="624"/>
      <c r="AC109" s="625"/>
      <c r="AD109" s="604" t="s">
        <v>444</v>
      </c>
      <c r="AE109" s="623" t="s">
        <v>448</v>
      </c>
      <c r="AF109" s="624"/>
      <c r="AG109" s="624"/>
      <c r="AH109" s="625"/>
      <c r="AI109" s="604" t="s">
        <v>444</v>
      </c>
      <c r="AJ109" s="623" t="s">
        <v>448</v>
      </c>
      <c r="AK109" s="624"/>
      <c r="AL109" s="624"/>
      <c r="AM109" s="625"/>
      <c r="AN109" s="604" t="s">
        <v>444</v>
      </c>
      <c r="AO109" s="623" t="s">
        <v>448</v>
      </c>
      <c r="AP109" s="624"/>
      <c r="AQ109" s="624"/>
      <c r="AR109" s="625"/>
      <c r="AS109" s="604" t="s">
        <v>444</v>
      </c>
      <c r="AT109" s="623" t="s">
        <v>448</v>
      </c>
      <c r="AU109" s="624"/>
      <c r="AV109" s="624"/>
      <c r="AW109" s="625"/>
      <c r="AX109" s="604" t="s">
        <v>444</v>
      </c>
      <c r="BA109" s="604" t="s">
        <v>395</v>
      </c>
    </row>
    <row r="110" spans="2:53">
      <c r="B110" s="604"/>
      <c r="C110" s="604"/>
      <c r="D110" s="604"/>
      <c r="E110" s="604" t="s">
        <v>449</v>
      </c>
      <c r="F110" s="604"/>
      <c r="G110" s="604"/>
      <c r="H110" s="638"/>
      <c r="I110" s="656" t="s">
        <v>449</v>
      </c>
      <c r="J110" s="656"/>
      <c r="K110" s="656"/>
      <c r="L110" s="658"/>
      <c r="M110" s="643"/>
      <c r="N110" s="604"/>
      <c r="O110" s="604"/>
      <c r="P110" s="623" t="s">
        <v>450</v>
      </c>
      <c r="Q110" s="624"/>
      <c r="R110" s="624"/>
      <c r="S110" s="625"/>
      <c r="T110" s="604"/>
      <c r="U110" s="623" t="s">
        <v>450</v>
      </c>
      <c r="V110" s="624"/>
      <c r="W110" s="624"/>
      <c r="X110" s="625"/>
      <c r="Y110" s="604"/>
      <c r="Z110" s="623" t="s">
        <v>450</v>
      </c>
      <c r="AA110" s="624"/>
      <c r="AB110" s="624"/>
      <c r="AC110" s="625"/>
      <c r="AD110" s="604"/>
      <c r="AE110" s="623" t="s">
        <v>450</v>
      </c>
      <c r="AF110" s="624"/>
      <c r="AG110" s="624"/>
      <c r="AH110" s="625"/>
      <c r="AI110" s="604"/>
      <c r="AJ110" s="623" t="s">
        <v>450</v>
      </c>
      <c r="AK110" s="624"/>
      <c r="AL110" s="624"/>
      <c r="AM110" s="625"/>
      <c r="AN110" s="604"/>
      <c r="AO110" s="623" t="s">
        <v>450</v>
      </c>
      <c r="AP110" s="624"/>
      <c r="AQ110" s="624"/>
      <c r="AR110" s="625"/>
      <c r="AS110" s="604"/>
      <c r="AT110" s="623" t="s">
        <v>450</v>
      </c>
      <c r="AU110" s="624"/>
      <c r="AV110" s="624"/>
      <c r="AW110" s="625"/>
      <c r="AX110" s="604"/>
      <c r="BA110" s="604"/>
    </row>
    <row r="111" spans="2:53">
      <c r="B111" s="604"/>
      <c r="C111" s="604"/>
      <c r="D111" s="604"/>
      <c r="E111" s="304" t="s">
        <v>451</v>
      </c>
      <c r="F111" s="304" t="s">
        <v>452</v>
      </c>
      <c r="G111" s="304" t="s">
        <v>453</v>
      </c>
      <c r="H111" s="639"/>
      <c r="I111" s="303" t="s">
        <v>451</v>
      </c>
      <c r="J111" s="303" t="s">
        <v>452</v>
      </c>
      <c r="K111" s="303" t="s">
        <v>453</v>
      </c>
      <c r="L111" s="659"/>
      <c r="M111" s="644"/>
      <c r="N111" s="604"/>
      <c r="O111" s="604"/>
      <c r="P111" s="304" t="s">
        <v>451</v>
      </c>
      <c r="Q111" s="304" t="s">
        <v>452</v>
      </c>
      <c r="R111" s="304" t="s">
        <v>453</v>
      </c>
      <c r="S111" s="304" t="s">
        <v>446</v>
      </c>
      <c r="T111" s="604"/>
      <c r="U111" s="304" t="s">
        <v>451</v>
      </c>
      <c r="V111" s="304" t="s">
        <v>452</v>
      </c>
      <c r="W111" s="304" t="s">
        <v>453</v>
      </c>
      <c r="X111" s="304" t="s">
        <v>446</v>
      </c>
      <c r="Y111" s="604"/>
      <c r="Z111" s="304" t="s">
        <v>451</v>
      </c>
      <c r="AA111" s="304" t="s">
        <v>452</v>
      </c>
      <c r="AB111" s="304" t="s">
        <v>453</v>
      </c>
      <c r="AC111" s="304" t="s">
        <v>446</v>
      </c>
      <c r="AD111" s="604"/>
      <c r="AE111" s="304" t="s">
        <v>451</v>
      </c>
      <c r="AF111" s="304" t="s">
        <v>452</v>
      </c>
      <c r="AG111" s="304" t="s">
        <v>453</v>
      </c>
      <c r="AH111" s="304" t="s">
        <v>446</v>
      </c>
      <c r="AI111" s="604"/>
      <c r="AJ111" s="304" t="s">
        <v>451</v>
      </c>
      <c r="AK111" s="304" t="s">
        <v>452</v>
      </c>
      <c r="AL111" s="304" t="s">
        <v>453</v>
      </c>
      <c r="AM111" s="304" t="s">
        <v>446</v>
      </c>
      <c r="AN111" s="604"/>
      <c r="AO111" s="304" t="s">
        <v>451</v>
      </c>
      <c r="AP111" s="304" t="s">
        <v>452</v>
      </c>
      <c r="AQ111" s="304" t="s">
        <v>453</v>
      </c>
      <c r="AR111" s="304" t="s">
        <v>446</v>
      </c>
      <c r="AS111" s="604"/>
      <c r="AT111" s="304" t="s">
        <v>451</v>
      </c>
      <c r="AU111" s="304" t="s">
        <v>452</v>
      </c>
      <c r="AV111" s="304" t="s">
        <v>453</v>
      </c>
      <c r="AW111" s="304" t="s">
        <v>446</v>
      </c>
      <c r="AX111" s="604"/>
      <c r="AZ111" s="520" t="s">
        <v>396</v>
      </c>
      <c r="BA111" s="604"/>
    </row>
    <row r="112" spans="2:53">
      <c r="B112" s="604" t="s">
        <v>454</v>
      </c>
      <c r="C112" s="305">
        <v>1</v>
      </c>
      <c r="D112" s="226" t="s">
        <v>367</v>
      </c>
      <c r="E112" s="182">
        <v>6</v>
      </c>
      <c r="F112" s="511">
        <v>1500</v>
      </c>
      <c r="G112" s="512">
        <v>250</v>
      </c>
      <c r="H112" s="667">
        <f>AVERAGE(G112:G141)</f>
        <v>97.678571428571445</v>
      </c>
      <c r="I112" s="513">
        <f>IFERROR(AVERAGE(P112,U112,Z112,AE112,AJ112,AO112,AT112),"-")</f>
        <v>6</v>
      </c>
      <c r="J112" s="513">
        <f>IFERROR(AVERAGE(Q112,V112,AA112,AF112,AK112,AP112,AU112),"-")</f>
        <v>1388.1237714480205</v>
      </c>
      <c r="K112" s="200">
        <f>IFERROR(AVERAGE(R112,W112,AB112,AG112,AL112,AQ112,AV112),"-")</f>
        <v>231.35396190800344</v>
      </c>
      <c r="L112" s="620">
        <f>IFERROR(AVERAGE(K112:K141),"-")</f>
        <v>85.802782390674153</v>
      </c>
      <c r="M112" s="201">
        <f>RANK(K112, K$112:$K$141)</f>
        <v>2</v>
      </c>
      <c r="N112" s="604"/>
      <c r="O112" s="604"/>
      <c r="P112" s="536">
        <v>6</v>
      </c>
      <c r="Q112" s="538">
        <v>1381.9930069930065</v>
      </c>
      <c r="R112" s="538">
        <v>230.33216783216776</v>
      </c>
      <c r="S112" s="536">
        <f>RANK(R112, R$112:R$141)</f>
        <v>2</v>
      </c>
      <c r="T112" s="605">
        <f>AVERAGE(R112:R141)</f>
        <v>87.328640321817048</v>
      </c>
      <c r="U112" s="536">
        <v>6</v>
      </c>
      <c r="V112" s="538">
        <v>1380</v>
      </c>
      <c r="W112" s="538">
        <v>230</v>
      </c>
      <c r="X112" s="536">
        <f>RANK(W112, W$112:W$141)</f>
        <v>2</v>
      </c>
      <c r="Y112" s="605">
        <f>AVERAGE(W112:W141)</f>
        <v>87.505508813940423</v>
      </c>
      <c r="Z112" s="536">
        <v>6</v>
      </c>
      <c r="AA112" s="538">
        <v>1380.0967741935483</v>
      </c>
      <c r="AB112" s="538">
        <v>230.01612903225805</v>
      </c>
      <c r="AC112" s="536">
        <f>RANK(AB112, AB$112:AB$141)</f>
        <v>2</v>
      </c>
      <c r="AD112" s="605">
        <f>AVERAGE(AB112:AB141)</f>
        <v>83.559986168590328</v>
      </c>
      <c r="AE112" s="536">
        <v>6</v>
      </c>
      <c r="AF112" s="538">
        <v>1390.6551724137935</v>
      </c>
      <c r="AG112" s="538">
        <v>231.77586206896558</v>
      </c>
      <c r="AH112" s="536">
        <f>RANK(AG112, AG$112:AG$141)</f>
        <v>2</v>
      </c>
      <c r="AI112" s="605">
        <f>AVERAGE(AG112:AG141)</f>
        <v>86.846758730473979</v>
      </c>
      <c r="AJ112" s="536">
        <v>6</v>
      </c>
      <c r="AK112" s="538">
        <v>1413.2374100719426</v>
      </c>
      <c r="AL112" s="538">
        <v>235.53956834532377</v>
      </c>
      <c r="AM112" s="536">
        <f>RANK(AL112, AL$112:AL$141)</f>
        <v>1</v>
      </c>
      <c r="AN112" s="605">
        <f>AVERAGE(AL112:AL141)</f>
        <v>87.365615797396032</v>
      </c>
      <c r="AO112" s="536">
        <v>6</v>
      </c>
      <c r="AP112" s="538">
        <v>1382.8651685393252</v>
      </c>
      <c r="AQ112" s="538">
        <v>230.47752808988753</v>
      </c>
      <c r="AR112" s="536">
        <f>RANK(AQ112, AQ$112:AQ$141)</f>
        <v>2</v>
      </c>
      <c r="AS112" s="605">
        <f>AVERAGE(AQ112:AQ141)</f>
        <v>87.057389467184649</v>
      </c>
      <c r="AT112" s="536">
        <v>6</v>
      </c>
      <c r="AU112" s="538">
        <v>1388.0188679245284</v>
      </c>
      <c r="AV112" s="538">
        <v>231.3364779874214</v>
      </c>
      <c r="AW112" s="536">
        <f>RANK(AV112, AV$112:AV$141)</f>
        <v>2</v>
      </c>
      <c r="AX112" s="605">
        <f>AVERAGE(AV112:AV141)</f>
        <v>87.366709303485905</v>
      </c>
      <c r="AZ112" s="521" t="e">
        <f>RANK(AY112, AY$112:AY$141)</f>
        <v>#N/A</v>
      </c>
      <c r="BA112" s="605" t="e">
        <f>AVERAGE(AY112:AY141)</f>
        <v>#DIV/0!</v>
      </c>
    </row>
    <row r="113" spans="2:53">
      <c r="B113" s="610"/>
      <c r="C113" s="305">
        <v>2</v>
      </c>
      <c r="D113" s="226" t="s">
        <v>824</v>
      </c>
      <c r="E113" s="182">
        <v>6</v>
      </c>
      <c r="F113" s="511">
        <v>1500</v>
      </c>
      <c r="G113" s="512">
        <v>250</v>
      </c>
      <c r="H113" s="668"/>
      <c r="I113" s="513">
        <f t="shared" ref="I113:I141" si="31">IFERROR(AVERAGE(P113,U113,Z113,AE113,AJ113,AO113,AT113),"-")</f>
        <v>6</v>
      </c>
      <c r="J113" s="513">
        <f t="shared" ref="J113:J141" si="32">IFERROR(AVERAGE(Q113,V113,AA113,AF113,AK113,AP113,AU113),"-")</f>
        <v>1407.0877919245297</v>
      </c>
      <c r="K113" s="200">
        <f t="shared" ref="K113:K141" si="33">IFERROR(AVERAGE(R113,W113,AB113,AG113,AL113,AQ113,AV113),"-")</f>
        <v>234.51463198742164</v>
      </c>
      <c r="L113" s="621"/>
      <c r="M113" s="201">
        <f>RANK(K113, K$112:$K$141)</f>
        <v>1</v>
      </c>
      <c r="N113" s="604"/>
      <c r="O113" s="604"/>
      <c r="P113" s="536">
        <v>6</v>
      </c>
      <c r="Q113" s="538">
        <v>1404</v>
      </c>
      <c r="R113" s="538">
        <v>234</v>
      </c>
      <c r="S113" s="536">
        <f t="shared" ref="S113:S141" si="34">RANK(R113, R$112:R$141)</f>
        <v>1</v>
      </c>
      <c r="T113" s="605"/>
      <c r="U113" s="536">
        <v>6</v>
      </c>
      <c r="V113" s="538">
        <v>1414.354838709678</v>
      </c>
      <c r="W113" s="538">
        <v>235.72580645161301</v>
      </c>
      <c r="X113" s="536">
        <f t="shared" ref="X113:X141" si="35">RANK(W113, W$112:W$141)</f>
        <v>1</v>
      </c>
      <c r="Y113" s="605"/>
      <c r="Z113" s="536">
        <v>6</v>
      </c>
      <c r="AA113" s="538">
        <v>1397.2131147540986</v>
      </c>
      <c r="AB113" s="538">
        <v>232.86885245901644</v>
      </c>
      <c r="AC113" s="536">
        <f t="shared" ref="AC113:AC141" si="36">RANK(AB113, AB$112:AB$141)</f>
        <v>1</v>
      </c>
      <c r="AD113" s="605"/>
      <c r="AE113" s="536">
        <v>6</v>
      </c>
      <c r="AF113" s="538">
        <v>1407.8350515463922</v>
      </c>
      <c r="AG113" s="538">
        <v>234.63917525773203</v>
      </c>
      <c r="AH113" s="536">
        <f t="shared" ref="AH113:AH141" si="37">RANK(AG113, AG$112:AG$141)</f>
        <v>1</v>
      </c>
      <c r="AI113" s="605"/>
      <c r="AJ113" s="536">
        <v>6</v>
      </c>
      <c r="AK113" s="538">
        <v>1404</v>
      </c>
      <c r="AL113" s="538">
        <v>234</v>
      </c>
      <c r="AM113" s="536">
        <f t="shared" ref="AM113:AM141" si="38">RANK(AL113, AL$112:AL$141)</f>
        <v>2</v>
      </c>
      <c r="AN113" s="605"/>
      <c r="AO113" s="536">
        <v>6</v>
      </c>
      <c r="AP113" s="538">
        <v>1416.2500000000005</v>
      </c>
      <c r="AQ113" s="538">
        <v>236.04166666666674</v>
      </c>
      <c r="AR113" s="536">
        <f t="shared" ref="AR113:AR141" si="39">RANK(AQ113, AQ$112:AQ$141)</f>
        <v>1</v>
      </c>
      <c r="AS113" s="605"/>
      <c r="AT113" s="536">
        <v>6</v>
      </c>
      <c r="AU113" s="538">
        <v>1405.9615384615381</v>
      </c>
      <c r="AV113" s="538">
        <v>234.32692307692301</v>
      </c>
      <c r="AW113" s="536">
        <f t="shared" ref="AW113:AW141" si="40">RANK(AV113, AV$112:AV$141)</f>
        <v>1</v>
      </c>
      <c r="AX113" s="605"/>
      <c r="AZ113" s="521" t="e">
        <f t="shared" ref="AZ113:AZ141" si="41">RANK(AY113, AY$112:AY$141)</f>
        <v>#N/A</v>
      </c>
      <c r="BA113" s="605"/>
    </row>
    <row r="114" spans="2:53">
      <c r="B114" s="610"/>
      <c r="C114" s="305">
        <v>3</v>
      </c>
      <c r="D114" s="226" t="s">
        <v>801</v>
      </c>
      <c r="E114" s="182">
        <v>18</v>
      </c>
      <c r="F114" s="511">
        <v>1500</v>
      </c>
      <c r="G114" s="512">
        <v>83.3</v>
      </c>
      <c r="H114" s="668"/>
      <c r="I114" s="513">
        <f t="shared" si="31"/>
        <v>18</v>
      </c>
      <c r="J114" s="513">
        <f t="shared" si="32"/>
        <v>1334.5043417536442</v>
      </c>
      <c r="K114" s="200">
        <f t="shared" si="33"/>
        <v>74.139130097424669</v>
      </c>
      <c r="L114" s="621"/>
      <c r="M114" s="201">
        <f>RANK(K114, K$112:$K$141)</f>
        <v>17</v>
      </c>
      <c r="N114" s="604"/>
      <c r="O114" s="604"/>
      <c r="P114" s="536">
        <v>18</v>
      </c>
      <c r="Q114" s="538">
        <v>1340.6086956521738</v>
      </c>
      <c r="R114" s="538">
        <v>74.478260869565204</v>
      </c>
      <c r="S114" s="536">
        <f t="shared" si="34"/>
        <v>16</v>
      </c>
      <c r="T114" s="605"/>
      <c r="U114" s="536">
        <v>18</v>
      </c>
      <c r="V114" s="538">
        <v>1358.0999999999995</v>
      </c>
      <c r="W114" s="538">
        <v>75.449999999999974</v>
      </c>
      <c r="X114" s="536">
        <f t="shared" si="35"/>
        <v>18</v>
      </c>
      <c r="Y114" s="605"/>
      <c r="Z114" s="536">
        <v>18</v>
      </c>
      <c r="AA114" s="538">
        <v>1322.9999999999993</v>
      </c>
      <c r="AB114" s="538">
        <v>73.499999999999957</v>
      </c>
      <c r="AC114" s="536">
        <f t="shared" si="36"/>
        <v>15</v>
      </c>
      <c r="AD114" s="605"/>
      <c r="AE114" s="536">
        <v>18</v>
      </c>
      <c r="AF114" s="538">
        <v>1357.7837837837826</v>
      </c>
      <c r="AG114" s="538">
        <v>75.432432432432364</v>
      </c>
      <c r="AH114" s="536">
        <f t="shared" si="37"/>
        <v>14</v>
      </c>
      <c r="AI114" s="605"/>
      <c r="AJ114" s="536">
        <v>18</v>
      </c>
      <c r="AK114" s="538">
        <v>1317.348837209302</v>
      </c>
      <c r="AL114" s="538">
        <v>73.186046511627893</v>
      </c>
      <c r="AM114" s="536">
        <f t="shared" si="38"/>
        <v>17</v>
      </c>
      <c r="AN114" s="605"/>
      <c r="AO114" s="536">
        <v>18</v>
      </c>
      <c r="AP114" s="538">
        <v>1310.1176470588239</v>
      </c>
      <c r="AQ114" s="538">
        <v>72.784313725490222</v>
      </c>
      <c r="AR114" s="536">
        <f t="shared" si="39"/>
        <v>18</v>
      </c>
      <c r="AS114" s="605"/>
      <c r="AT114" s="536">
        <v>18</v>
      </c>
      <c r="AU114" s="538">
        <v>1334.5714285714289</v>
      </c>
      <c r="AV114" s="538">
        <v>74.142857142857167</v>
      </c>
      <c r="AW114" s="536">
        <f t="shared" si="40"/>
        <v>16</v>
      </c>
      <c r="AX114" s="605"/>
      <c r="AZ114" s="521" t="e">
        <f t="shared" si="41"/>
        <v>#N/A</v>
      </c>
      <c r="BA114" s="605"/>
    </row>
    <row r="115" spans="2:53">
      <c r="B115" s="610"/>
      <c r="C115" s="305">
        <v>4</v>
      </c>
      <c r="D115" s="226" t="s">
        <v>741</v>
      </c>
      <c r="E115" s="182">
        <v>18</v>
      </c>
      <c r="F115" s="511">
        <v>1500</v>
      </c>
      <c r="G115" s="512">
        <v>83.3</v>
      </c>
      <c r="H115" s="668"/>
      <c r="I115" s="513">
        <f t="shared" si="31"/>
        <v>18</v>
      </c>
      <c r="J115" s="513">
        <f t="shared" si="32"/>
        <v>1238.1508666906761</v>
      </c>
      <c r="K115" s="200">
        <f t="shared" si="33"/>
        <v>68.786159260593124</v>
      </c>
      <c r="L115" s="621"/>
      <c r="M115" s="201">
        <f>RANK(K115, K$112:$K$141)</f>
        <v>23</v>
      </c>
      <c r="N115" s="604"/>
      <c r="O115" s="604"/>
      <c r="P115" s="536">
        <v>18</v>
      </c>
      <c r="Q115" s="538">
        <v>1287.9069767441858</v>
      </c>
      <c r="R115" s="538">
        <v>71.550387596899213</v>
      </c>
      <c r="S115" s="536">
        <f t="shared" si="34"/>
        <v>20</v>
      </c>
      <c r="T115" s="605"/>
      <c r="U115" s="536">
        <v>18</v>
      </c>
      <c r="V115" s="538">
        <v>1280.4878048780483</v>
      </c>
      <c r="W115" s="538">
        <v>71.138211382113795</v>
      </c>
      <c r="X115" s="536">
        <f t="shared" si="35"/>
        <v>21</v>
      </c>
      <c r="Y115" s="605"/>
      <c r="Z115" s="536">
        <v>18</v>
      </c>
      <c r="AA115" s="538">
        <v>1220.9302325581393</v>
      </c>
      <c r="AB115" s="538">
        <v>67.829457364341067</v>
      </c>
      <c r="AC115" s="536">
        <f t="shared" si="36"/>
        <v>22</v>
      </c>
      <c r="AD115" s="605"/>
      <c r="AE115" s="536">
        <v>18</v>
      </c>
      <c r="AF115" s="538">
        <v>1211.7073170731703</v>
      </c>
      <c r="AG115" s="538">
        <v>67.317073170731689</v>
      </c>
      <c r="AH115" s="536">
        <f t="shared" si="37"/>
        <v>22</v>
      </c>
      <c r="AI115" s="605"/>
      <c r="AJ115" s="536">
        <v>18</v>
      </c>
      <c r="AK115" s="538">
        <v>1231.304347826087</v>
      </c>
      <c r="AL115" s="538">
        <v>68.405797101449281</v>
      </c>
      <c r="AM115" s="536">
        <f t="shared" si="38"/>
        <v>21</v>
      </c>
      <c r="AN115" s="605"/>
      <c r="AO115" s="536">
        <v>18</v>
      </c>
      <c r="AP115" s="538">
        <v>1221.2500000000002</v>
      </c>
      <c r="AQ115" s="538">
        <v>67.847222222222229</v>
      </c>
      <c r="AR115" s="536">
        <f t="shared" si="39"/>
        <v>22</v>
      </c>
      <c r="AS115" s="605"/>
      <c r="AT115" s="536">
        <v>18</v>
      </c>
      <c r="AU115" s="538">
        <v>1213.4693877551024</v>
      </c>
      <c r="AV115" s="538">
        <v>67.414965986394577</v>
      </c>
      <c r="AW115" s="536">
        <f t="shared" si="40"/>
        <v>22</v>
      </c>
      <c r="AX115" s="605"/>
      <c r="AZ115" s="521" t="e">
        <f t="shared" si="41"/>
        <v>#N/A</v>
      </c>
      <c r="BA115" s="605"/>
    </row>
    <row r="116" spans="2:53">
      <c r="B116" s="610"/>
      <c r="C116" s="305">
        <v>5</v>
      </c>
      <c r="D116" s="226" t="s">
        <v>353</v>
      </c>
      <c r="E116" s="182">
        <v>16</v>
      </c>
      <c r="F116" s="511">
        <v>1500</v>
      </c>
      <c r="G116" s="512">
        <v>93.8</v>
      </c>
      <c r="H116" s="668"/>
      <c r="I116" s="513">
        <f t="shared" si="31"/>
        <v>16</v>
      </c>
      <c r="J116" s="513">
        <f t="shared" si="32"/>
        <v>1296.1605300044707</v>
      </c>
      <c r="K116" s="200">
        <f t="shared" si="33"/>
        <v>81.010033125279421</v>
      </c>
      <c r="L116" s="621"/>
      <c r="M116" s="201">
        <f>RANK(K116, K$112:$K$141)</f>
        <v>9</v>
      </c>
      <c r="N116" s="604"/>
      <c r="O116" s="604"/>
      <c r="P116" s="536">
        <v>16</v>
      </c>
      <c r="Q116" s="538">
        <v>1324.4999999999995</v>
      </c>
      <c r="R116" s="538">
        <v>82.781249999999972</v>
      </c>
      <c r="S116" s="536">
        <f t="shared" si="34"/>
        <v>8</v>
      </c>
      <c r="T116" s="605"/>
      <c r="U116" s="536">
        <v>16</v>
      </c>
      <c r="V116" s="538">
        <v>1310.76923076923</v>
      </c>
      <c r="W116" s="538">
        <v>81.923076923076877</v>
      </c>
      <c r="X116" s="536">
        <f t="shared" si="35"/>
        <v>10</v>
      </c>
      <c r="Y116" s="605"/>
      <c r="Z116" s="536">
        <v>16</v>
      </c>
      <c r="AA116" s="538">
        <v>1255.3846153846148</v>
      </c>
      <c r="AB116" s="538">
        <v>78.461538461538424</v>
      </c>
      <c r="AC116" s="536">
        <f t="shared" si="36"/>
        <v>6</v>
      </c>
      <c r="AD116" s="605"/>
      <c r="AE116" s="536">
        <v>16</v>
      </c>
      <c r="AF116" s="538">
        <v>1274.2105263157887</v>
      </c>
      <c r="AG116" s="538">
        <v>79.638157894736793</v>
      </c>
      <c r="AH116" s="536">
        <f t="shared" si="37"/>
        <v>9</v>
      </c>
      <c r="AI116" s="605"/>
      <c r="AJ116" s="536">
        <v>16</v>
      </c>
      <c r="AK116" s="538">
        <v>1273.3333333333333</v>
      </c>
      <c r="AL116" s="538">
        <v>79.583333333333329</v>
      </c>
      <c r="AM116" s="536">
        <f t="shared" si="38"/>
        <v>11</v>
      </c>
      <c r="AN116" s="605"/>
      <c r="AO116" s="536">
        <v>16</v>
      </c>
      <c r="AP116" s="538">
        <v>1276.7441860465115</v>
      </c>
      <c r="AQ116" s="538">
        <v>79.796511627906966</v>
      </c>
      <c r="AR116" s="536">
        <f t="shared" si="39"/>
        <v>9</v>
      </c>
      <c r="AS116" s="605"/>
      <c r="AT116" s="536">
        <v>16</v>
      </c>
      <c r="AU116" s="538">
        <v>1358.1818181818182</v>
      </c>
      <c r="AV116" s="538">
        <v>84.88636363636364</v>
      </c>
      <c r="AW116" s="536">
        <f t="shared" si="40"/>
        <v>5</v>
      </c>
      <c r="AX116" s="605"/>
      <c r="AZ116" s="521" t="e">
        <f t="shared" si="41"/>
        <v>#N/A</v>
      </c>
      <c r="BA116" s="605"/>
    </row>
    <row r="117" spans="2:53">
      <c r="B117" s="610"/>
      <c r="C117" s="305">
        <v>6</v>
      </c>
      <c r="D117" s="226" t="s">
        <v>369</v>
      </c>
      <c r="E117" s="182">
        <v>16</v>
      </c>
      <c r="F117" s="511">
        <v>1565</v>
      </c>
      <c r="G117" s="512">
        <v>97.8</v>
      </c>
      <c r="H117" s="668"/>
      <c r="I117" s="513">
        <f t="shared" si="31"/>
        <v>16</v>
      </c>
      <c r="J117" s="513">
        <f t="shared" si="32"/>
        <v>1412.8418649962437</v>
      </c>
      <c r="K117" s="200">
        <f t="shared" si="33"/>
        <v>88.302616562265229</v>
      </c>
      <c r="L117" s="621"/>
      <c r="M117" s="201">
        <f>RANK(K117, K$112:$K$141)</f>
        <v>3</v>
      </c>
      <c r="N117" s="604"/>
      <c r="O117" s="604"/>
      <c r="P117" s="536">
        <v>16</v>
      </c>
      <c r="Q117" s="538">
        <v>1503.6363636363653</v>
      </c>
      <c r="R117" s="538">
        <v>93.977272727272833</v>
      </c>
      <c r="S117" s="536">
        <f t="shared" si="34"/>
        <v>3</v>
      </c>
      <c r="T117" s="605"/>
      <c r="U117" s="536">
        <v>16</v>
      </c>
      <c r="V117" s="538">
        <v>1511.4285714285729</v>
      </c>
      <c r="W117" s="538">
        <v>94.464285714285808</v>
      </c>
      <c r="X117" s="536">
        <f t="shared" si="35"/>
        <v>3</v>
      </c>
      <c r="Y117" s="605"/>
      <c r="Z117" s="536">
        <v>16</v>
      </c>
      <c r="AA117" s="538">
        <v>1362.5806451612916</v>
      </c>
      <c r="AB117" s="538">
        <v>85.161290322580726</v>
      </c>
      <c r="AC117" s="536">
        <f t="shared" si="36"/>
        <v>4</v>
      </c>
      <c r="AD117" s="605"/>
      <c r="AE117" s="536">
        <v>16</v>
      </c>
      <c r="AF117" s="538">
        <v>1383.6363636363653</v>
      </c>
      <c r="AG117" s="538">
        <v>86.477272727272833</v>
      </c>
      <c r="AH117" s="536">
        <f t="shared" si="37"/>
        <v>4</v>
      </c>
      <c r="AI117" s="605"/>
      <c r="AJ117" s="536">
        <v>16</v>
      </c>
      <c r="AK117" s="538">
        <v>1375.8333333333321</v>
      </c>
      <c r="AL117" s="538">
        <v>85.989583333333258</v>
      </c>
      <c r="AM117" s="536">
        <f t="shared" si="38"/>
        <v>4</v>
      </c>
      <c r="AN117" s="605"/>
      <c r="AO117" s="536">
        <v>16</v>
      </c>
      <c r="AP117" s="538">
        <v>1374.9999999999995</v>
      </c>
      <c r="AQ117" s="538">
        <v>85.937499999999972</v>
      </c>
      <c r="AR117" s="536">
        <f t="shared" si="39"/>
        <v>5</v>
      </c>
      <c r="AS117" s="605"/>
      <c r="AT117" s="536">
        <v>16</v>
      </c>
      <c r="AU117" s="538">
        <v>1377.7777777777774</v>
      </c>
      <c r="AV117" s="538">
        <v>86.111111111111086</v>
      </c>
      <c r="AW117" s="536">
        <f t="shared" si="40"/>
        <v>4</v>
      </c>
      <c r="AX117" s="605"/>
      <c r="AZ117" s="521" t="e">
        <f t="shared" si="41"/>
        <v>#N/A</v>
      </c>
      <c r="BA117" s="605"/>
    </row>
    <row r="118" spans="2:53">
      <c r="B118" s="610"/>
      <c r="C118" s="305">
        <v>7</v>
      </c>
      <c r="D118" s="226" t="s">
        <v>345</v>
      </c>
      <c r="E118" s="182">
        <v>14</v>
      </c>
      <c r="F118" s="511">
        <v>1440</v>
      </c>
      <c r="G118" s="512">
        <v>102.9</v>
      </c>
      <c r="H118" s="668"/>
      <c r="I118" s="513">
        <f t="shared" si="31"/>
        <v>14.714285714285714</v>
      </c>
      <c r="J118" s="513">
        <f t="shared" si="32"/>
        <v>1229.7750495672851</v>
      </c>
      <c r="K118" s="200">
        <f t="shared" si="33"/>
        <v>83.486278814689754</v>
      </c>
      <c r="L118" s="621"/>
      <c r="M118" s="201">
        <f>RANK(K118, K$112:$K$141)</f>
        <v>5</v>
      </c>
      <c r="N118" s="604"/>
      <c r="O118" s="604"/>
      <c r="P118" s="536">
        <v>15</v>
      </c>
      <c r="Q118" s="538">
        <v>1115.1724137931012</v>
      </c>
      <c r="R118" s="538">
        <v>74.344827586206748</v>
      </c>
      <c r="S118" s="536">
        <f t="shared" si="34"/>
        <v>17</v>
      </c>
      <c r="T118" s="605"/>
      <c r="U118" s="536">
        <v>15</v>
      </c>
      <c r="V118" s="538">
        <v>1175.5555555555527</v>
      </c>
      <c r="W118" s="538">
        <v>78.370370370370182</v>
      </c>
      <c r="X118" s="536">
        <f t="shared" si="35"/>
        <v>14</v>
      </c>
      <c r="Y118" s="605"/>
      <c r="Z118" s="536">
        <v>14</v>
      </c>
      <c r="AA118" s="538">
        <v>1019.9999999999983</v>
      </c>
      <c r="AB118" s="538">
        <v>72.857142857142733</v>
      </c>
      <c r="AC118" s="536">
        <f t="shared" si="36"/>
        <v>16</v>
      </c>
      <c r="AD118" s="605"/>
      <c r="AE118" s="536">
        <v>15</v>
      </c>
      <c r="AF118" s="538">
        <v>1363.1999999999962</v>
      </c>
      <c r="AG118" s="538">
        <v>90.87999999999974</v>
      </c>
      <c r="AH118" s="536">
        <f t="shared" si="37"/>
        <v>3</v>
      </c>
      <c r="AI118" s="605"/>
      <c r="AJ118" s="536">
        <v>15</v>
      </c>
      <c r="AK118" s="538">
        <v>1374.5454545454395</v>
      </c>
      <c r="AL118" s="538">
        <v>91.636363636362631</v>
      </c>
      <c r="AM118" s="536">
        <f t="shared" si="38"/>
        <v>3</v>
      </c>
      <c r="AN118" s="605"/>
      <c r="AO118" s="536">
        <v>14</v>
      </c>
      <c r="AP118" s="538">
        <v>1186.8749999999984</v>
      </c>
      <c r="AQ118" s="538">
        <v>84.776785714285595</v>
      </c>
      <c r="AR118" s="536">
        <f t="shared" si="39"/>
        <v>6</v>
      </c>
      <c r="AS118" s="605"/>
      <c r="AT118" s="536">
        <v>15</v>
      </c>
      <c r="AU118" s="538">
        <v>1373.076923076911</v>
      </c>
      <c r="AV118" s="538">
        <v>91.538461538460737</v>
      </c>
      <c r="AW118" s="536">
        <f t="shared" si="40"/>
        <v>3</v>
      </c>
      <c r="AX118" s="605"/>
      <c r="AZ118" s="521" t="e">
        <f t="shared" si="41"/>
        <v>#N/A</v>
      </c>
      <c r="BA118" s="605"/>
    </row>
    <row r="119" spans="2:53">
      <c r="B119" s="610"/>
      <c r="C119" s="305">
        <v>8</v>
      </c>
      <c r="D119" s="226" t="s">
        <v>783</v>
      </c>
      <c r="E119" s="182">
        <v>16</v>
      </c>
      <c r="F119" s="511">
        <v>1440</v>
      </c>
      <c r="G119" s="512">
        <v>90</v>
      </c>
      <c r="H119" s="668"/>
      <c r="I119" s="513">
        <f t="shared" si="31"/>
        <v>16</v>
      </c>
      <c r="J119" s="513">
        <f t="shared" si="32"/>
        <v>1307.8824492144468</v>
      </c>
      <c r="K119" s="200">
        <f t="shared" si="33"/>
        <v>81.742653075902922</v>
      </c>
      <c r="L119" s="621"/>
      <c r="M119" s="201">
        <f>RANK(K119, K$112:$K$141)</f>
        <v>7</v>
      </c>
      <c r="N119" s="604"/>
      <c r="O119" s="604"/>
      <c r="P119" s="536">
        <v>16</v>
      </c>
      <c r="Q119" s="538">
        <v>1374.9999999999991</v>
      </c>
      <c r="R119" s="538">
        <v>85.937499999999943</v>
      </c>
      <c r="S119" s="536">
        <f t="shared" si="34"/>
        <v>6</v>
      </c>
      <c r="T119" s="605"/>
      <c r="U119" s="536">
        <v>16</v>
      </c>
      <c r="V119" s="538">
        <v>1374.1935483870946</v>
      </c>
      <c r="W119" s="538">
        <v>85.887096774193409</v>
      </c>
      <c r="X119" s="536">
        <f t="shared" si="35"/>
        <v>6</v>
      </c>
      <c r="Y119" s="605"/>
      <c r="Z119" s="536">
        <v>16</v>
      </c>
      <c r="AA119" s="538">
        <v>1208.3333333333323</v>
      </c>
      <c r="AB119" s="538">
        <v>75.520833333333272</v>
      </c>
      <c r="AC119" s="536">
        <f t="shared" si="36"/>
        <v>11</v>
      </c>
      <c r="AD119" s="605"/>
      <c r="AE119" s="536">
        <v>16</v>
      </c>
      <c r="AF119" s="538">
        <v>1330.0000000000048</v>
      </c>
      <c r="AG119" s="538">
        <v>83.125000000000298</v>
      </c>
      <c r="AH119" s="536">
        <f t="shared" si="37"/>
        <v>6</v>
      </c>
      <c r="AI119" s="605"/>
      <c r="AJ119" s="536">
        <v>16</v>
      </c>
      <c r="AK119" s="538">
        <v>1318.2857142857192</v>
      </c>
      <c r="AL119" s="538">
        <v>82.392857142857451</v>
      </c>
      <c r="AM119" s="536">
        <f t="shared" si="38"/>
        <v>6</v>
      </c>
      <c r="AN119" s="605"/>
      <c r="AO119" s="536">
        <v>16</v>
      </c>
      <c r="AP119" s="538">
        <v>1207.8260869565217</v>
      </c>
      <c r="AQ119" s="538">
        <v>75.489130434782609</v>
      </c>
      <c r="AR119" s="536">
        <f t="shared" si="39"/>
        <v>14</v>
      </c>
      <c r="AS119" s="605"/>
      <c r="AT119" s="536">
        <v>16</v>
      </c>
      <c r="AU119" s="538">
        <v>1341.5384615384553</v>
      </c>
      <c r="AV119" s="538">
        <v>83.846153846153456</v>
      </c>
      <c r="AW119" s="536">
        <f t="shared" si="40"/>
        <v>6</v>
      </c>
      <c r="AX119" s="605"/>
      <c r="AZ119" s="521" t="e">
        <f t="shared" si="41"/>
        <v>#N/A</v>
      </c>
      <c r="BA119" s="605"/>
    </row>
    <row r="120" spans="2:53">
      <c r="B120" s="610"/>
      <c r="C120" s="305">
        <v>9</v>
      </c>
      <c r="D120" s="226" t="s">
        <v>784</v>
      </c>
      <c r="E120" s="182">
        <v>16</v>
      </c>
      <c r="F120" s="511">
        <v>1440</v>
      </c>
      <c r="G120" s="512">
        <v>90</v>
      </c>
      <c r="H120" s="668"/>
      <c r="I120" s="513">
        <f t="shared" si="31"/>
        <v>16.666666666666668</v>
      </c>
      <c r="J120" s="513">
        <f t="shared" si="32"/>
        <v>1180.1114272166858</v>
      </c>
      <c r="K120" s="200">
        <f t="shared" si="33"/>
        <v>70.846015326471715</v>
      </c>
      <c r="L120" s="621"/>
      <c r="M120" s="201">
        <f>RANK(K120, K$112:$K$141)</f>
        <v>20</v>
      </c>
      <c r="N120" s="604"/>
      <c r="O120" s="604"/>
      <c r="P120" s="536">
        <v>17</v>
      </c>
      <c r="Q120" s="538">
        <v>1212.6315789473674</v>
      </c>
      <c r="R120" s="538">
        <v>71.331269349845144</v>
      </c>
      <c r="S120" s="536">
        <f t="shared" si="34"/>
        <v>21</v>
      </c>
      <c r="T120" s="605"/>
      <c r="U120" s="536">
        <v>17</v>
      </c>
      <c r="V120" s="538">
        <v>1162.7027027027018</v>
      </c>
      <c r="W120" s="538">
        <v>68.394276629570697</v>
      </c>
      <c r="X120" s="536">
        <f t="shared" si="35"/>
        <v>23</v>
      </c>
      <c r="Y120" s="605"/>
      <c r="Z120" s="536">
        <v>16</v>
      </c>
      <c r="AA120" s="538">
        <v>1164.9999999999886</v>
      </c>
      <c r="AB120" s="538">
        <v>72.812499999999289</v>
      </c>
      <c r="AC120" s="536">
        <f t="shared" si="36"/>
        <v>17</v>
      </c>
      <c r="AD120" s="605"/>
      <c r="AE120" s="536" t="s">
        <v>822</v>
      </c>
      <c r="AF120" s="538" t="s">
        <v>822</v>
      </c>
      <c r="AG120" s="538" t="s">
        <v>822</v>
      </c>
      <c r="AH120" s="536" t="e">
        <f t="shared" si="37"/>
        <v>#VALUE!</v>
      </c>
      <c r="AI120" s="605"/>
      <c r="AJ120" s="536" t="s">
        <v>822</v>
      </c>
      <c r="AK120" s="538" t="s">
        <v>822</v>
      </c>
      <c r="AL120" s="538" t="s">
        <v>822</v>
      </c>
      <c r="AM120" s="536" t="e">
        <f t="shared" si="38"/>
        <v>#VALUE!</v>
      </c>
      <c r="AN120" s="605"/>
      <c r="AO120" s="536" t="s">
        <v>822</v>
      </c>
      <c r="AP120" s="538" t="s">
        <v>822</v>
      </c>
      <c r="AQ120" s="538" t="s">
        <v>822</v>
      </c>
      <c r="AR120" s="536" t="e">
        <f t="shared" si="39"/>
        <v>#VALUE!</v>
      </c>
      <c r="AS120" s="605"/>
      <c r="AT120" s="536" t="s">
        <v>822</v>
      </c>
      <c r="AU120" s="538" t="s">
        <v>822</v>
      </c>
      <c r="AV120" s="538" t="s">
        <v>822</v>
      </c>
      <c r="AW120" s="536" t="e">
        <f t="shared" si="40"/>
        <v>#VALUE!</v>
      </c>
      <c r="AX120" s="605"/>
      <c r="AZ120" s="521" t="e">
        <f t="shared" si="41"/>
        <v>#N/A</v>
      </c>
      <c r="BA120" s="605"/>
    </row>
    <row r="121" spans="2:53">
      <c r="B121" s="610"/>
      <c r="C121" s="305">
        <v>10</v>
      </c>
      <c r="D121" s="226" t="s">
        <v>785</v>
      </c>
      <c r="E121" s="182">
        <v>18</v>
      </c>
      <c r="F121" s="511">
        <v>1636</v>
      </c>
      <c r="G121" s="512">
        <v>90.9</v>
      </c>
      <c r="H121" s="668"/>
      <c r="I121" s="513">
        <f t="shared" si="31"/>
        <v>18</v>
      </c>
      <c r="J121" s="513">
        <f t="shared" si="32"/>
        <v>1389.9431975637599</v>
      </c>
      <c r="K121" s="200">
        <f t="shared" si="33"/>
        <v>77.219066531319996</v>
      </c>
      <c r="L121" s="621"/>
      <c r="M121" s="201">
        <f>RANK(K121, K$112:$K$141)</f>
        <v>12</v>
      </c>
      <c r="N121" s="604"/>
      <c r="O121" s="604"/>
      <c r="P121" s="536">
        <v>18</v>
      </c>
      <c r="Q121" s="538">
        <v>1456.7213114754113</v>
      </c>
      <c r="R121" s="538">
        <v>80.928961748633967</v>
      </c>
      <c r="S121" s="536">
        <f t="shared" si="34"/>
        <v>11</v>
      </c>
      <c r="T121" s="605"/>
      <c r="U121" s="536">
        <v>18</v>
      </c>
      <c r="V121" s="538">
        <v>1430.7692307692316</v>
      </c>
      <c r="W121" s="538">
        <v>79.487179487179532</v>
      </c>
      <c r="X121" s="536">
        <f t="shared" si="35"/>
        <v>12</v>
      </c>
      <c r="Y121" s="605"/>
      <c r="Z121" s="536">
        <v>18</v>
      </c>
      <c r="AA121" s="538">
        <v>1354.8000000000004</v>
      </c>
      <c r="AB121" s="538">
        <v>75.266666666666694</v>
      </c>
      <c r="AC121" s="536">
        <f t="shared" si="36"/>
        <v>13</v>
      </c>
      <c r="AD121" s="605"/>
      <c r="AE121" s="536">
        <v>18</v>
      </c>
      <c r="AF121" s="538">
        <v>1348.4745762711877</v>
      </c>
      <c r="AG121" s="538">
        <v>74.91525423728821</v>
      </c>
      <c r="AH121" s="536">
        <f t="shared" si="37"/>
        <v>16</v>
      </c>
      <c r="AI121" s="605"/>
      <c r="AJ121" s="536">
        <v>18</v>
      </c>
      <c r="AK121" s="538">
        <v>1376.9491525423741</v>
      </c>
      <c r="AL121" s="538">
        <v>76.497175141243005</v>
      </c>
      <c r="AM121" s="536">
        <f t="shared" si="38"/>
        <v>12</v>
      </c>
      <c r="AN121" s="605"/>
      <c r="AO121" s="536">
        <v>18</v>
      </c>
      <c r="AP121" s="538">
        <v>1377.2727272727286</v>
      </c>
      <c r="AQ121" s="538">
        <v>76.515151515151587</v>
      </c>
      <c r="AR121" s="536">
        <f t="shared" si="39"/>
        <v>11</v>
      </c>
      <c r="AS121" s="605"/>
      <c r="AT121" s="536">
        <v>18</v>
      </c>
      <c r="AU121" s="538">
        <v>1384.6153846153861</v>
      </c>
      <c r="AV121" s="538">
        <v>76.923076923077005</v>
      </c>
      <c r="AW121" s="536">
        <f t="shared" si="40"/>
        <v>14</v>
      </c>
      <c r="AX121" s="605"/>
      <c r="AZ121" s="521" t="e">
        <f t="shared" si="41"/>
        <v>#N/A</v>
      </c>
      <c r="BA121" s="605"/>
    </row>
    <row r="122" spans="2:53">
      <c r="B122" s="610"/>
      <c r="C122" s="305">
        <v>11</v>
      </c>
      <c r="D122" s="226" t="s">
        <v>786</v>
      </c>
      <c r="E122" s="182">
        <v>18</v>
      </c>
      <c r="F122" s="511">
        <v>1636</v>
      </c>
      <c r="G122" s="512">
        <v>90.9</v>
      </c>
      <c r="H122" s="668"/>
      <c r="I122" s="513">
        <f t="shared" si="31"/>
        <v>18</v>
      </c>
      <c r="J122" s="513">
        <f t="shared" si="32"/>
        <v>1380.2801120448178</v>
      </c>
      <c r="K122" s="200">
        <f t="shared" si="33"/>
        <v>76.682228446934317</v>
      </c>
      <c r="L122" s="621"/>
      <c r="M122" s="201">
        <f>RANK(K122, K$112:$K$141)</f>
        <v>15</v>
      </c>
      <c r="N122" s="604"/>
      <c r="O122" s="604"/>
      <c r="P122" s="536">
        <v>18</v>
      </c>
      <c r="Q122" s="538">
        <v>1428.5714285714282</v>
      </c>
      <c r="R122" s="538">
        <v>79.365079365079339</v>
      </c>
      <c r="S122" s="536">
        <f t="shared" si="34"/>
        <v>14</v>
      </c>
      <c r="T122" s="605"/>
      <c r="U122" s="536">
        <v>18</v>
      </c>
      <c r="V122" s="538">
        <v>1421.5384615384608</v>
      </c>
      <c r="W122" s="538">
        <v>78.974358974358935</v>
      </c>
      <c r="X122" s="536">
        <f t="shared" si="35"/>
        <v>13</v>
      </c>
      <c r="Y122" s="605"/>
      <c r="Z122" s="536">
        <v>18</v>
      </c>
      <c r="AA122" s="538">
        <v>1358.4615384615377</v>
      </c>
      <c r="AB122" s="538">
        <v>75.470085470085422</v>
      </c>
      <c r="AC122" s="536">
        <f t="shared" si="36"/>
        <v>12</v>
      </c>
      <c r="AD122" s="605"/>
      <c r="AE122" s="536">
        <v>18</v>
      </c>
      <c r="AF122" s="538">
        <v>1366.6666666666667</v>
      </c>
      <c r="AG122" s="538">
        <v>75.925925925925924</v>
      </c>
      <c r="AH122" s="536">
        <f t="shared" si="37"/>
        <v>12</v>
      </c>
      <c r="AI122" s="605"/>
      <c r="AJ122" s="536">
        <v>18</v>
      </c>
      <c r="AK122" s="538">
        <v>1371.4285714285711</v>
      </c>
      <c r="AL122" s="538">
        <v>76.190476190476176</v>
      </c>
      <c r="AM122" s="536">
        <f t="shared" si="38"/>
        <v>14</v>
      </c>
      <c r="AN122" s="605"/>
      <c r="AO122" s="536">
        <v>18</v>
      </c>
      <c r="AP122" s="538">
        <v>1354.1176470588241</v>
      </c>
      <c r="AQ122" s="538">
        <v>75.228758169934679</v>
      </c>
      <c r="AR122" s="536">
        <f t="shared" si="39"/>
        <v>15</v>
      </c>
      <c r="AS122" s="605"/>
      <c r="AT122" s="536">
        <v>18</v>
      </c>
      <c r="AU122" s="538">
        <v>1361.1764705882358</v>
      </c>
      <c r="AV122" s="538">
        <v>75.620915032679761</v>
      </c>
      <c r="AW122" s="536">
        <f t="shared" si="40"/>
        <v>15</v>
      </c>
      <c r="AX122" s="605"/>
      <c r="AZ122" s="521" t="e">
        <f t="shared" si="41"/>
        <v>#N/A</v>
      </c>
      <c r="BA122" s="605"/>
    </row>
    <row r="123" spans="2:53">
      <c r="B123" s="610"/>
      <c r="C123" s="305">
        <v>12</v>
      </c>
      <c r="D123" s="226" t="s">
        <v>355</v>
      </c>
      <c r="E123" s="182">
        <v>17</v>
      </c>
      <c r="F123" s="511">
        <v>1500</v>
      </c>
      <c r="G123" s="512">
        <v>88.2</v>
      </c>
      <c r="H123" s="668"/>
      <c r="I123" s="513">
        <f t="shared" si="31"/>
        <v>17</v>
      </c>
      <c r="J123" s="513">
        <f t="shared" si="32"/>
        <v>1353.3738592234824</v>
      </c>
      <c r="K123" s="200">
        <f t="shared" si="33"/>
        <v>79.610227013146044</v>
      </c>
      <c r="L123" s="621"/>
      <c r="M123" s="201">
        <f>RANK(K123, K$112:$K$141)</f>
        <v>11</v>
      </c>
      <c r="N123" s="604"/>
      <c r="O123" s="604"/>
      <c r="P123" s="536">
        <v>17</v>
      </c>
      <c r="Q123" s="538">
        <v>1387.8947368421043</v>
      </c>
      <c r="R123" s="538">
        <v>81.640866873064965</v>
      </c>
      <c r="S123" s="536">
        <f t="shared" si="34"/>
        <v>10</v>
      </c>
      <c r="T123" s="605"/>
      <c r="U123" s="536">
        <v>17</v>
      </c>
      <c r="V123" s="538">
        <v>1394.5454545454529</v>
      </c>
      <c r="W123" s="538">
        <v>82.032085561497226</v>
      </c>
      <c r="X123" s="536">
        <f t="shared" si="35"/>
        <v>9</v>
      </c>
      <c r="Y123" s="605"/>
      <c r="Z123" s="536">
        <v>17</v>
      </c>
      <c r="AA123" s="538">
        <v>1302.8571428571418</v>
      </c>
      <c r="AB123" s="538">
        <v>76.638655462184815</v>
      </c>
      <c r="AC123" s="536">
        <f t="shared" si="36"/>
        <v>10</v>
      </c>
      <c r="AD123" s="605"/>
      <c r="AE123" s="536">
        <v>17</v>
      </c>
      <c r="AF123" s="538">
        <v>1358.5714285714282</v>
      </c>
      <c r="AG123" s="538">
        <v>79.915966386554601</v>
      </c>
      <c r="AH123" s="536">
        <f t="shared" si="37"/>
        <v>7</v>
      </c>
      <c r="AI123" s="605"/>
      <c r="AJ123" s="536">
        <v>17</v>
      </c>
      <c r="AK123" s="538">
        <v>1355.3846153846146</v>
      </c>
      <c r="AL123" s="538">
        <v>79.728506787330275</v>
      </c>
      <c r="AM123" s="536">
        <f t="shared" si="38"/>
        <v>9</v>
      </c>
      <c r="AN123" s="605"/>
      <c r="AO123" s="536">
        <v>17</v>
      </c>
      <c r="AP123" s="538">
        <v>1308</v>
      </c>
      <c r="AQ123" s="538">
        <v>76.941176470588232</v>
      </c>
      <c r="AR123" s="536">
        <f t="shared" si="39"/>
        <v>10</v>
      </c>
      <c r="AS123" s="605"/>
      <c r="AT123" s="536">
        <v>17</v>
      </c>
      <c r="AU123" s="538">
        <v>1366.3636363636365</v>
      </c>
      <c r="AV123" s="538">
        <v>80.37433155080214</v>
      </c>
      <c r="AW123" s="536">
        <f t="shared" si="40"/>
        <v>11</v>
      </c>
      <c r="AX123" s="605"/>
      <c r="AZ123" s="521" t="e">
        <f t="shared" si="41"/>
        <v>#N/A</v>
      </c>
      <c r="BA123" s="605"/>
    </row>
    <row r="124" spans="2:53">
      <c r="B124" s="610"/>
      <c r="C124" s="305">
        <v>13</v>
      </c>
      <c r="D124" s="226" t="s">
        <v>665</v>
      </c>
      <c r="E124" s="182">
        <v>20</v>
      </c>
      <c r="F124" s="511">
        <v>1440</v>
      </c>
      <c r="G124" s="512">
        <v>72</v>
      </c>
      <c r="H124" s="668"/>
      <c r="I124" s="513">
        <f t="shared" si="31"/>
        <v>20</v>
      </c>
      <c r="J124" s="513">
        <f t="shared" si="32"/>
        <v>1300.3571666351106</v>
      </c>
      <c r="K124" s="200">
        <f t="shared" si="33"/>
        <v>65.017858331755519</v>
      </c>
      <c r="L124" s="621"/>
      <c r="M124" s="201">
        <f>RANK(K124, K$112:$K$141)</f>
        <v>25</v>
      </c>
      <c r="N124" s="604"/>
      <c r="O124" s="604"/>
      <c r="P124" s="536">
        <v>20</v>
      </c>
      <c r="Q124" s="538">
        <v>1364.7761194029833</v>
      </c>
      <c r="R124" s="538">
        <v>68.238805970149173</v>
      </c>
      <c r="S124" s="536">
        <f t="shared" si="34"/>
        <v>24</v>
      </c>
      <c r="T124" s="605"/>
      <c r="U124" s="536">
        <v>20</v>
      </c>
      <c r="V124" s="538">
        <v>1324.6153846153861</v>
      </c>
      <c r="W124" s="538">
        <v>66.230769230769312</v>
      </c>
      <c r="X124" s="536">
        <f t="shared" si="35"/>
        <v>24</v>
      </c>
      <c r="Y124" s="605"/>
      <c r="Z124" s="536">
        <v>20</v>
      </c>
      <c r="AA124" s="538">
        <v>1280.9523809523821</v>
      </c>
      <c r="AB124" s="538">
        <v>64.047619047619108</v>
      </c>
      <c r="AC124" s="536">
        <f t="shared" si="36"/>
        <v>25</v>
      </c>
      <c r="AD124" s="605"/>
      <c r="AE124" s="536">
        <v>20</v>
      </c>
      <c r="AF124" s="538">
        <v>1270.2857142857129</v>
      </c>
      <c r="AG124" s="538">
        <v>63.514285714285641</v>
      </c>
      <c r="AH124" s="536">
        <f t="shared" si="37"/>
        <v>24</v>
      </c>
      <c r="AI124" s="605"/>
      <c r="AJ124" s="536">
        <v>20</v>
      </c>
      <c r="AK124" s="538">
        <v>1288.4615384615379</v>
      </c>
      <c r="AL124" s="538">
        <v>64.423076923076891</v>
      </c>
      <c r="AM124" s="536">
        <f t="shared" si="38"/>
        <v>24</v>
      </c>
      <c r="AN124" s="605"/>
      <c r="AO124" s="536">
        <v>20</v>
      </c>
      <c r="AP124" s="538">
        <v>1280.2325581395348</v>
      </c>
      <c r="AQ124" s="538">
        <v>64.011627906976742</v>
      </c>
      <c r="AR124" s="536">
        <f t="shared" si="39"/>
        <v>24</v>
      </c>
      <c r="AS124" s="605"/>
      <c r="AT124" s="536">
        <v>20</v>
      </c>
      <c r="AU124" s="538">
        <v>1293.1764705882351</v>
      </c>
      <c r="AV124" s="538">
        <v>64.658823529411762</v>
      </c>
      <c r="AW124" s="536">
        <f t="shared" si="40"/>
        <v>24</v>
      </c>
      <c r="AX124" s="605"/>
      <c r="AZ124" s="521" t="e">
        <f t="shared" si="41"/>
        <v>#N/A</v>
      </c>
      <c r="BA124" s="605"/>
    </row>
    <row r="125" spans="2:53">
      <c r="B125" s="610"/>
      <c r="C125" s="305">
        <v>14</v>
      </c>
      <c r="D125" s="226" t="s">
        <v>370</v>
      </c>
      <c r="E125" s="182">
        <v>14</v>
      </c>
      <c r="F125" s="511">
        <v>1440</v>
      </c>
      <c r="G125" s="512">
        <v>102.9</v>
      </c>
      <c r="H125" s="668"/>
      <c r="I125" s="513">
        <f t="shared" si="31"/>
        <v>15</v>
      </c>
      <c r="J125" s="513">
        <f t="shared" si="32"/>
        <v>1298.3800691154372</v>
      </c>
      <c r="K125" s="200">
        <f t="shared" si="33"/>
        <v>86.558671274362482</v>
      </c>
      <c r="L125" s="621"/>
      <c r="M125" s="201">
        <f>RANK(K125, K$112:$K$141)</f>
        <v>4</v>
      </c>
      <c r="N125" s="604"/>
      <c r="O125" s="604"/>
      <c r="P125" s="536">
        <v>15</v>
      </c>
      <c r="Q125" s="538">
        <v>1367.5862068965528</v>
      </c>
      <c r="R125" s="538">
        <v>91.172413793103516</v>
      </c>
      <c r="S125" s="536">
        <f t="shared" si="34"/>
        <v>4</v>
      </c>
      <c r="T125" s="605"/>
      <c r="U125" s="536">
        <v>15</v>
      </c>
      <c r="V125" s="538">
        <v>1343.3333333333339</v>
      </c>
      <c r="W125" s="538">
        <v>89.5555555555556</v>
      </c>
      <c r="X125" s="536">
        <f t="shared" si="35"/>
        <v>5</v>
      </c>
      <c r="Y125" s="605"/>
      <c r="Z125" s="536">
        <v>15</v>
      </c>
      <c r="AA125" s="538">
        <v>1279.2452830188686</v>
      </c>
      <c r="AB125" s="538">
        <v>85.283018867924568</v>
      </c>
      <c r="AC125" s="536">
        <f t="shared" si="36"/>
        <v>3</v>
      </c>
      <c r="AD125" s="605"/>
      <c r="AE125" s="536">
        <v>15</v>
      </c>
      <c r="AF125" s="538">
        <v>1275.0000000000014</v>
      </c>
      <c r="AG125" s="538">
        <v>85.000000000000085</v>
      </c>
      <c r="AH125" s="536">
        <f t="shared" si="37"/>
        <v>5</v>
      </c>
      <c r="AI125" s="605"/>
      <c r="AJ125" s="536">
        <v>15</v>
      </c>
      <c r="AK125" s="538">
        <v>1279.6721311475421</v>
      </c>
      <c r="AL125" s="538">
        <v>85.311475409836149</v>
      </c>
      <c r="AM125" s="536">
        <f t="shared" si="38"/>
        <v>5</v>
      </c>
      <c r="AN125" s="605"/>
      <c r="AO125" s="536">
        <v>15</v>
      </c>
      <c r="AP125" s="538">
        <v>1316.4705882352923</v>
      </c>
      <c r="AQ125" s="538">
        <v>87.764705882352828</v>
      </c>
      <c r="AR125" s="536">
        <f t="shared" si="39"/>
        <v>4</v>
      </c>
      <c r="AS125" s="605"/>
      <c r="AT125" s="536">
        <v>15</v>
      </c>
      <c r="AU125" s="538">
        <v>1227.3529411764689</v>
      </c>
      <c r="AV125" s="538">
        <v>81.823529411764596</v>
      </c>
      <c r="AW125" s="536">
        <f t="shared" si="40"/>
        <v>7</v>
      </c>
      <c r="AX125" s="605"/>
      <c r="AZ125" s="521" t="e">
        <f t="shared" si="41"/>
        <v>#N/A</v>
      </c>
      <c r="BA125" s="605"/>
    </row>
    <row r="126" spans="2:53">
      <c r="B126" s="610"/>
      <c r="C126" s="305">
        <v>15</v>
      </c>
      <c r="D126" s="226" t="s">
        <v>347</v>
      </c>
      <c r="E126" s="182">
        <v>19</v>
      </c>
      <c r="F126" s="511">
        <v>1440</v>
      </c>
      <c r="G126" s="512">
        <v>75.8</v>
      </c>
      <c r="H126" s="668"/>
      <c r="I126" s="513">
        <f t="shared" si="31"/>
        <v>19</v>
      </c>
      <c r="J126" s="513">
        <f t="shared" si="32"/>
        <v>1314.2998978459673</v>
      </c>
      <c r="K126" s="200">
        <f t="shared" si="33"/>
        <v>69.173678833998281</v>
      </c>
      <c r="L126" s="621"/>
      <c r="M126" s="201">
        <f>RANK(K126, K$112:$K$141)</f>
        <v>22</v>
      </c>
      <c r="N126" s="604"/>
      <c r="O126" s="604"/>
      <c r="P126" s="536">
        <v>19</v>
      </c>
      <c r="Q126" s="538">
        <v>1353.1764705882349</v>
      </c>
      <c r="R126" s="538">
        <v>71.219814241486048</v>
      </c>
      <c r="S126" s="536">
        <f t="shared" si="34"/>
        <v>22</v>
      </c>
      <c r="T126" s="605"/>
      <c r="U126" s="536">
        <v>19</v>
      </c>
      <c r="V126" s="538">
        <v>1356.4864864864855</v>
      </c>
      <c r="W126" s="538">
        <v>71.394025604551871</v>
      </c>
      <c r="X126" s="536">
        <f t="shared" si="35"/>
        <v>20</v>
      </c>
      <c r="Y126" s="605"/>
      <c r="Z126" s="536">
        <v>19</v>
      </c>
      <c r="AA126" s="538">
        <v>1286.0869565217379</v>
      </c>
      <c r="AB126" s="538">
        <v>67.688787185354627</v>
      </c>
      <c r="AC126" s="536">
        <f t="shared" si="36"/>
        <v>23</v>
      </c>
      <c r="AD126" s="605"/>
      <c r="AE126" s="536">
        <v>19</v>
      </c>
      <c r="AF126" s="538">
        <v>1291.4634146341459</v>
      </c>
      <c r="AG126" s="538">
        <v>67.971758664955047</v>
      </c>
      <c r="AH126" s="536">
        <f t="shared" si="37"/>
        <v>21</v>
      </c>
      <c r="AI126" s="605"/>
      <c r="AJ126" s="536">
        <v>19</v>
      </c>
      <c r="AK126" s="538">
        <v>1288.6363636363635</v>
      </c>
      <c r="AL126" s="538">
        <v>67.822966507177028</v>
      </c>
      <c r="AM126" s="536">
        <f t="shared" si="38"/>
        <v>22</v>
      </c>
      <c r="AN126" s="605"/>
      <c r="AO126" s="536">
        <v>19</v>
      </c>
      <c r="AP126" s="538">
        <v>1318.1443298969077</v>
      </c>
      <c r="AQ126" s="538">
        <v>69.376017362995142</v>
      </c>
      <c r="AR126" s="536">
        <f t="shared" si="39"/>
        <v>21</v>
      </c>
      <c r="AS126" s="605"/>
      <c r="AT126" s="536">
        <v>19</v>
      </c>
      <c r="AU126" s="538">
        <v>1306.1052631578948</v>
      </c>
      <c r="AV126" s="538">
        <v>68.742382271468145</v>
      </c>
      <c r="AW126" s="536">
        <f t="shared" si="40"/>
        <v>20</v>
      </c>
      <c r="AX126" s="605"/>
      <c r="AZ126" s="521" t="e">
        <f t="shared" si="41"/>
        <v>#N/A</v>
      </c>
      <c r="BA126" s="605"/>
    </row>
    <row r="127" spans="2:53">
      <c r="B127" s="610"/>
      <c r="C127" s="305">
        <v>16</v>
      </c>
      <c r="D127" s="226" t="s">
        <v>368</v>
      </c>
      <c r="E127" s="182">
        <v>19</v>
      </c>
      <c r="F127" s="511">
        <v>1440</v>
      </c>
      <c r="G127" s="512">
        <v>75.8</v>
      </c>
      <c r="H127" s="668"/>
      <c r="I127" s="513">
        <f t="shared" si="31"/>
        <v>19</v>
      </c>
      <c r="J127" s="513">
        <f t="shared" si="32"/>
        <v>1324.2186523043069</v>
      </c>
      <c r="K127" s="200">
        <f t="shared" si="33"/>
        <v>69.695718542331932</v>
      </c>
      <c r="L127" s="621"/>
      <c r="M127" s="201">
        <f>RANK(K127, K$112:$K$141)</f>
        <v>21</v>
      </c>
      <c r="N127" s="604"/>
      <c r="O127" s="604"/>
      <c r="P127" s="536">
        <v>19</v>
      </c>
      <c r="Q127" s="538">
        <v>1320.0000000000014</v>
      </c>
      <c r="R127" s="538">
        <v>69.473684210526386</v>
      </c>
      <c r="S127" s="536">
        <f t="shared" si="34"/>
        <v>23</v>
      </c>
      <c r="T127" s="605"/>
      <c r="U127" s="536">
        <v>19</v>
      </c>
      <c r="V127" s="538">
        <v>1333.9285714285725</v>
      </c>
      <c r="W127" s="538">
        <v>70.206766917293294</v>
      </c>
      <c r="X127" s="536">
        <f t="shared" si="35"/>
        <v>22</v>
      </c>
      <c r="Y127" s="605"/>
      <c r="Z127" s="536">
        <v>19</v>
      </c>
      <c r="AA127" s="538">
        <v>1291.1111111111118</v>
      </c>
      <c r="AB127" s="538">
        <v>67.953216374269047</v>
      </c>
      <c r="AC127" s="536">
        <f t="shared" si="36"/>
        <v>21</v>
      </c>
      <c r="AD127" s="605"/>
      <c r="AE127" s="536">
        <v>19</v>
      </c>
      <c r="AF127" s="538">
        <v>1334.0000000000014</v>
      </c>
      <c r="AG127" s="538">
        <v>70.210526315789551</v>
      </c>
      <c r="AH127" s="536">
        <f t="shared" si="37"/>
        <v>20</v>
      </c>
      <c r="AI127" s="605"/>
      <c r="AJ127" s="536">
        <v>19</v>
      </c>
      <c r="AK127" s="538">
        <v>1354.8387096774204</v>
      </c>
      <c r="AL127" s="538">
        <v>71.307300509337921</v>
      </c>
      <c r="AM127" s="536">
        <f t="shared" si="38"/>
        <v>19</v>
      </c>
      <c r="AN127" s="605"/>
      <c r="AO127" s="536">
        <v>19</v>
      </c>
      <c r="AP127" s="538">
        <v>1338.2608695652159</v>
      </c>
      <c r="AQ127" s="538">
        <v>70.434782608695571</v>
      </c>
      <c r="AR127" s="536">
        <f t="shared" si="39"/>
        <v>19</v>
      </c>
      <c r="AS127" s="605"/>
      <c r="AT127" s="536">
        <v>19</v>
      </c>
      <c r="AU127" s="538">
        <v>1297.3913043478249</v>
      </c>
      <c r="AV127" s="538">
        <v>68.283752860411838</v>
      </c>
      <c r="AW127" s="536">
        <f t="shared" si="40"/>
        <v>21</v>
      </c>
      <c r="AX127" s="605"/>
      <c r="AZ127" s="521" t="e">
        <f t="shared" si="41"/>
        <v>#N/A</v>
      </c>
      <c r="BA127" s="605"/>
    </row>
    <row r="128" spans="2:53">
      <c r="B128" s="610"/>
      <c r="C128" s="305">
        <v>17</v>
      </c>
      <c r="D128" s="226" t="s">
        <v>787</v>
      </c>
      <c r="E128" s="182">
        <v>19</v>
      </c>
      <c r="F128" s="511">
        <v>1500</v>
      </c>
      <c r="G128" s="512">
        <v>78.900000000000006</v>
      </c>
      <c r="H128" s="668"/>
      <c r="I128" s="513">
        <f t="shared" si="31"/>
        <v>19</v>
      </c>
      <c r="J128" s="513">
        <f t="shared" si="32"/>
        <v>1360.0817796883762</v>
      </c>
      <c r="K128" s="200">
        <f t="shared" si="33"/>
        <v>71.583251562546096</v>
      </c>
      <c r="L128" s="621"/>
      <c r="M128" s="201">
        <f>RANK(K128, K$112:$K$141)</f>
        <v>19</v>
      </c>
      <c r="N128" s="604"/>
      <c r="O128" s="604"/>
      <c r="P128" s="536">
        <v>19</v>
      </c>
      <c r="Q128" s="538">
        <v>1376.6666666666656</v>
      </c>
      <c r="R128" s="538">
        <v>72.456140350877135</v>
      </c>
      <c r="S128" s="536">
        <f t="shared" si="34"/>
        <v>19</v>
      </c>
      <c r="T128" s="605"/>
      <c r="U128" s="536">
        <v>19</v>
      </c>
      <c r="V128" s="538">
        <v>1414.838709677417</v>
      </c>
      <c r="W128" s="538">
        <v>74.465195246179846</v>
      </c>
      <c r="X128" s="536">
        <f t="shared" si="35"/>
        <v>19</v>
      </c>
      <c r="Y128" s="605"/>
      <c r="Z128" s="536">
        <v>19</v>
      </c>
      <c r="AA128" s="538">
        <v>1321.8749999999982</v>
      </c>
      <c r="AB128" s="538">
        <v>69.572368421052531</v>
      </c>
      <c r="AC128" s="536">
        <f t="shared" si="36"/>
        <v>19</v>
      </c>
      <c r="AD128" s="605"/>
      <c r="AE128" s="536">
        <v>19</v>
      </c>
      <c r="AF128" s="538">
        <v>1360.5405405405395</v>
      </c>
      <c r="AG128" s="538">
        <v>71.607396870554709</v>
      </c>
      <c r="AH128" s="536">
        <f t="shared" si="37"/>
        <v>19</v>
      </c>
      <c r="AI128" s="605"/>
      <c r="AJ128" s="536">
        <v>19</v>
      </c>
      <c r="AK128" s="538">
        <v>1373.3333333333323</v>
      </c>
      <c r="AL128" s="538">
        <v>72.280701754385916</v>
      </c>
      <c r="AM128" s="536">
        <f t="shared" si="38"/>
        <v>18</v>
      </c>
      <c r="AN128" s="605"/>
      <c r="AO128" s="536">
        <v>19</v>
      </c>
      <c r="AP128" s="538">
        <v>1326.9767441860463</v>
      </c>
      <c r="AQ128" s="538">
        <v>69.840881272949801</v>
      </c>
      <c r="AR128" s="536">
        <f t="shared" si="39"/>
        <v>20</v>
      </c>
      <c r="AS128" s="605"/>
      <c r="AT128" s="536">
        <v>19</v>
      </c>
      <c r="AU128" s="538">
        <v>1346.3414634146336</v>
      </c>
      <c r="AV128" s="538">
        <v>70.860077021822818</v>
      </c>
      <c r="AW128" s="536">
        <f t="shared" si="40"/>
        <v>19</v>
      </c>
      <c r="AX128" s="605"/>
      <c r="AZ128" s="521" t="e">
        <f t="shared" si="41"/>
        <v>#N/A</v>
      </c>
      <c r="BA128" s="605"/>
    </row>
    <row r="129" spans="2:53">
      <c r="B129" s="610"/>
      <c r="C129" s="305">
        <v>18</v>
      </c>
      <c r="D129" s="226" t="s">
        <v>807</v>
      </c>
      <c r="E129" s="182">
        <v>18</v>
      </c>
      <c r="F129" s="511">
        <v>1500</v>
      </c>
      <c r="G129" s="512">
        <v>83.3</v>
      </c>
      <c r="H129" s="668"/>
      <c r="I129" s="513">
        <f t="shared" si="31"/>
        <v>18</v>
      </c>
      <c r="J129" s="513">
        <f t="shared" si="32"/>
        <v>1320.0285333380209</v>
      </c>
      <c r="K129" s="200">
        <f t="shared" si="33"/>
        <v>73.334918518778949</v>
      </c>
      <c r="L129" s="621"/>
      <c r="M129" s="201">
        <f>RANK(K129, K$112:$K$141)</f>
        <v>18</v>
      </c>
      <c r="N129" s="604"/>
      <c r="O129" s="604"/>
      <c r="P129" s="536">
        <v>18</v>
      </c>
      <c r="Q129" s="538">
        <v>1329.3975903614453</v>
      </c>
      <c r="R129" s="538">
        <v>73.855421686746965</v>
      </c>
      <c r="S129" s="536">
        <f t="shared" si="34"/>
        <v>18</v>
      </c>
      <c r="T129" s="605"/>
      <c r="U129" s="536">
        <v>18</v>
      </c>
      <c r="V129" s="538">
        <v>1365.9740259740252</v>
      </c>
      <c r="W129" s="538">
        <v>75.887445887445836</v>
      </c>
      <c r="X129" s="536">
        <f t="shared" si="35"/>
        <v>17</v>
      </c>
      <c r="Y129" s="605"/>
      <c r="Z129" s="536">
        <v>18</v>
      </c>
      <c r="AA129" s="538">
        <v>1266.8354430379741</v>
      </c>
      <c r="AB129" s="538">
        <v>70.379746835443001</v>
      </c>
      <c r="AC129" s="536">
        <f t="shared" si="36"/>
        <v>18</v>
      </c>
      <c r="AD129" s="605"/>
      <c r="AE129" s="536">
        <v>18</v>
      </c>
      <c r="AF129" s="538">
        <v>1359.2307692307686</v>
      </c>
      <c r="AG129" s="538">
        <v>75.512820512820483</v>
      </c>
      <c r="AH129" s="536">
        <f t="shared" si="37"/>
        <v>13</v>
      </c>
      <c r="AI129" s="605"/>
      <c r="AJ129" s="536">
        <v>18</v>
      </c>
      <c r="AK129" s="538">
        <v>1281.3333333333333</v>
      </c>
      <c r="AL129" s="538">
        <v>71.185185185185176</v>
      </c>
      <c r="AM129" s="536">
        <f t="shared" si="38"/>
        <v>20</v>
      </c>
      <c r="AN129" s="605"/>
      <c r="AO129" s="536">
        <v>18</v>
      </c>
      <c r="AP129" s="538">
        <v>1311.4285714285718</v>
      </c>
      <c r="AQ129" s="538">
        <v>72.857142857142875</v>
      </c>
      <c r="AR129" s="536">
        <f t="shared" si="39"/>
        <v>17</v>
      </c>
      <c r="AS129" s="605"/>
      <c r="AT129" s="536">
        <v>18</v>
      </c>
      <c r="AU129" s="538">
        <v>1326.0000000000282</v>
      </c>
      <c r="AV129" s="538">
        <v>73.666666666668235</v>
      </c>
      <c r="AW129" s="536">
        <f t="shared" si="40"/>
        <v>17</v>
      </c>
      <c r="AX129" s="605"/>
      <c r="AZ129" s="521" t="e">
        <f t="shared" si="41"/>
        <v>#N/A</v>
      </c>
      <c r="BA129" s="605"/>
    </row>
    <row r="130" spans="2:53">
      <c r="B130" s="610"/>
      <c r="C130" s="305">
        <v>19</v>
      </c>
      <c r="D130" s="226" t="s">
        <v>642</v>
      </c>
      <c r="E130" s="182">
        <v>17</v>
      </c>
      <c r="F130" s="511">
        <v>1440</v>
      </c>
      <c r="G130" s="512">
        <v>84.7</v>
      </c>
      <c r="H130" s="668"/>
      <c r="I130" s="513">
        <f t="shared" si="31"/>
        <v>17</v>
      </c>
      <c r="J130" s="513">
        <f t="shared" si="32"/>
        <v>1306.8456078083407</v>
      </c>
      <c r="K130" s="200">
        <f t="shared" si="33"/>
        <v>76.873271047549466</v>
      </c>
      <c r="L130" s="621"/>
      <c r="M130" s="201">
        <f>RANK(K130, K$112:$K$141)</f>
        <v>14</v>
      </c>
      <c r="N130" s="604"/>
      <c r="O130" s="604"/>
      <c r="P130" s="536">
        <v>17</v>
      </c>
      <c r="Q130" s="538">
        <v>1365</v>
      </c>
      <c r="R130" s="538">
        <v>80.294117647058826</v>
      </c>
      <c r="S130" s="536">
        <f t="shared" si="34"/>
        <v>13</v>
      </c>
      <c r="T130" s="605"/>
      <c r="U130" s="536">
        <v>17</v>
      </c>
      <c r="V130" s="538">
        <v>1312.1739130434783</v>
      </c>
      <c r="W130" s="538">
        <v>77.186700767263432</v>
      </c>
      <c r="X130" s="536">
        <f t="shared" si="35"/>
        <v>15</v>
      </c>
      <c r="Y130" s="605"/>
      <c r="Z130" s="536">
        <v>17</v>
      </c>
      <c r="AA130" s="538">
        <v>1305.7142857142853</v>
      </c>
      <c r="AB130" s="538">
        <v>76.806722689075613</v>
      </c>
      <c r="AC130" s="536">
        <f t="shared" si="36"/>
        <v>8</v>
      </c>
      <c r="AD130" s="605"/>
      <c r="AE130" s="536">
        <v>17</v>
      </c>
      <c r="AF130" s="538">
        <v>1280.4255319148938</v>
      </c>
      <c r="AG130" s="538">
        <v>75.319148936170222</v>
      </c>
      <c r="AH130" s="536">
        <f t="shared" si="37"/>
        <v>15</v>
      </c>
      <c r="AI130" s="605"/>
      <c r="AJ130" s="536">
        <v>17</v>
      </c>
      <c r="AK130" s="538">
        <v>1299.5744680851067</v>
      </c>
      <c r="AL130" s="538">
        <v>76.445556946182748</v>
      </c>
      <c r="AM130" s="536">
        <f t="shared" si="38"/>
        <v>13</v>
      </c>
      <c r="AN130" s="605"/>
      <c r="AO130" s="536">
        <v>17</v>
      </c>
      <c r="AP130" s="538">
        <v>1272.8571428571438</v>
      </c>
      <c r="AQ130" s="538">
        <v>74.873949579831987</v>
      </c>
      <c r="AR130" s="536">
        <f t="shared" si="39"/>
        <v>16</v>
      </c>
      <c r="AS130" s="605"/>
      <c r="AT130" s="536">
        <v>17</v>
      </c>
      <c r="AU130" s="538">
        <v>1312.1739130434783</v>
      </c>
      <c r="AV130" s="538">
        <v>77.186700767263432</v>
      </c>
      <c r="AW130" s="536">
        <f t="shared" si="40"/>
        <v>13</v>
      </c>
      <c r="AX130" s="605"/>
      <c r="AZ130" s="521" t="e">
        <f t="shared" si="41"/>
        <v>#N/A</v>
      </c>
      <c r="BA130" s="605"/>
    </row>
    <row r="131" spans="2:53">
      <c r="B131" s="610"/>
      <c r="C131" s="305">
        <v>20</v>
      </c>
      <c r="D131" s="226" t="s">
        <v>666</v>
      </c>
      <c r="E131" s="182">
        <v>18</v>
      </c>
      <c r="F131" s="511">
        <v>1500</v>
      </c>
      <c r="G131" s="512">
        <v>83.3</v>
      </c>
      <c r="H131" s="668"/>
      <c r="I131" s="513">
        <f t="shared" si="31"/>
        <v>18</v>
      </c>
      <c r="J131" s="513">
        <f t="shared" si="32"/>
        <v>1367.5819460581918</v>
      </c>
      <c r="K131" s="200">
        <f t="shared" si="33"/>
        <v>75.976774781010661</v>
      </c>
      <c r="L131" s="621"/>
      <c r="M131" s="201">
        <f>RANK(K131, K$112:$K$141)</f>
        <v>16</v>
      </c>
      <c r="N131" s="604"/>
      <c r="O131" s="604"/>
      <c r="P131" s="536">
        <v>18</v>
      </c>
      <c r="Q131" s="538">
        <v>1366.9090909090917</v>
      </c>
      <c r="R131" s="538">
        <v>75.93939393939398</v>
      </c>
      <c r="S131" s="536">
        <f t="shared" si="34"/>
        <v>15</v>
      </c>
      <c r="T131" s="605"/>
      <c r="U131" s="536">
        <v>18</v>
      </c>
      <c r="V131" s="538">
        <v>1384.3636363636374</v>
      </c>
      <c r="W131" s="538">
        <v>76.909090909090963</v>
      </c>
      <c r="X131" s="536">
        <f t="shared" si="35"/>
        <v>16</v>
      </c>
      <c r="Y131" s="605"/>
      <c r="Z131" s="536">
        <v>18</v>
      </c>
      <c r="AA131" s="538">
        <v>1324.5283018867854</v>
      </c>
      <c r="AB131" s="538">
        <v>73.584905660376961</v>
      </c>
      <c r="AC131" s="536">
        <f t="shared" si="36"/>
        <v>14</v>
      </c>
      <c r="AD131" s="605"/>
      <c r="AE131" s="536">
        <v>18</v>
      </c>
      <c r="AF131" s="538">
        <v>1368.4210526315799</v>
      </c>
      <c r="AG131" s="538">
        <v>76.023391812865555</v>
      </c>
      <c r="AH131" s="536">
        <f t="shared" si="37"/>
        <v>11</v>
      </c>
      <c r="AI131" s="605"/>
      <c r="AJ131" s="536">
        <v>18</v>
      </c>
      <c r="AK131" s="538">
        <v>1357.1428571428585</v>
      </c>
      <c r="AL131" s="538">
        <v>75.396825396825477</v>
      </c>
      <c r="AM131" s="536">
        <f t="shared" si="38"/>
        <v>16</v>
      </c>
      <c r="AN131" s="605"/>
      <c r="AO131" s="536">
        <v>18</v>
      </c>
      <c r="AP131" s="538">
        <v>1376.4705882352923</v>
      </c>
      <c r="AQ131" s="538">
        <v>76.470588235294016</v>
      </c>
      <c r="AR131" s="536">
        <f t="shared" si="39"/>
        <v>12</v>
      </c>
      <c r="AS131" s="605"/>
      <c r="AT131" s="536">
        <v>18</v>
      </c>
      <c r="AU131" s="538">
        <v>1395.2380952380968</v>
      </c>
      <c r="AV131" s="538">
        <v>77.513227513227605</v>
      </c>
      <c r="AW131" s="536">
        <f t="shared" si="40"/>
        <v>12</v>
      </c>
      <c r="AX131" s="605"/>
      <c r="AZ131" s="521" t="e">
        <f t="shared" si="41"/>
        <v>#N/A</v>
      </c>
      <c r="BA131" s="605"/>
    </row>
    <row r="132" spans="2:53">
      <c r="B132" s="610"/>
      <c r="C132" s="305">
        <v>21</v>
      </c>
      <c r="D132" s="226" t="s">
        <v>791</v>
      </c>
      <c r="E132" s="182">
        <v>18</v>
      </c>
      <c r="F132" s="511">
        <v>1636</v>
      </c>
      <c r="G132" s="512">
        <v>90.9</v>
      </c>
      <c r="H132" s="668"/>
      <c r="I132" s="513">
        <f t="shared" si="31"/>
        <v>18</v>
      </c>
      <c r="J132" s="513">
        <f t="shared" si="32"/>
        <v>1447.6375908772075</v>
      </c>
      <c r="K132" s="200">
        <f t="shared" si="33"/>
        <v>80.424310604289303</v>
      </c>
      <c r="L132" s="621"/>
      <c r="M132" s="201">
        <f>RANK(K132, K$112:$K$141)</f>
        <v>10</v>
      </c>
      <c r="N132" s="604"/>
      <c r="O132" s="604"/>
      <c r="P132" s="536">
        <v>18</v>
      </c>
      <c r="Q132" s="538">
        <v>1451.2500000000005</v>
      </c>
      <c r="R132" s="538">
        <v>80.625000000000028</v>
      </c>
      <c r="S132" s="536">
        <f t="shared" si="34"/>
        <v>12</v>
      </c>
      <c r="T132" s="605"/>
      <c r="U132" s="536">
        <v>18</v>
      </c>
      <c r="V132" s="538">
        <v>1464.5161290322583</v>
      </c>
      <c r="W132" s="538">
        <v>81.362007168458788</v>
      </c>
      <c r="X132" s="536">
        <f t="shared" si="35"/>
        <v>11</v>
      </c>
      <c r="Y132" s="605"/>
      <c r="Z132" s="536">
        <v>18</v>
      </c>
      <c r="AA132" s="538">
        <v>1427.2340425531916</v>
      </c>
      <c r="AB132" s="538">
        <v>79.290780141843982</v>
      </c>
      <c r="AC132" s="536">
        <f t="shared" si="36"/>
        <v>5</v>
      </c>
      <c r="AD132" s="605"/>
      <c r="AE132" s="536">
        <v>18</v>
      </c>
      <c r="AF132" s="538">
        <v>1436.3414634146336</v>
      </c>
      <c r="AG132" s="538">
        <v>79.796747967479646</v>
      </c>
      <c r="AH132" s="536">
        <f t="shared" si="37"/>
        <v>8</v>
      </c>
      <c r="AI132" s="605"/>
      <c r="AJ132" s="536">
        <v>18</v>
      </c>
      <c r="AK132" s="538">
        <v>1460.4395604395604</v>
      </c>
      <c r="AL132" s="538">
        <v>81.135531135531139</v>
      </c>
      <c r="AM132" s="536">
        <f t="shared" si="38"/>
        <v>7</v>
      </c>
      <c r="AN132" s="605"/>
      <c r="AO132" s="536">
        <v>18</v>
      </c>
      <c r="AP132" s="538">
        <v>1443.3962264150939</v>
      </c>
      <c r="AQ132" s="538">
        <v>80.188679245282998</v>
      </c>
      <c r="AR132" s="536">
        <f t="shared" si="39"/>
        <v>8</v>
      </c>
      <c r="AS132" s="605"/>
      <c r="AT132" s="536">
        <v>18</v>
      </c>
      <c r="AU132" s="538">
        <v>1450.2857142857138</v>
      </c>
      <c r="AV132" s="538">
        <v>80.571428571428541</v>
      </c>
      <c r="AW132" s="536">
        <f t="shared" si="40"/>
        <v>10</v>
      </c>
      <c r="AX132" s="605"/>
      <c r="AZ132" s="521" t="e">
        <f t="shared" si="41"/>
        <v>#N/A</v>
      </c>
      <c r="BA132" s="605"/>
    </row>
    <row r="133" spans="2:53">
      <c r="B133" s="610"/>
      <c r="C133" s="305">
        <v>22</v>
      </c>
      <c r="D133" s="226" t="s">
        <v>668</v>
      </c>
      <c r="E133" s="182">
        <v>20</v>
      </c>
      <c r="F133" s="511">
        <v>1500</v>
      </c>
      <c r="G133" s="512">
        <v>75</v>
      </c>
      <c r="H133" s="668"/>
      <c r="I133" s="513">
        <f t="shared" si="31"/>
        <v>20</v>
      </c>
      <c r="J133" s="513">
        <f t="shared" si="32"/>
        <v>1242.8684105492616</v>
      </c>
      <c r="K133" s="200">
        <f t="shared" si="33"/>
        <v>62.143420527463086</v>
      </c>
      <c r="L133" s="621"/>
      <c r="M133" s="201">
        <f>RANK(K133, K$112:$K$141)</f>
        <v>26</v>
      </c>
      <c r="N133" s="604"/>
      <c r="O133" s="604"/>
      <c r="P133" s="536">
        <v>20</v>
      </c>
      <c r="Q133" s="538">
        <v>1229.3617021276598</v>
      </c>
      <c r="R133" s="538">
        <v>61.468085106382986</v>
      </c>
      <c r="S133" s="536">
        <f t="shared" si="34"/>
        <v>26</v>
      </c>
      <c r="T133" s="605"/>
      <c r="U133" s="536">
        <v>20</v>
      </c>
      <c r="V133" s="538">
        <v>1225.909090909091</v>
      </c>
      <c r="W133" s="538">
        <v>61.295454545454547</v>
      </c>
      <c r="X133" s="536">
        <f t="shared" si="35"/>
        <v>27</v>
      </c>
      <c r="Y133" s="605"/>
      <c r="Z133" s="536">
        <v>20</v>
      </c>
      <c r="AA133" s="538">
        <v>1268.9999999999995</v>
      </c>
      <c r="AB133" s="538">
        <v>63.449999999999974</v>
      </c>
      <c r="AC133" s="536">
        <f t="shared" si="36"/>
        <v>26</v>
      </c>
      <c r="AD133" s="605"/>
      <c r="AE133" s="536">
        <v>20</v>
      </c>
      <c r="AF133" s="538">
        <v>1251.8181818181818</v>
      </c>
      <c r="AG133" s="538">
        <v>62.590909090909086</v>
      </c>
      <c r="AH133" s="536">
        <f t="shared" si="37"/>
        <v>25</v>
      </c>
      <c r="AI133" s="605"/>
      <c r="AJ133" s="536">
        <v>20</v>
      </c>
      <c r="AK133" s="538">
        <v>1239.5454545454545</v>
      </c>
      <c r="AL133" s="538">
        <v>61.977272727272727</v>
      </c>
      <c r="AM133" s="536">
        <f t="shared" si="38"/>
        <v>25</v>
      </c>
      <c r="AN133" s="605"/>
      <c r="AO133" s="536">
        <v>20</v>
      </c>
      <c r="AP133" s="538">
        <v>1260.0000000000005</v>
      </c>
      <c r="AQ133" s="538">
        <v>63.000000000000021</v>
      </c>
      <c r="AR133" s="536">
        <f t="shared" si="39"/>
        <v>25</v>
      </c>
      <c r="AS133" s="605"/>
      <c r="AT133" s="536">
        <v>20</v>
      </c>
      <c r="AU133" s="538">
        <v>1224.4444444444453</v>
      </c>
      <c r="AV133" s="538">
        <v>61.222222222222264</v>
      </c>
      <c r="AW133" s="536">
        <f t="shared" si="40"/>
        <v>25</v>
      </c>
      <c r="AX133" s="605"/>
      <c r="AZ133" s="521" t="e">
        <f t="shared" si="41"/>
        <v>#N/A</v>
      </c>
      <c r="BA133" s="605"/>
    </row>
    <row r="134" spans="2:53">
      <c r="B134" s="610"/>
      <c r="C134" s="305">
        <v>23</v>
      </c>
      <c r="D134" s="226" t="s">
        <v>788</v>
      </c>
      <c r="E134" s="182">
        <v>17</v>
      </c>
      <c r="F134" s="511">
        <v>1565</v>
      </c>
      <c r="G134" s="512">
        <v>92.1</v>
      </c>
      <c r="H134" s="668"/>
      <c r="I134" s="513">
        <f t="shared" si="31"/>
        <v>17.285714285714285</v>
      </c>
      <c r="J134" s="513">
        <f t="shared" si="32"/>
        <v>1331.6944827917837</v>
      </c>
      <c r="K134" s="200">
        <f t="shared" si="33"/>
        <v>77.104264528010646</v>
      </c>
      <c r="L134" s="621"/>
      <c r="M134" s="201">
        <f>RANK(K134, K$112:$K$141)</f>
        <v>13</v>
      </c>
      <c r="N134" s="604"/>
      <c r="O134" s="604"/>
      <c r="P134" s="536">
        <v>17</v>
      </c>
      <c r="Q134" s="538">
        <v>1390.4999999999993</v>
      </c>
      <c r="R134" s="538">
        <v>81.794117647058783</v>
      </c>
      <c r="S134" s="536">
        <f t="shared" si="34"/>
        <v>9</v>
      </c>
      <c r="T134" s="605"/>
      <c r="U134" s="536">
        <v>17</v>
      </c>
      <c r="V134" s="538">
        <v>1415.6756756756745</v>
      </c>
      <c r="W134" s="538">
        <v>83.275039745627907</v>
      </c>
      <c r="X134" s="536">
        <f t="shared" si="35"/>
        <v>8</v>
      </c>
      <c r="Y134" s="605"/>
      <c r="Z134" s="536">
        <v>17</v>
      </c>
      <c r="AA134" s="538">
        <v>1303.7837837837828</v>
      </c>
      <c r="AB134" s="538">
        <v>76.693163751987228</v>
      </c>
      <c r="AC134" s="536">
        <f t="shared" si="36"/>
        <v>9</v>
      </c>
      <c r="AD134" s="605"/>
      <c r="AE134" s="536">
        <v>18</v>
      </c>
      <c r="AF134" s="538">
        <v>1319.9999999999989</v>
      </c>
      <c r="AG134" s="538">
        <v>73.333333333333272</v>
      </c>
      <c r="AH134" s="536">
        <f t="shared" si="37"/>
        <v>18</v>
      </c>
      <c r="AI134" s="605"/>
      <c r="AJ134" s="536">
        <v>17</v>
      </c>
      <c r="AK134" s="538">
        <v>1290.7317073170727</v>
      </c>
      <c r="AL134" s="538">
        <v>75.925394548063096</v>
      </c>
      <c r="AM134" s="536">
        <f t="shared" si="38"/>
        <v>15</v>
      </c>
      <c r="AN134" s="605"/>
      <c r="AO134" s="536">
        <v>17</v>
      </c>
      <c r="AP134" s="538">
        <v>1285.0000000000002</v>
      </c>
      <c r="AQ134" s="538">
        <v>75.588235294117666</v>
      </c>
      <c r="AR134" s="536">
        <f t="shared" si="39"/>
        <v>13</v>
      </c>
      <c r="AS134" s="605"/>
      <c r="AT134" s="536">
        <v>18</v>
      </c>
      <c r="AU134" s="538">
        <v>1316.1702127659578</v>
      </c>
      <c r="AV134" s="538">
        <v>73.120567375886537</v>
      </c>
      <c r="AW134" s="536">
        <f t="shared" si="40"/>
        <v>18</v>
      </c>
      <c r="AX134" s="605"/>
      <c r="AZ134" s="521" t="e">
        <f t="shared" si="41"/>
        <v>#N/A</v>
      </c>
      <c r="BA134" s="605"/>
    </row>
    <row r="135" spans="2:53">
      <c r="B135" s="610"/>
      <c r="C135" s="305">
        <v>24</v>
      </c>
      <c r="D135" s="226" t="s">
        <v>676</v>
      </c>
      <c r="E135" s="182">
        <v>19</v>
      </c>
      <c r="F135" s="511">
        <v>1385</v>
      </c>
      <c r="G135" s="512">
        <v>72.900000000000006</v>
      </c>
      <c r="H135" s="668"/>
      <c r="I135" s="513">
        <f t="shared" si="31"/>
        <v>19.666666666666668</v>
      </c>
      <c r="J135" s="513">
        <f t="shared" si="32"/>
        <v>1152.8333333333278</v>
      </c>
      <c r="K135" s="200">
        <f t="shared" si="33"/>
        <v>58.594298245613764</v>
      </c>
      <c r="L135" s="621"/>
      <c r="M135" s="201">
        <f>RANK(K135, K$112:$K$141)</f>
        <v>28</v>
      </c>
      <c r="N135" s="604"/>
      <c r="O135" s="604"/>
      <c r="P135" s="536">
        <v>20</v>
      </c>
      <c r="Q135" s="538">
        <v>1209.9999999999991</v>
      </c>
      <c r="R135" s="538">
        <v>60.499999999999957</v>
      </c>
      <c r="S135" s="536">
        <f t="shared" si="34"/>
        <v>27</v>
      </c>
      <c r="T135" s="605"/>
      <c r="U135" s="536">
        <v>20</v>
      </c>
      <c r="V135" s="538">
        <v>1162.4999999999984</v>
      </c>
      <c r="W135" s="538">
        <v>58.124999999999922</v>
      </c>
      <c r="X135" s="536">
        <f t="shared" si="35"/>
        <v>28</v>
      </c>
      <c r="Y135" s="605"/>
      <c r="Z135" s="536">
        <v>19</v>
      </c>
      <c r="AA135" s="538">
        <v>1085.9999999999864</v>
      </c>
      <c r="AB135" s="538">
        <v>57.157894736841385</v>
      </c>
      <c r="AC135" s="536">
        <f t="shared" si="36"/>
        <v>28</v>
      </c>
      <c r="AD135" s="605"/>
      <c r="AE135" s="536" t="s">
        <v>822</v>
      </c>
      <c r="AF135" s="538" t="s">
        <v>822</v>
      </c>
      <c r="AG135" s="538" t="s">
        <v>822</v>
      </c>
      <c r="AH135" s="536" t="e">
        <f t="shared" si="37"/>
        <v>#VALUE!</v>
      </c>
      <c r="AI135" s="605"/>
      <c r="AJ135" s="536" t="s">
        <v>822</v>
      </c>
      <c r="AK135" s="538" t="s">
        <v>822</v>
      </c>
      <c r="AL135" s="538" t="s">
        <v>822</v>
      </c>
      <c r="AM135" s="536" t="e">
        <f t="shared" si="38"/>
        <v>#VALUE!</v>
      </c>
      <c r="AN135" s="605"/>
      <c r="AO135" s="536" t="s">
        <v>822</v>
      </c>
      <c r="AP135" s="538" t="s">
        <v>822</v>
      </c>
      <c r="AQ135" s="538" t="s">
        <v>822</v>
      </c>
      <c r="AR135" s="536" t="e">
        <f t="shared" si="39"/>
        <v>#VALUE!</v>
      </c>
      <c r="AS135" s="605"/>
      <c r="AT135" s="536" t="s">
        <v>822</v>
      </c>
      <c r="AU135" s="538" t="s">
        <v>822</v>
      </c>
      <c r="AV135" s="538" t="s">
        <v>822</v>
      </c>
      <c r="AW135" s="536" t="e">
        <f t="shared" si="40"/>
        <v>#VALUE!</v>
      </c>
      <c r="AX135" s="605"/>
      <c r="AZ135" s="521" t="e">
        <f t="shared" si="41"/>
        <v>#N/A</v>
      </c>
      <c r="BA135" s="605"/>
    </row>
    <row r="136" spans="2:53">
      <c r="B136" s="610"/>
      <c r="C136" s="305">
        <v>25</v>
      </c>
      <c r="D136" s="226" t="s">
        <v>789</v>
      </c>
      <c r="E136" s="182">
        <v>15</v>
      </c>
      <c r="F136" s="511">
        <v>1440</v>
      </c>
      <c r="G136" s="512">
        <v>96</v>
      </c>
      <c r="H136" s="668"/>
      <c r="I136" s="513">
        <f t="shared" si="31"/>
        <v>15</v>
      </c>
      <c r="J136" s="513">
        <f t="shared" si="32"/>
        <v>1227.8656005412902</v>
      </c>
      <c r="K136" s="200">
        <f t="shared" si="33"/>
        <v>81.857706702752679</v>
      </c>
      <c r="L136" s="621"/>
      <c r="M136" s="201">
        <f>RANK(K136, K$112:$K$141)</f>
        <v>6</v>
      </c>
      <c r="N136" s="604"/>
      <c r="O136" s="604"/>
      <c r="P136" s="536">
        <v>15</v>
      </c>
      <c r="Q136" s="538">
        <v>1339.3548387096753</v>
      </c>
      <c r="R136" s="538">
        <v>89.290322580645025</v>
      </c>
      <c r="S136" s="536">
        <f t="shared" si="34"/>
        <v>5</v>
      </c>
      <c r="T136" s="605"/>
      <c r="U136" s="536">
        <v>15</v>
      </c>
      <c r="V136" s="538">
        <v>1348.8888888888857</v>
      </c>
      <c r="W136" s="538">
        <v>89.925925925925711</v>
      </c>
      <c r="X136" s="536">
        <f t="shared" si="35"/>
        <v>4</v>
      </c>
      <c r="Y136" s="605"/>
      <c r="Z136" s="536">
        <v>15</v>
      </c>
      <c r="AA136" s="538">
        <v>1034.9999999999986</v>
      </c>
      <c r="AB136" s="538">
        <v>68.999999999999915</v>
      </c>
      <c r="AC136" s="536">
        <f t="shared" si="36"/>
        <v>20</v>
      </c>
      <c r="AD136" s="605"/>
      <c r="AE136" s="536">
        <v>15</v>
      </c>
      <c r="AF136" s="538">
        <v>1182.8571428571418</v>
      </c>
      <c r="AG136" s="538">
        <v>78.85714285714279</v>
      </c>
      <c r="AH136" s="536">
        <f t="shared" si="37"/>
        <v>10</v>
      </c>
      <c r="AI136" s="605"/>
      <c r="AJ136" s="536">
        <v>15</v>
      </c>
      <c r="AK136" s="538">
        <v>1205.6249999999982</v>
      </c>
      <c r="AL136" s="538">
        <v>80.374999999999872</v>
      </c>
      <c r="AM136" s="536">
        <f t="shared" si="38"/>
        <v>8</v>
      </c>
      <c r="AN136" s="605"/>
      <c r="AO136" s="536">
        <v>15</v>
      </c>
      <c r="AP136" s="538">
        <v>1256.6666666666656</v>
      </c>
      <c r="AQ136" s="538">
        <v>83.7777777777777</v>
      </c>
      <c r="AR136" s="536">
        <f t="shared" si="39"/>
        <v>7</v>
      </c>
      <c r="AS136" s="605"/>
      <c r="AT136" s="536">
        <v>15</v>
      </c>
      <c r="AU136" s="538">
        <v>1226.6666666666656</v>
      </c>
      <c r="AV136" s="538">
        <v>81.7777777777777</v>
      </c>
      <c r="AW136" s="536">
        <f t="shared" si="40"/>
        <v>8</v>
      </c>
      <c r="AX136" s="605"/>
      <c r="AZ136" s="521" t="e">
        <f t="shared" si="41"/>
        <v>#N/A</v>
      </c>
      <c r="BA136" s="605"/>
    </row>
    <row r="137" spans="2:53">
      <c r="B137" s="610"/>
      <c r="C137" s="305">
        <v>26</v>
      </c>
      <c r="D137" s="226" t="s">
        <v>742</v>
      </c>
      <c r="E137" s="182">
        <v>21</v>
      </c>
      <c r="F137" s="511">
        <v>1500</v>
      </c>
      <c r="G137" s="512">
        <v>71.400000000000006</v>
      </c>
      <c r="H137" s="668"/>
      <c r="I137" s="513">
        <f t="shared" si="31"/>
        <v>20.714285714285715</v>
      </c>
      <c r="J137" s="513">
        <f t="shared" si="32"/>
        <v>1234.5719337532207</v>
      </c>
      <c r="K137" s="200">
        <f t="shared" si="33"/>
        <v>59.618002676295255</v>
      </c>
      <c r="L137" s="621"/>
      <c r="M137" s="201">
        <f>RANK(K137, K$112:$K$141)</f>
        <v>27</v>
      </c>
      <c r="N137" s="604"/>
      <c r="O137" s="604"/>
      <c r="P137" s="536">
        <v>21</v>
      </c>
      <c r="Q137" s="538">
        <v>1234.6666666666667</v>
      </c>
      <c r="R137" s="538">
        <v>58.793650793650798</v>
      </c>
      <c r="S137" s="536">
        <f t="shared" si="34"/>
        <v>28</v>
      </c>
      <c r="T137" s="605"/>
      <c r="U137" s="536">
        <v>20</v>
      </c>
      <c r="V137" s="538">
        <v>1252.8571428571424</v>
      </c>
      <c r="W137" s="538">
        <v>62.642857142857125</v>
      </c>
      <c r="X137" s="536">
        <f t="shared" si="35"/>
        <v>26</v>
      </c>
      <c r="Y137" s="605"/>
      <c r="Z137" s="536">
        <v>20</v>
      </c>
      <c r="AA137" s="538">
        <v>1184</v>
      </c>
      <c r="AB137" s="538">
        <v>59.2</v>
      </c>
      <c r="AC137" s="536">
        <f t="shared" si="36"/>
        <v>27</v>
      </c>
      <c r="AD137" s="605"/>
      <c r="AE137" s="536">
        <v>21</v>
      </c>
      <c r="AF137" s="538">
        <v>1247.6923076923072</v>
      </c>
      <c r="AG137" s="538">
        <v>59.413919413919388</v>
      </c>
      <c r="AH137" s="536">
        <f t="shared" si="37"/>
        <v>26</v>
      </c>
      <c r="AI137" s="605"/>
      <c r="AJ137" s="536">
        <v>21</v>
      </c>
      <c r="AK137" s="538">
        <v>1262.608695652174</v>
      </c>
      <c r="AL137" s="538">
        <v>60.124223602484477</v>
      </c>
      <c r="AM137" s="536">
        <f t="shared" si="38"/>
        <v>26</v>
      </c>
      <c r="AN137" s="605"/>
      <c r="AO137" s="536">
        <v>21</v>
      </c>
      <c r="AP137" s="538">
        <v>1222.9787234042553</v>
      </c>
      <c r="AQ137" s="538">
        <v>58.237082066869299</v>
      </c>
      <c r="AR137" s="536">
        <f t="shared" si="39"/>
        <v>26</v>
      </c>
      <c r="AS137" s="605"/>
      <c r="AT137" s="536">
        <v>21</v>
      </c>
      <c r="AU137" s="538">
        <v>1237.2000000000003</v>
      </c>
      <c r="AV137" s="538">
        <v>58.914285714285725</v>
      </c>
      <c r="AW137" s="536">
        <f t="shared" si="40"/>
        <v>26</v>
      </c>
      <c r="AX137" s="605"/>
      <c r="AZ137" s="521" t="e">
        <f t="shared" si="41"/>
        <v>#N/A</v>
      </c>
      <c r="BA137" s="605"/>
    </row>
    <row r="138" spans="2:53">
      <c r="B138" s="610"/>
      <c r="C138" s="305">
        <v>27</v>
      </c>
      <c r="D138" s="226" t="s">
        <v>790</v>
      </c>
      <c r="E138" s="182">
        <v>19</v>
      </c>
      <c r="F138" s="511">
        <v>1500</v>
      </c>
      <c r="G138" s="512">
        <v>78.900000000000006</v>
      </c>
      <c r="H138" s="668"/>
      <c r="I138" s="513">
        <f t="shared" si="31"/>
        <v>19</v>
      </c>
      <c r="J138" s="513">
        <f t="shared" si="32"/>
        <v>1237.7764091449742</v>
      </c>
      <c r="K138" s="200">
        <f t="shared" si="33"/>
        <v>65.146126797103904</v>
      </c>
      <c r="L138" s="621"/>
      <c r="M138" s="201">
        <f>RANK(K138, K$112:$K$141)</f>
        <v>24</v>
      </c>
      <c r="N138" s="604"/>
      <c r="O138" s="604"/>
      <c r="P138" s="536">
        <v>19</v>
      </c>
      <c r="Q138" s="538">
        <v>1234.1666666666656</v>
      </c>
      <c r="R138" s="538">
        <v>64.956140350877135</v>
      </c>
      <c r="S138" s="536">
        <f t="shared" si="34"/>
        <v>25</v>
      </c>
      <c r="T138" s="605"/>
      <c r="U138" s="536">
        <v>19</v>
      </c>
      <c r="V138" s="538">
        <v>1223.6363636363649</v>
      </c>
      <c r="W138" s="538">
        <v>64.401913875598154</v>
      </c>
      <c r="X138" s="536">
        <f t="shared" si="35"/>
        <v>25</v>
      </c>
      <c r="Y138" s="605"/>
      <c r="Z138" s="536">
        <v>19</v>
      </c>
      <c r="AA138" s="538">
        <v>1252.6315789473692</v>
      </c>
      <c r="AB138" s="538">
        <v>65.927977839335227</v>
      </c>
      <c r="AC138" s="536">
        <f t="shared" si="36"/>
        <v>24</v>
      </c>
      <c r="AD138" s="605"/>
      <c r="AE138" s="536">
        <v>19</v>
      </c>
      <c r="AF138" s="538">
        <v>1230.4347826086944</v>
      </c>
      <c r="AG138" s="538">
        <v>64.759725400457597</v>
      </c>
      <c r="AH138" s="536">
        <f t="shared" si="37"/>
        <v>23</v>
      </c>
      <c r="AI138" s="605"/>
      <c r="AJ138" s="536">
        <v>19</v>
      </c>
      <c r="AK138" s="538">
        <v>1233.6986301369852</v>
      </c>
      <c r="AL138" s="538">
        <v>64.931506849315014</v>
      </c>
      <c r="AM138" s="536">
        <f t="shared" si="38"/>
        <v>23</v>
      </c>
      <c r="AN138" s="605"/>
      <c r="AO138" s="536">
        <v>19</v>
      </c>
      <c r="AP138" s="538">
        <v>1250.1265822784803</v>
      </c>
      <c r="AQ138" s="538">
        <v>65.796135909393698</v>
      </c>
      <c r="AR138" s="536">
        <f t="shared" si="39"/>
        <v>23</v>
      </c>
      <c r="AS138" s="605"/>
      <c r="AT138" s="536">
        <v>19</v>
      </c>
      <c r="AU138" s="538">
        <v>1239.740259740259</v>
      </c>
      <c r="AV138" s="538">
        <v>65.249487354750471</v>
      </c>
      <c r="AW138" s="536">
        <f t="shared" si="40"/>
        <v>23</v>
      </c>
      <c r="AX138" s="605"/>
      <c r="AZ138" s="521" t="e">
        <f t="shared" si="41"/>
        <v>#N/A</v>
      </c>
      <c r="BA138" s="605"/>
    </row>
    <row r="139" spans="2:53">
      <c r="B139" s="610"/>
      <c r="C139" s="305">
        <v>28</v>
      </c>
      <c r="D139" s="226" t="s">
        <v>909</v>
      </c>
      <c r="E139" s="182">
        <v>16</v>
      </c>
      <c r="F139" s="511">
        <v>1440</v>
      </c>
      <c r="G139" s="512">
        <v>90</v>
      </c>
      <c r="H139" s="668"/>
      <c r="I139" s="513">
        <f t="shared" si="31"/>
        <v>15.714285714285714</v>
      </c>
      <c r="J139" s="513">
        <f t="shared" si="32"/>
        <v>1281.3681731889371</v>
      </c>
      <c r="K139" s="200">
        <f t="shared" si="33"/>
        <v>81.682631815562203</v>
      </c>
      <c r="L139" s="621"/>
      <c r="M139" s="201">
        <f>RANK(K139, K$112:$K$141)</f>
        <v>8</v>
      </c>
      <c r="N139" s="604"/>
      <c r="O139" s="604"/>
      <c r="P139" s="536">
        <v>16</v>
      </c>
      <c r="Q139" s="538">
        <v>1351.3116279069764</v>
      </c>
      <c r="R139" s="538">
        <v>84.456976744186022</v>
      </c>
      <c r="S139" s="536">
        <f t="shared" si="34"/>
        <v>7</v>
      </c>
      <c r="T139" s="605"/>
      <c r="U139" s="536">
        <v>16</v>
      </c>
      <c r="V139" s="538">
        <v>1367.099999999999</v>
      </c>
      <c r="W139" s="538">
        <v>85.443749999999937</v>
      </c>
      <c r="X139" s="536">
        <f t="shared" si="35"/>
        <v>7</v>
      </c>
      <c r="Y139" s="605"/>
      <c r="Z139" s="536">
        <v>16</v>
      </c>
      <c r="AA139" s="538">
        <v>1235.844155844155</v>
      </c>
      <c r="AB139" s="538">
        <v>77.240259740259688</v>
      </c>
      <c r="AC139" s="536">
        <f t="shared" si="36"/>
        <v>7</v>
      </c>
      <c r="AD139" s="605"/>
      <c r="AE139" s="536">
        <v>16</v>
      </c>
      <c r="AF139" s="538">
        <v>1184.9999999999991</v>
      </c>
      <c r="AG139" s="538">
        <v>74.062499999999943</v>
      </c>
      <c r="AH139" s="536">
        <f t="shared" si="37"/>
        <v>17</v>
      </c>
      <c r="AI139" s="605"/>
      <c r="AJ139" s="536">
        <v>16</v>
      </c>
      <c r="AK139" s="538">
        <v>1275.4285714285761</v>
      </c>
      <c r="AL139" s="538">
        <v>79.714285714286007</v>
      </c>
      <c r="AM139" s="536">
        <f t="shared" si="38"/>
        <v>10</v>
      </c>
      <c r="AN139" s="605"/>
      <c r="AO139" s="536">
        <v>14</v>
      </c>
      <c r="AP139" s="538">
        <v>1252.1428571428569</v>
      </c>
      <c r="AQ139" s="538">
        <v>89.438775510204067</v>
      </c>
      <c r="AR139" s="536">
        <f t="shared" si="39"/>
        <v>3</v>
      </c>
      <c r="AS139" s="605"/>
      <c r="AT139" s="536">
        <v>16</v>
      </c>
      <c r="AU139" s="538">
        <v>1302.7499999999968</v>
      </c>
      <c r="AV139" s="538">
        <v>81.421874999999801</v>
      </c>
      <c r="AW139" s="536">
        <f t="shared" si="40"/>
        <v>9</v>
      </c>
      <c r="AX139" s="605"/>
      <c r="AZ139" s="521" t="e">
        <f t="shared" si="41"/>
        <v>#N/A</v>
      </c>
      <c r="BA139" s="605"/>
    </row>
    <row r="140" spans="2:53">
      <c r="B140" s="610"/>
      <c r="C140" s="305">
        <v>29</v>
      </c>
      <c r="D140" s="226"/>
      <c r="E140" s="182"/>
      <c r="F140" s="511"/>
      <c r="G140" s="512"/>
      <c r="H140" s="668"/>
      <c r="I140" s="513" t="str">
        <f t="shared" si="31"/>
        <v>-</v>
      </c>
      <c r="J140" s="513" t="str">
        <f t="shared" si="32"/>
        <v>-</v>
      </c>
      <c r="K140" s="200" t="str">
        <f t="shared" si="33"/>
        <v>-</v>
      </c>
      <c r="L140" s="621"/>
      <c r="M140" s="201" t="e">
        <f>RANK(K140, K$112:$K$141)</f>
        <v>#VALUE!</v>
      </c>
      <c r="N140" s="604"/>
      <c r="O140" s="604"/>
      <c r="P140" s="536" t="s">
        <v>822</v>
      </c>
      <c r="Q140" s="538" t="s">
        <v>822</v>
      </c>
      <c r="R140" s="538" t="s">
        <v>822</v>
      </c>
      <c r="S140" s="536" t="e">
        <f t="shared" si="34"/>
        <v>#VALUE!</v>
      </c>
      <c r="T140" s="605"/>
      <c r="U140" s="536" t="s">
        <v>822</v>
      </c>
      <c r="V140" s="538" t="s">
        <v>822</v>
      </c>
      <c r="W140" s="538" t="s">
        <v>822</v>
      </c>
      <c r="X140" s="536" t="e">
        <f t="shared" si="35"/>
        <v>#VALUE!</v>
      </c>
      <c r="Y140" s="605"/>
      <c r="Z140" s="536" t="s">
        <v>822</v>
      </c>
      <c r="AA140" s="538" t="s">
        <v>822</v>
      </c>
      <c r="AB140" s="538" t="s">
        <v>822</v>
      </c>
      <c r="AC140" s="536" t="e">
        <f t="shared" si="36"/>
        <v>#VALUE!</v>
      </c>
      <c r="AD140" s="605"/>
      <c r="AE140" s="536" t="s">
        <v>822</v>
      </c>
      <c r="AF140" s="538" t="s">
        <v>822</v>
      </c>
      <c r="AG140" s="538" t="s">
        <v>822</v>
      </c>
      <c r="AH140" s="536" t="e">
        <f t="shared" si="37"/>
        <v>#VALUE!</v>
      </c>
      <c r="AI140" s="605"/>
      <c r="AJ140" s="536" t="s">
        <v>822</v>
      </c>
      <c r="AK140" s="538" t="s">
        <v>822</v>
      </c>
      <c r="AL140" s="538" t="s">
        <v>822</v>
      </c>
      <c r="AM140" s="536" t="e">
        <f t="shared" si="38"/>
        <v>#VALUE!</v>
      </c>
      <c r="AN140" s="605"/>
      <c r="AO140" s="536" t="s">
        <v>822</v>
      </c>
      <c r="AP140" s="538" t="s">
        <v>822</v>
      </c>
      <c r="AQ140" s="538" t="s">
        <v>822</v>
      </c>
      <c r="AR140" s="536" t="e">
        <f t="shared" si="39"/>
        <v>#VALUE!</v>
      </c>
      <c r="AS140" s="605"/>
      <c r="AT140" s="536" t="s">
        <v>822</v>
      </c>
      <c r="AU140" s="538" t="s">
        <v>822</v>
      </c>
      <c r="AV140" s="538" t="s">
        <v>822</v>
      </c>
      <c r="AW140" s="536" t="e">
        <f t="shared" si="40"/>
        <v>#VALUE!</v>
      </c>
      <c r="AX140" s="605"/>
      <c r="AZ140" s="521" t="e">
        <f t="shared" si="41"/>
        <v>#N/A</v>
      </c>
      <c r="BA140" s="605"/>
    </row>
    <row r="141" spans="2:53">
      <c r="B141" s="610"/>
      <c r="C141" s="305">
        <v>30</v>
      </c>
      <c r="D141" s="226"/>
      <c r="E141" s="182"/>
      <c r="F141" s="511"/>
      <c r="G141" s="512"/>
      <c r="H141" s="669"/>
      <c r="I141" s="513" t="str">
        <f t="shared" si="31"/>
        <v>-</v>
      </c>
      <c r="J141" s="513" t="str">
        <f t="shared" si="32"/>
        <v>-</v>
      </c>
      <c r="K141" s="200" t="str">
        <f t="shared" si="33"/>
        <v>-</v>
      </c>
      <c r="L141" s="622"/>
      <c r="M141" s="201" t="e">
        <f>RANK(K141, K$112:$K$141)</f>
        <v>#VALUE!</v>
      </c>
      <c r="N141" s="604"/>
      <c r="O141" s="604"/>
      <c r="P141" s="536" t="s">
        <v>822</v>
      </c>
      <c r="Q141" s="538" t="s">
        <v>822</v>
      </c>
      <c r="R141" s="538" t="s">
        <v>822</v>
      </c>
      <c r="S141" s="536" t="e">
        <f t="shared" si="34"/>
        <v>#VALUE!</v>
      </c>
      <c r="T141" s="605"/>
      <c r="U141" s="536" t="s">
        <v>822</v>
      </c>
      <c r="V141" s="538" t="s">
        <v>822</v>
      </c>
      <c r="W141" s="538" t="s">
        <v>822</v>
      </c>
      <c r="X141" s="536" t="e">
        <f t="shared" si="35"/>
        <v>#VALUE!</v>
      </c>
      <c r="Y141" s="605"/>
      <c r="Z141" s="536" t="s">
        <v>822</v>
      </c>
      <c r="AA141" s="538" t="s">
        <v>822</v>
      </c>
      <c r="AB141" s="538" t="s">
        <v>822</v>
      </c>
      <c r="AC141" s="536" t="e">
        <f t="shared" si="36"/>
        <v>#VALUE!</v>
      </c>
      <c r="AD141" s="605"/>
      <c r="AE141" s="536" t="s">
        <v>822</v>
      </c>
      <c r="AF141" s="538" t="s">
        <v>822</v>
      </c>
      <c r="AG141" s="538" t="s">
        <v>822</v>
      </c>
      <c r="AH141" s="536" t="e">
        <f t="shared" si="37"/>
        <v>#VALUE!</v>
      </c>
      <c r="AI141" s="605"/>
      <c r="AJ141" s="536" t="s">
        <v>822</v>
      </c>
      <c r="AK141" s="538" t="s">
        <v>822</v>
      </c>
      <c r="AL141" s="538" t="s">
        <v>822</v>
      </c>
      <c r="AM141" s="536" t="e">
        <f t="shared" si="38"/>
        <v>#VALUE!</v>
      </c>
      <c r="AN141" s="605"/>
      <c r="AO141" s="536" t="s">
        <v>822</v>
      </c>
      <c r="AP141" s="538" t="s">
        <v>822</v>
      </c>
      <c r="AQ141" s="538" t="s">
        <v>822</v>
      </c>
      <c r="AR141" s="536" t="e">
        <f t="shared" si="39"/>
        <v>#VALUE!</v>
      </c>
      <c r="AS141" s="605"/>
      <c r="AT141" s="536" t="s">
        <v>822</v>
      </c>
      <c r="AU141" s="538" t="s">
        <v>822</v>
      </c>
      <c r="AV141" s="538" t="s">
        <v>822</v>
      </c>
      <c r="AW141" s="536" t="e">
        <f t="shared" si="40"/>
        <v>#VALUE!</v>
      </c>
      <c r="AX141" s="605"/>
      <c r="AZ141" s="521" t="e">
        <f t="shared" si="41"/>
        <v>#N/A</v>
      </c>
      <c r="BA141" s="605"/>
    </row>
    <row r="142" spans="2:53" ht="15.75">
      <c r="B142" s="633" t="s">
        <v>163</v>
      </c>
      <c r="C142" s="634"/>
      <c r="D142" s="634"/>
      <c r="E142" s="634"/>
      <c r="F142" s="634"/>
      <c r="G142" s="634"/>
      <c r="H142" s="635"/>
      <c r="I142" s="208"/>
      <c r="J142" s="208"/>
      <c r="K142" s="208"/>
      <c r="L142" s="208"/>
      <c r="M142" s="207"/>
      <c r="N142" s="606" t="s">
        <v>156</v>
      </c>
      <c r="O142" s="606" t="s">
        <v>105</v>
      </c>
      <c r="P142" s="632">
        <f>P107+7</f>
        <v>46140</v>
      </c>
      <c r="Q142" s="610"/>
      <c r="R142" s="610"/>
      <c r="S142" s="610"/>
      <c r="T142" s="610"/>
      <c r="U142" s="629">
        <f>P142+1</f>
        <v>46141</v>
      </c>
      <c r="V142" s="630"/>
      <c r="W142" s="630"/>
      <c r="X142" s="630"/>
      <c r="Y142" s="631"/>
      <c r="Z142" s="629">
        <f>U142+1</f>
        <v>46142</v>
      </c>
      <c r="AA142" s="630"/>
      <c r="AB142" s="630"/>
      <c r="AC142" s="630"/>
      <c r="AD142" s="631"/>
      <c r="AE142" s="629">
        <f>Z142+1</f>
        <v>46143</v>
      </c>
      <c r="AF142" s="630"/>
      <c r="AG142" s="630"/>
      <c r="AH142" s="630"/>
      <c r="AI142" s="631"/>
      <c r="AJ142" s="629">
        <f>AE142+1</f>
        <v>46144</v>
      </c>
      <c r="AK142" s="630"/>
      <c r="AL142" s="630"/>
      <c r="AM142" s="630"/>
      <c r="AN142" s="631"/>
      <c r="AO142" s="629">
        <f>AJ142+1</f>
        <v>46145</v>
      </c>
      <c r="AP142" s="630"/>
      <c r="AQ142" s="630"/>
      <c r="AR142" s="630"/>
      <c r="AS142" s="631"/>
      <c r="AT142" s="629">
        <f>AO142+1</f>
        <v>46146</v>
      </c>
      <c r="AU142" s="630"/>
      <c r="AV142" s="630"/>
      <c r="AW142" s="630"/>
      <c r="AX142" s="631"/>
    </row>
    <row r="143" spans="2:53" ht="15.75">
      <c r="B143" s="636"/>
      <c r="C143" s="636"/>
      <c r="D143" s="636"/>
      <c r="E143" s="636"/>
      <c r="F143" s="636"/>
      <c r="G143" s="636"/>
      <c r="H143" s="636"/>
      <c r="I143" s="205"/>
      <c r="J143" s="205"/>
      <c r="K143" s="205"/>
      <c r="L143" s="205"/>
      <c r="M143" s="206"/>
      <c r="N143" s="608"/>
      <c r="O143" s="608"/>
      <c r="P143" s="632" t="s">
        <v>336</v>
      </c>
      <c r="Q143" s="610"/>
      <c r="R143" s="610"/>
      <c r="S143" s="610"/>
      <c r="T143" s="610"/>
      <c r="U143" s="632" t="s">
        <v>337</v>
      </c>
      <c r="V143" s="610"/>
      <c r="W143" s="610"/>
      <c r="X143" s="610"/>
      <c r="Y143" s="610"/>
      <c r="Z143" s="632" t="s">
        <v>338</v>
      </c>
      <c r="AA143" s="610"/>
      <c r="AB143" s="610"/>
      <c r="AC143" s="610"/>
      <c r="AD143" s="610"/>
      <c r="AE143" s="632" t="s">
        <v>339</v>
      </c>
      <c r="AF143" s="610"/>
      <c r="AG143" s="610"/>
      <c r="AH143" s="610"/>
      <c r="AI143" s="610"/>
      <c r="AJ143" s="632" t="s">
        <v>340</v>
      </c>
      <c r="AK143" s="610"/>
      <c r="AL143" s="610"/>
      <c r="AM143" s="610"/>
      <c r="AN143" s="610"/>
      <c r="AO143" s="632" t="s">
        <v>341</v>
      </c>
      <c r="AP143" s="610"/>
      <c r="AQ143" s="610"/>
      <c r="AR143" s="610"/>
      <c r="AS143" s="610"/>
      <c r="AT143" s="632" t="s">
        <v>342</v>
      </c>
      <c r="AU143" s="610"/>
      <c r="AV143" s="610"/>
      <c r="AW143" s="610"/>
      <c r="AX143" s="610"/>
    </row>
    <row r="144" spans="2:53">
      <c r="B144" s="604" t="s">
        <v>441</v>
      </c>
      <c r="C144" s="604" t="s">
        <v>442</v>
      </c>
      <c r="D144" s="604"/>
      <c r="E144" s="604" t="s">
        <v>443</v>
      </c>
      <c r="F144" s="604"/>
      <c r="G144" s="604"/>
      <c r="H144" s="637" t="s">
        <v>444</v>
      </c>
      <c r="I144" s="656" t="s">
        <v>445</v>
      </c>
      <c r="J144" s="656"/>
      <c r="K144" s="656"/>
      <c r="L144" s="657" t="s">
        <v>444</v>
      </c>
      <c r="M144" s="642" t="s">
        <v>446</v>
      </c>
      <c r="N144" s="604"/>
      <c r="O144" s="604" t="s">
        <v>447</v>
      </c>
      <c r="P144" s="623" t="s">
        <v>448</v>
      </c>
      <c r="Q144" s="624"/>
      <c r="R144" s="624"/>
      <c r="S144" s="625"/>
      <c r="T144" s="604" t="s">
        <v>444</v>
      </c>
      <c r="U144" s="623" t="s">
        <v>448</v>
      </c>
      <c r="V144" s="624"/>
      <c r="W144" s="624"/>
      <c r="X144" s="625"/>
      <c r="Y144" s="604" t="s">
        <v>444</v>
      </c>
      <c r="Z144" s="623" t="s">
        <v>448</v>
      </c>
      <c r="AA144" s="624"/>
      <c r="AB144" s="624"/>
      <c r="AC144" s="625"/>
      <c r="AD144" s="604" t="s">
        <v>444</v>
      </c>
      <c r="AE144" s="623" t="s">
        <v>448</v>
      </c>
      <c r="AF144" s="624"/>
      <c r="AG144" s="624"/>
      <c r="AH144" s="625"/>
      <c r="AI144" s="604" t="s">
        <v>444</v>
      </c>
      <c r="AJ144" s="623" t="s">
        <v>448</v>
      </c>
      <c r="AK144" s="624"/>
      <c r="AL144" s="624"/>
      <c r="AM144" s="625"/>
      <c r="AN144" s="604" t="s">
        <v>444</v>
      </c>
      <c r="AO144" s="623" t="s">
        <v>448</v>
      </c>
      <c r="AP144" s="624"/>
      <c r="AQ144" s="624"/>
      <c r="AR144" s="625"/>
      <c r="AS144" s="604" t="s">
        <v>444</v>
      </c>
      <c r="AT144" s="623" t="s">
        <v>448</v>
      </c>
      <c r="AU144" s="624"/>
      <c r="AV144" s="624"/>
      <c r="AW144" s="625"/>
      <c r="AX144" s="604" t="s">
        <v>444</v>
      </c>
      <c r="BA144" s="604" t="s">
        <v>395</v>
      </c>
    </row>
    <row r="145" spans="2:53">
      <c r="B145" s="604"/>
      <c r="C145" s="604"/>
      <c r="D145" s="604"/>
      <c r="E145" s="604" t="s">
        <v>449</v>
      </c>
      <c r="F145" s="604"/>
      <c r="G145" s="604"/>
      <c r="H145" s="638"/>
      <c r="I145" s="656" t="s">
        <v>449</v>
      </c>
      <c r="J145" s="656"/>
      <c r="K145" s="656"/>
      <c r="L145" s="658"/>
      <c r="M145" s="643"/>
      <c r="N145" s="604"/>
      <c r="O145" s="604"/>
      <c r="P145" s="623" t="s">
        <v>450</v>
      </c>
      <c r="Q145" s="624"/>
      <c r="R145" s="624"/>
      <c r="S145" s="625"/>
      <c r="T145" s="604"/>
      <c r="U145" s="623" t="s">
        <v>450</v>
      </c>
      <c r="V145" s="624"/>
      <c r="W145" s="624"/>
      <c r="X145" s="625"/>
      <c r="Y145" s="604"/>
      <c r="Z145" s="623" t="s">
        <v>450</v>
      </c>
      <c r="AA145" s="624"/>
      <c r="AB145" s="624"/>
      <c r="AC145" s="625"/>
      <c r="AD145" s="604"/>
      <c r="AE145" s="623" t="s">
        <v>450</v>
      </c>
      <c r="AF145" s="624"/>
      <c r="AG145" s="624"/>
      <c r="AH145" s="625"/>
      <c r="AI145" s="604"/>
      <c r="AJ145" s="623" t="s">
        <v>450</v>
      </c>
      <c r="AK145" s="624"/>
      <c r="AL145" s="624"/>
      <c r="AM145" s="625"/>
      <c r="AN145" s="604"/>
      <c r="AO145" s="623" t="s">
        <v>450</v>
      </c>
      <c r="AP145" s="624"/>
      <c r="AQ145" s="624"/>
      <c r="AR145" s="625"/>
      <c r="AS145" s="604"/>
      <c r="AT145" s="623" t="s">
        <v>450</v>
      </c>
      <c r="AU145" s="624"/>
      <c r="AV145" s="624"/>
      <c r="AW145" s="625"/>
      <c r="AX145" s="604"/>
      <c r="BA145" s="604"/>
    </row>
    <row r="146" spans="2:53">
      <c r="B146" s="604"/>
      <c r="C146" s="604"/>
      <c r="D146" s="604"/>
      <c r="E146" s="301" t="s">
        <v>451</v>
      </c>
      <c r="F146" s="301" t="s">
        <v>452</v>
      </c>
      <c r="G146" s="301" t="s">
        <v>453</v>
      </c>
      <c r="H146" s="639"/>
      <c r="I146" s="302" t="s">
        <v>451</v>
      </c>
      <c r="J146" s="302" t="s">
        <v>452</v>
      </c>
      <c r="K146" s="302" t="s">
        <v>453</v>
      </c>
      <c r="L146" s="659"/>
      <c r="M146" s="644"/>
      <c r="N146" s="604"/>
      <c r="O146" s="604"/>
      <c r="P146" s="301" t="s">
        <v>451</v>
      </c>
      <c r="Q146" s="301" t="s">
        <v>452</v>
      </c>
      <c r="R146" s="301" t="s">
        <v>453</v>
      </c>
      <c r="S146" s="301" t="s">
        <v>446</v>
      </c>
      <c r="T146" s="604"/>
      <c r="U146" s="301" t="s">
        <v>451</v>
      </c>
      <c r="V146" s="301" t="s">
        <v>452</v>
      </c>
      <c r="W146" s="301" t="s">
        <v>453</v>
      </c>
      <c r="X146" s="301" t="s">
        <v>446</v>
      </c>
      <c r="Y146" s="604"/>
      <c r="Z146" s="301" t="s">
        <v>451</v>
      </c>
      <c r="AA146" s="301" t="s">
        <v>452</v>
      </c>
      <c r="AB146" s="301" t="s">
        <v>453</v>
      </c>
      <c r="AC146" s="301" t="s">
        <v>446</v>
      </c>
      <c r="AD146" s="604"/>
      <c r="AE146" s="301" t="s">
        <v>451</v>
      </c>
      <c r="AF146" s="301" t="s">
        <v>452</v>
      </c>
      <c r="AG146" s="301" t="s">
        <v>453</v>
      </c>
      <c r="AH146" s="301" t="s">
        <v>446</v>
      </c>
      <c r="AI146" s="604"/>
      <c r="AJ146" s="301" t="s">
        <v>451</v>
      </c>
      <c r="AK146" s="301" t="s">
        <v>452</v>
      </c>
      <c r="AL146" s="301" t="s">
        <v>453</v>
      </c>
      <c r="AM146" s="301" t="s">
        <v>446</v>
      </c>
      <c r="AN146" s="604"/>
      <c r="AO146" s="301" t="s">
        <v>451</v>
      </c>
      <c r="AP146" s="301" t="s">
        <v>452</v>
      </c>
      <c r="AQ146" s="301" t="s">
        <v>453</v>
      </c>
      <c r="AR146" s="301" t="s">
        <v>446</v>
      </c>
      <c r="AS146" s="604"/>
      <c r="AT146" s="301" t="s">
        <v>451</v>
      </c>
      <c r="AU146" s="301" t="s">
        <v>452</v>
      </c>
      <c r="AV146" s="301" t="s">
        <v>453</v>
      </c>
      <c r="AW146" s="301" t="s">
        <v>446</v>
      </c>
      <c r="AX146" s="604"/>
      <c r="AZ146" s="520" t="s">
        <v>396</v>
      </c>
      <c r="BA146" s="604"/>
    </row>
    <row r="147" spans="2:53">
      <c r="B147" s="604" t="s">
        <v>454</v>
      </c>
      <c r="C147" s="300">
        <v>1</v>
      </c>
      <c r="D147" s="226"/>
      <c r="E147" s="182"/>
      <c r="F147" s="465"/>
      <c r="G147" s="466"/>
      <c r="H147" s="667" t="e">
        <f>AVERAGE(G147:G176)</f>
        <v>#DIV/0!</v>
      </c>
      <c r="I147" s="513" t="str">
        <f>IFERROR(AVERAGE(P147,U147,Z147,AE147,AJ147,AO147,AT147),"-")</f>
        <v>-</v>
      </c>
      <c r="J147" s="513" t="str">
        <f>IFERROR(AVERAGE(Q147,V147,AA147,AF147,AK147,AP147,AU147),"-")</f>
        <v>-</v>
      </c>
      <c r="K147" s="200" t="str">
        <f>IFERROR(AVERAGE(R147,W147,AB147,AG147,AL147,AQ147,AV147),"-")</f>
        <v>-</v>
      </c>
      <c r="L147" s="620" t="str">
        <f>IFERROR(AVERAGE(K147:K176),"-")</f>
        <v>-</v>
      </c>
      <c r="M147" s="201" t="e">
        <f>RANK(K147, K$147:$K$176)</f>
        <v>#VALUE!</v>
      </c>
      <c r="N147" s="604"/>
      <c r="O147" s="604"/>
      <c r="P147" s="182"/>
      <c r="Q147" s="182"/>
      <c r="R147" s="182"/>
      <c r="S147" s="300" t="e">
        <f>RANK(R147, R$147:R$176)</f>
        <v>#N/A</v>
      </c>
      <c r="T147" s="605" t="e">
        <f>AVERAGE(R147:R176)</f>
        <v>#DIV/0!</v>
      </c>
      <c r="U147" s="182"/>
      <c r="V147" s="182"/>
      <c r="W147" s="182"/>
      <c r="X147" s="300" t="e">
        <f>RANK(W147, W$147:W$176)</f>
        <v>#N/A</v>
      </c>
      <c r="Y147" s="605" t="e">
        <f>AVERAGE(W147:W176)</f>
        <v>#DIV/0!</v>
      </c>
      <c r="Z147" s="182"/>
      <c r="AA147" s="182"/>
      <c r="AB147" s="182"/>
      <c r="AC147" s="300" t="e">
        <f>RANK(AB147, AB$147:AB$176)</f>
        <v>#N/A</v>
      </c>
      <c r="AD147" s="605" t="e">
        <f>AVERAGE(AB147:AB176)</f>
        <v>#DIV/0!</v>
      </c>
      <c r="AE147" s="182"/>
      <c r="AF147" s="182"/>
      <c r="AG147" s="182"/>
      <c r="AH147" s="300" t="e">
        <f>RANK(AG147, AG$147:AG$176)</f>
        <v>#N/A</v>
      </c>
      <c r="AI147" s="605" t="e">
        <f>AVERAGE(AG147:AG176)</f>
        <v>#DIV/0!</v>
      </c>
      <c r="AJ147" s="182"/>
      <c r="AK147" s="182"/>
      <c r="AL147" s="182"/>
      <c r="AM147" s="300" t="e">
        <f>RANK(AL147, AL$147:AL$176)</f>
        <v>#N/A</v>
      </c>
      <c r="AN147" s="605" t="e">
        <f>AVERAGE(AL147:AL176)</f>
        <v>#DIV/0!</v>
      </c>
      <c r="AO147" s="182"/>
      <c r="AP147" s="182"/>
      <c r="AQ147" s="182"/>
      <c r="AR147" s="300" t="e">
        <f>RANK(AQ147, AQ$147:AQ$176)</f>
        <v>#N/A</v>
      </c>
      <c r="AS147" s="605" t="e">
        <f>AVERAGE(AQ147:AQ176)</f>
        <v>#DIV/0!</v>
      </c>
      <c r="AT147" s="182"/>
      <c r="AU147" s="182"/>
      <c r="AV147" s="182"/>
      <c r="AW147" s="300" t="e">
        <f>RANK(AV147, AV$147:AV$176)</f>
        <v>#N/A</v>
      </c>
      <c r="AX147" s="605" t="e">
        <f>AVERAGE(AV147:AV176)</f>
        <v>#DIV/0!</v>
      </c>
      <c r="AZ147" s="521" t="e">
        <f>RANK(AY147, AY$147:AY$176)</f>
        <v>#N/A</v>
      </c>
      <c r="BA147" s="605" t="e">
        <f>AVERAGE(AY147:AY176)</f>
        <v>#DIV/0!</v>
      </c>
    </row>
    <row r="148" spans="2:53">
      <c r="B148" s="610"/>
      <c r="C148" s="300">
        <v>2</v>
      </c>
      <c r="D148" s="226"/>
      <c r="E148" s="182"/>
      <c r="F148" s="465"/>
      <c r="G148" s="466"/>
      <c r="H148" s="668"/>
      <c r="I148" s="513" t="str">
        <f t="shared" ref="I148:I176" si="42">IFERROR(AVERAGE(P148,U148,Z148,AE148,AJ148,AO148,AT148),"-")</f>
        <v>-</v>
      </c>
      <c r="J148" s="513" t="str">
        <f t="shared" ref="J148:J176" si="43">IFERROR(AVERAGE(Q148,V148,AA148,AF148,AK148,AP148,AU148),"-")</f>
        <v>-</v>
      </c>
      <c r="K148" s="200" t="str">
        <f t="shared" ref="K148:K176" si="44">IFERROR(AVERAGE(R148,W148,AB148,AG148,AL148,AQ148,AV148),"-")</f>
        <v>-</v>
      </c>
      <c r="L148" s="621"/>
      <c r="M148" s="201" t="e">
        <f>RANK(K148, K$147:$K$176)</f>
        <v>#VALUE!</v>
      </c>
      <c r="N148" s="604"/>
      <c r="O148" s="604"/>
      <c r="P148" s="182"/>
      <c r="Q148" s="182"/>
      <c r="R148" s="182"/>
      <c r="S148" s="300" t="e">
        <f t="shared" ref="S148:S176" si="45">RANK(R148, R$147:R$176)</f>
        <v>#N/A</v>
      </c>
      <c r="T148" s="605"/>
      <c r="U148" s="182"/>
      <c r="V148" s="182"/>
      <c r="W148" s="182"/>
      <c r="X148" s="300" t="e">
        <f t="shared" ref="X148:X176" si="46">RANK(W148, W$147:W$176)</f>
        <v>#N/A</v>
      </c>
      <c r="Y148" s="605"/>
      <c r="Z148" s="182"/>
      <c r="AA148" s="182"/>
      <c r="AB148" s="182"/>
      <c r="AC148" s="300" t="e">
        <f t="shared" ref="AC148:AC176" si="47">RANK(AB148, AB$147:AB$176)</f>
        <v>#N/A</v>
      </c>
      <c r="AD148" s="605"/>
      <c r="AE148" s="182"/>
      <c r="AF148" s="182"/>
      <c r="AG148" s="182"/>
      <c r="AH148" s="300" t="e">
        <f t="shared" ref="AH148:AH176" si="48">RANK(AG148, AG$147:AG$176)</f>
        <v>#N/A</v>
      </c>
      <c r="AI148" s="605"/>
      <c r="AJ148" s="182"/>
      <c r="AK148" s="182"/>
      <c r="AL148" s="182"/>
      <c r="AM148" s="300" t="e">
        <f t="shared" ref="AM148:AM176" si="49">RANK(AL148, AL$147:AL$176)</f>
        <v>#N/A</v>
      </c>
      <c r="AN148" s="605"/>
      <c r="AO148" s="182"/>
      <c r="AP148" s="182"/>
      <c r="AQ148" s="182"/>
      <c r="AR148" s="300" t="e">
        <f t="shared" ref="AR148:AR176" si="50">RANK(AQ148, AQ$147:AQ$176)</f>
        <v>#N/A</v>
      </c>
      <c r="AS148" s="605"/>
      <c r="AT148" s="182"/>
      <c r="AU148" s="182"/>
      <c r="AV148" s="182"/>
      <c r="AW148" s="300" t="e">
        <f t="shared" ref="AW148:AW176" si="51">RANK(AV148, AV$147:AV$176)</f>
        <v>#N/A</v>
      </c>
      <c r="AX148" s="605"/>
      <c r="AZ148" s="521" t="e">
        <f t="shared" ref="AZ148:AZ176" si="52">RANK(AY148, AY$147:AY$176)</f>
        <v>#N/A</v>
      </c>
      <c r="BA148" s="605"/>
    </row>
    <row r="149" spans="2:53">
      <c r="B149" s="610"/>
      <c r="C149" s="300">
        <v>3</v>
      </c>
      <c r="D149" s="226"/>
      <c r="E149" s="182"/>
      <c r="F149" s="465"/>
      <c r="G149" s="466"/>
      <c r="H149" s="668"/>
      <c r="I149" s="513" t="str">
        <f t="shared" si="42"/>
        <v>-</v>
      </c>
      <c r="J149" s="513" t="str">
        <f t="shared" si="43"/>
        <v>-</v>
      </c>
      <c r="K149" s="200" t="str">
        <f t="shared" si="44"/>
        <v>-</v>
      </c>
      <c r="L149" s="621"/>
      <c r="M149" s="201" t="e">
        <f>RANK(K149, K$147:$K$176)</f>
        <v>#VALUE!</v>
      </c>
      <c r="N149" s="604"/>
      <c r="O149" s="604"/>
      <c r="P149" s="182"/>
      <c r="Q149" s="182"/>
      <c r="R149" s="182"/>
      <c r="S149" s="300" t="e">
        <f t="shared" si="45"/>
        <v>#N/A</v>
      </c>
      <c r="T149" s="605"/>
      <c r="U149" s="182"/>
      <c r="V149" s="182"/>
      <c r="W149" s="182"/>
      <c r="X149" s="300" t="e">
        <f t="shared" si="46"/>
        <v>#N/A</v>
      </c>
      <c r="Y149" s="605"/>
      <c r="Z149" s="182"/>
      <c r="AA149" s="182"/>
      <c r="AB149" s="182"/>
      <c r="AC149" s="300" t="e">
        <f t="shared" si="47"/>
        <v>#N/A</v>
      </c>
      <c r="AD149" s="605"/>
      <c r="AE149" s="182"/>
      <c r="AF149" s="182"/>
      <c r="AG149" s="182"/>
      <c r="AH149" s="300" t="e">
        <f t="shared" si="48"/>
        <v>#N/A</v>
      </c>
      <c r="AI149" s="605"/>
      <c r="AJ149" s="182"/>
      <c r="AK149" s="182"/>
      <c r="AL149" s="182"/>
      <c r="AM149" s="300" t="e">
        <f t="shared" si="49"/>
        <v>#N/A</v>
      </c>
      <c r="AN149" s="605"/>
      <c r="AO149" s="182"/>
      <c r="AP149" s="182"/>
      <c r="AQ149" s="182"/>
      <c r="AR149" s="300" t="e">
        <f t="shared" si="50"/>
        <v>#N/A</v>
      </c>
      <c r="AS149" s="605"/>
      <c r="AT149" s="182"/>
      <c r="AU149" s="182"/>
      <c r="AV149" s="182"/>
      <c r="AW149" s="300" t="e">
        <f t="shared" si="51"/>
        <v>#N/A</v>
      </c>
      <c r="AX149" s="605"/>
      <c r="AZ149" s="521" t="e">
        <f t="shared" si="52"/>
        <v>#N/A</v>
      </c>
      <c r="BA149" s="605"/>
    </row>
    <row r="150" spans="2:53">
      <c r="B150" s="610"/>
      <c r="C150" s="300">
        <v>4</v>
      </c>
      <c r="D150" s="226"/>
      <c r="E150" s="182"/>
      <c r="F150" s="465"/>
      <c r="G150" s="466"/>
      <c r="H150" s="668"/>
      <c r="I150" s="513" t="str">
        <f t="shared" si="42"/>
        <v>-</v>
      </c>
      <c r="J150" s="513" t="str">
        <f t="shared" si="43"/>
        <v>-</v>
      </c>
      <c r="K150" s="200" t="str">
        <f t="shared" si="44"/>
        <v>-</v>
      </c>
      <c r="L150" s="621"/>
      <c r="M150" s="201" t="e">
        <f>RANK(K150, K$147:$K$176)</f>
        <v>#VALUE!</v>
      </c>
      <c r="N150" s="604"/>
      <c r="O150" s="604"/>
      <c r="P150" s="182"/>
      <c r="Q150" s="182"/>
      <c r="R150" s="182"/>
      <c r="S150" s="300" t="e">
        <f t="shared" si="45"/>
        <v>#N/A</v>
      </c>
      <c r="T150" s="605"/>
      <c r="U150" s="182"/>
      <c r="V150" s="182"/>
      <c r="W150" s="182"/>
      <c r="X150" s="300" t="e">
        <f t="shared" si="46"/>
        <v>#N/A</v>
      </c>
      <c r="Y150" s="605"/>
      <c r="Z150" s="182"/>
      <c r="AA150" s="182"/>
      <c r="AB150" s="182"/>
      <c r="AC150" s="300" t="e">
        <f t="shared" si="47"/>
        <v>#N/A</v>
      </c>
      <c r="AD150" s="605"/>
      <c r="AE150" s="182"/>
      <c r="AF150" s="182"/>
      <c r="AG150" s="182"/>
      <c r="AH150" s="300" t="e">
        <f t="shared" si="48"/>
        <v>#N/A</v>
      </c>
      <c r="AI150" s="605"/>
      <c r="AJ150" s="182"/>
      <c r="AK150" s="182"/>
      <c r="AL150" s="182"/>
      <c r="AM150" s="300" t="e">
        <f t="shared" si="49"/>
        <v>#N/A</v>
      </c>
      <c r="AN150" s="605"/>
      <c r="AO150" s="182"/>
      <c r="AP150" s="182"/>
      <c r="AQ150" s="182"/>
      <c r="AR150" s="300" t="e">
        <f t="shared" si="50"/>
        <v>#N/A</v>
      </c>
      <c r="AS150" s="605"/>
      <c r="AT150" s="182"/>
      <c r="AU150" s="182"/>
      <c r="AV150" s="182"/>
      <c r="AW150" s="300" t="e">
        <f t="shared" si="51"/>
        <v>#N/A</v>
      </c>
      <c r="AX150" s="605"/>
      <c r="AZ150" s="521" t="e">
        <f t="shared" si="52"/>
        <v>#N/A</v>
      </c>
      <c r="BA150" s="605"/>
    </row>
    <row r="151" spans="2:53">
      <c r="B151" s="610"/>
      <c r="C151" s="300">
        <v>5</v>
      </c>
      <c r="D151" s="226"/>
      <c r="E151" s="182"/>
      <c r="F151" s="465"/>
      <c r="G151" s="466"/>
      <c r="H151" s="668"/>
      <c r="I151" s="513" t="str">
        <f t="shared" si="42"/>
        <v>-</v>
      </c>
      <c r="J151" s="513" t="str">
        <f t="shared" si="43"/>
        <v>-</v>
      </c>
      <c r="K151" s="200" t="str">
        <f t="shared" si="44"/>
        <v>-</v>
      </c>
      <c r="L151" s="621"/>
      <c r="M151" s="201" t="e">
        <f>RANK(K151, K$147:$K$176)</f>
        <v>#VALUE!</v>
      </c>
      <c r="N151" s="604"/>
      <c r="O151" s="604"/>
      <c r="P151" s="182"/>
      <c r="Q151" s="182"/>
      <c r="R151" s="182"/>
      <c r="S151" s="300" t="e">
        <f t="shared" si="45"/>
        <v>#N/A</v>
      </c>
      <c r="T151" s="605"/>
      <c r="U151" s="182"/>
      <c r="V151" s="182"/>
      <c r="W151" s="182"/>
      <c r="X151" s="300" t="e">
        <f t="shared" si="46"/>
        <v>#N/A</v>
      </c>
      <c r="Y151" s="605"/>
      <c r="Z151" s="182"/>
      <c r="AA151" s="182"/>
      <c r="AB151" s="182"/>
      <c r="AC151" s="300" t="e">
        <f t="shared" si="47"/>
        <v>#N/A</v>
      </c>
      <c r="AD151" s="605"/>
      <c r="AE151" s="182"/>
      <c r="AF151" s="182"/>
      <c r="AG151" s="182"/>
      <c r="AH151" s="300" t="e">
        <f t="shared" si="48"/>
        <v>#N/A</v>
      </c>
      <c r="AI151" s="605"/>
      <c r="AJ151" s="182"/>
      <c r="AK151" s="182"/>
      <c r="AL151" s="182"/>
      <c r="AM151" s="300" t="e">
        <f t="shared" si="49"/>
        <v>#N/A</v>
      </c>
      <c r="AN151" s="605"/>
      <c r="AO151" s="182"/>
      <c r="AP151" s="182"/>
      <c r="AQ151" s="182"/>
      <c r="AR151" s="300" t="e">
        <f t="shared" si="50"/>
        <v>#N/A</v>
      </c>
      <c r="AS151" s="605"/>
      <c r="AT151" s="182"/>
      <c r="AU151" s="182"/>
      <c r="AV151" s="182"/>
      <c r="AW151" s="300" t="e">
        <f t="shared" si="51"/>
        <v>#N/A</v>
      </c>
      <c r="AX151" s="605"/>
      <c r="AZ151" s="521" t="e">
        <f t="shared" si="52"/>
        <v>#N/A</v>
      </c>
      <c r="BA151" s="605"/>
    </row>
    <row r="152" spans="2:53">
      <c r="B152" s="610"/>
      <c r="C152" s="300">
        <v>6</v>
      </c>
      <c r="D152" s="226"/>
      <c r="E152" s="182"/>
      <c r="F152" s="465"/>
      <c r="G152" s="466"/>
      <c r="H152" s="668"/>
      <c r="I152" s="513" t="str">
        <f t="shared" si="42"/>
        <v>-</v>
      </c>
      <c r="J152" s="513" t="str">
        <f t="shared" si="43"/>
        <v>-</v>
      </c>
      <c r="K152" s="200" t="str">
        <f t="shared" si="44"/>
        <v>-</v>
      </c>
      <c r="L152" s="621"/>
      <c r="M152" s="201" t="e">
        <f>RANK(K152, K$147:$K$176)</f>
        <v>#VALUE!</v>
      </c>
      <c r="N152" s="604"/>
      <c r="O152" s="604"/>
      <c r="P152" s="182"/>
      <c r="Q152" s="182"/>
      <c r="R152" s="182"/>
      <c r="S152" s="300" t="e">
        <f t="shared" si="45"/>
        <v>#N/A</v>
      </c>
      <c r="T152" s="605"/>
      <c r="U152" s="182"/>
      <c r="V152" s="182"/>
      <c r="W152" s="182"/>
      <c r="X152" s="300" t="e">
        <f t="shared" si="46"/>
        <v>#N/A</v>
      </c>
      <c r="Y152" s="605"/>
      <c r="Z152" s="182"/>
      <c r="AA152" s="182"/>
      <c r="AB152" s="182"/>
      <c r="AC152" s="300" t="e">
        <f t="shared" si="47"/>
        <v>#N/A</v>
      </c>
      <c r="AD152" s="605"/>
      <c r="AE152" s="182"/>
      <c r="AF152" s="182"/>
      <c r="AG152" s="182"/>
      <c r="AH152" s="300" t="e">
        <f t="shared" si="48"/>
        <v>#N/A</v>
      </c>
      <c r="AI152" s="605"/>
      <c r="AJ152" s="182"/>
      <c r="AK152" s="182"/>
      <c r="AL152" s="182"/>
      <c r="AM152" s="300" t="e">
        <f t="shared" si="49"/>
        <v>#N/A</v>
      </c>
      <c r="AN152" s="605"/>
      <c r="AO152" s="182"/>
      <c r="AP152" s="182"/>
      <c r="AQ152" s="182"/>
      <c r="AR152" s="300" t="e">
        <f t="shared" si="50"/>
        <v>#N/A</v>
      </c>
      <c r="AS152" s="605"/>
      <c r="AT152" s="182"/>
      <c r="AU152" s="182"/>
      <c r="AV152" s="182"/>
      <c r="AW152" s="300" t="e">
        <f t="shared" si="51"/>
        <v>#N/A</v>
      </c>
      <c r="AX152" s="605"/>
      <c r="AZ152" s="521" t="e">
        <f t="shared" si="52"/>
        <v>#N/A</v>
      </c>
      <c r="BA152" s="605"/>
    </row>
    <row r="153" spans="2:53">
      <c r="B153" s="610"/>
      <c r="C153" s="300">
        <v>7</v>
      </c>
      <c r="D153" s="226"/>
      <c r="E153" s="182"/>
      <c r="F153" s="465"/>
      <c r="G153" s="466"/>
      <c r="H153" s="668"/>
      <c r="I153" s="513" t="str">
        <f t="shared" si="42"/>
        <v>-</v>
      </c>
      <c r="J153" s="513" t="str">
        <f t="shared" si="43"/>
        <v>-</v>
      </c>
      <c r="K153" s="200" t="str">
        <f t="shared" si="44"/>
        <v>-</v>
      </c>
      <c r="L153" s="621"/>
      <c r="M153" s="201" t="e">
        <f>RANK(K153, K$147:$K$176)</f>
        <v>#VALUE!</v>
      </c>
      <c r="N153" s="604"/>
      <c r="O153" s="604"/>
      <c r="P153" s="182"/>
      <c r="Q153" s="182"/>
      <c r="R153" s="182"/>
      <c r="S153" s="300" t="e">
        <f t="shared" si="45"/>
        <v>#N/A</v>
      </c>
      <c r="T153" s="605"/>
      <c r="U153" s="182"/>
      <c r="V153" s="182"/>
      <c r="W153" s="182"/>
      <c r="X153" s="300" t="e">
        <f t="shared" si="46"/>
        <v>#N/A</v>
      </c>
      <c r="Y153" s="605"/>
      <c r="Z153" s="182"/>
      <c r="AA153" s="182"/>
      <c r="AB153" s="182"/>
      <c r="AC153" s="300" t="e">
        <f t="shared" si="47"/>
        <v>#N/A</v>
      </c>
      <c r="AD153" s="605"/>
      <c r="AE153" s="182"/>
      <c r="AF153" s="182"/>
      <c r="AG153" s="182"/>
      <c r="AH153" s="300" t="e">
        <f t="shared" si="48"/>
        <v>#N/A</v>
      </c>
      <c r="AI153" s="605"/>
      <c r="AJ153" s="182"/>
      <c r="AK153" s="182"/>
      <c r="AL153" s="182"/>
      <c r="AM153" s="300" t="e">
        <f t="shared" si="49"/>
        <v>#N/A</v>
      </c>
      <c r="AN153" s="605"/>
      <c r="AO153" s="182"/>
      <c r="AP153" s="182"/>
      <c r="AQ153" s="182"/>
      <c r="AR153" s="300" t="e">
        <f t="shared" si="50"/>
        <v>#N/A</v>
      </c>
      <c r="AS153" s="605"/>
      <c r="AT153" s="182"/>
      <c r="AU153" s="182"/>
      <c r="AV153" s="182"/>
      <c r="AW153" s="300" t="e">
        <f t="shared" si="51"/>
        <v>#N/A</v>
      </c>
      <c r="AX153" s="605"/>
      <c r="AZ153" s="521" t="e">
        <f t="shared" si="52"/>
        <v>#N/A</v>
      </c>
      <c r="BA153" s="605"/>
    </row>
    <row r="154" spans="2:53">
      <c r="B154" s="610"/>
      <c r="C154" s="300">
        <v>8</v>
      </c>
      <c r="D154" s="226"/>
      <c r="E154" s="182"/>
      <c r="F154" s="465"/>
      <c r="G154" s="466"/>
      <c r="H154" s="668"/>
      <c r="I154" s="513" t="str">
        <f t="shared" si="42"/>
        <v>-</v>
      </c>
      <c r="J154" s="513" t="str">
        <f t="shared" si="43"/>
        <v>-</v>
      </c>
      <c r="K154" s="200" t="str">
        <f t="shared" si="44"/>
        <v>-</v>
      </c>
      <c r="L154" s="621"/>
      <c r="M154" s="201" t="e">
        <f>RANK(K154, K$147:$K$176)</f>
        <v>#VALUE!</v>
      </c>
      <c r="N154" s="604"/>
      <c r="O154" s="604"/>
      <c r="P154" s="182"/>
      <c r="Q154" s="182"/>
      <c r="R154" s="182"/>
      <c r="S154" s="300" t="e">
        <f t="shared" si="45"/>
        <v>#N/A</v>
      </c>
      <c r="T154" s="605"/>
      <c r="U154" s="182"/>
      <c r="V154" s="182"/>
      <c r="W154" s="182"/>
      <c r="X154" s="300" t="e">
        <f t="shared" si="46"/>
        <v>#N/A</v>
      </c>
      <c r="Y154" s="605"/>
      <c r="Z154" s="182"/>
      <c r="AA154" s="182"/>
      <c r="AB154" s="182"/>
      <c r="AC154" s="300" t="e">
        <f t="shared" si="47"/>
        <v>#N/A</v>
      </c>
      <c r="AD154" s="605"/>
      <c r="AE154" s="182"/>
      <c r="AF154" s="182"/>
      <c r="AG154" s="182"/>
      <c r="AH154" s="300" t="e">
        <f t="shared" si="48"/>
        <v>#N/A</v>
      </c>
      <c r="AI154" s="605"/>
      <c r="AJ154" s="182"/>
      <c r="AK154" s="182"/>
      <c r="AL154" s="182"/>
      <c r="AM154" s="300" t="e">
        <f t="shared" si="49"/>
        <v>#N/A</v>
      </c>
      <c r="AN154" s="605"/>
      <c r="AO154" s="182"/>
      <c r="AP154" s="182"/>
      <c r="AQ154" s="182"/>
      <c r="AR154" s="300" t="e">
        <f t="shared" si="50"/>
        <v>#N/A</v>
      </c>
      <c r="AS154" s="605"/>
      <c r="AT154" s="182"/>
      <c r="AU154" s="182"/>
      <c r="AV154" s="182"/>
      <c r="AW154" s="300" t="e">
        <f t="shared" si="51"/>
        <v>#N/A</v>
      </c>
      <c r="AX154" s="605"/>
      <c r="AZ154" s="521" t="e">
        <f t="shared" si="52"/>
        <v>#N/A</v>
      </c>
      <c r="BA154" s="605"/>
    </row>
    <row r="155" spans="2:53">
      <c r="B155" s="610"/>
      <c r="C155" s="300">
        <v>9</v>
      </c>
      <c r="D155" s="226"/>
      <c r="E155" s="182"/>
      <c r="F155" s="465"/>
      <c r="G155" s="466"/>
      <c r="H155" s="668"/>
      <c r="I155" s="513" t="str">
        <f t="shared" si="42"/>
        <v>-</v>
      </c>
      <c r="J155" s="513" t="str">
        <f t="shared" si="43"/>
        <v>-</v>
      </c>
      <c r="K155" s="200" t="str">
        <f t="shared" si="44"/>
        <v>-</v>
      </c>
      <c r="L155" s="621"/>
      <c r="M155" s="201" t="e">
        <f>RANK(K155, K$147:$K$176)</f>
        <v>#VALUE!</v>
      </c>
      <c r="N155" s="604"/>
      <c r="O155" s="604"/>
      <c r="P155" s="182"/>
      <c r="Q155" s="182"/>
      <c r="R155" s="182"/>
      <c r="S155" s="300" t="e">
        <f t="shared" si="45"/>
        <v>#N/A</v>
      </c>
      <c r="T155" s="605"/>
      <c r="U155" s="182"/>
      <c r="V155" s="182"/>
      <c r="W155" s="182"/>
      <c r="X155" s="300" t="e">
        <f t="shared" si="46"/>
        <v>#N/A</v>
      </c>
      <c r="Y155" s="605"/>
      <c r="Z155" s="182"/>
      <c r="AA155" s="182"/>
      <c r="AB155" s="182"/>
      <c r="AC155" s="300" t="e">
        <f t="shared" si="47"/>
        <v>#N/A</v>
      </c>
      <c r="AD155" s="605"/>
      <c r="AE155" s="182"/>
      <c r="AF155" s="182"/>
      <c r="AG155" s="182"/>
      <c r="AH155" s="300" t="e">
        <f t="shared" si="48"/>
        <v>#N/A</v>
      </c>
      <c r="AI155" s="605"/>
      <c r="AJ155" s="182"/>
      <c r="AK155" s="182"/>
      <c r="AL155" s="182"/>
      <c r="AM155" s="300" t="e">
        <f t="shared" si="49"/>
        <v>#N/A</v>
      </c>
      <c r="AN155" s="605"/>
      <c r="AO155" s="182"/>
      <c r="AP155" s="182"/>
      <c r="AQ155" s="182"/>
      <c r="AR155" s="300" t="e">
        <f t="shared" si="50"/>
        <v>#N/A</v>
      </c>
      <c r="AS155" s="605"/>
      <c r="AT155" s="182"/>
      <c r="AU155" s="182"/>
      <c r="AV155" s="182"/>
      <c r="AW155" s="300" t="e">
        <f t="shared" si="51"/>
        <v>#N/A</v>
      </c>
      <c r="AX155" s="605"/>
      <c r="AZ155" s="521" t="e">
        <f t="shared" si="52"/>
        <v>#N/A</v>
      </c>
      <c r="BA155" s="605"/>
    </row>
    <row r="156" spans="2:53">
      <c r="B156" s="610"/>
      <c r="C156" s="300">
        <v>10</v>
      </c>
      <c r="D156" s="226"/>
      <c r="E156" s="182"/>
      <c r="F156" s="465"/>
      <c r="G156" s="466"/>
      <c r="H156" s="668"/>
      <c r="I156" s="513" t="str">
        <f t="shared" si="42"/>
        <v>-</v>
      </c>
      <c r="J156" s="513" t="str">
        <f t="shared" si="43"/>
        <v>-</v>
      </c>
      <c r="K156" s="200" t="str">
        <f t="shared" si="44"/>
        <v>-</v>
      </c>
      <c r="L156" s="621"/>
      <c r="M156" s="201" t="e">
        <f>RANK(K156, K$147:$K$176)</f>
        <v>#VALUE!</v>
      </c>
      <c r="N156" s="604"/>
      <c r="O156" s="604"/>
      <c r="P156" s="182"/>
      <c r="Q156" s="182"/>
      <c r="R156" s="182"/>
      <c r="S156" s="300" t="e">
        <f t="shared" si="45"/>
        <v>#N/A</v>
      </c>
      <c r="T156" s="605"/>
      <c r="U156" s="182"/>
      <c r="V156" s="182"/>
      <c r="W156" s="182"/>
      <c r="X156" s="300" t="e">
        <f t="shared" si="46"/>
        <v>#N/A</v>
      </c>
      <c r="Y156" s="605"/>
      <c r="Z156" s="182"/>
      <c r="AA156" s="182"/>
      <c r="AB156" s="182"/>
      <c r="AC156" s="300" t="e">
        <f t="shared" si="47"/>
        <v>#N/A</v>
      </c>
      <c r="AD156" s="605"/>
      <c r="AE156" s="182"/>
      <c r="AF156" s="182"/>
      <c r="AG156" s="182"/>
      <c r="AH156" s="300" t="e">
        <f t="shared" si="48"/>
        <v>#N/A</v>
      </c>
      <c r="AI156" s="605"/>
      <c r="AJ156" s="182"/>
      <c r="AK156" s="182"/>
      <c r="AL156" s="182"/>
      <c r="AM156" s="300" t="e">
        <f t="shared" si="49"/>
        <v>#N/A</v>
      </c>
      <c r="AN156" s="605"/>
      <c r="AO156" s="182"/>
      <c r="AP156" s="182"/>
      <c r="AQ156" s="182"/>
      <c r="AR156" s="300" t="e">
        <f t="shared" si="50"/>
        <v>#N/A</v>
      </c>
      <c r="AS156" s="605"/>
      <c r="AT156" s="182"/>
      <c r="AU156" s="182"/>
      <c r="AV156" s="182"/>
      <c r="AW156" s="300" t="e">
        <f t="shared" si="51"/>
        <v>#N/A</v>
      </c>
      <c r="AX156" s="605"/>
      <c r="AZ156" s="521" t="e">
        <f t="shared" si="52"/>
        <v>#N/A</v>
      </c>
      <c r="BA156" s="605"/>
    </row>
    <row r="157" spans="2:53">
      <c r="B157" s="610"/>
      <c r="C157" s="300">
        <v>11</v>
      </c>
      <c r="D157" s="226"/>
      <c r="E157" s="182"/>
      <c r="F157" s="465"/>
      <c r="G157" s="466"/>
      <c r="H157" s="668"/>
      <c r="I157" s="513" t="str">
        <f t="shared" si="42"/>
        <v>-</v>
      </c>
      <c r="J157" s="513" t="str">
        <f t="shared" si="43"/>
        <v>-</v>
      </c>
      <c r="K157" s="200" t="str">
        <f t="shared" si="44"/>
        <v>-</v>
      </c>
      <c r="L157" s="621"/>
      <c r="M157" s="201" t="e">
        <f>RANK(K157, K$147:$K$176)</f>
        <v>#VALUE!</v>
      </c>
      <c r="N157" s="604"/>
      <c r="O157" s="604"/>
      <c r="P157" s="182"/>
      <c r="Q157" s="182"/>
      <c r="R157" s="182"/>
      <c r="S157" s="300" t="e">
        <f t="shared" si="45"/>
        <v>#N/A</v>
      </c>
      <c r="T157" s="605"/>
      <c r="U157" s="182"/>
      <c r="V157" s="182"/>
      <c r="W157" s="182"/>
      <c r="X157" s="300" t="e">
        <f t="shared" si="46"/>
        <v>#N/A</v>
      </c>
      <c r="Y157" s="605"/>
      <c r="Z157" s="182"/>
      <c r="AA157" s="182"/>
      <c r="AB157" s="182"/>
      <c r="AC157" s="300" t="e">
        <f t="shared" si="47"/>
        <v>#N/A</v>
      </c>
      <c r="AD157" s="605"/>
      <c r="AE157" s="182"/>
      <c r="AF157" s="182"/>
      <c r="AG157" s="182"/>
      <c r="AH157" s="300" t="e">
        <f t="shared" si="48"/>
        <v>#N/A</v>
      </c>
      <c r="AI157" s="605"/>
      <c r="AJ157" s="182"/>
      <c r="AK157" s="182"/>
      <c r="AL157" s="182"/>
      <c r="AM157" s="300" t="e">
        <f t="shared" si="49"/>
        <v>#N/A</v>
      </c>
      <c r="AN157" s="605"/>
      <c r="AO157" s="182"/>
      <c r="AP157" s="182"/>
      <c r="AQ157" s="182"/>
      <c r="AR157" s="300" t="e">
        <f t="shared" si="50"/>
        <v>#N/A</v>
      </c>
      <c r="AS157" s="605"/>
      <c r="AT157" s="182"/>
      <c r="AU157" s="182"/>
      <c r="AV157" s="182"/>
      <c r="AW157" s="300" t="e">
        <f t="shared" si="51"/>
        <v>#N/A</v>
      </c>
      <c r="AX157" s="605"/>
      <c r="AZ157" s="521" t="e">
        <f t="shared" si="52"/>
        <v>#N/A</v>
      </c>
      <c r="BA157" s="605"/>
    </row>
    <row r="158" spans="2:53">
      <c r="B158" s="610"/>
      <c r="C158" s="300">
        <v>12</v>
      </c>
      <c r="D158" s="226"/>
      <c r="E158" s="182"/>
      <c r="F158" s="465"/>
      <c r="G158" s="466"/>
      <c r="H158" s="668"/>
      <c r="I158" s="513" t="str">
        <f t="shared" si="42"/>
        <v>-</v>
      </c>
      <c r="J158" s="513" t="str">
        <f t="shared" si="43"/>
        <v>-</v>
      </c>
      <c r="K158" s="200" t="str">
        <f t="shared" si="44"/>
        <v>-</v>
      </c>
      <c r="L158" s="621"/>
      <c r="M158" s="201" t="e">
        <f>RANK(K158, K$147:$K$176)</f>
        <v>#VALUE!</v>
      </c>
      <c r="N158" s="604"/>
      <c r="O158" s="604"/>
      <c r="P158" s="182"/>
      <c r="Q158" s="182"/>
      <c r="R158" s="182"/>
      <c r="S158" s="300" t="e">
        <f t="shared" si="45"/>
        <v>#N/A</v>
      </c>
      <c r="T158" s="605"/>
      <c r="U158" s="182"/>
      <c r="V158" s="182"/>
      <c r="W158" s="182"/>
      <c r="X158" s="300" t="e">
        <f t="shared" si="46"/>
        <v>#N/A</v>
      </c>
      <c r="Y158" s="605"/>
      <c r="Z158" s="182"/>
      <c r="AA158" s="182"/>
      <c r="AB158" s="182"/>
      <c r="AC158" s="300" t="e">
        <f t="shared" si="47"/>
        <v>#N/A</v>
      </c>
      <c r="AD158" s="605"/>
      <c r="AE158" s="182"/>
      <c r="AF158" s="182"/>
      <c r="AG158" s="182"/>
      <c r="AH158" s="300" t="e">
        <f t="shared" si="48"/>
        <v>#N/A</v>
      </c>
      <c r="AI158" s="605"/>
      <c r="AJ158" s="182"/>
      <c r="AK158" s="182"/>
      <c r="AL158" s="182"/>
      <c r="AM158" s="300" t="e">
        <f t="shared" si="49"/>
        <v>#N/A</v>
      </c>
      <c r="AN158" s="605"/>
      <c r="AO158" s="182"/>
      <c r="AP158" s="182"/>
      <c r="AQ158" s="182"/>
      <c r="AR158" s="300" t="e">
        <f t="shared" si="50"/>
        <v>#N/A</v>
      </c>
      <c r="AS158" s="605"/>
      <c r="AT158" s="182"/>
      <c r="AU158" s="182"/>
      <c r="AV158" s="182"/>
      <c r="AW158" s="300" t="e">
        <f t="shared" si="51"/>
        <v>#N/A</v>
      </c>
      <c r="AX158" s="605"/>
      <c r="AZ158" s="521" t="e">
        <f t="shared" si="52"/>
        <v>#N/A</v>
      </c>
      <c r="BA158" s="605"/>
    </row>
    <row r="159" spans="2:53">
      <c r="B159" s="610"/>
      <c r="C159" s="300">
        <v>13</v>
      </c>
      <c r="D159" s="226"/>
      <c r="E159" s="182"/>
      <c r="F159" s="465"/>
      <c r="G159" s="466"/>
      <c r="H159" s="668"/>
      <c r="I159" s="513" t="str">
        <f t="shared" si="42"/>
        <v>-</v>
      </c>
      <c r="J159" s="513" t="str">
        <f t="shared" si="43"/>
        <v>-</v>
      </c>
      <c r="K159" s="200" t="str">
        <f t="shared" si="44"/>
        <v>-</v>
      </c>
      <c r="L159" s="621"/>
      <c r="M159" s="201" t="e">
        <f>RANK(K159, K$147:$K$176)</f>
        <v>#VALUE!</v>
      </c>
      <c r="N159" s="604"/>
      <c r="O159" s="604"/>
      <c r="P159" s="182"/>
      <c r="Q159" s="182"/>
      <c r="R159" s="182"/>
      <c r="S159" s="300" t="e">
        <f t="shared" si="45"/>
        <v>#N/A</v>
      </c>
      <c r="T159" s="605"/>
      <c r="U159" s="182"/>
      <c r="V159" s="182"/>
      <c r="W159" s="182"/>
      <c r="X159" s="300" t="e">
        <f t="shared" si="46"/>
        <v>#N/A</v>
      </c>
      <c r="Y159" s="605"/>
      <c r="Z159" s="182"/>
      <c r="AA159" s="182"/>
      <c r="AB159" s="182"/>
      <c r="AC159" s="300" t="e">
        <f t="shared" si="47"/>
        <v>#N/A</v>
      </c>
      <c r="AD159" s="605"/>
      <c r="AE159" s="182"/>
      <c r="AF159" s="182"/>
      <c r="AG159" s="182"/>
      <c r="AH159" s="300" t="e">
        <f t="shared" si="48"/>
        <v>#N/A</v>
      </c>
      <c r="AI159" s="605"/>
      <c r="AJ159" s="182"/>
      <c r="AK159" s="182"/>
      <c r="AL159" s="182"/>
      <c r="AM159" s="300" t="e">
        <f t="shared" si="49"/>
        <v>#N/A</v>
      </c>
      <c r="AN159" s="605"/>
      <c r="AO159" s="182"/>
      <c r="AP159" s="182"/>
      <c r="AQ159" s="182"/>
      <c r="AR159" s="300" t="e">
        <f t="shared" si="50"/>
        <v>#N/A</v>
      </c>
      <c r="AS159" s="605"/>
      <c r="AT159" s="182"/>
      <c r="AU159" s="182"/>
      <c r="AV159" s="182"/>
      <c r="AW159" s="300" t="e">
        <f t="shared" si="51"/>
        <v>#N/A</v>
      </c>
      <c r="AX159" s="605"/>
      <c r="AZ159" s="521" t="e">
        <f t="shared" si="52"/>
        <v>#N/A</v>
      </c>
      <c r="BA159" s="605"/>
    </row>
    <row r="160" spans="2:53">
      <c r="B160" s="610"/>
      <c r="C160" s="300">
        <v>14</v>
      </c>
      <c r="D160" s="226"/>
      <c r="E160" s="182"/>
      <c r="F160" s="465"/>
      <c r="G160" s="466"/>
      <c r="H160" s="668"/>
      <c r="I160" s="513" t="str">
        <f t="shared" si="42"/>
        <v>-</v>
      </c>
      <c r="J160" s="513" t="str">
        <f t="shared" si="43"/>
        <v>-</v>
      </c>
      <c r="K160" s="200" t="str">
        <f t="shared" si="44"/>
        <v>-</v>
      </c>
      <c r="L160" s="621"/>
      <c r="M160" s="201" t="e">
        <f>RANK(K160, K$147:$K$176)</f>
        <v>#VALUE!</v>
      </c>
      <c r="N160" s="604"/>
      <c r="O160" s="604"/>
      <c r="P160" s="182"/>
      <c r="Q160" s="182"/>
      <c r="R160" s="182"/>
      <c r="S160" s="300" t="e">
        <f t="shared" si="45"/>
        <v>#N/A</v>
      </c>
      <c r="T160" s="605"/>
      <c r="U160" s="182"/>
      <c r="V160" s="182"/>
      <c r="W160" s="182"/>
      <c r="X160" s="300" t="e">
        <f t="shared" si="46"/>
        <v>#N/A</v>
      </c>
      <c r="Y160" s="605"/>
      <c r="Z160" s="182"/>
      <c r="AA160" s="182"/>
      <c r="AB160" s="182"/>
      <c r="AC160" s="300" t="e">
        <f t="shared" si="47"/>
        <v>#N/A</v>
      </c>
      <c r="AD160" s="605"/>
      <c r="AE160" s="182"/>
      <c r="AF160" s="182"/>
      <c r="AG160" s="182"/>
      <c r="AH160" s="300" t="e">
        <f t="shared" si="48"/>
        <v>#N/A</v>
      </c>
      <c r="AI160" s="605"/>
      <c r="AJ160" s="182"/>
      <c r="AK160" s="182"/>
      <c r="AL160" s="182"/>
      <c r="AM160" s="300" t="e">
        <f t="shared" si="49"/>
        <v>#N/A</v>
      </c>
      <c r="AN160" s="605"/>
      <c r="AO160" s="182"/>
      <c r="AP160" s="182"/>
      <c r="AQ160" s="182"/>
      <c r="AR160" s="300" t="e">
        <f t="shared" si="50"/>
        <v>#N/A</v>
      </c>
      <c r="AS160" s="605"/>
      <c r="AT160" s="182"/>
      <c r="AU160" s="182"/>
      <c r="AV160" s="182"/>
      <c r="AW160" s="300" t="e">
        <f t="shared" si="51"/>
        <v>#N/A</v>
      </c>
      <c r="AX160" s="605"/>
      <c r="AZ160" s="521" t="e">
        <f t="shared" si="52"/>
        <v>#N/A</v>
      </c>
      <c r="BA160" s="605"/>
    </row>
    <row r="161" spans="2:53">
      <c r="B161" s="610"/>
      <c r="C161" s="300">
        <v>15</v>
      </c>
      <c r="D161" s="226"/>
      <c r="E161" s="182"/>
      <c r="F161" s="465"/>
      <c r="G161" s="466"/>
      <c r="H161" s="668"/>
      <c r="I161" s="513" t="str">
        <f t="shared" si="42"/>
        <v>-</v>
      </c>
      <c r="J161" s="513" t="str">
        <f t="shared" si="43"/>
        <v>-</v>
      </c>
      <c r="K161" s="200" t="str">
        <f t="shared" si="44"/>
        <v>-</v>
      </c>
      <c r="L161" s="621"/>
      <c r="M161" s="199" t="e">
        <f>RANK(K161, K$147:$K$176)</f>
        <v>#VALUE!</v>
      </c>
      <c r="N161" s="604"/>
      <c r="O161" s="604"/>
      <c r="P161" s="182"/>
      <c r="Q161" s="182"/>
      <c r="R161" s="182"/>
      <c r="S161" s="300" t="e">
        <f t="shared" ref="S161:S175" si="53">RANK(R161, R$147:R$176)</f>
        <v>#N/A</v>
      </c>
      <c r="T161" s="605"/>
      <c r="U161" s="182"/>
      <c r="V161" s="182"/>
      <c r="W161" s="182"/>
      <c r="X161" s="300" t="e">
        <f t="shared" ref="X161:X175" si="54">RANK(W161, W$147:W$176)</f>
        <v>#N/A</v>
      </c>
      <c r="Y161" s="605"/>
      <c r="Z161" s="182"/>
      <c r="AA161" s="182"/>
      <c r="AB161" s="182"/>
      <c r="AC161" s="300" t="e">
        <f t="shared" ref="AC161:AC175" si="55">RANK(AB161, AB$147:AB$176)</f>
        <v>#N/A</v>
      </c>
      <c r="AD161" s="605"/>
      <c r="AE161" s="182"/>
      <c r="AF161" s="182"/>
      <c r="AG161" s="182"/>
      <c r="AH161" s="300" t="e">
        <f t="shared" ref="AH161:AH175" si="56">RANK(AG161, AG$147:AG$176)</f>
        <v>#N/A</v>
      </c>
      <c r="AI161" s="605"/>
      <c r="AJ161" s="182"/>
      <c r="AK161" s="182"/>
      <c r="AL161" s="182"/>
      <c r="AM161" s="300" t="e">
        <f t="shared" ref="AM161:AM175" si="57">RANK(AL161, AL$147:AL$176)</f>
        <v>#N/A</v>
      </c>
      <c r="AN161" s="605"/>
      <c r="AO161" s="182"/>
      <c r="AP161" s="182"/>
      <c r="AQ161" s="182"/>
      <c r="AR161" s="300" t="e">
        <f t="shared" ref="AR161:AR175" si="58">RANK(AQ161, AQ$147:AQ$176)</f>
        <v>#N/A</v>
      </c>
      <c r="AS161" s="605"/>
      <c r="AT161" s="182"/>
      <c r="AU161" s="182"/>
      <c r="AV161" s="182"/>
      <c r="AW161" s="300" t="e">
        <f t="shared" ref="AW161:AW175" si="59">RANK(AV161, AV$147:AV$176)</f>
        <v>#N/A</v>
      </c>
      <c r="AX161" s="605"/>
      <c r="AZ161" s="521" t="e">
        <f t="shared" si="52"/>
        <v>#N/A</v>
      </c>
      <c r="BA161" s="605"/>
    </row>
    <row r="162" spans="2:53">
      <c r="B162" s="610"/>
      <c r="C162" s="300">
        <v>16</v>
      </c>
      <c r="D162" s="226"/>
      <c r="E162" s="182"/>
      <c r="F162" s="465"/>
      <c r="G162" s="466"/>
      <c r="H162" s="668"/>
      <c r="I162" s="513" t="str">
        <f t="shared" si="42"/>
        <v>-</v>
      </c>
      <c r="J162" s="513" t="str">
        <f t="shared" si="43"/>
        <v>-</v>
      </c>
      <c r="K162" s="200" t="str">
        <f t="shared" si="44"/>
        <v>-</v>
      </c>
      <c r="L162" s="621"/>
      <c r="M162" s="199" t="e">
        <f>RANK(K162, K$147:$K$176)</f>
        <v>#VALUE!</v>
      </c>
      <c r="N162" s="604"/>
      <c r="O162" s="604"/>
      <c r="P162" s="182"/>
      <c r="Q162" s="182"/>
      <c r="R162" s="182"/>
      <c r="S162" s="300" t="e">
        <f t="shared" si="53"/>
        <v>#N/A</v>
      </c>
      <c r="T162" s="605"/>
      <c r="U162" s="182"/>
      <c r="V162" s="182"/>
      <c r="W162" s="182"/>
      <c r="X162" s="300" t="e">
        <f t="shared" si="54"/>
        <v>#N/A</v>
      </c>
      <c r="Y162" s="605"/>
      <c r="Z162" s="182"/>
      <c r="AA162" s="182"/>
      <c r="AB162" s="182"/>
      <c r="AC162" s="300" t="e">
        <f t="shared" si="55"/>
        <v>#N/A</v>
      </c>
      <c r="AD162" s="605"/>
      <c r="AE162" s="182"/>
      <c r="AF162" s="182"/>
      <c r="AG162" s="182"/>
      <c r="AH162" s="300" t="e">
        <f t="shared" si="56"/>
        <v>#N/A</v>
      </c>
      <c r="AI162" s="605"/>
      <c r="AJ162" s="182"/>
      <c r="AK162" s="182"/>
      <c r="AL162" s="182"/>
      <c r="AM162" s="300" t="e">
        <f t="shared" si="57"/>
        <v>#N/A</v>
      </c>
      <c r="AN162" s="605"/>
      <c r="AO162" s="182"/>
      <c r="AP162" s="182"/>
      <c r="AQ162" s="182"/>
      <c r="AR162" s="300" t="e">
        <f t="shared" si="58"/>
        <v>#N/A</v>
      </c>
      <c r="AS162" s="605"/>
      <c r="AT162" s="182"/>
      <c r="AU162" s="182"/>
      <c r="AV162" s="182"/>
      <c r="AW162" s="300" t="e">
        <f t="shared" si="59"/>
        <v>#N/A</v>
      </c>
      <c r="AX162" s="605"/>
      <c r="AZ162" s="521" t="e">
        <f t="shared" si="52"/>
        <v>#N/A</v>
      </c>
      <c r="BA162" s="605"/>
    </row>
    <row r="163" spans="2:53">
      <c r="B163" s="610"/>
      <c r="C163" s="300">
        <v>17</v>
      </c>
      <c r="D163" s="226"/>
      <c r="E163" s="182"/>
      <c r="F163" s="465"/>
      <c r="G163" s="466"/>
      <c r="H163" s="668"/>
      <c r="I163" s="513" t="str">
        <f t="shared" si="42"/>
        <v>-</v>
      </c>
      <c r="J163" s="513" t="str">
        <f t="shared" si="43"/>
        <v>-</v>
      </c>
      <c r="K163" s="200" t="str">
        <f t="shared" si="44"/>
        <v>-</v>
      </c>
      <c r="L163" s="621"/>
      <c r="M163" s="199" t="e">
        <f>RANK(K163, K$147:$K$176)</f>
        <v>#VALUE!</v>
      </c>
      <c r="N163" s="604"/>
      <c r="O163" s="604"/>
      <c r="P163" s="182"/>
      <c r="Q163" s="182"/>
      <c r="R163" s="182"/>
      <c r="S163" s="300" t="e">
        <f t="shared" si="53"/>
        <v>#N/A</v>
      </c>
      <c r="T163" s="605"/>
      <c r="U163" s="182"/>
      <c r="V163" s="182"/>
      <c r="W163" s="182"/>
      <c r="X163" s="300" t="e">
        <f t="shared" si="54"/>
        <v>#N/A</v>
      </c>
      <c r="Y163" s="605"/>
      <c r="Z163" s="182"/>
      <c r="AA163" s="182"/>
      <c r="AB163" s="182"/>
      <c r="AC163" s="300" t="e">
        <f t="shared" si="55"/>
        <v>#N/A</v>
      </c>
      <c r="AD163" s="605"/>
      <c r="AE163" s="182"/>
      <c r="AF163" s="182"/>
      <c r="AG163" s="182"/>
      <c r="AH163" s="300" t="e">
        <f t="shared" si="56"/>
        <v>#N/A</v>
      </c>
      <c r="AI163" s="605"/>
      <c r="AJ163" s="182"/>
      <c r="AK163" s="182"/>
      <c r="AL163" s="182"/>
      <c r="AM163" s="300" t="e">
        <f t="shared" si="57"/>
        <v>#N/A</v>
      </c>
      <c r="AN163" s="605"/>
      <c r="AO163" s="182"/>
      <c r="AP163" s="182"/>
      <c r="AQ163" s="182"/>
      <c r="AR163" s="300" t="e">
        <f t="shared" si="58"/>
        <v>#N/A</v>
      </c>
      <c r="AS163" s="605"/>
      <c r="AT163" s="182"/>
      <c r="AU163" s="182"/>
      <c r="AV163" s="182"/>
      <c r="AW163" s="300" t="e">
        <f t="shared" si="59"/>
        <v>#N/A</v>
      </c>
      <c r="AX163" s="605"/>
      <c r="AZ163" s="521" t="e">
        <f t="shared" si="52"/>
        <v>#N/A</v>
      </c>
      <c r="BA163" s="605"/>
    </row>
    <row r="164" spans="2:53">
      <c r="B164" s="610"/>
      <c r="C164" s="300">
        <v>18</v>
      </c>
      <c r="D164" s="226"/>
      <c r="E164" s="182"/>
      <c r="F164" s="465"/>
      <c r="G164" s="466"/>
      <c r="H164" s="668"/>
      <c r="I164" s="513" t="str">
        <f t="shared" si="42"/>
        <v>-</v>
      </c>
      <c r="J164" s="513" t="str">
        <f t="shared" si="43"/>
        <v>-</v>
      </c>
      <c r="K164" s="200" t="str">
        <f t="shared" si="44"/>
        <v>-</v>
      </c>
      <c r="L164" s="621"/>
      <c r="M164" s="199" t="e">
        <f>RANK(K164, K$147:$K$176)</f>
        <v>#VALUE!</v>
      </c>
      <c r="N164" s="604"/>
      <c r="O164" s="604"/>
      <c r="P164" s="182"/>
      <c r="Q164" s="182"/>
      <c r="R164" s="182"/>
      <c r="S164" s="300" t="e">
        <f t="shared" si="53"/>
        <v>#N/A</v>
      </c>
      <c r="T164" s="605"/>
      <c r="U164" s="182"/>
      <c r="V164" s="182"/>
      <c r="W164" s="182"/>
      <c r="X164" s="300" t="e">
        <f t="shared" si="54"/>
        <v>#N/A</v>
      </c>
      <c r="Y164" s="605"/>
      <c r="Z164" s="182"/>
      <c r="AA164" s="182"/>
      <c r="AB164" s="182"/>
      <c r="AC164" s="300" t="e">
        <f t="shared" si="55"/>
        <v>#N/A</v>
      </c>
      <c r="AD164" s="605"/>
      <c r="AE164" s="182"/>
      <c r="AF164" s="182"/>
      <c r="AG164" s="182"/>
      <c r="AH164" s="300" t="e">
        <f t="shared" si="56"/>
        <v>#N/A</v>
      </c>
      <c r="AI164" s="605"/>
      <c r="AJ164" s="182"/>
      <c r="AK164" s="182"/>
      <c r="AL164" s="182"/>
      <c r="AM164" s="300" t="e">
        <f t="shared" si="57"/>
        <v>#N/A</v>
      </c>
      <c r="AN164" s="605"/>
      <c r="AO164" s="182"/>
      <c r="AP164" s="182"/>
      <c r="AQ164" s="182"/>
      <c r="AR164" s="300" t="e">
        <f t="shared" si="58"/>
        <v>#N/A</v>
      </c>
      <c r="AS164" s="605"/>
      <c r="AT164" s="182"/>
      <c r="AU164" s="182"/>
      <c r="AV164" s="182"/>
      <c r="AW164" s="300" t="e">
        <f t="shared" si="59"/>
        <v>#N/A</v>
      </c>
      <c r="AX164" s="605"/>
      <c r="AZ164" s="521" t="e">
        <f t="shared" si="52"/>
        <v>#N/A</v>
      </c>
      <c r="BA164" s="605"/>
    </row>
    <row r="165" spans="2:53">
      <c r="B165" s="610"/>
      <c r="C165" s="300">
        <v>19</v>
      </c>
      <c r="D165" s="226"/>
      <c r="E165" s="182"/>
      <c r="F165" s="465"/>
      <c r="G165" s="466"/>
      <c r="H165" s="668"/>
      <c r="I165" s="513" t="str">
        <f t="shared" si="42"/>
        <v>-</v>
      </c>
      <c r="J165" s="513" t="str">
        <f t="shared" si="43"/>
        <v>-</v>
      </c>
      <c r="K165" s="200" t="str">
        <f t="shared" si="44"/>
        <v>-</v>
      </c>
      <c r="L165" s="621"/>
      <c r="M165" s="199" t="e">
        <f>RANK(K165, K$147:$K$176)</f>
        <v>#VALUE!</v>
      </c>
      <c r="N165" s="604"/>
      <c r="O165" s="604"/>
      <c r="P165" s="182"/>
      <c r="Q165" s="182"/>
      <c r="R165" s="182"/>
      <c r="S165" s="300" t="e">
        <f t="shared" si="53"/>
        <v>#N/A</v>
      </c>
      <c r="T165" s="605"/>
      <c r="U165" s="182"/>
      <c r="V165" s="182"/>
      <c r="W165" s="182"/>
      <c r="X165" s="300" t="e">
        <f t="shared" si="54"/>
        <v>#N/A</v>
      </c>
      <c r="Y165" s="605"/>
      <c r="Z165" s="182"/>
      <c r="AA165" s="182"/>
      <c r="AB165" s="182"/>
      <c r="AC165" s="300" t="e">
        <f t="shared" si="55"/>
        <v>#N/A</v>
      </c>
      <c r="AD165" s="605"/>
      <c r="AE165" s="182"/>
      <c r="AF165" s="182"/>
      <c r="AG165" s="182"/>
      <c r="AH165" s="300" t="e">
        <f t="shared" si="56"/>
        <v>#N/A</v>
      </c>
      <c r="AI165" s="605"/>
      <c r="AJ165" s="182"/>
      <c r="AK165" s="182"/>
      <c r="AL165" s="182"/>
      <c r="AM165" s="300" t="e">
        <f t="shared" si="57"/>
        <v>#N/A</v>
      </c>
      <c r="AN165" s="605"/>
      <c r="AO165" s="182"/>
      <c r="AP165" s="182"/>
      <c r="AQ165" s="182"/>
      <c r="AR165" s="300" t="e">
        <f t="shared" si="58"/>
        <v>#N/A</v>
      </c>
      <c r="AS165" s="605"/>
      <c r="AT165" s="182"/>
      <c r="AU165" s="182"/>
      <c r="AV165" s="182"/>
      <c r="AW165" s="300" t="e">
        <f t="shared" si="59"/>
        <v>#N/A</v>
      </c>
      <c r="AX165" s="605"/>
      <c r="AZ165" s="521" t="e">
        <f t="shared" si="52"/>
        <v>#N/A</v>
      </c>
      <c r="BA165" s="605"/>
    </row>
    <row r="166" spans="2:53">
      <c r="B166" s="610"/>
      <c r="C166" s="300">
        <v>20</v>
      </c>
      <c r="D166" s="226"/>
      <c r="E166" s="182"/>
      <c r="F166" s="465"/>
      <c r="G166" s="466"/>
      <c r="H166" s="668"/>
      <c r="I166" s="513" t="str">
        <f t="shared" si="42"/>
        <v>-</v>
      </c>
      <c r="J166" s="513" t="str">
        <f t="shared" si="43"/>
        <v>-</v>
      </c>
      <c r="K166" s="200" t="str">
        <f t="shared" si="44"/>
        <v>-</v>
      </c>
      <c r="L166" s="621"/>
      <c r="M166" s="199" t="e">
        <f>RANK(K166, K$147:$K$176)</f>
        <v>#VALUE!</v>
      </c>
      <c r="N166" s="604"/>
      <c r="O166" s="604"/>
      <c r="P166" s="182"/>
      <c r="Q166" s="182"/>
      <c r="R166" s="182"/>
      <c r="S166" s="300" t="e">
        <f t="shared" si="53"/>
        <v>#N/A</v>
      </c>
      <c r="T166" s="605"/>
      <c r="U166" s="182"/>
      <c r="V166" s="182"/>
      <c r="W166" s="182"/>
      <c r="X166" s="300" t="e">
        <f t="shared" si="54"/>
        <v>#N/A</v>
      </c>
      <c r="Y166" s="605"/>
      <c r="Z166" s="182"/>
      <c r="AA166" s="182"/>
      <c r="AB166" s="182"/>
      <c r="AC166" s="300" t="e">
        <f t="shared" si="55"/>
        <v>#N/A</v>
      </c>
      <c r="AD166" s="605"/>
      <c r="AE166" s="182"/>
      <c r="AF166" s="182"/>
      <c r="AG166" s="182"/>
      <c r="AH166" s="300" t="e">
        <f t="shared" si="56"/>
        <v>#N/A</v>
      </c>
      <c r="AI166" s="605"/>
      <c r="AJ166" s="182"/>
      <c r="AK166" s="182"/>
      <c r="AL166" s="182"/>
      <c r="AM166" s="300" t="e">
        <f t="shared" si="57"/>
        <v>#N/A</v>
      </c>
      <c r="AN166" s="605"/>
      <c r="AO166" s="182"/>
      <c r="AP166" s="182"/>
      <c r="AQ166" s="182"/>
      <c r="AR166" s="300" t="e">
        <f t="shared" si="58"/>
        <v>#N/A</v>
      </c>
      <c r="AS166" s="605"/>
      <c r="AT166" s="182"/>
      <c r="AU166" s="182"/>
      <c r="AV166" s="182"/>
      <c r="AW166" s="300" t="e">
        <f t="shared" si="59"/>
        <v>#N/A</v>
      </c>
      <c r="AX166" s="605"/>
      <c r="AZ166" s="521" t="e">
        <f t="shared" si="52"/>
        <v>#N/A</v>
      </c>
      <c r="BA166" s="605"/>
    </row>
    <row r="167" spans="2:53">
      <c r="B167" s="610"/>
      <c r="C167" s="300">
        <v>21</v>
      </c>
      <c r="D167" s="226"/>
      <c r="E167" s="182"/>
      <c r="F167" s="465"/>
      <c r="G167" s="466"/>
      <c r="H167" s="668"/>
      <c r="I167" s="513" t="str">
        <f t="shared" si="42"/>
        <v>-</v>
      </c>
      <c r="J167" s="513" t="str">
        <f t="shared" si="43"/>
        <v>-</v>
      </c>
      <c r="K167" s="200" t="str">
        <f t="shared" si="44"/>
        <v>-</v>
      </c>
      <c r="L167" s="621"/>
      <c r="M167" s="199" t="e">
        <f>RANK(K167, K$147:$K$176)</f>
        <v>#VALUE!</v>
      </c>
      <c r="N167" s="604"/>
      <c r="O167" s="604"/>
      <c r="P167" s="182"/>
      <c r="Q167" s="182"/>
      <c r="R167" s="182"/>
      <c r="S167" s="300" t="e">
        <f t="shared" si="53"/>
        <v>#N/A</v>
      </c>
      <c r="T167" s="605"/>
      <c r="U167" s="182"/>
      <c r="V167" s="182"/>
      <c r="W167" s="182"/>
      <c r="X167" s="300" t="e">
        <f t="shared" si="54"/>
        <v>#N/A</v>
      </c>
      <c r="Y167" s="605"/>
      <c r="Z167" s="182"/>
      <c r="AA167" s="182"/>
      <c r="AB167" s="182"/>
      <c r="AC167" s="300" t="e">
        <f t="shared" si="55"/>
        <v>#N/A</v>
      </c>
      <c r="AD167" s="605"/>
      <c r="AE167" s="182"/>
      <c r="AF167" s="182"/>
      <c r="AG167" s="182"/>
      <c r="AH167" s="300" t="e">
        <f t="shared" si="56"/>
        <v>#N/A</v>
      </c>
      <c r="AI167" s="605"/>
      <c r="AJ167" s="182"/>
      <c r="AK167" s="182"/>
      <c r="AL167" s="182"/>
      <c r="AM167" s="300" t="e">
        <f t="shared" si="57"/>
        <v>#N/A</v>
      </c>
      <c r="AN167" s="605"/>
      <c r="AO167" s="182"/>
      <c r="AP167" s="182"/>
      <c r="AQ167" s="182"/>
      <c r="AR167" s="300" t="e">
        <f t="shared" si="58"/>
        <v>#N/A</v>
      </c>
      <c r="AS167" s="605"/>
      <c r="AT167" s="182"/>
      <c r="AU167" s="182"/>
      <c r="AV167" s="182"/>
      <c r="AW167" s="300" t="e">
        <f t="shared" si="59"/>
        <v>#N/A</v>
      </c>
      <c r="AX167" s="605"/>
      <c r="AZ167" s="521" t="e">
        <f t="shared" si="52"/>
        <v>#N/A</v>
      </c>
      <c r="BA167" s="605"/>
    </row>
    <row r="168" spans="2:53">
      <c r="B168" s="610"/>
      <c r="C168" s="300">
        <v>22</v>
      </c>
      <c r="D168" s="226"/>
      <c r="E168" s="182"/>
      <c r="F168" s="465"/>
      <c r="G168" s="466"/>
      <c r="H168" s="668"/>
      <c r="I168" s="513" t="str">
        <f t="shared" si="42"/>
        <v>-</v>
      </c>
      <c r="J168" s="513" t="str">
        <f t="shared" si="43"/>
        <v>-</v>
      </c>
      <c r="K168" s="200" t="str">
        <f t="shared" si="44"/>
        <v>-</v>
      </c>
      <c r="L168" s="621"/>
      <c r="M168" s="199" t="e">
        <f>RANK(K168, K$147:$K$176)</f>
        <v>#VALUE!</v>
      </c>
      <c r="N168" s="604"/>
      <c r="O168" s="604"/>
      <c r="P168" s="182"/>
      <c r="Q168" s="182"/>
      <c r="R168" s="182"/>
      <c r="S168" s="300" t="e">
        <f t="shared" si="53"/>
        <v>#N/A</v>
      </c>
      <c r="T168" s="605"/>
      <c r="U168" s="182"/>
      <c r="V168" s="182"/>
      <c r="W168" s="182"/>
      <c r="X168" s="300" t="e">
        <f t="shared" si="54"/>
        <v>#N/A</v>
      </c>
      <c r="Y168" s="605"/>
      <c r="Z168" s="182"/>
      <c r="AA168" s="182"/>
      <c r="AB168" s="182"/>
      <c r="AC168" s="300" t="e">
        <f t="shared" si="55"/>
        <v>#N/A</v>
      </c>
      <c r="AD168" s="605"/>
      <c r="AE168" s="182"/>
      <c r="AF168" s="182"/>
      <c r="AG168" s="182"/>
      <c r="AH168" s="300" t="e">
        <f t="shared" si="56"/>
        <v>#N/A</v>
      </c>
      <c r="AI168" s="605"/>
      <c r="AJ168" s="182"/>
      <c r="AK168" s="182"/>
      <c r="AL168" s="182"/>
      <c r="AM168" s="300" t="e">
        <f t="shared" si="57"/>
        <v>#N/A</v>
      </c>
      <c r="AN168" s="605"/>
      <c r="AO168" s="182"/>
      <c r="AP168" s="182"/>
      <c r="AQ168" s="182"/>
      <c r="AR168" s="300" t="e">
        <f t="shared" si="58"/>
        <v>#N/A</v>
      </c>
      <c r="AS168" s="605"/>
      <c r="AT168" s="182"/>
      <c r="AU168" s="182"/>
      <c r="AV168" s="182"/>
      <c r="AW168" s="300" t="e">
        <f t="shared" si="59"/>
        <v>#N/A</v>
      </c>
      <c r="AX168" s="605"/>
      <c r="AZ168" s="521" t="e">
        <f t="shared" si="52"/>
        <v>#N/A</v>
      </c>
      <c r="BA168" s="605"/>
    </row>
    <row r="169" spans="2:53">
      <c r="B169" s="610"/>
      <c r="C169" s="300">
        <v>23</v>
      </c>
      <c r="D169" s="226"/>
      <c r="E169" s="182"/>
      <c r="F169" s="465"/>
      <c r="G169" s="466"/>
      <c r="H169" s="668"/>
      <c r="I169" s="513" t="str">
        <f t="shared" si="42"/>
        <v>-</v>
      </c>
      <c r="J169" s="513" t="str">
        <f t="shared" si="43"/>
        <v>-</v>
      </c>
      <c r="K169" s="200" t="str">
        <f t="shared" si="44"/>
        <v>-</v>
      </c>
      <c r="L169" s="621"/>
      <c r="M169" s="199" t="e">
        <f>RANK(K169, K$147:$K$176)</f>
        <v>#VALUE!</v>
      </c>
      <c r="N169" s="604"/>
      <c r="O169" s="604"/>
      <c r="P169" s="182"/>
      <c r="Q169" s="182"/>
      <c r="R169" s="182"/>
      <c r="S169" s="300" t="e">
        <f t="shared" si="53"/>
        <v>#N/A</v>
      </c>
      <c r="T169" s="605"/>
      <c r="U169" s="182"/>
      <c r="V169" s="182"/>
      <c r="W169" s="182"/>
      <c r="X169" s="300" t="e">
        <f t="shared" si="54"/>
        <v>#N/A</v>
      </c>
      <c r="Y169" s="605"/>
      <c r="Z169" s="182"/>
      <c r="AA169" s="182"/>
      <c r="AB169" s="182"/>
      <c r="AC169" s="300" t="e">
        <f t="shared" si="55"/>
        <v>#N/A</v>
      </c>
      <c r="AD169" s="605"/>
      <c r="AE169" s="182"/>
      <c r="AF169" s="182"/>
      <c r="AG169" s="182"/>
      <c r="AH169" s="300" t="e">
        <f t="shared" si="56"/>
        <v>#N/A</v>
      </c>
      <c r="AI169" s="605"/>
      <c r="AJ169" s="182"/>
      <c r="AK169" s="182"/>
      <c r="AL169" s="182"/>
      <c r="AM169" s="300" t="e">
        <f t="shared" si="57"/>
        <v>#N/A</v>
      </c>
      <c r="AN169" s="605"/>
      <c r="AO169" s="182"/>
      <c r="AP169" s="182"/>
      <c r="AQ169" s="182"/>
      <c r="AR169" s="300" t="e">
        <f t="shared" si="58"/>
        <v>#N/A</v>
      </c>
      <c r="AS169" s="605"/>
      <c r="AT169" s="182"/>
      <c r="AU169" s="182"/>
      <c r="AV169" s="182"/>
      <c r="AW169" s="300" t="e">
        <f t="shared" si="59"/>
        <v>#N/A</v>
      </c>
      <c r="AX169" s="605"/>
      <c r="AZ169" s="521" t="e">
        <f t="shared" si="52"/>
        <v>#N/A</v>
      </c>
      <c r="BA169" s="605"/>
    </row>
    <row r="170" spans="2:53">
      <c r="B170" s="610"/>
      <c r="C170" s="300">
        <v>24</v>
      </c>
      <c r="D170" s="226"/>
      <c r="E170" s="182"/>
      <c r="F170" s="465"/>
      <c r="G170" s="466"/>
      <c r="H170" s="668"/>
      <c r="I170" s="513" t="str">
        <f t="shared" si="42"/>
        <v>-</v>
      </c>
      <c r="J170" s="513" t="str">
        <f t="shared" si="43"/>
        <v>-</v>
      </c>
      <c r="K170" s="200" t="str">
        <f t="shared" si="44"/>
        <v>-</v>
      </c>
      <c r="L170" s="621"/>
      <c r="M170" s="199" t="e">
        <f>RANK(K170, K$147:$K$176)</f>
        <v>#VALUE!</v>
      </c>
      <c r="N170" s="604"/>
      <c r="O170" s="604"/>
      <c r="P170" s="182"/>
      <c r="Q170" s="182"/>
      <c r="R170" s="182"/>
      <c r="S170" s="300" t="e">
        <f t="shared" si="53"/>
        <v>#N/A</v>
      </c>
      <c r="T170" s="605"/>
      <c r="U170" s="182"/>
      <c r="V170" s="182"/>
      <c r="W170" s="182"/>
      <c r="X170" s="300" t="e">
        <f t="shared" si="54"/>
        <v>#N/A</v>
      </c>
      <c r="Y170" s="605"/>
      <c r="Z170" s="182"/>
      <c r="AA170" s="182"/>
      <c r="AB170" s="182"/>
      <c r="AC170" s="300" t="e">
        <f t="shared" si="55"/>
        <v>#N/A</v>
      </c>
      <c r="AD170" s="605"/>
      <c r="AE170" s="182"/>
      <c r="AF170" s="182"/>
      <c r="AG170" s="182"/>
      <c r="AH170" s="300" t="e">
        <f t="shared" si="56"/>
        <v>#N/A</v>
      </c>
      <c r="AI170" s="605"/>
      <c r="AJ170" s="182"/>
      <c r="AK170" s="182"/>
      <c r="AL170" s="182"/>
      <c r="AM170" s="300" t="e">
        <f t="shared" si="57"/>
        <v>#N/A</v>
      </c>
      <c r="AN170" s="605"/>
      <c r="AO170" s="182"/>
      <c r="AP170" s="182"/>
      <c r="AQ170" s="182"/>
      <c r="AR170" s="300" t="e">
        <f t="shared" si="58"/>
        <v>#N/A</v>
      </c>
      <c r="AS170" s="605"/>
      <c r="AT170" s="182"/>
      <c r="AU170" s="182"/>
      <c r="AV170" s="182"/>
      <c r="AW170" s="300" t="e">
        <f t="shared" si="59"/>
        <v>#N/A</v>
      </c>
      <c r="AX170" s="605"/>
      <c r="AZ170" s="521" t="e">
        <f t="shared" si="52"/>
        <v>#N/A</v>
      </c>
      <c r="BA170" s="605"/>
    </row>
    <row r="171" spans="2:53">
      <c r="B171" s="610"/>
      <c r="C171" s="300">
        <v>25</v>
      </c>
      <c r="D171" s="226"/>
      <c r="E171" s="182"/>
      <c r="F171" s="465"/>
      <c r="G171" s="466"/>
      <c r="H171" s="668"/>
      <c r="I171" s="513" t="str">
        <f t="shared" si="42"/>
        <v>-</v>
      </c>
      <c r="J171" s="513" t="str">
        <f t="shared" si="43"/>
        <v>-</v>
      </c>
      <c r="K171" s="200" t="str">
        <f t="shared" si="44"/>
        <v>-</v>
      </c>
      <c r="L171" s="621"/>
      <c r="M171" s="199" t="e">
        <f>RANK(K171, K$147:$K$176)</f>
        <v>#VALUE!</v>
      </c>
      <c r="N171" s="604"/>
      <c r="O171" s="604"/>
      <c r="P171" s="182"/>
      <c r="Q171" s="182"/>
      <c r="R171" s="182"/>
      <c r="S171" s="300" t="e">
        <f t="shared" si="53"/>
        <v>#N/A</v>
      </c>
      <c r="T171" s="605"/>
      <c r="U171" s="182"/>
      <c r="V171" s="182"/>
      <c r="W171" s="182"/>
      <c r="X171" s="300" t="e">
        <f t="shared" si="54"/>
        <v>#N/A</v>
      </c>
      <c r="Y171" s="605"/>
      <c r="Z171" s="182"/>
      <c r="AA171" s="182"/>
      <c r="AB171" s="182"/>
      <c r="AC171" s="300" t="e">
        <f t="shared" si="55"/>
        <v>#N/A</v>
      </c>
      <c r="AD171" s="605"/>
      <c r="AE171" s="182"/>
      <c r="AF171" s="182"/>
      <c r="AG171" s="182"/>
      <c r="AH171" s="300" t="e">
        <f t="shared" si="56"/>
        <v>#N/A</v>
      </c>
      <c r="AI171" s="605"/>
      <c r="AJ171" s="182"/>
      <c r="AK171" s="182"/>
      <c r="AL171" s="182"/>
      <c r="AM171" s="300" t="e">
        <f t="shared" si="57"/>
        <v>#N/A</v>
      </c>
      <c r="AN171" s="605"/>
      <c r="AO171" s="182"/>
      <c r="AP171" s="182"/>
      <c r="AQ171" s="182"/>
      <c r="AR171" s="300" t="e">
        <f t="shared" si="58"/>
        <v>#N/A</v>
      </c>
      <c r="AS171" s="605"/>
      <c r="AT171" s="182"/>
      <c r="AU171" s="182"/>
      <c r="AV171" s="182"/>
      <c r="AW171" s="300" t="e">
        <f t="shared" si="59"/>
        <v>#N/A</v>
      </c>
      <c r="AX171" s="605"/>
      <c r="AZ171" s="521" t="e">
        <f t="shared" si="52"/>
        <v>#N/A</v>
      </c>
      <c r="BA171" s="605"/>
    </row>
    <row r="172" spans="2:53">
      <c r="B172" s="610"/>
      <c r="C172" s="300">
        <v>26</v>
      </c>
      <c r="D172" s="226"/>
      <c r="E172" s="182"/>
      <c r="F172" s="465"/>
      <c r="G172" s="466"/>
      <c r="H172" s="668"/>
      <c r="I172" s="513" t="str">
        <f t="shared" si="42"/>
        <v>-</v>
      </c>
      <c r="J172" s="513" t="str">
        <f t="shared" si="43"/>
        <v>-</v>
      </c>
      <c r="K172" s="200" t="str">
        <f t="shared" si="44"/>
        <v>-</v>
      </c>
      <c r="L172" s="621"/>
      <c r="M172" s="199" t="e">
        <f>RANK(K172, K$147:$K$176)</f>
        <v>#VALUE!</v>
      </c>
      <c r="N172" s="604"/>
      <c r="O172" s="604"/>
      <c r="P172" s="182"/>
      <c r="Q172" s="182"/>
      <c r="R172" s="182"/>
      <c r="S172" s="300" t="e">
        <f t="shared" si="53"/>
        <v>#N/A</v>
      </c>
      <c r="T172" s="605"/>
      <c r="U172" s="182"/>
      <c r="V172" s="182"/>
      <c r="W172" s="182"/>
      <c r="X172" s="300" t="e">
        <f t="shared" si="54"/>
        <v>#N/A</v>
      </c>
      <c r="Y172" s="605"/>
      <c r="Z172" s="182"/>
      <c r="AA172" s="182"/>
      <c r="AB172" s="182"/>
      <c r="AC172" s="300" t="e">
        <f t="shared" si="55"/>
        <v>#N/A</v>
      </c>
      <c r="AD172" s="605"/>
      <c r="AE172" s="182"/>
      <c r="AF172" s="182"/>
      <c r="AG172" s="182"/>
      <c r="AH172" s="300" t="e">
        <f t="shared" si="56"/>
        <v>#N/A</v>
      </c>
      <c r="AI172" s="605"/>
      <c r="AJ172" s="182"/>
      <c r="AK172" s="182"/>
      <c r="AL172" s="182"/>
      <c r="AM172" s="300" t="e">
        <f t="shared" si="57"/>
        <v>#N/A</v>
      </c>
      <c r="AN172" s="605"/>
      <c r="AO172" s="182"/>
      <c r="AP172" s="182"/>
      <c r="AQ172" s="182"/>
      <c r="AR172" s="300" t="e">
        <f t="shared" si="58"/>
        <v>#N/A</v>
      </c>
      <c r="AS172" s="605"/>
      <c r="AT172" s="182"/>
      <c r="AU172" s="182"/>
      <c r="AV172" s="182"/>
      <c r="AW172" s="300" t="e">
        <f t="shared" si="59"/>
        <v>#N/A</v>
      </c>
      <c r="AX172" s="605"/>
      <c r="AZ172" s="521" t="e">
        <f t="shared" si="52"/>
        <v>#N/A</v>
      </c>
      <c r="BA172" s="605"/>
    </row>
    <row r="173" spans="2:53">
      <c r="B173" s="610"/>
      <c r="C173" s="300">
        <v>27</v>
      </c>
      <c r="D173" s="226"/>
      <c r="E173" s="182"/>
      <c r="F173" s="465"/>
      <c r="G173" s="466"/>
      <c r="H173" s="668"/>
      <c r="I173" s="513" t="str">
        <f t="shared" si="42"/>
        <v>-</v>
      </c>
      <c r="J173" s="513" t="str">
        <f t="shared" si="43"/>
        <v>-</v>
      </c>
      <c r="K173" s="200" t="str">
        <f t="shared" si="44"/>
        <v>-</v>
      </c>
      <c r="L173" s="621"/>
      <c r="M173" s="199" t="e">
        <f>RANK(K173, K$147:$K$176)</f>
        <v>#VALUE!</v>
      </c>
      <c r="N173" s="604"/>
      <c r="O173" s="604"/>
      <c r="P173" s="182"/>
      <c r="Q173" s="182"/>
      <c r="R173" s="182"/>
      <c r="S173" s="300" t="e">
        <f t="shared" si="53"/>
        <v>#N/A</v>
      </c>
      <c r="T173" s="605"/>
      <c r="U173" s="182"/>
      <c r="V173" s="182"/>
      <c r="W173" s="182"/>
      <c r="X173" s="300" t="e">
        <f t="shared" si="54"/>
        <v>#N/A</v>
      </c>
      <c r="Y173" s="605"/>
      <c r="Z173" s="182"/>
      <c r="AA173" s="182"/>
      <c r="AB173" s="182"/>
      <c r="AC173" s="300" t="e">
        <f t="shared" si="55"/>
        <v>#N/A</v>
      </c>
      <c r="AD173" s="605"/>
      <c r="AE173" s="182"/>
      <c r="AF173" s="182"/>
      <c r="AG173" s="182"/>
      <c r="AH173" s="300" t="e">
        <f t="shared" si="56"/>
        <v>#N/A</v>
      </c>
      <c r="AI173" s="605"/>
      <c r="AJ173" s="182"/>
      <c r="AK173" s="182"/>
      <c r="AL173" s="182"/>
      <c r="AM173" s="300" t="e">
        <f t="shared" si="57"/>
        <v>#N/A</v>
      </c>
      <c r="AN173" s="605"/>
      <c r="AO173" s="182"/>
      <c r="AP173" s="182"/>
      <c r="AQ173" s="182"/>
      <c r="AR173" s="300" t="e">
        <f t="shared" si="58"/>
        <v>#N/A</v>
      </c>
      <c r="AS173" s="605"/>
      <c r="AT173" s="182"/>
      <c r="AU173" s="182"/>
      <c r="AV173" s="182"/>
      <c r="AW173" s="300" t="e">
        <f t="shared" si="59"/>
        <v>#N/A</v>
      </c>
      <c r="AX173" s="605"/>
      <c r="AZ173" s="521" t="e">
        <f t="shared" si="52"/>
        <v>#N/A</v>
      </c>
      <c r="BA173" s="605"/>
    </row>
    <row r="174" spans="2:53">
      <c r="B174" s="610"/>
      <c r="C174" s="300">
        <v>28</v>
      </c>
      <c r="D174" s="226"/>
      <c r="E174" s="182"/>
      <c r="F174" s="465"/>
      <c r="G174" s="466"/>
      <c r="H174" s="668"/>
      <c r="I174" s="513" t="str">
        <f t="shared" si="42"/>
        <v>-</v>
      </c>
      <c r="J174" s="513" t="str">
        <f t="shared" si="43"/>
        <v>-</v>
      </c>
      <c r="K174" s="200" t="str">
        <f t="shared" si="44"/>
        <v>-</v>
      </c>
      <c r="L174" s="621"/>
      <c r="M174" s="199" t="e">
        <f>RANK(K174, K$147:$K$176)</f>
        <v>#VALUE!</v>
      </c>
      <c r="N174" s="604"/>
      <c r="O174" s="604"/>
      <c r="P174" s="182"/>
      <c r="Q174" s="182"/>
      <c r="R174" s="182"/>
      <c r="S174" s="300" t="e">
        <f t="shared" si="53"/>
        <v>#N/A</v>
      </c>
      <c r="T174" s="605"/>
      <c r="U174" s="182"/>
      <c r="V174" s="182"/>
      <c r="W174" s="182"/>
      <c r="X174" s="300" t="e">
        <f t="shared" si="54"/>
        <v>#N/A</v>
      </c>
      <c r="Y174" s="605"/>
      <c r="Z174" s="182"/>
      <c r="AA174" s="182"/>
      <c r="AB174" s="182"/>
      <c r="AC174" s="300" t="e">
        <f t="shared" si="55"/>
        <v>#N/A</v>
      </c>
      <c r="AD174" s="605"/>
      <c r="AE174" s="182"/>
      <c r="AF174" s="182"/>
      <c r="AG174" s="182"/>
      <c r="AH174" s="300" t="e">
        <f t="shared" si="56"/>
        <v>#N/A</v>
      </c>
      <c r="AI174" s="605"/>
      <c r="AJ174" s="182"/>
      <c r="AK174" s="182"/>
      <c r="AL174" s="182"/>
      <c r="AM174" s="300" t="e">
        <f t="shared" si="57"/>
        <v>#N/A</v>
      </c>
      <c r="AN174" s="605"/>
      <c r="AO174" s="182"/>
      <c r="AP174" s="182"/>
      <c r="AQ174" s="182"/>
      <c r="AR174" s="300" t="e">
        <f t="shared" si="58"/>
        <v>#N/A</v>
      </c>
      <c r="AS174" s="605"/>
      <c r="AT174" s="182"/>
      <c r="AU174" s="182"/>
      <c r="AV174" s="182"/>
      <c r="AW174" s="300" t="e">
        <f t="shared" si="59"/>
        <v>#N/A</v>
      </c>
      <c r="AX174" s="605"/>
      <c r="AZ174" s="521" t="e">
        <f t="shared" si="52"/>
        <v>#N/A</v>
      </c>
      <c r="BA174" s="605"/>
    </row>
    <row r="175" spans="2:53">
      <c r="B175" s="610"/>
      <c r="C175" s="300">
        <v>29</v>
      </c>
      <c r="D175" s="226"/>
      <c r="E175" s="182"/>
      <c r="F175" s="465"/>
      <c r="G175" s="466"/>
      <c r="H175" s="668"/>
      <c r="I175" s="513" t="str">
        <f t="shared" si="42"/>
        <v>-</v>
      </c>
      <c r="J175" s="513" t="str">
        <f t="shared" si="43"/>
        <v>-</v>
      </c>
      <c r="K175" s="200" t="str">
        <f t="shared" si="44"/>
        <v>-</v>
      </c>
      <c r="L175" s="621"/>
      <c r="M175" s="199" t="e">
        <f>RANK(K175, K$147:$K$176)</f>
        <v>#VALUE!</v>
      </c>
      <c r="N175" s="604"/>
      <c r="O175" s="604"/>
      <c r="P175" s="182"/>
      <c r="Q175" s="182"/>
      <c r="R175" s="182"/>
      <c r="S175" s="300" t="e">
        <f t="shared" si="53"/>
        <v>#N/A</v>
      </c>
      <c r="T175" s="605"/>
      <c r="U175" s="182"/>
      <c r="V175" s="182"/>
      <c r="W175" s="182"/>
      <c r="X175" s="300" t="e">
        <f t="shared" si="54"/>
        <v>#N/A</v>
      </c>
      <c r="Y175" s="605"/>
      <c r="Z175" s="182"/>
      <c r="AA175" s="182"/>
      <c r="AB175" s="182"/>
      <c r="AC175" s="300" t="e">
        <f t="shared" si="55"/>
        <v>#N/A</v>
      </c>
      <c r="AD175" s="605"/>
      <c r="AE175" s="182"/>
      <c r="AF175" s="182"/>
      <c r="AG175" s="182"/>
      <c r="AH175" s="300" t="e">
        <f t="shared" si="56"/>
        <v>#N/A</v>
      </c>
      <c r="AI175" s="605"/>
      <c r="AJ175" s="182"/>
      <c r="AK175" s="182"/>
      <c r="AL175" s="182"/>
      <c r="AM175" s="300" t="e">
        <f t="shared" si="57"/>
        <v>#N/A</v>
      </c>
      <c r="AN175" s="605"/>
      <c r="AO175" s="182"/>
      <c r="AP175" s="182"/>
      <c r="AQ175" s="182"/>
      <c r="AR175" s="300" t="e">
        <f t="shared" si="58"/>
        <v>#N/A</v>
      </c>
      <c r="AS175" s="605"/>
      <c r="AT175" s="182"/>
      <c r="AU175" s="182"/>
      <c r="AV175" s="182"/>
      <c r="AW175" s="300" t="e">
        <f t="shared" si="59"/>
        <v>#N/A</v>
      </c>
      <c r="AX175" s="605"/>
      <c r="AZ175" s="521" t="e">
        <f t="shared" si="52"/>
        <v>#N/A</v>
      </c>
      <c r="BA175" s="605"/>
    </row>
    <row r="176" spans="2:53">
      <c r="B176" s="610"/>
      <c r="C176" s="300">
        <v>30</v>
      </c>
      <c r="D176" s="226"/>
      <c r="E176" s="182"/>
      <c r="F176" s="465"/>
      <c r="G176" s="466"/>
      <c r="H176" s="669"/>
      <c r="I176" s="513" t="str">
        <f t="shared" si="42"/>
        <v>-</v>
      </c>
      <c r="J176" s="513" t="str">
        <f t="shared" si="43"/>
        <v>-</v>
      </c>
      <c r="K176" s="200" t="str">
        <f t="shared" si="44"/>
        <v>-</v>
      </c>
      <c r="L176" s="622"/>
      <c r="M176" s="199" t="e">
        <f>RANK(K176, K$147:$K$176)</f>
        <v>#VALUE!</v>
      </c>
      <c r="N176" s="604"/>
      <c r="O176" s="604"/>
      <c r="P176" s="182"/>
      <c r="Q176" s="182"/>
      <c r="R176" s="182"/>
      <c r="S176" s="300" t="e">
        <f t="shared" si="45"/>
        <v>#N/A</v>
      </c>
      <c r="T176" s="605"/>
      <c r="U176" s="182"/>
      <c r="V176" s="182"/>
      <c r="W176" s="182"/>
      <c r="X176" s="300" t="e">
        <f t="shared" si="46"/>
        <v>#N/A</v>
      </c>
      <c r="Y176" s="605"/>
      <c r="Z176" s="182"/>
      <c r="AA176" s="182"/>
      <c r="AB176" s="182"/>
      <c r="AC176" s="300" t="e">
        <f t="shared" si="47"/>
        <v>#N/A</v>
      </c>
      <c r="AD176" s="605"/>
      <c r="AE176" s="182"/>
      <c r="AF176" s="182"/>
      <c r="AG176" s="182"/>
      <c r="AH176" s="300" t="e">
        <f t="shared" si="48"/>
        <v>#N/A</v>
      </c>
      <c r="AI176" s="605"/>
      <c r="AJ176" s="182"/>
      <c r="AK176" s="182"/>
      <c r="AL176" s="182"/>
      <c r="AM176" s="300" t="e">
        <f t="shared" si="49"/>
        <v>#N/A</v>
      </c>
      <c r="AN176" s="605"/>
      <c r="AO176" s="182"/>
      <c r="AP176" s="182"/>
      <c r="AQ176" s="182"/>
      <c r="AR176" s="300" t="e">
        <f t="shared" si="50"/>
        <v>#N/A</v>
      </c>
      <c r="AS176" s="605"/>
      <c r="AT176" s="182"/>
      <c r="AU176" s="182"/>
      <c r="AV176" s="182"/>
      <c r="AW176" s="300" t="e">
        <f t="shared" si="51"/>
        <v>#N/A</v>
      </c>
      <c r="AX176" s="605"/>
      <c r="AZ176" s="521" t="e">
        <f t="shared" si="52"/>
        <v>#N/A</v>
      </c>
      <c r="BA176" s="605"/>
    </row>
    <row r="177" spans="2:53" ht="15.75">
      <c r="B177" s="633" t="s">
        <v>163</v>
      </c>
      <c r="C177" s="634"/>
      <c r="D177" s="634"/>
      <c r="E177" s="634"/>
      <c r="F177" s="634"/>
      <c r="G177" s="634"/>
      <c r="H177" s="635"/>
      <c r="I177" s="208"/>
      <c r="J177" s="208"/>
      <c r="K177" s="208"/>
      <c r="L177" s="208"/>
      <c r="M177" s="207"/>
      <c r="N177" s="606" t="s">
        <v>156</v>
      </c>
      <c r="O177" s="606" t="s">
        <v>105</v>
      </c>
      <c r="P177" s="632">
        <f>P142+7</f>
        <v>46147</v>
      </c>
      <c r="Q177" s="610"/>
      <c r="R177" s="610"/>
      <c r="S177" s="610"/>
      <c r="T177" s="610"/>
      <c r="U177" s="629">
        <f>P177+1</f>
        <v>46148</v>
      </c>
      <c r="V177" s="630"/>
      <c r="W177" s="630"/>
      <c r="X177" s="630"/>
      <c r="Y177" s="631"/>
      <c r="Z177" s="629">
        <f>U177+1</f>
        <v>46149</v>
      </c>
      <c r="AA177" s="630"/>
      <c r="AB177" s="630"/>
      <c r="AC177" s="630"/>
      <c r="AD177" s="631"/>
      <c r="AE177" s="629">
        <f>Z177+1</f>
        <v>46150</v>
      </c>
      <c r="AF177" s="630"/>
      <c r="AG177" s="630"/>
      <c r="AH177" s="630"/>
      <c r="AI177" s="631"/>
      <c r="AJ177" s="629">
        <f>AE177+1</f>
        <v>46151</v>
      </c>
      <c r="AK177" s="630"/>
      <c r="AL177" s="630"/>
      <c r="AM177" s="630"/>
      <c r="AN177" s="631"/>
      <c r="AO177" s="629">
        <f>AJ177+1</f>
        <v>46152</v>
      </c>
      <c r="AP177" s="630"/>
      <c r="AQ177" s="630"/>
      <c r="AR177" s="630"/>
      <c r="AS177" s="631"/>
      <c r="AT177" s="629">
        <f>AO177+1</f>
        <v>46153</v>
      </c>
      <c r="AU177" s="630"/>
      <c r="AV177" s="630"/>
      <c r="AW177" s="630"/>
      <c r="AX177" s="631"/>
    </row>
    <row r="178" spans="2:53" ht="15.75">
      <c r="B178" s="636"/>
      <c r="C178" s="636"/>
      <c r="D178" s="636"/>
      <c r="E178" s="636"/>
      <c r="F178" s="636"/>
      <c r="G178" s="636"/>
      <c r="H178" s="636"/>
      <c r="I178" s="205"/>
      <c r="J178" s="205"/>
      <c r="K178" s="205"/>
      <c r="L178" s="205"/>
      <c r="M178" s="206"/>
      <c r="N178" s="608"/>
      <c r="O178" s="608"/>
      <c r="P178" s="632" t="s">
        <v>158</v>
      </c>
      <c r="Q178" s="610"/>
      <c r="R178" s="610"/>
      <c r="S178" s="610"/>
      <c r="T178" s="610"/>
      <c r="U178" s="632" t="s">
        <v>114</v>
      </c>
      <c r="V178" s="610"/>
      <c r="W178" s="610"/>
      <c r="X178" s="610"/>
      <c r="Y178" s="610"/>
      <c r="Z178" s="632" t="s">
        <v>159</v>
      </c>
      <c r="AA178" s="610"/>
      <c r="AB178" s="610"/>
      <c r="AC178" s="610"/>
      <c r="AD178" s="610"/>
      <c r="AE178" s="632" t="s">
        <v>157</v>
      </c>
      <c r="AF178" s="610"/>
      <c r="AG178" s="610"/>
      <c r="AH178" s="610"/>
      <c r="AI178" s="610"/>
      <c r="AJ178" s="632" t="s">
        <v>160</v>
      </c>
      <c r="AK178" s="610"/>
      <c r="AL178" s="610"/>
      <c r="AM178" s="610"/>
      <c r="AN178" s="610"/>
      <c r="AO178" s="632" t="s">
        <v>115</v>
      </c>
      <c r="AP178" s="610"/>
      <c r="AQ178" s="610"/>
      <c r="AR178" s="610"/>
      <c r="AS178" s="610"/>
      <c r="AT178" s="632" t="s">
        <v>162</v>
      </c>
      <c r="AU178" s="610"/>
      <c r="AV178" s="610"/>
      <c r="AW178" s="610"/>
      <c r="AX178" s="610"/>
    </row>
    <row r="179" spans="2:53">
      <c r="B179" s="604" t="s">
        <v>154</v>
      </c>
      <c r="C179" s="604" t="s">
        <v>408</v>
      </c>
      <c r="D179" s="604"/>
      <c r="E179" s="604" t="s">
        <v>399</v>
      </c>
      <c r="F179" s="604"/>
      <c r="G179" s="604"/>
      <c r="H179" s="637" t="s">
        <v>395</v>
      </c>
      <c r="I179" s="656" t="s">
        <v>400</v>
      </c>
      <c r="J179" s="656"/>
      <c r="K179" s="656"/>
      <c r="L179" s="657" t="s">
        <v>395</v>
      </c>
      <c r="M179" s="642" t="s">
        <v>396</v>
      </c>
      <c r="N179" s="604"/>
      <c r="O179" s="604" t="s">
        <v>401</v>
      </c>
      <c r="P179" s="623" t="s">
        <v>397</v>
      </c>
      <c r="Q179" s="624"/>
      <c r="R179" s="624"/>
      <c r="S179" s="625"/>
      <c r="T179" s="604" t="s">
        <v>395</v>
      </c>
      <c r="U179" s="623" t="s">
        <v>397</v>
      </c>
      <c r="V179" s="624"/>
      <c r="W179" s="624"/>
      <c r="X179" s="625"/>
      <c r="Y179" s="604" t="s">
        <v>395</v>
      </c>
      <c r="Z179" s="623" t="s">
        <v>397</v>
      </c>
      <c r="AA179" s="624"/>
      <c r="AB179" s="624"/>
      <c r="AC179" s="625"/>
      <c r="AD179" s="604" t="s">
        <v>395</v>
      </c>
      <c r="AE179" s="623" t="s">
        <v>397</v>
      </c>
      <c r="AF179" s="624"/>
      <c r="AG179" s="624"/>
      <c r="AH179" s="625"/>
      <c r="AI179" s="604" t="s">
        <v>395</v>
      </c>
      <c r="AJ179" s="623" t="s">
        <v>397</v>
      </c>
      <c r="AK179" s="624"/>
      <c r="AL179" s="624"/>
      <c r="AM179" s="625"/>
      <c r="AN179" s="604" t="s">
        <v>395</v>
      </c>
      <c r="AO179" s="623" t="s">
        <v>397</v>
      </c>
      <c r="AP179" s="624"/>
      <c r="AQ179" s="624"/>
      <c r="AR179" s="625"/>
      <c r="AS179" s="604" t="s">
        <v>395</v>
      </c>
      <c r="AT179" s="623" t="s">
        <v>397</v>
      </c>
      <c r="AU179" s="624"/>
      <c r="AV179" s="624"/>
      <c r="AW179" s="625"/>
      <c r="AX179" s="604" t="s">
        <v>395</v>
      </c>
      <c r="BA179" s="604" t="s">
        <v>395</v>
      </c>
    </row>
    <row r="180" spans="2:53">
      <c r="B180" s="604"/>
      <c r="C180" s="604"/>
      <c r="D180" s="604"/>
      <c r="E180" s="604" t="s">
        <v>402</v>
      </c>
      <c r="F180" s="604"/>
      <c r="G180" s="604"/>
      <c r="H180" s="638"/>
      <c r="I180" s="656" t="s">
        <v>402</v>
      </c>
      <c r="J180" s="656"/>
      <c r="K180" s="656"/>
      <c r="L180" s="658"/>
      <c r="M180" s="643"/>
      <c r="N180" s="604"/>
      <c r="O180" s="604"/>
      <c r="P180" s="623" t="s">
        <v>403</v>
      </c>
      <c r="Q180" s="624"/>
      <c r="R180" s="624"/>
      <c r="S180" s="625"/>
      <c r="T180" s="604"/>
      <c r="U180" s="623" t="s">
        <v>403</v>
      </c>
      <c r="V180" s="624"/>
      <c r="W180" s="624"/>
      <c r="X180" s="625"/>
      <c r="Y180" s="604"/>
      <c r="Z180" s="623" t="s">
        <v>403</v>
      </c>
      <c r="AA180" s="624"/>
      <c r="AB180" s="624"/>
      <c r="AC180" s="625"/>
      <c r="AD180" s="604"/>
      <c r="AE180" s="623" t="s">
        <v>403</v>
      </c>
      <c r="AF180" s="624"/>
      <c r="AG180" s="624"/>
      <c r="AH180" s="625"/>
      <c r="AI180" s="604"/>
      <c r="AJ180" s="623" t="s">
        <v>403</v>
      </c>
      <c r="AK180" s="624"/>
      <c r="AL180" s="624"/>
      <c r="AM180" s="625"/>
      <c r="AN180" s="604"/>
      <c r="AO180" s="623" t="s">
        <v>403</v>
      </c>
      <c r="AP180" s="624"/>
      <c r="AQ180" s="624"/>
      <c r="AR180" s="625"/>
      <c r="AS180" s="604"/>
      <c r="AT180" s="623" t="s">
        <v>403</v>
      </c>
      <c r="AU180" s="624"/>
      <c r="AV180" s="624"/>
      <c r="AW180" s="625"/>
      <c r="AX180" s="604"/>
      <c r="BA180" s="604"/>
    </row>
    <row r="181" spans="2:53">
      <c r="B181" s="604"/>
      <c r="C181" s="604"/>
      <c r="D181" s="604"/>
      <c r="E181" s="334" t="s">
        <v>404</v>
      </c>
      <c r="F181" s="334" t="s">
        <v>405</v>
      </c>
      <c r="G181" s="334" t="s">
        <v>406</v>
      </c>
      <c r="H181" s="639"/>
      <c r="I181" s="335" t="s">
        <v>404</v>
      </c>
      <c r="J181" s="335" t="s">
        <v>405</v>
      </c>
      <c r="K181" s="335" t="s">
        <v>406</v>
      </c>
      <c r="L181" s="659"/>
      <c r="M181" s="644"/>
      <c r="N181" s="604"/>
      <c r="O181" s="604"/>
      <c r="P181" s="334" t="s">
        <v>404</v>
      </c>
      <c r="Q181" s="334" t="s">
        <v>405</v>
      </c>
      <c r="R181" s="334" t="s">
        <v>406</v>
      </c>
      <c r="S181" s="334" t="s">
        <v>396</v>
      </c>
      <c r="T181" s="604"/>
      <c r="U181" s="334" t="s">
        <v>404</v>
      </c>
      <c r="V181" s="334" t="s">
        <v>405</v>
      </c>
      <c r="W181" s="334" t="s">
        <v>406</v>
      </c>
      <c r="X181" s="334" t="s">
        <v>396</v>
      </c>
      <c r="Y181" s="604"/>
      <c r="Z181" s="334" t="s">
        <v>404</v>
      </c>
      <c r="AA181" s="334" t="s">
        <v>405</v>
      </c>
      <c r="AB181" s="334" t="s">
        <v>406</v>
      </c>
      <c r="AC181" s="334" t="s">
        <v>396</v>
      </c>
      <c r="AD181" s="604"/>
      <c r="AE181" s="334" t="s">
        <v>404</v>
      </c>
      <c r="AF181" s="334" t="s">
        <v>405</v>
      </c>
      <c r="AG181" s="334" t="s">
        <v>406</v>
      </c>
      <c r="AH181" s="334" t="s">
        <v>396</v>
      </c>
      <c r="AI181" s="604"/>
      <c r="AJ181" s="334" t="s">
        <v>404</v>
      </c>
      <c r="AK181" s="334" t="s">
        <v>405</v>
      </c>
      <c r="AL181" s="334" t="s">
        <v>406</v>
      </c>
      <c r="AM181" s="334" t="s">
        <v>396</v>
      </c>
      <c r="AN181" s="604"/>
      <c r="AO181" s="334" t="s">
        <v>404</v>
      </c>
      <c r="AP181" s="334" t="s">
        <v>405</v>
      </c>
      <c r="AQ181" s="334" t="s">
        <v>406</v>
      </c>
      <c r="AR181" s="334" t="s">
        <v>396</v>
      </c>
      <c r="AS181" s="604"/>
      <c r="AT181" s="334" t="s">
        <v>404</v>
      </c>
      <c r="AU181" s="334" t="s">
        <v>405</v>
      </c>
      <c r="AV181" s="334" t="s">
        <v>406</v>
      </c>
      <c r="AW181" s="334" t="s">
        <v>396</v>
      </c>
      <c r="AX181" s="604"/>
      <c r="AZ181" s="520" t="s">
        <v>396</v>
      </c>
      <c r="BA181" s="604"/>
    </row>
    <row r="182" spans="2:53">
      <c r="B182" s="604" t="s">
        <v>134</v>
      </c>
      <c r="C182" s="333">
        <v>1</v>
      </c>
      <c r="D182" s="226"/>
      <c r="E182" s="182"/>
      <c r="F182" s="511"/>
      <c r="G182" s="512"/>
      <c r="H182" s="667" t="e">
        <f>AVERAGE(G182:G211)</f>
        <v>#DIV/0!</v>
      </c>
      <c r="I182" s="513" t="str">
        <f>IFERROR(AVERAGE(P182,U182,Z182,AE182,AJ182,AO182,AT182),"-")</f>
        <v>-</v>
      </c>
      <c r="J182" s="513" t="str">
        <f>IFERROR(AVERAGE(Q182,V182,AA182,AF182,AK182,AP182,AU182),"-")</f>
        <v>-</v>
      </c>
      <c r="K182" s="200" t="str">
        <f>IFERROR(AVERAGE(R182,W182,AB182,AG182,AL182,AQ182,AV182),"-")</f>
        <v>-</v>
      </c>
      <c r="L182" s="620" t="str">
        <f>IFERROR(AVERAGE(K182:K211),"-")</f>
        <v>-</v>
      </c>
      <c r="M182" s="201" t="e">
        <f>RANK(K182, K$147:$K$176)</f>
        <v>#VALUE!</v>
      </c>
      <c r="N182" s="604"/>
      <c r="O182" s="604"/>
      <c r="P182" s="182"/>
      <c r="Q182" s="182"/>
      <c r="R182" s="182"/>
      <c r="S182" s="333" t="e">
        <f>RANK(R182, R$182:R$211)</f>
        <v>#N/A</v>
      </c>
      <c r="T182" s="605" t="e">
        <f>AVERAGE(R182:R211)</f>
        <v>#DIV/0!</v>
      </c>
      <c r="U182" s="182"/>
      <c r="V182" s="182"/>
      <c r="W182" s="182"/>
      <c r="X182" s="456" t="e">
        <f>RANK(W182, W$182:W$211)</f>
        <v>#N/A</v>
      </c>
      <c r="Y182" s="605" t="e">
        <f>AVERAGE(W182:W211)</f>
        <v>#DIV/0!</v>
      </c>
      <c r="Z182" s="182"/>
      <c r="AA182" s="182"/>
      <c r="AB182" s="182"/>
      <c r="AC182" s="456" t="e">
        <f>RANK(AB182, AB$182:AB$211)</f>
        <v>#N/A</v>
      </c>
      <c r="AD182" s="605" t="e">
        <f>AVERAGE(AB182:AB211)</f>
        <v>#DIV/0!</v>
      </c>
      <c r="AE182" s="182"/>
      <c r="AF182" s="182"/>
      <c r="AG182" s="182"/>
      <c r="AH182" s="456" t="e">
        <f>RANK(AG182, AG$182:AG$211)</f>
        <v>#N/A</v>
      </c>
      <c r="AI182" s="605" t="e">
        <f>AVERAGE(AG182:AG211)</f>
        <v>#DIV/0!</v>
      </c>
      <c r="AJ182" s="182"/>
      <c r="AK182" s="182"/>
      <c r="AL182" s="182"/>
      <c r="AM182" s="456" t="e">
        <f>RANK(AL182, AL$182:AL$211)</f>
        <v>#N/A</v>
      </c>
      <c r="AN182" s="605" t="e">
        <f>AVERAGE(AL182:AL211)</f>
        <v>#DIV/0!</v>
      </c>
      <c r="AO182" s="182"/>
      <c r="AP182" s="182"/>
      <c r="AQ182" s="182"/>
      <c r="AR182" s="456" t="e">
        <f>RANK(AQ182, AQ$182:AQ$211)</f>
        <v>#N/A</v>
      </c>
      <c r="AS182" s="605" t="e">
        <f>AVERAGE(AQ182:AQ211)</f>
        <v>#DIV/0!</v>
      </c>
      <c r="AT182" s="182"/>
      <c r="AU182" s="182"/>
      <c r="AV182" s="182"/>
      <c r="AW182" s="456" t="e">
        <f>RANK(AV182, AV$182:AV$211)</f>
        <v>#N/A</v>
      </c>
      <c r="AX182" s="605" t="e">
        <f>AVERAGE(AV182:AV211)</f>
        <v>#DIV/0!</v>
      </c>
      <c r="AZ182" s="521" t="e">
        <f>RANK(AY182, AY$182:AY$211)</f>
        <v>#N/A</v>
      </c>
      <c r="BA182" s="605" t="e">
        <f>AVERAGE(AY182:AY211)</f>
        <v>#DIV/0!</v>
      </c>
    </row>
    <row r="183" spans="2:53">
      <c r="B183" s="610"/>
      <c r="C183" s="333">
        <v>2</v>
      </c>
      <c r="D183" s="226"/>
      <c r="E183" s="182"/>
      <c r="F183" s="511"/>
      <c r="G183" s="512"/>
      <c r="H183" s="668"/>
      <c r="I183" s="513" t="str">
        <f t="shared" ref="I183:I211" si="60">IFERROR(AVERAGE(P183,U183,Z183,AE183,AJ183,AO183,AT183),"-")</f>
        <v>-</v>
      </c>
      <c r="J183" s="513" t="str">
        <f t="shared" ref="J183:J211" si="61">IFERROR(AVERAGE(Q183,V183,AA183,AF183,AK183,AP183,AU183),"-")</f>
        <v>-</v>
      </c>
      <c r="K183" s="200" t="str">
        <f t="shared" ref="K183:K211" si="62">IFERROR(AVERAGE(R183,W183,AB183,AG183,AL183,AQ183,AV183),"-")</f>
        <v>-</v>
      </c>
      <c r="L183" s="621"/>
      <c r="M183" s="201" t="e">
        <f>RANK(K183, K$147:$K$176)</f>
        <v>#VALUE!</v>
      </c>
      <c r="N183" s="604"/>
      <c r="O183" s="604"/>
      <c r="P183" s="182"/>
      <c r="Q183" s="182"/>
      <c r="R183" s="182"/>
      <c r="S183" s="456" t="e">
        <f t="shared" ref="S183:S211" si="63">RANK(R183, R$182:R$211)</f>
        <v>#N/A</v>
      </c>
      <c r="T183" s="605"/>
      <c r="U183" s="182"/>
      <c r="V183" s="182"/>
      <c r="W183" s="182"/>
      <c r="X183" s="456" t="e">
        <f t="shared" ref="X183:X211" si="64">RANK(W183, W$182:W$211)</f>
        <v>#N/A</v>
      </c>
      <c r="Y183" s="605"/>
      <c r="Z183" s="182"/>
      <c r="AA183" s="182"/>
      <c r="AB183" s="182"/>
      <c r="AC183" s="456" t="e">
        <f t="shared" ref="AC183:AC211" si="65">RANK(AB183, AB$182:AB$211)</f>
        <v>#N/A</v>
      </c>
      <c r="AD183" s="605"/>
      <c r="AE183" s="182"/>
      <c r="AF183" s="182"/>
      <c r="AG183" s="182"/>
      <c r="AH183" s="456" t="e">
        <f t="shared" ref="AH183:AH211" si="66">RANK(AG183, AG$182:AG$211)</f>
        <v>#N/A</v>
      </c>
      <c r="AI183" s="605"/>
      <c r="AJ183" s="182"/>
      <c r="AK183" s="182"/>
      <c r="AL183" s="182"/>
      <c r="AM183" s="456" t="e">
        <f t="shared" ref="AM183:AM211" si="67">RANK(AL183, AL$182:AL$211)</f>
        <v>#N/A</v>
      </c>
      <c r="AN183" s="605"/>
      <c r="AO183" s="182"/>
      <c r="AP183" s="182"/>
      <c r="AQ183" s="182"/>
      <c r="AR183" s="456" t="e">
        <f t="shared" ref="AR183:AR211" si="68">RANK(AQ183, AQ$182:AQ$211)</f>
        <v>#N/A</v>
      </c>
      <c r="AS183" s="605"/>
      <c r="AT183" s="182"/>
      <c r="AU183" s="182"/>
      <c r="AV183" s="182"/>
      <c r="AW183" s="456" t="e">
        <f t="shared" ref="AW183:AW211" si="69">RANK(AV183, AV$182:AV$211)</f>
        <v>#N/A</v>
      </c>
      <c r="AX183" s="605"/>
      <c r="AZ183" s="521" t="e">
        <f t="shared" ref="AZ183:AZ211" si="70">RANK(AY183, AY$182:AY$211)</f>
        <v>#N/A</v>
      </c>
      <c r="BA183" s="605"/>
    </row>
    <row r="184" spans="2:53">
      <c r="B184" s="610"/>
      <c r="C184" s="333">
        <v>3</v>
      </c>
      <c r="D184" s="226"/>
      <c r="E184" s="182"/>
      <c r="F184" s="511"/>
      <c r="G184" s="512"/>
      <c r="H184" s="668"/>
      <c r="I184" s="513" t="str">
        <f t="shared" si="60"/>
        <v>-</v>
      </c>
      <c r="J184" s="513" t="str">
        <f t="shared" si="61"/>
        <v>-</v>
      </c>
      <c r="K184" s="200" t="str">
        <f t="shared" si="62"/>
        <v>-</v>
      </c>
      <c r="L184" s="621"/>
      <c r="M184" s="201" t="e">
        <f>RANK(K184, K$147:$K$176)</f>
        <v>#VALUE!</v>
      </c>
      <c r="N184" s="604"/>
      <c r="O184" s="604"/>
      <c r="P184" s="182"/>
      <c r="Q184" s="182"/>
      <c r="R184" s="182"/>
      <c r="S184" s="456" t="e">
        <f t="shared" si="63"/>
        <v>#N/A</v>
      </c>
      <c r="T184" s="605"/>
      <c r="U184" s="182"/>
      <c r="V184" s="182"/>
      <c r="W184" s="182"/>
      <c r="X184" s="456" t="e">
        <f t="shared" si="64"/>
        <v>#N/A</v>
      </c>
      <c r="Y184" s="605"/>
      <c r="Z184" s="182"/>
      <c r="AA184" s="182"/>
      <c r="AB184" s="182"/>
      <c r="AC184" s="456" t="e">
        <f t="shared" si="65"/>
        <v>#N/A</v>
      </c>
      <c r="AD184" s="605"/>
      <c r="AE184" s="182"/>
      <c r="AF184" s="182"/>
      <c r="AG184" s="182"/>
      <c r="AH184" s="456" t="e">
        <f t="shared" si="66"/>
        <v>#N/A</v>
      </c>
      <c r="AI184" s="605"/>
      <c r="AJ184" s="182"/>
      <c r="AK184" s="182"/>
      <c r="AL184" s="182"/>
      <c r="AM184" s="456" t="e">
        <f t="shared" si="67"/>
        <v>#N/A</v>
      </c>
      <c r="AN184" s="605"/>
      <c r="AO184" s="182"/>
      <c r="AP184" s="182"/>
      <c r="AQ184" s="182"/>
      <c r="AR184" s="456" t="e">
        <f t="shared" si="68"/>
        <v>#N/A</v>
      </c>
      <c r="AS184" s="605"/>
      <c r="AT184" s="182"/>
      <c r="AU184" s="182"/>
      <c r="AV184" s="182"/>
      <c r="AW184" s="456" t="e">
        <f t="shared" si="69"/>
        <v>#N/A</v>
      </c>
      <c r="AX184" s="605"/>
      <c r="AZ184" s="521" t="e">
        <f t="shared" si="70"/>
        <v>#N/A</v>
      </c>
      <c r="BA184" s="605"/>
    </row>
    <row r="185" spans="2:53">
      <c r="B185" s="610"/>
      <c r="C185" s="333">
        <v>4</v>
      </c>
      <c r="D185" s="226"/>
      <c r="E185" s="182"/>
      <c r="F185" s="511"/>
      <c r="G185" s="512"/>
      <c r="H185" s="668"/>
      <c r="I185" s="513" t="str">
        <f t="shared" si="60"/>
        <v>-</v>
      </c>
      <c r="J185" s="513" t="str">
        <f t="shared" si="61"/>
        <v>-</v>
      </c>
      <c r="K185" s="200" t="str">
        <f t="shared" si="62"/>
        <v>-</v>
      </c>
      <c r="L185" s="621"/>
      <c r="M185" s="201" t="e">
        <f>RANK(K185, K$147:$K$176)</f>
        <v>#VALUE!</v>
      </c>
      <c r="N185" s="604"/>
      <c r="O185" s="604"/>
      <c r="P185" s="182"/>
      <c r="Q185" s="182"/>
      <c r="R185" s="182"/>
      <c r="S185" s="456" t="e">
        <f t="shared" si="63"/>
        <v>#N/A</v>
      </c>
      <c r="T185" s="605"/>
      <c r="U185" s="182"/>
      <c r="V185" s="182"/>
      <c r="W185" s="182"/>
      <c r="X185" s="456" t="e">
        <f t="shared" si="64"/>
        <v>#N/A</v>
      </c>
      <c r="Y185" s="605"/>
      <c r="Z185" s="182"/>
      <c r="AA185" s="182"/>
      <c r="AB185" s="182"/>
      <c r="AC185" s="456" t="e">
        <f t="shared" si="65"/>
        <v>#N/A</v>
      </c>
      <c r="AD185" s="605"/>
      <c r="AE185" s="182"/>
      <c r="AF185" s="182"/>
      <c r="AG185" s="182"/>
      <c r="AH185" s="456" t="e">
        <f t="shared" si="66"/>
        <v>#N/A</v>
      </c>
      <c r="AI185" s="605"/>
      <c r="AJ185" s="182"/>
      <c r="AK185" s="182"/>
      <c r="AL185" s="182"/>
      <c r="AM185" s="456" t="e">
        <f t="shared" si="67"/>
        <v>#N/A</v>
      </c>
      <c r="AN185" s="605"/>
      <c r="AO185" s="182"/>
      <c r="AP185" s="182"/>
      <c r="AQ185" s="182"/>
      <c r="AR185" s="456" t="e">
        <f t="shared" si="68"/>
        <v>#N/A</v>
      </c>
      <c r="AS185" s="605"/>
      <c r="AT185" s="182"/>
      <c r="AU185" s="182"/>
      <c r="AV185" s="182"/>
      <c r="AW185" s="456" t="e">
        <f t="shared" si="69"/>
        <v>#N/A</v>
      </c>
      <c r="AX185" s="605"/>
      <c r="AZ185" s="521" t="e">
        <f t="shared" si="70"/>
        <v>#N/A</v>
      </c>
      <c r="BA185" s="605"/>
    </row>
    <row r="186" spans="2:53">
      <c r="B186" s="610"/>
      <c r="C186" s="333">
        <v>5</v>
      </c>
      <c r="D186" s="226"/>
      <c r="E186" s="182"/>
      <c r="F186" s="511"/>
      <c r="G186" s="512"/>
      <c r="H186" s="668"/>
      <c r="I186" s="513" t="str">
        <f t="shared" si="60"/>
        <v>-</v>
      </c>
      <c r="J186" s="513" t="str">
        <f t="shared" si="61"/>
        <v>-</v>
      </c>
      <c r="K186" s="200" t="str">
        <f t="shared" si="62"/>
        <v>-</v>
      </c>
      <c r="L186" s="621"/>
      <c r="M186" s="201" t="e">
        <f>RANK(K186, K$147:$K$176)</f>
        <v>#VALUE!</v>
      </c>
      <c r="N186" s="604"/>
      <c r="O186" s="604"/>
      <c r="P186" s="182"/>
      <c r="Q186" s="182"/>
      <c r="R186" s="182"/>
      <c r="S186" s="456" t="e">
        <f t="shared" si="63"/>
        <v>#N/A</v>
      </c>
      <c r="T186" s="605"/>
      <c r="U186" s="182"/>
      <c r="V186" s="182"/>
      <c r="W186" s="182"/>
      <c r="X186" s="456" t="e">
        <f t="shared" si="64"/>
        <v>#N/A</v>
      </c>
      <c r="Y186" s="605"/>
      <c r="Z186" s="182"/>
      <c r="AA186" s="182"/>
      <c r="AB186" s="182"/>
      <c r="AC186" s="456" t="e">
        <f t="shared" si="65"/>
        <v>#N/A</v>
      </c>
      <c r="AD186" s="605"/>
      <c r="AE186" s="182"/>
      <c r="AF186" s="182"/>
      <c r="AG186" s="182"/>
      <c r="AH186" s="456" t="e">
        <f t="shared" si="66"/>
        <v>#N/A</v>
      </c>
      <c r="AI186" s="605"/>
      <c r="AJ186" s="182"/>
      <c r="AK186" s="182"/>
      <c r="AL186" s="182"/>
      <c r="AM186" s="456" t="e">
        <f t="shared" si="67"/>
        <v>#N/A</v>
      </c>
      <c r="AN186" s="605"/>
      <c r="AO186" s="182"/>
      <c r="AP186" s="182"/>
      <c r="AQ186" s="182"/>
      <c r="AR186" s="456" t="e">
        <f t="shared" si="68"/>
        <v>#N/A</v>
      </c>
      <c r="AS186" s="605"/>
      <c r="AT186" s="182"/>
      <c r="AU186" s="182"/>
      <c r="AV186" s="182"/>
      <c r="AW186" s="456" t="e">
        <f t="shared" si="69"/>
        <v>#N/A</v>
      </c>
      <c r="AX186" s="605"/>
      <c r="AZ186" s="521" t="e">
        <f t="shared" si="70"/>
        <v>#N/A</v>
      </c>
      <c r="BA186" s="605"/>
    </row>
    <row r="187" spans="2:53">
      <c r="B187" s="610"/>
      <c r="C187" s="333">
        <v>6</v>
      </c>
      <c r="D187" s="226"/>
      <c r="E187" s="182"/>
      <c r="F187" s="511"/>
      <c r="G187" s="512"/>
      <c r="H187" s="668"/>
      <c r="I187" s="513" t="str">
        <f t="shared" si="60"/>
        <v>-</v>
      </c>
      <c r="J187" s="513" t="str">
        <f t="shared" si="61"/>
        <v>-</v>
      </c>
      <c r="K187" s="200" t="str">
        <f t="shared" si="62"/>
        <v>-</v>
      </c>
      <c r="L187" s="621"/>
      <c r="M187" s="201" t="e">
        <f>RANK(K187, K$147:$K$176)</f>
        <v>#VALUE!</v>
      </c>
      <c r="N187" s="604"/>
      <c r="O187" s="604"/>
      <c r="P187" s="182"/>
      <c r="Q187" s="182"/>
      <c r="R187" s="182"/>
      <c r="S187" s="456" t="e">
        <f t="shared" si="63"/>
        <v>#N/A</v>
      </c>
      <c r="T187" s="605"/>
      <c r="U187" s="182"/>
      <c r="V187" s="182"/>
      <c r="W187" s="182"/>
      <c r="X187" s="456" t="e">
        <f t="shared" si="64"/>
        <v>#N/A</v>
      </c>
      <c r="Y187" s="605"/>
      <c r="Z187" s="182"/>
      <c r="AA187" s="182"/>
      <c r="AB187" s="182"/>
      <c r="AC187" s="456" t="e">
        <f t="shared" si="65"/>
        <v>#N/A</v>
      </c>
      <c r="AD187" s="605"/>
      <c r="AE187" s="182"/>
      <c r="AF187" s="182"/>
      <c r="AG187" s="182"/>
      <c r="AH187" s="456" t="e">
        <f t="shared" si="66"/>
        <v>#N/A</v>
      </c>
      <c r="AI187" s="605"/>
      <c r="AJ187" s="182"/>
      <c r="AK187" s="182"/>
      <c r="AL187" s="182"/>
      <c r="AM187" s="456" t="e">
        <f t="shared" si="67"/>
        <v>#N/A</v>
      </c>
      <c r="AN187" s="605"/>
      <c r="AO187" s="182"/>
      <c r="AP187" s="182"/>
      <c r="AQ187" s="182"/>
      <c r="AR187" s="456" t="e">
        <f t="shared" si="68"/>
        <v>#N/A</v>
      </c>
      <c r="AS187" s="605"/>
      <c r="AT187" s="182"/>
      <c r="AU187" s="182"/>
      <c r="AV187" s="182"/>
      <c r="AW187" s="456" t="e">
        <f t="shared" si="69"/>
        <v>#N/A</v>
      </c>
      <c r="AX187" s="605"/>
      <c r="AZ187" s="521" t="e">
        <f t="shared" si="70"/>
        <v>#N/A</v>
      </c>
      <c r="BA187" s="605"/>
    </row>
    <row r="188" spans="2:53">
      <c r="B188" s="610"/>
      <c r="C188" s="333">
        <v>7</v>
      </c>
      <c r="D188" s="226"/>
      <c r="E188" s="182"/>
      <c r="F188" s="511"/>
      <c r="G188" s="512"/>
      <c r="H188" s="668"/>
      <c r="I188" s="513" t="str">
        <f t="shared" si="60"/>
        <v>-</v>
      </c>
      <c r="J188" s="513" t="str">
        <f t="shared" si="61"/>
        <v>-</v>
      </c>
      <c r="K188" s="200" t="str">
        <f t="shared" si="62"/>
        <v>-</v>
      </c>
      <c r="L188" s="621"/>
      <c r="M188" s="201" t="e">
        <f>RANK(K188, K$147:$K$176)</f>
        <v>#VALUE!</v>
      </c>
      <c r="N188" s="604"/>
      <c r="O188" s="604"/>
      <c r="P188" s="182"/>
      <c r="Q188" s="182"/>
      <c r="R188" s="182"/>
      <c r="S188" s="456" t="e">
        <f t="shared" si="63"/>
        <v>#N/A</v>
      </c>
      <c r="T188" s="605"/>
      <c r="U188" s="182"/>
      <c r="V188" s="182"/>
      <c r="W188" s="182"/>
      <c r="X188" s="456" t="e">
        <f t="shared" si="64"/>
        <v>#N/A</v>
      </c>
      <c r="Y188" s="605"/>
      <c r="Z188" s="182"/>
      <c r="AA188" s="182"/>
      <c r="AB188" s="182"/>
      <c r="AC188" s="456" t="e">
        <f t="shared" si="65"/>
        <v>#N/A</v>
      </c>
      <c r="AD188" s="605"/>
      <c r="AE188" s="182"/>
      <c r="AF188" s="182"/>
      <c r="AG188" s="182"/>
      <c r="AH188" s="456" t="e">
        <f t="shared" si="66"/>
        <v>#N/A</v>
      </c>
      <c r="AI188" s="605"/>
      <c r="AJ188" s="182"/>
      <c r="AK188" s="182"/>
      <c r="AL188" s="182"/>
      <c r="AM188" s="456" t="e">
        <f t="shared" si="67"/>
        <v>#N/A</v>
      </c>
      <c r="AN188" s="605"/>
      <c r="AO188" s="182"/>
      <c r="AP188" s="182"/>
      <c r="AQ188" s="182"/>
      <c r="AR188" s="456" t="e">
        <f t="shared" si="68"/>
        <v>#N/A</v>
      </c>
      <c r="AS188" s="605"/>
      <c r="AT188" s="182"/>
      <c r="AU188" s="182"/>
      <c r="AV188" s="182"/>
      <c r="AW188" s="456" t="e">
        <f t="shared" si="69"/>
        <v>#N/A</v>
      </c>
      <c r="AX188" s="605"/>
      <c r="AZ188" s="521" t="e">
        <f t="shared" si="70"/>
        <v>#N/A</v>
      </c>
      <c r="BA188" s="605"/>
    </row>
    <row r="189" spans="2:53">
      <c r="B189" s="610"/>
      <c r="C189" s="333">
        <v>8</v>
      </c>
      <c r="D189" s="226"/>
      <c r="E189" s="182"/>
      <c r="F189" s="511"/>
      <c r="G189" s="512"/>
      <c r="H189" s="668"/>
      <c r="I189" s="513" t="str">
        <f t="shared" si="60"/>
        <v>-</v>
      </c>
      <c r="J189" s="513" t="str">
        <f t="shared" si="61"/>
        <v>-</v>
      </c>
      <c r="K189" s="200" t="str">
        <f t="shared" si="62"/>
        <v>-</v>
      </c>
      <c r="L189" s="621"/>
      <c r="M189" s="201" t="e">
        <f>RANK(K189, K$147:$K$176)</f>
        <v>#VALUE!</v>
      </c>
      <c r="N189" s="604"/>
      <c r="O189" s="604"/>
      <c r="P189" s="182"/>
      <c r="Q189" s="182"/>
      <c r="R189" s="182"/>
      <c r="S189" s="456" t="e">
        <f t="shared" si="63"/>
        <v>#N/A</v>
      </c>
      <c r="T189" s="605"/>
      <c r="U189" s="182"/>
      <c r="V189" s="182"/>
      <c r="W189" s="182"/>
      <c r="X189" s="456" t="e">
        <f t="shared" si="64"/>
        <v>#N/A</v>
      </c>
      <c r="Y189" s="605"/>
      <c r="Z189" s="182"/>
      <c r="AA189" s="182"/>
      <c r="AB189" s="182"/>
      <c r="AC189" s="456" t="e">
        <f t="shared" si="65"/>
        <v>#N/A</v>
      </c>
      <c r="AD189" s="605"/>
      <c r="AE189" s="182"/>
      <c r="AF189" s="182"/>
      <c r="AG189" s="182"/>
      <c r="AH189" s="456" t="e">
        <f t="shared" si="66"/>
        <v>#N/A</v>
      </c>
      <c r="AI189" s="605"/>
      <c r="AJ189" s="182"/>
      <c r="AK189" s="182"/>
      <c r="AL189" s="182"/>
      <c r="AM189" s="456" t="e">
        <f t="shared" si="67"/>
        <v>#N/A</v>
      </c>
      <c r="AN189" s="605"/>
      <c r="AO189" s="182"/>
      <c r="AP189" s="182"/>
      <c r="AQ189" s="182"/>
      <c r="AR189" s="456" t="e">
        <f t="shared" si="68"/>
        <v>#N/A</v>
      </c>
      <c r="AS189" s="605"/>
      <c r="AT189" s="182"/>
      <c r="AU189" s="182"/>
      <c r="AV189" s="182"/>
      <c r="AW189" s="456" t="e">
        <f t="shared" si="69"/>
        <v>#N/A</v>
      </c>
      <c r="AX189" s="605"/>
      <c r="AZ189" s="521" t="e">
        <f t="shared" si="70"/>
        <v>#N/A</v>
      </c>
      <c r="BA189" s="605"/>
    </row>
    <row r="190" spans="2:53">
      <c r="B190" s="610"/>
      <c r="C190" s="333">
        <v>9</v>
      </c>
      <c r="D190" s="226"/>
      <c r="E190" s="182"/>
      <c r="F190" s="511"/>
      <c r="G190" s="512"/>
      <c r="H190" s="668"/>
      <c r="I190" s="513" t="str">
        <f t="shared" si="60"/>
        <v>-</v>
      </c>
      <c r="J190" s="513" t="str">
        <f t="shared" si="61"/>
        <v>-</v>
      </c>
      <c r="K190" s="200" t="str">
        <f t="shared" si="62"/>
        <v>-</v>
      </c>
      <c r="L190" s="621"/>
      <c r="M190" s="201" t="e">
        <f>RANK(K190, K$147:$K$176)</f>
        <v>#VALUE!</v>
      </c>
      <c r="N190" s="604"/>
      <c r="O190" s="604"/>
      <c r="P190" s="182"/>
      <c r="Q190" s="182"/>
      <c r="R190" s="182"/>
      <c r="S190" s="456" t="e">
        <f t="shared" si="63"/>
        <v>#N/A</v>
      </c>
      <c r="T190" s="605"/>
      <c r="U190" s="182"/>
      <c r="V190" s="182"/>
      <c r="W190" s="182"/>
      <c r="X190" s="456" t="e">
        <f t="shared" si="64"/>
        <v>#N/A</v>
      </c>
      <c r="Y190" s="605"/>
      <c r="Z190" s="182"/>
      <c r="AA190" s="182"/>
      <c r="AB190" s="182"/>
      <c r="AC190" s="456" t="e">
        <f t="shared" si="65"/>
        <v>#N/A</v>
      </c>
      <c r="AD190" s="605"/>
      <c r="AE190" s="182"/>
      <c r="AF190" s="182"/>
      <c r="AG190" s="182"/>
      <c r="AH190" s="456" t="e">
        <f t="shared" si="66"/>
        <v>#N/A</v>
      </c>
      <c r="AI190" s="605"/>
      <c r="AJ190" s="182"/>
      <c r="AK190" s="182"/>
      <c r="AL190" s="182"/>
      <c r="AM190" s="456" t="e">
        <f t="shared" si="67"/>
        <v>#N/A</v>
      </c>
      <c r="AN190" s="605"/>
      <c r="AO190" s="182"/>
      <c r="AP190" s="182"/>
      <c r="AQ190" s="182"/>
      <c r="AR190" s="456" t="e">
        <f t="shared" si="68"/>
        <v>#N/A</v>
      </c>
      <c r="AS190" s="605"/>
      <c r="AT190" s="182"/>
      <c r="AU190" s="182"/>
      <c r="AV190" s="182"/>
      <c r="AW190" s="456" t="e">
        <f t="shared" si="69"/>
        <v>#N/A</v>
      </c>
      <c r="AX190" s="605"/>
      <c r="AZ190" s="521" t="e">
        <f t="shared" si="70"/>
        <v>#N/A</v>
      </c>
      <c r="BA190" s="605"/>
    </row>
    <row r="191" spans="2:53">
      <c r="B191" s="610"/>
      <c r="C191" s="333">
        <v>10</v>
      </c>
      <c r="D191" s="226"/>
      <c r="E191" s="182"/>
      <c r="F191" s="511"/>
      <c r="G191" s="512"/>
      <c r="H191" s="668"/>
      <c r="I191" s="513" t="str">
        <f t="shared" si="60"/>
        <v>-</v>
      </c>
      <c r="J191" s="513" t="str">
        <f t="shared" si="61"/>
        <v>-</v>
      </c>
      <c r="K191" s="200" t="str">
        <f t="shared" si="62"/>
        <v>-</v>
      </c>
      <c r="L191" s="621"/>
      <c r="M191" s="201" t="e">
        <f>RANK(K191, K$147:$K$176)</f>
        <v>#VALUE!</v>
      </c>
      <c r="N191" s="604"/>
      <c r="O191" s="604"/>
      <c r="P191" s="182"/>
      <c r="Q191" s="182"/>
      <c r="R191" s="182"/>
      <c r="S191" s="456" t="e">
        <f t="shared" si="63"/>
        <v>#N/A</v>
      </c>
      <c r="T191" s="605"/>
      <c r="U191" s="182"/>
      <c r="V191" s="182"/>
      <c r="W191" s="182"/>
      <c r="X191" s="456" t="e">
        <f t="shared" si="64"/>
        <v>#N/A</v>
      </c>
      <c r="Y191" s="605"/>
      <c r="Z191" s="182"/>
      <c r="AA191" s="182"/>
      <c r="AB191" s="182"/>
      <c r="AC191" s="456" t="e">
        <f t="shared" si="65"/>
        <v>#N/A</v>
      </c>
      <c r="AD191" s="605"/>
      <c r="AE191" s="182"/>
      <c r="AF191" s="182"/>
      <c r="AG191" s="182"/>
      <c r="AH191" s="456" t="e">
        <f t="shared" si="66"/>
        <v>#N/A</v>
      </c>
      <c r="AI191" s="605"/>
      <c r="AJ191" s="182"/>
      <c r="AK191" s="182"/>
      <c r="AL191" s="182"/>
      <c r="AM191" s="456" t="e">
        <f t="shared" si="67"/>
        <v>#N/A</v>
      </c>
      <c r="AN191" s="605"/>
      <c r="AO191" s="182"/>
      <c r="AP191" s="182"/>
      <c r="AQ191" s="182"/>
      <c r="AR191" s="456" t="e">
        <f t="shared" si="68"/>
        <v>#N/A</v>
      </c>
      <c r="AS191" s="605"/>
      <c r="AT191" s="182"/>
      <c r="AU191" s="182"/>
      <c r="AV191" s="182"/>
      <c r="AW191" s="456" t="e">
        <f t="shared" si="69"/>
        <v>#N/A</v>
      </c>
      <c r="AX191" s="605"/>
      <c r="AZ191" s="521" t="e">
        <f t="shared" si="70"/>
        <v>#N/A</v>
      </c>
      <c r="BA191" s="605"/>
    </row>
    <row r="192" spans="2:53">
      <c r="B192" s="610"/>
      <c r="C192" s="333">
        <v>11</v>
      </c>
      <c r="D192" s="226"/>
      <c r="E192" s="182"/>
      <c r="F192" s="511"/>
      <c r="G192" s="512"/>
      <c r="H192" s="668"/>
      <c r="I192" s="513" t="str">
        <f t="shared" si="60"/>
        <v>-</v>
      </c>
      <c r="J192" s="513" t="str">
        <f t="shared" si="61"/>
        <v>-</v>
      </c>
      <c r="K192" s="200" t="str">
        <f t="shared" si="62"/>
        <v>-</v>
      </c>
      <c r="L192" s="621"/>
      <c r="M192" s="201" t="e">
        <f>RANK(K192, K$147:$K$176)</f>
        <v>#VALUE!</v>
      </c>
      <c r="N192" s="604"/>
      <c r="O192" s="604"/>
      <c r="P192" s="182"/>
      <c r="Q192" s="182"/>
      <c r="R192" s="182"/>
      <c r="S192" s="456" t="e">
        <f t="shared" si="63"/>
        <v>#N/A</v>
      </c>
      <c r="T192" s="605"/>
      <c r="U192" s="182"/>
      <c r="V192" s="182"/>
      <c r="W192" s="182"/>
      <c r="X192" s="456" t="e">
        <f t="shared" si="64"/>
        <v>#N/A</v>
      </c>
      <c r="Y192" s="605"/>
      <c r="Z192" s="182"/>
      <c r="AA192" s="182"/>
      <c r="AB192" s="182"/>
      <c r="AC192" s="456" t="e">
        <f t="shared" si="65"/>
        <v>#N/A</v>
      </c>
      <c r="AD192" s="605"/>
      <c r="AE192" s="182"/>
      <c r="AF192" s="182"/>
      <c r="AG192" s="182"/>
      <c r="AH192" s="456" t="e">
        <f t="shared" si="66"/>
        <v>#N/A</v>
      </c>
      <c r="AI192" s="605"/>
      <c r="AJ192" s="182"/>
      <c r="AK192" s="182"/>
      <c r="AL192" s="182"/>
      <c r="AM192" s="456" t="e">
        <f t="shared" si="67"/>
        <v>#N/A</v>
      </c>
      <c r="AN192" s="605"/>
      <c r="AO192" s="182"/>
      <c r="AP192" s="182"/>
      <c r="AQ192" s="182"/>
      <c r="AR192" s="456" t="e">
        <f t="shared" si="68"/>
        <v>#N/A</v>
      </c>
      <c r="AS192" s="605"/>
      <c r="AT192" s="182"/>
      <c r="AU192" s="182"/>
      <c r="AV192" s="182"/>
      <c r="AW192" s="456" t="e">
        <f t="shared" si="69"/>
        <v>#N/A</v>
      </c>
      <c r="AX192" s="605"/>
      <c r="AZ192" s="521" t="e">
        <f t="shared" si="70"/>
        <v>#N/A</v>
      </c>
      <c r="BA192" s="605"/>
    </row>
    <row r="193" spans="2:53">
      <c r="B193" s="610"/>
      <c r="C193" s="333">
        <v>12</v>
      </c>
      <c r="D193" s="226"/>
      <c r="E193" s="182"/>
      <c r="F193" s="511"/>
      <c r="G193" s="512"/>
      <c r="H193" s="668"/>
      <c r="I193" s="513" t="str">
        <f t="shared" si="60"/>
        <v>-</v>
      </c>
      <c r="J193" s="513" t="str">
        <f t="shared" si="61"/>
        <v>-</v>
      </c>
      <c r="K193" s="200" t="str">
        <f t="shared" si="62"/>
        <v>-</v>
      </c>
      <c r="L193" s="621"/>
      <c r="M193" s="201" t="e">
        <f>RANK(K193, K$147:$K$176)</f>
        <v>#VALUE!</v>
      </c>
      <c r="N193" s="604"/>
      <c r="O193" s="604"/>
      <c r="P193" s="182"/>
      <c r="Q193" s="182"/>
      <c r="R193" s="182"/>
      <c r="S193" s="456" t="e">
        <f t="shared" si="63"/>
        <v>#N/A</v>
      </c>
      <c r="T193" s="605"/>
      <c r="U193" s="182"/>
      <c r="V193" s="182"/>
      <c r="W193" s="182"/>
      <c r="X193" s="456" t="e">
        <f t="shared" si="64"/>
        <v>#N/A</v>
      </c>
      <c r="Y193" s="605"/>
      <c r="Z193" s="182"/>
      <c r="AA193" s="182"/>
      <c r="AB193" s="182"/>
      <c r="AC193" s="456" t="e">
        <f t="shared" si="65"/>
        <v>#N/A</v>
      </c>
      <c r="AD193" s="605"/>
      <c r="AE193" s="182"/>
      <c r="AF193" s="182"/>
      <c r="AG193" s="182"/>
      <c r="AH193" s="456" t="e">
        <f t="shared" si="66"/>
        <v>#N/A</v>
      </c>
      <c r="AI193" s="605"/>
      <c r="AJ193" s="182"/>
      <c r="AK193" s="182"/>
      <c r="AL193" s="182"/>
      <c r="AM193" s="456" t="e">
        <f t="shared" si="67"/>
        <v>#N/A</v>
      </c>
      <c r="AN193" s="605"/>
      <c r="AO193" s="182"/>
      <c r="AP193" s="182"/>
      <c r="AQ193" s="182"/>
      <c r="AR193" s="456" t="e">
        <f t="shared" si="68"/>
        <v>#N/A</v>
      </c>
      <c r="AS193" s="605"/>
      <c r="AT193" s="182"/>
      <c r="AU193" s="182"/>
      <c r="AV193" s="182"/>
      <c r="AW193" s="456" t="e">
        <f t="shared" si="69"/>
        <v>#N/A</v>
      </c>
      <c r="AX193" s="605"/>
      <c r="AZ193" s="521" t="e">
        <f t="shared" si="70"/>
        <v>#N/A</v>
      </c>
      <c r="BA193" s="605"/>
    </row>
    <row r="194" spans="2:53">
      <c r="B194" s="610"/>
      <c r="C194" s="333">
        <v>13</v>
      </c>
      <c r="D194" s="226"/>
      <c r="E194" s="182"/>
      <c r="F194" s="511"/>
      <c r="G194" s="512"/>
      <c r="H194" s="668"/>
      <c r="I194" s="513" t="str">
        <f t="shared" si="60"/>
        <v>-</v>
      </c>
      <c r="J194" s="513" t="str">
        <f t="shared" si="61"/>
        <v>-</v>
      </c>
      <c r="K194" s="200" t="str">
        <f t="shared" si="62"/>
        <v>-</v>
      </c>
      <c r="L194" s="621"/>
      <c r="M194" s="201" t="e">
        <f>RANK(K194, K$147:$K$176)</f>
        <v>#VALUE!</v>
      </c>
      <c r="N194" s="604"/>
      <c r="O194" s="604"/>
      <c r="P194" s="182"/>
      <c r="Q194" s="182"/>
      <c r="R194" s="182"/>
      <c r="S194" s="456" t="e">
        <f t="shared" si="63"/>
        <v>#N/A</v>
      </c>
      <c r="T194" s="605"/>
      <c r="U194" s="182"/>
      <c r="V194" s="182"/>
      <c r="W194" s="182"/>
      <c r="X194" s="456" t="e">
        <f t="shared" si="64"/>
        <v>#N/A</v>
      </c>
      <c r="Y194" s="605"/>
      <c r="Z194" s="182"/>
      <c r="AA194" s="182"/>
      <c r="AB194" s="182"/>
      <c r="AC194" s="456" t="e">
        <f t="shared" si="65"/>
        <v>#N/A</v>
      </c>
      <c r="AD194" s="605"/>
      <c r="AE194" s="182"/>
      <c r="AF194" s="182"/>
      <c r="AG194" s="182"/>
      <c r="AH194" s="456" t="e">
        <f t="shared" si="66"/>
        <v>#N/A</v>
      </c>
      <c r="AI194" s="605"/>
      <c r="AJ194" s="182"/>
      <c r="AK194" s="182"/>
      <c r="AL194" s="182"/>
      <c r="AM194" s="456" t="e">
        <f t="shared" si="67"/>
        <v>#N/A</v>
      </c>
      <c r="AN194" s="605"/>
      <c r="AO194" s="182"/>
      <c r="AP194" s="182"/>
      <c r="AQ194" s="182"/>
      <c r="AR194" s="456" t="e">
        <f t="shared" si="68"/>
        <v>#N/A</v>
      </c>
      <c r="AS194" s="605"/>
      <c r="AT194" s="182"/>
      <c r="AU194" s="182"/>
      <c r="AV194" s="182"/>
      <c r="AW194" s="456" t="e">
        <f t="shared" si="69"/>
        <v>#N/A</v>
      </c>
      <c r="AX194" s="605"/>
      <c r="AZ194" s="521" t="e">
        <f t="shared" si="70"/>
        <v>#N/A</v>
      </c>
      <c r="BA194" s="605"/>
    </row>
    <row r="195" spans="2:53">
      <c r="B195" s="610"/>
      <c r="C195" s="333">
        <v>14</v>
      </c>
      <c r="D195" s="226"/>
      <c r="E195" s="182"/>
      <c r="F195" s="511"/>
      <c r="G195" s="512"/>
      <c r="H195" s="668"/>
      <c r="I195" s="513" t="str">
        <f t="shared" si="60"/>
        <v>-</v>
      </c>
      <c r="J195" s="513" t="str">
        <f t="shared" si="61"/>
        <v>-</v>
      </c>
      <c r="K195" s="200" t="str">
        <f t="shared" si="62"/>
        <v>-</v>
      </c>
      <c r="L195" s="621"/>
      <c r="M195" s="201" t="e">
        <f>RANK(K195, K$147:$K$176)</f>
        <v>#VALUE!</v>
      </c>
      <c r="N195" s="604"/>
      <c r="O195" s="604"/>
      <c r="P195" s="182"/>
      <c r="Q195" s="182"/>
      <c r="R195" s="182"/>
      <c r="S195" s="456" t="e">
        <f t="shared" si="63"/>
        <v>#N/A</v>
      </c>
      <c r="T195" s="605"/>
      <c r="U195" s="182"/>
      <c r="V195" s="182"/>
      <c r="W195" s="182"/>
      <c r="X195" s="456" t="e">
        <f t="shared" si="64"/>
        <v>#N/A</v>
      </c>
      <c r="Y195" s="605"/>
      <c r="Z195" s="182"/>
      <c r="AA195" s="182"/>
      <c r="AB195" s="182"/>
      <c r="AC195" s="456" t="e">
        <f t="shared" si="65"/>
        <v>#N/A</v>
      </c>
      <c r="AD195" s="605"/>
      <c r="AE195" s="182"/>
      <c r="AF195" s="182"/>
      <c r="AG195" s="182"/>
      <c r="AH195" s="456" t="e">
        <f t="shared" si="66"/>
        <v>#N/A</v>
      </c>
      <c r="AI195" s="605"/>
      <c r="AJ195" s="182"/>
      <c r="AK195" s="182"/>
      <c r="AL195" s="182"/>
      <c r="AM195" s="456" t="e">
        <f t="shared" si="67"/>
        <v>#N/A</v>
      </c>
      <c r="AN195" s="605"/>
      <c r="AO195" s="182"/>
      <c r="AP195" s="182"/>
      <c r="AQ195" s="182"/>
      <c r="AR195" s="456" t="e">
        <f t="shared" si="68"/>
        <v>#N/A</v>
      </c>
      <c r="AS195" s="605"/>
      <c r="AT195" s="182"/>
      <c r="AU195" s="182"/>
      <c r="AV195" s="182"/>
      <c r="AW195" s="456" t="e">
        <f t="shared" si="69"/>
        <v>#N/A</v>
      </c>
      <c r="AX195" s="605"/>
      <c r="AZ195" s="521" t="e">
        <f t="shared" si="70"/>
        <v>#N/A</v>
      </c>
      <c r="BA195" s="605"/>
    </row>
    <row r="196" spans="2:53">
      <c r="B196" s="610"/>
      <c r="C196" s="333">
        <v>15</v>
      </c>
      <c r="D196" s="226"/>
      <c r="E196" s="182"/>
      <c r="F196" s="511"/>
      <c r="G196" s="512"/>
      <c r="H196" s="668"/>
      <c r="I196" s="513" t="str">
        <f t="shared" si="60"/>
        <v>-</v>
      </c>
      <c r="J196" s="513" t="str">
        <f t="shared" si="61"/>
        <v>-</v>
      </c>
      <c r="K196" s="200" t="str">
        <f t="shared" si="62"/>
        <v>-</v>
      </c>
      <c r="L196" s="621"/>
      <c r="M196" s="199" t="e">
        <f>RANK(K196, K$147:$K$176)</f>
        <v>#VALUE!</v>
      </c>
      <c r="N196" s="604"/>
      <c r="O196" s="604"/>
      <c r="P196" s="182"/>
      <c r="Q196" s="182"/>
      <c r="R196" s="182"/>
      <c r="S196" s="456" t="e">
        <f t="shared" si="63"/>
        <v>#N/A</v>
      </c>
      <c r="T196" s="605"/>
      <c r="U196" s="182"/>
      <c r="V196" s="182"/>
      <c r="W196" s="182"/>
      <c r="X196" s="456" t="e">
        <f t="shared" si="64"/>
        <v>#N/A</v>
      </c>
      <c r="Y196" s="605"/>
      <c r="Z196" s="182"/>
      <c r="AA196" s="182"/>
      <c r="AB196" s="182"/>
      <c r="AC196" s="456" t="e">
        <f t="shared" si="65"/>
        <v>#N/A</v>
      </c>
      <c r="AD196" s="605"/>
      <c r="AE196" s="182"/>
      <c r="AF196" s="182"/>
      <c r="AG196" s="182"/>
      <c r="AH196" s="456" t="e">
        <f t="shared" si="66"/>
        <v>#N/A</v>
      </c>
      <c r="AI196" s="605"/>
      <c r="AJ196" s="182"/>
      <c r="AK196" s="182"/>
      <c r="AL196" s="182"/>
      <c r="AM196" s="456" t="e">
        <f t="shared" si="67"/>
        <v>#N/A</v>
      </c>
      <c r="AN196" s="605"/>
      <c r="AO196" s="182"/>
      <c r="AP196" s="182"/>
      <c r="AQ196" s="182"/>
      <c r="AR196" s="456" t="e">
        <f t="shared" si="68"/>
        <v>#N/A</v>
      </c>
      <c r="AS196" s="605"/>
      <c r="AT196" s="182"/>
      <c r="AU196" s="182"/>
      <c r="AV196" s="182"/>
      <c r="AW196" s="456" t="e">
        <f t="shared" si="69"/>
        <v>#N/A</v>
      </c>
      <c r="AX196" s="605"/>
      <c r="AZ196" s="521" t="e">
        <f t="shared" si="70"/>
        <v>#N/A</v>
      </c>
      <c r="BA196" s="605"/>
    </row>
    <row r="197" spans="2:53">
      <c r="B197" s="610"/>
      <c r="C197" s="333">
        <v>16</v>
      </c>
      <c r="D197" s="226"/>
      <c r="E197" s="182"/>
      <c r="F197" s="511"/>
      <c r="G197" s="512"/>
      <c r="H197" s="668"/>
      <c r="I197" s="513" t="str">
        <f t="shared" si="60"/>
        <v>-</v>
      </c>
      <c r="J197" s="513" t="str">
        <f t="shared" si="61"/>
        <v>-</v>
      </c>
      <c r="K197" s="200" t="str">
        <f t="shared" si="62"/>
        <v>-</v>
      </c>
      <c r="L197" s="621"/>
      <c r="M197" s="199" t="e">
        <f>RANK(K197, K$147:$K$176)</f>
        <v>#VALUE!</v>
      </c>
      <c r="N197" s="604"/>
      <c r="O197" s="604"/>
      <c r="P197" s="182"/>
      <c r="Q197" s="182"/>
      <c r="R197" s="182"/>
      <c r="S197" s="456" t="e">
        <f t="shared" si="63"/>
        <v>#N/A</v>
      </c>
      <c r="T197" s="605"/>
      <c r="U197" s="182"/>
      <c r="V197" s="182"/>
      <c r="W197" s="182"/>
      <c r="X197" s="456" t="e">
        <f t="shared" si="64"/>
        <v>#N/A</v>
      </c>
      <c r="Y197" s="605"/>
      <c r="Z197" s="182"/>
      <c r="AA197" s="182"/>
      <c r="AB197" s="182"/>
      <c r="AC197" s="456" t="e">
        <f t="shared" si="65"/>
        <v>#N/A</v>
      </c>
      <c r="AD197" s="605"/>
      <c r="AE197" s="182"/>
      <c r="AF197" s="182"/>
      <c r="AG197" s="182"/>
      <c r="AH197" s="456" t="e">
        <f t="shared" si="66"/>
        <v>#N/A</v>
      </c>
      <c r="AI197" s="605"/>
      <c r="AJ197" s="182"/>
      <c r="AK197" s="182"/>
      <c r="AL197" s="182"/>
      <c r="AM197" s="456" t="e">
        <f t="shared" si="67"/>
        <v>#N/A</v>
      </c>
      <c r="AN197" s="605"/>
      <c r="AO197" s="182"/>
      <c r="AP197" s="182"/>
      <c r="AQ197" s="182"/>
      <c r="AR197" s="456" t="e">
        <f t="shared" si="68"/>
        <v>#N/A</v>
      </c>
      <c r="AS197" s="605"/>
      <c r="AT197" s="182"/>
      <c r="AU197" s="182"/>
      <c r="AV197" s="182"/>
      <c r="AW197" s="456" t="e">
        <f t="shared" si="69"/>
        <v>#N/A</v>
      </c>
      <c r="AX197" s="605"/>
      <c r="AZ197" s="521" t="e">
        <f t="shared" si="70"/>
        <v>#N/A</v>
      </c>
      <c r="BA197" s="605"/>
    </row>
    <row r="198" spans="2:53">
      <c r="B198" s="610"/>
      <c r="C198" s="333">
        <v>17</v>
      </c>
      <c r="D198" s="226"/>
      <c r="E198" s="182"/>
      <c r="F198" s="511"/>
      <c r="G198" s="512"/>
      <c r="H198" s="668"/>
      <c r="I198" s="513" t="str">
        <f t="shared" si="60"/>
        <v>-</v>
      </c>
      <c r="J198" s="513" t="str">
        <f t="shared" si="61"/>
        <v>-</v>
      </c>
      <c r="K198" s="200" t="str">
        <f t="shared" si="62"/>
        <v>-</v>
      </c>
      <c r="L198" s="621"/>
      <c r="M198" s="199" t="e">
        <f>RANK(K198, K$147:$K$176)</f>
        <v>#VALUE!</v>
      </c>
      <c r="N198" s="604"/>
      <c r="O198" s="604"/>
      <c r="P198" s="182"/>
      <c r="Q198" s="182"/>
      <c r="R198" s="182"/>
      <c r="S198" s="456" t="e">
        <f t="shared" si="63"/>
        <v>#N/A</v>
      </c>
      <c r="T198" s="605"/>
      <c r="U198" s="182"/>
      <c r="V198" s="182"/>
      <c r="W198" s="182"/>
      <c r="X198" s="456" t="e">
        <f t="shared" si="64"/>
        <v>#N/A</v>
      </c>
      <c r="Y198" s="605"/>
      <c r="Z198" s="182"/>
      <c r="AA198" s="182"/>
      <c r="AB198" s="182"/>
      <c r="AC198" s="456" t="e">
        <f t="shared" si="65"/>
        <v>#N/A</v>
      </c>
      <c r="AD198" s="605"/>
      <c r="AE198" s="182"/>
      <c r="AF198" s="182"/>
      <c r="AG198" s="182"/>
      <c r="AH198" s="456" t="e">
        <f t="shared" si="66"/>
        <v>#N/A</v>
      </c>
      <c r="AI198" s="605"/>
      <c r="AJ198" s="182"/>
      <c r="AK198" s="182"/>
      <c r="AL198" s="182"/>
      <c r="AM198" s="456" t="e">
        <f t="shared" si="67"/>
        <v>#N/A</v>
      </c>
      <c r="AN198" s="605"/>
      <c r="AO198" s="182"/>
      <c r="AP198" s="182"/>
      <c r="AQ198" s="182"/>
      <c r="AR198" s="456" t="e">
        <f t="shared" si="68"/>
        <v>#N/A</v>
      </c>
      <c r="AS198" s="605"/>
      <c r="AT198" s="182"/>
      <c r="AU198" s="182"/>
      <c r="AV198" s="182"/>
      <c r="AW198" s="456" t="e">
        <f t="shared" si="69"/>
        <v>#N/A</v>
      </c>
      <c r="AX198" s="605"/>
      <c r="AZ198" s="521" t="e">
        <f t="shared" si="70"/>
        <v>#N/A</v>
      </c>
      <c r="BA198" s="605"/>
    </row>
    <row r="199" spans="2:53">
      <c r="B199" s="610"/>
      <c r="C199" s="333">
        <v>18</v>
      </c>
      <c r="D199" s="226"/>
      <c r="E199" s="182"/>
      <c r="F199" s="511"/>
      <c r="G199" s="512"/>
      <c r="H199" s="668"/>
      <c r="I199" s="513" t="str">
        <f t="shared" si="60"/>
        <v>-</v>
      </c>
      <c r="J199" s="513" t="str">
        <f t="shared" si="61"/>
        <v>-</v>
      </c>
      <c r="K199" s="200" t="str">
        <f t="shared" si="62"/>
        <v>-</v>
      </c>
      <c r="L199" s="621"/>
      <c r="M199" s="199" t="e">
        <f>RANK(K199, K$147:$K$176)</f>
        <v>#VALUE!</v>
      </c>
      <c r="N199" s="604"/>
      <c r="O199" s="604"/>
      <c r="P199" s="182"/>
      <c r="Q199" s="182"/>
      <c r="R199" s="182"/>
      <c r="S199" s="456" t="e">
        <f t="shared" si="63"/>
        <v>#N/A</v>
      </c>
      <c r="T199" s="605"/>
      <c r="U199" s="182"/>
      <c r="V199" s="182"/>
      <c r="W199" s="182"/>
      <c r="X199" s="456" t="e">
        <f t="shared" si="64"/>
        <v>#N/A</v>
      </c>
      <c r="Y199" s="605"/>
      <c r="Z199" s="182"/>
      <c r="AA199" s="182"/>
      <c r="AB199" s="182"/>
      <c r="AC199" s="456" t="e">
        <f t="shared" si="65"/>
        <v>#N/A</v>
      </c>
      <c r="AD199" s="605"/>
      <c r="AE199" s="182"/>
      <c r="AF199" s="182"/>
      <c r="AG199" s="182"/>
      <c r="AH199" s="456" t="e">
        <f t="shared" si="66"/>
        <v>#N/A</v>
      </c>
      <c r="AI199" s="605"/>
      <c r="AJ199" s="182"/>
      <c r="AK199" s="182"/>
      <c r="AL199" s="182"/>
      <c r="AM199" s="456" t="e">
        <f t="shared" si="67"/>
        <v>#N/A</v>
      </c>
      <c r="AN199" s="605"/>
      <c r="AO199" s="182"/>
      <c r="AP199" s="182"/>
      <c r="AQ199" s="182"/>
      <c r="AR199" s="456" t="e">
        <f t="shared" si="68"/>
        <v>#N/A</v>
      </c>
      <c r="AS199" s="605"/>
      <c r="AT199" s="182"/>
      <c r="AU199" s="182"/>
      <c r="AV199" s="182"/>
      <c r="AW199" s="456" t="e">
        <f t="shared" si="69"/>
        <v>#N/A</v>
      </c>
      <c r="AX199" s="605"/>
      <c r="AZ199" s="521" t="e">
        <f t="shared" si="70"/>
        <v>#N/A</v>
      </c>
      <c r="BA199" s="605"/>
    </row>
    <row r="200" spans="2:53">
      <c r="B200" s="610"/>
      <c r="C200" s="333">
        <v>19</v>
      </c>
      <c r="D200" s="226"/>
      <c r="E200" s="182"/>
      <c r="F200" s="511"/>
      <c r="G200" s="512"/>
      <c r="H200" s="668"/>
      <c r="I200" s="513" t="str">
        <f t="shared" si="60"/>
        <v>-</v>
      </c>
      <c r="J200" s="513" t="str">
        <f t="shared" si="61"/>
        <v>-</v>
      </c>
      <c r="K200" s="200" t="str">
        <f t="shared" si="62"/>
        <v>-</v>
      </c>
      <c r="L200" s="621"/>
      <c r="M200" s="199" t="e">
        <f>RANK(K200, K$147:$K$176)</f>
        <v>#VALUE!</v>
      </c>
      <c r="N200" s="604"/>
      <c r="O200" s="604"/>
      <c r="P200" s="182"/>
      <c r="Q200" s="182"/>
      <c r="R200" s="182"/>
      <c r="S200" s="456" t="e">
        <f t="shared" si="63"/>
        <v>#N/A</v>
      </c>
      <c r="T200" s="605"/>
      <c r="U200" s="182"/>
      <c r="V200" s="182"/>
      <c r="W200" s="182"/>
      <c r="X200" s="456" t="e">
        <f t="shared" si="64"/>
        <v>#N/A</v>
      </c>
      <c r="Y200" s="605"/>
      <c r="Z200" s="182"/>
      <c r="AA200" s="182"/>
      <c r="AB200" s="182"/>
      <c r="AC200" s="456" t="e">
        <f t="shared" si="65"/>
        <v>#N/A</v>
      </c>
      <c r="AD200" s="605"/>
      <c r="AE200" s="182"/>
      <c r="AF200" s="182"/>
      <c r="AG200" s="182"/>
      <c r="AH200" s="456" t="e">
        <f t="shared" si="66"/>
        <v>#N/A</v>
      </c>
      <c r="AI200" s="605"/>
      <c r="AJ200" s="182"/>
      <c r="AK200" s="182"/>
      <c r="AL200" s="182"/>
      <c r="AM200" s="456" t="e">
        <f t="shared" si="67"/>
        <v>#N/A</v>
      </c>
      <c r="AN200" s="605"/>
      <c r="AO200" s="182"/>
      <c r="AP200" s="182"/>
      <c r="AQ200" s="182"/>
      <c r="AR200" s="456" t="e">
        <f t="shared" si="68"/>
        <v>#N/A</v>
      </c>
      <c r="AS200" s="605"/>
      <c r="AT200" s="182"/>
      <c r="AU200" s="182"/>
      <c r="AV200" s="182"/>
      <c r="AW200" s="456" t="e">
        <f t="shared" si="69"/>
        <v>#N/A</v>
      </c>
      <c r="AX200" s="605"/>
      <c r="AZ200" s="521" t="e">
        <f t="shared" si="70"/>
        <v>#N/A</v>
      </c>
      <c r="BA200" s="605"/>
    </row>
    <row r="201" spans="2:53">
      <c r="B201" s="610"/>
      <c r="C201" s="333">
        <v>20</v>
      </c>
      <c r="D201" s="226"/>
      <c r="E201" s="182"/>
      <c r="F201" s="511"/>
      <c r="G201" s="512"/>
      <c r="H201" s="668"/>
      <c r="I201" s="513" t="str">
        <f t="shared" si="60"/>
        <v>-</v>
      </c>
      <c r="J201" s="513" t="str">
        <f t="shared" si="61"/>
        <v>-</v>
      </c>
      <c r="K201" s="200" t="str">
        <f t="shared" si="62"/>
        <v>-</v>
      </c>
      <c r="L201" s="621"/>
      <c r="M201" s="199" t="e">
        <f>RANK(K201, K$147:$K$176)</f>
        <v>#VALUE!</v>
      </c>
      <c r="N201" s="604"/>
      <c r="O201" s="604"/>
      <c r="P201" s="182"/>
      <c r="Q201" s="182"/>
      <c r="R201" s="182"/>
      <c r="S201" s="456" t="e">
        <f t="shared" si="63"/>
        <v>#N/A</v>
      </c>
      <c r="T201" s="605"/>
      <c r="U201" s="182"/>
      <c r="V201" s="182"/>
      <c r="W201" s="182"/>
      <c r="X201" s="456" t="e">
        <f t="shared" si="64"/>
        <v>#N/A</v>
      </c>
      <c r="Y201" s="605"/>
      <c r="Z201" s="182"/>
      <c r="AA201" s="182"/>
      <c r="AB201" s="182"/>
      <c r="AC201" s="456" t="e">
        <f t="shared" si="65"/>
        <v>#N/A</v>
      </c>
      <c r="AD201" s="605"/>
      <c r="AE201" s="182"/>
      <c r="AF201" s="182"/>
      <c r="AG201" s="182"/>
      <c r="AH201" s="456" t="e">
        <f t="shared" si="66"/>
        <v>#N/A</v>
      </c>
      <c r="AI201" s="605"/>
      <c r="AJ201" s="182"/>
      <c r="AK201" s="182"/>
      <c r="AL201" s="182"/>
      <c r="AM201" s="456" t="e">
        <f t="shared" si="67"/>
        <v>#N/A</v>
      </c>
      <c r="AN201" s="605"/>
      <c r="AO201" s="182"/>
      <c r="AP201" s="182"/>
      <c r="AQ201" s="182"/>
      <c r="AR201" s="456" t="e">
        <f t="shared" si="68"/>
        <v>#N/A</v>
      </c>
      <c r="AS201" s="605"/>
      <c r="AT201" s="182"/>
      <c r="AU201" s="182"/>
      <c r="AV201" s="182"/>
      <c r="AW201" s="456" t="e">
        <f t="shared" si="69"/>
        <v>#N/A</v>
      </c>
      <c r="AX201" s="605"/>
      <c r="AZ201" s="521" t="e">
        <f t="shared" si="70"/>
        <v>#N/A</v>
      </c>
      <c r="BA201" s="605"/>
    </row>
    <row r="202" spans="2:53">
      <c r="B202" s="610"/>
      <c r="C202" s="333">
        <v>21</v>
      </c>
      <c r="D202" s="226"/>
      <c r="E202" s="182"/>
      <c r="F202" s="511"/>
      <c r="G202" s="512"/>
      <c r="H202" s="668"/>
      <c r="I202" s="513" t="str">
        <f t="shared" si="60"/>
        <v>-</v>
      </c>
      <c r="J202" s="513" t="str">
        <f t="shared" si="61"/>
        <v>-</v>
      </c>
      <c r="K202" s="200" t="str">
        <f t="shared" si="62"/>
        <v>-</v>
      </c>
      <c r="L202" s="621"/>
      <c r="M202" s="199" t="e">
        <f>RANK(K202, K$147:$K$176)</f>
        <v>#VALUE!</v>
      </c>
      <c r="N202" s="604"/>
      <c r="O202" s="604"/>
      <c r="P202" s="182"/>
      <c r="Q202" s="182"/>
      <c r="R202" s="182"/>
      <c r="S202" s="456" t="e">
        <f t="shared" si="63"/>
        <v>#N/A</v>
      </c>
      <c r="T202" s="605"/>
      <c r="U202" s="182"/>
      <c r="V202" s="182"/>
      <c r="W202" s="182"/>
      <c r="X202" s="456" t="e">
        <f t="shared" si="64"/>
        <v>#N/A</v>
      </c>
      <c r="Y202" s="605"/>
      <c r="Z202" s="182"/>
      <c r="AA202" s="182"/>
      <c r="AB202" s="182"/>
      <c r="AC202" s="456" t="e">
        <f t="shared" si="65"/>
        <v>#N/A</v>
      </c>
      <c r="AD202" s="605"/>
      <c r="AE202" s="182"/>
      <c r="AF202" s="182"/>
      <c r="AG202" s="182"/>
      <c r="AH202" s="456" t="e">
        <f t="shared" si="66"/>
        <v>#N/A</v>
      </c>
      <c r="AI202" s="605"/>
      <c r="AJ202" s="182"/>
      <c r="AK202" s="182"/>
      <c r="AL202" s="182"/>
      <c r="AM202" s="456" t="e">
        <f t="shared" si="67"/>
        <v>#N/A</v>
      </c>
      <c r="AN202" s="605"/>
      <c r="AO202" s="182"/>
      <c r="AP202" s="182"/>
      <c r="AQ202" s="182"/>
      <c r="AR202" s="456" t="e">
        <f t="shared" si="68"/>
        <v>#N/A</v>
      </c>
      <c r="AS202" s="605"/>
      <c r="AT202" s="182"/>
      <c r="AU202" s="182"/>
      <c r="AV202" s="182"/>
      <c r="AW202" s="456" t="e">
        <f t="shared" si="69"/>
        <v>#N/A</v>
      </c>
      <c r="AX202" s="605"/>
      <c r="AZ202" s="521" t="e">
        <f t="shared" si="70"/>
        <v>#N/A</v>
      </c>
      <c r="BA202" s="605"/>
    </row>
    <row r="203" spans="2:53">
      <c r="B203" s="610"/>
      <c r="C203" s="333">
        <v>22</v>
      </c>
      <c r="D203" s="226"/>
      <c r="E203" s="182"/>
      <c r="F203" s="511"/>
      <c r="G203" s="512"/>
      <c r="H203" s="668"/>
      <c r="I203" s="513" t="str">
        <f t="shared" si="60"/>
        <v>-</v>
      </c>
      <c r="J203" s="513" t="str">
        <f t="shared" si="61"/>
        <v>-</v>
      </c>
      <c r="K203" s="200" t="str">
        <f t="shared" si="62"/>
        <v>-</v>
      </c>
      <c r="L203" s="621"/>
      <c r="M203" s="199" t="e">
        <f>RANK(K203, K$147:$K$176)</f>
        <v>#VALUE!</v>
      </c>
      <c r="N203" s="604"/>
      <c r="O203" s="604"/>
      <c r="P203" s="182"/>
      <c r="Q203" s="182"/>
      <c r="R203" s="182"/>
      <c r="S203" s="456" t="e">
        <f t="shared" si="63"/>
        <v>#N/A</v>
      </c>
      <c r="T203" s="605"/>
      <c r="U203" s="182"/>
      <c r="V203" s="182"/>
      <c r="W203" s="182"/>
      <c r="X203" s="456" t="e">
        <f t="shared" si="64"/>
        <v>#N/A</v>
      </c>
      <c r="Y203" s="605"/>
      <c r="Z203" s="182"/>
      <c r="AA203" s="182"/>
      <c r="AB203" s="182"/>
      <c r="AC203" s="456" t="e">
        <f t="shared" si="65"/>
        <v>#N/A</v>
      </c>
      <c r="AD203" s="605"/>
      <c r="AE203" s="182"/>
      <c r="AF203" s="182"/>
      <c r="AG203" s="182"/>
      <c r="AH203" s="456" t="e">
        <f t="shared" si="66"/>
        <v>#N/A</v>
      </c>
      <c r="AI203" s="605"/>
      <c r="AJ203" s="182"/>
      <c r="AK203" s="182"/>
      <c r="AL203" s="182"/>
      <c r="AM203" s="456" t="e">
        <f t="shared" si="67"/>
        <v>#N/A</v>
      </c>
      <c r="AN203" s="605"/>
      <c r="AO203" s="182"/>
      <c r="AP203" s="182"/>
      <c r="AQ203" s="182"/>
      <c r="AR203" s="456" t="e">
        <f t="shared" si="68"/>
        <v>#N/A</v>
      </c>
      <c r="AS203" s="605"/>
      <c r="AT203" s="182"/>
      <c r="AU203" s="182"/>
      <c r="AV203" s="182"/>
      <c r="AW203" s="456" t="e">
        <f t="shared" si="69"/>
        <v>#N/A</v>
      </c>
      <c r="AX203" s="605"/>
      <c r="AZ203" s="521" t="e">
        <f t="shared" si="70"/>
        <v>#N/A</v>
      </c>
      <c r="BA203" s="605"/>
    </row>
    <row r="204" spans="2:53">
      <c r="B204" s="610"/>
      <c r="C204" s="333">
        <v>23</v>
      </c>
      <c r="D204" s="226"/>
      <c r="E204" s="182"/>
      <c r="F204" s="511"/>
      <c r="G204" s="512"/>
      <c r="H204" s="668"/>
      <c r="I204" s="513" t="str">
        <f t="shared" si="60"/>
        <v>-</v>
      </c>
      <c r="J204" s="513" t="str">
        <f t="shared" si="61"/>
        <v>-</v>
      </c>
      <c r="K204" s="200" t="str">
        <f t="shared" si="62"/>
        <v>-</v>
      </c>
      <c r="L204" s="621"/>
      <c r="M204" s="199" t="e">
        <f>RANK(K204, K$147:$K$176)</f>
        <v>#VALUE!</v>
      </c>
      <c r="N204" s="604"/>
      <c r="O204" s="604"/>
      <c r="P204" s="182"/>
      <c r="Q204" s="182"/>
      <c r="R204" s="182"/>
      <c r="S204" s="456" t="e">
        <f t="shared" si="63"/>
        <v>#N/A</v>
      </c>
      <c r="T204" s="605"/>
      <c r="U204" s="182"/>
      <c r="V204" s="182"/>
      <c r="W204" s="182"/>
      <c r="X204" s="456" t="e">
        <f t="shared" si="64"/>
        <v>#N/A</v>
      </c>
      <c r="Y204" s="605"/>
      <c r="Z204" s="182"/>
      <c r="AA204" s="182"/>
      <c r="AB204" s="182"/>
      <c r="AC204" s="456" t="e">
        <f t="shared" si="65"/>
        <v>#N/A</v>
      </c>
      <c r="AD204" s="605"/>
      <c r="AE204" s="182"/>
      <c r="AF204" s="182"/>
      <c r="AG204" s="182"/>
      <c r="AH204" s="456" t="e">
        <f t="shared" si="66"/>
        <v>#N/A</v>
      </c>
      <c r="AI204" s="605"/>
      <c r="AJ204" s="182"/>
      <c r="AK204" s="182"/>
      <c r="AL204" s="182"/>
      <c r="AM204" s="456" t="e">
        <f t="shared" si="67"/>
        <v>#N/A</v>
      </c>
      <c r="AN204" s="605"/>
      <c r="AO204" s="182"/>
      <c r="AP204" s="182"/>
      <c r="AQ204" s="182"/>
      <c r="AR204" s="456" t="e">
        <f t="shared" si="68"/>
        <v>#N/A</v>
      </c>
      <c r="AS204" s="605"/>
      <c r="AT204" s="182"/>
      <c r="AU204" s="182"/>
      <c r="AV204" s="182"/>
      <c r="AW204" s="456" t="e">
        <f t="shared" si="69"/>
        <v>#N/A</v>
      </c>
      <c r="AX204" s="605"/>
      <c r="AZ204" s="521" t="e">
        <f t="shared" si="70"/>
        <v>#N/A</v>
      </c>
      <c r="BA204" s="605"/>
    </row>
    <row r="205" spans="2:53">
      <c r="B205" s="610"/>
      <c r="C205" s="333">
        <v>24</v>
      </c>
      <c r="D205" s="226"/>
      <c r="E205" s="182"/>
      <c r="F205" s="511"/>
      <c r="G205" s="512"/>
      <c r="H205" s="668"/>
      <c r="I205" s="513" t="str">
        <f t="shared" si="60"/>
        <v>-</v>
      </c>
      <c r="J205" s="513" t="str">
        <f t="shared" si="61"/>
        <v>-</v>
      </c>
      <c r="K205" s="200" t="str">
        <f t="shared" si="62"/>
        <v>-</v>
      </c>
      <c r="L205" s="621"/>
      <c r="M205" s="199" t="e">
        <f>RANK(K205, K$147:$K$176)</f>
        <v>#VALUE!</v>
      </c>
      <c r="N205" s="604"/>
      <c r="O205" s="604"/>
      <c r="P205" s="333"/>
      <c r="Q205" s="336"/>
      <c r="R205" s="336"/>
      <c r="S205" s="456" t="e">
        <f t="shared" si="63"/>
        <v>#N/A</v>
      </c>
      <c r="T205" s="605"/>
      <c r="U205" s="347"/>
      <c r="V205" s="348"/>
      <c r="W205" s="348"/>
      <c r="X205" s="456" t="e">
        <f t="shared" si="64"/>
        <v>#N/A</v>
      </c>
      <c r="Y205" s="605"/>
      <c r="Z205" s="465"/>
      <c r="AA205" s="466"/>
      <c r="AB205" s="466"/>
      <c r="AC205" s="456" t="e">
        <f t="shared" si="65"/>
        <v>#N/A</v>
      </c>
      <c r="AD205" s="605"/>
      <c r="AE205" s="465"/>
      <c r="AF205" s="466"/>
      <c r="AG205" s="466"/>
      <c r="AH205" s="456" t="e">
        <f t="shared" si="66"/>
        <v>#N/A</v>
      </c>
      <c r="AI205" s="605"/>
      <c r="AJ205" s="465"/>
      <c r="AK205" s="466"/>
      <c r="AL205" s="466"/>
      <c r="AM205" s="456" t="e">
        <f t="shared" si="67"/>
        <v>#N/A</v>
      </c>
      <c r="AN205" s="605"/>
      <c r="AO205" s="465"/>
      <c r="AP205" s="466"/>
      <c r="AQ205" s="466"/>
      <c r="AR205" s="456" t="e">
        <f t="shared" si="68"/>
        <v>#N/A</v>
      </c>
      <c r="AS205" s="605"/>
      <c r="AT205" s="347"/>
      <c r="AU205" s="348"/>
      <c r="AV205" s="348"/>
      <c r="AW205" s="456" t="e">
        <f t="shared" si="69"/>
        <v>#N/A</v>
      </c>
      <c r="AX205" s="605"/>
      <c r="AZ205" s="521" t="e">
        <f t="shared" si="70"/>
        <v>#N/A</v>
      </c>
      <c r="BA205" s="605"/>
    </row>
    <row r="206" spans="2:53">
      <c r="B206" s="610"/>
      <c r="C206" s="333">
        <v>25</v>
      </c>
      <c r="D206" s="226"/>
      <c r="E206" s="182"/>
      <c r="F206" s="511"/>
      <c r="G206" s="512"/>
      <c r="H206" s="668"/>
      <c r="I206" s="513" t="str">
        <f t="shared" si="60"/>
        <v>-</v>
      </c>
      <c r="J206" s="513" t="str">
        <f t="shared" si="61"/>
        <v>-</v>
      </c>
      <c r="K206" s="200" t="str">
        <f t="shared" si="62"/>
        <v>-</v>
      </c>
      <c r="L206" s="621"/>
      <c r="M206" s="199" t="e">
        <f>RANK(K206, K$147:$K$176)</f>
        <v>#VALUE!</v>
      </c>
      <c r="N206" s="604"/>
      <c r="O206" s="604"/>
      <c r="P206" s="333"/>
      <c r="Q206" s="336"/>
      <c r="R206" s="336"/>
      <c r="S206" s="456" t="e">
        <f t="shared" si="63"/>
        <v>#N/A</v>
      </c>
      <c r="T206" s="605"/>
      <c r="U206" s="347"/>
      <c r="V206" s="348"/>
      <c r="W206" s="348"/>
      <c r="X206" s="456" t="e">
        <f t="shared" si="64"/>
        <v>#N/A</v>
      </c>
      <c r="Y206" s="605"/>
      <c r="Z206" s="465"/>
      <c r="AA206" s="466"/>
      <c r="AB206" s="466"/>
      <c r="AC206" s="456" t="e">
        <f t="shared" si="65"/>
        <v>#N/A</v>
      </c>
      <c r="AD206" s="605"/>
      <c r="AE206" s="465"/>
      <c r="AF206" s="466"/>
      <c r="AG206" s="466"/>
      <c r="AH206" s="456" t="e">
        <f t="shared" si="66"/>
        <v>#N/A</v>
      </c>
      <c r="AI206" s="605"/>
      <c r="AJ206" s="465"/>
      <c r="AK206" s="466"/>
      <c r="AL206" s="466"/>
      <c r="AM206" s="456" t="e">
        <f t="shared" si="67"/>
        <v>#N/A</v>
      </c>
      <c r="AN206" s="605"/>
      <c r="AO206" s="465"/>
      <c r="AP206" s="466"/>
      <c r="AQ206" s="466"/>
      <c r="AR206" s="456" t="e">
        <f t="shared" si="68"/>
        <v>#N/A</v>
      </c>
      <c r="AS206" s="605"/>
      <c r="AT206" s="347"/>
      <c r="AU206" s="348"/>
      <c r="AV206" s="348"/>
      <c r="AW206" s="456" t="e">
        <f t="shared" si="69"/>
        <v>#N/A</v>
      </c>
      <c r="AX206" s="605"/>
      <c r="AZ206" s="521" t="e">
        <f t="shared" si="70"/>
        <v>#N/A</v>
      </c>
      <c r="BA206" s="605"/>
    </row>
    <row r="207" spans="2:53">
      <c r="B207" s="610"/>
      <c r="C207" s="333">
        <v>26</v>
      </c>
      <c r="D207" s="226"/>
      <c r="E207" s="182"/>
      <c r="F207" s="511"/>
      <c r="G207" s="512"/>
      <c r="H207" s="668"/>
      <c r="I207" s="513" t="str">
        <f t="shared" si="60"/>
        <v>-</v>
      </c>
      <c r="J207" s="513" t="str">
        <f t="shared" si="61"/>
        <v>-</v>
      </c>
      <c r="K207" s="200" t="str">
        <f t="shared" si="62"/>
        <v>-</v>
      </c>
      <c r="L207" s="621"/>
      <c r="M207" s="199" t="e">
        <f>RANK(K207, K$147:$K$176)</f>
        <v>#VALUE!</v>
      </c>
      <c r="N207" s="604"/>
      <c r="O207" s="604"/>
      <c r="P207" s="333"/>
      <c r="Q207" s="336"/>
      <c r="R207" s="336"/>
      <c r="S207" s="456" t="e">
        <f t="shared" si="63"/>
        <v>#N/A</v>
      </c>
      <c r="T207" s="605"/>
      <c r="U207" s="347"/>
      <c r="V207" s="348"/>
      <c r="W207" s="348"/>
      <c r="X207" s="456" t="e">
        <f t="shared" si="64"/>
        <v>#N/A</v>
      </c>
      <c r="Y207" s="605"/>
      <c r="Z207" s="465"/>
      <c r="AA207" s="466"/>
      <c r="AB207" s="466"/>
      <c r="AC207" s="456" t="e">
        <f t="shared" si="65"/>
        <v>#N/A</v>
      </c>
      <c r="AD207" s="605"/>
      <c r="AE207" s="465"/>
      <c r="AF207" s="466"/>
      <c r="AG207" s="466"/>
      <c r="AH207" s="456" t="e">
        <f t="shared" si="66"/>
        <v>#N/A</v>
      </c>
      <c r="AI207" s="605"/>
      <c r="AJ207" s="465"/>
      <c r="AK207" s="466"/>
      <c r="AL207" s="466"/>
      <c r="AM207" s="456" t="e">
        <f t="shared" si="67"/>
        <v>#N/A</v>
      </c>
      <c r="AN207" s="605"/>
      <c r="AO207" s="465"/>
      <c r="AP207" s="466"/>
      <c r="AQ207" s="466"/>
      <c r="AR207" s="456" t="e">
        <f t="shared" si="68"/>
        <v>#N/A</v>
      </c>
      <c r="AS207" s="605"/>
      <c r="AT207" s="347"/>
      <c r="AU207" s="348"/>
      <c r="AV207" s="348"/>
      <c r="AW207" s="456" t="e">
        <f t="shared" si="69"/>
        <v>#N/A</v>
      </c>
      <c r="AX207" s="605"/>
      <c r="AZ207" s="521" t="e">
        <f t="shared" si="70"/>
        <v>#N/A</v>
      </c>
      <c r="BA207" s="605"/>
    </row>
    <row r="208" spans="2:53">
      <c r="B208" s="610"/>
      <c r="C208" s="333">
        <v>27</v>
      </c>
      <c r="D208" s="226"/>
      <c r="E208" s="182"/>
      <c r="F208" s="511"/>
      <c r="G208" s="512"/>
      <c r="H208" s="668"/>
      <c r="I208" s="513" t="str">
        <f t="shared" si="60"/>
        <v>-</v>
      </c>
      <c r="J208" s="513" t="str">
        <f t="shared" si="61"/>
        <v>-</v>
      </c>
      <c r="K208" s="200" t="str">
        <f t="shared" si="62"/>
        <v>-</v>
      </c>
      <c r="L208" s="621"/>
      <c r="M208" s="199" t="e">
        <f>RANK(K208, K$147:$K$176)</f>
        <v>#VALUE!</v>
      </c>
      <c r="N208" s="604"/>
      <c r="O208" s="604"/>
      <c r="P208" s="333"/>
      <c r="Q208" s="336"/>
      <c r="R208" s="336"/>
      <c r="S208" s="456" t="e">
        <f t="shared" si="63"/>
        <v>#N/A</v>
      </c>
      <c r="T208" s="605"/>
      <c r="U208" s="347"/>
      <c r="V208" s="348"/>
      <c r="W208" s="348"/>
      <c r="X208" s="456" t="e">
        <f t="shared" si="64"/>
        <v>#N/A</v>
      </c>
      <c r="Y208" s="605"/>
      <c r="Z208" s="465"/>
      <c r="AA208" s="466"/>
      <c r="AB208" s="466"/>
      <c r="AC208" s="456" t="e">
        <f t="shared" si="65"/>
        <v>#N/A</v>
      </c>
      <c r="AD208" s="605"/>
      <c r="AE208" s="465"/>
      <c r="AF208" s="466"/>
      <c r="AG208" s="466"/>
      <c r="AH208" s="456" t="e">
        <f t="shared" si="66"/>
        <v>#N/A</v>
      </c>
      <c r="AI208" s="605"/>
      <c r="AJ208" s="465"/>
      <c r="AK208" s="466"/>
      <c r="AL208" s="466"/>
      <c r="AM208" s="456" t="e">
        <f t="shared" si="67"/>
        <v>#N/A</v>
      </c>
      <c r="AN208" s="605"/>
      <c r="AO208" s="465"/>
      <c r="AP208" s="466"/>
      <c r="AQ208" s="466"/>
      <c r="AR208" s="456" t="e">
        <f t="shared" si="68"/>
        <v>#N/A</v>
      </c>
      <c r="AS208" s="605"/>
      <c r="AT208" s="347"/>
      <c r="AU208" s="348"/>
      <c r="AV208" s="348"/>
      <c r="AW208" s="456" t="e">
        <f t="shared" si="69"/>
        <v>#N/A</v>
      </c>
      <c r="AX208" s="605"/>
      <c r="AZ208" s="521" t="e">
        <f t="shared" si="70"/>
        <v>#N/A</v>
      </c>
      <c r="BA208" s="605"/>
    </row>
    <row r="209" spans="2:53">
      <c r="B209" s="610"/>
      <c r="C209" s="333">
        <v>28</v>
      </c>
      <c r="D209" s="226"/>
      <c r="E209" s="182"/>
      <c r="F209" s="511"/>
      <c r="G209" s="512"/>
      <c r="H209" s="668"/>
      <c r="I209" s="513" t="str">
        <f t="shared" si="60"/>
        <v>-</v>
      </c>
      <c r="J209" s="513" t="str">
        <f t="shared" si="61"/>
        <v>-</v>
      </c>
      <c r="K209" s="200" t="str">
        <f t="shared" si="62"/>
        <v>-</v>
      </c>
      <c r="L209" s="621"/>
      <c r="M209" s="199" t="e">
        <f>RANK(K209, K$147:$K$176)</f>
        <v>#VALUE!</v>
      </c>
      <c r="N209" s="604"/>
      <c r="O209" s="604"/>
      <c r="P209" s="333"/>
      <c r="Q209" s="336"/>
      <c r="R209" s="336"/>
      <c r="S209" s="456" t="e">
        <f t="shared" si="63"/>
        <v>#N/A</v>
      </c>
      <c r="T209" s="605"/>
      <c r="U209" s="333"/>
      <c r="V209" s="336"/>
      <c r="W209" s="336"/>
      <c r="X209" s="456" t="e">
        <f t="shared" si="64"/>
        <v>#N/A</v>
      </c>
      <c r="Y209" s="605"/>
      <c r="Z209" s="465"/>
      <c r="AA209" s="466"/>
      <c r="AB209" s="466"/>
      <c r="AC209" s="456" t="e">
        <f t="shared" si="65"/>
        <v>#N/A</v>
      </c>
      <c r="AD209" s="605"/>
      <c r="AE209" s="465"/>
      <c r="AF209" s="466"/>
      <c r="AG209" s="466"/>
      <c r="AH209" s="456" t="e">
        <f t="shared" si="66"/>
        <v>#N/A</v>
      </c>
      <c r="AI209" s="605"/>
      <c r="AJ209" s="465"/>
      <c r="AK209" s="466"/>
      <c r="AL209" s="466"/>
      <c r="AM209" s="456" t="e">
        <f t="shared" si="67"/>
        <v>#N/A</v>
      </c>
      <c r="AN209" s="605"/>
      <c r="AO209" s="465"/>
      <c r="AP209" s="466"/>
      <c r="AQ209" s="466"/>
      <c r="AR209" s="456" t="e">
        <f t="shared" si="68"/>
        <v>#N/A</v>
      </c>
      <c r="AS209" s="605"/>
      <c r="AT209" s="333"/>
      <c r="AU209" s="336"/>
      <c r="AV209" s="336"/>
      <c r="AW209" s="456" t="e">
        <f t="shared" si="69"/>
        <v>#N/A</v>
      </c>
      <c r="AX209" s="605"/>
      <c r="AZ209" s="521" t="e">
        <f t="shared" si="70"/>
        <v>#N/A</v>
      </c>
      <c r="BA209" s="605"/>
    </row>
    <row r="210" spans="2:53">
      <c r="B210" s="610"/>
      <c r="C210" s="333">
        <v>29</v>
      </c>
      <c r="D210" s="226"/>
      <c r="E210" s="182"/>
      <c r="F210" s="511"/>
      <c r="G210" s="512"/>
      <c r="H210" s="668"/>
      <c r="I210" s="513" t="str">
        <f t="shared" si="60"/>
        <v>-</v>
      </c>
      <c r="J210" s="513" t="str">
        <f t="shared" si="61"/>
        <v>-</v>
      </c>
      <c r="K210" s="200" t="str">
        <f t="shared" si="62"/>
        <v>-</v>
      </c>
      <c r="L210" s="621"/>
      <c r="M210" s="199" t="e">
        <f>RANK(K210, K$147:$K$176)</f>
        <v>#VALUE!</v>
      </c>
      <c r="N210" s="604"/>
      <c r="O210" s="604"/>
      <c r="P210" s="333"/>
      <c r="Q210" s="333"/>
      <c r="R210" s="333"/>
      <c r="S210" s="456" t="e">
        <f t="shared" si="63"/>
        <v>#N/A</v>
      </c>
      <c r="T210" s="605"/>
      <c r="U210" s="333"/>
      <c r="V210" s="333"/>
      <c r="W210" s="333"/>
      <c r="X210" s="456" t="e">
        <f t="shared" si="64"/>
        <v>#N/A</v>
      </c>
      <c r="Y210" s="605"/>
      <c r="Z210" s="465"/>
      <c r="AA210" s="465"/>
      <c r="AB210" s="465"/>
      <c r="AC210" s="456" t="e">
        <f t="shared" si="65"/>
        <v>#N/A</v>
      </c>
      <c r="AD210" s="605"/>
      <c r="AE210" s="465"/>
      <c r="AF210" s="465"/>
      <c r="AG210" s="465"/>
      <c r="AH210" s="456" t="e">
        <f t="shared" si="66"/>
        <v>#N/A</v>
      </c>
      <c r="AI210" s="605"/>
      <c r="AJ210" s="465"/>
      <c r="AK210" s="465"/>
      <c r="AL210" s="465"/>
      <c r="AM210" s="456" t="e">
        <f t="shared" si="67"/>
        <v>#N/A</v>
      </c>
      <c r="AN210" s="605"/>
      <c r="AO210" s="465"/>
      <c r="AP210" s="465"/>
      <c r="AQ210" s="465"/>
      <c r="AR210" s="456" t="e">
        <f t="shared" si="68"/>
        <v>#N/A</v>
      </c>
      <c r="AS210" s="605"/>
      <c r="AT210" s="333"/>
      <c r="AU210" s="333"/>
      <c r="AV210" s="333"/>
      <c r="AW210" s="456" t="e">
        <f t="shared" si="69"/>
        <v>#N/A</v>
      </c>
      <c r="AX210" s="605"/>
      <c r="AZ210" s="521" t="e">
        <f t="shared" si="70"/>
        <v>#N/A</v>
      </c>
      <c r="BA210" s="605"/>
    </row>
    <row r="211" spans="2:53">
      <c r="B211" s="610"/>
      <c r="C211" s="333">
        <v>30</v>
      </c>
      <c r="D211" s="226"/>
      <c r="E211" s="182"/>
      <c r="F211" s="511"/>
      <c r="G211" s="512"/>
      <c r="H211" s="669"/>
      <c r="I211" s="513" t="str">
        <f t="shared" si="60"/>
        <v>-</v>
      </c>
      <c r="J211" s="513" t="str">
        <f t="shared" si="61"/>
        <v>-</v>
      </c>
      <c r="K211" s="200" t="str">
        <f t="shared" si="62"/>
        <v>-</v>
      </c>
      <c r="L211" s="622"/>
      <c r="M211" s="199" t="e">
        <f>RANK(K211, K$147:$K$176)</f>
        <v>#VALUE!</v>
      </c>
      <c r="N211" s="604"/>
      <c r="O211" s="604"/>
      <c r="P211" s="333"/>
      <c r="Q211" s="333"/>
      <c r="R211" s="333"/>
      <c r="S211" s="456" t="e">
        <f t="shared" si="63"/>
        <v>#N/A</v>
      </c>
      <c r="T211" s="605"/>
      <c r="U211" s="333"/>
      <c r="V211" s="333"/>
      <c r="W211" s="333"/>
      <c r="X211" s="456" t="e">
        <f t="shared" si="64"/>
        <v>#N/A</v>
      </c>
      <c r="Y211" s="605"/>
      <c r="Z211" s="465"/>
      <c r="AA211" s="465"/>
      <c r="AB211" s="465"/>
      <c r="AC211" s="456" t="e">
        <f t="shared" si="65"/>
        <v>#N/A</v>
      </c>
      <c r="AD211" s="605"/>
      <c r="AE211" s="465"/>
      <c r="AF211" s="465"/>
      <c r="AG211" s="465"/>
      <c r="AH211" s="456" t="e">
        <f t="shared" si="66"/>
        <v>#N/A</v>
      </c>
      <c r="AI211" s="605"/>
      <c r="AJ211" s="465"/>
      <c r="AK211" s="465"/>
      <c r="AL211" s="465"/>
      <c r="AM211" s="456" t="e">
        <f t="shared" si="67"/>
        <v>#N/A</v>
      </c>
      <c r="AN211" s="605"/>
      <c r="AO211" s="465"/>
      <c r="AP211" s="465"/>
      <c r="AQ211" s="465"/>
      <c r="AR211" s="456" t="e">
        <f t="shared" si="68"/>
        <v>#N/A</v>
      </c>
      <c r="AS211" s="605"/>
      <c r="AT211" s="333"/>
      <c r="AU211" s="333"/>
      <c r="AV211" s="333"/>
      <c r="AW211" s="456" t="e">
        <f t="shared" si="69"/>
        <v>#N/A</v>
      </c>
      <c r="AX211" s="605"/>
      <c r="AZ211" s="521" t="e">
        <f t="shared" si="70"/>
        <v>#N/A</v>
      </c>
      <c r="BA211" s="605"/>
    </row>
    <row r="213" spans="2:53" ht="15.75">
      <c r="B213" s="613" t="s">
        <v>559</v>
      </c>
      <c r="C213" s="614"/>
      <c r="D213" s="614"/>
      <c r="E213" s="614"/>
      <c r="F213" s="614"/>
      <c r="G213" s="614"/>
      <c r="H213" s="615"/>
      <c r="I213" s="337"/>
      <c r="J213" s="337"/>
      <c r="K213" s="337"/>
      <c r="L213" s="337"/>
      <c r="M213" s="338"/>
    </row>
    <row r="214" spans="2:53" ht="15.75">
      <c r="B214" s="616"/>
      <c r="C214" s="616"/>
      <c r="D214" s="616"/>
      <c r="E214" s="616"/>
      <c r="F214" s="616"/>
      <c r="G214" s="616"/>
      <c r="H214" s="616"/>
      <c r="I214" s="339"/>
      <c r="J214" s="339"/>
      <c r="K214" s="339"/>
      <c r="L214" s="339"/>
      <c r="M214" s="340"/>
    </row>
    <row r="215" spans="2:53">
      <c r="B215" s="604" t="s">
        <v>560</v>
      </c>
      <c r="C215" s="604" t="s">
        <v>561</v>
      </c>
      <c r="D215" s="604"/>
      <c r="E215" s="604" t="s">
        <v>562</v>
      </c>
      <c r="F215" s="604"/>
      <c r="G215" s="604"/>
      <c r="H215" s="604" t="s">
        <v>563</v>
      </c>
      <c r="I215" s="617" t="s">
        <v>564</v>
      </c>
      <c r="J215" s="617"/>
      <c r="K215" s="617"/>
      <c r="L215" s="617" t="s">
        <v>563</v>
      </c>
      <c r="M215" s="617" t="s">
        <v>565</v>
      </c>
    </row>
    <row r="216" spans="2:53">
      <c r="B216" s="604"/>
      <c r="C216" s="604"/>
      <c r="D216" s="604"/>
      <c r="E216" s="604" t="s">
        <v>566</v>
      </c>
      <c r="F216" s="604"/>
      <c r="G216" s="604"/>
      <c r="H216" s="604"/>
      <c r="I216" s="617" t="s">
        <v>566</v>
      </c>
      <c r="J216" s="617"/>
      <c r="K216" s="617"/>
      <c r="L216" s="617"/>
      <c r="M216" s="617"/>
    </row>
    <row r="217" spans="2:53">
      <c r="B217" s="604"/>
      <c r="C217" s="604"/>
      <c r="D217" s="604"/>
      <c r="E217" s="334" t="s">
        <v>567</v>
      </c>
      <c r="F217" s="334" t="s">
        <v>568</v>
      </c>
      <c r="G217" s="334" t="s">
        <v>569</v>
      </c>
      <c r="H217" s="604"/>
      <c r="I217" s="341" t="s">
        <v>567</v>
      </c>
      <c r="J217" s="341" t="s">
        <v>568</v>
      </c>
      <c r="K217" s="341" t="s">
        <v>569</v>
      </c>
      <c r="L217" s="617"/>
      <c r="M217" s="617"/>
    </row>
    <row r="218" spans="2:53">
      <c r="B218" s="604" t="s">
        <v>574</v>
      </c>
      <c r="C218" s="333">
        <v>1</v>
      </c>
      <c r="D218" s="333"/>
      <c r="E218" s="182"/>
      <c r="F218" s="333"/>
      <c r="G218" s="336"/>
      <c r="H218" s="605" t="e">
        <f>AVERAGE(G218:G247)</f>
        <v>#DIV/0!</v>
      </c>
      <c r="I218" s="199" t="e">
        <f t="shared" ref="I218:J241" si="71">AVERAGEIF($D$7:$D$211,$D218,I$7:I$211)</f>
        <v>#DIV/0!</v>
      </c>
      <c r="J218" s="199" t="e">
        <f t="shared" si="71"/>
        <v>#DIV/0!</v>
      </c>
      <c r="K218" s="199" t="e">
        <f t="shared" ref="K218:K241" si="72">AVERAGEIF($D$7:$D$211,$D218,K$7:K$211)</f>
        <v>#DIV/0!</v>
      </c>
      <c r="L218" s="611" t="e">
        <f>AVERAGE(K218:K247)</f>
        <v>#DIV/0!</v>
      </c>
      <c r="M218" s="199" t="e">
        <f>RANK(K218, K$218:$K$247)</f>
        <v>#DIV/0!</v>
      </c>
    </row>
    <row r="219" spans="2:53">
      <c r="B219" s="610"/>
      <c r="C219" s="333">
        <v>2</v>
      </c>
      <c r="D219" s="333"/>
      <c r="E219" s="182"/>
      <c r="F219" s="333"/>
      <c r="G219" s="336"/>
      <c r="H219" s="605"/>
      <c r="I219" s="199" t="e">
        <f t="shared" si="71"/>
        <v>#DIV/0!</v>
      </c>
      <c r="J219" s="199" t="e">
        <f t="shared" si="71"/>
        <v>#DIV/0!</v>
      </c>
      <c r="K219" s="199" t="e">
        <f t="shared" si="72"/>
        <v>#DIV/0!</v>
      </c>
      <c r="L219" s="611"/>
      <c r="M219" s="199" t="e">
        <f>RANK(K219, K$218:$K$247)</f>
        <v>#DIV/0!</v>
      </c>
    </row>
    <row r="220" spans="2:53">
      <c r="B220" s="610"/>
      <c r="C220" s="333">
        <v>3</v>
      </c>
      <c r="D220" s="333"/>
      <c r="E220" s="182"/>
      <c r="F220" s="333"/>
      <c r="G220" s="336"/>
      <c r="H220" s="605"/>
      <c r="I220" s="199" t="e">
        <f t="shared" si="71"/>
        <v>#DIV/0!</v>
      </c>
      <c r="J220" s="199" t="e">
        <f t="shared" si="71"/>
        <v>#DIV/0!</v>
      </c>
      <c r="K220" s="199" t="e">
        <f t="shared" si="72"/>
        <v>#DIV/0!</v>
      </c>
      <c r="L220" s="611"/>
      <c r="M220" s="199" t="e">
        <f>RANK(K220, K$218:$K$247)</f>
        <v>#DIV/0!</v>
      </c>
    </row>
    <row r="221" spans="2:53">
      <c r="B221" s="610"/>
      <c r="C221" s="333">
        <v>4</v>
      </c>
      <c r="D221" s="333"/>
      <c r="E221" s="182"/>
      <c r="F221" s="333"/>
      <c r="G221" s="336"/>
      <c r="H221" s="605"/>
      <c r="I221" s="199" t="e">
        <f t="shared" si="71"/>
        <v>#DIV/0!</v>
      </c>
      <c r="J221" s="199" t="e">
        <f t="shared" si="71"/>
        <v>#DIV/0!</v>
      </c>
      <c r="K221" s="199" t="e">
        <f t="shared" si="72"/>
        <v>#DIV/0!</v>
      </c>
      <c r="L221" s="611"/>
      <c r="M221" s="199" t="e">
        <f>RANK(K221, K$218:$K$247)</f>
        <v>#DIV/0!</v>
      </c>
    </row>
    <row r="222" spans="2:53">
      <c r="B222" s="610"/>
      <c r="C222" s="333">
        <v>5</v>
      </c>
      <c r="D222" s="333"/>
      <c r="E222" s="182"/>
      <c r="F222" s="333"/>
      <c r="G222" s="336"/>
      <c r="H222" s="605"/>
      <c r="I222" s="199" t="e">
        <f t="shared" si="71"/>
        <v>#DIV/0!</v>
      </c>
      <c r="J222" s="199" t="e">
        <f t="shared" si="71"/>
        <v>#DIV/0!</v>
      </c>
      <c r="K222" s="199" t="e">
        <f t="shared" si="72"/>
        <v>#DIV/0!</v>
      </c>
      <c r="L222" s="611"/>
      <c r="M222" s="199" t="e">
        <f>RANK(K222, K$218:$K$247)</f>
        <v>#DIV/0!</v>
      </c>
    </row>
    <row r="223" spans="2:53">
      <c r="B223" s="610"/>
      <c r="C223" s="333">
        <v>6</v>
      </c>
      <c r="D223" s="333"/>
      <c r="E223" s="182"/>
      <c r="F223" s="333"/>
      <c r="G223" s="336"/>
      <c r="H223" s="605"/>
      <c r="I223" s="199" t="e">
        <f t="shared" si="71"/>
        <v>#DIV/0!</v>
      </c>
      <c r="J223" s="199" t="e">
        <f t="shared" si="71"/>
        <v>#DIV/0!</v>
      </c>
      <c r="K223" s="199" t="e">
        <f t="shared" si="72"/>
        <v>#DIV/0!</v>
      </c>
      <c r="L223" s="611"/>
      <c r="M223" s="199" t="e">
        <f>RANK(K223, K$218:$K$247)</f>
        <v>#DIV/0!</v>
      </c>
    </row>
    <row r="224" spans="2:53">
      <c r="B224" s="610"/>
      <c r="C224" s="333">
        <v>7</v>
      </c>
      <c r="D224" s="333"/>
      <c r="E224" s="182"/>
      <c r="F224" s="333"/>
      <c r="G224" s="336"/>
      <c r="H224" s="605"/>
      <c r="I224" s="199" t="e">
        <f t="shared" si="71"/>
        <v>#DIV/0!</v>
      </c>
      <c r="J224" s="199" t="e">
        <f t="shared" si="71"/>
        <v>#DIV/0!</v>
      </c>
      <c r="K224" s="199" t="e">
        <f t="shared" si="72"/>
        <v>#DIV/0!</v>
      </c>
      <c r="L224" s="611"/>
      <c r="M224" s="199" t="e">
        <f>RANK(K224, K$218:$K$247)</f>
        <v>#DIV/0!</v>
      </c>
    </row>
    <row r="225" spans="2:39">
      <c r="B225" s="610"/>
      <c r="C225" s="333">
        <v>8</v>
      </c>
      <c r="D225" s="333"/>
      <c r="E225" s="182"/>
      <c r="F225" s="333"/>
      <c r="G225" s="336"/>
      <c r="H225" s="605"/>
      <c r="I225" s="199" t="e">
        <f t="shared" si="71"/>
        <v>#DIV/0!</v>
      </c>
      <c r="J225" s="199" t="e">
        <f t="shared" si="71"/>
        <v>#DIV/0!</v>
      </c>
      <c r="K225" s="199" t="e">
        <f t="shared" si="72"/>
        <v>#DIV/0!</v>
      </c>
      <c r="L225" s="611"/>
      <c r="M225" s="199" t="e">
        <f>RANK(K225, K$218:$K$247)</f>
        <v>#DIV/0!</v>
      </c>
      <c r="N225" s="108"/>
      <c r="O225" s="108"/>
      <c r="P225" s="108"/>
      <c r="Q225" s="108"/>
      <c r="R225" s="108"/>
      <c r="S225" s="108"/>
      <c r="T225" s="108"/>
      <c r="X225" s="108"/>
      <c r="AC225" s="108"/>
      <c r="AH225" s="108"/>
      <c r="AM225" s="108"/>
    </row>
    <row r="226" spans="2:39">
      <c r="B226" s="610"/>
      <c r="C226" s="333">
        <v>9</v>
      </c>
      <c r="D226" s="333"/>
      <c r="E226" s="182"/>
      <c r="F226" s="333"/>
      <c r="G226" s="336"/>
      <c r="H226" s="605"/>
      <c r="I226" s="199" t="e">
        <f t="shared" si="71"/>
        <v>#DIV/0!</v>
      </c>
      <c r="J226" s="199" t="e">
        <f t="shared" si="71"/>
        <v>#DIV/0!</v>
      </c>
      <c r="K226" s="199" t="e">
        <f t="shared" si="72"/>
        <v>#DIV/0!</v>
      </c>
      <c r="L226" s="611"/>
      <c r="M226" s="199" t="e">
        <f>RANK(K226, K$218:$K$247)</f>
        <v>#DIV/0!</v>
      </c>
      <c r="N226" s="108"/>
      <c r="O226" s="108"/>
      <c r="P226" s="108"/>
      <c r="Q226" s="108"/>
      <c r="R226" s="108"/>
      <c r="S226" s="108"/>
      <c r="T226" s="108"/>
      <c r="X226" s="108"/>
      <c r="AC226" s="108"/>
      <c r="AH226" s="108"/>
      <c r="AM226" s="108"/>
    </row>
    <row r="227" spans="2:39">
      <c r="B227" s="610"/>
      <c r="C227" s="333">
        <v>10</v>
      </c>
      <c r="D227" s="333"/>
      <c r="E227" s="182"/>
      <c r="F227" s="333"/>
      <c r="G227" s="336"/>
      <c r="H227" s="605"/>
      <c r="I227" s="199" t="e">
        <f t="shared" si="71"/>
        <v>#DIV/0!</v>
      </c>
      <c r="J227" s="199" t="e">
        <f t="shared" si="71"/>
        <v>#DIV/0!</v>
      </c>
      <c r="K227" s="199" t="e">
        <f t="shared" si="72"/>
        <v>#DIV/0!</v>
      </c>
      <c r="L227" s="611"/>
      <c r="M227" s="199" t="e">
        <f>RANK(K227, K$218:$K$247)</f>
        <v>#DIV/0!</v>
      </c>
      <c r="N227" s="108"/>
      <c r="O227" s="108"/>
      <c r="P227" s="108"/>
      <c r="Q227" s="108"/>
      <c r="R227" s="108"/>
      <c r="S227" s="108"/>
      <c r="T227" s="108"/>
      <c r="X227" s="108"/>
      <c r="AC227" s="108"/>
      <c r="AH227" s="108"/>
      <c r="AM227" s="108"/>
    </row>
    <row r="228" spans="2:39">
      <c r="B228" s="610"/>
      <c r="C228" s="333">
        <v>11</v>
      </c>
      <c r="D228" s="333"/>
      <c r="E228" s="182"/>
      <c r="F228" s="333"/>
      <c r="G228" s="336"/>
      <c r="H228" s="605"/>
      <c r="I228" s="199" t="e">
        <f t="shared" si="71"/>
        <v>#DIV/0!</v>
      </c>
      <c r="J228" s="199" t="e">
        <f t="shared" si="71"/>
        <v>#DIV/0!</v>
      </c>
      <c r="K228" s="199" t="e">
        <f t="shared" si="72"/>
        <v>#DIV/0!</v>
      </c>
      <c r="L228" s="611"/>
      <c r="M228" s="199" t="e">
        <f>RANK(K228, K$218:$K$247)</f>
        <v>#DIV/0!</v>
      </c>
      <c r="N228" s="108"/>
      <c r="O228" s="108"/>
      <c r="P228" s="108"/>
      <c r="Q228" s="108"/>
      <c r="R228" s="108"/>
      <c r="S228" s="108"/>
      <c r="T228" s="108"/>
      <c r="X228" s="108"/>
      <c r="AC228" s="108"/>
      <c r="AH228" s="108"/>
      <c r="AM228" s="108"/>
    </row>
    <row r="229" spans="2:39">
      <c r="B229" s="610"/>
      <c r="C229" s="333">
        <v>12</v>
      </c>
      <c r="D229" s="333"/>
      <c r="E229" s="182"/>
      <c r="F229" s="333"/>
      <c r="G229" s="336"/>
      <c r="H229" s="605"/>
      <c r="I229" s="199" t="e">
        <f t="shared" si="71"/>
        <v>#DIV/0!</v>
      </c>
      <c r="J229" s="199" t="e">
        <f t="shared" si="71"/>
        <v>#DIV/0!</v>
      </c>
      <c r="K229" s="199" t="e">
        <f t="shared" si="72"/>
        <v>#DIV/0!</v>
      </c>
      <c r="L229" s="611"/>
      <c r="M229" s="199" t="e">
        <f>RANK(K229, K$218:$K$247)</f>
        <v>#DIV/0!</v>
      </c>
      <c r="N229" s="108"/>
      <c r="O229" s="108"/>
      <c r="P229" s="108"/>
      <c r="Q229" s="108"/>
      <c r="R229" s="108"/>
      <c r="S229" s="108"/>
      <c r="T229" s="108"/>
      <c r="X229" s="108"/>
      <c r="AC229" s="108"/>
      <c r="AH229" s="108"/>
      <c r="AM229" s="108"/>
    </row>
    <row r="230" spans="2:39">
      <c r="B230" s="610"/>
      <c r="C230" s="333">
        <v>13</v>
      </c>
      <c r="D230" s="333"/>
      <c r="E230" s="182"/>
      <c r="F230" s="333"/>
      <c r="G230" s="336"/>
      <c r="H230" s="605"/>
      <c r="I230" s="199" t="e">
        <f t="shared" si="71"/>
        <v>#DIV/0!</v>
      </c>
      <c r="J230" s="199" t="e">
        <f t="shared" si="71"/>
        <v>#DIV/0!</v>
      </c>
      <c r="K230" s="199" t="e">
        <f t="shared" si="72"/>
        <v>#DIV/0!</v>
      </c>
      <c r="L230" s="611"/>
      <c r="M230" s="199" t="e">
        <f>RANK(K230, K$218:$K$247)</f>
        <v>#DIV/0!</v>
      </c>
      <c r="N230" s="108"/>
      <c r="O230" s="108"/>
      <c r="P230" s="108"/>
      <c r="Q230" s="108"/>
      <c r="R230" s="108"/>
      <c r="S230" s="108"/>
      <c r="T230" s="108"/>
      <c r="X230" s="108"/>
      <c r="AC230" s="108"/>
      <c r="AH230" s="108"/>
      <c r="AM230" s="108"/>
    </row>
    <row r="231" spans="2:39">
      <c r="B231" s="610"/>
      <c r="C231" s="333">
        <v>14</v>
      </c>
      <c r="D231" s="333"/>
      <c r="E231" s="182"/>
      <c r="F231" s="333"/>
      <c r="G231" s="336"/>
      <c r="H231" s="605"/>
      <c r="I231" s="199" t="e">
        <f t="shared" si="71"/>
        <v>#DIV/0!</v>
      </c>
      <c r="J231" s="199" t="e">
        <f t="shared" si="71"/>
        <v>#DIV/0!</v>
      </c>
      <c r="K231" s="199" t="e">
        <f t="shared" si="72"/>
        <v>#DIV/0!</v>
      </c>
      <c r="L231" s="611"/>
      <c r="M231" s="199" t="e">
        <f>RANK(K231, K$218:$K$247)</f>
        <v>#DIV/0!</v>
      </c>
      <c r="N231" s="108"/>
      <c r="O231" s="108"/>
      <c r="P231" s="108"/>
      <c r="Q231" s="108"/>
      <c r="R231" s="108"/>
      <c r="S231" s="108"/>
      <c r="T231" s="108"/>
      <c r="X231" s="108"/>
      <c r="AC231" s="108"/>
      <c r="AH231" s="108"/>
      <c r="AM231" s="108"/>
    </row>
    <row r="232" spans="2:39">
      <c r="B232" s="610"/>
      <c r="C232" s="333">
        <v>15</v>
      </c>
      <c r="D232" s="333"/>
      <c r="E232" s="182"/>
      <c r="F232" s="333"/>
      <c r="G232" s="336"/>
      <c r="H232" s="605"/>
      <c r="I232" s="199" t="e">
        <f t="shared" si="71"/>
        <v>#DIV/0!</v>
      </c>
      <c r="J232" s="199" t="e">
        <f t="shared" si="71"/>
        <v>#DIV/0!</v>
      </c>
      <c r="K232" s="199" t="e">
        <f t="shared" si="72"/>
        <v>#DIV/0!</v>
      </c>
      <c r="L232" s="611"/>
      <c r="M232" s="199" t="e">
        <f>RANK(K232, K$218:$K$247)</f>
        <v>#DIV/0!</v>
      </c>
      <c r="N232" s="108"/>
      <c r="O232" s="108"/>
      <c r="P232" s="108"/>
      <c r="Q232" s="108"/>
      <c r="R232" s="108"/>
      <c r="S232" s="108"/>
      <c r="T232" s="108"/>
      <c r="X232" s="108"/>
      <c r="AC232" s="108"/>
      <c r="AH232" s="108"/>
      <c r="AM232" s="108"/>
    </row>
    <row r="233" spans="2:39">
      <c r="B233" s="610"/>
      <c r="C233" s="333">
        <v>16</v>
      </c>
      <c r="D233" s="333"/>
      <c r="E233" s="182"/>
      <c r="F233" s="333"/>
      <c r="G233" s="336"/>
      <c r="H233" s="605"/>
      <c r="I233" s="199" t="e">
        <f t="shared" si="71"/>
        <v>#DIV/0!</v>
      </c>
      <c r="J233" s="199" t="e">
        <f t="shared" si="71"/>
        <v>#DIV/0!</v>
      </c>
      <c r="K233" s="199" t="e">
        <f t="shared" si="72"/>
        <v>#DIV/0!</v>
      </c>
      <c r="L233" s="611"/>
      <c r="M233" s="199" t="e">
        <f>RANK(K233, K$218:$K$247)</f>
        <v>#DIV/0!</v>
      </c>
      <c r="N233" s="108"/>
      <c r="O233" s="108"/>
      <c r="P233" s="108"/>
      <c r="Q233" s="108"/>
      <c r="R233" s="108"/>
      <c r="S233" s="108"/>
      <c r="T233" s="108"/>
      <c r="X233" s="108"/>
      <c r="AC233" s="108"/>
      <c r="AH233" s="108"/>
      <c r="AM233" s="108"/>
    </row>
    <row r="234" spans="2:39">
      <c r="B234" s="610"/>
      <c r="C234" s="333">
        <v>17</v>
      </c>
      <c r="D234" s="333"/>
      <c r="E234" s="182"/>
      <c r="F234" s="333"/>
      <c r="G234" s="336"/>
      <c r="H234" s="605"/>
      <c r="I234" s="199" t="e">
        <f t="shared" si="71"/>
        <v>#DIV/0!</v>
      </c>
      <c r="J234" s="199" t="e">
        <f t="shared" si="71"/>
        <v>#DIV/0!</v>
      </c>
      <c r="K234" s="199" t="e">
        <f t="shared" si="72"/>
        <v>#DIV/0!</v>
      </c>
      <c r="L234" s="611"/>
      <c r="M234" s="199" t="e">
        <f>RANK(K234, K$218:$K$247)</f>
        <v>#DIV/0!</v>
      </c>
      <c r="N234" s="108"/>
      <c r="O234" s="108"/>
      <c r="P234" s="108"/>
      <c r="Q234" s="108"/>
      <c r="R234" s="108"/>
      <c r="S234" s="108"/>
      <c r="T234" s="108"/>
      <c r="X234" s="108"/>
      <c r="AC234" s="108"/>
      <c r="AH234" s="108"/>
      <c r="AM234" s="108"/>
    </row>
    <row r="235" spans="2:39">
      <c r="B235" s="610"/>
      <c r="C235" s="333">
        <v>18</v>
      </c>
      <c r="D235" s="333"/>
      <c r="E235" s="182"/>
      <c r="F235" s="333"/>
      <c r="G235" s="336"/>
      <c r="H235" s="605"/>
      <c r="I235" s="199" t="e">
        <f t="shared" si="71"/>
        <v>#DIV/0!</v>
      </c>
      <c r="J235" s="199" t="e">
        <f t="shared" si="71"/>
        <v>#DIV/0!</v>
      </c>
      <c r="K235" s="199" t="e">
        <f t="shared" si="72"/>
        <v>#DIV/0!</v>
      </c>
      <c r="L235" s="611"/>
      <c r="M235" s="199" t="e">
        <f>RANK(K235, K$218:$K$247)</f>
        <v>#DIV/0!</v>
      </c>
      <c r="N235" s="108"/>
      <c r="O235" s="108"/>
      <c r="P235" s="108"/>
      <c r="Q235" s="108"/>
      <c r="R235" s="108"/>
      <c r="S235" s="108"/>
      <c r="T235" s="108"/>
      <c r="X235" s="108"/>
      <c r="AC235" s="108"/>
      <c r="AH235" s="108"/>
      <c r="AM235" s="108"/>
    </row>
    <row r="236" spans="2:39">
      <c r="B236" s="610"/>
      <c r="C236" s="333">
        <v>19</v>
      </c>
      <c r="D236" s="333"/>
      <c r="E236" s="182"/>
      <c r="F236" s="333"/>
      <c r="G236" s="336"/>
      <c r="H236" s="605"/>
      <c r="I236" s="199" t="e">
        <f t="shared" si="71"/>
        <v>#DIV/0!</v>
      </c>
      <c r="J236" s="199" t="e">
        <f t="shared" si="71"/>
        <v>#DIV/0!</v>
      </c>
      <c r="K236" s="199" t="e">
        <f t="shared" si="72"/>
        <v>#DIV/0!</v>
      </c>
      <c r="L236" s="611"/>
      <c r="M236" s="199" t="e">
        <f>RANK(K236, K$218:$K$247)</f>
        <v>#DIV/0!</v>
      </c>
      <c r="N236" s="108"/>
      <c r="O236" s="108"/>
      <c r="P236" s="108"/>
      <c r="Q236" s="108"/>
      <c r="R236" s="108"/>
      <c r="S236" s="108"/>
      <c r="T236" s="108"/>
      <c r="X236" s="108"/>
      <c r="AC236" s="108"/>
      <c r="AH236" s="108"/>
      <c r="AM236" s="108"/>
    </row>
    <row r="237" spans="2:39">
      <c r="B237" s="610"/>
      <c r="C237" s="333">
        <v>20</v>
      </c>
      <c r="D237" s="333"/>
      <c r="E237" s="182"/>
      <c r="F237" s="333"/>
      <c r="G237" s="336"/>
      <c r="H237" s="605"/>
      <c r="I237" s="199" t="e">
        <f t="shared" si="71"/>
        <v>#DIV/0!</v>
      </c>
      <c r="J237" s="199" t="e">
        <f t="shared" si="71"/>
        <v>#DIV/0!</v>
      </c>
      <c r="K237" s="199" t="e">
        <f t="shared" si="72"/>
        <v>#DIV/0!</v>
      </c>
      <c r="L237" s="611"/>
      <c r="M237" s="199" t="e">
        <f>RANK(K237, K$218:$K$247)</f>
        <v>#DIV/0!</v>
      </c>
      <c r="N237" s="108"/>
      <c r="O237" s="108"/>
      <c r="P237" s="108"/>
      <c r="Q237" s="108"/>
      <c r="R237" s="108"/>
      <c r="S237" s="108"/>
      <c r="T237" s="108"/>
      <c r="X237" s="108"/>
      <c r="AC237" s="108"/>
      <c r="AH237" s="108"/>
      <c r="AM237" s="108"/>
    </row>
    <row r="238" spans="2:39">
      <c r="B238" s="610"/>
      <c r="C238" s="333">
        <v>21</v>
      </c>
      <c r="D238" s="333"/>
      <c r="E238" s="182"/>
      <c r="F238" s="333"/>
      <c r="G238" s="336"/>
      <c r="H238" s="605"/>
      <c r="I238" s="199" t="e">
        <f t="shared" si="71"/>
        <v>#DIV/0!</v>
      </c>
      <c r="J238" s="199" t="e">
        <f t="shared" si="71"/>
        <v>#DIV/0!</v>
      </c>
      <c r="K238" s="199" t="e">
        <f t="shared" si="72"/>
        <v>#DIV/0!</v>
      </c>
      <c r="L238" s="611"/>
      <c r="M238" s="199" t="e">
        <f>RANK(K238, K$218:$K$247)</f>
        <v>#DIV/0!</v>
      </c>
      <c r="N238" s="108"/>
      <c r="O238" s="108"/>
      <c r="P238" s="108"/>
      <c r="Q238" s="108"/>
      <c r="R238" s="108"/>
      <c r="S238" s="108"/>
      <c r="T238" s="108"/>
      <c r="X238" s="108"/>
      <c r="AC238" s="108"/>
      <c r="AH238" s="108"/>
      <c r="AM238" s="108"/>
    </row>
    <row r="239" spans="2:39">
      <c r="B239" s="610"/>
      <c r="C239" s="333">
        <v>22</v>
      </c>
      <c r="D239" s="333"/>
      <c r="E239" s="182"/>
      <c r="F239" s="333"/>
      <c r="G239" s="336"/>
      <c r="H239" s="605"/>
      <c r="I239" s="199" t="e">
        <f t="shared" si="71"/>
        <v>#DIV/0!</v>
      </c>
      <c r="J239" s="199" t="e">
        <f t="shared" si="71"/>
        <v>#DIV/0!</v>
      </c>
      <c r="K239" s="199" t="e">
        <f t="shared" si="72"/>
        <v>#DIV/0!</v>
      </c>
      <c r="L239" s="611"/>
      <c r="M239" s="199" t="e">
        <f>RANK(K239, K$218:$K$247)</f>
        <v>#DIV/0!</v>
      </c>
      <c r="N239" s="108"/>
      <c r="O239" s="108"/>
      <c r="P239" s="108"/>
      <c r="Q239" s="108"/>
      <c r="R239" s="108"/>
      <c r="S239" s="108"/>
      <c r="T239" s="108"/>
      <c r="X239" s="108"/>
      <c r="AC239" s="108"/>
      <c r="AH239" s="108"/>
      <c r="AM239" s="108"/>
    </row>
    <row r="240" spans="2:39">
      <c r="B240" s="610"/>
      <c r="C240" s="333">
        <v>23</v>
      </c>
      <c r="D240" s="333"/>
      <c r="E240" s="182"/>
      <c r="F240" s="333"/>
      <c r="G240" s="336"/>
      <c r="H240" s="605"/>
      <c r="I240" s="199" t="e">
        <f t="shared" si="71"/>
        <v>#DIV/0!</v>
      </c>
      <c r="J240" s="199" t="e">
        <f t="shared" si="71"/>
        <v>#DIV/0!</v>
      </c>
      <c r="K240" s="199" t="e">
        <f t="shared" si="72"/>
        <v>#DIV/0!</v>
      </c>
      <c r="L240" s="611"/>
      <c r="M240" s="199" t="e">
        <f>RANK(K240, K$218:$K$247)</f>
        <v>#DIV/0!</v>
      </c>
      <c r="N240" s="108"/>
      <c r="O240" s="108"/>
      <c r="P240" s="108"/>
      <c r="Q240" s="108"/>
      <c r="R240" s="108"/>
      <c r="S240" s="108"/>
      <c r="T240" s="108"/>
      <c r="X240" s="108"/>
      <c r="AC240" s="108"/>
      <c r="AH240" s="108"/>
      <c r="AM240" s="108"/>
    </row>
    <row r="241" spans="2:39">
      <c r="B241" s="610"/>
      <c r="C241" s="333">
        <v>24</v>
      </c>
      <c r="D241" s="333"/>
      <c r="E241" s="182"/>
      <c r="F241" s="333"/>
      <c r="G241" s="336"/>
      <c r="H241" s="605"/>
      <c r="I241" s="199" t="e">
        <f t="shared" si="71"/>
        <v>#DIV/0!</v>
      </c>
      <c r="J241" s="199" t="e">
        <f t="shared" si="71"/>
        <v>#DIV/0!</v>
      </c>
      <c r="K241" s="199" t="e">
        <f t="shared" si="72"/>
        <v>#DIV/0!</v>
      </c>
      <c r="L241" s="611"/>
      <c r="M241" s="199" t="e">
        <f>RANK(K241, K$218:$K$247)</f>
        <v>#DIV/0!</v>
      </c>
      <c r="N241" s="108"/>
      <c r="O241" s="108"/>
      <c r="P241" s="108"/>
      <c r="Q241" s="108"/>
      <c r="R241" s="108"/>
      <c r="S241" s="108"/>
      <c r="T241" s="108"/>
      <c r="X241" s="108"/>
      <c r="AC241" s="108"/>
      <c r="AH241" s="108"/>
      <c r="AM241" s="108"/>
    </row>
    <row r="242" spans="2:39">
      <c r="B242" s="610"/>
      <c r="C242" s="333">
        <v>25</v>
      </c>
      <c r="D242" s="333"/>
      <c r="E242" s="182"/>
      <c r="F242" s="333"/>
      <c r="G242" s="336"/>
      <c r="H242" s="605"/>
      <c r="I242" s="199"/>
      <c r="J242" s="199"/>
      <c r="K242" s="199"/>
      <c r="L242" s="611"/>
      <c r="M242" s="199" t="e">
        <f>RANK(K242, K$218:$K$247)</f>
        <v>#DIV/0!</v>
      </c>
      <c r="N242" s="108"/>
      <c r="O242" s="108"/>
      <c r="P242" s="108"/>
      <c r="Q242" s="108"/>
      <c r="R242" s="108"/>
      <c r="S242" s="108"/>
      <c r="T242" s="108"/>
      <c r="X242" s="108"/>
      <c r="AC242" s="108"/>
      <c r="AH242" s="108"/>
      <c r="AM242" s="108"/>
    </row>
    <row r="243" spans="2:39">
      <c r="B243" s="610"/>
      <c r="C243" s="333">
        <v>26</v>
      </c>
      <c r="D243" s="333"/>
      <c r="E243" s="182"/>
      <c r="F243" s="333"/>
      <c r="G243" s="336"/>
      <c r="H243" s="605"/>
      <c r="I243" s="199"/>
      <c r="J243" s="199"/>
      <c r="K243" s="199"/>
      <c r="L243" s="611"/>
      <c r="M243" s="199" t="e">
        <f>RANK(K243, K$218:$K$247)</f>
        <v>#DIV/0!</v>
      </c>
      <c r="N243" s="108"/>
      <c r="O243" s="108"/>
      <c r="P243" s="108"/>
      <c r="Q243" s="108"/>
      <c r="R243" s="108"/>
      <c r="S243" s="108"/>
      <c r="T243" s="108"/>
      <c r="X243" s="108"/>
      <c r="AC243" s="108"/>
      <c r="AH243" s="108"/>
      <c r="AM243" s="108"/>
    </row>
    <row r="244" spans="2:39">
      <c r="B244" s="610"/>
      <c r="C244" s="333">
        <v>27</v>
      </c>
      <c r="D244" s="333"/>
      <c r="E244" s="182"/>
      <c r="F244" s="333"/>
      <c r="G244" s="336"/>
      <c r="H244" s="605"/>
      <c r="I244" s="199"/>
      <c r="J244" s="199"/>
      <c r="K244" s="199"/>
      <c r="L244" s="611"/>
      <c r="M244" s="199" t="e">
        <f>RANK(K244, K$218:$K$247)</f>
        <v>#DIV/0!</v>
      </c>
      <c r="N244" s="108"/>
      <c r="O244" s="108"/>
      <c r="P244" s="108"/>
      <c r="Q244" s="108"/>
      <c r="R244" s="108"/>
      <c r="S244" s="108"/>
      <c r="T244" s="108"/>
      <c r="X244" s="108"/>
      <c r="AC244" s="108"/>
      <c r="AH244" s="108"/>
      <c r="AM244" s="108"/>
    </row>
    <row r="245" spans="2:39">
      <c r="B245" s="610"/>
      <c r="C245" s="333">
        <v>28</v>
      </c>
      <c r="D245" s="333"/>
      <c r="E245" s="182"/>
      <c r="F245" s="333"/>
      <c r="G245" s="336"/>
      <c r="H245" s="605"/>
      <c r="I245" s="199"/>
      <c r="J245" s="199"/>
      <c r="K245" s="199"/>
      <c r="L245" s="611"/>
      <c r="M245" s="199" t="e">
        <f>RANK(K245, K$218:$K$247)</f>
        <v>#DIV/0!</v>
      </c>
      <c r="N245" s="108"/>
      <c r="O245" s="108"/>
      <c r="P245" s="108"/>
      <c r="Q245" s="108"/>
      <c r="R245" s="108"/>
      <c r="S245" s="108"/>
      <c r="T245" s="108"/>
      <c r="X245" s="108"/>
      <c r="AC245" s="108"/>
      <c r="AH245" s="108"/>
      <c r="AM245" s="108"/>
    </row>
    <row r="246" spans="2:39">
      <c r="B246" s="610"/>
      <c r="C246" s="333">
        <v>29</v>
      </c>
      <c r="D246" s="333"/>
      <c r="E246" s="182"/>
      <c r="F246" s="333"/>
      <c r="G246" s="336"/>
      <c r="H246" s="605"/>
      <c r="I246" s="199"/>
      <c r="J246" s="199"/>
      <c r="K246" s="199"/>
      <c r="L246" s="611"/>
      <c r="M246" s="199" t="e">
        <f>RANK(K246, K$218:$K$247)</f>
        <v>#DIV/0!</v>
      </c>
      <c r="N246" s="108"/>
      <c r="O246" s="108"/>
      <c r="P246" s="108"/>
      <c r="Q246" s="108"/>
      <c r="R246" s="108"/>
      <c r="S246" s="108"/>
      <c r="T246" s="108"/>
      <c r="X246" s="108"/>
      <c r="AC246" s="108"/>
      <c r="AH246" s="108"/>
      <c r="AM246" s="108"/>
    </row>
    <row r="247" spans="2:39">
      <c r="B247" s="610"/>
      <c r="C247" s="333">
        <v>30</v>
      </c>
      <c r="D247" s="333"/>
      <c r="E247" s="182"/>
      <c r="F247" s="333"/>
      <c r="G247" s="336"/>
      <c r="H247" s="605"/>
      <c r="I247" s="199"/>
      <c r="J247" s="199"/>
      <c r="K247" s="199"/>
      <c r="L247" s="611"/>
      <c r="M247" s="199" t="e">
        <f>RANK(K247, K$218:$K$247)</f>
        <v>#DIV/0!</v>
      </c>
      <c r="N247" s="108"/>
      <c r="O247" s="108"/>
      <c r="P247" s="108"/>
      <c r="Q247" s="108"/>
      <c r="R247" s="108"/>
      <c r="S247" s="108"/>
      <c r="T247" s="108"/>
      <c r="X247" s="108"/>
      <c r="AC247" s="108"/>
      <c r="AH247" s="108"/>
      <c r="AM247" s="108"/>
    </row>
  </sheetData>
  <mergeCells count="379">
    <mergeCell ref="BA147:BA176"/>
    <mergeCell ref="BA179:BA181"/>
    <mergeCell ref="BA182:BA211"/>
    <mergeCell ref="BA4:BA6"/>
    <mergeCell ref="BA7:BA36"/>
    <mergeCell ref="BA39:BA41"/>
    <mergeCell ref="BA42:BA71"/>
    <mergeCell ref="BA74:BA76"/>
    <mergeCell ref="BA77:BA106"/>
    <mergeCell ref="BA109:BA111"/>
    <mergeCell ref="BA112:BA141"/>
    <mergeCell ref="BA144:BA146"/>
    <mergeCell ref="B147:B176"/>
    <mergeCell ref="AS147:AS176"/>
    <mergeCell ref="AX147:AX176"/>
    <mergeCell ref="AO145:AR145"/>
    <mergeCell ref="AT145:AW145"/>
    <mergeCell ref="AO144:AR144"/>
    <mergeCell ref="AS144:AS146"/>
    <mergeCell ref="AT144:AW144"/>
    <mergeCell ref="AX144:AX146"/>
    <mergeCell ref="AJ145:AM145"/>
    <mergeCell ref="AN147:AN176"/>
    <mergeCell ref="AN144:AN146"/>
    <mergeCell ref="AJ144:AM144"/>
    <mergeCell ref="C144:D146"/>
    <mergeCell ref="E144:G144"/>
    <mergeCell ref="H144:H146"/>
    <mergeCell ref="I144:K144"/>
    <mergeCell ref="L144:L146"/>
    <mergeCell ref="AD144:AD146"/>
    <mergeCell ref="AE144:AH144"/>
    <mergeCell ref="AI144:AI146"/>
    <mergeCell ref="AE145:AH145"/>
    <mergeCell ref="Z145:AC145"/>
    <mergeCell ref="Y144:Y146"/>
    <mergeCell ref="Z144:AC144"/>
    <mergeCell ref="P144:S144"/>
    <mergeCell ref="T144:T146"/>
    <mergeCell ref="U144:X144"/>
    <mergeCell ref="E145:G145"/>
    <mergeCell ref="I145:K145"/>
    <mergeCell ref="P145:S145"/>
    <mergeCell ref="U145:X145"/>
    <mergeCell ref="M144:M146"/>
    <mergeCell ref="N144:N176"/>
    <mergeCell ref="O144:O176"/>
    <mergeCell ref="H147:H176"/>
    <mergeCell ref="L147:L176"/>
    <mergeCell ref="T147:T176"/>
    <mergeCell ref="Y147:Y176"/>
    <mergeCell ref="AX112:AX141"/>
    <mergeCell ref="B142:H143"/>
    <mergeCell ref="N142:N143"/>
    <mergeCell ref="O142:O143"/>
    <mergeCell ref="P142:T142"/>
    <mergeCell ref="U142:Y142"/>
    <mergeCell ref="Z142:AD142"/>
    <mergeCell ref="AE142:AI142"/>
    <mergeCell ref="AJ142:AN142"/>
    <mergeCell ref="AO142:AS142"/>
    <mergeCell ref="AT142:AX142"/>
    <mergeCell ref="P143:T143"/>
    <mergeCell ref="U143:Y143"/>
    <mergeCell ref="Z143:AD143"/>
    <mergeCell ref="AE143:AI143"/>
    <mergeCell ref="AJ143:AN143"/>
    <mergeCell ref="AO143:AS143"/>
    <mergeCell ref="AT143:AX143"/>
    <mergeCell ref="AO110:AR110"/>
    <mergeCell ref="AT110:AW110"/>
    <mergeCell ref="B112:B141"/>
    <mergeCell ref="H112:H141"/>
    <mergeCell ref="L112:L141"/>
    <mergeCell ref="T112:T141"/>
    <mergeCell ref="Y112:Y141"/>
    <mergeCell ref="AD112:AD141"/>
    <mergeCell ref="AI112:AI141"/>
    <mergeCell ref="AN112:AN141"/>
    <mergeCell ref="AN109:AN111"/>
    <mergeCell ref="AO109:AR109"/>
    <mergeCell ref="AS109:AS111"/>
    <mergeCell ref="AT109:AW109"/>
    <mergeCell ref="B109:B111"/>
    <mergeCell ref="C109:D111"/>
    <mergeCell ref="AS112:AS141"/>
    <mergeCell ref="H109:H111"/>
    <mergeCell ref="I109:K109"/>
    <mergeCell ref="L109:L111"/>
    <mergeCell ref="AD147:AD176"/>
    <mergeCell ref="AI147:AI176"/>
    <mergeCell ref="B144:B146"/>
    <mergeCell ref="AX109:AX111"/>
    <mergeCell ref="E110:G110"/>
    <mergeCell ref="I110:K110"/>
    <mergeCell ref="P110:S110"/>
    <mergeCell ref="U110:X110"/>
    <mergeCell ref="Z110:AC110"/>
    <mergeCell ref="Y109:Y111"/>
    <mergeCell ref="Z109:AC109"/>
    <mergeCell ref="AD109:AD111"/>
    <mergeCell ref="AE109:AH109"/>
    <mergeCell ref="AI109:AI111"/>
    <mergeCell ref="AJ109:AM109"/>
    <mergeCell ref="AE110:AH110"/>
    <mergeCell ref="AJ110:AM110"/>
    <mergeCell ref="M109:M111"/>
    <mergeCell ref="N109:N141"/>
    <mergeCell ref="O109:O141"/>
    <mergeCell ref="P109:S109"/>
    <mergeCell ref="T109:T111"/>
    <mergeCell ref="U109:X109"/>
    <mergeCell ref="E109:G109"/>
    <mergeCell ref="AX77:AX106"/>
    <mergeCell ref="B107:H108"/>
    <mergeCell ref="N107:N108"/>
    <mergeCell ref="O107:O108"/>
    <mergeCell ref="P107:T107"/>
    <mergeCell ref="U107:Y107"/>
    <mergeCell ref="Z107:AD107"/>
    <mergeCell ref="AE107:AI107"/>
    <mergeCell ref="AJ107:AN107"/>
    <mergeCell ref="AO107:AS107"/>
    <mergeCell ref="AT107:AX107"/>
    <mergeCell ref="P108:T108"/>
    <mergeCell ref="U108:Y108"/>
    <mergeCell ref="Z108:AD108"/>
    <mergeCell ref="AE108:AI108"/>
    <mergeCell ref="AJ108:AN108"/>
    <mergeCell ref="AO108:AS108"/>
    <mergeCell ref="AT108:AX108"/>
    <mergeCell ref="AO75:AR75"/>
    <mergeCell ref="AT75:AW75"/>
    <mergeCell ref="B77:B106"/>
    <mergeCell ref="H77:H106"/>
    <mergeCell ref="L77:L106"/>
    <mergeCell ref="T77:T106"/>
    <mergeCell ref="Y77:Y106"/>
    <mergeCell ref="AD77:AD106"/>
    <mergeCell ref="AI77:AI106"/>
    <mergeCell ref="AN77:AN106"/>
    <mergeCell ref="AN74:AN76"/>
    <mergeCell ref="AO74:AR74"/>
    <mergeCell ref="AS74:AS76"/>
    <mergeCell ref="AT74:AW74"/>
    <mergeCell ref="B74:B76"/>
    <mergeCell ref="C74:D76"/>
    <mergeCell ref="AS77:AS106"/>
    <mergeCell ref="AX74:AX76"/>
    <mergeCell ref="E75:G75"/>
    <mergeCell ref="I75:K75"/>
    <mergeCell ref="P75:S75"/>
    <mergeCell ref="U75:X75"/>
    <mergeCell ref="Z75:AC75"/>
    <mergeCell ref="Y74:Y76"/>
    <mergeCell ref="Z74:AC74"/>
    <mergeCell ref="AD74:AD76"/>
    <mergeCell ref="AE74:AH74"/>
    <mergeCell ref="AI74:AI76"/>
    <mergeCell ref="AJ74:AM74"/>
    <mergeCell ref="AE75:AH75"/>
    <mergeCell ref="AJ75:AM75"/>
    <mergeCell ref="M74:M76"/>
    <mergeCell ref="N74:N106"/>
    <mergeCell ref="O74:O106"/>
    <mergeCell ref="P74:S74"/>
    <mergeCell ref="T74:T76"/>
    <mergeCell ref="U74:X74"/>
    <mergeCell ref="E74:G74"/>
    <mergeCell ref="H74:H76"/>
    <mergeCell ref="I74:K74"/>
    <mergeCell ref="L74:L76"/>
    <mergeCell ref="AX42:AX71"/>
    <mergeCell ref="B72:H73"/>
    <mergeCell ref="N72:N73"/>
    <mergeCell ref="O72:O73"/>
    <mergeCell ref="P72:T72"/>
    <mergeCell ref="U72:Y72"/>
    <mergeCell ref="Z72:AD72"/>
    <mergeCell ref="AE72:AI72"/>
    <mergeCell ref="AJ72:AN72"/>
    <mergeCell ref="AO72:AS72"/>
    <mergeCell ref="AT72:AX72"/>
    <mergeCell ref="P73:T73"/>
    <mergeCell ref="U73:Y73"/>
    <mergeCell ref="Z73:AD73"/>
    <mergeCell ref="AE73:AI73"/>
    <mergeCell ref="AJ73:AN73"/>
    <mergeCell ref="AO73:AS73"/>
    <mergeCell ref="AT73:AX73"/>
    <mergeCell ref="AO40:AR40"/>
    <mergeCell ref="AT40:AW40"/>
    <mergeCell ref="B42:B71"/>
    <mergeCell ref="H42:H71"/>
    <mergeCell ref="L42:L71"/>
    <mergeCell ref="T42:T71"/>
    <mergeCell ref="Y42:Y71"/>
    <mergeCell ref="AD42:AD71"/>
    <mergeCell ref="AI42:AI71"/>
    <mergeCell ref="AN42:AN71"/>
    <mergeCell ref="AN39:AN41"/>
    <mergeCell ref="AO39:AR39"/>
    <mergeCell ref="AS39:AS41"/>
    <mergeCell ref="AT39:AW39"/>
    <mergeCell ref="B39:B41"/>
    <mergeCell ref="C39:D41"/>
    <mergeCell ref="AS42:AS71"/>
    <mergeCell ref="AX39:AX41"/>
    <mergeCell ref="E40:G40"/>
    <mergeCell ref="I40:K40"/>
    <mergeCell ref="P40:S40"/>
    <mergeCell ref="U40:X40"/>
    <mergeCell ref="Z40:AC40"/>
    <mergeCell ref="Y39:Y41"/>
    <mergeCell ref="Z39:AC39"/>
    <mergeCell ref="AD39:AD41"/>
    <mergeCell ref="AE39:AH39"/>
    <mergeCell ref="AI39:AI41"/>
    <mergeCell ref="AJ39:AM39"/>
    <mergeCell ref="AE40:AH40"/>
    <mergeCell ref="AJ40:AM40"/>
    <mergeCell ref="M39:M41"/>
    <mergeCell ref="N39:N71"/>
    <mergeCell ref="O39:O71"/>
    <mergeCell ref="P39:S39"/>
    <mergeCell ref="T39:T41"/>
    <mergeCell ref="U39:X39"/>
    <mergeCell ref="E39:G39"/>
    <mergeCell ref="H39:H41"/>
    <mergeCell ref="I39:K39"/>
    <mergeCell ref="L39:L41"/>
    <mergeCell ref="AT37:AX37"/>
    <mergeCell ref="P38:T38"/>
    <mergeCell ref="U38:Y38"/>
    <mergeCell ref="Z38:AD38"/>
    <mergeCell ref="AE38:AI38"/>
    <mergeCell ref="AJ38:AN38"/>
    <mergeCell ref="AO38:AS38"/>
    <mergeCell ref="AT38:AX38"/>
    <mergeCell ref="AX7:AX36"/>
    <mergeCell ref="B37:H38"/>
    <mergeCell ref="N37:N38"/>
    <mergeCell ref="O37:O38"/>
    <mergeCell ref="P37:T37"/>
    <mergeCell ref="U37:Y37"/>
    <mergeCell ref="Z37:AD37"/>
    <mergeCell ref="AE37:AI37"/>
    <mergeCell ref="AJ37:AN37"/>
    <mergeCell ref="AO37:AS37"/>
    <mergeCell ref="AD4:AD6"/>
    <mergeCell ref="AT5:AW5"/>
    <mergeCell ref="B7:B36"/>
    <mergeCell ref="H7:H36"/>
    <mergeCell ref="L7:L36"/>
    <mergeCell ref="T7:T36"/>
    <mergeCell ref="Y7:Y36"/>
    <mergeCell ref="AD7:AD36"/>
    <mergeCell ref="AI7:AI36"/>
    <mergeCell ref="AN7:AN36"/>
    <mergeCell ref="AS7:AS36"/>
    <mergeCell ref="B4:B6"/>
    <mergeCell ref="C4:D6"/>
    <mergeCell ref="E4:G4"/>
    <mergeCell ref="H4:H6"/>
    <mergeCell ref="I4:K4"/>
    <mergeCell ref="L4:L6"/>
    <mergeCell ref="M4:M6"/>
    <mergeCell ref="N4:N36"/>
    <mergeCell ref="O4:O36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AT178:AX178"/>
    <mergeCell ref="E180:G180"/>
    <mergeCell ref="I180:K180"/>
    <mergeCell ref="P180:S180"/>
    <mergeCell ref="U180:X180"/>
    <mergeCell ref="Z180:AC180"/>
    <mergeCell ref="AE180:AH180"/>
    <mergeCell ref="P178:T178"/>
    <mergeCell ref="U178:Y178"/>
    <mergeCell ref="Z178:AD178"/>
    <mergeCell ref="AE178:AI178"/>
    <mergeCell ref="AJ178:AN178"/>
    <mergeCell ref="AO178:AS178"/>
    <mergeCell ref="Z179:AC179"/>
    <mergeCell ref="B177:H178"/>
    <mergeCell ref="N177:N178"/>
    <mergeCell ref="O177:O178"/>
    <mergeCell ref="P177:T177"/>
    <mergeCell ref="U177:Y177"/>
    <mergeCell ref="Z177:AD177"/>
    <mergeCell ref="AE177:AI177"/>
    <mergeCell ref="AJ177:AN177"/>
    <mergeCell ref="AO177:AS177"/>
    <mergeCell ref="AT177:AX177"/>
    <mergeCell ref="AI179:AI181"/>
    <mergeCell ref="AJ179:AM179"/>
    <mergeCell ref="AN179:AN181"/>
    <mergeCell ref="AO179:AR179"/>
    <mergeCell ref="AS179:AS181"/>
    <mergeCell ref="B179:B181"/>
    <mergeCell ref="C179:D181"/>
    <mergeCell ref="E179:G179"/>
    <mergeCell ref="H179:H181"/>
    <mergeCell ref="I179:K179"/>
    <mergeCell ref="L179:L181"/>
    <mergeCell ref="M179:M181"/>
    <mergeCell ref="N179:N211"/>
    <mergeCell ref="O179:O211"/>
    <mergeCell ref="M215:M217"/>
    <mergeCell ref="E216:G216"/>
    <mergeCell ref="I216:K216"/>
    <mergeCell ref="AX179:AX181"/>
    <mergeCell ref="B182:B211"/>
    <mergeCell ref="H182:H211"/>
    <mergeCell ref="L182:L211"/>
    <mergeCell ref="T182:T211"/>
    <mergeCell ref="Y182:Y211"/>
    <mergeCell ref="AD182:AD211"/>
    <mergeCell ref="AI182:AI211"/>
    <mergeCell ref="AN182:AN211"/>
    <mergeCell ref="AS182:AS211"/>
    <mergeCell ref="AX182:AX211"/>
    <mergeCell ref="AT179:AW179"/>
    <mergeCell ref="P179:S179"/>
    <mergeCell ref="T179:T181"/>
    <mergeCell ref="U179:X179"/>
    <mergeCell ref="Y179:Y181"/>
    <mergeCell ref="AJ180:AM180"/>
    <mergeCell ref="AO180:AR180"/>
    <mergeCell ref="AT180:AW180"/>
    <mergeCell ref="AD179:AD181"/>
    <mergeCell ref="AE179:AH179"/>
    <mergeCell ref="B218:B247"/>
    <mergeCell ref="H218:H247"/>
    <mergeCell ref="L218:L247"/>
    <mergeCell ref="B213:H214"/>
    <mergeCell ref="B215:B217"/>
    <mergeCell ref="C215:D217"/>
    <mergeCell ref="E215:G215"/>
    <mergeCell ref="H215:H217"/>
    <mergeCell ref="I215:K215"/>
    <mergeCell ref="L215:L217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A142"/>
  <sheetViews>
    <sheetView zoomScale="40" zoomScaleNormal="40" workbookViewId="0">
      <pane xSplit="15" topLeftCell="P1" activePane="topRight" state="frozen"/>
      <selection activeCell="I107" activeCellId="2" sqref="I67:K81 I87:K101 I107:K121"/>
      <selection pane="topRight" activeCell="T67" sqref="S67:T81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51" width="8.85546875" style="108"/>
    <col min="52" max="52" width="5.42578125" style="108" customWidth="1"/>
    <col min="53" max="53" width="13.140625" style="108" customWidth="1"/>
    <col min="54" max="16384" width="8.85546875" style="108"/>
  </cols>
  <sheetData>
    <row r="1" spans="1:53" ht="24">
      <c r="A1" s="75"/>
      <c r="B1" s="221" t="s">
        <v>332</v>
      </c>
      <c r="C1" s="220">
        <f>AVERAGE(L7,L27,L47,L67,L87,L107)</f>
        <v>71.832085190493203</v>
      </c>
    </row>
    <row r="2" spans="1:53" ht="15.75">
      <c r="A2" s="81"/>
      <c r="B2" s="633" t="s">
        <v>163</v>
      </c>
      <c r="C2" s="633"/>
      <c r="D2" s="633"/>
      <c r="E2" s="633"/>
      <c r="F2" s="633"/>
      <c r="G2" s="633"/>
      <c r="H2" s="633"/>
      <c r="I2" s="306"/>
      <c r="J2" s="306"/>
      <c r="K2" s="306"/>
      <c r="L2" s="306"/>
      <c r="M2" s="197"/>
      <c r="N2" s="606" t="s">
        <v>156</v>
      </c>
      <c r="O2" s="606" t="s">
        <v>155</v>
      </c>
      <c r="P2" s="645">
        <v>46112</v>
      </c>
      <c r="Q2" s="646"/>
      <c r="R2" s="646"/>
      <c r="S2" s="646"/>
      <c r="T2" s="647"/>
      <c r="U2" s="632">
        <f>P2+1</f>
        <v>46113</v>
      </c>
      <c r="V2" s="610"/>
      <c r="W2" s="610"/>
      <c r="X2" s="610"/>
      <c r="Y2" s="610"/>
      <c r="Z2" s="632">
        <f>U2+1</f>
        <v>46114</v>
      </c>
      <c r="AA2" s="610"/>
      <c r="AB2" s="610"/>
      <c r="AC2" s="610"/>
      <c r="AD2" s="610"/>
      <c r="AE2" s="632">
        <f>Z2+1</f>
        <v>46115</v>
      </c>
      <c r="AF2" s="610"/>
      <c r="AG2" s="610"/>
      <c r="AH2" s="610"/>
      <c r="AI2" s="610"/>
      <c r="AJ2" s="632">
        <f>AE2+1</f>
        <v>46116</v>
      </c>
      <c r="AK2" s="610"/>
      <c r="AL2" s="610"/>
      <c r="AM2" s="610"/>
      <c r="AN2" s="610"/>
      <c r="AO2" s="632">
        <f>AJ2+1</f>
        <v>46117</v>
      </c>
      <c r="AP2" s="610"/>
      <c r="AQ2" s="610"/>
      <c r="AR2" s="610"/>
      <c r="AS2" s="610"/>
      <c r="AT2" s="629">
        <f>AO2+1</f>
        <v>46118</v>
      </c>
      <c r="AU2" s="630"/>
      <c r="AV2" s="630"/>
      <c r="AW2" s="630"/>
      <c r="AX2" s="631"/>
    </row>
    <row r="3" spans="1:53" ht="15.75">
      <c r="A3" s="81"/>
      <c r="B3" s="641"/>
      <c r="C3" s="641"/>
      <c r="D3" s="641"/>
      <c r="E3" s="641"/>
      <c r="F3" s="641"/>
      <c r="G3" s="641"/>
      <c r="H3" s="641"/>
      <c r="I3" s="307"/>
      <c r="J3" s="307"/>
      <c r="K3" s="307"/>
      <c r="L3" s="307"/>
      <c r="M3" s="198"/>
      <c r="N3" s="608"/>
      <c r="O3" s="608"/>
      <c r="P3" s="629" t="s">
        <v>158</v>
      </c>
      <c r="Q3" s="630"/>
      <c r="R3" s="630"/>
      <c r="S3" s="630"/>
      <c r="T3" s="631"/>
      <c r="U3" s="629" t="s">
        <v>114</v>
      </c>
      <c r="V3" s="630"/>
      <c r="W3" s="630"/>
      <c r="X3" s="630"/>
      <c r="Y3" s="631"/>
      <c r="Z3" s="629" t="s">
        <v>159</v>
      </c>
      <c r="AA3" s="630"/>
      <c r="AB3" s="630"/>
      <c r="AC3" s="630"/>
      <c r="AD3" s="631"/>
      <c r="AE3" s="629" t="s">
        <v>157</v>
      </c>
      <c r="AF3" s="630"/>
      <c r="AG3" s="630"/>
      <c r="AH3" s="630"/>
      <c r="AI3" s="631"/>
      <c r="AJ3" s="629" t="s">
        <v>160</v>
      </c>
      <c r="AK3" s="630"/>
      <c r="AL3" s="630"/>
      <c r="AM3" s="630"/>
      <c r="AN3" s="631"/>
      <c r="AO3" s="629" t="s">
        <v>161</v>
      </c>
      <c r="AP3" s="630"/>
      <c r="AQ3" s="630"/>
      <c r="AR3" s="630"/>
      <c r="AS3" s="631"/>
      <c r="AT3" s="629" t="s">
        <v>162</v>
      </c>
      <c r="AU3" s="630"/>
      <c r="AV3" s="630"/>
      <c r="AW3" s="630"/>
      <c r="AX3" s="631"/>
    </row>
    <row r="4" spans="1:53" ht="14.25">
      <c r="A4" s="81"/>
      <c r="B4" s="604" t="s">
        <v>154</v>
      </c>
      <c r="C4" s="604" t="s">
        <v>408</v>
      </c>
      <c r="D4" s="604"/>
      <c r="E4" s="604" t="s">
        <v>399</v>
      </c>
      <c r="F4" s="604"/>
      <c r="G4" s="604"/>
      <c r="H4" s="637" t="s">
        <v>395</v>
      </c>
      <c r="I4" s="656" t="s">
        <v>400</v>
      </c>
      <c r="J4" s="656"/>
      <c r="K4" s="656"/>
      <c r="L4" s="657" t="s">
        <v>395</v>
      </c>
      <c r="M4" s="642" t="s">
        <v>396</v>
      </c>
      <c r="N4" s="604"/>
      <c r="O4" s="604" t="s">
        <v>401</v>
      </c>
      <c r="P4" s="623" t="s">
        <v>397</v>
      </c>
      <c r="Q4" s="624"/>
      <c r="R4" s="624"/>
      <c r="S4" s="625"/>
      <c r="T4" s="604" t="s">
        <v>395</v>
      </c>
      <c r="U4" s="623" t="s">
        <v>397</v>
      </c>
      <c r="V4" s="624"/>
      <c r="W4" s="624"/>
      <c r="X4" s="625"/>
      <c r="Y4" s="604" t="s">
        <v>395</v>
      </c>
      <c r="Z4" s="623" t="s">
        <v>397</v>
      </c>
      <c r="AA4" s="624"/>
      <c r="AB4" s="624"/>
      <c r="AC4" s="625"/>
      <c r="AD4" s="604" t="s">
        <v>395</v>
      </c>
      <c r="AE4" s="623" t="s">
        <v>397</v>
      </c>
      <c r="AF4" s="624"/>
      <c r="AG4" s="624"/>
      <c r="AH4" s="625"/>
      <c r="AI4" s="604" t="s">
        <v>395</v>
      </c>
      <c r="AJ4" s="623" t="s">
        <v>397</v>
      </c>
      <c r="AK4" s="624"/>
      <c r="AL4" s="624"/>
      <c r="AM4" s="625"/>
      <c r="AN4" s="604" t="s">
        <v>395</v>
      </c>
      <c r="AO4" s="623" t="s">
        <v>397</v>
      </c>
      <c r="AP4" s="624"/>
      <c r="AQ4" s="624"/>
      <c r="AR4" s="625"/>
      <c r="AS4" s="604" t="s">
        <v>395</v>
      </c>
      <c r="AT4" s="623" t="s">
        <v>397</v>
      </c>
      <c r="AU4" s="624"/>
      <c r="AV4" s="624"/>
      <c r="AW4" s="625"/>
      <c r="AX4" s="604" t="s">
        <v>395</v>
      </c>
      <c r="BA4" s="604" t="s">
        <v>395</v>
      </c>
    </row>
    <row r="5" spans="1:53" ht="14.25">
      <c r="A5" s="81"/>
      <c r="B5" s="604"/>
      <c r="C5" s="604"/>
      <c r="D5" s="604"/>
      <c r="E5" s="604" t="s">
        <v>402</v>
      </c>
      <c r="F5" s="604"/>
      <c r="G5" s="604"/>
      <c r="H5" s="638"/>
      <c r="I5" s="656" t="s">
        <v>402</v>
      </c>
      <c r="J5" s="656"/>
      <c r="K5" s="656"/>
      <c r="L5" s="658"/>
      <c r="M5" s="643"/>
      <c r="N5" s="604"/>
      <c r="O5" s="604"/>
      <c r="P5" s="623" t="s">
        <v>403</v>
      </c>
      <c r="Q5" s="624"/>
      <c r="R5" s="624"/>
      <c r="S5" s="625"/>
      <c r="T5" s="604"/>
      <c r="U5" s="623" t="s">
        <v>403</v>
      </c>
      <c r="V5" s="624"/>
      <c r="W5" s="624"/>
      <c r="X5" s="625"/>
      <c r="Y5" s="604"/>
      <c r="Z5" s="623" t="s">
        <v>403</v>
      </c>
      <c r="AA5" s="624"/>
      <c r="AB5" s="624"/>
      <c r="AC5" s="625"/>
      <c r="AD5" s="604"/>
      <c r="AE5" s="623" t="s">
        <v>403</v>
      </c>
      <c r="AF5" s="624"/>
      <c r="AG5" s="624"/>
      <c r="AH5" s="625"/>
      <c r="AI5" s="604"/>
      <c r="AJ5" s="623" t="s">
        <v>403</v>
      </c>
      <c r="AK5" s="624"/>
      <c r="AL5" s="624"/>
      <c r="AM5" s="625"/>
      <c r="AN5" s="604"/>
      <c r="AO5" s="623" t="s">
        <v>403</v>
      </c>
      <c r="AP5" s="624"/>
      <c r="AQ5" s="624"/>
      <c r="AR5" s="625"/>
      <c r="AS5" s="604"/>
      <c r="AT5" s="623" t="s">
        <v>403</v>
      </c>
      <c r="AU5" s="624"/>
      <c r="AV5" s="624"/>
      <c r="AW5" s="625"/>
      <c r="AX5" s="604"/>
      <c r="BA5" s="604"/>
    </row>
    <row r="6" spans="1:53" ht="14.25">
      <c r="A6" s="79"/>
      <c r="B6" s="604"/>
      <c r="C6" s="604"/>
      <c r="D6" s="604"/>
      <c r="E6" s="468" t="s">
        <v>404</v>
      </c>
      <c r="F6" s="468" t="s">
        <v>405</v>
      </c>
      <c r="G6" s="468" t="s">
        <v>406</v>
      </c>
      <c r="H6" s="639"/>
      <c r="I6" s="470" t="s">
        <v>404</v>
      </c>
      <c r="J6" s="470" t="s">
        <v>405</v>
      </c>
      <c r="K6" s="470" t="s">
        <v>406</v>
      </c>
      <c r="L6" s="659"/>
      <c r="M6" s="644"/>
      <c r="N6" s="604"/>
      <c r="O6" s="604"/>
      <c r="P6" s="468" t="s">
        <v>404</v>
      </c>
      <c r="Q6" s="468" t="s">
        <v>405</v>
      </c>
      <c r="R6" s="468" t="s">
        <v>406</v>
      </c>
      <c r="S6" s="468" t="s">
        <v>396</v>
      </c>
      <c r="T6" s="604"/>
      <c r="U6" s="468" t="s">
        <v>404</v>
      </c>
      <c r="V6" s="468" t="s">
        <v>405</v>
      </c>
      <c r="W6" s="468" t="s">
        <v>406</v>
      </c>
      <c r="X6" s="468" t="s">
        <v>396</v>
      </c>
      <c r="Y6" s="604"/>
      <c r="Z6" s="468" t="s">
        <v>404</v>
      </c>
      <c r="AA6" s="468" t="s">
        <v>405</v>
      </c>
      <c r="AB6" s="468" t="s">
        <v>406</v>
      </c>
      <c r="AC6" s="468" t="s">
        <v>396</v>
      </c>
      <c r="AD6" s="604"/>
      <c r="AE6" s="468" t="s">
        <v>404</v>
      </c>
      <c r="AF6" s="468" t="s">
        <v>405</v>
      </c>
      <c r="AG6" s="468" t="s">
        <v>406</v>
      </c>
      <c r="AH6" s="468" t="s">
        <v>396</v>
      </c>
      <c r="AI6" s="604"/>
      <c r="AJ6" s="468" t="s">
        <v>404</v>
      </c>
      <c r="AK6" s="468" t="s">
        <v>405</v>
      </c>
      <c r="AL6" s="468" t="s">
        <v>406</v>
      </c>
      <c r="AM6" s="468" t="s">
        <v>396</v>
      </c>
      <c r="AN6" s="604"/>
      <c r="AO6" s="468" t="s">
        <v>404</v>
      </c>
      <c r="AP6" s="468" t="s">
        <v>405</v>
      </c>
      <c r="AQ6" s="468" t="s">
        <v>406</v>
      </c>
      <c r="AR6" s="468" t="s">
        <v>396</v>
      </c>
      <c r="AS6" s="604"/>
      <c r="AT6" s="468" t="s">
        <v>404</v>
      </c>
      <c r="AU6" s="468" t="s">
        <v>405</v>
      </c>
      <c r="AV6" s="468" t="s">
        <v>406</v>
      </c>
      <c r="AW6" s="468" t="s">
        <v>396</v>
      </c>
      <c r="AX6" s="604"/>
      <c r="AZ6" s="520" t="s">
        <v>396</v>
      </c>
      <c r="BA6" s="604"/>
    </row>
    <row r="7" spans="1:53" ht="14.25">
      <c r="A7" s="81"/>
      <c r="B7" s="604" t="s">
        <v>132</v>
      </c>
      <c r="C7" s="465">
        <v>1</v>
      </c>
      <c r="D7" s="226" t="s">
        <v>371</v>
      </c>
      <c r="E7" s="182">
        <v>18</v>
      </c>
      <c r="F7" s="465">
        <v>1440</v>
      </c>
      <c r="G7" s="466">
        <v>80</v>
      </c>
      <c r="H7" s="667">
        <f>AVERAGE(G7:G21)</f>
        <v>78.772727272727266</v>
      </c>
      <c r="I7" s="513">
        <f t="shared" ref="I7:I20" si="0">IFERROR(AVERAGE(P7,U7,Z7,AE7,AJ7,AO7,AT7),"-")</f>
        <v>18</v>
      </c>
      <c r="J7" s="513">
        <f t="shared" ref="J7:J20" si="1">IFERROR(AVERAGE(Q7,V7,AA7,AF7,AK7,AP7,AU7),"-")</f>
        <v>1353.6442475210952</v>
      </c>
      <c r="K7" s="200">
        <f t="shared" ref="K7:K20" si="2">IFERROR(AVERAGE(R7,W7,AB7,AG7,AL7,AQ7,AV7),"-")</f>
        <v>75.202458195616387</v>
      </c>
      <c r="L7" s="620">
        <f>IFERROR(AVERAGE(K7:K21),"-")</f>
        <v>72.684044900052385</v>
      </c>
      <c r="M7" s="471">
        <f>RANK(K7, K$7:$K$21)</f>
        <v>3</v>
      </c>
      <c r="N7" s="604"/>
      <c r="O7" s="604"/>
      <c r="P7" s="521">
        <v>18</v>
      </c>
      <c r="Q7" s="182">
        <v>1364.7169811320753</v>
      </c>
      <c r="R7" s="182">
        <v>75.817610062893067</v>
      </c>
      <c r="S7" s="521">
        <f t="shared" ref="S7:S21" si="3">RANK(R7, R$7:R$21)</f>
        <v>3</v>
      </c>
      <c r="T7" s="605">
        <f t="shared" ref="T7" si="4">AVERAGE(R7:R21)</f>
        <v>72.445810313003207</v>
      </c>
      <c r="U7" s="521">
        <v>18</v>
      </c>
      <c r="V7" s="182">
        <v>1357.8260869565217</v>
      </c>
      <c r="W7" s="182">
        <v>75.434782608695656</v>
      </c>
      <c r="X7" s="521">
        <f t="shared" ref="X7:X21" si="5">RANK(W7, W$7:W$21)</f>
        <v>3</v>
      </c>
      <c r="Y7" s="605">
        <f t="shared" ref="Y7" si="6">AVERAGE(W7:W21)</f>
        <v>72.575133383643205</v>
      </c>
      <c r="Z7" s="521">
        <v>18</v>
      </c>
      <c r="AA7" s="182">
        <v>1359.4936708860753</v>
      </c>
      <c r="AB7" s="182">
        <v>75.527426160337512</v>
      </c>
      <c r="AC7" s="521">
        <f t="shared" ref="AC7:AC21" si="7">RANK(AB7, AB$7:AB$21)</f>
        <v>4</v>
      </c>
      <c r="AD7" s="605">
        <f t="shared" ref="AD7" si="8">AVERAGE(AB7:AB21)</f>
        <v>72.919843590525602</v>
      </c>
      <c r="AE7" s="521">
        <v>18</v>
      </c>
      <c r="AF7" s="182">
        <v>1346.4935064935069</v>
      </c>
      <c r="AG7" s="182">
        <v>74.80519480519483</v>
      </c>
      <c r="AH7" s="521">
        <f t="shared" ref="AH7:AH21" si="9">RANK(AG7, AG$7:AG$21)</f>
        <v>3</v>
      </c>
      <c r="AI7" s="605">
        <f t="shared" ref="AI7" si="10">AVERAGE(AG7:AG21)</f>
        <v>72.225971962338861</v>
      </c>
      <c r="AJ7" s="521">
        <v>18</v>
      </c>
      <c r="AK7" s="182">
        <v>1339.7999999999997</v>
      </c>
      <c r="AL7" s="182">
        <v>74.433333333333323</v>
      </c>
      <c r="AM7" s="521">
        <f t="shared" ref="AM7:AM21" si="11">RANK(AL7, AL$7:AL$21)</f>
        <v>4</v>
      </c>
      <c r="AN7" s="605">
        <f t="shared" ref="AN7" si="12">AVERAGE(AL7:AL21)</f>
        <v>72.994731434278123</v>
      </c>
      <c r="AO7" s="521">
        <v>18</v>
      </c>
      <c r="AP7" s="182">
        <v>1333.8461538461531</v>
      </c>
      <c r="AQ7" s="182">
        <v>74.10256410256406</v>
      </c>
      <c r="AR7" s="521">
        <f t="shared" ref="AR7:AR21" si="13">RANK(AQ7, AQ$7:AQ$21)</f>
        <v>4</v>
      </c>
      <c r="AS7" s="605">
        <f t="shared" ref="AS7" si="14">AVERAGE(AQ7:AQ21)</f>
        <v>72.693129078381489</v>
      </c>
      <c r="AT7" s="521">
        <v>18</v>
      </c>
      <c r="AU7" s="182">
        <v>1373.3333333333335</v>
      </c>
      <c r="AV7" s="182">
        <v>76.296296296296305</v>
      </c>
      <c r="AW7" s="521">
        <f t="shared" ref="AW7:AW21" si="15">RANK(AV7, AV$7:AV$21)</f>
        <v>3</v>
      </c>
      <c r="AX7" s="605">
        <f t="shared" ref="AX7" si="16">AVERAGE(AV7:AV21)</f>
        <v>72.933694538196221</v>
      </c>
      <c r="AZ7" s="521" t="e">
        <f t="shared" ref="AZ7:AZ21" si="17">RANK(AY7, AY$7:AY$21)</f>
        <v>#N/A</v>
      </c>
      <c r="BA7" s="605" t="e">
        <f t="shared" ref="BA7" si="18">AVERAGE(AY7:AY21)</f>
        <v>#DIV/0!</v>
      </c>
    </row>
    <row r="8" spans="1:53" ht="15" customHeight="1">
      <c r="A8" s="81"/>
      <c r="B8" s="610"/>
      <c r="C8" s="465">
        <v>2</v>
      </c>
      <c r="D8" s="226" t="s">
        <v>372</v>
      </c>
      <c r="E8" s="182">
        <v>18</v>
      </c>
      <c r="F8" s="465">
        <v>1440</v>
      </c>
      <c r="G8" s="466">
        <v>80</v>
      </c>
      <c r="H8" s="668"/>
      <c r="I8" s="513">
        <f t="shared" si="0"/>
        <v>18</v>
      </c>
      <c r="J8" s="513">
        <f t="shared" si="1"/>
        <v>1280.9835418038172</v>
      </c>
      <c r="K8" s="200">
        <f t="shared" si="2"/>
        <v>71.165752322434301</v>
      </c>
      <c r="L8" s="621"/>
      <c r="M8" s="471">
        <f>RANK(K8, K$7:$K$21)</f>
        <v>7</v>
      </c>
      <c r="N8" s="604"/>
      <c r="O8" s="604"/>
      <c r="P8" s="521">
        <v>18</v>
      </c>
      <c r="Q8" s="182">
        <v>1290</v>
      </c>
      <c r="R8" s="182">
        <v>71.666666666666671</v>
      </c>
      <c r="S8" s="521">
        <f t="shared" si="3"/>
        <v>6</v>
      </c>
      <c r="T8" s="605"/>
      <c r="U8" s="521">
        <v>18</v>
      </c>
      <c r="V8" s="182">
        <v>1299.9999999999995</v>
      </c>
      <c r="W8" s="182">
        <v>72.2222222222222</v>
      </c>
      <c r="X8" s="521">
        <f t="shared" si="5"/>
        <v>5</v>
      </c>
      <c r="Y8" s="605"/>
      <c r="Z8" s="521">
        <v>18</v>
      </c>
      <c r="AA8" s="182">
        <v>1299.9999999999993</v>
      </c>
      <c r="AB8" s="182">
        <v>72.222222222222186</v>
      </c>
      <c r="AC8" s="521">
        <f t="shared" si="7"/>
        <v>6</v>
      </c>
      <c r="AD8" s="605"/>
      <c r="AE8" s="521">
        <v>18</v>
      </c>
      <c r="AF8" s="182">
        <v>1275.4285714285702</v>
      </c>
      <c r="AG8" s="182">
        <v>70.85714285714279</v>
      </c>
      <c r="AH8" s="521">
        <f t="shared" si="9"/>
        <v>6</v>
      </c>
      <c r="AI8" s="605"/>
      <c r="AJ8" s="521">
        <v>18</v>
      </c>
      <c r="AK8" s="182">
        <v>1282.2857142857129</v>
      </c>
      <c r="AL8" s="182">
        <v>71.238095238095156</v>
      </c>
      <c r="AM8" s="521">
        <f t="shared" si="11"/>
        <v>7</v>
      </c>
      <c r="AN8" s="605"/>
      <c r="AO8" s="521">
        <v>18</v>
      </c>
      <c r="AP8" s="182">
        <v>1267.7419354838689</v>
      </c>
      <c r="AQ8" s="182">
        <v>70.430107526881613</v>
      </c>
      <c r="AR8" s="521">
        <f t="shared" si="13"/>
        <v>9</v>
      </c>
      <c r="AS8" s="605"/>
      <c r="AT8" s="521">
        <v>18</v>
      </c>
      <c r="AU8" s="182">
        <v>1251.4285714285711</v>
      </c>
      <c r="AV8" s="182">
        <v>69.523809523809504</v>
      </c>
      <c r="AW8" s="521">
        <f t="shared" si="15"/>
        <v>9</v>
      </c>
      <c r="AX8" s="605"/>
      <c r="AZ8" s="521" t="e">
        <f t="shared" si="17"/>
        <v>#N/A</v>
      </c>
      <c r="BA8" s="605"/>
    </row>
    <row r="9" spans="1:53" ht="14.25">
      <c r="A9" s="81"/>
      <c r="B9" s="610"/>
      <c r="C9" s="465">
        <v>3</v>
      </c>
      <c r="D9" s="226" t="s">
        <v>373</v>
      </c>
      <c r="E9" s="182">
        <v>17</v>
      </c>
      <c r="F9" s="465">
        <v>1440</v>
      </c>
      <c r="G9" s="466">
        <v>84.7</v>
      </c>
      <c r="H9" s="668"/>
      <c r="I9" s="513">
        <f t="shared" si="0"/>
        <v>17</v>
      </c>
      <c r="J9" s="513">
        <f t="shared" si="1"/>
        <v>1355.0737088744434</v>
      </c>
      <c r="K9" s="200">
        <f t="shared" si="2"/>
        <v>79.710218169084911</v>
      </c>
      <c r="L9" s="621"/>
      <c r="M9" s="471">
        <f>RANK(K9, K$7:$K$21)</f>
        <v>2</v>
      </c>
      <c r="N9" s="604"/>
      <c r="O9" s="604"/>
      <c r="P9" s="521">
        <v>17</v>
      </c>
      <c r="Q9" s="182">
        <v>1351.3274336283175</v>
      </c>
      <c r="R9" s="182">
        <v>79.489849036959853</v>
      </c>
      <c r="S9" s="521">
        <f t="shared" si="3"/>
        <v>2</v>
      </c>
      <c r="T9" s="605"/>
      <c r="U9" s="521">
        <v>17</v>
      </c>
      <c r="V9" s="182">
        <v>1373.3333333333337</v>
      </c>
      <c r="W9" s="182">
        <v>80.784313725490222</v>
      </c>
      <c r="X9" s="521">
        <f t="shared" si="5"/>
        <v>2</v>
      </c>
      <c r="Y9" s="605"/>
      <c r="Z9" s="521">
        <v>17</v>
      </c>
      <c r="AA9" s="182">
        <v>1353.8297872340427</v>
      </c>
      <c r="AB9" s="182">
        <v>79.637046307884859</v>
      </c>
      <c r="AC9" s="521">
        <f t="shared" si="7"/>
        <v>2</v>
      </c>
      <c r="AD9" s="605"/>
      <c r="AE9" s="521">
        <v>17</v>
      </c>
      <c r="AF9" s="182">
        <v>1341.6000000000004</v>
      </c>
      <c r="AG9" s="182">
        <v>78.917647058823547</v>
      </c>
      <c r="AH9" s="521">
        <f t="shared" si="9"/>
        <v>2</v>
      </c>
      <c r="AI9" s="605"/>
      <c r="AJ9" s="521">
        <v>17</v>
      </c>
      <c r="AK9" s="182">
        <v>1357.575757575758</v>
      </c>
      <c r="AL9" s="182">
        <v>79.857397504456344</v>
      </c>
      <c r="AM9" s="521">
        <f t="shared" si="11"/>
        <v>2</v>
      </c>
      <c r="AN9" s="605"/>
      <c r="AO9" s="521">
        <v>17</v>
      </c>
      <c r="AP9" s="182">
        <v>1350.5769230769238</v>
      </c>
      <c r="AQ9" s="182">
        <v>79.445701357466106</v>
      </c>
      <c r="AR9" s="521">
        <f t="shared" si="13"/>
        <v>2</v>
      </c>
      <c r="AS9" s="605"/>
      <c r="AT9" s="521">
        <v>17</v>
      </c>
      <c r="AU9" s="182">
        <v>1357.2727272727273</v>
      </c>
      <c r="AV9" s="182">
        <v>79.839572192513373</v>
      </c>
      <c r="AW9" s="521">
        <f t="shared" si="15"/>
        <v>2</v>
      </c>
      <c r="AX9" s="605"/>
      <c r="AZ9" s="521" t="e">
        <f t="shared" si="17"/>
        <v>#N/A</v>
      </c>
      <c r="BA9" s="605"/>
    </row>
    <row r="10" spans="1:53" ht="14.25">
      <c r="A10" s="81"/>
      <c r="B10" s="610"/>
      <c r="C10" s="465">
        <v>4</v>
      </c>
      <c r="D10" s="226" t="s">
        <v>374</v>
      </c>
      <c r="E10" s="182">
        <v>17</v>
      </c>
      <c r="F10" s="465">
        <v>1440</v>
      </c>
      <c r="G10" s="466">
        <v>84.7</v>
      </c>
      <c r="H10" s="668"/>
      <c r="I10" s="513">
        <f t="shared" si="0"/>
        <v>17</v>
      </c>
      <c r="J10" s="513">
        <f t="shared" si="1"/>
        <v>1274.7603584172955</v>
      </c>
      <c r="K10" s="200">
        <f t="shared" si="2"/>
        <v>74.985903436311489</v>
      </c>
      <c r="L10" s="621"/>
      <c r="M10" s="471">
        <f>RANK(K10, K$7:$K$21)</f>
        <v>4</v>
      </c>
      <c r="N10" s="604"/>
      <c r="O10" s="604"/>
      <c r="P10" s="521">
        <v>17</v>
      </c>
      <c r="Q10" s="182">
        <v>1269.0566037735857</v>
      </c>
      <c r="R10" s="182">
        <v>74.650388457269742</v>
      </c>
      <c r="S10" s="521">
        <f t="shared" si="3"/>
        <v>4</v>
      </c>
      <c r="T10" s="605"/>
      <c r="U10" s="521">
        <v>17</v>
      </c>
      <c r="V10" s="182">
        <v>1271.5384615384623</v>
      </c>
      <c r="W10" s="182">
        <v>74.796380090497792</v>
      </c>
      <c r="X10" s="521">
        <f t="shared" si="5"/>
        <v>4</v>
      </c>
      <c r="Y10" s="605"/>
      <c r="Z10" s="521">
        <v>17</v>
      </c>
      <c r="AA10" s="182">
        <v>1285.714285714286</v>
      </c>
      <c r="AB10" s="182">
        <v>75.630252100840352</v>
      </c>
      <c r="AC10" s="521">
        <f t="shared" si="7"/>
        <v>3</v>
      </c>
      <c r="AD10" s="605"/>
      <c r="AE10" s="521">
        <v>17</v>
      </c>
      <c r="AF10" s="182">
        <v>1250.9999999999995</v>
      </c>
      <c r="AG10" s="182">
        <v>73.588235294117624</v>
      </c>
      <c r="AH10" s="521">
        <f t="shared" si="9"/>
        <v>4</v>
      </c>
      <c r="AI10" s="605"/>
      <c r="AJ10" s="521">
        <v>17</v>
      </c>
      <c r="AK10" s="182">
        <v>1285.2631578947357</v>
      </c>
      <c r="AL10" s="182">
        <v>75.603715170278576</v>
      </c>
      <c r="AM10" s="521">
        <f t="shared" si="11"/>
        <v>3</v>
      </c>
      <c r="AN10" s="605"/>
      <c r="AO10" s="521">
        <v>17</v>
      </c>
      <c r="AP10" s="182">
        <v>1271.9999999999986</v>
      </c>
      <c r="AQ10" s="182">
        <v>74.823529411764625</v>
      </c>
      <c r="AR10" s="521">
        <f t="shared" si="13"/>
        <v>3</v>
      </c>
      <c r="AS10" s="605"/>
      <c r="AT10" s="521">
        <v>17</v>
      </c>
      <c r="AU10" s="182">
        <v>1288.7500000000002</v>
      </c>
      <c r="AV10" s="182">
        <v>75.808823529411782</v>
      </c>
      <c r="AW10" s="521">
        <f t="shared" si="15"/>
        <v>4</v>
      </c>
      <c r="AX10" s="605"/>
      <c r="AZ10" s="521" t="e">
        <f t="shared" si="17"/>
        <v>#N/A</v>
      </c>
      <c r="BA10" s="605"/>
    </row>
    <row r="11" spans="1:53" ht="14.25">
      <c r="A11" s="81"/>
      <c r="B11" s="610"/>
      <c r="C11" s="465">
        <v>5</v>
      </c>
      <c r="D11" s="226" t="s">
        <v>375</v>
      </c>
      <c r="E11" s="182">
        <v>21</v>
      </c>
      <c r="F11" s="465">
        <v>1385</v>
      </c>
      <c r="G11" s="466">
        <v>65.900000000000006</v>
      </c>
      <c r="H11" s="668"/>
      <c r="I11" s="513">
        <f t="shared" si="0"/>
        <v>21</v>
      </c>
      <c r="J11" s="513">
        <f t="shared" si="1"/>
        <v>1291.8425224982109</v>
      </c>
      <c r="K11" s="200">
        <f t="shared" si="2"/>
        <v>61.516310595152895</v>
      </c>
      <c r="L11" s="621"/>
      <c r="M11" s="471">
        <f>RANK(K11, K$7:$K$21)</f>
        <v>11</v>
      </c>
      <c r="N11" s="604"/>
      <c r="O11" s="604"/>
      <c r="P11" s="521">
        <v>21</v>
      </c>
      <c r="Q11" s="182">
        <v>1224.4500000000041</v>
      </c>
      <c r="R11" s="182">
        <v>58.307142857143056</v>
      </c>
      <c r="S11" s="521">
        <f t="shared" si="3"/>
        <v>11</v>
      </c>
      <c r="T11" s="605"/>
      <c r="U11" s="521">
        <v>21</v>
      </c>
      <c r="V11" s="182">
        <v>1305.5769230769238</v>
      </c>
      <c r="W11" s="182">
        <v>62.170329670329707</v>
      </c>
      <c r="X11" s="521">
        <f t="shared" si="5"/>
        <v>11</v>
      </c>
      <c r="Y11" s="605"/>
      <c r="Z11" s="521">
        <v>21</v>
      </c>
      <c r="AA11" s="182">
        <v>1308</v>
      </c>
      <c r="AB11" s="182">
        <v>62.285714285714285</v>
      </c>
      <c r="AC11" s="521">
        <f t="shared" si="7"/>
        <v>11</v>
      </c>
      <c r="AD11" s="605"/>
      <c r="AE11" s="521">
        <v>21</v>
      </c>
      <c r="AF11" s="182">
        <v>1284.9999999999995</v>
      </c>
      <c r="AG11" s="182">
        <v>61.190476190476168</v>
      </c>
      <c r="AH11" s="521">
        <f t="shared" si="9"/>
        <v>11</v>
      </c>
      <c r="AI11" s="605"/>
      <c r="AJ11" s="521">
        <v>21</v>
      </c>
      <c r="AK11" s="182">
        <v>1316.2025316455688</v>
      </c>
      <c r="AL11" s="182">
        <v>62.676311030741374</v>
      </c>
      <c r="AM11" s="521">
        <f t="shared" si="11"/>
        <v>11</v>
      </c>
      <c r="AN11" s="605"/>
      <c r="AO11" s="521">
        <v>21</v>
      </c>
      <c r="AP11" s="182">
        <v>1307.0967741935485</v>
      </c>
      <c r="AQ11" s="182">
        <v>62.242703533026123</v>
      </c>
      <c r="AR11" s="521">
        <f t="shared" si="13"/>
        <v>11</v>
      </c>
      <c r="AS11" s="605"/>
      <c r="AT11" s="521">
        <v>21</v>
      </c>
      <c r="AU11" s="182">
        <v>1296.5714285714294</v>
      </c>
      <c r="AV11" s="182">
        <v>61.741496598639493</v>
      </c>
      <c r="AW11" s="521">
        <f t="shared" si="15"/>
        <v>11</v>
      </c>
      <c r="AX11" s="605"/>
      <c r="AZ11" s="521" t="e">
        <f t="shared" si="17"/>
        <v>#N/A</v>
      </c>
      <c r="BA11" s="605"/>
    </row>
    <row r="12" spans="1:53" ht="14.25">
      <c r="A12" s="81"/>
      <c r="B12" s="610"/>
      <c r="C12" s="465">
        <v>6</v>
      </c>
      <c r="D12" s="226" t="s">
        <v>376</v>
      </c>
      <c r="E12" s="182">
        <v>19</v>
      </c>
      <c r="F12" s="465">
        <v>1440</v>
      </c>
      <c r="G12" s="466">
        <v>75.8</v>
      </c>
      <c r="H12" s="668"/>
      <c r="I12" s="513">
        <f t="shared" si="0"/>
        <v>19</v>
      </c>
      <c r="J12" s="513">
        <f t="shared" si="1"/>
        <v>1355.3016341984544</v>
      </c>
      <c r="K12" s="200">
        <f t="shared" si="2"/>
        <v>71.331664957813388</v>
      </c>
      <c r="L12" s="621"/>
      <c r="M12" s="471">
        <f>RANK(K12, K$7:$K$21)</f>
        <v>6</v>
      </c>
      <c r="N12" s="604"/>
      <c r="O12" s="604"/>
      <c r="P12" s="521">
        <v>19</v>
      </c>
      <c r="Q12" s="182">
        <v>1377.41935483871</v>
      </c>
      <c r="R12" s="182">
        <v>72.495755517826836</v>
      </c>
      <c r="S12" s="521">
        <f t="shared" si="3"/>
        <v>5</v>
      </c>
      <c r="T12" s="605"/>
      <c r="U12" s="521">
        <v>19</v>
      </c>
      <c r="V12" s="182">
        <v>1351.1392405063284</v>
      </c>
      <c r="W12" s="182">
        <v>71.112591605596236</v>
      </c>
      <c r="X12" s="521">
        <f t="shared" si="5"/>
        <v>6</v>
      </c>
      <c r="Y12" s="605"/>
      <c r="Z12" s="521">
        <v>19</v>
      </c>
      <c r="AA12" s="182">
        <v>1366.1538461538453</v>
      </c>
      <c r="AB12" s="182">
        <v>71.902834008097116</v>
      </c>
      <c r="AC12" s="521">
        <f t="shared" si="7"/>
        <v>7</v>
      </c>
      <c r="AD12" s="605"/>
      <c r="AE12" s="521">
        <v>19</v>
      </c>
      <c r="AF12" s="182">
        <v>1330.3125000000016</v>
      </c>
      <c r="AG12" s="182">
        <v>70.01644736842114</v>
      </c>
      <c r="AH12" s="521">
        <f t="shared" si="9"/>
        <v>9</v>
      </c>
      <c r="AI12" s="605"/>
      <c r="AJ12" s="521">
        <v>19</v>
      </c>
      <c r="AK12" s="182">
        <v>1376.0000000000014</v>
      </c>
      <c r="AL12" s="182">
        <v>72.421052631579016</v>
      </c>
      <c r="AM12" s="521">
        <f t="shared" si="11"/>
        <v>6</v>
      </c>
      <c r="AN12" s="605"/>
      <c r="AO12" s="521">
        <v>19</v>
      </c>
      <c r="AP12" s="182">
        <v>1360.2531645569613</v>
      </c>
      <c r="AQ12" s="182">
        <v>71.592271818787438</v>
      </c>
      <c r="AR12" s="521">
        <f t="shared" si="13"/>
        <v>6</v>
      </c>
      <c r="AS12" s="605"/>
      <c r="AT12" s="521">
        <v>19</v>
      </c>
      <c r="AU12" s="182">
        <v>1325.8333333333321</v>
      </c>
      <c r="AV12" s="182">
        <v>69.780701754385902</v>
      </c>
      <c r="AW12" s="521">
        <f t="shared" si="15"/>
        <v>7</v>
      </c>
      <c r="AX12" s="605"/>
      <c r="AZ12" s="521" t="e">
        <f t="shared" si="17"/>
        <v>#N/A</v>
      </c>
      <c r="BA12" s="605"/>
    </row>
    <row r="13" spans="1:53" ht="14.25">
      <c r="A13" s="81"/>
      <c r="B13" s="610"/>
      <c r="C13" s="465">
        <v>7</v>
      </c>
      <c r="D13" s="226" t="s">
        <v>578</v>
      </c>
      <c r="E13" s="182">
        <v>18</v>
      </c>
      <c r="F13" s="465">
        <v>1385</v>
      </c>
      <c r="G13" s="466">
        <v>76.900000000000006</v>
      </c>
      <c r="H13" s="668"/>
      <c r="I13" s="513">
        <f t="shared" si="0"/>
        <v>18</v>
      </c>
      <c r="J13" s="513">
        <f t="shared" si="1"/>
        <v>1271.3368251161357</v>
      </c>
      <c r="K13" s="200">
        <f t="shared" si="2"/>
        <v>70.629823617563105</v>
      </c>
      <c r="L13" s="621"/>
      <c r="M13" s="471">
        <f>RANK(K13, K$7:$K$21)</f>
        <v>8</v>
      </c>
      <c r="N13" s="604"/>
      <c r="O13" s="604"/>
      <c r="P13" s="521">
        <v>18</v>
      </c>
      <c r="Q13" s="182">
        <v>1278.4615384615377</v>
      </c>
      <c r="R13" s="182">
        <v>71.025641025640979</v>
      </c>
      <c r="S13" s="521">
        <f t="shared" si="3"/>
        <v>8</v>
      </c>
      <c r="T13" s="605"/>
      <c r="U13" s="521">
        <v>18</v>
      </c>
      <c r="V13" s="182">
        <v>1251.1999999999991</v>
      </c>
      <c r="W13" s="182">
        <v>69.511111111111063</v>
      </c>
      <c r="X13" s="521">
        <f t="shared" si="5"/>
        <v>8</v>
      </c>
      <c r="Y13" s="605"/>
      <c r="Z13" s="521">
        <v>18</v>
      </c>
      <c r="AA13" s="182">
        <v>1267.3846153846168</v>
      </c>
      <c r="AB13" s="182">
        <v>70.410256410256494</v>
      </c>
      <c r="AC13" s="521">
        <f t="shared" si="7"/>
        <v>8</v>
      </c>
      <c r="AD13" s="605"/>
      <c r="AE13" s="521">
        <v>18</v>
      </c>
      <c r="AF13" s="182">
        <v>1271.3793103448284</v>
      </c>
      <c r="AG13" s="182">
        <v>70.632183908046017</v>
      </c>
      <c r="AH13" s="521">
        <f t="shared" si="9"/>
        <v>7</v>
      </c>
      <c r="AI13" s="605"/>
      <c r="AJ13" s="521">
        <v>18</v>
      </c>
      <c r="AK13" s="182">
        <v>1272.4137931034493</v>
      </c>
      <c r="AL13" s="182">
        <v>70.68965517241385</v>
      </c>
      <c r="AM13" s="521">
        <f t="shared" si="11"/>
        <v>8</v>
      </c>
      <c r="AN13" s="605"/>
      <c r="AO13" s="521">
        <v>18</v>
      </c>
      <c r="AP13" s="182">
        <v>1280.0000000000009</v>
      </c>
      <c r="AQ13" s="182">
        <v>71.111111111111157</v>
      </c>
      <c r="AR13" s="521">
        <f t="shared" si="13"/>
        <v>7</v>
      </c>
      <c r="AS13" s="605"/>
      <c r="AT13" s="521">
        <v>18</v>
      </c>
      <c r="AU13" s="182">
        <v>1278.518518518518</v>
      </c>
      <c r="AV13" s="182">
        <v>71.028806584362115</v>
      </c>
      <c r="AW13" s="521">
        <f t="shared" si="15"/>
        <v>6</v>
      </c>
      <c r="AX13" s="605"/>
      <c r="AZ13" s="521" t="e">
        <f t="shared" si="17"/>
        <v>#N/A</v>
      </c>
      <c r="BA13" s="605"/>
    </row>
    <row r="14" spans="1:53" ht="14.25">
      <c r="A14" s="81"/>
      <c r="B14" s="610"/>
      <c r="C14" s="465">
        <v>8</v>
      </c>
      <c r="D14" s="226" t="s">
        <v>581</v>
      </c>
      <c r="E14" s="182">
        <v>18</v>
      </c>
      <c r="F14" s="465">
        <v>1385</v>
      </c>
      <c r="G14" s="466">
        <v>76.900000000000006</v>
      </c>
      <c r="H14" s="668"/>
      <c r="I14" s="513">
        <f t="shared" si="0"/>
        <v>18</v>
      </c>
      <c r="J14" s="513">
        <f t="shared" si="1"/>
        <v>1234.1550443355864</v>
      </c>
      <c r="K14" s="200">
        <f t="shared" si="2"/>
        <v>68.564169129754802</v>
      </c>
      <c r="L14" s="621"/>
      <c r="M14" s="471">
        <f>RANK(K14, K$7:$K$21)</f>
        <v>10</v>
      </c>
      <c r="N14" s="604"/>
      <c r="O14" s="604"/>
      <c r="P14" s="521">
        <v>18</v>
      </c>
      <c r="Q14" s="182">
        <v>1280.7692307692314</v>
      </c>
      <c r="R14" s="182">
        <v>71.153846153846189</v>
      </c>
      <c r="S14" s="521">
        <f t="shared" si="3"/>
        <v>7</v>
      </c>
      <c r="T14" s="605"/>
      <c r="U14" s="521">
        <v>18</v>
      </c>
      <c r="V14" s="182">
        <v>1223.2653061224491</v>
      </c>
      <c r="W14" s="182">
        <v>67.959183673469397</v>
      </c>
      <c r="X14" s="521">
        <f t="shared" si="5"/>
        <v>10</v>
      </c>
      <c r="Y14" s="605"/>
      <c r="Z14" s="521">
        <v>18</v>
      </c>
      <c r="AA14" s="182">
        <v>1220.9302325581393</v>
      </c>
      <c r="AB14" s="182">
        <v>67.829457364341067</v>
      </c>
      <c r="AC14" s="521">
        <f t="shared" si="7"/>
        <v>10</v>
      </c>
      <c r="AD14" s="605"/>
      <c r="AE14" s="521">
        <v>18</v>
      </c>
      <c r="AF14" s="182">
        <v>1214.6341463414628</v>
      </c>
      <c r="AG14" s="182">
        <v>67.479674796747929</v>
      </c>
      <c r="AH14" s="521">
        <f t="shared" si="9"/>
        <v>10</v>
      </c>
      <c r="AI14" s="605"/>
      <c r="AJ14" s="521">
        <v>18</v>
      </c>
      <c r="AK14" s="182">
        <v>1221.3333333333333</v>
      </c>
      <c r="AL14" s="182">
        <v>67.851851851851848</v>
      </c>
      <c r="AM14" s="521">
        <f t="shared" si="11"/>
        <v>10</v>
      </c>
      <c r="AN14" s="605"/>
      <c r="AO14" s="521">
        <v>18</v>
      </c>
      <c r="AP14" s="182">
        <v>1225.4999999999995</v>
      </c>
      <c r="AQ14" s="182">
        <v>68.083333333333314</v>
      </c>
      <c r="AR14" s="521">
        <f t="shared" si="13"/>
        <v>10</v>
      </c>
      <c r="AS14" s="605"/>
      <c r="AT14" s="521">
        <v>18</v>
      </c>
      <c r="AU14" s="182">
        <v>1252.6530612244901</v>
      </c>
      <c r="AV14" s="182">
        <v>69.591836734693899</v>
      </c>
      <c r="AW14" s="521">
        <f t="shared" si="15"/>
        <v>8</v>
      </c>
      <c r="AX14" s="605"/>
      <c r="AZ14" s="521" t="e">
        <f t="shared" si="17"/>
        <v>#N/A</v>
      </c>
      <c r="BA14" s="605"/>
    </row>
    <row r="15" spans="1:53" ht="14.25">
      <c r="A15" s="81"/>
      <c r="B15" s="610"/>
      <c r="C15" s="465">
        <v>9</v>
      </c>
      <c r="D15" s="226" t="s">
        <v>643</v>
      </c>
      <c r="E15" s="182">
        <v>16</v>
      </c>
      <c r="F15" s="465">
        <v>1440</v>
      </c>
      <c r="G15" s="466">
        <v>90</v>
      </c>
      <c r="H15" s="668"/>
      <c r="I15" s="513">
        <f t="shared" si="0"/>
        <v>16</v>
      </c>
      <c r="J15" s="513">
        <f t="shared" si="1"/>
        <v>1345.2874378167812</v>
      </c>
      <c r="K15" s="200">
        <f t="shared" si="2"/>
        <v>84.080464863548826</v>
      </c>
      <c r="L15" s="621"/>
      <c r="M15" s="471">
        <f>RANK(K15, K$7:$K$21)</f>
        <v>1</v>
      </c>
      <c r="N15" s="604"/>
      <c r="O15" s="604"/>
      <c r="P15" s="521">
        <v>16</v>
      </c>
      <c r="Q15" s="182">
        <v>1341.3913043478253</v>
      </c>
      <c r="R15" s="182">
        <v>83.836956521739083</v>
      </c>
      <c r="S15" s="521">
        <f t="shared" si="3"/>
        <v>1</v>
      </c>
      <c r="T15" s="605"/>
      <c r="U15" s="521">
        <v>16</v>
      </c>
      <c r="V15" s="182">
        <v>1354.2857142857151</v>
      </c>
      <c r="W15" s="182">
        <v>84.642857142857196</v>
      </c>
      <c r="X15" s="521">
        <f t="shared" si="5"/>
        <v>1</v>
      </c>
      <c r="Y15" s="605"/>
      <c r="Z15" s="521">
        <v>16</v>
      </c>
      <c r="AA15" s="182">
        <v>1335.882352941177</v>
      </c>
      <c r="AB15" s="182">
        <v>83.492647058823565</v>
      </c>
      <c r="AC15" s="521">
        <f t="shared" si="7"/>
        <v>1</v>
      </c>
      <c r="AD15" s="605"/>
      <c r="AE15" s="521">
        <v>16</v>
      </c>
      <c r="AF15" s="182">
        <v>1343.5443037974678</v>
      </c>
      <c r="AG15" s="182">
        <v>83.971518987341739</v>
      </c>
      <c r="AH15" s="521">
        <f t="shared" si="9"/>
        <v>1</v>
      </c>
      <c r="AI15" s="605"/>
      <c r="AJ15" s="521">
        <v>16</v>
      </c>
      <c r="AK15" s="182">
        <v>1355.3333333333333</v>
      </c>
      <c r="AL15" s="182">
        <v>84.708333333333329</v>
      </c>
      <c r="AM15" s="521">
        <f t="shared" si="11"/>
        <v>1</v>
      </c>
      <c r="AN15" s="605"/>
      <c r="AO15" s="521">
        <v>16</v>
      </c>
      <c r="AP15" s="182">
        <v>1339.805825242719</v>
      </c>
      <c r="AQ15" s="182">
        <v>83.73786407766994</v>
      </c>
      <c r="AR15" s="521">
        <f t="shared" si="13"/>
        <v>1</v>
      </c>
      <c r="AS15" s="605"/>
      <c r="AT15" s="521">
        <v>16</v>
      </c>
      <c r="AU15" s="182">
        <v>1346.7692307692305</v>
      </c>
      <c r="AV15" s="182">
        <v>84.173076923076906</v>
      </c>
      <c r="AW15" s="521">
        <f t="shared" si="15"/>
        <v>1</v>
      </c>
      <c r="AX15" s="605"/>
      <c r="AZ15" s="521" t="e">
        <f t="shared" si="17"/>
        <v>#N/A</v>
      </c>
      <c r="BA15" s="605"/>
    </row>
    <row r="16" spans="1:53" ht="14.25">
      <c r="A16" s="81"/>
      <c r="B16" s="610"/>
      <c r="C16" s="465">
        <v>10</v>
      </c>
      <c r="D16" s="226" t="s">
        <v>764</v>
      </c>
      <c r="E16" s="182">
        <v>19</v>
      </c>
      <c r="F16" s="465">
        <v>1440</v>
      </c>
      <c r="G16" s="466">
        <v>75.8</v>
      </c>
      <c r="H16" s="668"/>
      <c r="I16" s="513">
        <f t="shared" si="0"/>
        <v>18.857142857142858</v>
      </c>
      <c r="J16" s="513">
        <f t="shared" si="1"/>
        <v>1317.8647496233921</v>
      </c>
      <c r="K16" s="200">
        <f t="shared" si="2"/>
        <v>69.891438928158237</v>
      </c>
      <c r="L16" s="621"/>
      <c r="M16" s="471">
        <f>RANK(K16, K$7:$K$21)</f>
        <v>9</v>
      </c>
      <c r="N16" s="604"/>
      <c r="O16" s="604"/>
      <c r="P16" s="521">
        <v>18</v>
      </c>
      <c r="Q16" s="182">
        <v>1269.1463414634143</v>
      </c>
      <c r="R16" s="182">
        <v>70.508130081300791</v>
      </c>
      <c r="S16" s="521">
        <f t="shared" si="3"/>
        <v>9</v>
      </c>
      <c r="T16" s="605"/>
      <c r="U16" s="521">
        <v>19</v>
      </c>
      <c r="V16" s="182">
        <v>1316.6854838709683</v>
      </c>
      <c r="W16" s="182">
        <v>69.299235993208853</v>
      </c>
      <c r="X16" s="521">
        <f t="shared" si="5"/>
        <v>9</v>
      </c>
      <c r="Y16" s="605"/>
      <c r="Z16" s="521">
        <v>19</v>
      </c>
      <c r="AA16" s="182">
        <v>1315.0052631578947</v>
      </c>
      <c r="AB16" s="182">
        <v>69.210803324099714</v>
      </c>
      <c r="AC16" s="521">
        <f t="shared" si="7"/>
        <v>9</v>
      </c>
      <c r="AD16" s="605"/>
      <c r="AE16" s="521">
        <v>19</v>
      </c>
      <c r="AF16" s="182">
        <v>1330.4936170212768</v>
      </c>
      <c r="AG16" s="182">
        <v>70.025979843225102</v>
      </c>
      <c r="AH16" s="521">
        <f t="shared" si="9"/>
        <v>8</v>
      </c>
      <c r="AI16" s="605"/>
      <c r="AJ16" s="521">
        <v>19</v>
      </c>
      <c r="AK16" s="182">
        <v>1323.8140127388535</v>
      </c>
      <c r="AL16" s="182">
        <v>69.674421723097552</v>
      </c>
      <c r="AM16" s="521">
        <f t="shared" si="11"/>
        <v>9</v>
      </c>
      <c r="AN16" s="605"/>
      <c r="AO16" s="521">
        <v>19</v>
      </c>
      <c r="AP16" s="182">
        <v>1349.0494382022466</v>
      </c>
      <c r="AQ16" s="182">
        <v>71.002602010644566</v>
      </c>
      <c r="AR16" s="521">
        <f t="shared" si="13"/>
        <v>8</v>
      </c>
      <c r="AS16" s="605"/>
      <c r="AT16" s="521">
        <v>19</v>
      </c>
      <c r="AU16" s="182">
        <v>1320.8590909090908</v>
      </c>
      <c r="AV16" s="182">
        <v>69.518899521531097</v>
      </c>
      <c r="AW16" s="521">
        <f t="shared" si="15"/>
        <v>10</v>
      </c>
      <c r="AX16" s="605"/>
      <c r="AZ16" s="521" t="e">
        <f t="shared" si="17"/>
        <v>#N/A</v>
      </c>
      <c r="BA16" s="605"/>
    </row>
    <row r="17" spans="2:53">
      <c r="B17" s="610"/>
      <c r="C17" s="465">
        <v>11</v>
      </c>
      <c r="D17" s="226" t="s">
        <v>817</v>
      </c>
      <c r="E17" s="182">
        <v>19</v>
      </c>
      <c r="F17" s="465">
        <v>1440</v>
      </c>
      <c r="G17" s="466">
        <v>75.8</v>
      </c>
      <c r="H17" s="668"/>
      <c r="I17" s="513">
        <f t="shared" si="0"/>
        <v>18.285714285714285</v>
      </c>
      <c r="J17" s="513">
        <f t="shared" si="1"/>
        <v>1323.7968409665307</v>
      </c>
      <c r="K17" s="200">
        <f t="shared" si="2"/>
        <v>72.446289685137842</v>
      </c>
      <c r="L17" s="621"/>
      <c r="M17" s="471">
        <f>RANK(K17, K$7:$K$21)</f>
        <v>5</v>
      </c>
      <c r="N17" s="604"/>
      <c r="O17" s="604"/>
      <c r="P17" s="521">
        <v>19</v>
      </c>
      <c r="Q17" s="182">
        <v>1291.0866141732279</v>
      </c>
      <c r="R17" s="182">
        <v>67.951927061748833</v>
      </c>
      <c r="S17" s="521">
        <f t="shared" si="3"/>
        <v>10</v>
      </c>
      <c r="T17" s="605"/>
      <c r="U17" s="521">
        <v>19</v>
      </c>
      <c r="V17" s="182">
        <v>1337.4757281553402</v>
      </c>
      <c r="W17" s="182">
        <v>70.393459376596851</v>
      </c>
      <c r="X17" s="521">
        <f t="shared" si="5"/>
        <v>7</v>
      </c>
      <c r="Y17" s="605"/>
      <c r="Z17" s="521">
        <v>18</v>
      </c>
      <c r="AA17" s="182">
        <v>1331.4531645569612</v>
      </c>
      <c r="AB17" s="182">
        <v>73.969620253164507</v>
      </c>
      <c r="AC17" s="521">
        <f t="shared" si="7"/>
        <v>5</v>
      </c>
      <c r="AD17" s="605"/>
      <c r="AE17" s="521">
        <v>18</v>
      </c>
      <c r="AF17" s="182">
        <v>1314.0214285714296</v>
      </c>
      <c r="AG17" s="182">
        <v>73.00119047619053</v>
      </c>
      <c r="AH17" s="521">
        <f t="shared" si="9"/>
        <v>5</v>
      </c>
      <c r="AI17" s="605"/>
      <c r="AJ17" s="521">
        <v>18</v>
      </c>
      <c r="AK17" s="182">
        <v>1328.1818181818196</v>
      </c>
      <c r="AL17" s="182">
        <v>73.787878787878867</v>
      </c>
      <c r="AM17" s="521">
        <f t="shared" si="11"/>
        <v>5</v>
      </c>
      <c r="AN17" s="605"/>
      <c r="AO17" s="521">
        <v>18</v>
      </c>
      <c r="AP17" s="182">
        <v>1314.9473684210529</v>
      </c>
      <c r="AQ17" s="182">
        <v>73.052631578947384</v>
      </c>
      <c r="AR17" s="521">
        <f t="shared" si="13"/>
        <v>5</v>
      </c>
      <c r="AS17" s="605"/>
      <c r="AT17" s="521">
        <v>18</v>
      </c>
      <c r="AU17" s="182">
        <v>1349.4117647058829</v>
      </c>
      <c r="AV17" s="182">
        <v>74.967320261437933</v>
      </c>
      <c r="AW17" s="521">
        <f t="shared" si="15"/>
        <v>5</v>
      </c>
      <c r="AX17" s="605"/>
      <c r="AZ17" s="521" t="e">
        <f t="shared" si="17"/>
        <v>#N/A</v>
      </c>
      <c r="BA17" s="605"/>
    </row>
    <row r="18" spans="2:53">
      <c r="B18" s="610"/>
      <c r="C18" s="465">
        <v>12</v>
      </c>
      <c r="D18" s="226"/>
      <c r="E18" s="182"/>
      <c r="F18" s="465"/>
      <c r="G18" s="466"/>
      <c r="H18" s="668"/>
      <c r="I18" s="513" t="str">
        <f t="shared" si="0"/>
        <v>-</v>
      </c>
      <c r="J18" s="513" t="str">
        <f t="shared" si="1"/>
        <v>-</v>
      </c>
      <c r="K18" s="200" t="str">
        <f t="shared" si="2"/>
        <v>-</v>
      </c>
      <c r="L18" s="621"/>
      <c r="M18" s="471" t="e">
        <f>RANK(K18, K$7:$K$21)</f>
        <v>#VALUE!</v>
      </c>
      <c r="N18" s="604"/>
      <c r="O18" s="604"/>
      <c r="P18" s="521" t="s">
        <v>822</v>
      </c>
      <c r="Q18" s="182" t="s">
        <v>822</v>
      </c>
      <c r="R18" s="182" t="s">
        <v>822</v>
      </c>
      <c r="S18" s="521" t="e">
        <f t="shared" si="3"/>
        <v>#VALUE!</v>
      </c>
      <c r="T18" s="605"/>
      <c r="U18" s="521" t="s">
        <v>822</v>
      </c>
      <c r="V18" s="182" t="s">
        <v>822</v>
      </c>
      <c r="W18" s="182" t="s">
        <v>822</v>
      </c>
      <c r="X18" s="521" t="e">
        <f t="shared" si="5"/>
        <v>#VALUE!</v>
      </c>
      <c r="Y18" s="605"/>
      <c r="Z18" s="521" t="s">
        <v>822</v>
      </c>
      <c r="AA18" s="182" t="s">
        <v>822</v>
      </c>
      <c r="AB18" s="182" t="s">
        <v>822</v>
      </c>
      <c r="AC18" s="521" t="e">
        <f t="shared" si="7"/>
        <v>#VALUE!</v>
      </c>
      <c r="AD18" s="605"/>
      <c r="AE18" s="521" t="s">
        <v>822</v>
      </c>
      <c r="AF18" s="182" t="s">
        <v>822</v>
      </c>
      <c r="AG18" s="182" t="s">
        <v>822</v>
      </c>
      <c r="AH18" s="521" t="e">
        <f t="shared" si="9"/>
        <v>#VALUE!</v>
      </c>
      <c r="AI18" s="605"/>
      <c r="AJ18" s="521" t="s">
        <v>822</v>
      </c>
      <c r="AK18" s="182" t="s">
        <v>822</v>
      </c>
      <c r="AL18" s="182" t="s">
        <v>822</v>
      </c>
      <c r="AM18" s="521" t="e">
        <f t="shared" si="11"/>
        <v>#VALUE!</v>
      </c>
      <c r="AN18" s="605"/>
      <c r="AO18" s="521" t="s">
        <v>822</v>
      </c>
      <c r="AP18" s="182" t="s">
        <v>822</v>
      </c>
      <c r="AQ18" s="182" t="s">
        <v>822</v>
      </c>
      <c r="AR18" s="521" t="e">
        <f t="shared" si="13"/>
        <v>#VALUE!</v>
      </c>
      <c r="AS18" s="605"/>
      <c r="AT18" s="521" t="s">
        <v>822</v>
      </c>
      <c r="AU18" s="182" t="s">
        <v>822</v>
      </c>
      <c r="AV18" s="182" t="s">
        <v>822</v>
      </c>
      <c r="AW18" s="521" t="e">
        <f t="shared" si="15"/>
        <v>#VALUE!</v>
      </c>
      <c r="AX18" s="605"/>
      <c r="AZ18" s="521" t="e">
        <f t="shared" si="17"/>
        <v>#N/A</v>
      </c>
      <c r="BA18" s="605"/>
    </row>
    <row r="19" spans="2:53">
      <c r="B19" s="610"/>
      <c r="C19" s="465">
        <v>13</v>
      </c>
      <c r="D19" s="226"/>
      <c r="E19" s="182"/>
      <c r="F19" s="465"/>
      <c r="G19" s="466"/>
      <c r="H19" s="668"/>
      <c r="I19" s="513" t="str">
        <f t="shared" si="0"/>
        <v>-</v>
      </c>
      <c r="J19" s="513" t="str">
        <f t="shared" si="1"/>
        <v>-</v>
      </c>
      <c r="K19" s="200" t="str">
        <f t="shared" si="2"/>
        <v>-</v>
      </c>
      <c r="L19" s="621"/>
      <c r="M19" s="471" t="e">
        <f>RANK(K19, K$7:$K$21)</f>
        <v>#VALUE!</v>
      </c>
      <c r="N19" s="604"/>
      <c r="O19" s="604"/>
      <c r="P19" s="521" t="s">
        <v>822</v>
      </c>
      <c r="Q19" s="182" t="s">
        <v>822</v>
      </c>
      <c r="R19" s="182" t="s">
        <v>822</v>
      </c>
      <c r="S19" s="521" t="e">
        <f t="shared" si="3"/>
        <v>#VALUE!</v>
      </c>
      <c r="T19" s="605"/>
      <c r="U19" s="521" t="s">
        <v>822</v>
      </c>
      <c r="V19" s="182" t="s">
        <v>822</v>
      </c>
      <c r="W19" s="182" t="s">
        <v>822</v>
      </c>
      <c r="X19" s="521" t="e">
        <f t="shared" si="5"/>
        <v>#VALUE!</v>
      </c>
      <c r="Y19" s="605"/>
      <c r="Z19" s="521" t="s">
        <v>822</v>
      </c>
      <c r="AA19" s="182" t="s">
        <v>822</v>
      </c>
      <c r="AB19" s="182" t="s">
        <v>822</v>
      </c>
      <c r="AC19" s="521" t="e">
        <f t="shared" si="7"/>
        <v>#VALUE!</v>
      </c>
      <c r="AD19" s="605"/>
      <c r="AE19" s="521" t="s">
        <v>822</v>
      </c>
      <c r="AF19" s="182" t="s">
        <v>822</v>
      </c>
      <c r="AG19" s="182" t="s">
        <v>822</v>
      </c>
      <c r="AH19" s="521" t="e">
        <f t="shared" si="9"/>
        <v>#VALUE!</v>
      </c>
      <c r="AI19" s="605"/>
      <c r="AJ19" s="521" t="s">
        <v>822</v>
      </c>
      <c r="AK19" s="182" t="s">
        <v>822</v>
      </c>
      <c r="AL19" s="182" t="s">
        <v>822</v>
      </c>
      <c r="AM19" s="521" t="e">
        <f t="shared" si="11"/>
        <v>#VALUE!</v>
      </c>
      <c r="AN19" s="605"/>
      <c r="AO19" s="521" t="s">
        <v>822</v>
      </c>
      <c r="AP19" s="182" t="s">
        <v>822</v>
      </c>
      <c r="AQ19" s="182" t="s">
        <v>822</v>
      </c>
      <c r="AR19" s="521" t="e">
        <f t="shared" si="13"/>
        <v>#VALUE!</v>
      </c>
      <c r="AS19" s="605"/>
      <c r="AT19" s="521" t="s">
        <v>822</v>
      </c>
      <c r="AU19" s="182" t="s">
        <v>822</v>
      </c>
      <c r="AV19" s="182" t="s">
        <v>822</v>
      </c>
      <c r="AW19" s="521" t="e">
        <f t="shared" si="15"/>
        <v>#VALUE!</v>
      </c>
      <c r="AX19" s="605"/>
      <c r="AZ19" s="521" t="e">
        <f t="shared" si="17"/>
        <v>#N/A</v>
      </c>
      <c r="BA19" s="605"/>
    </row>
    <row r="20" spans="2:53">
      <c r="B20" s="610"/>
      <c r="C20" s="465">
        <v>14</v>
      </c>
      <c r="D20" s="226"/>
      <c r="E20" s="182"/>
      <c r="F20" s="465"/>
      <c r="G20" s="466"/>
      <c r="H20" s="668"/>
      <c r="I20" s="513" t="str">
        <f t="shared" si="0"/>
        <v>-</v>
      </c>
      <c r="J20" s="513" t="str">
        <f t="shared" si="1"/>
        <v>-</v>
      </c>
      <c r="K20" s="200" t="str">
        <f t="shared" si="2"/>
        <v>-</v>
      </c>
      <c r="L20" s="621"/>
      <c r="M20" s="471" t="e">
        <f>RANK(K20, K$7:$K$21)</f>
        <v>#VALUE!</v>
      </c>
      <c r="N20" s="604"/>
      <c r="O20" s="604"/>
      <c r="P20" s="521" t="s">
        <v>822</v>
      </c>
      <c r="Q20" s="182" t="s">
        <v>822</v>
      </c>
      <c r="R20" s="182" t="s">
        <v>822</v>
      </c>
      <c r="S20" s="521" t="e">
        <f t="shared" si="3"/>
        <v>#VALUE!</v>
      </c>
      <c r="T20" s="605"/>
      <c r="U20" s="521" t="s">
        <v>822</v>
      </c>
      <c r="V20" s="182" t="s">
        <v>822</v>
      </c>
      <c r="W20" s="182" t="s">
        <v>822</v>
      </c>
      <c r="X20" s="521" t="e">
        <f t="shared" si="5"/>
        <v>#VALUE!</v>
      </c>
      <c r="Y20" s="605"/>
      <c r="Z20" s="521" t="s">
        <v>822</v>
      </c>
      <c r="AA20" s="182" t="s">
        <v>822</v>
      </c>
      <c r="AB20" s="182" t="s">
        <v>822</v>
      </c>
      <c r="AC20" s="521" t="e">
        <f t="shared" si="7"/>
        <v>#VALUE!</v>
      </c>
      <c r="AD20" s="605"/>
      <c r="AE20" s="521" t="s">
        <v>822</v>
      </c>
      <c r="AF20" s="182" t="s">
        <v>822</v>
      </c>
      <c r="AG20" s="182" t="s">
        <v>822</v>
      </c>
      <c r="AH20" s="521" t="e">
        <f t="shared" si="9"/>
        <v>#VALUE!</v>
      </c>
      <c r="AI20" s="605"/>
      <c r="AJ20" s="521" t="s">
        <v>822</v>
      </c>
      <c r="AK20" s="182" t="s">
        <v>822</v>
      </c>
      <c r="AL20" s="182" t="s">
        <v>822</v>
      </c>
      <c r="AM20" s="521" t="e">
        <f t="shared" si="11"/>
        <v>#VALUE!</v>
      </c>
      <c r="AN20" s="605"/>
      <c r="AO20" s="521" t="s">
        <v>822</v>
      </c>
      <c r="AP20" s="182" t="s">
        <v>822</v>
      </c>
      <c r="AQ20" s="182" t="s">
        <v>822</v>
      </c>
      <c r="AR20" s="521" t="e">
        <f t="shared" si="13"/>
        <v>#VALUE!</v>
      </c>
      <c r="AS20" s="605"/>
      <c r="AT20" s="521" t="s">
        <v>822</v>
      </c>
      <c r="AU20" s="182" t="s">
        <v>822</v>
      </c>
      <c r="AV20" s="182" t="s">
        <v>822</v>
      </c>
      <c r="AW20" s="521" t="e">
        <f t="shared" si="15"/>
        <v>#VALUE!</v>
      </c>
      <c r="AX20" s="605"/>
      <c r="AZ20" s="521" t="e">
        <f t="shared" si="17"/>
        <v>#N/A</v>
      </c>
      <c r="BA20" s="605"/>
    </row>
    <row r="21" spans="2:53">
      <c r="B21" s="610"/>
      <c r="C21" s="465">
        <v>15</v>
      </c>
      <c r="D21" s="226"/>
      <c r="E21" s="182"/>
      <c r="F21" s="465"/>
      <c r="G21" s="466"/>
      <c r="H21" s="669"/>
      <c r="I21" s="202"/>
      <c r="J21" s="202"/>
      <c r="K21" s="202"/>
      <c r="L21" s="622"/>
      <c r="M21" s="471" t="e">
        <f>RANK(K21, K$7:$K$21)</f>
        <v>#N/A</v>
      </c>
      <c r="N21" s="604"/>
      <c r="O21" s="604"/>
      <c r="P21" s="521" t="s">
        <v>822</v>
      </c>
      <c r="Q21" s="182" t="s">
        <v>822</v>
      </c>
      <c r="R21" s="182" t="s">
        <v>822</v>
      </c>
      <c r="S21" s="521" t="e">
        <f t="shared" si="3"/>
        <v>#VALUE!</v>
      </c>
      <c r="T21" s="605"/>
      <c r="U21" s="521" t="s">
        <v>822</v>
      </c>
      <c r="V21" s="182" t="s">
        <v>822</v>
      </c>
      <c r="W21" s="182" t="s">
        <v>822</v>
      </c>
      <c r="X21" s="521" t="e">
        <f t="shared" si="5"/>
        <v>#VALUE!</v>
      </c>
      <c r="Y21" s="605"/>
      <c r="Z21" s="521" t="s">
        <v>822</v>
      </c>
      <c r="AA21" s="182" t="s">
        <v>822</v>
      </c>
      <c r="AB21" s="182" t="s">
        <v>822</v>
      </c>
      <c r="AC21" s="521" t="e">
        <f t="shared" si="7"/>
        <v>#VALUE!</v>
      </c>
      <c r="AD21" s="605"/>
      <c r="AE21" s="521" t="s">
        <v>822</v>
      </c>
      <c r="AF21" s="182" t="s">
        <v>822</v>
      </c>
      <c r="AG21" s="182" t="s">
        <v>822</v>
      </c>
      <c r="AH21" s="521" t="e">
        <f t="shared" si="9"/>
        <v>#VALUE!</v>
      </c>
      <c r="AI21" s="605"/>
      <c r="AJ21" s="521" t="s">
        <v>822</v>
      </c>
      <c r="AK21" s="182" t="s">
        <v>822</v>
      </c>
      <c r="AL21" s="182" t="s">
        <v>822</v>
      </c>
      <c r="AM21" s="521" t="e">
        <f t="shared" si="11"/>
        <v>#VALUE!</v>
      </c>
      <c r="AN21" s="605"/>
      <c r="AO21" s="521" t="s">
        <v>822</v>
      </c>
      <c r="AP21" s="182" t="s">
        <v>822</v>
      </c>
      <c r="AQ21" s="182" t="s">
        <v>822</v>
      </c>
      <c r="AR21" s="521" t="e">
        <f t="shared" si="13"/>
        <v>#VALUE!</v>
      </c>
      <c r="AS21" s="605"/>
      <c r="AT21" s="521" t="s">
        <v>822</v>
      </c>
      <c r="AU21" s="182" t="s">
        <v>822</v>
      </c>
      <c r="AV21" s="182" t="s">
        <v>822</v>
      </c>
      <c r="AW21" s="521" t="e">
        <f t="shared" si="15"/>
        <v>#VALUE!</v>
      </c>
      <c r="AX21" s="605"/>
      <c r="AZ21" s="521" t="e">
        <f t="shared" si="17"/>
        <v>#N/A</v>
      </c>
      <c r="BA21" s="605"/>
    </row>
    <row r="22" spans="2:53" ht="15.75">
      <c r="B22" s="648" t="s">
        <v>163</v>
      </c>
      <c r="C22" s="649"/>
      <c r="D22" s="649"/>
      <c r="E22" s="649"/>
      <c r="F22" s="649"/>
      <c r="G22" s="649"/>
      <c r="H22" s="649"/>
      <c r="I22" s="203"/>
      <c r="J22" s="203"/>
      <c r="K22" s="203"/>
      <c r="L22" s="203"/>
      <c r="M22" s="204"/>
      <c r="N22" s="606" t="s">
        <v>156</v>
      </c>
      <c r="O22" s="606" t="s">
        <v>105</v>
      </c>
      <c r="P22" s="632">
        <f>P2+7</f>
        <v>46119</v>
      </c>
      <c r="Q22" s="610"/>
      <c r="R22" s="610"/>
      <c r="S22" s="610"/>
      <c r="T22" s="610"/>
      <c r="U22" s="629">
        <f>P22+1</f>
        <v>46120</v>
      </c>
      <c r="V22" s="630"/>
      <c r="W22" s="630"/>
      <c r="X22" s="630"/>
      <c r="Y22" s="631"/>
      <c r="Z22" s="629">
        <f>U22+1</f>
        <v>46121</v>
      </c>
      <c r="AA22" s="630"/>
      <c r="AB22" s="630"/>
      <c r="AC22" s="630"/>
      <c r="AD22" s="631"/>
      <c r="AE22" s="629">
        <f>Z22+1</f>
        <v>46122</v>
      </c>
      <c r="AF22" s="630"/>
      <c r="AG22" s="630"/>
      <c r="AH22" s="630"/>
      <c r="AI22" s="631"/>
      <c r="AJ22" s="629">
        <f>AE22+1</f>
        <v>46123</v>
      </c>
      <c r="AK22" s="630"/>
      <c r="AL22" s="630"/>
      <c r="AM22" s="630"/>
      <c r="AN22" s="631"/>
      <c r="AO22" s="629">
        <f>AJ22+1</f>
        <v>46124</v>
      </c>
      <c r="AP22" s="630"/>
      <c r="AQ22" s="630"/>
      <c r="AR22" s="630"/>
      <c r="AS22" s="631"/>
      <c r="AT22" s="629">
        <f>AO22+1</f>
        <v>46125</v>
      </c>
      <c r="AU22" s="630"/>
      <c r="AV22" s="630"/>
      <c r="AW22" s="630"/>
      <c r="AX22" s="631"/>
    </row>
    <row r="23" spans="2:53" ht="15.75">
      <c r="B23" s="636"/>
      <c r="C23" s="636"/>
      <c r="D23" s="636"/>
      <c r="E23" s="636"/>
      <c r="F23" s="636"/>
      <c r="G23" s="636"/>
      <c r="H23" s="636"/>
      <c r="I23" s="205"/>
      <c r="J23" s="205"/>
      <c r="K23" s="205"/>
      <c r="L23" s="205"/>
      <c r="M23" s="206"/>
      <c r="N23" s="608"/>
      <c r="O23" s="608"/>
      <c r="P23" s="632" t="s">
        <v>336</v>
      </c>
      <c r="Q23" s="610"/>
      <c r="R23" s="610"/>
      <c r="S23" s="610"/>
      <c r="T23" s="610"/>
      <c r="U23" s="632" t="s">
        <v>337</v>
      </c>
      <c r="V23" s="610"/>
      <c r="W23" s="610"/>
      <c r="X23" s="610"/>
      <c r="Y23" s="610"/>
      <c r="Z23" s="632" t="s">
        <v>338</v>
      </c>
      <c r="AA23" s="610"/>
      <c r="AB23" s="610"/>
      <c r="AC23" s="610"/>
      <c r="AD23" s="610"/>
      <c r="AE23" s="632" t="s">
        <v>339</v>
      </c>
      <c r="AF23" s="610"/>
      <c r="AG23" s="610"/>
      <c r="AH23" s="610"/>
      <c r="AI23" s="610"/>
      <c r="AJ23" s="632" t="s">
        <v>340</v>
      </c>
      <c r="AK23" s="610"/>
      <c r="AL23" s="610"/>
      <c r="AM23" s="610"/>
      <c r="AN23" s="610"/>
      <c r="AO23" s="632" t="s">
        <v>341</v>
      </c>
      <c r="AP23" s="610"/>
      <c r="AQ23" s="610"/>
      <c r="AR23" s="610"/>
      <c r="AS23" s="610"/>
      <c r="AT23" s="632" t="s">
        <v>342</v>
      </c>
      <c r="AU23" s="610"/>
      <c r="AV23" s="610"/>
      <c r="AW23" s="610"/>
      <c r="AX23" s="610"/>
    </row>
    <row r="24" spans="2:53">
      <c r="B24" s="604" t="s">
        <v>154</v>
      </c>
      <c r="C24" s="604" t="s">
        <v>408</v>
      </c>
      <c r="D24" s="604"/>
      <c r="E24" s="604" t="s">
        <v>481</v>
      </c>
      <c r="F24" s="604"/>
      <c r="G24" s="604"/>
      <c r="H24" s="637" t="s">
        <v>395</v>
      </c>
      <c r="I24" s="656" t="s">
        <v>482</v>
      </c>
      <c r="J24" s="656"/>
      <c r="K24" s="656"/>
      <c r="L24" s="657" t="s">
        <v>395</v>
      </c>
      <c r="M24" s="642" t="s">
        <v>396</v>
      </c>
      <c r="N24" s="604"/>
      <c r="O24" s="604" t="s">
        <v>483</v>
      </c>
      <c r="P24" s="623" t="s">
        <v>484</v>
      </c>
      <c r="Q24" s="624"/>
      <c r="R24" s="624"/>
      <c r="S24" s="625"/>
      <c r="T24" s="604" t="s">
        <v>485</v>
      </c>
      <c r="U24" s="623" t="s">
        <v>484</v>
      </c>
      <c r="V24" s="624"/>
      <c r="W24" s="624"/>
      <c r="X24" s="625"/>
      <c r="Y24" s="604" t="s">
        <v>485</v>
      </c>
      <c r="Z24" s="623" t="s">
        <v>484</v>
      </c>
      <c r="AA24" s="624"/>
      <c r="AB24" s="624"/>
      <c r="AC24" s="625"/>
      <c r="AD24" s="604" t="s">
        <v>486</v>
      </c>
      <c r="AE24" s="623" t="s">
        <v>484</v>
      </c>
      <c r="AF24" s="624"/>
      <c r="AG24" s="624"/>
      <c r="AH24" s="625"/>
      <c r="AI24" s="604" t="s">
        <v>486</v>
      </c>
      <c r="AJ24" s="623" t="s">
        <v>397</v>
      </c>
      <c r="AK24" s="624"/>
      <c r="AL24" s="624"/>
      <c r="AM24" s="625"/>
      <c r="AN24" s="604" t="s">
        <v>486</v>
      </c>
      <c r="AO24" s="623" t="s">
        <v>487</v>
      </c>
      <c r="AP24" s="624"/>
      <c r="AQ24" s="624"/>
      <c r="AR24" s="625"/>
      <c r="AS24" s="604" t="s">
        <v>486</v>
      </c>
      <c r="AT24" s="623" t="s">
        <v>487</v>
      </c>
      <c r="AU24" s="624"/>
      <c r="AV24" s="624"/>
      <c r="AW24" s="625"/>
      <c r="AX24" s="604" t="s">
        <v>395</v>
      </c>
      <c r="BA24" s="604" t="s">
        <v>395</v>
      </c>
    </row>
    <row r="25" spans="2:53">
      <c r="B25" s="604"/>
      <c r="C25" s="604"/>
      <c r="D25" s="604"/>
      <c r="E25" s="604" t="s">
        <v>488</v>
      </c>
      <c r="F25" s="604"/>
      <c r="G25" s="604"/>
      <c r="H25" s="638"/>
      <c r="I25" s="656" t="s">
        <v>489</v>
      </c>
      <c r="J25" s="656"/>
      <c r="K25" s="656"/>
      <c r="L25" s="658"/>
      <c r="M25" s="643"/>
      <c r="N25" s="604"/>
      <c r="O25" s="604"/>
      <c r="P25" s="623" t="s">
        <v>403</v>
      </c>
      <c r="Q25" s="624"/>
      <c r="R25" s="624"/>
      <c r="S25" s="625"/>
      <c r="T25" s="604"/>
      <c r="U25" s="623" t="s">
        <v>403</v>
      </c>
      <c r="V25" s="624"/>
      <c r="W25" s="624"/>
      <c r="X25" s="625"/>
      <c r="Y25" s="604"/>
      <c r="Z25" s="623" t="s">
        <v>490</v>
      </c>
      <c r="AA25" s="624"/>
      <c r="AB25" s="624"/>
      <c r="AC25" s="625"/>
      <c r="AD25" s="604"/>
      <c r="AE25" s="623" t="s">
        <v>490</v>
      </c>
      <c r="AF25" s="624"/>
      <c r="AG25" s="624"/>
      <c r="AH25" s="625"/>
      <c r="AI25" s="604"/>
      <c r="AJ25" s="623" t="s">
        <v>403</v>
      </c>
      <c r="AK25" s="624"/>
      <c r="AL25" s="624"/>
      <c r="AM25" s="625"/>
      <c r="AN25" s="604"/>
      <c r="AO25" s="623" t="s">
        <v>490</v>
      </c>
      <c r="AP25" s="624"/>
      <c r="AQ25" s="624"/>
      <c r="AR25" s="625"/>
      <c r="AS25" s="604"/>
      <c r="AT25" s="623" t="s">
        <v>491</v>
      </c>
      <c r="AU25" s="624"/>
      <c r="AV25" s="624"/>
      <c r="AW25" s="625"/>
      <c r="AX25" s="604"/>
      <c r="BA25" s="604"/>
    </row>
    <row r="26" spans="2:53">
      <c r="B26" s="604"/>
      <c r="C26" s="604"/>
      <c r="D26" s="604"/>
      <c r="E26" s="316" t="s">
        <v>404</v>
      </c>
      <c r="F26" s="316" t="s">
        <v>405</v>
      </c>
      <c r="G26" s="316" t="s">
        <v>406</v>
      </c>
      <c r="H26" s="639"/>
      <c r="I26" s="315" t="s">
        <v>492</v>
      </c>
      <c r="J26" s="315" t="s">
        <v>405</v>
      </c>
      <c r="K26" s="315" t="s">
        <v>493</v>
      </c>
      <c r="L26" s="659"/>
      <c r="M26" s="644"/>
      <c r="N26" s="604"/>
      <c r="O26" s="604"/>
      <c r="P26" s="316" t="s">
        <v>494</v>
      </c>
      <c r="Q26" s="316" t="s">
        <v>405</v>
      </c>
      <c r="R26" s="316" t="s">
        <v>495</v>
      </c>
      <c r="S26" s="316" t="s">
        <v>496</v>
      </c>
      <c r="T26" s="604"/>
      <c r="U26" s="316" t="s">
        <v>404</v>
      </c>
      <c r="V26" s="316" t="s">
        <v>405</v>
      </c>
      <c r="W26" s="316" t="s">
        <v>406</v>
      </c>
      <c r="X26" s="316" t="s">
        <v>396</v>
      </c>
      <c r="Y26" s="604"/>
      <c r="Z26" s="316" t="s">
        <v>404</v>
      </c>
      <c r="AA26" s="316" t="s">
        <v>497</v>
      </c>
      <c r="AB26" s="316" t="s">
        <v>406</v>
      </c>
      <c r="AC26" s="316" t="s">
        <v>498</v>
      </c>
      <c r="AD26" s="604"/>
      <c r="AE26" s="316" t="s">
        <v>404</v>
      </c>
      <c r="AF26" s="316" t="s">
        <v>405</v>
      </c>
      <c r="AG26" s="316" t="s">
        <v>406</v>
      </c>
      <c r="AH26" s="316" t="s">
        <v>396</v>
      </c>
      <c r="AI26" s="604"/>
      <c r="AJ26" s="316" t="s">
        <v>499</v>
      </c>
      <c r="AK26" s="316" t="s">
        <v>405</v>
      </c>
      <c r="AL26" s="316" t="s">
        <v>495</v>
      </c>
      <c r="AM26" s="316" t="s">
        <v>496</v>
      </c>
      <c r="AN26" s="604"/>
      <c r="AO26" s="316" t="s">
        <v>404</v>
      </c>
      <c r="AP26" s="316" t="s">
        <v>405</v>
      </c>
      <c r="AQ26" s="316" t="s">
        <v>406</v>
      </c>
      <c r="AR26" s="316" t="s">
        <v>396</v>
      </c>
      <c r="AS26" s="604"/>
      <c r="AT26" s="316" t="s">
        <v>404</v>
      </c>
      <c r="AU26" s="316" t="s">
        <v>500</v>
      </c>
      <c r="AV26" s="316" t="s">
        <v>406</v>
      </c>
      <c r="AW26" s="316" t="s">
        <v>396</v>
      </c>
      <c r="AX26" s="604"/>
      <c r="AZ26" s="520" t="s">
        <v>396</v>
      </c>
      <c r="BA26" s="604"/>
    </row>
    <row r="27" spans="2:53">
      <c r="B27" s="604" t="s">
        <v>132</v>
      </c>
      <c r="C27" s="317">
        <v>1</v>
      </c>
      <c r="D27" s="226" t="s">
        <v>371</v>
      </c>
      <c r="E27" s="182">
        <v>18</v>
      </c>
      <c r="F27" s="511">
        <v>1440</v>
      </c>
      <c r="G27" s="512">
        <v>80</v>
      </c>
      <c r="H27" s="667">
        <f>AVERAGE(G27:G41)</f>
        <v>78.772727272727266</v>
      </c>
      <c r="I27" s="513">
        <f t="shared" ref="I27:I40" si="19">IFERROR(AVERAGE(P27,U27,Z27,AE27,AJ27,AO27,AT27),"-")</f>
        <v>18</v>
      </c>
      <c r="J27" s="513">
        <f t="shared" ref="J27:J40" si="20">IFERROR(AVERAGE(Q27,V27,AA27,AF27,AK27,AP27,AU27),"-")</f>
        <v>1354.6423872171447</v>
      </c>
      <c r="K27" s="200">
        <f t="shared" ref="K27:K40" si="21">IFERROR(AVERAGE(R27,W27,AB27,AG27,AL27,AQ27,AV27),"-")</f>
        <v>75.257910400952468</v>
      </c>
      <c r="L27" s="620">
        <f>IFERROR(AVERAGE(K27:K41),"-")</f>
        <v>72.335990696985121</v>
      </c>
      <c r="M27" s="201">
        <f>RANK(K27, K$27:$K$41)</f>
        <v>3</v>
      </c>
      <c r="N27" s="604"/>
      <c r="O27" s="604"/>
      <c r="P27" s="526">
        <v>18</v>
      </c>
      <c r="Q27" s="530">
        <v>1337.6202531645563</v>
      </c>
      <c r="R27" s="530">
        <v>74.312236286919799</v>
      </c>
      <c r="S27" s="526">
        <f t="shared" ref="S27:S41" si="22">RANK(R27, R$27:R$41)</f>
        <v>4</v>
      </c>
      <c r="T27" s="599">
        <f t="shared" ref="T27" si="23">AVERAGE(R27:R41)</f>
        <v>72.702328283391267</v>
      </c>
      <c r="U27" s="526">
        <v>18</v>
      </c>
      <c r="V27" s="530">
        <v>1375.2475247524758</v>
      </c>
      <c r="W27" s="530">
        <v>76.402640264026431</v>
      </c>
      <c r="X27" s="526">
        <f t="shared" ref="X27:X41" si="24">RANK(W27, W$27:W$41)</f>
        <v>3</v>
      </c>
      <c r="Y27" s="599">
        <f t="shared" ref="Y27" si="25">AVERAGE(W27:W41)</f>
        <v>73.286646704883907</v>
      </c>
      <c r="Z27" s="526">
        <v>18</v>
      </c>
      <c r="AA27" s="530">
        <v>1351.2244897959188</v>
      </c>
      <c r="AB27" s="530">
        <v>75.068027210884381</v>
      </c>
      <c r="AC27" s="526">
        <f t="shared" ref="AC27:AC41" si="26">RANK(AB27, AB$27:AB$41)</f>
        <v>4</v>
      </c>
      <c r="AD27" s="599">
        <f t="shared" ref="AD27" si="27">AVERAGE(AB27:AB41)</f>
        <v>72.960004369611525</v>
      </c>
      <c r="AE27" s="526">
        <v>18</v>
      </c>
      <c r="AF27" s="530">
        <v>1361.927710843373</v>
      </c>
      <c r="AG27" s="530">
        <v>75.662650602409613</v>
      </c>
      <c r="AH27" s="526">
        <f t="shared" ref="AH27:AH41" si="28">RANK(AG27, AG$27:AG$41)</f>
        <v>5</v>
      </c>
      <c r="AI27" s="599">
        <f t="shared" ref="AI27" si="29">AVERAGE(AG27:AG41)</f>
        <v>73.041108156209305</v>
      </c>
      <c r="AJ27" s="526">
        <v>18</v>
      </c>
      <c r="AK27" s="530">
        <v>1362.6000000000004</v>
      </c>
      <c r="AL27" s="530">
        <v>75.700000000000017</v>
      </c>
      <c r="AM27" s="526">
        <f t="shared" ref="AM27:AM41" si="30">RANK(AL27, AL$27:AL$41)</f>
        <v>4</v>
      </c>
      <c r="AN27" s="599">
        <f t="shared" ref="AN27" si="31">AVERAGE(AL27:AL41)</f>
        <v>73.124025741064585</v>
      </c>
      <c r="AO27" s="526">
        <v>18</v>
      </c>
      <c r="AP27" s="530">
        <v>1337.217391304348</v>
      </c>
      <c r="AQ27" s="530">
        <v>74.28985507246378</v>
      </c>
      <c r="AR27" s="526">
        <f t="shared" ref="AR27:AR41" si="32">RANK(AQ27, AQ$27:AQ$41)</f>
        <v>3</v>
      </c>
      <c r="AS27" s="599">
        <f t="shared" ref="AS27" si="33">AVERAGE(AQ27:AQ41)</f>
        <v>69.473088935908521</v>
      </c>
      <c r="AT27" s="526">
        <v>18</v>
      </c>
      <c r="AU27" s="530">
        <v>1356.6593406593406</v>
      </c>
      <c r="AV27" s="530">
        <v>75.369963369963372</v>
      </c>
      <c r="AW27" s="526">
        <f t="shared" ref="AW27:AW41" si="34">RANK(AV27, AV$27:AV$41)</f>
        <v>3</v>
      </c>
      <c r="AX27" s="599">
        <f t="shared" ref="AX27" si="35">AVERAGE(AV27:AV41)</f>
        <v>71.764732687826779</v>
      </c>
      <c r="AZ27" s="521" t="e">
        <f t="shared" ref="AZ27:AZ41" si="36">RANK(AY27, AY$27:AY$41)</f>
        <v>#N/A</v>
      </c>
      <c r="BA27" s="599" t="e">
        <f t="shared" ref="BA27" si="37">AVERAGE(AY27:AY41)</f>
        <v>#DIV/0!</v>
      </c>
    </row>
    <row r="28" spans="2:53">
      <c r="B28" s="610"/>
      <c r="C28" s="317">
        <v>2</v>
      </c>
      <c r="D28" s="226" t="s">
        <v>372</v>
      </c>
      <c r="E28" s="182">
        <v>18</v>
      </c>
      <c r="F28" s="511">
        <v>1440</v>
      </c>
      <c r="G28" s="512">
        <v>80</v>
      </c>
      <c r="H28" s="668"/>
      <c r="I28" s="513">
        <f t="shared" si="19"/>
        <v>18</v>
      </c>
      <c r="J28" s="513">
        <f t="shared" si="20"/>
        <v>1330.5286027952443</v>
      </c>
      <c r="K28" s="200">
        <f t="shared" si="21"/>
        <v>73.918255710846907</v>
      </c>
      <c r="L28" s="621"/>
      <c r="M28" s="201">
        <f>RANK(K28, K$27:$K$41)</f>
        <v>5</v>
      </c>
      <c r="N28" s="604"/>
      <c r="O28" s="604"/>
      <c r="P28" s="526">
        <v>18</v>
      </c>
      <c r="Q28" s="530">
        <v>1329.7297297297287</v>
      </c>
      <c r="R28" s="530">
        <v>73.873873873873819</v>
      </c>
      <c r="S28" s="526">
        <f t="shared" si="22"/>
        <v>5</v>
      </c>
      <c r="T28" s="600"/>
      <c r="U28" s="526">
        <v>18</v>
      </c>
      <c r="V28" s="530">
        <v>1369.9999999999989</v>
      </c>
      <c r="W28" s="530">
        <v>76.111111111111043</v>
      </c>
      <c r="X28" s="526">
        <f t="shared" si="24"/>
        <v>4</v>
      </c>
      <c r="Y28" s="600"/>
      <c r="Z28" s="526">
        <v>18</v>
      </c>
      <c r="AA28" s="530">
        <v>1338.9473684210516</v>
      </c>
      <c r="AB28" s="530">
        <v>74.385964912280642</v>
      </c>
      <c r="AC28" s="526">
        <f t="shared" si="26"/>
        <v>5</v>
      </c>
      <c r="AD28" s="600"/>
      <c r="AE28" s="526">
        <v>18</v>
      </c>
      <c r="AF28" s="530">
        <v>1368.6486486486476</v>
      </c>
      <c r="AG28" s="530">
        <v>76.036036036035981</v>
      </c>
      <c r="AH28" s="526">
        <f t="shared" si="28"/>
        <v>4</v>
      </c>
      <c r="AI28" s="600"/>
      <c r="AJ28" s="526">
        <v>18</v>
      </c>
      <c r="AK28" s="530">
        <v>1342.8571428571424</v>
      </c>
      <c r="AL28" s="530">
        <v>74.60317460317458</v>
      </c>
      <c r="AM28" s="526">
        <f t="shared" si="30"/>
        <v>5</v>
      </c>
      <c r="AN28" s="600"/>
      <c r="AO28" s="526">
        <v>18</v>
      </c>
      <c r="AP28" s="530">
        <v>1268.7804878048776</v>
      </c>
      <c r="AQ28" s="530">
        <v>70.487804878048749</v>
      </c>
      <c r="AR28" s="526">
        <f t="shared" si="32"/>
        <v>5</v>
      </c>
      <c r="AS28" s="600"/>
      <c r="AT28" s="526">
        <v>18</v>
      </c>
      <c r="AU28" s="530">
        <v>1294.7368421052643</v>
      </c>
      <c r="AV28" s="530">
        <v>71.929824561403564</v>
      </c>
      <c r="AW28" s="526">
        <f t="shared" si="34"/>
        <v>5</v>
      </c>
      <c r="AX28" s="600"/>
      <c r="AZ28" s="521" t="e">
        <f t="shared" si="36"/>
        <v>#N/A</v>
      </c>
      <c r="BA28" s="600"/>
    </row>
    <row r="29" spans="2:53">
      <c r="B29" s="610"/>
      <c r="C29" s="317">
        <v>3</v>
      </c>
      <c r="D29" s="226" t="s">
        <v>373</v>
      </c>
      <c r="E29" s="182">
        <v>17</v>
      </c>
      <c r="F29" s="511">
        <v>1440</v>
      </c>
      <c r="G29" s="512">
        <v>84.7</v>
      </c>
      <c r="H29" s="668"/>
      <c r="I29" s="513">
        <f t="shared" si="19"/>
        <v>17</v>
      </c>
      <c r="J29" s="513">
        <f t="shared" si="20"/>
        <v>1355.9619666991748</v>
      </c>
      <c r="K29" s="200">
        <f t="shared" si="21"/>
        <v>79.762468629363227</v>
      </c>
      <c r="L29" s="621"/>
      <c r="M29" s="201">
        <f>RANK(K29, K$27:$K$41)</f>
        <v>2</v>
      </c>
      <c r="N29" s="604"/>
      <c r="O29" s="604"/>
      <c r="P29" s="526">
        <v>17</v>
      </c>
      <c r="Q29" s="530">
        <v>1338.0487804878044</v>
      </c>
      <c r="R29" s="530">
        <v>78.708751793400253</v>
      </c>
      <c r="S29" s="526">
        <f t="shared" si="22"/>
        <v>2</v>
      </c>
      <c r="T29" s="600"/>
      <c r="U29" s="526">
        <v>17</v>
      </c>
      <c r="V29" s="530">
        <v>1355.2066115702473</v>
      </c>
      <c r="W29" s="530">
        <v>79.718035974720436</v>
      </c>
      <c r="X29" s="526">
        <f t="shared" si="24"/>
        <v>2</v>
      </c>
      <c r="Y29" s="600"/>
      <c r="Z29" s="526">
        <v>17</v>
      </c>
      <c r="AA29" s="530">
        <v>1367.3076923076931</v>
      </c>
      <c r="AB29" s="530">
        <v>80.429864253393703</v>
      </c>
      <c r="AC29" s="526">
        <f t="shared" si="26"/>
        <v>2</v>
      </c>
      <c r="AD29" s="600"/>
      <c r="AE29" s="526">
        <v>17</v>
      </c>
      <c r="AF29" s="530">
        <v>1333.7142857142842</v>
      </c>
      <c r="AG29" s="530">
        <v>78.453781512604948</v>
      </c>
      <c r="AH29" s="526">
        <f t="shared" si="28"/>
        <v>1</v>
      </c>
      <c r="AI29" s="600"/>
      <c r="AJ29" s="526">
        <v>17</v>
      </c>
      <c r="AK29" s="530">
        <v>1371.1926605504595</v>
      </c>
      <c r="AL29" s="530">
        <v>80.658391797085855</v>
      </c>
      <c r="AM29" s="526">
        <f t="shared" si="30"/>
        <v>1</v>
      </c>
      <c r="AN29" s="600"/>
      <c r="AO29" s="526">
        <v>17</v>
      </c>
      <c r="AP29" s="530">
        <v>1377.6923076923074</v>
      </c>
      <c r="AQ29" s="530">
        <v>81.040723981900442</v>
      </c>
      <c r="AR29" s="526">
        <f t="shared" si="32"/>
        <v>1</v>
      </c>
      <c r="AS29" s="600"/>
      <c r="AT29" s="526">
        <v>17</v>
      </c>
      <c r="AU29" s="530">
        <v>1348.5714285714282</v>
      </c>
      <c r="AV29" s="530">
        <v>79.327731092436949</v>
      </c>
      <c r="AW29" s="526">
        <f t="shared" si="34"/>
        <v>2</v>
      </c>
      <c r="AX29" s="600"/>
      <c r="AZ29" s="521" t="e">
        <f t="shared" si="36"/>
        <v>#N/A</v>
      </c>
      <c r="BA29" s="600"/>
    </row>
    <row r="30" spans="2:53">
      <c r="B30" s="610"/>
      <c r="C30" s="317">
        <v>4</v>
      </c>
      <c r="D30" s="226" t="s">
        <v>374</v>
      </c>
      <c r="E30" s="182">
        <v>17</v>
      </c>
      <c r="F30" s="511">
        <v>1440</v>
      </c>
      <c r="G30" s="512">
        <v>84.7</v>
      </c>
      <c r="H30" s="668"/>
      <c r="I30" s="513">
        <f t="shared" si="19"/>
        <v>17</v>
      </c>
      <c r="J30" s="513">
        <f t="shared" si="20"/>
        <v>1269.6820304246528</v>
      </c>
      <c r="K30" s="200">
        <f t="shared" si="21"/>
        <v>74.687178260273711</v>
      </c>
      <c r="L30" s="621"/>
      <c r="M30" s="201">
        <f>RANK(K30, K$27:$K$41)</f>
        <v>4</v>
      </c>
      <c r="N30" s="604"/>
      <c r="O30" s="604"/>
      <c r="P30" s="526">
        <v>17</v>
      </c>
      <c r="Q30" s="530">
        <v>1274.3478260869565</v>
      </c>
      <c r="R30" s="530">
        <v>74.961636828644501</v>
      </c>
      <c r="S30" s="526">
        <f t="shared" si="22"/>
        <v>3</v>
      </c>
      <c r="T30" s="600"/>
      <c r="U30" s="526">
        <v>17</v>
      </c>
      <c r="V30" s="530">
        <v>1257.5510204081636</v>
      </c>
      <c r="W30" s="530">
        <v>73.973589435774329</v>
      </c>
      <c r="X30" s="526">
        <f t="shared" si="24"/>
        <v>5</v>
      </c>
      <c r="Y30" s="600"/>
      <c r="Z30" s="526">
        <v>17</v>
      </c>
      <c r="AA30" s="530">
        <v>1278.8235294117653</v>
      </c>
      <c r="AB30" s="530">
        <v>75.224913494809726</v>
      </c>
      <c r="AC30" s="526">
        <f t="shared" si="26"/>
        <v>3</v>
      </c>
      <c r="AD30" s="600"/>
      <c r="AE30" s="526">
        <v>17</v>
      </c>
      <c r="AF30" s="530">
        <v>1299.5121951219508</v>
      </c>
      <c r="AG30" s="530">
        <v>76.44189383070298</v>
      </c>
      <c r="AH30" s="526">
        <f t="shared" si="28"/>
        <v>3</v>
      </c>
      <c r="AI30" s="600"/>
      <c r="AJ30" s="526">
        <v>17</v>
      </c>
      <c r="AK30" s="530">
        <v>1291.304347826087</v>
      </c>
      <c r="AL30" s="530">
        <v>75.959079283887476</v>
      </c>
      <c r="AM30" s="526">
        <f t="shared" si="30"/>
        <v>3</v>
      </c>
      <c r="AN30" s="600"/>
      <c r="AO30" s="526">
        <v>17</v>
      </c>
      <c r="AP30" s="530">
        <v>1208.2352941176478</v>
      </c>
      <c r="AQ30" s="530">
        <v>71.072664359861633</v>
      </c>
      <c r="AR30" s="526">
        <f t="shared" si="32"/>
        <v>4</v>
      </c>
      <c r="AS30" s="600"/>
      <c r="AT30" s="526">
        <v>17</v>
      </c>
      <c r="AU30" s="530">
        <v>1278.0000000000005</v>
      </c>
      <c r="AV30" s="530">
        <v>75.176470588235318</v>
      </c>
      <c r="AW30" s="526">
        <f t="shared" si="34"/>
        <v>4</v>
      </c>
      <c r="AX30" s="600"/>
      <c r="AZ30" s="521" t="e">
        <f t="shared" si="36"/>
        <v>#N/A</v>
      </c>
      <c r="BA30" s="600"/>
    </row>
    <row r="31" spans="2:53">
      <c r="B31" s="610"/>
      <c r="C31" s="317">
        <v>5</v>
      </c>
      <c r="D31" s="226" t="s">
        <v>375</v>
      </c>
      <c r="E31" s="182">
        <v>21</v>
      </c>
      <c r="F31" s="511">
        <v>1385</v>
      </c>
      <c r="G31" s="512">
        <v>65.900000000000006</v>
      </c>
      <c r="H31" s="668"/>
      <c r="I31" s="513">
        <f t="shared" si="19"/>
        <v>21</v>
      </c>
      <c r="J31" s="513">
        <f t="shared" si="20"/>
        <v>1288.3416995830596</v>
      </c>
      <c r="K31" s="200">
        <f t="shared" si="21"/>
        <v>61.349604742050452</v>
      </c>
      <c r="L31" s="621"/>
      <c r="M31" s="201">
        <f>RANK(K31, K$27:$K$41)</f>
        <v>11</v>
      </c>
      <c r="N31" s="604"/>
      <c r="O31" s="604"/>
      <c r="P31" s="526">
        <v>21</v>
      </c>
      <c r="Q31" s="530">
        <v>1321.73076923077</v>
      </c>
      <c r="R31" s="530">
        <v>62.939560439560474</v>
      </c>
      <c r="S31" s="526">
        <f t="shared" si="22"/>
        <v>11</v>
      </c>
      <c r="T31" s="600"/>
      <c r="U31" s="526">
        <v>21</v>
      </c>
      <c r="V31" s="530">
        <v>1295.7692307692314</v>
      </c>
      <c r="W31" s="530">
        <v>61.703296703296736</v>
      </c>
      <c r="X31" s="526">
        <f t="shared" si="24"/>
        <v>11</v>
      </c>
      <c r="Y31" s="600"/>
      <c r="Z31" s="526">
        <v>21</v>
      </c>
      <c r="AA31" s="530">
        <v>1296.8750000000005</v>
      </c>
      <c r="AB31" s="530">
        <v>61.755952380952401</v>
      </c>
      <c r="AC31" s="526">
        <f t="shared" si="26"/>
        <v>11</v>
      </c>
      <c r="AD31" s="600"/>
      <c r="AE31" s="526">
        <v>21</v>
      </c>
      <c r="AF31" s="530">
        <v>1312.5714285714294</v>
      </c>
      <c r="AG31" s="530">
        <v>62.503401360544252</v>
      </c>
      <c r="AH31" s="526">
        <f t="shared" si="28"/>
        <v>11</v>
      </c>
      <c r="AI31" s="600"/>
      <c r="AJ31" s="526">
        <v>21</v>
      </c>
      <c r="AK31" s="530">
        <v>1316.6666666666674</v>
      </c>
      <c r="AL31" s="530">
        <v>62.698412698412731</v>
      </c>
      <c r="AM31" s="526">
        <f t="shared" si="30"/>
        <v>11</v>
      </c>
      <c r="AN31" s="600"/>
      <c r="AO31" s="526">
        <v>21</v>
      </c>
      <c r="AP31" s="530">
        <v>1231.714285714286</v>
      </c>
      <c r="AQ31" s="530">
        <v>58.653061224489811</v>
      </c>
      <c r="AR31" s="526">
        <f t="shared" si="32"/>
        <v>11</v>
      </c>
      <c r="AS31" s="600"/>
      <c r="AT31" s="526">
        <v>21</v>
      </c>
      <c r="AU31" s="530">
        <v>1243.064516129032</v>
      </c>
      <c r="AV31" s="530">
        <v>59.193548387096762</v>
      </c>
      <c r="AW31" s="526">
        <f t="shared" si="34"/>
        <v>11</v>
      </c>
      <c r="AX31" s="600"/>
      <c r="AZ31" s="521" t="e">
        <f t="shared" si="36"/>
        <v>#N/A</v>
      </c>
      <c r="BA31" s="600"/>
    </row>
    <row r="32" spans="2:53">
      <c r="B32" s="610"/>
      <c r="C32" s="317">
        <v>6</v>
      </c>
      <c r="D32" s="226" t="s">
        <v>376</v>
      </c>
      <c r="E32" s="182">
        <v>19</v>
      </c>
      <c r="F32" s="511">
        <v>1440</v>
      </c>
      <c r="G32" s="512">
        <v>75.8</v>
      </c>
      <c r="H32" s="668"/>
      <c r="I32" s="513">
        <f t="shared" si="19"/>
        <v>19</v>
      </c>
      <c r="J32" s="513">
        <f t="shared" si="20"/>
        <v>1335.8237863501015</v>
      </c>
      <c r="K32" s="200">
        <f t="shared" si="21"/>
        <v>70.306515071057973</v>
      </c>
      <c r="L32" s="621"/>
      <c r="M32" s="201">
        <f>RANK(K32, K$27:$K$41)</f>
        <v>8</v>
      </c>
      <c r="N32" s="604"/>
      <c r="O32" s="604"/>
      <c r="P32" s="526">
        <v>19</v>
      </c>
      <c r="Q32" s="530">
        <v>1373.599999999999</v>
      </c>
      <c r="R32" s="530">
        <v>72.294736842105209</v>
      </c>
      <c r="S32" s="526">
        <f t="shared" si="22"/>
        <v>6</v>
      </c>
      <c r="T32" s="600"/>
      <c r="U32" s="526">
        <v>19</v>
      </c>
      <c r="V32" s="530">
        <v>1340.7407407407402</v>
      </c>
      <c r="W32" s="530">
        <v>70.565302144249486</v>
      </c>
      <c r="X32" s="526">
        <f t="shared" si="24"/>
        <v>8</v>
      </c>
      <c r="Y32" s="600"/>
      <c r="Z32" s="526">
        <v>19</v>
      </c>
      <c r="AA32" s="530">
        <v>1341.8181818181811</v>
      </c>
      <c r="AB32" s="530">
        <v>70.622009569377951</v>
      </c>
      <c r="AC32" s="526">
        <f t="shared" si="26"/>
        <v>9</v>
      </c>
      <c r="AD32" s="600"/>
      <c r="AE32" s="526">
        <v>19</v>
      </c>
      <c r="AF32" s="530">
        <v>1374.399999999999</v>
      </c>
      <c r="AG32" s="530">
        <v>72.336842105263102</v>
      </c>
      <c r="AH32" s="526">
        <f t="shared" si="28"/>
        <v>7</v>
      </c>
      <c r="AI32" s="600"/>
      <c r="AJ32" s="526">
        <v>19</v>
      </c>
      <c r="AK32" s="530">
        <v>1335.3846153846148</v>
      </c>
      <c r="AL32" s="530">
        <v>70.283400809716568</v>
      </c>
      <c r="AM32" s="526">
        <f t="shared" si="30"/>
        <v>9</v>
      </c>
      <c r="AN32" s="600"/>
      <c r="AO32" s="526">
        <v>19</v>
      </c>
      <c r="AP32" s="530">
        <v>1277.4545454545446</v>
      </c>
      <c r="AQ32" s="530">
        <v>67.2344497607655</v>
      </c>
      <c r="AR32" s="526">
        <f t="shared" si="32"/>
        <v>7</v>
      </c>
      <c r="AS32" s="600"/>
      <c r="AT32" s="526">
        <v>19</v>
      </c>
      <c r="AU32" s="530">
        <v>1307.3684210526319</v>
      </c>
      <c r="AV32" s="530">
        <v>68.808864265927994</v>
      </c>
      <c r="AW32" s="526">
        <f t="shared" si="34"/>
        <v>7</v>
      </c>
      <c r="AX32" s="600"/>
      <c r="AZ32" s="521" t="e">
        <f t="shared" si="36"/>
        <v>#N/A</v>
      </c>
      <c r="BA32" s="600"/>
    </row>
    <row r="33" spans="2:53">
      <c r="B33" s="610"/>
      <c r="C33" s="317">
        <v>7</v>
      </c>
      <c r="D33" s="226" t="s">
        <v>578</v>
      </c>
      <c r="E33" s="182">
        <v>18</v>
      </c>
      <c r="F33" s="511">
        <v>1385</v>
      </c>
      <c r="G33" s="512">
        <v>76.900000000000006</v>
      </c>
      <c r="H33" s="668"/>
      <c r="I33" s="513">
        <f t="shared" si="19"/>
        <v>18</v>
      </c>
      <c r="J33" s="513">
        <f t="shared" si="20"/>
        <v>1279.7089518090322</v>
      </c>
      <c r="K33" s="200">
        <f t="shared" si="21"/>
        <v>71.09494176716845</v>
      </c>
      <c r="L33" s="621"/>
      <c r="M33" s="201">
        <f>RANK(K33, K$27:$K$41)</f>
        <v>6</v>
      </c>
      <c r="N33" s="604"/>
      <c r="O33" s="604"/>
      <c r="P33" s="526">
        <v>18</v>
      </c>
      <c r="Q33" s="530">
        <v>1282.8947368421043</v>
      </c>
      <c r="R33" s="530">
        <v>71.271929824561354</v>
      </c>
      <c r="S33" s="526">
        <f t="shared" si="22"/>
        <v>8</v>
      </c>
      <c r="T33" s="600"/>
      <c r="U33" s="526">
        <v>18</v>
      </c>
      <c r="V33" s="530">
        <v>1305.599999999999</v>
      </c>
      <c r="W33" s="530">
        <v>72.533333333333275</v>
      </c>
      <c r="X33" s="526">
        <f t="shared" si="24"/>
        <v>6</v>
      </c>
      <c r="Y33" s="600"/>
      <c r="Z33" s="526">
        <v>18</v>
      </c>
      <c r="AA33" s="530">
        <v>1304.3478260869554</v>
      </c>
      <c r="AB33" s="530">
        <v>72.46376811594196</v>
      </c>
      <c r="AC33" s="526">
        <f t="shared" si="26"/>
        <v>6</v>
      </c>
      <c r="AD33" s="600"/>
      <c r="AE33" s="526">
        <v>18</v>
      </c>
      <c r="AF33" s="530">
        <v>1306.9565217391291</v>
      </c>
      <c r="AG33" s="530">
        <v>72.608695652173836</v>
      </c>
      <c r="AH33" s="526">
        <f t="shared" si="28"/>
        <v>6</v>
      </c>
      <c r="AI33" s="600"/>
      <c r="AJ33" s="526">
        <v>18</v>
      </c>
      <c r="AK33" s="530">
        <v>1295.844155844155</v>
      </c>
      <c r="AL33" s="530">
        <v>71.99134199134194</v>
      </c>
      <c r="AM33" s="526">
        <f t="shared" si="30"/>
        <v>7</v>
      </c>
      <c r="AN33" s="600"/>
      <c r="AO33" s="526">
        <v>18</v>
      </c>
      <c r="AP33" s="530">
        <v>1233.0337078651685</v>
      </c>
      <c r="AQ33" s="530">
        <v>68.50187265917603</v>
      </c>
      <c r="AR33" s="526">
        <f t="shared" si="32"/>
        <v>6</v>
      </c>
      <c r="AS33" s="600"/>
      <c r="AT33" s="526">
        <v>18</v>
      </c>
      <c r="AU33" s="530">
        <v>1229.2857142857138</v>
      </c>
      <c r="AV33" s="530">
        <v>68.29365079365077</v>
      </c>
      <c r="AW33" s="526">
        <f t="shared" si="34"/>
        <v>8</v>
      </c>
      <c r="AX33" s="600"/>
      <c r="AZ33" s="521" t="e">
        <f t="shared" si="36"/>
        <v>#N/A</v>
      </c>
      <c r="BA33" s="600"/>
    </row>
    <row r="34" spans="2:53">
      <c r="B34" s="610"/>
      <c r="C34" s="317">
        <v>8</v>
      </c>
      <c r="D34" s="226" t="s">
        <v>581</v>
      </c>
      <c r="E34" s="182">
        <v>18</v>
      </c>
      <c r="F34" s="511">
        <v>1385</v>
      </c>
      <c r="G34" s="512">
        <v>76.900000000000006</v>
      </c>
      <c r="H34" s="668"/>
      <c r="I34" s="513">
        <f t="shared" si="19"/>
        <v>18</v>
      </c>
      <c r="J34" s="513">
        <f t="shared" si="20"/>
        <v>1223.2519510976695</v>
      </c>
      <c r="K34" s="200">
        <f t="shared" si="21"/>
        <v>67.958441727648307</v>
      </c>
      <c r="L34" s="621"/>
      <c r="M34" s="201">
        <f>RANK(K34, K$27:$K$41)</f>
        <v>10</v>
      </c>
      <c r="N34" s="604"/>
      <c r="O34" s="604"/>
      <c r="P34" s="526">
        <v>18</v>
      </c>
      <c r="Q34" s="530">
        <v>1233.0612244897964</v>
      </c>
      <c r="R34" s="530">
        <v>68.503401360544245</v>
      </c>
      <c r="S34" s="526">
        <f t="shared" si="22"/>
        <v>10</v>
      </c>
      <c r="T34" s="600"/>
      <c r="U34" s="526">
        <v>18</v>
      </c>
      <c r="V34" s="530">
        <v>1231.2000000000005</v>
      </c>
      <c r="W34" s="530">
        <v>68.400000000000034</v>
      </c>
      <c r="X34" s="526">
        <f t="shared" si="24"/>
        <v>10</v>
      </c>
      <c r="Y34" s="600"/>
      <c r="Z34" s="526">
        <v>18</v>
      </c>
      <c r="AA34" s="530">
        <v>1235.0000000000005</v>
      </c>
      <c r="AB34" s="530">
        <v>68.611111111111143</v>
      </c>
      <c r="AC34" s="526">
        <f t="shared" si="26"/>
        <v>10</v>
      </c>
      <c r="AD34" s="600"/>
      <c r="AE34" s="526">
        <v>18</v>
      </c>
      <c r="AF34" s="530">
        <v>1228</v>
      </c>
      <c r="AG34" s="530">
        <v>68.222222222222229</v>
      </c>
      <c r="AH34" s="526">
        <f t="shared" si="28"/>
        <v>10</v>
      </c>
      <c r="AI34" s="600"/>
      <c r="AJ34" s="526">
        <v>18</v>
      </c>
      <c r="AK34" s="530">
        <v>1236.9230769230776</v>
      </c>
      <c r="AL34" s="530">
        <v>68.717948717948758</v>
      </c>
      <c r="AM34" s="526">
        <f t="shared" si="30"/>
        <v>10</v>
      </c>
      <c r="AN34" s="600"/>
      <c r="AO34" s="526">
        <v>18</v>
      </c>
      <c r="AP34" s="530">
        <v>1176.2264150943402</v>
      </c>
      <c r="AQ34" s="530">
        <v>65.345911949685558</v>
      </c>
      <c r="AR34" s="526">
        <f t="shared" si="32"/>
        <v>10</v>
      </c>
      <c r="AS34" s="600"/>
      <c r="AT34" s="526">
        <v>18</v>
      </c>
      <c r="AU34" s="530">
        <v>1222.3529411764712</v>
      </c>
      <c r="AV34" s="530">
        <v>67.90849673202618</v>
      </c>
      <c r="AW34" s="526">
        <f t="shared" si="34"/>
        <v>9</v>
      </c>
      <c r="AX34" s="600"/>
      <c r="AZ34" s="521" t="e">
        <f t="shared" si="36"/>
        <v>#N/A</v>
      </c>
      <c r="BA34" s="600"/>
    </row>
    <row r="35" spans="2:53">
      <c r="B35" s="610"/>
      <c r="C35" s="317">
        <v>9</v>
      </c>
      <c r="D35" s="226" t="s">
        <v>643</v>
      </c>
      <c r="E35" s="182">
        <v>16</v>
      </c>
      <c r="F35" s="511">
        <v>1440</v>
      </c>
      <c r="G35" s="512">
        <v>90</v>
      </c>
      <c r="H35" s="668"/>
      <c r="I35" s="513">
        <f t="shared" si="19"/>
        <v>16</v>
      </c>
      <c r="J35" s="513">
        <f t="shared" si="20"/>
        <v>1291.2296146582487</v>
      </c>
      <c r="K35" s="200">
        <f t="shared" si="21"/>
        <v>80.701850916140543</v>
      </c>
      <c r="L35" s="621"/>
      <c r="M35" s="201">
        <f>RANK(K35, K$27:$K$41)</f>
        <v>1</v>
      </c>
      <c r="N35" s="604"/>
      <c r="O35" s="604"/>
      <c r="P35" s="526">
        <v>16</v>
      </c>
      <c r="Q35" s="530">
        <v>1291.3165048543692</v>
      </c>
      <c r="R35" s="530">
        <v>80.707281553398076</v>
      </c>
      <c r="S35" s="526">
        <f t="shared" si="22"/>
        <v>1</v>
      </c>
      <c r="T35" s="600"/>
      <c r="U35" s="526">
        <v>16</v>
      </c>
      <c r="V35" s="530">
        <v>1354.5000000000005</v>
      </c>
      <c r="W35" s="530">
        <v>84.656250000000028</v>
      </c>
      <c r="X35" s="526">
        <f t="shared" si="24"/>
        <v>1</v>
      </c>
      <c r="Y35" s="600"/>
      <c r="Z35" s="526">
        <v>16</v>
      </c>
      <c r="AA35" s="530">
        <v>1295.6363636363637</v>
      </c>
      <c r="AB35" s="530">
        <v>80.977272727272734</v>
      </c>
      <c r="AC35" s="526">
        <f t="shared" si="26"/>
        <v>1</v>
      </c>
      <c r="AD35" s="600"/>
      <c r="AE35" s="526">
        <v>16</v>
      </c>
      <c r="AF35" s="530">
        <v>1253.8983050847453</v>
      </c>
      <c r="AG35" s="530">
        <v>78.368644067796581</v>
      </c>
      <c r="AH35" s="526">
        <f t="shared" si="28"/>
        <v>2</v>
      </c>
      <c r="AI35" s="600"/>
      <c r="AJ35" s="526">
        <v>16</v>
      </c>
      <c r="AK35" s="530">
        <v>1284.500000000003</v>
      </c>
      <c r="AL35" s="530">
        <v>80.281250000000185</v>
      </c>
      <c r="AM35" s="526">
        <f t="shared" si="30"/>
        <v>2</v>
      </c>
      <c r="AN35" s="600"/>
      <c r="AO35" s="526">
        <v>16</v>
      </c>
      <c r="AP35" s="530">
        <v>1194.2400000000014</v>
      </c>
      <c r="AQ35" s="530">
        <v>74.640000000000086</v>
      </c>
      <c r="AR35" s="526">
        <f t="shared" si="32"/>
        <v>2</v>
      </c>
      <c r="AS35" s="600"/>
      <c r="AT35" s="526">
        <v>16</v>
      </c>
      <c r="AU35" s="530">
        <v>1364.5161290322576</v>
      </c>
      <c r="AV35" s="530">
        <v>85.2822580645161</v>
      </c>
      <c r="AW35" s="526">
        <f t="shared" si="34"/>
        <v>1</v>
      </c>
      <c r="AX35" s="600"/>
      <c r="AZ35" s="521" t="e">
        <f t="shared" si="36"/>
        <v>#N/A</v>
      </c>
      <c r="BA35" s="600"/>
    </row>
    <row r="36" spans="2:53">
      <c r="B36" s="610"/>
      <c r="C36" s="317">
        <v>10</v>
      </c>
      <c r="D36" s="226" t="s">
        <v>764</v>
      </c>
      <c r="E36" s="182">
        <v>19</v>
      </c>
      <c r="F36" s="511">
        <v>1440</v>
      </c>
      <c r="G36" s="512">
        <v>75.8</v>
      </c>
      <c r="H36" s="668"/>
      <c r="I36" s="513">
        <f t="shared" si="19"/>
        <v>19</v>
      </c>
      <c r="J36" s="513">
        <f t="shared" si="20"/>
        <v>1327.5093033743947</v>
      </c>
      <c r="K36" s="200">
        <f t="shared" si="21"/>
        <v>69.868910703915518</v>
      </c>
      <c r="L36" s="621"/>
      <c r="M36" s="201">
        <f>RANK(K36, K$27:$K$41)</f>
        <v>9</v>
      </c>
      <c r="N36" s="604"/>
      <c r="O36" s="604"/>
      <c r="P36" s="526">
        <v>19</v>
      </c>
      <c r="Q36" s="530">
        <v>1340.8085106382973</v>
      </c>
      <c r="R36" s="530">
        <v>70.568868980963018</v>
      </c>
      <c r="S36" s="526">
        <f t="shared" si="22"/>
        <v>9</v>
      </c>
      <c r="T36" s="600"/>
      <c r="U36" s="526">
        <v>19</v>
      </c>
      <c r="V36" s="530">
        <v>1340.1459854014599</v>
      </c>
      <c r="W36" s="530">
        <v>70.533999231655784</v>
      </c>
      <c r="X36" s="526">
        <f t="shared" si="24"/>
        <v>9</v>
      </c>
      <c r="Y36" s="600"/>
      <c r="Z36" s="526">
        <v>19</v>
      </c>
      <c r="AA36" s="530">
        <v>1365.0491803278685</v>
      </c>
      <c r="AB36" s="530">
        <v>71.844693701466767</v>
      </c>
      <c r="AC36" s="526">
        <f t="shared" si="26"/>
        <v>7</v>
      </c>
      <c r="AD36" s="600"/>
      <c r="AE36" s="526">
        <v>19</v>
      </c>
      <c r="AF36" s="530">
        <v>1346.8090909090909</v>
      </c>
      <c r="AG36" s="530">
        <v>70.884688995215313</v>
      </c>
      <c r="AH36" s="526">
        <f t="shared" si="28"/>
        <v>9</v>
      </c>
      <c r="AI36" s="600"/>
      <c r="AJ36" s="526">
        <v>19</v>
      </c>
      <c r="AK36" s="530">
        <v>1372.6890756302525</v>
      </c>
      <c r="AL36" s="530">
        <v>72.24679345422382</v>
      </c>
      <c r="AM36" s="526">
        <f t="shared" si="30"/>
        <v>6</v>
      </c>
      <c r="AN36" s="600"/>
      <c r="AO36" s="526">
        <v>19</v>
      </c>
      <c r="AP36" s="530">
        <v>1259.1483870967743</v>
      </c>
      <c r="AQ36" s="530">
        <v>66.270967741935493</v>
      </c>
      <c r="AR36" s="526">
        <f t="shared" si="32"/>
        <v>9</v>
      </c>
      <c r="AS36" s="600"/>
      <c r="AT36" s="526">
        <v>19</v>
      </c>
      <c r="AU36" s="530">
        <v>1267.9148936170209</v>
      </c>
      <c r="AV36" s="530">
        <v>66.73236282194847</v>
      </c>
      <c r="AW36" s="526">
        <f t="shared" si="34"/>
        <v>10</v>
      </c>
      <c r="AX36" s="600"/>
      <c r="AZ36" s="521" t="e">
        <f t="shared" si="36"/>
        <v>#N/A</v>
      </c>
      <c r="BA36" s="600"/>
    </row>
    <row r="37" spans="2:53">
      <c r="B37" s="610"/>
      <c r="C37" s="317">
        <v>11</v>
      </c>
      <c r="D37" s="226" t="s">
        <v>817</v>
      </c>
      <c r="E37" s="182">
        <v>19</v>
      </c>
      <c r="F37" s="511">
        <v>1440</v>
      </c>
      <c r="G37" s="512">
        <v>75.8</v>
      </c>
      <c r="H37" s="668"/>
      <c r="I37" s="513">
        <f t="shared" si="19"/>
        <v>18</v>
      </c>
      <c r="J37" s="513">
        <f t="shared" si="20"/>
        <v>1274.2167552735384</v>
      </c>
      <c r="K37" s="200">
        <f t="shared" si="21"/>
        <v>70.789819737418796</v>
      </c>
      <c r="L37" s="621"/>
      <c r="M37" s="201">
        <f>RANK(K37, K$27:$K$41)</f>
        <v>7</v>
      </c>
      <c r="N37" s="604"/>
      <c r="O37" s="604"/>
      <c r="P37" s="526">
        <v>18</v>
      </c>
      <c r="Q37" s="530">
        <v>1288.4999999999995</v>
      </c>
      <c r="R37" s="530">
        <v>71.583333333333314</v>
      </c>
      <c r="S37" s="526">
        <f t="shared" si="22"/>
        <v>7</v>
      </c>
      <c r="T37" s="600"/>
      <c r="U37" s="526">
        <v>18</v>
      </c>
      <c r="V37" s="530">
        <v>1288</v>
      </c>
      <c r="W37" s="530">
        <v>71.555555555555557</v>
      </c>
      <c r="X37" s="526">
        <f t="shared" si="24"/>
        <v>7</v>
      </c>
      <c r="Y37" s="600"/>
      <c r="Z37" s="526">
        <v>18</v>
      </c>
      <c r="AA37" s="530">
        <v>1281.1764705882358</v>
      </c>
      <c r="AB37" s="530">
        <v>71.176470588235318</v>
      </c>
      <c r="AC37" s="526">
        <f t="shared" si="26"/>
        <v>8</v>
      </c>
      <c r="AD37" s="600"/>
      <c r="AE37" s="526">
        <v>18</v>
      </c>
      <c r="AF37" s="530">
        <v>1294.8000000000004</v>
      </c>
      <c r="AG37" s="530">
        <v>71.933333333333351</v>
      </c>
      <c r="AH37" s="526">
        <f t="shared" si="28"/>
        <v>8</v>
      </c>
      <c r="AI37" s="600"/>
      <c r="AJ37" s="526">
        <v>18</v>
      </c>
      <c r="AK37" s="530">
        <v>1282.0408163265308</v>
      </c>
      <c r="AL37" s="530">
        <v>71.224489795918373</v>
      </c>
      <c r="AM37" s="526">
        <f t="shared" si="30"/>
        <v>8</v>
      </c>
      <c r="AN37" s="600"/>
      <c r="AO37" s="526">
        <v>18</v>
      </c>
      <c r="AP37" s="530">
        <v>1200.0000000000009</v>
      </c>
      <c r="AQ37" s="530">
        <v>66.666666666666714</v>
      </c>
      <c r="AR37" s="526">
        <f t="shared" si="32"/>
        <v>8</v>
      </c>
      <c r="AS37" s="600"/>
      <c r="AT37" s="526">
        <v>18</v>
      </c>
      <c r="AU37" s="530">
        <v>1285.0000000000002</v>
      </c>
      <c r="AV37" s="530">
        <v>71.3888888888889</v>
      </c>
      <c r="AW37" s="526">
        <f t="shared" si="34"/>
        <v>6</v>
      </c>
      <c r="AX37" s="600"/>
      <c r="AZ37" s="521" t="e">
        <f t="shared" si="36"/>
        <v>#N/A</v>
      </c>
      <c r="BA37" s="600"/>
    </row>
    <row r="38" spans="2:53">
      <c r="B38" s="610"/>
      <c r="C38" s="317">
        <v>12</v>
      </c>
      <c r="D38" s="226"/>
      <c r="E38" s="182"/>
      <c r="F38" s="511"/>
      <c r="G38" s="512"/>
      <c r="H38" s="668"/>
      <c r="I38" s="513" t="str">
        <f t="shared" si="19"/>
        <v>-</v>
      </c>
      <c r="J38" s="513" t="str">
        <f t="shared" si="20"/>
        <v>-</v>
      </c>
      <c r="K38" s="200" t="str">
        <f t="shared" si="21"/>
        <v>-</v>
      </c>
      <c r="L38" s="621"/>
      <c r="M38" s="201" t="e">
        <f>RANK(K38, K$27:$K$41)</f>
        <v>#VALUE!</v>
      </c>
      <c r="N38" s="604"/>
      <c r="O38" s="604"/>
      <c r="P38" s="530"/>
      <c r="Q38" s="530"/>
      <c r="R38" s="530"/>
      <c r="S38" s="526" t="e">
        <f t="shared" si="22"/>
        <v>#N/A</v>
      </c>
      <c r="T38" s="600"/>
      <c r="U38" s="530"/>
      <c r="V38" s="530"/>
      <c r="W38" s="530"/>
      <c r="X38" s="526" t="e">
        <f t="shared" si="24"/>
        <v>#N/A</v>
      </c>
      <c r="Y38" s="600"/>
      <c r="Z38" s="530"/>
      <c r="AA38" s="530"/>
      <c r="AB38" s="530"/>
      <c r="AC38" s="526" t="e">
        <f t="shared" si="26"/>
        <v>#N/A</v>
      </c>
      <c r="AD38" s="600"/>
      <c r="AE38" s="530"/>
      <c r="AF38" s="530"/>
      <c r="AG38" s="530"/>
      <c r="AH38" s="526" t="e">
        <f t="shared" si="28"/>
        <v>#N/A</v>
      </c>
      <c r="AI38" s="600"/>
      <c r="AJ38" s="530"/>
      <c r="AK38" s="530"/>
      <c r="AL38" s="530"/>
      <c r="AM38" s="526" t="e">
        <f t="shared" si="30"/>
        <v>#N/A</v>
      </c>
      <c r="AN38" s="600"/>
      <c r="AO38" s="530"/>
      <c r="AP38" s="530"/>
      <c r="AQ38" s="530"/>
      <c r="AR38" s="526" t="e">
        <f t="shared" si="32"/>
        <v>#N/A</v>
      </c>
      <c r="AS38" s="600"/>
      <c r="AT38" s="530"/>
      <c r="AU38" s="530"/>
      <c r="AV38" s="530"/>
      <c r="AW38" s="526" t="e">
        <f t="shared" si="34"/>
        <v>#N/A</v>
      </c>
      <c r="AX38" s="600"/>
      <c r="AZ38" s="521" t="e">
        <f t="shared" si="36"/>
        <v>#N/A</v>
      </c>
      <c r="BA38" s="600"/>
    </row>
    <row r="39" spans="2:53">
      <c r="B39" s="610"/>
      <c r="C39" s="317">
        <v>13</v>
      </c>
      <c r="D39" s="226"/>
      <c r="E39" s="182"/>
      <c r="F39" s="511"/>
      <c r="G39" s="512"/>
      <c r="H39" s="668"/>
      <c r="I39" s="513" t="str">
        <f t="shared" si="19"/>
        <v>-</v>
      </c>
      <c r="J39" s="513" t="str">
        <f t="shared" si="20"/>
        <v>-</v>
      </c>
      <c r="K39" s="200" t="str">
        <f t="shared" si="21"/>
        <v>-</v>
      </c>
      <c r="L39" s="621"/>
      <c r="M39" s="201" t="e">
        <f>RANK(K39, K$27:$K$41)</f>
        <v>#VALUE!</v>
      </c>
      <c r="N39" s="604"/>
      <c r="O39" s="604"/>
      <c r="P39" s="530"/>
      <c r="Q39" s="530"/>
      <c r="R39" s="530"/>
      <c r="S39" s="526" t="e">
        <f t="shared" si="22"/>
        <v>#N/A</v>
      </c>
      <c r="T39" s="600"/>
      <c r="U39" s="530"/>
      <c r="V39" s="530"/>
      <c r="W39" s="530"/>
      <c r="X39" s="526" t="e">
        <f t="shared" si="24"/>
        <v>#N/A</v>
      </c>
      <c r="Y39" s="600"/>
      <c r="Z39" s="530"/>
      <c r="AA39" s="530"/>
      <c r="AB39" s="530"/>
      <c r="AC39" s="526" t="e">
        <f t="shared" si="26"/>
        <v>#N/A</v>
      </c>
      <c r="AD39" s="600"/>
      <c r="AE39" s="530"/>
      <c r="AF39" s="530"/>
      <c r="AG39" s="530"/>
      <c r="AH39" s="526" t="e">
        <f t="shared" si="28"/>
        <v>#N/A</v>
      </c>
      <c r="AI39" s="600"/>
      <c r="AJ39" s="530"/>
      <c r="AK39" s="530"/>
      <c r="AL39" s="530"/>
      <c r="AM39" s="526" t="e">
        <f t="shared" si="30"/>
        <v>#N/A</v>
      </c>
      <c r="AN39" s="600"/>
      <c r="AO39" s="530"/>
      <c r="AP39" s="530"/>
      <c r="AQ39" s="530"/>
      <c r="AR39" s="526" t="e">
        <f t="shared" si="32"/>
        <v>#N/A</v>
      </c>
      <c r="AS39" s="600"/>
      <c r="AT39" s="530"/>
      <c r="AU39" s="530"/>
      <c r="AV39" s="530"/>
      <c r="AW39" s="526" t="e">
        <f t="shared" si="34"/>
        <v>#N/A</v>
      </c>
      <c r="AX39" s="600"/>
      <c r="AZ39" s="521" t="e">
        <f t="shared" si="36"/>
        <v>#N/A</v>
      </c>
      <c r="BA39" s="600"/>
    </row>
    <row r="40" spans="2:53">
      <c r="B40" s="610"/>
      <c r="C40" s="317">
        <v>14</v>
      </c>
      <c r="D40" s="226"/>
      <c r="E40" s="182"/>
      <c r="F40" s="511"/>
      <c r="G40" s="512"/>
      <c r="H40" s="668"/>
      <c r="I40" s="513" t="str">
        <f t="shared" si="19"/>
        <v>-</v>
      </c>
      <c r="J40" s="513" t="str">
        <f t="shared" si="20"/>
        <v>-</v>
      </c>
      <c r="K40" s="200" t="str">
        <f t="shared" si="21"/>
        <v>-</v>
      </c>
      <c r="L40" s="621"/>
      <c r="M40" s="201" t="e">
        <f>RANK(K40, K$27:$K$41)</f>
        <v>#VALUE!</v>
      </c>
      <c r="N40" s="604"/>
      <c r="O40" s="604"/>
      <c r="P40" s="530"/>
      <c r="Q40" s="530"/>
      <c r="R40" s="530"/>
      <c r="S40" s="526" t="e">
        <f t="shared" si="22"/>
        <v>#N/A</v>
      </c>
      <c r="T40" s="600"/>
      <c r="U40" s="530"/>
      <c r="V40" s="530"/>
      <c r="W40" s="530"/>
      <c r="X40" s="526" t="e">
        <f t="shared" si="24"/>
        <v>#N/A</v>
      </c>
      <c r="Y40" s="600"/>
      <c r="Z40" s="530"/>
      <c r="AA40" s="530"/>
      <c r="AB40" s="530"/>
      <c r="AC40" s="526" t="e">
        <f t="shared" si="26"/>
        <v>#N/A</v>
      </c>
      <c r="AD40" s="600"/>
      <c r="AE40" s="530"/>
      <c r="AF40" s="530"/>
      <c r="AG40" s="530"/>
      <c r="AH40" s="526" t="e">
        <f t="shared" si="28"/>
        <v>#N/A</v>
      </c>
      <c r="AI40" s="600"/>
      <c r="AJ40" s="530"/>
      <c r="AK40" s="530"/>
      <c r="AL40" s="530"/>
      <c r="AM40" s="526" t="e">
        <f t="shared" si="30"/>
        <v>#N/A</v>
      </c>
      <c r="AN40" s="600"/>
      <c r="AO40" s="530"/>
      <c r="AP40" s="530"/>
      <c r="AQ40" s="530"/>
      <c r="AR40" s="526" t="e">
        <f t="shared" si="32"/>
        <v>#N/A</v>
      </c>
      <c r="AS40" s="600"/>
      <c r="AT40" s="530"/>
      <c r="AU40" s="530"/>
      <c r="AV40" s="530"/>
      <c r="AW40" s="526" t="e">
        <f t="shared" si="34"/>
        <v>#N/A</v>
      </c>
      <c r="AX40" s="600"/>
      <c r="AZ40" s="521" t="e">
        <f t="shared" si="36"/>
        <v>#N/A</v>
      </c>
      <c r="BA40" s="600"/>
    </row>
    <row r="41" spans="2:53">
      <c r="B41" s="610"/>
      <c r="C41" s="317">
        <v>15</v>
      </c>
      <c r="D41" s="226"/>
      <c r="E41" s="182"/>
      <c r="F41" s="511"/>
      <c r="G41" s="512"/>
      <c r="H41" s="669"/>
      <c r="I41" s="202"/>
      <c r="J41" s="202"/>
      <c r="K41" s="202"/>
      <c r="L41" s="622"/>
      <c r="M41" s="199" t="e">
        <f>RANK(K41, K$27:$K$41)</f>
        <v>#N/A</v>
      </c>
      <c r="N41" s="604"/>
      <c r="O41" s="604"/>
      <c r="P41" s="530"/>
      <c r="Q41" s="530"/>
      <c r="R41" s="530"/>
      <c r="S41" s="526" t="e">
        <f t="shared" si="22"/>
        <v>#N/A</v>
      </c>
      <c r="T41" s="601"/>
      <c r="U41" s="530"/>
      <c r="V41" s="530"/>
      <c r="W41" s="530"/>
      <c r="X41" s="526" t="e">
        <f t="shared" si="24"/>
        <v>#N/A</v>
      </c>
      <c r="Y41" s="601"/>
      <c r="Z41" s="530"/>
      <c r="AA41" s="530"/>
      <c r="AB41" s="530"/>
      <c r="AC41" s="526" t="e">
        <f t="shared" si="26"/>
        <v>#N/A</v>
      </c>
      <c r="AD41" s="601"/>
      <c r="AE41" s="530"/>
      <c r="AF41" s="530"/>
      <c r="AG41" s="530"/>
      <c r="AH41" s="526" t="e">
        <f t="shared" si="28"/>
        <v>#N/A</v>
      </c>
      <c r="AI41" s="601"/>
      <c r="AJ41" s="530"/>
      <c r="AK41" s="530"/>
      <c r="AL41" s="530"/>
      <c r="AM41" s="526" t="e">
        <f t="shared" si="30"/>
        <v>#N/A</v>
      </c>
      <c r="AN41" s="601"/>
      <c r="AO41" s="530"/>
      <c r="AP41" s="530"/>
      <c r="AQ41" s="530"/>
      <c r="AR41" s="526" t="e">
        <f t="shared" si="32"/>
        <v>#N/A</v>
      </c>
      <c r="AS41" s="601"/>
      <c r="AT41" s="530"/>
      <c r="AU41" s="530"/>
      <c r="AV41" s="530"/>
      <c r="AW41" s="526" t="e">
        <f t="shared" si="34"/>
        <v>#N/A</v>
      </c>
      <c r="AX41" s="601"/>
      <c r="AZ41" s="521" t="e">
        <f t="shared" si="36"/>
        <v>#N/A</v>
      </c>
      <c r="BA41" s="601"/>
    </row>
    <row r="42" spans="2:53" ht="15.75">
      <c r="B42" s="648" t="s">
        <v>163</v>
      </c>
      <c r="C42" s="649"/>
      <c r="D42" s="649"/>
      <c r="E42" s="649"/>
      <c r="F42" s="649"/>
      <c r="G42" s="649"/>
      <c r="H42" s="649"/>
      <c r="I42" s="208"/>
      <c r="J42" s="203"/>
      <c r="K42" s="208"/>
      <c r="L42" s="208"/>
      <c r="M42" s="204"/>
      <c r="N42" s="606" t="s">
        <v>156</v>
      </c>
      <c r="O42" s="606" t="s">
        <v>105</v>
      </c>
      <c r="P42" s="632">
        <f>P22+7</f>
        <v>46126</v>
      </c>
      <c r="Q42" s="610"/>
      <c r="R42" s="610"/>
      <c r="S42" s="610"/>
      <c r="T42" s="610"/>
      <c r="U42" s="629">
        <f>P42+1</f>
        <v>46127</v>
      </c>
      <c r="V42" s="630"/>
      <c r="W42" s="630"/>
      <c r="X42" s="630"/>
      <c r="Y42" s="631"/>
      <c r="Z42" s="629">
        <f>U42+1</f>
        <v>46128</v>
      </c>
      <c r="AA42" s="630"/>
      <c r="AB42" s="630"/>
      <c r="AC42" s="630"/>
      <c r="AD42" s="631"/>
      <c r="AE42" s="629">
        <f>Z42+1</f>
        <v>46129</v>
      </c>
      <c r="AF42" s="630"/>
      <c r="AG42" s="630"/>
      <c r="AH42" s="630"/>
      <c r="AI42" s="631"/>
      <c r="AJ42" s="629">
        <f>AE42+1</f>
        <v>46130</v>
      </c>
      <c r="AK42" s="630"/>
      <c r="AL42" s="630"/>
      <c r="AM42" s="630"/>
      <c r="AN42" s="631"/>
      <c r="AO42" s="629">
        <f>AJ42+1</f>
        <v>46131</v>
      </c>
      <c r="AP42" s="630"/>
      <c r="AQ42" s="630"/>
      <c r="AR42" s="630"/>
      <c r="AS42" s="631"/>
      <c r="AT42" s="629">
        <f>AO42+1</f>
        <v>46132</v>
      </c>
      <c r="AU42" s="630"/>
      <c r="AV42" s="630"/>
      <c r="AW42" s="630"/>
      <c r="AX42" s="631"/>
    </row>
    <row r="43" spans="2:53" ht="15.75">
      <c r="B43" s="636"/>
      <c r="C43" s="636"/>
      <c r="D43" s="636"/>
      <c r="E43" s="636"/>
      <c r="F43" s="636"/>
      <c r="G43" s="636"/>
      <c r="H43" s="636"/>
      <c r="I43" s="205"/>
      <c r="J43" s="205"/>
      <c r="K43" s="205"/>
      <c r="L43" s="205"/>
      <c r="M43" s="206"/>
      <c r="N43" s="608"/>
      <c r="O43" s="608"/>
      <c r="P43" s="632" t="s">
        <v>336</v>
      </c>
      <c r="Q43" s="610"/>
      <c r="R43" s="610"/>
      <c r="S43" s="610"/>
      <c r="T43" s="610"/>
      <c r="U43" s="632" t="s">
        <v>337</v>
      </c>
      <c r="V43" s="610"/>
      <c r="W43" s="610"/>
      <c r="X43" s="610"/>
      <c r="Y43" s="610"/>
      <c r="Z43" s="632" t="s">
        <v>338</v>
      </c>
      <c r="AA43" s="610"/>
      <c r="AB43" s="610"/>
      <c r="AC43" s="610"/>
      <c r="AD43" s="610"/>
      <c r="AE43" s="632" t="s">
        <v>339</v>
      </c>
      <c r="AF43" s="610"/>
      <c r="AG43" s="610"/>
      <c r="AH43" s="610"/>
      <c r="AI43" s="610"/>
      <c r="AJ43" s="632" t="s">
        <v>340</v>
      </c>
      <c r="AK43" s="610"/>
      <c r="AL43" s="610"/>
      <c r="AM43" s="610"/>
      <c r="AN43" s="610"/>
      <c r="AO43" s="632" t="s">
        <v>341</v>
      </c>
      <c r="AP43" s="610"/>
      <c r="AQ43" s="610"/>
      <c r="AR43" s="610"/>
      <c r="AS43" s="610"/>
      <c r="AT43" s="632" t="s">
        <v>342</v>
      </c>
      <c r="AU43" s="610"/>
      <c r="AV43" s="610"/>
      <c r="AW43" s="610"/>
      <c r="AX43" s="610"/>
    </row>
    <row r="44" spans="2:53">
      <c r="B44" s="604" t="s">
        <v>530</v>
      </c>
      <c r="C44" s="604" t="s">
        <v>531</v>
      </c>
      <c r="D44" s="604"/>
      <c r="E44" s="604" t="s">
        <v>532</v>
      </c>
      <c r="F44" s="604"/>
      <c r="G44" s="604"/>
      <c r="H44" s="637" t="s">
        <v>533</v>
      </c>
      <c r="I44" s="656" t="s">
        <v>534</v>
      </c>
      <c r="J44" s="656"/>
      <c r="K44" s="656"/>
      <c r="L44" s="657" t="s">
        <v>533</v>
      </c>
      <c r="M44" s="642" t="s">
        <v>535</v>
      </c>
      <c r="N44" s="604"/>
      <c r="O44" s="604" t="s">
        <v>536</v>
      </c>
      <c r="P44" s="623" t="s">
        <v>755</v>
      </c>
      <c r="Q44" s="624"/>
      <c r="R44" s="624"/>
      <c r="S44" s="625"/>
      <c r="T44" s="604" t="s">
        <v>756</v>
      </c>
      <c r="U44" s="623" t="s">
        <v>755</v>
      </c>
      <c r="V44" s="624"/>
      <c r="W44" s="624"/>
      <c r="X44" s="625"/>
      <c r="Y44" s="604" t="s">
        <v>756</v>
      </c>
      <c r="Z44" s="623" t="s">
        <v>755</v>
      </c>
      <c r="AA44" s="624"/>
      <c r="AB44" s="624"/>
      <c r="AC44" s="625"/>
      <c r="AD44" s="604" t="s">
        <v>756</v>
      </c>
      <c r="AE44" s="623" t="s">
        <v>755</v>
      </c>
      <c r="AF44" s="624"/>
      <c r="AG44" s="624"/>
      <c r="AH44" s="625"/>
      <c r="AI44" s="604" t="s">
        <v>756</v>
      </c>
      <c r="AJ44" s="623" t="s">
        <v>755</v>
      </c>
      <c r="AK44" s="624"/>
      <c r="AL44" s="624"/>
      <c r="AM44" s="625"/>
      <c r="AN44" s="604" t="s">
        <v>756</v>
      </c>
      <c r="AO44" s="623" t="s">
        <v>755</v>
      </c>
      <c r="AP44" s="624"/>
      <c r="AQ44" s="624"/>
      <c r="AR44" s="625"/>
      <c r="AS44" s="604" t="s">
        <v>756</v>
      </c>
      <c r="AT44" s="623" t="s">
        <v>755</v>
      </c>
      <c r="AU44" s="624"/>
      <c r="AV44" s="624"/>
      <c r="AW44" s="625"/>
      <c r="AX44" s="604" t="s">
        <v>756</v>
      </c>
      <c r="BA44" s="604" t="s">
        <v>395</v>
      </c>
    </row>
    <row r="45" spans="2:53">
      <c r="B45" s="604"/>
      <c r="C45" s="604"/>
      <c r="D45" s="604"/>
      <c r="E45" s="604" t="s">
        <v>538</v>
      </c>
      <c r="F45" s="604"/>
      <c r="G45" s="604"/>
      <c r="H45" s="638"/>
      <c r="I45" s="656" t="s">
        <v>538</v>
      </c>
      <c r="J45" s="656"/>
      <c r="K45" s="656"/>
      <c r="L45" s="658"/>
      <c r="M45" s="643"/>
      <c r="N45" s="604"/>
      <c r="O45" s="604"/>
      <c r="P45" s="623" t="s">
        <v>757</v>
      </c>
      <c r="Q45" s="624"/>
      <c r="R45" s="624"/>
      <c r="S45" s="625"/>
      <c r="T45" s="604"/>
      <c r="U45" s="623" t="s">
        <v>757</v>
      </c>
      <c r="V45" s="624"/>
      <c r="W45" s="624"/>
      <c r="X45" s="625"/>
      <c r="Y45" s="604"/>
      <c r="Z45" s="623" t="s">
        <v>757</v>
      </c>
      <c r="AA45" s="624"/>
      <c r="AB45" s="624"/>
      <c r="AC45" s="625"/>
      <c r="AD45" s="604"/>
      <c r="AE45" s="623" t="s">
        <v>757</v>
      </c>
      <c r="AF45" s="624"/>
      <c r="AG45" s="624"/>
      <c r="AH45" s="625"/>
      <c r="AI45" s="604"/>
      <c r="AJ45" s="623" t="s">
        <v>757</v>
      </c>
      <c r="AK45" s="624"/>
      <c r="AL45" s="624"/>
      <c r="AM45" s="625"/>
      <c r="AN45" s="604"/>
      <c r="AO45" s="623" t="s">
        <v>757</v>
      </c>
      <c r="AP45" s="624"/>
      <c r="AQ45" s="624"/>
      <c r="AR45" s="625"/>
      <c r="AS45" s="604"/>
      <c r="AT45" s="623" t="s">
        <v>757</v>
      </c>
      <c r="AU45" s="624"/>
      <c r="AV45" s="624"/>
      <c r="AW45" s="625"/>
      <c r="AX45" s="604"/>
      <c r="BA45" s="604"/>
    </row>
    <row r="46" spans="2:53">
      <c r="B46" s="604"/>
      <c r="C46" s="604"/>
      <c r="D46" s="604"/>
      <c r="E46" s="319" t="s">
        <v>540</v>
      </c>
      <c r="F46" s="319" t="s">
        <v>541</v>
      </c>
      <c r="G46" s="319" t="s">
        <v>542</v>
      </c>
      <c r="H46" s="639"/>
      <c r="I46" s="318" t="s">
        <v>540</v>
      </c>
      <c r="J46" s="318" t="s">
        <v>541</v>
      </c>
      <c r="K46" s="318" t="s">
        <v>542</v>
      </c>
      <c r="L46" s="659"/>
      <c r="M46" s="644"/>
      <c r="N46" s="604"/>
      <c r="O46" s="604"/>
      <c r="P46" s="484" t="s">
        <v>758</v>
      </c>
      <c r="Q46" s="484" t="s">
        <v>759</v>
      </c>
      <c r="R46" s="484" t="s">
        <v>760</v>
      </c>
      <c r="S46" s="484" t="s">
        <v>761</v>
      </c>
      <c r="T46" s="604"/>
      <c r="U46" s="484" t="s">
        <v>758</v>
      </c>
      <c r="V46" s="484" t="s">
        <v>759</v>
      </c>
      <c r="W46" s="484" t="s">
        <v>760</v>
      </c>
      <c r="X46" s="484" t="s">
        <v>761</v>
      </c>
      <c r="Y46" s="604"/>
      <c r="Z46" s="484" t="s">
        <v>758</v>
      </c>
      <c r="AA46" s="484" t="s">
        <v>759</v>
      </c>
      <c r="AB46" s="484" t="s">
        <v>760</v>
      </c>
      <c r="AC46" s="484" t="s">
        <v>761</v>
      </c>
      <c r="AD46" s="604"/>
      <c r="AE46" s="484" t="s">
        <v>758</v>
      </c>
      <c r="AF46" s="484" t="s">
        <v>759</v>
      </c>
      <c r="AG46" s="484" t="s">
        <v>760</v>
      </c>
      <c r="AH46" s="484" t="s">
        <v>761</v>
      </c>
      <c r="AI46" s="604"/>
      <c r="AJ46" s="484" t="s">
        <v>758</v>
      </c>
      <c r="AK46" s="484" t="s">
        <v>759</v>
      </c>
      <c r="AL46" s="484" t="s">
        <v>760</v>
      </c>
      <c r="AM46" s="484" t="s">
        <v>761</v>
      </c>
      <c r="AN46" s="604"/>
      <c r="AO46" s="484" t="s">
        <v>758</v>
      </c>
      <c r="AP46" s="484" t="s">
        <v>759</v>
      </c>
      <c r="AQ46" s="484" t="s">
        <v>760</v>
      </c>
      <c r="AR46" s="484" t="s">
        <v>761</v>
      </c>
      <c r="AS46" s="604"/>
      <c r="AT46" s="484" t="s">
        <v>758</v>
      </c>
      <c r="AU46" s="484" t="s">
        <v>759</v>
      </c>
      <c r="AV46" s="484" t="s">
        <v>760</v>
      </c>
      <c r="AW46" s="484" t="s">
        <v>761</v>
      </c>
      <c r="AX46" s="604"/>
      <c r="AZ46" s="520" t="s">
        <v>761</v>
      </c>
      <c r="BA46" s="604"/>
    </row>
    <row r="47" spans="2:53">
      <c r="B47" s="604" t="s">
        <v>544</v>
      </c>
      <c r="C47" s="320">
        <v>1</v>
      </c>
      <c r="D47" s="226" t="s">
        <v>371</v>
      </c>
      <c r="E47" s="182">
        <v>18</v>
      </c>
      <c r="F47" s="511">
        <v>1440</v>
      </c>
      <c r="G47" s="512">
        <v>80</v>
      </c>
      <c r="H47" s="667">
        <f>AVERAGE(G47:G61)</f>
        <v>80.208333333333329</v>
      </c>
      <c r="I47" s="513">
        <f t="shared" ref="I47:I60" si="38">IFERROR(AVERAGE(P47,U47,Z47,AE47,AJ47,AO47,AT47),"-")</f>
        <v>18</v>
      </c>
      <c r="J47" s="513">
        <f t="shared" ref="J47:J60" si="39">IFERROR(AVERAGE(Q47,V47,AA47,AF47,AK47,AP47,AU47),"-")</f>
        <v>1300.9834926296123</v>
      </c>
      <c r="K47" s="200">
        <f t="shared" ref="K47:K60" si="40">IFERROR(AVERAGE(R47,W47,AB47,AG47,AL47,AQ47,AV47),"-")</f>
        <v>72.276860701645134</v>
      </c>
      <c r="L47" s="620">
        <f>IFERROR(AVERAGE(K47:K61),"-")</f>
        <v>71.990196388604417</v>
      </c>
      <c r="M47" s="201">
        <f>RANK(K47, K$47:$K$61)</f>
        <v>5</v>
      </c>
      <c r="N47" s="604"/>
      <c r="O47" s="604"/>
      <c r="P47" s="531">
        <v>18</v>
      </c>
      <c r="Q47" s="533">
        <v>1312.9411764705883</v>
      </c>
      <c r="R47" s="533">
        <v>72.941176470588232</v>
      </c>
      <c r="S47" s="531">
        <f t="shared" ref="S47:S61" si="41">RANK(R47, R$47:R$61)</f>
        <v>4</v>
      </c>
      <c r="T47" s="599">
        <f t="shared" ref="T47" si="42">AVERAGE(R47:R61)</f>
        <v>71.790118304105007</v>
      </c>
      <c r="U47" s="531">
        <v>18</v>
      </c>
      <c r="V47" s="533">
        <v>1292.3999999999999</v>
      </c>
      <c r="W47" s="533">
        <v>71.8</v>
      </c>
      <c r="X47" s="531">
        <f t="shared" ref="X47:X61" si="43">RANK(W47, W$47:W$61)</f>
        <v>5</v>
      </c>
      <c r="Y47" s="599">
        <f t="shared" ref="Y47" si="44">AVERAGE(W47:W61)</f>
        <v>72.084832953915935</v>
      </c>
      <c r="Z47" s="531">
        <v>18</v>
      </c>
      <c r="AA47" s="533">
        <v>1288.8870967741932</v>
      </c>
      <c r="AB47" s="533">
        <v>71.604838709677395</v>
      </c>
      <c r="AC47" s="531">
        <f t="shared" ref="AC47:AC61" si="45">RANK(AB47, AB$47:AB$61)</f>
        <v>5</v>
      </c>
      <c r="AD47" s="599">
        <f t="shared" ref="AD47" si="46">AVERAGE(AB47:AB61)</f>
        <v>72.58936634905929</v>
      </c>
      <c r="AE47" s="531">
        <v>18</v>
      </c>
      <c r="AF47" s="533">
        <v>1319.9999999999989</v>
      </c>
      <c r="AG47" s="533">
        <v>73.333333333333272</v>
      </c>
      <c r="AH47" s="531">
        <f t="shared" ref="AH47:AH61" si="47">RANK(AG47, AG$47:AG$61)</f>
        <v>5</v>
      </c>
      <c r="AI47" s="599">
        <f t="shared" ref="AI47" si="48">AVERAGE(AG47:AG61)</f>
        <v>72.738680761223932</v>
      </c>
      <c r="AJ47" s="531">
        <v>18</v>
      </c>
      <c r="AK47" s="533">
        <v>1302.5675675675679</v>
      </c>
      <c r="AL47" s="533">
        <v>72.364864864864884</v>
      </c>
      <c r="AM47" s="531">
        <f t="shared" ref="AM47:AM61" si="49">RANK(AL47, AL$47:AL$61)</f>
        <v>5</v>
      </c>
      <c r="AN47" s="599">
        <f t="shared" ref="AN47" si="50">AVERAGE(AL47:AL61)</f>
        <v>71.613738819919107</v>
      </c>
      <c r="AO47" s="531">
        <v>18</v>
      </c>
      <c r="AP47" s="533">
        <v>1295.0000000000007</v>
      </c>
      <c r="AQ47" s="533">
        <v>71.944444444444485</v>
      </c>
      <c r="AR47" s="531">
        <f t="shared" ref="AR47:AR61" si="51">RANK(AQ47, AQ$47:AQ$61)</f>
        <v>5</v>
      </c>
      <c r="AS47" s="599">
        <f t="shared" ref="AS47" si="52">AVERAGE(AQ47:AQ61)</f>
        <v>71.520618610998966</v>
      </c>
      <c r="AT47" s="531">
        <v>18</v>
      </c>
      <c r="AU47" s="533">
        <v>1295.0886075949372</v>
      </c>
      <c r="AV47" s="533">
        <v>71.94936708860763</v>
      </c>
      <c r="AW47" s="531">
        <f t="shared" ref="AW47:AW61" si="53">RANK(AV47, AV$47:AV$61)</f>
        <v>5</v>
      </c>
      <c r="AX47" s="599">
        <f t="shared" ref="AX47" si="54">AVERAGE(AV47:AV61)</f>
        <v>71.594018921008669</v>
      </c>
      <c r="AZ47" s="521" t="e">
        <f t="shared" ref="AZ47:AZ61" si="55">RANK(AY47, AY$47:AY$61)</f>
        <v>#N/A</v>
      </c>
      <c r="BA47" s="599" t="e">
        <f t="shared" ref="BA47" si="56">AVERAGE(AY47:AY61)</f>
        <v>#DIV/0!</v>
      </c>
    </row>
    <row r="48" spans="2:53">
      <c r="B48" s="610"/>
      <c r="C48" s="320">
        <v>2</v>
      </c>
      <c r="D48" s="226" t="s">
        <v>372</v>
      </c>
      <c r="E48" s="182">
        <v>18</v>
      </c>
      <c r="F48" s="511">
        <v>1440</v>
      </c>
      <c r="G48" s="512">
        <v>80</v>
      </c>
      <c r="H48" s="668"/>
      <c r="I48" s="513">
        <f t="shared" si="38"/>
        <v>18</v>
      </c>
      <c r="J48" s="513">
        <f t="shared" si="39"/>
        <v>1244.7054222373374</v>
      </c>
      <c r="K48" s="200">
        <f t="shared" si="40"/>
        <v>69.150301235407625</v>
      </c>
      <c r="L48" s="621"/>
      <c r="M48" s="201">
        <f>RANK(K48, K$47:$K$61)</f>
        <v>8</v>
      </c>
      <c r="N48" s="604"/>
      <c r="O48" s="604"/>
      <c r="P48" s="531">
        <v>18</v>
      </c>
      <c r="Q48" s="533">
        <v>1225.0909090909099</v>
      </c>
      <c r="R48" s="533">
        <v>68.060606060606105</v>
      </c>
      <c r="S48" s="531">
        <f t="shared" si="41"/>
        <v>9</v>
      </c>
      <c r="T48" s="600"/>
      <c r="U48" s="531">
        <v>18</v>
      </c>
      <c r="V48" s="533">
        <v>1231.1538461538469</v>
      </c>
      <c r="W48" s="533">
        <v>68.39743589743594</v>
      </c>
      <c r="X48" s="531">
        <f t="shared" si="43"/>
        <v>9</v>
      </c>
      <c r="Y48" s="600"/>
      <c r="Z48" s="531">
        <v>18</v>
      </c>
      <c r="AA48" s="533">
        <v>1251.0638297872342</v>
      </c>
      <c r="AB48" s="533">
        <v>69.503546099290787</v>
      </c>
      <c r="AC48" s="531">
        <f t="shared" si="45"/>
        <v>8</v>
      </c>
      <c r="AD48" s="600"/>
      <c r="AE48" s="531">
        <v>18</v>
      </c>
      <c r="AF48" s="533">
        <v>1238.1818181818164</v>
      </c>
      <c r="AG48" s="533">
        <v>68.787878787878697</v>
      </c>
      <c r="AH48" s="531">
        <f t="shared" si="47"/>
        <v>8</v>
      </c>
      <c r="AI48" s="600"/>
      <c r="AJ48" s="531">
        <v>18</v>
      </c>
      <c r="AK48" s="533">
        <v>1259.9999999999995</v>
      </c>
      <c r="AL48" s="533">
        <v>69.999999999999972</v>
      </c>
      <c r="AM48" s="531">
        <f t="shared" si="49"/>
        <v>6</v>
      </c>
      <c r="AN48" s="600"/>
      <c r="AO48" s="531">
        <v>18</v>
      </c>
      <c r="AP48" s="533">
        <v>1250.9090909090924</v>
      </c>
      <c r="AQ48" s="533">
        <v>69.49494949494958</v>
      </c>
      <c r="AR48" s="531">
        <f t="shared" si="51"/>
        <v>7</v>
      </c>
      <c r="AS48" s="600"/>
      <c r="AT48" s="531">
        <v>18</v>
      </c>
      <c r="AU48" s="533">
        <v>1256.5384615384623</v>
      </c>
      <c r="AV48" s="533">
        <v>69.807692307692349</v>
      </c>
      <c r="AW48" s="531">
        <f t="shared" si="53"/>
        <v>6</v>
      </c>
      <c r="AX48" s="600"/>
      <c r="AZ48" s="521" t="e">
        <f t="shared" si="55"/>
        <v>#N/A</v>
      </c>
      <c r="BA48" s="600"/>
    </row>
    <row r="49" spans="2:53">
      <c r="B49" s="610"/>
      <c r="C49" s="320">
        <v>3</v>
      </c>
      <c r="D49" s="226" t="s">
        <v>373</v>
      </c>
      <c r="E49" s="182">
        <v>17</v>
      </c>
      <c r="F49" s="511">
        <v>1440</v>
      </c>
      <c r="G49" s="512">
        <v>84.7</v>
      </c>
      <c r="H49" s="668"/>
      <c r="I49" s="513">
        <f t="shared" si="38"/>
        <v>17.142857142857142</v>
      </c>
      <c r="J49" s="513">
        <f t="shared" si="39"/>
        <v>1317.6844481684316</v>
      </c>
      <c r="K49" s="200">
        <f t="shared" si="40"/>
        <v>76.89285269338113</v>
      </c>
      <c r="L49" s="621"/>
      <c r="M49" s="201">
        <f>RANK(K49, K$47:$K$61)</f>
        <v>3</v>
      </c>
      <c r="N49" s="604"/>
      <c r="O49" s="604"/>
      <c r="P49" s="531">
        <v>17</v>
      </c>
      <c r="Q49" s="533">
        <v>1301.2499999999998</v>
      </c>
      <c r="R49" s="533">
        <v>76.544117647058812</v>
      </c>
      <c r="S49" s="531">
        <f t="shared" si="41"/>
        <v>3</v>
      </c>
      <c r="T49" s="600"/>
      <c r="U49" s="531">
        <v>17</v>
      </c>
      <c r="V49" s="533">
        <v>1323.7837837837828</v>
      </c>
      <c r="W49" s="533">
        <v>77.869634340222518</v>
      </c>
      <c r="X49" s="531">
        <f t="shared" si="43"/>
        <v>3</v>
      </c>
      <c r="Y49" s="600"/>
      <c r="Z49" s="531">
        <v>17</v>
      </c>
      <c r="AA49" s="533">
        <v>1318.2178217821788</v>
      </c>
      <c r="AB49" s="533">
        <v>77.542224810716405</v>
      </c>
      <c r="AC49" s="531">
        <f t="shared" si="45"/>
        <v>3</v>
      </c>
      <c r="AD49" s="600"/>
      <c r="AE49" s="531">
        <v>17</v>
      </c>
      <c r="AF49" s="533">
        <v>1322.3529411764712</v>
      </c>
      <c r="AG49" s="533">
        <v>77.785467128027719</v>
      </c>
      <c r="AH49" s="531">
        <f t="shared" si="47"/>
        <v>3</v>
      </c>
      <c r="AI49" s="600"/>
      <c r="AJ49" s="531">
        <v>17</v>
      </c>
      <c r="AK49" s="533">
        <v>1313.5135135135124</v>
      </c>
      <c r="AL49" s="533">
        <v>77.265500794912498</v>
      </c>
      <c r="AM49" s="531">
        <f t="shared" si="49"/>
        <v>3</v>
      </c>
      <c r="AN49" s="600"/>
      <c r="AO49" s="531">
        <v>17</v>
      </c>
      <c r="AP49" s="533">
        <v>1320.9230769230767</v>
      </c>
      <c r="AQ49" s="533">
        <v>77.701357466063328</v>
      </c>
      <c r="AR49" s="531">
        <f t="shared" si="51"/>
        <v>3</v>
      </c>
      <c r="AS49" s="600"/>
      <c r="AT49" s="531">
        <v>18</v>
      </c>
      <c r="AU49" s="533">
        <v>1323.7499999999998</v>
      </c>
      <c r="AV49" s="533">
        <v>73.541666666666657</v>
      </c>
      <c r="AW49" s="531">
        <f t="shared" si="53"/>
        <v>4</v>
      </c>
      <c r="AX49" s="600"/>
      <c r="AZ49" s="521" t="e">
        <f t="shared" si="55"/>
        <v>#N/A</v>
      </c>
      <c r="BA49" s="600"/>
    </row>
    <row r="50" spans="2:53">
      <c r="B50" s="610"/>
      <c r="C50" s="320">
        <v>4</v>
      </c>
      <c r="D50" s="226" t="s">
        <v>374</v>
      </c>
      <c r="E50" s="182">
        <v>17</v>
      </c>
      <c r="F50" s="511">
        <v>1440</v>
      </c>
      <c r="G50" s="512">
        <v>84.7</v>
      </c>
      <c r="H50" s="668"/>
      <c r="I50" s="513">
        <f t="shared" si="38"/>
        <v>17</v>
      </c>
      <c r="J50" s="513">
        <f t="shared" si="39"/>
        <v>1252.1075834589153</v>
      </c>
      <c r="K50" s="200">
        <f t="shared" si="40"/>
        <v>73.653387262289129</v>
      </c>
      <c r="L50" s="621"/>
      <c r="M50" s="201">
        <f>RANK(K50, K$47:$K$61)</f>
        <v>4</v>
      </c>
      <c r="N50" s="604"/>
      <c r="O50" s="604"/>
      <c r="P50" s="531">
        <v>17</v>
      </c>
      <c r="Q50" s="533">
        <v>1237.0212765957449</v>
      </c>
      <c r="R50" s="533">
        <v>72.765957446808528</v>
      </c>
      <c r="S50" s="531">
        <f t="shared" si="41"/>
        <v>5</v>
      </c>
      <c r="T50" s="600"/>
      <c r="U50" s="531">
        <v>17</v>
      </c>
      <c r="V50" s="533">
        <v>1264</v>
      </c>
      <c r="W50" s="533">
        <v>74.352941176470594</v>
      </c>
      <c r="X50" s="531">
        <f t="shared" si="43"/>
        <v>4</v>
      </c>
      <c r="Y50" s="600"/>
      <c r="Z50" s="531">
        <v>17</v>
      </c>
      <c r="AA50" s="533">
        <v>1260.0000000000002</v>
      </c>
      <c r="AB50" s="533">
        <v>74.117647058823536</v>
      </c>
      <c r="AC50" s="531">
        <f t="shared" si="45"/>
        <v>4</v>
      </c>
      <c r="AD50" s="600"/>
      <c r="AE50" s="531">
        <v>17</v>
      </c>
      <c r="AF50" s="533">
        <v>1265.2941176470572</v>
      </c>
      <c r="AG50" s="533">
        <v>74.429065743944534</v>
      </c>
      <c r="AH50" s="531">
        <f t="shared" si="47"/>
        <v>4</v>
      </c>
      <c r="AI50" s="600"/>
      <c r="AJ50" s="531">
        <v>17</v>
      </c>
      <c r="AK50" s="533">
        <v>1255.7142857142851</v>
      </c>
      <c r="AL50" s="533">
        <v>73.865546218487353</v>
      </c>
      <c r="AM50" s="531">
        <f t="shared" si="49"/>
        <v>4</v>
      </c>
      <c r="AN50" s="600"/>
      <c r="AO50" s="531">
        <v>17</v>
      </c>
      <c r="AP50" s="533">
        <v>1224</v>
      </c>
      <c r="AQ50" s="533">
        <v>72</v>
      </c>
      <c r="AR50" s="531">
        <f t="shared" si="51"/>
        <v>4</v>
      </c>
      <c r="AS50" s="600"/>
      <c r="AT50" s="531">
        <v>17</v>
      </c>
      <c r="AU50" s="533">
        <v>1258.7234042553193</v>
      </c>
      <c r="AV50" s="533">
        <v>74.042553191489375</v>
      </c>
      <c r="AW50" s="531">
        <f t="shared" si="53"/>
        <v>3</v>
      </c>
      <c r="AX50" s="600"/>
      <c r="AZ50" s="521" t="e">
        <f t="shared" si="55"/>
        <v>#N/A</v>
      </c>
      <c r="BA50" s="600"/>
    </row>
    <row r="51" spans="2:53">
      <c r="B51" s="610"/>
      <c r="C51" s="320">
        <v>5</v>
      </c>
      <c r="D51" s="226" t="s">
        <v>375</v>
      </c>
      <c r="E51" s="182">
        <v>21</v>
      </c>
      <c r="F51" s="511">
        <v>1385</v>
      </c>
      <c r="G51" s="512">
        <v>65.900000000000006</v>
      </c>
      <c r="H51" s="668"/>
      <c r="I51" s="513">
        <f t="shared" si="38"/>
        <v>21</v>
      </c>
      <c r="J51" s="513">
        <f t="shared" si="39"/>
        <v>1268.5854407800857</v>
      </c>
      <c r="K51" s="200">
        <f t="shared" si="40"/>
        <v>60.408830513337406</v>
      </c>
      <c r="L51" s="621"/>
      <c r="M51" s="201">
        <f>RANK(K51, K$47:$K$61)</f>
        <v>12</v>
      </c>
      <c r="N51" s="604"/>
      <c r="O51" s="604"/>
      <c r="P51" s="531">
        <v>21</v>
      </c>
      <c r="Q51" s="533">
        <v>1252.4999999999993</v>
      </c>
      <c r="R51" s="533">
        <v>59.64285714285711</v>
      </c>
      <c r="S51" s="531">
        <f t="shared" si="41"/>
        <v>12</v>
      </c>
      <c r="T51" s="600"/>
      <c r="U51" s="531">
        <v>21</v>
      </c>
      <c r="V51" s="533">
        <v>1287.3214285714278</v>
      </c>
      <c r="W51" s="533">
        <v>61.301020408163225</v>
      </c>
      <c r="X51" s="531">
        <f t="shared" si="43"/>
        <v>12</v>
      </c>
      <c r="Y51" s="600"/>
      <c r="Z51" s="531">
        <v>21</v>
      </c>
      <c r="AA51" s="533">
        <v>1309.4117647058829</v>
      </c>
      <c r="AB51" s="533">
        <v>62.352941176470615</v>
      </c>
      <c r="AC51" s="531">
        <f t="shared" si="45"/>
        <v>12</v>
      </c>
      <c r="AD51" s="600"/>
      <c r="AE51" s="531">
        <v>21</v>
      </c>
      <c r="AF51" s="533">
        <v>1325.6250000000005</v>
      </c>
      <c r="AG51" s="533">
        <v>63.125000000000021</v>
      </c>
      <c r="AH51" s="531">
        <f t="shared" si="47"/>
        <v>12</v>
      </c>
      <c r="AI51" s="600"/>
      <c r="AJ51" s="531">
        <v>21</v>
      </c>
      <c r="AK51" s="533">
        <v>1219.8113207547176</v>
      </c>
      <c r="AL51" s="533">
        <v>58.086253369272264</v>
      </c>
      <c r="AM51" s="531">
        <f t="shared" si="49"/>
        <v>12</v>
      </c>
      <c r="AN51" s="600"/>
      <c r="AO51" s="531">
        <v>21</v>
      </c>
      <c r="AP51" s="533">
        <v>1249.714285714286</v>
      </c>
      <c r="AQ51" s="533">
        <v>59.510204081632665</v>
      </c>
      <c r="AR51" s="531">
        <f t="shared" si="51"/>
        <v>12</v>
      </c>
      <c r="AS51" s="600"/>
      <c r="AT51" s="531">
        <v>21</v>
      </c>
      <c r="AU51" s="533">
        <v>1235.7142857142856</v>
      </c>
      <c r="AV51" s="533">
        <v>58.843537414965979</v>
      </c>
      <c r="AW51" s="531">
        <f t="shared" si="53"/>
        <v>12</v>
      </c>
      <c r="AX51" s="600"/>
      <c r="AZ51" s="521" t="e">
        <f t="shared" si="55"/>
        <v>#N/A</v>
      </c>
      <c r="BA51" s="600"/>
    </row>
    <row r="52" spans="2:53">
      <c r="B52" s="610"/>
      <c r="C52" s="320">
        <v>6</v>
      </c>
      <c r="D52" s="226" t="s">
        <v>376</v>
      </c>
      <c r="E52" s="182">
        <v>19</v>
      </c>
      <c r="F52" s="511">
        <v>1440</v>
      </c>
      <c r="G52" s="512">
        <v>75.8</v>
      </c>
      <c r="H52" s="668"/>
      <c r="I52" s="513">
        <f t="shared" si="38"/>
        <v>19</v>
      </c>
      <c r="J52" s="513">
        <f t="shared" si="39"/>
        <v>1320.858360920339</v>
      </c>
      <c r="K52" s="200">
        <f t="shared" si="40"/>
        <v>69.518861101070456</v>
      </c>
      <c r="L52" s="621"/>
      <c r="M52" s="201">
        <f>RANK(K52, K$47:$K$61)</f>
        <v>7</v>
      </c>
      <c r="N52" s="604"/>
      <c r="O52" s="604"/>
      <c r="P52" s="531">
        <v>19</v>
      </c>
      <c r="Q52" s="533">
        <v>1308.9795918367352</v>
      </c>
      <c r="R52" s="533">
        <v>68.893662728249225</v>
      </c>
      <c r="S52" s="531">
        <f t="shared" si="41"/>
        <v>6</v>
      </c>
      <c r="T52" s="600"/>
      <c r="U52" s="531">
        <v>19</v>
      </c>
      <c r="V52" s="533">
        <v>1346.3414634146336</v>
      </c>
      <c r="W52" s="533">
        <v>70.860077021822818</v>
      </c>
      <c r="X52" s="531">
        <f t="shared" si="43"/>
        <v>6</v>
      </c>
      <c r="Y52" s="600"/>
      <c r="Z52" s="531">
        <v>19</v>
      </c>
      <c r="AA52" s="533">
        <v>1352.8571428571424</v>
      </c>
      <c r="AB52" s="533">
        <v>71.203007518796966</v>
      </c>
      <c r="AC52" s="531">
        <f t="shared" si="45"/>
        <v>6</v>
      </c>
      <c r="AD52" s="600"/>
      <c r="AE52" s="531">
        <v>19</v>
      </c>
      <c r="AF52" s="533">
        <v>1371.1764705882335</v>
      </c>
      <c r="AG52" s="533">
        <v>72.167182662538607</v>
      </c>
      <c r="AH52" s="531">
        <f t="shared" si="47"/>
        <v>6</v>
      </c>
      <c r="AI52" s="600"/>
      <c r="AJ52" s="531">
        <v>19</v>
      </c>
      <c r="AK52" s="533">
        <v>1282.7848101265815</v>
      </c>
      <c r="AL52" s="533">
        <v>67.514990006662188</v>
      </c>
      <c r="AM52" s="531">
        <f t="shared" si="49"/>
        <v>11</v>
      </c>
      <c r="AN52" s="600"/>
      <c r="AO52" s="531">
        <v>19</v>
      </c>
      <c r="AP52" s="533">
        <v>1290.5357142857133</v>
      </c>
      <c r="AQ52" s="533">
        <v>67.92293233082701</v>
      </c>
      <c r="AR52" s="531">
        <f t="shared" si="51"/>
        <v>10</v>
      </c>
      <c r="AS52" s="600"/>
      <c r="AT52" s="531">
        <v>19</v>
      </c>
      <c r="AU52" s="533">
        <v>1293.3333333333323</v>
      </c>
      <c r="AV52" s="533">
        <v>68.070175438596436</v>
      </c>
      <c r="AW52" s="531">
        <f t="shared" si="53"/>
        <v>9</v>
      </c>
      <c r="AX52" s="600"/>
      <c r="AZ52" s="521" t="e">
        <f t="shared" si="55"/>
        <v>#N/A</v>
      </c>
      <c r="BA52" s="600"/>
    </row>
    <row r="53" spans="2:53">
      <c r="B53" s="610"/>
      <c r="C53" s="320">
        <v>7</v>
      </c>
      <c r="D53" s="226" t="s">
        <v>578</v>
      </c>
      <c r="E53" s="182">
        <v>18</v>
      </c>
      <c r="F53" s="511">
        <v>1385</v>
      </c>
      <c r="G53" s="512">
        <v>76.900000000000006</v>
      </c>
      <c r="H53" s="668"/>
      <c r="I53" s="513">
        <f t="shared" si="38"/>
        <v>18</v>
      </c>
      <c r="J53" s="513">
        <f t="shared" si="39"/>
        <v>1233.6384184696201</v>
      </c>
      <c r="K53" s="200">
        <f t="shared" si="40"/>
        <v>68.535467692756683</v>
      </c>
      <c r="L53" s="621"/>
      <c r="M53" s="201">
        <f>RANK(K53, K$47:$K$61)</f>
        <v>9</v>
      </c>
      <c r="N53" s="604"/>
      <c r="O53" s="604"/>
      <c r="P53" s="531">
        <v>18</v>
      </c>
      <c r="Q53" s="533">
        <v>1239.1999999999991</v>
      </c>
      <c r="R53" s="533">
        <v>68.844444444444392</v>
      </c>
      <c r="S53" s="531">
        <f t="shared" si="41"/>
        <v>7</v>
      </c>
      <c r="T53" s="600"/>
      <c r="U53" s="531">
        <v>18</v>
      </c>
      <c r="V53" s="533">
        <v>1240.5405405405395</v>
      </c>
      <c r="W53" s="533">
        <v>68.918918918918862</v>
      </c>
      <c r="X53" s="531">
        <f t="shared" si="43"/>
        <v>8</v>
      </c>
      <c r="Y53" s="600"/>
      <c r="Z53" s="531">
        <v>18</v>
      </c>
      <c r="AA53" s="533">
        <v>1240.8695652173901</v>
      </c>
      <c r="AB53" s="533">
        <v>68.937198067632778</v>
      </c>
      <c r="AC53" s="531">
        <f t="shared" si="45"/>
        <v>9</v>
      </c>
      <c r="AD53" s="600"/>
      <c r="AE53" s="531">
        <v>18</v>
      </c>
      <c r="AF53" s="533">
        <v>1236.176470588237</v>
      </c>
      <c r="AG53" s="533">
        <v>68.676470588235389</v>
      </c>
      <c r="AH53" s="531">
        <f t="shared" si="47"/>
        <v>9</v>
      </c>
      <c r="AI53" s="600"/>
      <c r="AJ53" s="531">
        <v>18</v>
      </c>
      <c r="AK53" s="533">
        <v>1232.7999999999993</v>
      </c>
      <c r="AL53" s="533">
        <v>68.488888888888852</v>
      </c>
      <c r="AM53" s="531">
        <f t="shared" si="49"/>
        <v>8</v>
      </c>
      <c r="AN53" s="600"/>
      <c r="AO53" s="531">
        <v>18</v>
      </c>
      <c r="AP53" s="533">
        <v>1223.2941176470586</v>
      </c>
      <c r="AQ53" s="533">
        <v>67.960784313725469</v>
      </c>
      <c r="AR53" s="531">
        <f t="shared" si="51"/>
        <v>9</v>
      </c>
      <c r="AS53" s="600"/>
      <c r="AT53" s="531">
        <v>18</v>
      </c>
      <c r="AU53" s="533">
        <v>1222.5882352941173</v>
      </c>
      <c r="AV53" s="533">
        <v>67.921568627450966</v>
      </c>
      <c r="AW53" s="531">
        <f t="shared" si="53"/>
        <v>10</v>
      </c>
      <c r="AX53" s="600"/>
      <c r="AZ53" s="521" t="e">
        <f t="shared" si="55"/>
        <v>#N/A</v>
      </c>
      <c r="BA53" s="600"/>
    </row>
    <row r="54" spans="2:53">
      <c r="B54" s="610"/>
      <c r="C54" s="320">
        <v>8</v>
      </c>
      <c r="D54" s="226" t="s">
        <v>581</v>
      </c>
      <c r="E54" s="182">
        <v>18</v>
      </c>
      <c r="F54" s="511">
        <v>1385</v>
      </c>
      <c r="G54" s="512">
        <v>76.900000000000006</v>
      </c>
      <c r="H54" s="668"/>
      <c r="I54" s="513">
        <f t="shared" si="38"/>
        <v>18</v>
      </c>
      <c r="J54" s="513">
        <f t="shared" si="39"/>
        <v>1202.6714144896396</v>
      </c>
      <c r="K54" s="200">
        <f t="shared" si="40"/>
        <v>66.815078582757764</v>
      </c>
      <c r="L54" s="621"/>
      <c r="M54" s="201">
        <f>RANK(K54, K$47:$K$61)</f>
        <v>11</v>
      </c>
      <c r="N54" s="604"/>
      <c r="O54" s="604"/>
      <c r="P54" s="531">
        <v>18</v>
      </c>
      <c r="Q54" s="533">
        <v>1211.0204081632655</v>
      </c>
      <c r="R54" s="533">
        <v>67.278911564625858</v>
      </c>
      <c r="S54" s="531">
        <f t="shared" si="41"/>
        <v>11</v>
      </c>
      <c r="T54" s="600"/>
      <c r="U54" s="531">
        <v>18</v>
      </c>
      <c r="V54" s="533">
        <v>1204</v>
      </c>
      <c r="W54" s="533">
        <v>66.888888888888886</v>
      </c>
      <c r="X54" s="531">
        <f t="shared" si="43"/>
        <v>11</v>
      </c>
      <c r="Y54" s="600"/>
      <c r="Z54" s="531">
        <v>18</v>
      </c>
      <c r="AA54" s="533">
        <v>1200.0000000000002</v>
      </c>
      <c r="AB54" s="533">
        <v>66.666666666666686</v>
      </c>
      <c r="AC54" s="531">
        <f t="shared" si="45"/>
        <v>11</v>
      </c>
      <c r="AD54" s="600"/>
      <c r="AE54" s="531">
        <v>18</v>
      </c>
      <c r="AF54" s="533">
        <v>1201.3953488372092</v>
      </c>
      <c r="AG54" s="533">
        <v>66.744186046511629</v>
      </c>
      <c r="AH54" s="531">
        <f t="shared" si="47"/>
        <v>11</v>
      </c>
      <c r="AI54" s="600"/>
      <c r="AJ54" s="531">
        <v>18</v>
      </c>
      <c r="AK54" s="533">
        <v>1226.9387755102043</v>
      </c>
      <c r="AL54" s="533">
        <v>68.163265306122469</v>
      </c>
      <c r="AM54" s="531">
        <f t="shared" si="49"/>
        <v>9</v>
      </c>
      <c r="AN54" s="600"/>
      <c r="AO54" s="531">
        <v>18</v>
      </c>
      <c r="AP54" s="533">
        <v>1192.6530612244901</v>
      </c>
      <c r="AQ54" s="533">
        <v>66.258503401360556</v>
      </c>
      <c r="AR54" s="531">
        <f t="shared" si="51"/>
        <v>11</v>
      </c>
      <c r="AS54" s="600"/>
      <c r="AT54" s="531">
        <v>18</v>
      </c>
      <c r="AU54" s="533">
        <v>1182.6923076923083</v>
      </c>
      <c r="AV54" s="533">
        <v>65.705128205128233</v>
      </c>
      <c r="AW54" s="531">
        <f t="shared" si="53"/>
        <v>11</v>
      </c>
      <c r="AX54" s="600"/>
      <c r="AZ54" s="521" t="e">
        <f t="shared" si="55"/>
        <v>#N/A</v>
      </c>
      <c r="BA54" s="600"/>
    </row>
    <row r="55" spans="2:53">
      <c r="B55" s="610"/>
      <c r="C55" s="320">
        <v>9</v>
      </c>
      <c r="D55" s="226" t="s">
        <v>643</v>
      </c>
      <c r="E55" s="182">
        <v>16</v>
      </c>
      <c r="F55" s="511">
        <v>1440</v>
      </c>
      <c r="G55" s="512">
        <v>90</v>
      </c>
      <c r="H55" s="668"/>
      <c r="I55" s="513">
        <f t="shared" si="38"/>
        <v>16</v>
      </c>
      <c r="J55" s="513">
        <f t="shared" si="39"/>
        <v>1310.7357340509839</v>
      </c>
      <c r="K55" s="200">
        <f t="shared" si="40"/>
        <v>81.920983378186492</v>
      </c>
      <c r="L55" s="621"/>
      <c r="M55" s="201">
        <f>RANK(K55, K$47:$K$61)</f>
        <v>2</v>
      </c>
      <c r="N55" s="604"/>
      <c r="O55" s="604"/>
      <c r="P55" s="531">
        <v>16</v>
      </c>
      <c r="Q55" s="533">
        <v>1326.0937499999998</v>
      </c>
      <c r="R55" s="533">
        <v>82.880859374999986</v>
      </c>
      <c r="S55" s="531">
        <f t="shared" si="41"/>
        <v>2</v>
      </c>
      <c r="T55" s="600"/>
      <c r="U55" s="531">
        <v>16</v>
      </c>
      <c r="V55" s="533">
        <v>1328.8695652173906</v>
      </c>
      <c r="W55" s="533">
        <v>83.054347826086911</v>
      </c>
      <c r="X55" s="531">
        <f t="shared" si="43"/>
        <v>2</v>
      </c>
      <c r="Y55" s="600"/>
      <c r="Z55" s="531">
        <v>16</v>
      </c>
      <c r="AA55" s="533">
        <v>1315.7142857142849</v>
      </c>
      <c r="AB55" s="533">
        <v>82.232142857142804</v>
      </c>
      <c r="AC55" s="531">
        <f t="shared" si="45"/>
        <v>2</v>
      </c>
      <c r="AD55" s="600"/>
      <c r="AE55" s="531">
        <v>16</v>
      </c>
      <c r="AF55" s="533">
        <v>1294.9999999999993</v>
      </c>
      <c r="AG55" s="533">
        <v>80.937499999999957</v>
      </c>
      <c r="AH55" s="531">
        <f t="shared" si="47"/>
        <v>2</v>
      </c>
      <c r="AI55" s="600"/>
      <c r="AJ55" s="531">
        <v>16</v>
      </c>
      <c r="AK55" s="533">
        <v>1314.6575342465742</v>
      </c>
      <c r="AL55" s="533">
        <v>82.166095890410887</v>
      </c>
      <c r="AM55" s="531">
        <f t="shared" si="49"/>
        <v>2</v>
      </c>
      <c r="AN55" s="600"/>
      <c r="AO55" s="531">
        <v>16</v>
      </c>
      <c r="AP55" s="533">
        <v>1294.153846153846</v>
      </c>
      <c r="AQ55" s="533">
        <v>80.884615384615373</v>
      </c>
      <c r="AR55" s="531">
        <f t="shared" si="51"/>
        <v>2</v>
      </c>
      <c r="AS55" s="600"/>
      <c r="AT55" s="531">
        <v>16</v>
      </c>
      <c r="AU55" s="533">
        <v>1300.6611570247928</v>
      </c>
      <c r="AV55" s="533">
        <v>81.291322314049552</v>
      </c>
      <c r="AW55" s="531">
        <f t="shared" si="53"/>
        <v>2</v>
      </c>
      <c r="AX55" s="600"/>
      <c r="AZ55" s="521" t="e">
        <f t="shared" si="55"/>
        <v>#N/A</v>
      </c>
      <c r="BA55" s="600"/>
    </row>
    <row r="56" spans="2:53">
      <c r="B56" s="610"/>
      <c r="C56" s="320">
        <v>10</v>
      </c>
      <c r="D56" s="226" t="s">
        <v>764</v>
      </c>
      <c r="E56" s="182">
        <v>19</v>
      </c>
      <c r="F56" s="511">
        <v>1440</v>
      </c>
      <c r="G56" s="512">
        <v>75.8</v>
      </c>
      <c r="H56" s="668"/>
      <c r="I56" s="513">
        <f t="shared" si="38"/>
        <v>19</v>
      </c>
      <c r="J56" s="513">
        <f t="shared" si="39"/>
        <v>1298.0230880774127</v>
      </c>
      <c r="K56" s="200">
        <f t="shared" si="40"/>
        <v>68.317004635653305</v>
      </c>
      <c r="L56" s="621"/>
      <c r="M56" s="201">
        <f>RANK(K56, K$47:$K$61)</f>
        <v>10</v>
      </c>
      <c r="N56" s="604"/>
      <c r="O56" s="604"/>
      <c r="P56" s="531">
        <v>19</v>
      </c>
      <c r="Q56" s="533">
        <v>1288.1777777777777</v>
      </c>
      <c r="R56" s="533">
        <v>67.798830409356725</v>
      </c>
      <c r="S56" s="531">
        <f t="shared" si="41"/>
        <v>10</v>
      </c>
      <c r="T56" s="600"/>
      <c r="U56" s="531">
        <v>19</v>
      </c>
      <c r="V56" s="533">
        <v>1281.7560975609754</v>
      </c>
      <c r="W56" s="533">
        <v>67.460847240051336</v>
      </c>
      <c r="X56" s="531">
        <f t="shared" si="43"/>
        <v>10</v>
      </c>
      <c r="Y56" s="600"/>
      <c r="Z56" s="531">
        <v>19</v>
      </c>
      <c r="AA56" s="533">
        <v>1291.2432432432433</v>
      </c>
      <c r="AB56" s="533">
        <v>67.960170697012813</v>
      </c>
      <c r="AC56" s="531">
        <f t="shared" si="45"/>
        <v>10</v>
      </c>
      <c r="AD56" s="600"/>
      <c r="AE56" s="531">
        <v>19</v>
      </c>
      <c r="AF56" s="533">
        <v>1303.3913043478262</v>
      </c>
      <c r="AG56" s="533">
        <v>68.599542334096114</v>
      </c>
      <c r="AH56" s="531">
        <f t="shared" si="47"/>
        <v>10</v>
      </c>
      <c r="AI56" s="600"/>
      <c r="AJ56" s="531">
        <v>19</v>
      </c>
      <c r="AK56" s="533">
        <v>1288.4355828220855</v>
      </c>
      <c r="AL56" s="533">
        <v>67.812399095899238</v>
      </c>
      <c r="AM56" s="531">
        <f t="shared" si="49"/>
        <v>10</v>
      </c>
      <c r="AN56" s="600"/>
      <c r="AO56" s="531">
        <v>19</v>
      </c>
      <c r="AP56" s="533">
        <v>1309.5333333333333</v>
      </c>
      <c r="AQ56" s="533">
        <v>68.92280701754386</v>
      </c>
      <c r="AR56" s="531">
        <f t="shared" si="51"/>
        <v>8</v>
      </c>
      <c r="AS56" s="600"/>
      <c r="AT56" s="531">
        <v>19</v>
      </c>
      <c r="AU56" s="533">
        <v>1323.6242774566481</v>
      </c>
      <c r="AV56" s="533">
        <v>69.664435655613062</v>
      </c>
      <c r="AW56" s="531">
        <f t="shared" si="53"/>
        <v>7</v>
      </c>
      <c r="AX56" s="600"/>
      <c r="AZ56" s="521" t="e">
        <f t="shared" si="55"/>
        <v>#N/A</v>
      </c>
      <c r="BA56" s="600"/>
    </row>
    <row r="57" spans="2:53">
      <c r="B57" s="610"/>
      <c r="C57" s="320">
        <v>11</v>
      </c>
      <c r="D57" s="226" t="s">
        <v>817</v>
      </c>
      <c r="E57" s="182">
        <v>19</v>
      </c>
      <c r="F57" s="511">
        <v>1440</v>
      </c>
      <c r="G57" s="512">
        <v>75.8</v>
      </c>
      <c r="H57" s="668"/>
      <c r="I57" s="513">
        <f t="shared" si="38"/>
        <v>18</v>
      </c>
      <c r="J57" s="513">
        <f t="shared" si="39"/>
        <v>1257.7770328626902</v>
      </c>
      <c r="K57" s="200">
        <f t="shared" si="40"/>
        <v>69.876501825705006</v>
      </c>
      <c r="L57" s="621"/>
      <c r="M57" s="201">
        <f>RANK(K57, K$47:$K$61)</f>
        <v>6</v>
      </c>
      <c r="N57" s="604"/>
      <c r="O57" s="604"/>
      <c r="P57" s="531">
        <v>18</v>
      </c>
      <c r="Q57" s="533">
        <v>1229.2682926829264</v>
      </c>
      <c r="R57" s="533">
        <v>68.292682926829244</v>
      </c>
      <c r="S57" s="531">
        <f t="shared" si="41"/>
        <v>8</v>
      </c>
      <c r="T57" s="600"/>
      <c r="U57" s="531">
        <v>18</v>
      </c>
      <c r="V57" s="533">
        <v>1275.2941176470595</v>
      </c>
      <c r="W57" s="533">
        <v>70.849673202614412</v>
      </c>
      <c r="X57" s="531">
        <f t="shared" si="43"/>
        <v>7</v>
      </c>
      <c r="Y57" s="600"/>
      <c r="Z57" s="531">
        <v>18</v>
      </c>
      <c r="AA57" s="533">
        <v>1266.3829787234044</v>
      </c>
      <c r="AB57" s="533">
        <v>70.354609929078023</v>
      </c>
      <c r="AC57" s="531">
        <f t="shared" si="45"/>
        <v>7</v>
      </c>
      <c r="AD57" s="600"/>
      <c r="AE57" s="531">
        <v>18</v>
      </c>
      <c r="AF57" s="533">
        <v>1264.7368421052622</v>
      </c>
      <c r="AG57" s="533">
        <v>70.263157894736793</v>
      </c>
      <c r="AH57" s="531">
        <f t="shared" si="47"/>
        <v>7</v>
      </c>
      <c r="AI57" s="600"/>
      <c r="AJ57" s="531">
        <v>18</v>
      </c>
      <c r="AK57" s="533">
        <v>1256.842105263157</v>
      </c>
      <c r="AL57" s="533">
        <v>69.824561403508724</v>
      </c>
      <c r="AM57" s="531">
        <f t="shared" si="49"/>
        <v>7</v>
      </c>
      <c r="AN57" s="600"/>
      <c r="AO57" s="531">
        <v>18</v>
      </c>
      <c r="AP57" s="533">
        <v>1279.9999999999995</v>
      </c>
      <c r="AQ57" s="533">
        <v>71.111111111111086</v>
      </c>
      <c r="AR57" s="531">
        <f t="shared" si="51"/>
        <v>6</v>
      </c>
      <c r="AS57" s="600"/>
      <c r="AT57" s="531">
        <v>18</v>
      </c>
      <c r="AU57" s="533">
        <v>1231.9148936170216</v>
      </c>
      <c r="AV57" s="533">
        <v>68.43971631205676</v>
      </c>
      <c r="AW57" s="531">
        <f t="shared" si="53"/>
        <v>8</v>
      </c>
      <c r="AX57" s="600"/>
      <c r="AZ57" s="521" t="e">
        <f t="shared" si="55"/>
        <v>#N/A</v>
      </c>
      <c r="BA57" s="600"/>
    </row>
    <row r="58" spans="2:53">
      <c r="B58" s="610"/>
      <c r="C58" s="320">
        <v>12</v>
      </c>
      <c r="D58" s="226" t="s">
        <v>832</v>
      </c>
      <c r="E58" s="182">
        <v>15</v>
      </c>
      <c r="F58" s="511">
        <v>1440</v>
      </c>
      <c r="G58" s="512">
        <v>96</v>
      </c>
      <c r="H58" s="668"/>
      <c r="I58" s="513">
        <f t="shared" si="38"/>
        <v>15.428571428571429</v>
      </c>
      <c r="J58" s="513">
        <f t="shared" si="39"/>
        <v>1333.688037731948</v>
      </c>
      <c r="K58" s="200">
        <f t="shared" si="40"/>
        <v>86.516227041062891</v>
      </c>
      <c r="L58" s="621"/>
      <c r="M58" s="201">
        <f>RANK(K58, K$47:$K$61)</f>
        <v>1</v>
      </c>
      <c r="N58" s="604"/>
      <c r="O58" s="604"/>
      <c r="P58" s="531">
        <v>15</v>
      </c>
      <c r="Q58" s="533">
        <v>1313.0597014925372</v>
      </c>
      <c r="R58" s="533">
        <v>87.537313432835816</v>
      </c>
      <c r="S58" s="531">
        <f t="shared" si="41"/>
        <v>1</v>
      </c>
      <c r="T58" s="600"/>
      <c r="U58" s="531">
        <v>16</v>
      </c>
      <c r="V58" s="533">
        <v>1332.2273684210529</v>
      </c>
      <c r="W58" s="533">
        <v>83.264210526315807</v>
      </c>
      <c r="X58" s="531">
        <f t="shared" si="43"/>
        <v>1</v>
      </c>
      <c r="Y58" s="600"/>
      <c r="Z58" s="531">
        <v>15</v>
      </c>
      <c r="AA58" s="533">
        <v>1328.9610389610395</v>
      </c>
      <c r="AB58" s="533">
        <v>88.597402597402635</v>
      </c>
      <c r="AC58" s="531">
        <f t="shared" si="45"/>
        <v>1</v>
      </c>
      <c r="AD58" s="600"/>
      <c r="AE58" s="531">
        <v>15</v>
      </c>
      <c r="AF58" s="533">
        <v>1320.23076923077</v>
      </c>
      <c r="AG58" s="533">
        <v>88.015384615384662</v>
      </c>
      <c r="AH58" s="531">
        <f t="shared" si="47"/>
        <v>1</v>
      </c>
      <c r="AI58" s="600"/>
      <c r="AJ58" s="531">
        <v>16</v>
      </c>
      <c r="AK58" s="533">
        <v>1340.9999999999995</v>
      </c>
      <c r="AL58" s="533">
        <v>83.812499999999972</v>
      </c>
      <c r="AM58" s="531">
        <f t="shared" si="49"/>
        <v>1</v>
      </c>
      <c r="AN58" s="600"/>
      <c r="AO58" s="531">
        <v>16</v>
      </c>
      <c r="AP58" s="533">
        <v>1352.5714285714284</v>
      </c>
      <c r="AQ58" s="533">
        <v>84.535714285714278</v>
      </c>
      <c r="AR58" s="531">
        <f t="shared" si="51"/>
        <v>1</v>
      </c>
      <c r="AS58" s="600"/>
      <c r="AT58" s="531">
        <v>15</v>
      </c>
      <c r="AU58" s="533">
        <v>1347.7659574468087</v>
      </c>
      <c r="AV58" s="533">
        <v>89.85106382978725</v>
      </c>
      <c r="AW58" s="531">
        <f t="shared" si="53"/>
        <v>1</v>
      </c>
      <c r="AX58" s="600"/>
      <c r="AZ58" s="521" t="e">
        <f t="shared" si="55"/>
        <v>#N/A</v>
      </c>
      <c r="BA58" s="600"/>
    </row>
    <row r="59" spans="2:53">
      <c r="B59" s="610"/>
      <c r="C59" s="320">
        <v>13</v>
      </c>
      <c r="D59" s="226"/>
      <c r="E59" s="182"/>
      <c r="F59" s="511"/>
      <c r="G59" s="512"/>
      <c r="H59" s="668"/>
      <c r="I59" s="513" t="str">
        <f t="shared" si="38"/>
        <v>-</v>
      </c>
      <c r="J59" s="513" t="str">
        <f t="shared" si="39"/>
        <v>-</v>
      </c>
      <c r="K59" s="200" t="str">
        <f t="shared" si="40"/>
        <v>-</v>
      </c>
      <c r="L59" s="621"/>
      <c r="M59" s="201" t="e">
        <f>RANK(K59, K$47:$K$61)</f>
        <v>#VALUE!</v>
      </c>
      <c r="N59" s="604"/>
      <c r="O59" s="604"/>
      <c r="P59" s="531" t="s">
        <v>822</v>
      </c>
      <c r="Q59" s="533" t="s">
        <v>822</v>
      </c>
      <c r="R59" s="533" t="s">
        <v>822</v>
      </c>
      <c r="S59" s="531" t="e">
        <f t="shared" si="41"/>
        <v>#VALUE!</v>
      </c>
      <c r="T59" s="600"/>
      <c r="U59" s="531" t="s">
        <v>822</v>
      </c>
      <c r="V59" s="533" t="s">
        <v>822</v>
      </c>
      <c r="W59" s="533" t="s">
        <v>822</v>
      </c>
      <c r="X59" s="531" t="e">
        <f t="shared" si="43"/>
        <v>#VALUE!</v>
      </c>
      <c r="Y59" s="600"/>
      <c r="Z59" s="531" t="s">
        <v>822</v>
      </c>
      <c r="AA59" s="533" t="s">
        <v>822</v>
      </c>
      <c r="AB59" s="533" t="s">
        <v>822</v>
      </c>
      <c r="AC59" s="531" t="e">
        <f t="shared" si="45"/>
        <v>#VALUE!</v>
      </c>
      <c r="AD59" s="600"/>
      <c r="AE59" s="531" t="s">
        <v>822</v>
      </c>
      <c r="AF59" s="533" t="s">
        <v>822</v>
      </c>
      <c r="AG59" s="533" t="s">
        <v>822</v>
      </c>
      <c r="AH59" s="531" t="e">
        <f t="shared" si="47"/>
        <v>#VALUE!</v>
      </c>
      <c r="AI59" s="600"/>
      <c r="AJ59" s="531" t="s">
        <v>822</v>
      </c>
      <c r="AK59" s="533" t="s">
        <v>822</v>
      </c>
      <c r="AL59" s="533" t="s">
        <v>822</v>
      </c>
      <c r="AM59" s="531" t="e">
        <f t="shared" si="49"/>
        <v>#VALUE!</v>
      </c>
      <c r="AN59" s="600"/>
      <c r="AO59" s="531" t="s">
        <v>822</v>
      </c>
      <c r="AP59" s="533" t="s">
        <v>822</v>
      </c>
      <c r="AQ59" s="533" t="s">
        <v>822</v>
      </c>
      <c r="AR59" s="531" t="e">
        <f t="shared" si="51"/>
        <v>#VALUE!</v>
      </c>
      <c r="AS59" s="600"/>
      <c r="AT59" s="531" t="s">
        <v>822</v>
      </c>
      <c r="AU59" s="533" t="s">
        <v>822</v>
      </c>
      <c r="AV59" s="533" t="s">
        <v>822</v>
      </c>
      <c r="AW59" s="531" t="e">
        <f t="shared" si="53"/>
        <v>#VALUE!</v>
      </c>
      <c r="AX59" s="600"/>
      <c r="AZ59" s="521" t="e">
        <f t="shared" si="55"/>
        <v>#N/A</v>
      </c>
      <c r="BA59" s="600"/>
    </row>
    <row r="60" spans="2:53">
      <c r="B60" s="610"/>
      <c r="C60" s="320">
        <v>14</v>
      </c>
      <c r="D60" s="226"/>
      <c r="E60" s="182"/>
      <c r="F60" s="511"/>
      <c r="G60" s="512"/>
      <c r="H60" s="668"/>
      <c r="I60" s="513" t="str">
        <f t="shared" si="38"/>
        <v>-</v>
      </c>
      <c r="J60" s="513" t="str">
        <f t="shared" si="39"/>
        <v>-</v>
      </c>
      <c r="K60" s="200" t="str">
        <f t="shared" si="40"/>
        <v>-</v>
      </c>
      <c r="L60" s="621"/>
      <c r="M60" s="201" t="e">
        <f>RANK(K60, K$47:$K$61)</f>
        <v>#VALUE!</v>
      </c>
      <c r="N60" s="604"/>
      <c r="O60" s="604"/>
      <c r="P60" s="531" t="s">
        <v>822</v>
      </c>
      <c r="Q60" s="533" t="s">
        <v>822</v>
      </c>
      <c r="R60" s="533" t="s">
        <v>822</v>
      </c>
      <c r="S60" s="531" t="e">
        <f t="shared" si="41"/>
        <v>#VALUE!</v>
      </c>
      <c r="T60" s="600"/>
      <c r="U60" s="531" t="s">
        <v>822</v>
      </c>
      <c r="V60" s="533" t="s">
        <v>822</v>
      </c>
      <c r="W60" s="533" t="s">
        <v>822</v>
      </c>
      <c r="X60" s="531" t="e">
        <f t="shared" si="43"/>
        <v>#VALUE!</v>
      </c>
      <c r="Y60" s="600"/>
      <c r="Z60" s="531" t="s">
        <v>822</v>
      </c>
      <c r="AA60" s="533" t="s">
        <v>822</v>
      </c>
      <c r="AB60" s="533" t="s">
        <v>822</v>
      </c>
      <c r="AC60" s="531" t="e">
        <f t="shared" si="45"/>
        <v>#VALUE!</v>
      </c>
      <c r="AD60" s="600"/>
      <c r="AE60" s="531" t="s">
        <v>822</v>
      </c>
      <c r="AF60" s="533" t="s">
        <v>822</v>
      </c>
      <c r="AG60" s="533" t="s">
        <v>822</v>
      </c>
      <c r="AH60" s="531" t="e">
        <f t="shared" si="47"/>
        <v>#VALUE!</v>
      </c>
      <c r="AI60" s="600"/>
      <c r="AJ60" s="531" t="s">
        <v>822</v>
      </c>
      <c r="AK60" s="533" t="s">
        <v>822</v>
      </c>
      <c r="AL60" s="533" t="s">
        <v>822</v>
      </c>
      <c r="AM60" s="531" t="e">
        <f t="shared" si="49"/>
        <v>#VALUE!</v>
      </c>
      <c r="AN60" s="600"/>
      <c r="AO60" s="531" t="s">
        <v>822</v>
      </c>
      <c r="AP60" s="533" t="s">
        <v>822</v>
      </c>
      <c r="AQ60" s="533" t="s">
        <v>822</v>
      </c>
      <c r="AR60" s="531" t="e">
        <f t="shared" si="51"/>
        <v>#VALUE!</v>
      </c>
      <c r="AS60" s="600"/>
      <c r="AT60" s="531" t="s">
        <v>822</v>
      </c>
      <c r="AU60" s="533" t="s">
        <v>822</v>
      </c>
      <c r="AV60" s="533" t="s">
        <v>822</v>
      </c>
      <c r="AW60" s="531" t="e">
        <f t="shared" si="53"/>
        <v>#VALUE!</v>
      </c>
      <c r="AX60" s="600"/>
      <c r="AZ60" s="521" t="e">
        <f t="shared" si="55"/>
        <v>#N/A</v>
      </c>
      <c r="BA60" s="600"/>
    </row>
    <row r="61" spans="2:53">
      <c r="B61" s="610"/>
      <c r="C61" s="320">
        <v>15</v>
      </c>
      <c r="D61" s="226"/>
      <c r="E61" s="182"/>
      <c r="F61" s="511"/>
      <c r="G61" s="512"/>
      <c r="H61" s="669"/>
      <c r="I61" s="202"/>
      <c r="J61" s="202"/>
      <c r="K61" s="202"/>
      <c r="L61" s="622"/>
      <c r="M61" s="201" t="e">
        <f>RANK(K61, K$47:$K$61)</f>
        <v>#N/A</v>
      </c>
      <c r="N61" s="604"/>
      <c r="O61" s="604"/>
      <c r="P61" s="531" t="s">
        <v>822</v>
      </c>
      <c r="Q61" s="533" t="s">
        <v>822</v>
      </c>
      <c r="R61" s="533" t="s">
        <v>822</v>
      </c>
      <c r="S61" s="531" t="e">
        <f t="shared" si="41"/>
        <v>#VALUE!</v>
      </c>
      <c r="T61" s="601"/>
      <c r="U61" s="531" t="s">
        <v>822</v>
      </c>
      <c r="V61" s="533" t="s">
        <v>822</v>
      </c>
      <c r="W61" s="533" t="s">
        <v>822</v>
      </c>
      <c r="X61" s="531" t="e">
        <f t="shared" si="43"/>
        <v>#VALUE!</v>
      </c>
      <c r="Y61" s="601"/>
      <c r="Z61" s="531" t="s">
        <v>822</v>
      </c>
      <c r="AA61" s="533" t="s">
        <v>822</v>
      </c>
      <c r="AB61" s="533" t="s">
        <v>822</v>
      </c>
      <c r="AC61" s="531" t="e">
        <f t="shared" si="45"/>
        <v>#VALUE!</v>
      </c>
      <c r="AD61" s="601"/>
      <c r="AE61" s="531" t="s">
        <v>822</v>
      </c>
      <c r="AF61" s="533" t="s">
        <v>822</v>
      </c>
      <c r="AG61" s="533" t="s">
        <v>822</v>
      </c>
      <c r="AH61" s="531" t="e">
        <f t="shared" si="47"/>
        <v>#VALUE!</v>
      </c>
      <c r="AI61" s="601"/>
      <c r="AJ61" s="531" t="s">
        <v>822</v>
      </c>
      <c r="AK61" s="533" t="s">
        <v>822</v>
      </c>
      <c r="AL61" s="533" t="s">
        <v>822</v>
      </c>
      <c r="AM61" s="531" t="e">
        <f t="shared" si="49"/>
        <v>#VALUE!</v>
      </c>
      <c r="AN61" s="601"/>
      <c r="AO61" s="531" t="s">
        <v>822</v>
      </c>
      <c r="AP61" s="533" t="s">
        <v>822</v>
      </c>
      <c r="AQ61" s="533" t="s">
        <v>822</v>
      </c>
      <c r="AR61" s="531" t="e">
        <f t="shared" si="51"/>
        <v>#VALUE!</v>
      </c>
      <c r="AS61" s="601"/>
      <c r="AT61" s="531" t="s">
        <v>822</v>
      </c>
      <c r="AU61" s="533" t="s">
        <v>822</v>
      </c>
      <c r="AV61" s="533" t="s">
        <v>822</v>
      </c>
      <c r="AW61" s="531" t="e">
        <f t="shared" si="53"/>
        <v>#VALUE!</v>
      </c>
      <c r="AX61" s="601"/>
      <c r="AZ61" s="521" t="e">
        <f t="shared" si="55"/>
        <v>#N/A</v>
      </c>
      <c r="BA61" s="601"/>
    </row>
    <row r="62" spans="2:53" ht="15.75">
      <c r="B62" s="633" t="s">
        <v>163</v>
      </c>
      <c r="C62" s="634"/>
      <c r="D62" s="634"/>
      <c r="E62" s="634"/>
      <c r="F62" s="634"/>
      <c r="G62" s="634"/>
      <c r="H62" s="635"/>
      <c r="I62" s="208"/>
      <c r="J62" s="208"/>
      <c r="K62" s="208"/>
      <c r="L62" s="208"/>
      <c r="M62" s="207"/>
      <c r="N62" s="606" t="s">
        <v>156</v>
      </c>
      <c r="O62" s="606" t="s">
        <v>105</v>
      </c>
      <c r="P62" s="632">
        <f>P42+7</f>
        <v>46133</v>
      </c>
      <c r="Q62" s="610"/>
      <c r="R62" s="610"/>
      <c r="S62" s="610"/>
      <c r="T62" s="610"/>
      <c r="U62" s="629">
        <f>P62+1</f>
        <v>46134</v>
      </c>
      <c r="V62" s="630"/>
      <c r="W62" s="630"/>
      <c r="X62" s="630"/>
      <c r="Y62" s="631"/>
      <c r="Z62" s="629">
        <f>U62+1</f>
        <v>46135</v>
      </c>
      <c r="AA62" s="630"/>
      <c r="AB62" s="630"/>
      <c r="AC62" s="630"/>
      <c r="AD62" s="631"/>
      <c r="AE62" s="629">
        <f>Z62+1</f>
        <v>46136</v>
      </c>
      <c r="AF62" s="630"/>
      <c r="AG62" s="630"/>
      <c r="AH62" s="630"/>
      <c r="AI62" s="631"/>
      <c r="AJ62" s="629">
        <f>AE62+1</f>
        <v>46137</v>
      </c>
      <c r="AK62" s="630"/>
      <c r="AL62" s="630"/>
      <c r="AM62" s="630"/>
      <c r="AN62" s="631"/>
      <c r="AO62" s="629">
        <f>AJ62+1</f>
        <v>46138</v>
      </c>
      <c r="AP62" s="630"/>
      <c r="AQ62" s="630"/>
      <c r="AR62" s="630"/>
      <c r="AS62" s="631"/>
      <c r="AT62" s="629">
        <f>AO62+1</f>
        <v>46139</v>
      </c>
      <c r="AU62" s="630"/>
      <c r="AV62" s="630"/>
      <c r="AW62" s="630"/>
      <c r="AX62" s="631"/>
    </row>
    <row r="63" spans="2:53" ht="15.75">
      <c r="B63" s="636"/>
      <c r="C63" s="636"/>
      <c r="D63" s="636"/>
      <c r="E63" s="636"/>
      <c r="F63" s="636"/>
      <c r="G63" s="636"/>
      <c r="H63" s="636"/>
      <c r="I63" s="205"/>
      <c r="J63" s="205"/>
      <c r="K63" s="205"/>
      <c r="L63" s="205"/>
      <c r="M63" s="206"/>
      <c r="N63" s="608"/>
      <c r="O63" s="608"/>
      <c r="P63" s="632" t="s">
        <v>336</v>
      </c>
      <c r="Q63" s="610"/>
      <c r="R63" s="610"/>
      <c r="S63" s="610"/>
      <c r="T63" s="610"/>
      <c r="U63" s="632" t="s">
        <v>337</v>
      </c>
      <c r="V63" s="610"/>
      <c r="W63" s="610"/>
      <c r="X63" s="610"/>
      <c r="Y63" s="610"/>
      <c r="Z63" s="632" t="s">
        <v>338</v>
      </c>
      <c r="AA63" s="610"/>
      <c r="AB63" s="610"/>
      <c r="AC63" s="610"/>
      <c r="AD63" s="610"/>
      <c r="AE63" s="632" t="s">
        <v>339</v>
      </c>
      <c r="AF63" s="610"/>
      <c r="AG63" s="610"/>
      <c r="AH63" s="610"/>
      <c r="AI63" s="610"/>
      <c r="AJ63" s="632" t="s">
        <v>340</v>
      </c>
      <c r="AK63" s="610"/>
      <c r="AL63" s="610"/>
      <c r="AM63" s="610"/>
      <c r="AN63" s="610"/>
      <c r="AO63" s="632" t="s">
        <v>341</v>
      </c>
      <c r="AP63" s="610"/>
      <c r="AQ63" s="610"/>
      <c r="AR63" s="610"/>
      <c r="AS63" s="610"/>
      <c r="AT63" s="632" t="s">
        <v>342</v>
      </c>
      <c r="AU63" s="610"/>
      <c r="AV63" s="610"/>
      <c r="AW63" s="610"/>
      <c r="AX63" s="610"/>
    </row>
    <row r="64" spans="2:53">
      <c r="B64" s="604" t="s">
        <v>398</v>
      </c>
      <c r="C64" s="604" t="s">
        <v>408</v>
      </c>
      <c r="D64" s="604"/>
      <c r="E64" s="604" t="s">
        <v>399</v>
      </c>
      <c r="F64" s="604"/>
      <c r="G64" s="604"/>
      <c r="H64" s="637" t="s">
        <v>395</v>
      </c>
      <c r="I64" s="656" t="s">
        <v>400</v>
      </c>
      <c r="J64" s="656"/>
      <c r="K64" s="656"/>
      <c r="L64" s="657" t="s">
        <v>395</v>
      </c>
      <c r="M64" s="642" t="s">
        <v>396</v>
      </c>
      <c r="N64" s="604"/>
      <c r="O64" s="604" t="s">
        <v>401</v>
      </c>
      <c r="P64" s="623" t="s">
        <v>397</v>
      </c>
      <c r="Q64" s="624"/>
      <c r="R64" s="624"/>
      <c r="S64" s="625"/>
      <c r="T64" s="604" t="s">
        <v>395</v>
      </c>
      <c r="U64" s="623" t="s">
        <v>397</v>
      </c>
      <c r="V64" s="624"/>
      <c r="W64" s="624"/>
      <c r="X64" s="625"/>
      <c r="Y64" s="604" t="s">
        <v>395</v>
      </c>
      <c r="Z64" s="623" t="s">
        <v>397</v>
      </c>
      <c r="AA64" s="624"/>
      <c r="AB64" s="624"/>
      <c r="AC64" s="625"/>
      <c r="AD64" s="604" t="s">
        <v>395</v>
      </c>
      <c r="AE64" s="623" t="s">
        <v>397</v>
      </c>
      <c r="AF64" s="624"/>
      <c r="AG64" s="624"/>
      <c r="AH64" s="625"/>
      <c r="AI64" s="604" t="s">
        <v>395</v>
      </c>
      <c r="AJ64" s="623" t="s">
        <v>397</v>
      </c>
      <c r="AK64" s="624"/>
      <c r="AL64" s="624"/>
      <c r="AM64" s="625"/>
      <c r="AN64" s="604" t="s">
        <v>395</v>
      </c>
      <c r="AO64" s="623" t="s">
        <v>397</v>
      </c>
      <c r="AP64" s="624"/>
      <c r="AQ64" s="624"/>
      <c r="AR64" s="625"/>
      <c r="AS64" s="604" t="s">
        <v>395</v>
      </c>
      <c r="AT64" s="623" t="s">
        <v>397</v>
      </c>
      <c r="AU64" s="624"/>
      <c r="AV64" s="624"/>
      <c r="AW64" s="625"/>
      <c r="AX64" s="604" t="s">
        <v>395</v>
      </c>
      <c r="BA64" s="604" t="s">
        <v>395</v>
      </c>
    </row>
    <row r="65" spans="2:53">
      <c r="B65" s="604"/>
      <c r="C65" s="604"/>
      <c r="D65" s="604"/>
      <c r="E65" s="604" t="s">
        <v>402</v>
      </c>
      <c r="F65" s="604"/>
      <c r="G65" s="604"/>
      <c r="H65" s="638"/>
      <c r="I65" s="656" t="s">
        <v>402</v>
      </c>
      <c r="J65" s="656"/>
      <c r="K65" s="656"/>
      <c r="L65" s="658"/>
      <c r="M65" s="643"/>
      <c r="N65" s="604"/>
      <c r="O65" s="604"/>
      <c r="P65" s="623" t="s">
        <v>403</v>
      </c>
      <c r="Q65" s="624"/>
      <c r="R65" s="624"/>
      <c r="S65" s="625"/>
      <c r="T65" s="604"/>
      <c r="U65" s="623" t="s">
        <v>403</v>
      </c>
      <c r="V65" s="624"/>
      <c r="W65" s="624"/>
      <c r="X65" s="625"/>
      <c r="Y65" s="604"/>
      <c r="Z65" s="623" t="s">
        <v>403</v>
      </c>
      <c r="AA65" s="624"/>
      <c r="AB65" s="624"/>
      <c r="AC65" s="625"/>
      <c r="AD65" s="604"/>
      <c r="AE65" s="623" t="s">
        <v>403</v>
      </c>
      <c r="AF65" s="624"/>
      <c r="AG65" s="624"/>
      <c r="AH65" s="625"/>
      <c r="AI65" s="604"/>
      <c r="AJ65" s="623" t="s">
        <v>403</v>
      </c>
      <c r="AK65" s="624"/>
      <c r="AL65" s="624"/>
      <c r="AM65" s="625"/>
      <c r="AN65" s="604"/>
      <c r="AO65" s="623" t="s">
        <v>403</v>
      </c>
      <c r="AP65" s="624"/>
      <c r="AQ65" s="624"/>
      <c r="AR65" s="625"/>
      <c r="AS65" s="604"/>
      <c r="AT65" s="623" t="s">
        <v>403</v>
      </c>
      <c r="AU65" s="624"/>
      <c r="AV65" s="624"/>
      <c r="AW65" s="625"/>
      <c r="AX65" s="604"/>
      <c r="BA65" s="604"/>
    </row>
    <row r="66" spans="2:53">
      <c r="B66" s="604"/>
      <c r="C66" s="604"/>
      <c r="D66" s="604"/>
      <c r="E66" s="304" t="s">
        <v>404</v>
      </c>
      <c r="F66" s="304" t="s">
        <v>405</v>
      </c>
      <c r="G66" s="304" t="s">
        <v>406</v>
      </c>
      <c r="H66" s="639"/>
      <c r="I66" s="303" t="s">
        <v>404</v>
      </c>
      <c r="J66" s="303" t="s">
        <v>405</v>
      </c>
      <c r="K66" s="303" t="s">
        <v>406</v>
      </c>
      <c r="L66" s="659"/>
      <c r="M66" s="644"/>
      <c r="N66" s="604"/>
      <c r="O66" s="604"/>
      <c r="P66" s="304" t="s">
        <v>404</v>
      </c>
      <c r="Q66" s="304" t="s">
        <v>405</v>
      </c>
      <c r="R66" s="304" t="s">
        <v>406</v>
      </c>
      <c r="S66" s="304" t="s">
        <v>396</v>
      </c>
      <c r="T66" s="604"/>
      <c r="U66" s="304" t="s">
        <v>404</v>
      </c>
      <c r="V66" s="304" t="s">
        <v>405</v>
      </c>
      <c r="W66" s="304" t="s">
        <v>406</v>
      </c>
      <c r="X66" s="304" t="s">
        <v>396</v>
      </c>
      <c r="Y66" s="604"/>
      <c r="Z66" s="304" t="s">
        <v>404</v>
      </c>
      <c r="AA66" s="304" t="s">
        <v>405</v>
      </c>
      <c r="AB66" s="304" t="s">
        <v>406</v>
      </c>
      <c r="AC66" s="304" t="s">
        <v>396</v>
      </c>
      <c r="AD66" s="604"/>
      <c r="AE66" s="304" t="s">
        <v>404</v>
      </c>
      <c r="AF66" s="304" t="s">
        <v>405</v>
      </c>
      <c r="AG66" s="304" t="s">
        <v>406</v>
      </c>
      <c r="AH66" s="304" t="s">
        <v>396</v>
      </c>
      <c r="AI66" s="604"/>
      <c r="AJ66" s="304" t="s">
        <v>404</v>
      </c>
      <c r="AK66" s="304" t="s">
        <v>405</v>
      </c>
      <c r="AL66" s="304" t="s">
        <v>406</v>
      </c>
      <c r="AM66" s="304" t="s">
        <v>396</v>
      </c>
      <c r="AN66" s="604"/>
      <c r="AO66" s="304" t="s">
        <v>404</v>
      </c>
      <c r="AP66" s="304" t="s">
        <v>405</v>
      </c>
      <c r="AQ66" s="304" t="s">
        <v>406</v>
      </c>
      <c r="AR66" s="304" t="s">
        <v>396</v>
      </c>
      <c r="AS66" s="604"/>
      <c r="AT66" s="304" t="s">
        <v>404</v>
      </c>
      <c r="AU66" s="304" t="s">
        <v>405</v>
      </c>
      <c r="AV66" s="304" t="s">
        <v>406</v>
      </c>
      <c r="AW66" s="304" t="s">
        <v>396</v>
      </c>
      <c r="AX66" s="604"/>
      <c r="AZ66" s="520" t="s">
        <v>396</v>
      </c>
      <c r="BA66" s="604"/>
    </row>
    <row r="67" spans="2:53">
      <c r="B67" s="604" t="s">
        <v>421</v>
      </c>
      <c r="C67" s="305">
        <v>1</v>
      </c>
      <c r="D67" s="226" t="s">
        <v>371</v>
      </c>
      <c r="E67" s="182">
        <v>18</v>
      </c>
      <c r="F67" s="511">
        <v>1440</v>
      </c>
      <c r="G67" s="512">
        <v>80</v>
      </c>
      <c r="H67" s="667">
        <f>AVERAGE(G67:G81)</f>
        <v>80.208333333333329</v>
      </c>
      <c r="I67" s="513">
        <f t="shared" ref="I67:I80" si="57">IFERROR(AVERAGE(P67,U67,Z67,AE67,AJ67,AO67,AT67),"-")</f>
        <v>18</v>
      </c>
      <c r="J67" s="513">
        <f t="shared" ref="J67:J80" si="58">IFERROR(AVERAGE(Q67,V67,AA67,AF67,AK67,AP67,AU67),"-")</f>
        <v>1311.3530033977415</v>
      </c>
      <c r="K67" s="200">
        <f t="shared" ref="K67:K80" si="59">IFERROR(AVERAGE(R67,W67,AB67,AG67,AL67,AQ67,AV67),"-")</f>
        <v>72.852944633207855</v>
      </c>
      <c r="L67" s="620">
        <f>IFERROR(AVERAGE(K67:K81),"-")</f>
        <v>70.31810877633086</v>
      </c>
      <c r="M67" s="201">
        <f>RANK(K67, K$67:$K$81)</f>
        <v>4</v>
      </c>
      <c r="N67" s="604"/>
      <c r="O67" s="604"/>
      <c r="P67" s="536">
        <v>18</v>
      </c>
      <c r="Q67" s="538">
        <v>1314.1304347826085</v>
      </c>
      <c r="R67" s="538">
        <v>73.00724637681158</v>
      </c>
      <c r="S67" s="536">
        <f t="shared" ref="S67:S81" si="60">RANK(R67, R$67:R$81)</f>
        <v>4</v>
      </c>
      <c r="T67" s="599">
        <f t="shared" ref="T67" si="61">AVERAGE(R67:R81)</f>
        <v>71.218108109857681</v>
      </c>
      <c r="U67" s="536">
        <v>18</v>
      </c>
      <c r="V67" s="538">
        <v>1315.4761904761901</v>
      </c>
      <c r="W67" s="538">
        <v>73.082010582010568</v>
      </c>
      <c r="X67" s="536">
        <f t="shared" ref="X67:X81" si="62">RANK(W67, W$67:W$81)</f>
        <v>4</v>
      </c>
      <c r="Y67" s="599">
        <f t="shared" ref="Y67" si="63">AVERAGE(W67:W81)</f>
        <v>70.221119238627196</v>
      </c>
      <c r="Z67" s="536">
        <v>18</v>
      </c>
      <c r="AA67" s="538">
        <v>1291.5499999999995</v>
      </c>
      <c r="AB67" s="538">
        <v>71.752777777777752</v>
      </c>
      <c r="AC67" s="536">
        <f t="shared" ref="AC67:AC81" si="64">RANK(AB67, AB$67:AB$81)</f>
        <v>4</v>
      </c>
      <c r="AD67" s="599">
        <f t="shared" ref="AD67" si="65">AVERAGE(AB67:AB81)</f>
        <v>69.965238937018313</v>
      </c>
      <c r="AE67" s="536">
        <v>18</v>
      </c>
      <c r="AF67" s="538">
        <v>1303.9245283018874</v>
      </c>
      <c r="AG67" s="538">
        <v>72.440251572327085</v>
      </c>
      <c r="AH67" s="536">
        <f t="shared" ref="AH67:AH81" si="66">RANK(AG67, AG$67:AG$81)</f>
        <v>4</v>
      </c>
      <c r="AI67" s="599">
        <f t="shared" ref="AI67" si="67">AVERAGE(AG67:AG81)</f>
        <v>69.817770561975308</v>
      </c>
      <c r="AJ67" s="536">
        <v>18</v>
      </c>
      <c r="AK67" s="538">
        <v>1297.2631578947371</v>
      </c>
      <c r="AL67" s="538">
        <v>72.070175438596507</v>
      </c>
      <c r="AM67" s="536">
        <f t="shared" ref="AM67:AM81" si="68">RANK(AL67, AL$67:AL$81)</f>
        <v>4</v>
      </c>
      <c r="AN67" s="599">
        <f t="shared" ref="AN67" si="69">AVERAGE(AL67:AL81)</f>
        <v>70.356563930042171</v>
      </c>
      <c r="AO67" s="536">
        <v>18</v>
      </c>
      <c r="AP67" s="538">
        <v>1325.2499999999998</v>
      </c>
      <c r="AQ67" s="538">
        <v>73.624999999999986</v>
      </c>
      <c r="AR67" s="536">
        <f t="shared" ref="AR67:AR81" si="70">RANK(AQ67, AQ$67:AQ$81)</f>
        <v>4</v>
      </c>
      <c r="AS67" s="599">
        <f t="shared" ref="AS67" si="71">AVERAGE(AQ67:AQ81)</f>
        <v>70.357865622744001</v>
      </c>
      <c r="AT67" s="536">
        <v>18</v>
      </c>
      <c r="AU67" s="538">
        <v>1331.8767123287673</v>
      </c>
      <c r="AV67" s="538">
        <v>73.993150684931521</v>
      </c>
      <c r="AW67" s="536">
        <f t="shared" ref="AW67:AW81" si="72">RANK(AV67, AV$67:AV$81)</f>
        <v>4</v>
      </c>
      <c r="AX67" s="599">
        <f t="shared" ref="AX67" si="73">AVERAGE(AV67:AV81)</f>
        <v>70.290095034051305</v>
      </c>
      <c r="AZ67" s="521" t="e">
        <f t="shared" ref="AZ67:AZ81" si="74">RANK(AY67, AY$67:AY$81)</f>
        <v>#N/A</v>
      </c>
      <c r="BA67" s="599" t="e">
        <f t="shared" ref="BA67" si="75">AVERAGE(AY67:AY81)</f>
        <v>#DIV/0!</v>
      </c>
    </row>
    <row r="68" spans="2:53">
      <c r="B68" s="610"/>
      <c r="C68" s="305">
        <v>2</v>
      </c>
      <c r="D68" s="226" t="s">
        <v>372</v>
      </c>
      <c r="E68" s="182">
        <v>18</v>
      </c>
      <c r="F68" s="511">
        <v>1440</v>
      </c>
      <c r="G68" s="512">
        <v>80</v>
      </c>
      <c r="H68" s="668"/>
      <c r="I68" s="513">
        <f t="shared" si="57"/>
        <v>18</v>
      </c>
      <c r="J68" s="513">
        <f t="shared" si="58"/>
        <v>1192.7413851967442</v>
      </c>
      <c r="K68" s="200">
        <f t="shared" si="59"/>
        <v>66.263410288708016</v>
      </c>
      <c r="L68" s="621"/>
      <c r="M68" s="201">
        <f>RANK(K68, K$67:$K$81)</f>
        <v>8</v>
      </c>
      <c r="N68" s="604"/>
      <c r="O68" s="604"/>
      <c r="P68" s="536">
        <v>18</v>
      </c>
      <c r="Q68" s="538">
        <v>1216.7441860465115</v>
      </c>
      <c r="R68" s="538">
        <v>67.596899224806194</v>
      </c>
      <c r="S68" s="536">
        <f t="shared" si="60"/>
        <v>8</v>
      </c>
      <c r="T68" s="600"/>
      <c r="U68" s="536">
        <v>18</v>
      </c>
      <c r="V68" s="538">
        <v>1187.7272727272727</v>
      </c>
      <c r="W68" s="538">
        <v>65.984848484848484</v>
      </c>
      <c r="X68" s="536">
        <f t="shared" si="62"/>
        <v>8</v>
      </c>
      <c r="Y68" s="600"/>
      <c r="Z68" s="536">
        <v>18</v>
      </c>
      <c r="AA68" s="538">
        <v>1190.4545454545455</v>
      </c>
      <c r="AB68" s="538">
        <v>66.13636363636364</v>
      </c>
      <c r="AC68" s="536">
        <f t="shared" si="64"/>
        <v>8</v>
      </c>
      <c r="AD68" s="600"/>
      <c r="AE68" s="536">
        <v>18</v>
      </c>
      <c r="AF68" s="538">
        <v>1187.1428571428567</v>
      </c>
      <c r="AG68" s="538">
        <v>65.952380952380921</v>
      </c>
      <c r="AH68" s="536">
        <f t="shared" si="66"/>
        <v>7</v>
      </c>
      <c r="AI68" s="600"/>
      <c r="AJ68" s="536">
        <v>18</v>
      </c>
      <c r="AK68" s="538">
        <v>1180.0000000000002</v>
      </c>
      <c r="AL68" s="538">
        <v>65.555555555555571</v>
      </c>
      <c r="AM68" s="536">
        <f t="shared" si="68"/>
        <v>10</v>
      </c>
      <c r="AN68" s="600"/>
      <c r="AO68" s="536">
        <v>18</v>
      </c>
      <c r="AP68" s="538">
        <v>1181.8867924528308</v>
      </c>
      <c r="AQ68" s="538">
        <v>65.660377358490607</v>
      </c>
      <c r="AR68" s="536">
        <f t="shared" si="70"/>
        <v>8</v>
      </c>
      <c r="AS68" s="600"/>
      <c r="AT68" s="536">
        <v>18</v>
      </c>
      <c r="AU68" s="538">
        <v>1205.2340425531918</v>
      </c>
      <c r="AV68" s="538">
        <v>66.957446808510653</v>
      </c>
      <c r="AW68" s="536">
        <f t="shared" si="72"/>
        <v>8</v>
      </c>
      <c r="AX68" s="600"/>
      <c r="AZ68" s="521" t="e">
        <f t="shared" si="74"/>
        <v>#N/A</v>
      </c>
      <c r="BA68" s="600"/>
    </row>
    <row r="69" spans="2:53">
      <c r="B69" s="610"/>
      <c r="C69" s="305">
        <v>3</v>
      </c>
      <c r="D69" s="226" t="s">
        <v>373</v>
      </c>
      <c r="E69" s="182">
        <v>17</v>
      </c>
      <c r="F69" s="511">
        <v>1440</v>
      </c>
      <c r="G69" s="512">
        <v>84.7</v>
      </c>
      <c r="H69" s="668"/>
      <c r="I69" s="513">
        <f t="shared" si="57"/>
        <v>17</v>
      </c>
      <c r="J69" s="513">
        <f t="shared" si="58"/>
        <v>1317.8457526178115</v>
      </c>
      <c r="K69" s="200">
        <f t="shared" si="59"/>
        <v>77.520338389283026</v>
      </c>
      <c r="L69" s="621"/>
      <c r="M69" s="201">
        <f>RANK(K69, K$67:$K$81)</f>
        <v>3</v>
      </c>
      <c r="N69" s="604"/>
      <c r="O69" s="604"/>
      <c r="P69" s="536">
        <v>17</v>
      </c>
      <c r="Q69" s="538">
        <v>1339.4871794871788</v>
      </c>
      <c r="R69" s="538">
        <v>78.793363499245814</v>
      </c>
      <c r="S69" s="536">
        <f t="shared" si="60"/>
        <v>3</v>
      </c>
      <c r="T69" s="600"/>
      <c r="U69" s="536">
        <v>17</v>
      </c>
      <c r="V69" s="538">
        <v>1321.6666666666674</v>
      </c>
      <c r="W69" s="538">
        <v>77.745098039215733</v>
      </c>
      <c r="X69" s="536">
        <f t="shared" si="62"/>
        <v>3</v>
      </c>
      <c r="Y69" s="600"/>
      <c r="Z69" s="536">
        <v>17</v>
      </c>
      <c r="AA69" s="538">
        <v>1320.6000000000004</v>
      </c>
      <c r="AB69" s="538">
        <v>77.682352941176489</v>
      </c>
      <c r="AC69" s="536">
        <f t="shared" si="64"/>
        <v>3</v>
      </c>
      <c r="AD69" s="600"/>
      <c r="AE69" s="536">
        <v>17</v>
      </c>
      <c r="AF69" s="538">
        <v>1292.9411764705887</v>
      </c>
      <c r="AG69" s="538">
        <v>76.055363321799334</v>
      </c>
      <c r="AH69" s="536">
        <f t="shared" si="66"/>
        <v>3</v>
      </c>
      <c r="AI69" s="600"/>
      <c r="AJ69" s="536">
        <v>17</v>
      </c>
      <c r="AK69" s="538">
        <v>1312.972972972972</v>
      </c>
      <c r="AL69" s="538">
        <v>77.233704292527761</v>
      </c>
      <c r="AM69" s="536">
        <f t="shared" si="68"/>
        <v>3</v>
      </c>
      <c r="AN69" s="600"/>
      <c r="AO69" s="536">
        <v>17</v>
      </c>
      <c r="AP69" s="538">
        <v>1325.6249999999998</v>
      </c>
      <c r="AQ69" s="538">
        <v>77.97794117647058</v>
      </c>
      <c r="AR69" s="536">
        <f t="shared" si="70"/>
        <v>3</v>
      </c>
      <c r="AS69" s="600"/>
      <c r="AT69" s="536">
        <v>17</v>
      </c>
      <c r="AU69" s="538">
        <v>1311.6272727272735</v>
      </c>
      <c r="AV69" s="538">
        <v>77.154545454545499</v>
      </c>
      <c r="AW69" s="536">
        <f t="shared" si="72"/>
        <v>3</v>
      </c>
      <c r="AX69" s="600"/>
      <c r="AZ69" s="521" t="e">
        <f t="shared" si="74"/>
        <v>#N/A</v>
      </c>
      <c r="BA69" s="600"/>
    </row>
    <row r="70" spans="2:53">
      <c r="B70" s="610"/>
      <c r="C70" s="305">
        <v>4</v>
      </c>
      <c r="D70" s="226" t="s">
        <v>374</v>
      </c>
      <c r="E70" s="182">
        <v>17</v>
      </c>
      <c r="F70" s="511">
        <v>1440</v>
      </c>
      <c r="G70" s="512">
        <v>84.7</v>
      </c>
      <c r="H70" s="668"/>
      <c r="I70" s="513">
        <f t="shared" si="57"/>
        <v>17</v>
      </c>
      <c r="J70" s="513">
        <f t="shared" si="58"/>
        <v>1195.4446075663468</v>
      </c>
      <c r="K70" s="200">
        <f t="shared" si="59"/>
        <v>70.320271033314512</v>
      </c>
      <c r="L70" s="621"/>
      <c r="M70" s="201">
        <f>RANK(K70, K$67:$K$81)</f>
        <v>5</v>
      </c>
      <c r="N70" s="604"/>
      <c r="O70" s="604"/>
      <c r="P70" s="536">
        <v>17</v>
      </c>
      <c r="Q70" s="538">
        <v>1236</v>
      </c>
      <c r="R70" s="538">
        <v>72.705882352941174</v>
      </c>
      <c r="S70" s="536">
        <f t="shared" si="60"/>
        <v>5</v>
      </c>
      <c r="T70" s="600"/>
      <c r="U70" s="536">
        <v>17</v>
      </c>
      <c r="V70" s="538">
        <v>1192.1739130434783</v>
      </c>
      <c r="W70" s="538">
        <v>70.127877237851663</v>
      </c>
      <c r="X70" s="536">
        <f t="shared" si="62"/>
        <v>5</v>
      </c>
      <c r="Y70" s="600"/>
      <c r="Z70" s="536">
        <v>17</v>
      </c>
      <c r="AA70" s="538">
        <v>1208.1818181818182</v>
      </c>
      <c r="AB70" s="538">
        <v>71.069518716577548</v>
      </c>
      <c r="AC70" s="536">
        <f t="shared" si="64"/>
        <v>5</v>
      </c>
      <c r="AD70" s="600"/>
      <c r="AE70" s="536">
        <v>17</v>
      </c>
      <c r="AF70" s="538">
        <v>1199.9999999999991</v>
      </c>
      <c r="AG70" s="538">
        <v>70.588235294117595</v>
      </c>
      <c r="AH70" s="536">
        <f t="shared" si="66"/>
        <v>5</v>
      </c>
      <c r="AI70" s="600"/>
      <c r="AJ70" s="536">
        <v>17</v>
      </c>
      <c r="AK70" s="538">
        <v>1175.2173913043478</v>
      </c>
      <c r="AL70" s="538">
        <v>69.130434782608688</v>
      </c>
      <c r="AM70" s="536">
        <f t="shared" si="68"/>
        <v>6</v>
      </c>
      <c r="AN70" s="600"/>
      <c r="AO70" s="536">
        <v>17</v>
      </c>
      <c r="AP70" s="538">
        <v>1181.7391304347825</v>
      </c>
      <c r="AQ70" s="538">
        <v>69.514066496163679</v>
      </c>
      <c r="AR70" s="536">
        <f t="shared" si="70"/>
        <v>5</v>
      </c>
      <c r="AS70" s="600"/>
      <c r="AT70" s="536">
        <v>17</v>
      </c>
      <c r="AU70" s="538">
        <v>1174.8000000000004</v>
      </c>
      <c r="AV70" s="538">
        <v>69.105882352941194</v>
      </c>
      <c r="AW70" s="536">
        <f t="shared" si="72"/>
        <v>5</v>
      </c>
      <c r="AX70" s="600"/>
      <c r="AZ70" s="521" t="e">
        <f t="shared" si="74"/>
        <v>#N/A</v>
      </c>
      <c r="BA70" s="600"/>
    </row>
    <row r="71" spans="2:53">
      <c r="B71" s="610"/>
      <c r="C71" s="305">
        <v>5</v>
      </c>
      <c r="D71" s="226" t="s">
        <v>375</v>
      </c>
      <c r="E71" s="182">
        <v>21</v>
      </c>
      <c r="F71" s="511">
        <v>1385</v>
      </c>
      <c r="G71" s="512">
        <v>65.900000000000006</v>
      </c>
      <c r="H71" s="668"/>
      <c r="I71" s="513">
        <f t="shared" si="57"/>
        <v>21</v>
      </c>
      <c r="J71" s="513">
        <f t="shared" si="58"/>
        <v>1218.0680241569867</v>
      </c>
      <c r="K71" s="200">
        <f t="shared" si="59"/>
        <v>58.003239245570796</v>
      </c>
      <c r="L71" s="621"/>
      <c r="M71" s="201">
        <f>RANK(K71, K$67:$K$81)</f>
        <v>12</v>
      </c>
      <c r="N71" s="604"/>
      <c r="O71" s="604"/>
      <c r="P71" s="536">
        <v>21</v>
      </c>
      <c r="Q71" s="538">
        <v>1247.6635514018699</v>
      </c>
      <c r="R71" s="538">
        <v>59.412550066755706</v>
      </c>
      <c r="S71" s="536">
        <f t="shared" si="60"/>
        <v>12</v>
      </c>
      <c r="T71" s="600"/>
      <c r="U71" s="536">
        <v>21</v>
      </c>
      <c r="V71" s="538">
        <v>1220.9433962264159</v>
      </c>
      <c r="W71" s="538">
        <v>58.140161725067422</v>
      </c>
      <c r="X71" s="536">
        <f t="shared" si="62"/>
        <v>12</v>
      </c>
      <c r="Y71" s="600"/>
      <c r="Z71" s="536">
        <v>21</v>
      </c>
      <c r="AA71" s="538">
        <v>1212.8571428571431</v>
      </c>
      <c r="AB71" s="538">
        <v>57.75510204081634</v>
      </c>
      <c r="AC71" s="536">
        <f t="shared" si="64"/>
        <v>12</v>
      </c>
      <c r="AD71" s="600"/>
      <c r="AE71" s="536">
        <v>21</v>
      </c>
      <c r="AF71" s="538">
        <v>1213.4693877551024</v>
      </c>
      <c r="AG71" s="538">
        <v>57.784256559766781</v>
      </c>
      <c r="AH71" s="536">
        <f t="shared" si="66"/>
        <v>12</v>
      </c>
      <c r="AI71" s="600"/>
      <c r="AJ71" s="536">
        <v>21</v>
      </c>
      <c r="AK71" s="538">
        <v>1206.2264150943402</v>
      </c>
      <c r="AL71" s="538">
        <v>57.439353099730482</v>
      </c>
      <c r="AM71" s="536">
        <f t="shared" si="68"/>
        <v>12</v>
      </c>
      <c r="AN71" s="600"/>
      <c r="AO71" s="536">
        <v>21</v>
      </c>
      <c r="AP71" s="538">
        <v>1206.2686567164178</v>
      </c>
      <c r="AQ71" s="538">
        <v>57.441364605543704</v>
      </c>
      <c r="AR71" s="536">
        <f t="shared" si="70"/>
        <v>12</v>
      </c>
      <c r="AS71" s="600"/>
      <c r="AT71" s="536">
        <v>21</v>
      </c>
      <c r="AU71" s="538">
        <v>1219.0476190476188</v>
      </c>
      <c r="AV71" s="538">
        <v>58.049886621315181</v>
      </c>
      <c r="AW71" s="536">
        <f t="shared" si="72"/>
        <v>12</v>
      </c>
      <c r="AX71" s="600"/>
      <c r="AZ71" s="521" t="e">
        <f t="shared" si="74"/>
        <v>#N/A</v>
      </c>
      <c r="BA71" s="600"/>
    </row>
    <row r="72" spans="2:53">
      <c r="B72" s="610"/>
      <c r="C72" s="305">
        <v>6</v>
      </c>
      <c r="D72" s="226" t="s">
        <v>376</v>
      </c>
      <c r="E72" s="182">
        <v>19</v>
      </c>
      <c r="F72" s="511">
        <v>1440</v>
      </c>
      <c r="G72" s="512">
        <v>75.8</v>
      </c>
      <c r="H72" s="668"/>
      <c r="I72" s="513">
        <f t="shared" si="57"/>
        <v>19</v>
      </c>
      <c r="J72" s="513">
        <f t="shared" si="58"/>
        <v>1272.3295764460349</v>
      </c>
      <c r="K72" s="200">
        <f t="shared" si="59"/>
        <v>66.96471454979131</v>
      </c>
      <c r="L72" s="621"/>
      <c r="M72" s="201">
        <f>RANK(K72, K$67:$K$81)</f>
        <v>7</v>
      </c>
      <c r="N72" s="604"/>
      <c r="O72" s="604"/>
      <c r="P72" s="536">
        <v>19</v>
      </c>
      <c r="Q72" s="538">
        <v>1288.9156626506019</v>
      </c>
      <c r="R72" s="538">
        <v>67.837666455294837</v>
      </c>
      <c r="S72" s="536">
        <f t="shared" si="60"/>
        <v>7</v>
      </c>
      <c r="T72" s="600"/>
      <c r="U72" s="536">
        <v>19</v>
      </c>
      <c r="V72" s="538">
        <v>1270.5882352941173</v>
      </c>
      <c r="W72" s="538">
        <v>66.873065015479867</v>
      </c>
      <c r="X72" s="536">
        <f t="shared" si="62"/>
        <v>7</v>
      </c>
      <c r="Y72" s="600"/>
      <c r="Z72" s="536">
        <v>19</v>
      </c>
      <c r="AA72" s="538">
        <v>1273.2467532467526</v>
      </c>
      <c r="AB72" s="538">
        <v>67.012987012986983</v>
      </c>
      <c r="AC72" s="536">
        <f t="shared" si="64"/>
        <v>7</v>
      </c>
      <c r="AD72" s="600"/>
      <c r="AE72" s="536">
        <v>19</v>
      </c>
      <c r="AF72" s="538">
        <v>1247.9999999999991</v>
      </c>
      <c r="AG72" s="538">
        <v>65.684210526315738</v>
      </c>
      <c r="AH72" s="536">
        <f t="shared" si="66"/>
        <v>8</v>
      </c>
      <c r="AI72" s="600"/>
      <c r="AJ72" s="536">
        <v>19</v>
      </c>
      <c r="AK72" s="538">
        <v>1263.1168831168825</v>
      </c>
      <c r="AL72" s="538">
        <v>66.479835953520137</v>
      </c>
      <c r="AM72" s="536">
        <f t="shared" si="68"/>
        <v>8</v>
      </c>
      <c r="AN72" s="600"/>
      <c r="AO72" s="536">
        <v>19</v>
      </c>
      <c r="AP72" s="538">
        <v>1284.1237113402065</v>
      </c>
      <c r="AQ72" s="538">
        <v>67.585458491589819</v>
      </c>
      <c r="AR72" s="536">
        <f t="shared" si="70"/>
        <v>7</v>
      </c>
      <c r="AS72" s="600"/>
      <c r="AT72" s="536">
        <v>19</v>
      </c>
      <c r="AU72" s="538">
        <v>1278.3157894736844</v>
      </c>
      <c r="AV72" s="538">
        <v>67.279778393351805</v>
      </c>
      <c r="AW72" s="536">
        <f t="shared" si="72"/>
        <v>7</v>
      </c>
      <c r="AX72" s="600"/>
      <c r="AZ72" s="521" t="e">
        <f t="shared" si="74"/>
        <v>#N/A</v>
      </c>
      <c r="BA72" s="600"/>
    </row>
    <row r="73" spans="2:53">
      <c r="B73" s="610"/>
      <c r="C73" s="305">
        <v>7</v>
      </c>
      <c r="D73" s="226" t="s">
        <v>578</v>
      </c>
      <c r="E73" s="182">
        <v>18</v>
      </c>
      <c r="F73" s="511">
        <v>1385</v>
      </c>
      <c r="G73" s="512">
        <v>76.900000000000006</v>
      </c>
      <c r="H73" s="668"/>
      <c r="I73" s="513">
        <f t="shared" si="57"/>
        <v>18</v>
      </c>
      <c r="J73" s="513">
        <f t="shared" si="58"/>
        <v>1172.7778261321093</v>
      </c>
      <c r="K73" s="200">
        <f t="shared" si="59"/>
        <v>65.154323674006065</v>
      </c>
      <c r="L73" s="621"/>
      <c r="M73" s="201">
        <f>RANK(K73, K$67:$K$81)</f>
        <v>9</v>
      </c>
      <c r="N73" s="604"/>
      <c r="O73" s="604"/>
      <c r="P73" s="536">
        <v>18</v>
      </c>
      <c r="Q73" s="538">
        <v>1151.5662650602405</v>
      </c>
      <c r="R73" s="538">
        <v>63.975903614457806</v>
      </c>
      <c r="S73" s="536">
        <f t="shared" si="60"/>
        <v>10</v>
      </c>
      <c r="T73" s="600"/>
      <c r="U73" s="536">
        <v>18</v>
      </c>
      <c r="V73" s="538">
        <v>1173.3333333333323</v>
      </c>
      <c r="W73" s="538">
        <v>65.185185185185134</v>
      </c>
      <c r="X73" s="536">
        <f t="shared" si="62"/>
        <v>9</v>
      </c>
      <c r="Y73" s="600"/>
      <c r="Z73" s="536">
        <v>18</v>
      </c>
      <c r="AA73" s="538">
        <v>1173.9473684210516</v>
      </c>
      <c r="AB73" s="538">
        <v>65.21929824561397</v>
      </c>
      <c r="AC73" s="536">
        <f t="shared" si="64"/>
        <v>9</v>
      </c>
      <c r="AD73" s="600"/>
      <c r="AE73" s="536">
        <v>18</v>
      </c>
      <c r="AF73" s="538">
        <v>1170.4225352112664</v>
      </c>
      <c r="AG73" s="538">
        <v>65.023474178403688</v>
      </c>
      <c r="AH73" s="536">
        <f t="shared" si="66"/>
        <v>10</v>
      </c>
      <c r="AI73" s="600"/>
      <c r="AJ73" s="536">
        <v>18</v>
      </c>
      <c r="AK73" s="538">
        <v>1190.3999999999992</v>
      </c>
      <c r="AL73" s="538">
        <v>66.133333333333283</v>
      </c>
      <c r="AM73" s="536">
        <f t="shared" si="68"/>
        <v>9</v>
      </c>
      <c r="AN73" s="600"/>
      <c r="AO73" s="536">
        <v>18</v>
      </c>
      <c r="AP73" s="538">
        <v>1179.7752808988764</v>
      </c>
      <c r="AQ73" s="538">
        <v>65.543071161048687</v>
      </c>
      <c r="AR73" s="536">
        <f t="shared" si="70"/>
        <v>9</v>
      </c>
      <c r="AS73" s="600"/>
      <c r="AT73" s="536">
        <v>18</v>
      </c>
      <c r="AU73" s="538">
        <v>1169.9999999999995</v>
      </c>
      <c r="AV73" s="538">
        <v>64.999999999999972</v>
      </c>
      <c r="AW73" s="536">
        <f t="shared" si="72"/>
        <v>10</v>
      </c>
      <c r="AX73" s="600"/>
      <c r="AZ73" s="521" t="e">
        <f t="shared" si="74"/>
        <v>#N/A</v>
      </c>
      <c r="BA73" s="600"/>
    </row>
    <row r="74" spans="2:53">
      <c r="B74" s="610"/>
      <c r="C74" s="305">
        <v>8</v>
      </c>
      <c r="D74" s="226" t="s">
        <v>581</v>
      </c>
      <c r="E74" s="182">
        <v>18</v>
      </c>
      <c r="F74" s="511">
        <v>1385</v>
      </c>
      <c r="G74" s="512">
        <v>76.900000000000006</v>
      </c>
      <c r="H74" s="668"/>
      <c r="I74" s="513">
        <f t="shared" si="57"/>
        <v>18</v>
      </c>
      <c r="J74" s="513">
        <f t="shared" si="58"/>
        <v>1145.6832863202324</v>
      </c>
      <c r="K74" s="200">
        <f t="shared" si="59"/>
        <v>63.649071462235142</v>
      </c>
      <c r="L74" s="621"/>
      <c r="M74" s="201">
        <f>RANK(K74, K$67:$K$81)</f>
        <v>11</v>
      </c>
      <c r="N74" s="604"/>
      <c r="O74" s="604"/>
      <c r="P74" s="536">
        <v>18</v>
      </c>
      <c r="Q74" s="538">
        <v>1176.2264150943402</v>
      </c>
      <c r="R74" s="538">
        <v>65.345911949685558</v>
      </c>
      <c r="S74" s="536">
        <f t="shared" si="60"/>
        <v>9</v>
      </c>
      <c r="T74" s="600"/>
      <c r="U74" s="536">
        <v>18</v>
      </c>
      <c r="V74" s="538">
        <v>1154.6666666666665</v>
      </c>
      <c r="W74" s="538">
        <v>64.148148148148138</v>
      </c>
      <c r="X74" s="536">
        <f t="shared" si="62"/>
        <v>10</v>
      </c>
      <c r="Y74" s="600"/>
      <c r="Z74" s="536">
        <v>18</v>
      </c>
      <c r="AA74" s="538">
        <v>1128</v>
      </c>
      <c r="AB74" s="538">
        <v>62.666666666666664</v>
      </c>
      <c r="AC74" s="536">
        <f t="shared" si="64"/>
        <v>10</v>
      </c>
      <c r="AD74" s="600"/>
      <c r="AE74" s="536">
        <v>18</v>
      </c>
      <c r="AF74" s="538">
        <v>1133.0232558139533</v>
      </c>
      <c r="AG74" s="538">
        <v>62.945736434108511</v>
      </c>
      <c r="AH74" s="536">
        <f t="shared" si="66"/>
        <v>11</v>
      </c>
      <c r="AI74" s="600"/>
      <c r="AJ74" s="536">
        <v>18</v>
      </c>
      <c r="AK74" s="538">
        <v>1128.0000000000002</v>
      </c>
      <c r="AL74" s="538">
        <v>62.666666666666679</v>
      </c>
      <c r="AM74" s="536">
        <f t="shared" si="68"/>
        <v>11</v>
      </c>
      <c r="AN74" s="600"/>
      <c r="AO74" s="536">
        <v>18</v>
      </c>
      <c r="AP74" s="538">
        <v>1153.2000000000003</v>
      </c>
      <c r="AQ74" s="538">
        <v>64.066666666666677</v>
      </c>
      <c r="AR74" s="536">
        <f t="shared" si="70"/>
        <v>11</v>
      </c>
      <c r="AS74" s="600"/>
      <c r="AT74" s="536">
        <v>18</v>
      </c>
      <c r="AU74" s="538">
        <v>1146.6666666666672</v>
      </c>
      <c r="AV74" s="538">
        <v>63.703703703703731</v>
      </c>
      <c r="AW74" s="536">
        <f t="shared" si="72"/>
        <v>11</v>
      </c>
      <c r="AX74" s="600"/>
      <c r="AZ74" s="521" t="e">
        <f t="shared" si="74"/>
        <v>#N/A</v>
      </c>
      <c r="BA74" s="600"/>
    </row>
    <row r="75" spans="2:53">
      <c r="B75" s="610"/>
      <c r="C75" s="305">
        <v>9</v>
      </c>
      <c r="D75" s="226" t="s">
        <v>643</v>
      </c>
      <c r="E75" s="182">
        <v>16</v>
      </c>
      <c r="F75" s="511">
        <v>1440</v>
      </c>
      <c r="G75" s="512">
        <v>90</v>
      </c>
      <c r="H75" s="668"/>
      <c r="I75" s="513">
        <f t="shared" si="57"/>
        <v>16</v>
      </c>
      <c r="J75" s="513">
        <f t="shared" si="58"/>
        <v>1312.257512077118</v>
      </c>
      <c r="K75" s="200">
        <f t="shared" si="59"/>
        <v>82.016094504819876</v>
      </c>
      <c r="L75" s="621"/>
      <c r="M75" s="201">
        <f>RANK(K75, K$67:$K$81)</f>
        <v>2</v>
      </c>
      <c r="N75" s="604"/>
      <c r="O75" s="604"/>
      <c r="P75" s="536">
        <v>16</v>
      </c>
      <c r="Q75" s="538">
        <v>1334.8672566371692</v>
      </c>
      <c r="R75" s="538">
        <v>83.429203539823078</v>
      </c>
      <c r="S75" s="536">
        <f t="shared" si="60"/>
        <v>2</v>
      </c>
      <c r="T75" s="600"/>
      <c r="U75" s="536">
        <v>16</v>
      </c>
      <c r="V75" s="538">
        <v>1325.0943396226421</v>
      </c>
      <c r="W75" s="538">
        <v>82.818396226415132</v>
      </c>
      <c r="X75" s="536">
        <f t="shared" si="62"/>
        <v>2</v>
      </c>
      <c r="Y75" s="600"/>
      <c r="Z75" s="536">
        <v>16</v>
      </c>
      <c r="AA75" s="538">
        <v>1306.0606060606065</v>
      </c>
      <c r="AB75" s="538">
        <v>81.628787878787904</v>
      </c>
      <c r="AC75" s="536">
        <f t="shared" si="64"/>
        <v>2</v>
      </c>
      <c r="AD75" s="600"/>
      <c r="AE75" s="536">
        <v>16</v>
      </c>
      <c r="AF75" s="538">
        <v>1290.3030303030307</v>
      </c>
      <c r="AG75" s="538">
        <v>80.643939393939419</v>
      </c>
      <c r="AH75" s="536">
        <f t="shared" si="66"/>
        <v>2</v>
      </c>
      <c r="AI75" s="600"/>
      <c r="AJ75" s="536">
        <v>16</v>
      </c>
      <c r="AK75" s="538">
        <v>1320.0000000000007</v>
      </c>
      <c r="AL75" s="538">
        <v>82.500000000000043</v>
      </c>
      <c r="AM75" s="536">
        <f t="shared" si="68"/>
        <v>2</v>
      </c>
      <c r="AN75" s="600"/>
      <c r="AO75" s="536">
        <v>16</v>
      </c>
      <c r="AP75" s="538">
        <v>1311.4285714285711</v>
      </c>
      <c r="AQ75" s="538">
        <v>81.964285714285694</v>
      </c>
      <c r="AR75" s="536">
        <f t="shared" si="70"/>
        <v>2</v>
      </c>
      <c r="AS75" s="600"/>
      <c r="AT75" s="536">
        <v>16</v>
      </c>
      <c r="AU75" s="538">
        <v>1298.0487804878044</v>
      </c>
      <c r="AV75" s="538">
        <v>81.128048780487774</v>
      </c>
      <c r="AW75" s="536">
        <f t="shared" si="72"/>
        <v>2</v>
      </c>
      <c r="AX75" s="600"/>
      <c r="AZ75" s="521" t="e">
        <f t="shared" si="74"/>
        <v>#N/A</v>
      </c>
      <c r="BA75" s="600"/>
    </row>
    <row r="76" spans="2:53">
      <c r="B76" s="610"/>
      <c r="C76" s="305">
        <v>10</v>
      </c>
      <c r="D76" s="226" t="s">
        <v>764</v>
      </c>
      <c r="E76" s="182">
        <v>19</v>
      </c>
      <c r="F76" s="511">
        <v>1440</v>
      </c>
      <c r="G76" s="512">
        <v>75.8</v>
      </c>
      <c r="H76" s="668"/>
      <c r="I76" s="513">
        <f t="shared" si="57"/>
        <v>19</v>
      </c>
      <c r="J76" s="513">
        <f t="shared" si="58"/>
        <v>1310.3389813303986</v>
      </c>
      <c r="K76" s="200">
        <f t="shared" si="59"/>
        <v>68.965209543705186</v>
      </c>
      <c r="L76" s="621"/>
      <c r="M76" s="201">
        <f>RANK(K76, K$67:$K$81)</f>
        <v>6</v>
      </c>
      <c r="N76" s="604"/>
      <c r="O76" s="604"/>
      <c r="P76" s="536">
        <v>19</v>
      </c>
      <c r="Q76" s="538">
        <v>1319.8994011976049</v>
      </c>
      <c r="R76" s="538">
        <v>69.468389536716046</v>
      </c>
      <c r="S76" s="536">
        <f t="shared" si="60"/>
        <v>6</v>
      </c>
      <c r="T76" s="600"/>
      <c r="U76" s="536">
        <v>19</v>
      </c>
      <c r="V76" s="538">
        <v>1305.7960784313721</v>
      </c>
      <c r="W76" s="538">
        <v>68.726109391124851</v>
      </c>
      <c r="X76" s="536">
        <f t="shared" si="62"/>
        <v>6</v>
      </c>
      <c r="Y76" s="600"/>
      <c r="Z76" s="536">
        <v>19</v>
      </c>
      <c r="AA76" s="538">
        <v>1303.6064516129031</v>
      </c>
      <c r="AB76" s="538">
        <v>68.610865874363327</v>
      </c>
      <c r="AC76" s="536">
        <f t="shared" si="64"/>
        <v>6</v>
      </c>
      <c r="AD76" s="600"/>
      <c r="AE76" s="536">
        <v>19</v>
      </c>
      <c r="AF76" s="538">
        <v>1302.7549668874169</v>
      </c>
      <c r="AG76" s="538">
        <v>68.566050888811418</v>
      </c>
      <c r="AH76" s="536">
        <f t="shared" si="66"/>
        <v>6</v>
      </c>
      <c r="AI76" s="600"/>
      <c r="AJ76" s="536">
        <v>19</v>
      </c>
      <c r="AK76" s="538">
        <v>1328.3780487804881</v>
      </c>
      <c r="AL76" s="538">
        <v>69.914634146341484</v>
      </c>
      <c r="AM76" s="536">
        <f t="shared" si="68"/>
        <v>5</v>
      </c>
      <c r="AN76" s="600"/>
      <c r="AO76" s="536">
        <v>19</v>
      </c>
      <c r="AP76" s="538">
        <v>1302.8085106382982</v>
      </c>
      <c r="AQ76" s="538">
        <v>68.56886898096306</v>
      </c>
      <c r="AR76" s="536">
        <f t="shared" si="70"/>
        <v>6</v>
      </c>
      <c r="AS76" s="600"/>
      <c r="AT76" s="536">
        <v>19</v>
      </c>
      <c r="AU76" s="538">
        <v>1309.1294117647064</v>
      </c>
      <c r="AV76" s="538">
        <v>68.901547987616127</v>
      </c>
      <c r="AW76" s="536">
        <f t="shared" si="72"/>
        <v>6</v>
      </c>
      <c r="AX76" s="600"/>
      <c r="AZ76" s="521" t="e">
        <f t="shared" si="74"/>
        <v>#N/A</v>
      </c>
      <c r="BA76" s="600"/>
    </row>
    <row r="77" spans="2:53">
      <c r="B77" s="610"/>
      <c r="C77" s="305">
        <v>11</v>
      </c>
      <c r="D77" s="226" t="s">
        <v>817</v>
      </c>
      <c r="E77" s="182">
        <v>19</v>
      </c>
      <c r="F77" s="511">
        <v>1440</v>
      </c>
      <c r="G77" s="512">
        <v>75.8</v>
      </c>
      <c r="H77" s="668"/>
      <c r="I77" s="513">
        <f t="shared" si="57"/>
        <v>18.428571428571427</v>
      </c>
      <c r="J77" s="513">
        <f t="shared" si="58"/>
        <v>1186.7293968970985</v>
      </c>
      <c r="K77" s="200">
        <f t="shared" si="59"/>
        <v>64.43560891060072</v>
      </c>
      <c r="L77" s="621"/>
      <c r="M77" s="201">
        <f>RANK(K77, K$67:$K$81)</f>
        <v>10</v>
      </c>
      <c r="N77" s="604"/>
      <c r="O77" s="604"/>
      <c r="P77" s="536">
        <v>19</v>
      </c>
      <c r="Q77" s="538">
        <v>1208</v>
      </c>
      <c r="R77" s="538">
        <v>63.578947368421055</v>
      </c>
      <c r="S77" s="536">
        <f t="shared" si="60"/>
        <v>11</v>
      </c>
      <c r="T77" s="600"/>
      <c r="U77" s="536">
        <v>19</v>
      </c>
      <c r="V77" s="538">
        <v>1187.7272727272727</v>
      </c>
      <c r="W77" s="538">
        <v>62.511961722488039</v>
      </c>
      <c r="X77" s="536">
        <f t="shared" si="62"/>
        <v>11</v>
      </c>
      <c r="Y77" s="600"/>
      <c r="Z77" s="536">
        <v>19</v>
      </c>
      <c r="AA77" s="538">
        <v>1180.4347826086957</v>
      </c>
      <c r="AB77" s="538">
        <v>62.128146453089251</v>
      </c>
      <c r="AC77" s="536">
        <f t="shared" si="64"/>
        <v>11</v>
      </c>
      <c r="AD77" s="600"/>
      <c r="AE77" s="536">
        <v>18</v>
      </c>
      <c r="AF77" s="538">
        <v>1173.3333333333323</v>
      </c>
      <c r="AG77" s="538">
        <v>65.185185185185134</v>
      </c>
      <c r="AH77" s="536">
        <f t="shared" si="66"/>
        <v>9</v>
      </c>
      <c r="AI77" s="600"/>
      <c r="AJ77" s="536">
        <v>18</v>
      </c>
      <c r="AK77" s="538">
        <v>1203.4285714285702</v>
      </c>
      <c r="AL77" s="538">
        <v>66.85714285714279</v>
      </c>
      <c r="AM77" s="536">
        <f t="shared" si="68"/>
        <v>7</v>
      </c>
      <c r="AN77" s="600"/>
      <c r="AO77" s="536">
        <v>18</v>
      </c>
      <c r="AP77" s="538">
        <v>1175.9999999999995</v>
      </c>
      <c r="AQ77" s="538">
        <v>65.333333333333314</v>
      </c>
      <c r="AR77" s="536">
        <f t="shared" si="70"/>
        <v>10</v>
      </c>
      <c r="AS77" s="600"/>
      <c r="AT77" s="536">
        <v>18</v>
      </c>
      <c r="AU77" s="538">
        <v>1178.1818181818182</v>
      </c>
      <c r="AV77" s="538">
        <v>65.454545454545453</v>
      </c>
      <c r="AW77" s="536">
        <f t="shared" si="72"/>
        <v>9</v>
      </c>
      <c r="AX77" s="600"/>
      <c r="AZ77" s="521" t="e">
        <f t="shared" si="74"/>
        <v>#N/A</v>
      </c>
      <c r="BA77" s="600"/>
    </row>
    <row r="78" spans="2:53">
      <c r="B78" s="610"/>
      <c r="C78" s="305">
        <v>12</v>
      </c>
      <c r="D78" s="226" t="s">
        <v>832</v>
      </c>
      <c r="E78" s="182">
        <v>15</v>
      </c>
      <c r="F78" s="511">
        <v>1440</v>
      </c>
      <c r="G78" s="512">
        <v>96</v>
      </c>
      <c r="H78" s="668"/>
      <c r="I78" s="513">
        <f t="shared" si="57"/>
        <v>15.142857142857142</v>
      </c>
      <c r="J78" s="513">
        <f t="shared" si="58"/>
        <v>1327.4744153775825</v>
      </c>
      <c r="K78" s="200">
        <f t="shared" si="59"/>
        <v>87.672079080727713</v>
      </c>
      <c r="L78" s="621"/>
      <c r="M78" s="201">
        <f>RANK(K78, K$67:$K$81)</f>
        <v>1</v>
      </c>
      <c r="N78" s="604"/>
      <c r="O78" s="604"/>
      <c r="P78" s="536">
        <v>15</v>
      </c>
      <c r="Q78" s="538">
        <v>1341.9800000000005</v>
      </c>
      <c r="R78" s="538">
        <v>89.465333333333362</v>
      </c>
      <c r="S78" s="536">
        <f t="shared" si="60"/>
        <v>1</v>
      </c>
      <c r="T78" s="600"/>
      <c r="U78" s="536">
        <v>15</v>
      </c>
      <c r="V78" s="538">
        <v>1309.6585365853664</v>
      </c>
      <c r="W78" s="538">
        <v>87.310569105691087</v>
      </c>
      <c r="X78" s="536">
        <f t="shared" si="62"/>
        <v>1</v>
      </c>
      <c r="Y78" s="600"/>
      <c r="Z78" s="536">
        <v>15</v>
      </c>
      <c r="AA78" s="538">
        <v>1318.7999999999997</v>
      </c>
      <c r="AB78" s="538">
        <v>87.919999999999987</v>
      </c>
      <c r="AC78" s="536">
        <f t="shared" si="64"/>
        <v>1</v>
      </c>
      <c r="AD78" s="600"/>
      <c r="AE78" s="536">
        <v>15</v>
      </c>
      <c r="AF78" s="538">
        <v>1304.1624365482226</v>
      </c>
      <c r="AG78" s="538">
        <v>86.944162436548169</v>
      </c>
      <c r="AH78" s="536">
        <f t="shared" si="66"/>
        <v>1</v>
      </c>
      <c r="AI78" s="600"/>
      <c r="AJ78" s="536">
        <v>15</v>
      </c>
      <c r="AK78" s="538">
        <v>1324.4689655172417</v>
      </c>
      <c r="AL78" s="538">
        <v>88.297931034482787</v>
      </c>
      <c r="AM78" s="536">
        <f t="shared" si="68"/>
        <v>1</v>
      </c>
      <c r="AN78" s="600"/>
      <c r="AO78" s="536">
        <v>15</v>
      </c>
      <c r="AP78" s="538">
        <v>1305.2093023255811</v>
      </c>
      <c r="AQ78" s="538">
        <v>87.013953488372081</v>
      </c>
      <c r="AR78" s="536">
        <f t="shared" si="70"/>
        <v>1</v>
      </c>
      <c r="AS78" s="600"/>
      <c r="AT78" s="536">
        <v>16</v>
      </c>
      <c r="AU78" s="538">
        <v>1388.0416666666654</v>
      </c>
      <c r="AV78" s="538">
        <v>86.752604166666586</v>
      </c>
      <c r="AW78" s="536">
        <f t="shared" si="72"/>
        <v>1</v>
      </c>
      <c r="AX78" s="600"/>
      <c r="AZ78" s="521" t="e">
        <f t="shared" si="74"/>
        <v>#N/A</v>
      </c>
      <c r="BA78" s="600"/>
    </row>
    <row r="79" spans="2:53">
      <c r="B79" s="610"/>
      <c r="C79" s="305">
        <v>13</v>
      </c>
      <c r="D79" s="226"/>
      <c r="E79" s="182"/>
      <c r="F79" s="511"/>
      <c r="G79" s="512"/>
      <c r="H79" s="668"/>
      <c r="I79" s="513" t="str">
        <f t="shared" si="57"/>
        <v>-</v>
      </c>
      <c r="J79" s="513" t="str">
        <f t="shared" si="58"/>
        <v>-</v>
      </c>
      <c r="K79" s="200" t="str">
        <f t="shared" si="59"/>
        <v>-</v>
      </c>
      <c r="L79" s="621"/>
      <c r="M79" s="201" t="e">
        <f>RANK(K79, K$67:$K$81)</f>
        <v>#VALUE!</v>
      </c>
      <c r="N79" s="604"/>
      <c r="O79" s="604"/>
      <c r="P79" s="536" t="s">
        <v>822</v>
      </c>
      <c r="Q79" s="538" t="s">
        <v>822</v>
      </c>
      <c r="R79" s="538" t="s">
        <v>822</v>
      </c>
      <c r="S79" s="536" t="e">
        <f t="shared" si="60"/>
        <v>#VALUE!</v>
      </c>
      <c r="T79" s="600"/>
      <c r="U79" s="536" t="s">
        <v>822</v>
      </c>
      <c r="V79" s="538" t="s">
        <v>822</v>
      </c>
      <c r="W79" s="538" t="s">
        <v>822</v>
      </c>
      <c r="X79" s="536" t="e">
        <f t="shared" si="62"/>
        <v>#VALUE!</v>
      </c>
      <c r="Y79" s="600"/>
      <c r="Z79" s="536" t="s">
        <v>822</v>
      </c>
      <c r="AA79" s="538" t="s">
        <v>822</v>
      </c>
      <c r="AB79" s="538" t="s">
        <v>822</v>
      </c>
      <c r="AC79" s="536" t="e">
        <f t="shared" si="64"/>
        <v>#VALUE!</v>
      </c>
      <c r="AD79" s="600"/>
      <c r="AE79" s="536" t="s">
        <v>822</v>
      </c>
      <c r="AF79" s="538" t="s">
        <v>822</v>
      </c>
      <c r="AG79" s="538" t="s">
        <v>822</v>
      </c>
      <c r="AH79" s="536" t="e">
        <f t="shared" si="66"/>
        <v>#VALUE!</v>
      </c>
      <c r="AI79" s="600"/>
      <c r="AJ79" s="536" t="s">
        <v>822</v>
      </c>
      <c r="AK79" s="538" t="s">
        <v>822</v>
      </c>
      <c r="AL79" s="538" t="s">
        <v>822</v>
      </c>
      <c r="AM79" s="536" t="e">
        <f t="shared" si="68"/>
        <v>#VALUE!</v>
      </c>
      <c r="AN79" s="600"/>
      <c r="AO79" s="536" t="s">
        <v>822</v>
      </c>
      <c r="AP79" s="538" t="s">
        <v>822</v>
      </c>
      <c r="AQ79" s="538" t="s">
        <v>822</v>
      </c>
      <c r="AR79" s="536" t="e">
        <f t="shared" si="70"/>
        <v>#VALUE!</v>
      </c>
      <c r="AS79" s="600"/>
      <c r="AT79" s="536" t="s">
        <v>822</v>
      </c>
      <c r="AU79" s="538" t="s">
        <v>822</v>
      </c>
      <c r="AV79" s="538" t="s">
        <v>822</v>
      </c>
      <c r="AW79" s="536" t="e">
        <f t="shared" si="72"/>
        <v>#VALUE!</v>
      </c>
      <c r="AX79" s="600"/>
      <c r="AZ79" s="521" t="e">
        <f t="shared" si="74"/>
        <v>#N/A</v>
      </c>
      <c r="BA79" s="600"/>
    </row>
    <row r="80" spans="2:53">
      <c r="B80" s="610"/>
      <c r="C80" s="305">
        <v>14</v>
      </c>
      <c r="D80" s="226"/>
      <c r="E80" s="182"/>
      <c r="F80" s="511"/>
      <c r="G80" s="512"/>
      <c r="H80" s="668"/>
      <c r="I80" s="513" t="str">
        <f t="shared" si="57"/>
        <v>-</v>
      </c>
      <c r="J80" s="513" t="str">
        <f t="shared" si="58"/>
        <v>-</v>
      </c>
      <c r="K80" s="200" t="str">
        <f t="shared" si="59"/>
        <v>-</v>
      </c>
      <c r="L80" s="621"/>
      <c r="M80" s="201" t="e">
        <f>RANK(K80, K$67:$K$81)</f>
        <v>#VALUE!</v>
      </c>
      <c r="N80" s="604"/>
      <c r="O80" s="604"/>
      <c r="P80" s="536" t="s">
        <v>822</v>
      </c>
      <c r="Q80" s="538" t="s">
        <v>822</v>
      </c>
      <c r="R80" s="538" t="s">
        <v>822</v>
      </c>
      <c r="S80" s="536" t="e">
        <f t="shared" si="60"/>
        <v>#VALUE!</v>
      </c>
      <c r="T80" s="600"/>
      <c r="U80" s="536" t="s">
        <v>822</v>
      </c>
      <c r="V80" s="538" t="s">
        <v>822</v>
      </c>
      <c r="W80" s="538" t="s">
        <v>822</v>
      </c>
      <c r="X80" s="536" t="e">
        <f t="shared" si="62"/>
        <v>#VALUE!</v>
      </c>
      <c r="Y80" s="600"/>
      <c r="Z80" s="536" t="s">
        <v>822</v>
      </c>
      <c r="AA80" s="538" t="s">
        <v>822</v>
      </c>
      <c r="AB80" s="538" t="s">
        <v>822</v>
      </c>
      <c r="AC80" s="536" t="e">
        <f t="shared" si="64"/>
        <v>#VALUE!</v>
      </c>
      <c r="AD80" s="600"/>
      <c r="AE80" s="536" t="s">
        <v>822</v>
      </c>
      <c r="AF80" s="538" t="s">
        <v>822</v>
      </c>
      <c r="AG80" s="538" t="s">
        <v>822</v>
      </c>
      <c r="AH80" s="536" t="e">
        <f t="shared" si="66"/>
        <v>#VALUE!</v>
      </c>
      <c r="AI80" s="600"/>
      <c r="AJ80" s="536" t="s">
        <v>822</v>
      </c>
      <c r="AK80" s="538" t="s">
        <v>822</v>
      </c>
      <c r="AL80" s="538" t="s">
        <v>822</v>
      </c>
      <c r="AM80" s="536" t="e">
        <f t="shared" si="68"/>
        <v>#VALUE!</v>
      </c>
      <c r="AN80" s="600"/>
      <c r="AO80" s="536" t="s">
        <v>822</v>
      </c>
      <c r="AP80" s="538" t="s">
        <v>822</v>
      </c>
      <c r="AQ80" s="538" t="s">
        <v>822</v>
      </c>
      <c r="AR80" s="536" t="e">
        <f t="shared" si="70"/>
        <v>#VALUE!</v>
      </c>
      <c r="AS80" s="600"/>
      <c r="AT80" s="536" t="s">
        <v>822</v>
      </c>
      <c r="AU80" s="538" t="s">
        <v>822</v>
      </c>
      <c r="AV80" s="538" t="s">
        <v>822</v>
      </c>
      <c r="AW80" s="536" t="e">
        <f t="shared" si="72"/>
        <v>#VALUE!</v>
      </c>
      <c r="AX80" s="600"/>
      <c r="AZ80" s="521" t="e">
        <f t="shared" si="74"/>
        <v>#N/A</v>
      </c>
      <c r="BA80" s="600"/>
    </row>
    <row r="81" spans="2:53">
      <c r="B81" s="610"/>
      <c r="C81" s="305">
        <v>15</v>
      </c>
      <c r="D81" s="226"/>
      <c r="E81" s="182"/>
      <c r="F81" s="511"/>
      <c r="G81" s="512"/>
      <c r="H81" s="669"/>
      <c r="I81" s="202"/>
      <c r="J81" s="202"/>
      <c r="K81" s="202"/>
      <c r="L81" s="622"/>
      <c r="M81" s="201" t="e">
        <f>RANK(K81, K$67:$K$81)</f>
        <v>#N/A</v>
      </c>
      <c r="N81" s="604"/>
      <c r="O81" s="604"/>
      <c r="P81" s="536" t="s">
        <v>822</v>
      </c>
      <c r="Q81" s="538" t="s">
        <v>822</v>
      </c>
      <c r="R81" s="538" t="s">
        <v>822</v>
      </c>
      <c r="S81" s="536" t="e">
        <f t="shared" si="60"/>
        <v>#VALUE!</v>
      </c>
      <c r="T81" s="601"/>
      <c r="U81" s="536" t="s">
        <v>822</v>
      </c>
      <c r="V81" s="538" t="s">
        <v>822</v>
      </c>
      <c r="W81" s="538" t="s">
        <v>822</v>
      </c>
      <c r="X81" s="536" t="e">
        <f t="shared" si="62"/>
        <v>#VALUE!</v>
      </c>
      <c r="Y81" s="601"/>
      <c r="Z81" s="536" t="s">
        <v>822</v>
      </c>
      <c r="AA81" s="538" t="s">
        <v>822</v>
      </c>
      <c r="AB81" s="538" t="s">
        <v>822</v>
      </c>
      <c r="AC81" s="536" t="e">
        <f t="shared" si="64"/>
        <v>#VALUE!</v>
      </c>
      <c r="AD81" s="601"/>
      <c r="AE81" s="536" t="s">
        <v>822</v>
      </c>
      <c r="AF81" s="538" t="s">
        <v>822</v>
      </c>
      <c r="AG81" s="538" t="s">
        <v>822</v>
      </c>
      <c r="AH81" s="536" t="e">
        <f t="shared" si="66"/>
        <v>#VALUE!</v>
      </c>
      <c r="AI81" s="601"/>
      <c r="AJ81" s="536" t="s">
        <v>822</v>
      </c>
      <c r="AK81" s="538" t="s">
        <v>822</v>
      </c>
      <c r="AL81" s="538" t="s">
        <v>822</v>
      </c>
      <c r="AM81" s="536" t="e">
        <f t="shared" si="68"/>
        <v>#VALUE!</v>
      </c>
      <c r="AN81" s="601"/>
      <c r="AO81" s="536" t="s">
        <v>822</v>
      </c>
      <c r="AP81" s="538" t="s">
        <v>822</v>
      </c>
      <c r="AQ81" s="538" t="s">
        <v>822</v>
      </c>
      <c r="AR81" s="536" t="e">
        <f t="shared" si="70"/>
        <v>#VALUE!</v>
      </c>
      <c r="AS81" s="601"/>
      <c r="AT81" s="536" t="s">
        <v>822</v>
      </c>
      <c r="AU81" s="538" t="s">
        <v>822</v>
      </c>
      <c r="AV81" s="538" t="s">
        <v>822</v>
      </c>
      <c r="AW81" s="536" t="e">
        <f t="shared" si="72"/>
        <v>#VALUE!</v>
      </c>
      <c r="AX81" s="601"/>
      <c r="AZ81" s="521" t="e">
        <f t="shared" si="74"/>
        <v>#N/A</v>
      </c>
      <c r="BA81" s="601"/>
    </row>
    <row r="82" spans="2:53" ht="15.75">
      <c r="B82" s="633" t="s">
        <v>163</v>
      </c>
      <c r="C82" s="634"/>
      <c r="D82" s="634"/>
      <c r="E82" s="634"/>
      <c r="F82" s="634"/>
      <c r="G82" s="634"/>
      <c r="H82" s="635"/>
      <c r="I82" s="208"/>
      <c r="J82" s="208"/>
      <c r="K82" s="208"/>
      <c r="L82" s="208"/>
      <c r="M82" s="207"/>
      <c r="N82" s="606" t="s">
        <v>156</v>
      </c>
      <c r="O82" s="606" t="s">
        <v>105</v>
      </c>
      <c r="P82" s="632">
        <f>P62+7</f>
        <v>46140</v>
      </c>
      <c r="Q82" s="610"/>
      <c r="R82" s="610"/>
      <c r="S82" s="610"/>
      <c r="T82" s="610"/>
      <c r="U82" s="629">
        <f>P82+1</f>
        <v>46141</v>
      </c>
      <c r="V82" s="630"/>
      <c r="W82" s="630"/>
      <c r="X82" s="630"/>
      <c r="Y82" s="631"/>
      <c r="Z82" s="629">
        <f>U82+1</f>
        <v>46142</v>
      </c>
      <c r="AA82" s="630"/>
      <c r="AB82" s="630"/>
      <c r="AC82" s="630"/>
      <c r="AD82" s="631"/>
      <c r="AE82" s="629">
        <f>Z82+1</f>
        <v>46143</v>
      </c>
      <c r="AF82" s="630"/>
      <c r="AG82" s="630"/>
      <c r="AH82" s="630"/>
      <c r="AI82" s="631"/>
      <c r="AJ82" s="629">
        <f>AE82+1</f>
        <v>46144</v>
      </c>
      <c r="AK82" s="630"/>
      <c r="AL82" s="630"/>
      <c r="AM82" s="630"/>
      <c r="AN82" s="631"/>
      <c r="AO82" s="629">
        <f>AJ82+1</f>
        <v>46145</v>
      </c>
      <c r="AP82" s="630"/>
      <c r="AQ82" s="630"/>
      <c r="AR82" s="630"/>
      <c r="AS82" s="631"/>
      <c r="AT82" s="629">
        <f>AO82+1</f>
        <v>46146</v>
      </c>
      <c r="AU82" s="630"/>
      <c r="AV82" s="630"/>
      <c r="AW82" s="630"/>
      <c r="AX82" s="631"/>
    </row>
    <row r="83" spans="2:53" ht="15.75">
      <c r="B83" s="636"/>
      <c r="C83" s="636"/>
      <c r="D83" s="636"/>
      <c r="E83" s="636"/>
      <c r="F83" s="636"/>
      <c r="G83" s="636"/>
      <c r="H83" s="636"/>
      <c r="I83" s="205"/>
      <c r="J83" s="205"/>
      <c r="K83" s="205"/>
      <c r="L83" s="205"/>
      <c r="M83" s="206"/>
      <c r="N83" s="608"/>
      <c r="O83" s="608"/>
      <c r="P83" s="632" t="s">
        <v>336</v>
      </c>
      <c r="Q83" s="610"/>
      <c r="R83" s="610"/>
      <c r="S83" s="610"/>
      <c r="T83" s="610"/>
      <c r="U83" s="632" t="s">
        <v>337</v>
      </c>
      <c r="V83" s="610"/>
      <c r="W83" s="610"/>
      <c r="X83" s="610"/>
      <c r="Y83" s="610"/>
      <c r="Z83" s="632" t="s">
        <v>338</v>
      </c>
      <c r="AA83" s="610"/>
      <c r="AB83" s="610"/>
      <c r="AC83" s="610"/>
      <c r="AD83" s="610"/>
      <c r="AE83" s="632" t="s">
        <v>339</v>
      </c>
      <c r="AF83" s="610"/>
      <c r="AG83" s="610"/>
      <c r="AH83" s="610"/>
      <c r="AI83" s="610"/>
      <c r="AJ83" s="632" t="s">
        <v>340</v>
      </c>
      <c r="AK83" s="610"/>
      <c r="AL83" s="610"/>
      <c r="AM83" s="610"/>
      <c r="AN83" s="610"/>
      <c r="AO83" s="632" t="s">
        <v>341</v>
      </c>
      <c r="AP83" s="610"/>
      <c r="AQ83" s="610"/>
      <c r="AR83" s="610"/>
      <c r="AS83" s="610"/>
      <c r="AT83" s="632" t="s">
        <v>342</v>
      </c>
      <c r="AU83" s="610"/>
      <c r="AV83" s="610"/>
      <c r="AW83" s="610"/>
      <c r="AX83" s="610"/>
    </row>
    <row r="84" spans="2:53">
      <c r="B84" s="604" t="s">
        <v>423</v>
      </c>
      <c r="C84" s="604" t="s">
        <v>424</v>
      </c>
      <c r="D84" s="604"/>
      <c r="E84" s="604" t="s">
        <v>425</v>
      </c>
      <c r="F84" s="604"/>
      <c r="G84" s="604"/>
      <c r="H84" s="637" t="s">
        <v>426</v>
      </c>
      <c r="I84" s="656" t="s">
        <v>427</v>
      </c>
      <c r="J84" s="656"/>
      <c r="K84" s="656"/>
      <c r="L84" s="657" t="s">
        <v>426</v>
      </c>
      <c r="M84" s="642" t="s">
        <v>428</v>
      </c>
      <c r="N84" s="604"/>
      <c r="O84" s="604" t="s">
        <v>429</v>
      </c>
      <c r="P84" s="623" t="s">
        <v>430</v>
      </c>
      <c r="Q84" s="624"/>
      <c r="R84" s="624"/>
      <c r="S84" s="625"/>
      <c r="T84" s="604" t="s">
        <v>426</v>
      </c>
      <c r="U84" s="623" t="s">
        <v>430</v>
      </c>
      <c r="V84" s="624"/>
      <c r="W84" s="624"/>
      <c r="X84" s="625"/>
      <c r="Y84" s="604" t="s">
        <v>426</v>
      </c>
      <c r="Z84" s="623" t="s">
        <v>430</v>
      </c>
      <c r="AA84" s="624"/>
      <c r="AB84" s="624"/>
      <c r="AC84" s="625"/>
      <c r="AD84" s="604" t="s">
        <v>426</v>
      </c>
      <c r="AE84" s="623" t="s">
        <v>430</v>
      </c>
      <c r="AF84" s="624"/>
      <c r="AG84" s="624"/>
      <c r="AH84" s="625"/>
      <c r="AI84" s="604" t="s">
        <v>426</v>
      </c>
      <c r="AJ84" s="623" t="s">
        <v>430</v>
      </c>
      <c r="AK84" s="624"/>
      <c r="AL84" s="624"/>
      <c r="AM84" s="625"/>
      <c r="AN84" s="604" t="s">
        <v>426</v>
      </c>
      <c r="AO84" s="623" t="s">
        <v>430</v>
      </c>
      <c r="AP84" s="624"/>
      <c r="AQ84" s="624"/>
      <c r="AR84" s="625"/>
      <c r="AS84" s="604" t="s">
        <v>426</v>
      </c>
      <c r="AT84" s="623" t="s">
        <v>430</v>
      </c>
      <c r="AU84" s="624"/>
      <c r="AV84" s="624"/>
      <c r="AW84" s="625"/>
      <c r="AX84" s="604" t="s">
        <v>426</v>
      </c>
      <c r="BA84" s="604" t="s">
        <v>395</v>
      </c>
    </row>
    <row r="85" spans="2:53">
      <c r="B85" s="604"/>
      <c r="C85" s="604"/>
      <c r="D85" s="604"/>
      <c r="E85" s="604" t="s">
        <v>431</v>
      </c>
      <c r="F85" s="604"/>
      <c r="G85" s="604"/>
      <c r="H85" s="638"/>
      <c r="I85" s="656" t="s">
        <v>431</v>
      </c>
      <c r="J85" s="656"/>
      <c r="K85" s="656"/>
      <c r="L85" s="658"/>
      <c r="M85" s="643"/>
      <c r="N85" s="604"/>
      <c r="O85" s="604"/>
      <c r="P85" s="623" t="s">
        <v>432</v>
      </c>
      <c r="Q85" s="624"/>
      <c r="R85" s="624"/>
      <c r="S85" s="625"/>
      <c r="T85" s="604"/>
      <c r="U85" s="623" t="s">
        <v>432</v>
      </c>
      <c r="V85" s="624"/>
      <c r="W85" s="624"/>
      <c r="X85" s="625"/>
      <c r="Y85" s="604"/>
      <c r="Z85" s="623" t="s">
        <v>432</v>
      </c>
      <c r="AA85" s="624"/>
      <c r="AB85" s="624"/>
      <c r="AC85" s="625"/>
      <c r="AD85" s="604"/>
      <c r="AE85" s="623" t="s">
        <v>432</v>
      </c>
      <c r="AF85" s="624"/>
      <c r="AG85" s="624"/>
      <c r="AH85" s="625"/>
      <c r="AI85" s="604"/>
      <c r="AJ85" s="623" t="s">
        <v>432</v>
      </c>
      <c r="AK85" s="624"/>
      <c r="AL85" s="624"/>
      <c r="AM85" s="625"/>
      <c r="AN85" s="604"/>
      <c r="AO85" s="623" t="s">
        <v>432</v>
      </c>
      <c r="AP85" s="624"/>
      <c r="AQ85" s="624"/>
      <c r="AR85" s="625"/>
      <c r="AS85" s="604"/>
      <c r="AT85" s="623" t="s">
        <v>432</v>
      </c>
      <c r="AU85" s="624"/>
      <c r="AV85" s="624"/>
      <c r="AW85" s="625"/>
      <c r="AX85" s="604"/>
      <c r="BA85" s="604"/>
    </row>
    <row r="86" spans="2:53">
      <c r="B86" s="604"/>
      <c r="C86" s="604"/>
      <c r="D86" s="604"/>
      <c r="E86" s="298" t="s">
        <v>433</v>
      </c>
      <c r="F86" s="298" t="s">
        <v>434</v>
      </c>
      <c r="G86" s="298" t="s">
        <v>435</v>
      </c>
      <c r="H86" s="639"/>
      <c r="I86" s="299" t="s">
        <v>433</v>
      </c>
      <c r="J86" s="299" t="s">
        <v>434</v>
      </c>
      <c r="K86" s="299" t="s">
        <v>435</v>
      </c>
      <c r="L86" s="659"/>
      <c r="M86" s="644"/>
      <c r="N86" s="604"/>
      <c r="O86" s="604"/>
      <c r="P86" s="298" t="s">
        <v>433</v>
      </c>
      <c r="Q86" s="298" t="s">
        <v>434</v>
      </c>
      <c r="R86" s="298" t="s">
        <v>435</v>
      </c>
      <c r="S86" s="298" t="s">
        <v>428</v>
      </c>
      <c r="T86" s="604"/>
      <c r="U86" s="298" t="s">
        <v>433</v>
      </c>
      <c r="V86" s="298" t="s">
        <v>434</v>
      </c>
      <c r="W86" s="298" t="s">
        <v>435</v>
      </c>
      <c r="X86" s="298" t="s">
        <v>428</v>
      </c>
      <c r="Y86" s="604"/>
      <c r="Z86" s="298" t="s">
        <v>433</v>
      </c>
      <c r="AA86" s="298" t="s">
        <v>434</v>
      </c>
      <c r="AB86" s="298" t="s">
        <v>435</v>
      </c>
      <c r="AC86" s="298" t="s">
        <v>428</v>
      </c>
      <c r="AD86" s="604"/>
      <c r="AE86" s="298" t="s">
        <v>433</v>
      </c>
      <c r="AF86" s="298" t="s">
        <v>434</v>
      </c>
      <c r="AG86" s="298" t="s">
        <v>435</v>
      </c>
      <c r="AH86" s="298" t="s">
        <v>428</v>
      </c>
      <c r="AI86" s="604"/>
      <c r="AJ86" s="298" t="s">
        <v>433</v>
      </c>
      <c r="AK86" s="298" t="s">
        <v>434</v>
      </c>
      <c r="AL86" s="298" t="s">
        <v>435</v>
      </c>
      <c r="AM86" s="298" t="s">
        <v>428</v>
      </c>
      <c r="AN86" s="604"/>
      <c r="AO86" s="298" t="s">
        <v>433</v>
      </c>
      <c r="AP86" s="298" t="s">
        <v>434</v>
      </c>
      <c r="AQ86" s="298" t="s">
        <v>435</v>
      </c>
      <c r="AR86" s="298" t="s">
        <v>428</v>
      </c>
      <c r="AS86" s="604"/>
      <c r="AT86" s="298" t="s">
        <v>433</v>
      </c>
      <c r="AU86" s="298" t="s">
        <v>434</v>
      </c>
      <c r="AV86" s="298" t="s">
        <v>435</v>
      </c>
      <c r="AW86" s="298" t="s">
        <v>428</v>
      </c>
      <c r="AX86" s="604"/>
      <c r="AZ86" s="520" t="s">
        <v>396</v>
      </c>
      <c r="BA86" s="604"/>
    </row>
    <row r="87" spans="2:53">
      <c r="B87" s="604" t="s">
        <v>439</v>
      </c>
      <c r="C87" s="297">
        <v>1</v>
      </c>
      <c r="D87" s="226"/>
      <c r="E87" s="182"/>
      <c r="F87" s="488"/>
      <c r="G87" s="489"/>
      <c r="H87" s="667" t="e">
        <f>AVERAGE(G87:G101)</f>
        <v>#DIV/0!</v>
      </c>
      <c r="I87" s="513" t="str">
        <f t="shared" ref="I87:I100" si="76">IFERROR(AVERAGE(P87,U87,Z87,AE87,AJ87,AO87,AT87),"-")</f>
        <v>-</v>
      </c>
      <c r="J87" s="513" t="str">
        <f t="shared" ref="J87:J100" si="77">IFERROR(AVERAGE(Q87,V87,AA87,AF87,AK87,AP87,AU87),"-")</f>
        <v>-</v>
      </c>
      <c r="K87" s="200" t="str">
        <f t="shared" ref="K87:K100" si="78">IFERROR(AVERAGE(R87,W87,AB87,AG87,AL87,AQ87,AV87),"-")</f>
        <v>-</v>
      </c>
      <c r="L87" s="620" t="str">
        <f>IFERROR(AVERAGE(K87:K101),"-")</f>
        <v>-</v>
      </c>
      <c r="M87" s="201" t="e">
        <f>RANK(K87, K$87:$K$101)</f>
        <v>#VALUE!</v>
      </c>
      <c r="N87" s="604"/>
      <c r="O87" s="604"/>
      <c r="P87" s="182"/>
      <c r="Q87" s="503"/>
      <c r="R87" s="503"/>
      <c r="S87" s="297" t="e">
        <f>RANK(R87, R$87:R$101)</f>
        <v>#N/A</v>
      </c>
      <c r="T87" s="667" t="e">
        <f>AVERAGE(R87:R101)</f>
        <v>#DIV/0!</v>
      </c>
      <c r="U87" s="182"/>
      <c r="V87" s="503"/>
      <c r="W87" s="503"/>
      <c r="X87" s="441" t="e">
        <f t="shared" ref="X87:X101" si="79">RANK(W87, W$87:W$101)</f>
        <v>#N/A</v>
      </c>
      <c r="Y87" s="667" t="e">
        <f t="shared" ref="Y87" si="80">AVERAGE(W87:W101)</f>
        <v>#DIV/0!</v>
      </c>
      <c r="Z87" s="182"/>
      <c r="AA87" s="503"/>
      <c r="AB87" s="503"/>
      <c r="AC87" s="441" t="e">
        <f t="shared" ref="AC87:AC101" si="81">RANK(AB87, AB$87:AB$101)</f>
        <v>#N/A</v>
      </c>
      <c r="AD87" s="667" t="e">
        <f t="shared" ref="AD87" si="82">AVERAGE(AB87:AB101)</f>
        <v>#DIV/0!</v>
      </c>
      <c r="AE87" s="182"/>
      <c r="AF87" s="503"/>
      <c r="AG87" s="503"/>
      <c r="AH87" s="441" t="e">
        <f t="shared" ref="AH87:AH101" si="83">RANK(AG87, AG$87:AG$101)</f>
        <v>#N/A</v>
      </c>
      <c r="AI87" s="667" t="e">
        <f t="shared" ref="AI87" si="84">AVERAGE(AG87:AG101)</f>
        <v>#DIV/0!</v>
      </c>
      <c r="AJ87" s="182"/>
      <c r="AK87" s="503"/>
      <c r="AL87" s="503"/>
      <c r="AM87" s="441" t="e">
        <f t="shared" ref="AM87:AM101" si="85">RANK(AL87, AL$87:AL$101)</f>
        <v>#N/A</v>
      </c>
      <c r="AN87" s="667" t="e">
        <f t="shared" ref="AN87" si="86">AVERAGE(AL87:AL101)</f>
        <v>#DIV/0!</v>
      </c>
      <c r="AO87" s="182"/>
      <c r="AP87" s="503"/>
      <c r="AQ87" s="503"/>
      <c r="AR87" s="441" t="e">
        <f t="shared" ref="AR87:AR101" si="87">RANK(AQ87, AQ$87:AQ$101)</f>
        <v>#N/A</v>
      </c>
      <c r="AS87" s="667" t="e">
        <f t="shared" ref="AS87" si="88">AVERAGE(AQ87:AQ101)</f>
        <v>#DIV/0!</v>
      </c>
      <c r="AT87" s="182"/>
      <c r="AU87" s="503"/>
      <c r="AV87" s="503"/>
      <c r="AW87" s="441" t="e">
        <f t="shared" ref="AW87:AW101" si="89">RANK(AV87, AV$87:AV$101)</f>
        <v>#N/A</v>
      </c>
      <c r="AX87" s="605" t="e">
        <f t="shared" ref="AX87" si="90">AVERAGE(AV87:AV101)</f>
        <v>#DIV/0!</v>
      </c>
      <c r="AZ87" s="521" t="e">
        <f t="shared" ref="AZ87:AZ101" si="91">RANK(AY87, AY$87:AY$101)</f>
        <v>#N/A</v>
      </c>
      <c r="BA87" s="605" t="e">
        <f t="shared" ref="BA87" si="92">AVERAGE(AY87:AY101)</f>
        <v>#DIV/0!</v>
      </c>
    </row>
    <row r="88" spans="2:53">
      <c r="B88" s="610"/>
      <c r="C88" s="297">
        <v>2</v>
      </c>
      <c r="D88" s="226"/>
      <c r="E88" s="182"/>
      <c r="F88" s="488"/>
      <c r="G88" s="489"/>
      <c r="H88" s="668"/>
      <c r="I88" s="513" t="str">
        <f t="shared" si="76"/>
        <v>-</v>
      </c>
      <c r="J88" s="513" t="str">
        <f t="shared" si="77"/>
        <v>-</v>
      </c>
      <c r="K88" s="200" t="str">
        <f t="shared" si="78"/>
        <v>-</v>
      </c>
      <c r="L88" s="621"/>
      <c r="M88" s="201" t="e">
        <f>RANK(K88, K$87:$K$101)</f>
        <v>#VALUE!</v>
      </c>
      <c r="N88" s="604"/>
      <c r="O88" s="604"/>
      <c r="P88" s="502"/>
      <c r="Q88" s="503"/>
      <c r="R88" s="503"/>
      <c r="S88" s="297" t="e">
        <f t="shared" ref="S88:S101" si="93">RANK(R88, R$87:R$101)</f>
        <v>#N/A</v>
      </c>
      <c r="T88" s="668"/>
      <c r="U88" s="502"/>
      <c r="V88" s="503"/>
      <c r="W88" s="503"/>
      <c r="X88" s="441" t="e">
        <f t="shared" si="79"/>
        <v>#N/A</v>
      </c>
      <c r="Y88" s="668"/>
      <c r="Z88" s="502"/>
      <c r="AA88" s="503"/>
      <c r="AB88" s="503"/>
      <c r="AC88" s="441" t="e">
        <f t="shared" si="81"/>
        <v>#N/A</v>
      </c>
      <c r="AD88" s="668"/>
      <c r="AE88" s="502"/>
      <c r="AF88" s="503"/>
      <c r="AG88" s="503"/>
      <c r="AH88" s="441" t="e">
        <f t="shared" si="83"/>
        <v>#N/A</v>
      </c>
      <c r="AI88" s="668"/>
      <c r="AJ88" s="502"/>
      <c r="AK88" s="503"/>
      <c r="AL88" s="503"/>
      <c r="AM88" s="441" t="e">
        <f t="shared" si="85"/>
        <v>#N/A</v>
      </c>
      <c r="AN88" s="668"/>
      <c r="AO88" s="502"/>
      <c r="AP88" s="503"/>
      <c r="AQ88" s="503"/>
      <c r="AR88" s="441" t="e">
        <f t="shared" si="87"/>
        <v>#N/A</v>
      </c>
      <c r="AS88" s="668"/>
      <c r="AT88" s="502"/>
      <c r="AU88" s="503"/>
      <c r="AV88" s="503"/>
      <c r="AW88" s="441" t="e">
        <f t="shared" si="89"/>
        <v>#N/A</v>
      </c>
      <c r="AX88" s="605"/>
      <c r="AZ88" s="521" t="e">
        <f t="shared" si="91"/>
        <v>#N/A</v>
      </c>
      <c r="BA88" s="605"/>
    </row>
    <row r="89" spans="2:53">
      <c r="B89" s="610"/>
      <c r="C89" s="297">
        <v>3</v>
      </c>
      <c r="D89" s="226"/>
      <c r="E89" s="182"/>
      <c r="F89" s="488"/>
      <c r="G89" s="489"/>
      <c r="H89" s="668"/>
      <c r="I89" s="513" t="str">
        <f t="shared" si="76"/>
        <v>-</v>
      </c>
      <c r="J89" s="513" t="str">
        <f t="shared" si="77"/>
        <v>-</v>
      </c>
      <c r="K89" s="200" t="str">
        <f t="shared" si="78"/>
        <v>-</v>
      </c>
      <c r="L89" s="621"/>
      <c r="M89" s="201" t="e">
        <f>RANK(K89, K$87:$K$101)</f>
        <v>#VALUE!</v>
      </c>
      <c r="N89" s="604"/>
      <c r="O89" s="604"/>
      <c r="P89" s="502"/>
      <c r="Q89" s="503"/>
      <c r="R89" s="503"/>
      <c r="S89" s="297" t="e">
        <f t="shared" si="93"/>
        <v>#N/A</v>
      </c>
      <c r="T89" s="668"/>
      <c r="U89" s="502"/>
      <c r="V89" s="503"/>
      <c r="W89" s="503"/>
      <c r="X89" s="441" t="e">
        <f t="shared" si="79"/>
        <v>#N/A</v>
      </c>
      <c r="Y89" s="668"/>
      <c r="Z89" s="502"/>
      <c r="AA89" s="503"/>
      <c r="AB89" s="503"/>
      <c r="AC89" s="441" t="e">
        <f t="shared" si="81"/>
        <v>#N/A</v>
      </c>
      <c r="AD89" s="668"/>
      <c r="AE89" s="502"/>
      <c r="AF89" s="503"/>
      <c r="AG89" s="503"/>
      <c r="AH89" s="441" t="e">
        <f t="shared" si="83"/>
        <v>#N/A</v>
      </c>
      <c r="AI89" s="668"/>
      <c r="AJ89" s="502"/>
      <c r="AK89" s="503"/>
      <c r="AL89" s="503"/>
      <c r="AM89" s="441" t="e">
        <f t="shared" si="85"/>
        <v>#N/A</v>
      </c>
      <c r="AN89" s="668"/>
      <c r="AO89" s="502"/>
      <c r="AP89" s="503"/>
      <c r="AQ89" s="503"/>
      <c r="AR89" s="441" t="e">
        <f t="shared" si="87"/>
        <v>#N/A</v>
      </c>
      <c r="AS89" s="668"/>
      <c r="AT89" s="502"/>
      <c r="AU89" s="503"/>
      <c r="AV89" s="503"/>
      <c r="AW89" s="441" t="e">
        <f t="shared" si="89"/>
        <v>#N/A</v>
      </c>
      <c r="AX89" s="605"/>
      <c r="AZ89" s="521" t="e">
        <f t="shared" si="91"/>
        <v>#N/A</v>
      </c>
      <c r="BA89" s="605"/>
    </row>
    <row r="90" spans="2:53">
      <c r="B90" s="610"/>
      <c r="C90" s="297">
        <v>4</v>
      </c>
      <c r="D90" s="226"/>
      <c r="E90" s="182"/>
      <c r="F90" s="488"/>
      <c r="G90" s="489"/>
      <c r="H90" s="668"/>
      <c r="I90" s="513" t="str">
        <f t="shared" si="76"/>
        <v>-</v>
      </c>
      <c r="J90" s="513" t="str">
        <f t="shared" si="77"/>
        <v>-</v>
      </c>
      <c r="K90" s="200" t="str">
        <f t="shared" si="78"/>
        <v>-</v>
      </c>
      <c r="L90" s="621"/>
      <c r="M90" s="201" t="e">
        <f>RANK(K90, K$87:$K$101)</f>
        <v>#VALUE!</v>
      </c>
      <c r="N90" s="604"/>
      <c r="O90" s="604"/>
      <c r="P90" s="502"/>
      <c r="Q90" s="503"/>
      <c r="R90" s="503"/>
      <c r="S90" s="297" t="e">
        <f t="shared" si="93"/>
        <v>#N/A</v>
      </c>
      <c r="T90" s="668"/>
      <c r="U90" s="502"/>
      <c r="V90" s="503"/>
      <c r="W90" s="503"/>
      <c r="X90" s="441" t="e">
        <f t="shared" si="79"/>
        <v>#N/A</v>
      </c>
      <c r="Y90" s="668"/>
      <c r="Z90" s="502"/>
      <c r="AA90" s="503"/>
      <c r="AB90" s="503"/>
      <c r="AC90" s="441" t="e">
        <f t="shared" si="81"/>
        <v>#N/A</v>
      </c>
      <c r="AD90" s="668"/>
      <c r="AE90" s="502"/>
      <c r="AF90" s="503"/>
      <c r="AG90" s="503"/>
      <c r="AH90" s="441" t="e">
        <f t="shared" si="83"/>
        <v>#N/A</v>
      </c>
      <c r="AI90" s="668"/>
      <c r="AJ90" s="502"/>
      <c r="AK90" s="503"/>
      <c r="AL90" s="503"/>
      <c r="AM90" s="441" t="e">
        <f t="shared" si="85"/>
        <v>#N/A</v>
      </c>
      <c r="AN90" s="668"/>
      <c r="AO90" s="502"/>
      <c r="AP90" s="503"/>
      <c r="AQ90" s="503"/>
      <c r="AR90" s="441" t="e">
        <f t="shared" si="87"/>
        <v>#N/A</v>
      </c>
      <c r="AS90" s="668"/>
      <c r="AT90" s="502"/>
      <c r="AU90" s="503"/>
      <c r="AV90" s="503"/>
      <c r="AW90" s="441" t="e">
        <f t="shared" si="89"/>
        <v>#N/A</v>
      </c>
      <c r="AX90" s="605"/>
      <c r="AZ90" s="521" t="e">
        <f t="shared" si="91"/>
        <v>#N/A</v>
      </c>
      <c r="BA90" s="605"/>
    </row>
    <row r="91" spans="2:53">
      <c r="B91" s="610"/>
      <c r="C91" s="297">
        <v>5</v>
      </c>
      <c r="D91" s="226"/>
      <c r="E91" s="182"/>
      <c r="F91" s="488"/>
      <c r="G91" s="489"/>
      <c r="H91" s="668"/>
      <c r="I91" s="513" t="str">
        <f t="shared" si="76"/>
        <v>-</v>
      </c>
      <c r="J91" s="513" t="str">
        <f t="shared" si="77"/>
        <v>-</v>
      </c>
      <c r="K91" s="200" t="str">
        <f t="shared" si="78"/>
        <v>-</v>
      </c>
      <c r="L91" s="621"/>
      <c r="M91" s="201" t="e">
        <f>RANK(K91, K$87:$K$101)</f>
        <v>#VALUE!</v>
      </c>
      <c r="N91" s="604"/>
      <c r="O91" s="604"/>
      <c r="P91" s="502"/>
      <c r="Q91" s="503"/>
      <c r="R91" s="503"/>
      <c r="S91" s="297" t="e">
        <f t="shared" si="93"/>
        <v>#N/A</v>
      </c>
      <c r="T91" s="668"/>
      <c r="U91" s="502"/>
      <c r="V91" s="503"/>
      <c r="W91" s="503"/>
      <c r="X91" s="441" t="e">
        <f t="shared" si="79"/>
        <v>#N/A</v>
      </c>
      <c r="Y91" s="668"/>
      <c r="Z91" s="502"/>
      <c r="AA91" s="503"/>
      <c r="AB91" s="503"/>
      <c r="AC91" s="441" t="e">
        <f t="shared" si="81"/>
        <v>#N/A</v>
      </c>
      <c r="AD91" s="668"/>
      <c r="AE91" s="502"/>
      <c r="AF91" s="503"/>
      <c r="AG91" s="503"/>
      <c r="AH91" s="441" t="e">
        <f t="shared" si="83"/>
        <v>#N/A</v>
      </c>
      <c r="AI91" s="668"/>
      <c r="AJ91" s="502"/>
      <c r="AK91" s="503"/>
      <c r="AL91" s="503"/>
      <c r="AM91" s="441" t="e">
        <f t="shared" si="85"/>
        <v>#N/A</v>
      </c>
      <c r="AN91" s="668"/>
      <c r="AO91" s="502"/>
      <c r="AP91" s="503"/>
      <c r="AQ91" s="503"/>
      <c r="AR91" s="441" t="e">
        <f t="shared" si="87"/>
        <v>#N/A</v>
      </c>
      <c r="AS91" s="668"/>
      <c r="AT91" s="502"/>
      <c r="AU91" s="503"/>
      <c r="AV91" s="503"/>
      <c r="AW91" s="441" t="e">
        <f t="shared" si="89"/>
        <v>#N/A</v>
      </c>
      <c r="AX91" s="605"/>
      <c r="AZ91" s="521" t="e">
        <f t="shared" si="91"/>
        <v>#N/A</v>
      </c>
      <c r="BA91" s="605"/>
    </row>
    <row r="92" spans="2:53">
      <c r="B92" s="610"/>
      <c r="C92" s="297">
        <v>6</v>
      </c>
      <c r="D92" s="226"/>
      <c r="E92" s="182"/>
      <c r="F92" s="488"/>
      <c r="G92" s="489"/>
      <c r="H92" s="668"/>
      <c r="I92" s="513" t="str">
        <f t="shared" si="76"/>
        <v>-</v>
      </c>
      <c r="J92" s="513" t="str">
        <f t="shared" si="77"/>
        <v>-</v>
      </c>
      <c r="K92" s="200" t="str">
        <f t="shared" si="78"/>
        <v>-</v>
      </c>
      <c r="L92" s="621"/>
      <c r="M92" s="201" t="e">
        <f>RANK(K92, K$87:$K$101)</f>
        <v>#VALUE!</v>
      </c>
      <c r="N92" s="604"/>
      <c r="O92" s="604"/>
      <c r="P92" s="502"/>
      <c r="Q92" s="503"/>
      <c r="R92" s="503"/>
      <c r="S92" s="297" t="e">
        <f t="shared" si="93"/>
        <v>#N/A</v>
      </c>
      <c r="T92" s="668"/>
      <c r="U92" s="502"/>
      <c r="V92" s="503"/>
      <c r="W92" s="503"/>
      <c r="X92" s="441" t="e">
        <f t="shared" si="79"/>
        <v>#N/A</v>
      </c>
      <c r="Y92" s="668"/>
      <c r="Z92" s="502"/>
      <c r="AA92" s="503"/>
      <c r="AB92" s="503"/>
      <c r="AC92" s="441" t="e">
        <f t="shared" si="81"/>
        <v>#N/A</v>
      </c>
      <c r="AD92" s="668"/>
      <c r="AE92" s="502"/>
      <c r="AF92" s="503"/>
      <c r="AG92" s="503"/>
      <c r="AH92" s="441" t="e">
        <f t="shared" si="83"/>
        <v>#N/A</v>
      </c>
      <c r="AI92" s="668"/>
      <c r="AJ92" s="502"/>
      <c r="AK92" s="503"/>
      <c r="AL92" s="503"/>
      <c r="AM92" s="441" t="e">
        <f t="shared" si="85"/>
        <v>#N/A</v>
      </c>
      <c r="AN92" s="668"/>
      <c r="AO92" s="502"/>
      <c r="AP92" s="503"/>
      <c r="AQ92" s="503"/>
      <c r="AR92" s="441" t="e">
        <f t="shared" si="87"/>
        <v>#N/A</v>
      </c>
      <c r="AS92" s="668"/>
      <c r="AT92" s="502"/>
      <c r="AU92" s="503"/>
      <c r="AV92" s="503"/>
      <c r="AW92" s="441" t="e">
        <f t="shared" si="89"/>
        <v>#N/A</v>
      </c>
      <c r="AX92" s="605"/>
      <c r="AZ92" s="521" t="e">
        <f t="shared" si="91"/>
        <v>#N/A</v>
      </c>
      <c r="BA92" s="605"/>
    </row>
    <row r="93" spans="2:53">
      <c r="B93" s="610"/>
      <c r="C93" s="297">
        <v>7</v>
      </c>
      <c r="D93" s="226"/>
      <c r="E93" s="182"/>
      <c r="F93" s="488"/>
      <c r="G93" s="489"/>
      <c r="H93" s="668"/>
      <c r="I93" s="513" t="str">
        <f t="shared" si="76"/>
        <v>-</v>
      </c>
      <c r="J93" s="513" t="str">
        <f t="shared" si="77"/>
        <v>-</v>
      </c>
      <c r="K93" s="200" t="str">
        <f t="shared" si="78"/>
        <v>-</v>
      </c>
      <c r="L93" s="621"/>
      <c r="M93" s="201" t="e">
        <f>RANK(K93, K$87:$K$101)</f>
        <v>#VALUE!</v>
      </c>
      <c r="N93" s="604"/>
      <c r="O93" s="604"/>
      <c r="P93" s="502"/>
      <c r="Q93" s="503"/>
      <c r="R93" s="503"/>
      <c r="S93" s="297" t="e">
        <f t="shared" si="93"/>
        <v>#N/A</v>
      </c>
      <c r="T93" s="668"/>
      <c r="U93" s="502"/>
      <c r="V93" s="503"/>
      <c r="W93" s="503"/>
      <c r="X93" s="441" t="e">
        <f t="shared" si="79"/>
        <v>#N/A</v>
      </c>
      <c r="Y93" s="668"/>
      <c r="Z93" s="502"/>
      <c r="AA93" s="503"/>
      <c r="AB93" s="503"/>
      <c r="AC93" s="441" t="e">
        <f t="shared" si="81"/>
        <v>#N/A</v>
      </c>
      <c r="AD93" s="668"/>
      <c r="AE93" s="502"/>
      <c r="AF93" s="503"/>
      <c r="AG93" s="503"/>
      <c r="AH93" s="441" t="e">
        <f t="shared" si="83"/>
        <v>#N/A</v>
      </c>
      <c r="AI93" s="668"/>
      <c r="AJ93" s="502"/>
      <c r="AK93" s="503"/>
      <c r="AL93" s="503"/>
      <c r="AM93" s="441" t="e">
        <f t="shared" si="85"/>
        <v>#N/A</v>
      </c>
      <c r="AN93" s="668"/>
      <c r="AO93" s="502"/>
      <c r="AP93" s="503"/>
      <c r="AQ93" s="503"/>
      <c r="AR93" s="441" t="e">
        <f t="shared" si="87"/>
        <v>#N/A</v>
      </c>
      <c r="AS93" s="668"/>
      <c r="AT93" s="502"/>
      <c r="AU93" s="503"/>
      <c r="AV93" s="503"/>
      <c r="AW93" s="441" t="e">
        <f t="shared" si="89"/>
        <v>#N/A</v>
      </c>
      <c r="AX93" s="605"/>
      <c r="AZ93" s="521" t="e">
        <f t="shared" si="91"/>
        <v>#N/A</v>
      </c>
      <c r="BA93" s="605"/>
    </row>
    <row r="94" spans="2:53">
      <c r="B94" s="610"/>
      <c r="C94" s="297">
        <v>8</v>
      </c>
      <c r="D94" s="226"/>
      <c r="E94" s="182"/>
      <c r="F94" s="488"/>
      <c r="G94" s="489"/>
      <c r="H94" s="668"/>
      <c r="I94" s="513" t="str">
        <f t="shared" si="76"/>
        <v>-</v>
      </c>
      <c r="J94" s="513" t="str">
        <f t="shared" si="77"/>
        <v>-</v>
      </c>
      <c r="K94" s="200" t="str">
        <f t="shared" si="78"/>
        <v>-</v>
      </c>
      <c r="L94" s="621"/>
      <c r="M94" s="201" t="e">
        <f>RANK(K94, K$87:$K$101)</f>
        <v>#VALUE!</v>
      </c>
      <c r="N94" s="604"/>
      <c r="O94" s="604"/>
      <c r="P94" s="502"/>
      <c r="Q94" s="503"/>
      <c r="R94" s="503"/>
      <c r="S94" s="297" t="e">
        <f t="shared" si="93"/>
        <v>#N/A</v>
      </c>
      <c r="T94" s="668"/>
      <c r="U94" s="502"/>
      <c r="V94" s="503"/>
      <c r="W94" s="503"/>
      <c r="X94" s="441" t="e">
        <f t="shared" si="79"/>
        <v>#N/A</v>
      </c>
      <c r="Y94" s="668"/>
      <c r="Z94" s="502"/>
      <c r="AA94" s="503"/>
      <c r="AB94" s="503"/>
      <c r="AC94" s="441" t="e">
        <f t="shared" si="81"/>
        <v>#N/A</v>
      </c>
      <c r="AD94" s="668"/>
      <c r="AE94" s="502"/>
      <c r="AF94" s="503"/>
      <c r="AG94" s="503"/>
      <c r="AH94" s="441" t="e">
        <f t="shared" si="83"/>
        <v>#N/A</v>
      </c>
      <c r="AI94" s="668"/>
      <c r="AJ94" s="502"/>
      <c r="AK94" s="503"/>
      <c r="AL94" s="503"/>
      <c r="AM94" s="441" t="e">
        <f t="shared" si="85"/>
        <v>#N/A</v>
      </c>
      <c r="AN94" s="668"/>
      <c r="AO94" s="502"/>
      <c r="AP94" s="503"/>
      <c r="AQ94" s="503"/>
      <c r="AR94" s="441" t="e">
        <f t="shared" si="87"/>
        <v>#N/A</v>
      </c>
      <c r="AS94" s="668"/>
      <c r="AT94" s="502"/>
      <c r="AU94" s="503"/>
      <c r="AV94" s="503"/>
      <c r="AW94" s="441" t="e">
        <f t="shared" si="89"/>
        <v>#N/A</v>
      </c>
      <c r="AX94" s="605"/>
      <c r="AZ94" s="521" t="e">
        <f t="shared" si="91"/>
        <v>#N/A</v>
      </c>
      <c r="BA94" s="605"/>
    </row>
    <row r="95" spans="2:53">
      <c r="B95" s="610"/>
      <c r="C95" s="297">
        <v>9</v>
      </c>
      <c r="D95" s="226"/>
      <c r="E95" s="182"/>
      <c r="F95" s="488"/>
      <c r="G95" s="489"/>
      <c r="H95" s="668"/>
      <c r="I95" s="513" t="str">
        <f t="shared" si="76"/>
        <v>-</v>
      </c>
      <c r="J95" s="513" t="str">
        <f t="shared" si="77"/>
        <v>-</v>
      </c>
      <c r="K95" s="200" t="str">
        <f t="shared" si="78"/>
        <v>-</v>
      </c>
      <c r="L95" s="621"/>
      <c r="M95" s="201" t="e">
        <f>RANK(K95, K$87:$K$101)</f>
        <v>#VALUE!</v>
      </c>
      <c r="N95" s="604"/>
      <c r="O95" s="604"/>
      <c r="P95" s="502"/>
      <c r="Q95" s="503"/>
      <c r="R95" s="503"/>
      <c r="S95" s="297" t="e">
        <f t="shared" si="93"/>
        <v>#N/A</v>
      </c>
      <c r="T95" s="668"/>
      <c r="U95" s="502"/>
      <c r="V95" s="503"/>
      <c r="W95" s="503"/>
      <c r="X95" s="441" t="e">
        <f t="shared" si="79"/>
        <v>#N/A</v>
      </c>
      <c r="Y95" s="668"/>
      <c r="Z95" s="502"/>
      <c r="AA95" s="503"/>
      <c r="AB95" s="503"/>
      <c r="AC95" s="441" t="e">
        <f t="shared" si="81"/>
        <v>#N/A</v>
      </c>
      <c r="AD95" s="668"/>
      <c r="AE95" s="502"/>
      <c r="AF95" s="503"/>
      <c r="AG95" s="503"/>
      <c r="AH95" s="441" t="e">
        <f t="shared" si="83"/>
        <v>#N/A</v>
      </c>
      <c r="AI95" s="668"/>
      <c r="AJ95" s="502"/>
      <c r="AK95" s="503"/>
      <c r="AL95" s="503"/>
      <c r="AM95" s="441" t="e">
        <f t="shared" si="85"/>
        <v>#N/A</v>
      </c>
      <c r="AN95" s="668"/>
      <c r="AO95" s="502"/>
      <c r="AP95" s="503"/>
      <c r="AQ95" s="503"/>
      <c r="AR95" s="441" t="e">
        <f t="shared" si="87"/>
        <v>#N/A</v>
      </c>
      <c r="AS95" s="668"/>
      <c r="AT95" s="502"/>
      <c r="AU95" s="503"/>
      <c r="AV95" s="503"/>
      <c r="AW95" s="441" t="e">
        <f t="shared" si="89"/>
        <v>#N/A</v>
      </c>
      <c r="AX95" s="605"/>
      <c r="AZ95" s="521" t="e">
        <f t="shared" si="91"/>
        <v>#N/A</v>
      </c>
      <c r="BA95" s="605"/>
    </row>
    <row r="96" spans="2:53">
      <c r="B96" s="610"/>
      <c r="C96" s="297">
        <v>10</v>
      </c>
      <c r="D96" s="226"/>
      <c r="E96" s="182"/>
      <c r="F96" s="488"/>
      <c r="G96" s="489"/>
      <c r="H96" s="668"/>
      <c r="I96" s="513" t="str">
        <f t="shared" si="76"/>
        <v>-</v>
      </c>
      <c r="J96" s="513" t="str">
        <f t="shared" si="77"/>
        <v>-</v>
      </c>
      <c r="K96" s="200" t="str">
        <f t="shared" si="78"/>
        <v>-</v>
      </c>
      <c r="L96" s="621"/>
      <c r="M96" s="201" t="e">
        <f>RANK(K96, K$87:$K$101)</f>
        <v>#VALUE!</v>
      </c>
      <c r="N96" s="604"/>
      <c r="O96" s="604"/>
      <c r="P96" s="502"/>
      <c r="Q96" s="503"/>
      <c r="R96" s="503"/>
      <c r="S96" s="297" t="e">
        <f t="shared" si="93"/>
        <v>#N/A</v>
      </c>
      <c r="T96" s="668"/>
      <c r="U96" s="502"/>
      <c r="V96" s="503"/>
      <c r="W96" s="503"/>
      <c r="X96" s="441" t="e">
        <f t="shared" si="79"/>
        <v>#N/A</v>
      </c>
      <c r="Y96" s="668"/>
      <c r="Z96" s="502"/>
      <c r="AA96" s="503"/>
      <c r="AB96" s="503"/>
      <c r="AC96" s="441" t="e">
        <f t="shared" si="81"/>
        <v>#N/A</v>
      </c>
      <c r="AD96" s="668"/>
      <c r="AE96" s="502"/>
      <c r="AF96" s="503"/>
      <c r="AG96" s="503"/>
      <c r="AH96" s="441" t="e">
        <f t="shared" si="83"/>
        <v>#N/A</v>
      </c>
      <c r="AI96" s="668"/>
      <c r="AJ96" s="502"/>
      <c r="AK96" s="503"/>
      <c r="AL96" s="503"/>
      <c r="AM96" s="441" t="e">
        <f t="shared" si="85"/>
        <v>#N/A</v>
      </c>
      <c r="AN96" s="668"/>
      <c r="AO96" s="502"/>
      <c r="AP96" s="503"/>
      <c r="AQ96" s="503"/>
      <c r="AR96" s="441" t="e">
        <f t="shared" si="87"/>
        <v>#N/A</v>
      </c>
      <c r="AS96" s="668"/>
      <c r="AT96" s="502"/>
      <c r="AU96" s="503"/>
      <c r="AV96" s="503"/>
      <c r="AW96" s="441" t="e">
        <f t="shared" si="89"/>
        <v>#N/A</v>
      </c>
      <c r="AX96" s="605"/>
      <c r="AZ96" s="521" t="e">
        <f t="shared" si="91"/>
        <v>#N/A</v>
      </c>
      <c r="BA96" s="605"/>
    </row>
    <row r="97" spans="2:53">
      <c r="B97" s="610"/>
      <c r="C97" s="297">
        <v>11</v>
      </c>
      <c r="D97" s="226"/>
      <c r="E97" s="182"/>
      <c r="F97" s="488"/>
      <c r="G97" s="489"/>
      <c r="H97" s="668"/>
      <c r="I97" s="513" t="str">
        <f t="shared" si="76"/>
        <v>-</v>
      </c>
      <c r="J97" s="513" t="str">
        <f t="shared" si="77"/>
        <v>-</v>
      </c>
      <c r="K97" s="200" t="str">
        <f t="shared" si="78"/>
        <v>-</v>
      </c>
      <c r="L97" s="621"/>
      <c r="M97" s="201" t="e">
        <f>RANK(K97, K$87:$K$101)</f>
        <v>#VALUE!</v>
      </c>
      <c r="N97" s="604"/>
      <c r="O97" s="604"/>
      <c r="P97" s="502"/>
      <c r="Q97" s="503"/>
      <c r="R97" s="503"/>
      <c r="S97" s="297" t="e">
        <f t="shared" si="93"/>
        <v>#N/A</v>
      </c>
      <c r="T97" s="668"/>
      <c r="U97" s="502"/>
      <c r="V97" s="503"/>
      <c r="W97" s="503"/>
      <c r="X97" s="441" t="e">
        <f t="shared" si="79"/>
        <v>#N/A</v>
      </c>
      <c r="Y97" s="668"/>
      <c r="Z97" s="502"/>
      <c r="AA97" s="503"/>
      <c r="AB97" s="503"/>
      <c r="AC97" s="441" t="e">
        <f t="shared" si="81"/>
        <v>#N/A</v>
      </c>
      <c r="AD97" s="668"/>
      <c r="AE97" s="502"/>
      <c r="AF97" s="503"/>
      <c r="AG97" s="503"/>
      <c r="AH97" s="441" t="e">
        <f t="shared" si="83"/>
        <v>#N/A</v>
      </c>
      <c r="AI97" s="668"/>
      <c r="AJ97" s="502"/>
      <c r="AK97" s="503"/>
      <c r="AL97" s="503"/>
      <c r="AM97" s="441" t="e">
        <f t="shared" si="85"/>
        <v>#N/A</v>
      </c>
      <c r="AN97" s="668"/>
      <c r="AO97" s="502"/>
      <c r="AP97" s="503"/>
      <c r="AQ97" s="503"/>
      <c r="AR97" s="441" t="e">
        <f t="shared" si="87"/>
        <v>#N/A</v>
      </c>
      <c r="AS97" s="668"/>
      <c r="AT97" s="502"/>
      <c r="AU97" s="503"/>
      <c r="AV97" s="503"/>
      <c r="AW97" s="441" t="e">
        <f t="shared" si="89"/>
        <v>#N/A</v>
      </c>
      <c r="AX97" s="605"/>
      <c r="AZ97" s="521" t="e">
        <f t="shared" si="91"/>
        <v>#N/A</v>
      </c>
      <c r="BA97" s="605"/>
    </row>
    <row r="98" spans="2:53">
      <c r="B98" s="610"/>
      <c r="C98" s="297">
        <v>12</v>
      </c>
      <c r="D98" s="226"/>
      <c r="E98" s="182"/>
      <c r="F98" s="488"/>
      <c r="G98" s="489"/>
      <c r="H98" s="668"/>
      <c r="I98" s="513" t="str">
        <f t="shared" si="76"/>
        <v>-</v>
      </c>
      <c r="J98" s="513" t="str">
        <f t="shared" si="77"/>
        <v>-</v>
      </c>
      <c r="K98" s="200" t="str">
        <f t="shared" si="78"/>
        <v>-</v>
      </c>
      <c r="L98" s="621"/>
      <c r="M98" s="201" t="e">
        <f>RANK(K98, K$87:$K$101)</f>
        <v>#VALUE!</v>
      </c>
      <c r="N98" s="604"/>
      <c r="O98" s="604"/>
      <c r="P98" s="502"/>
      <c r="Q98" s="503"/>
      <c r="R98" s="503"/>
      <c r="S98" s="297" t="e">
        <f t="shared" si="93"/>
        <v>#N/A</v>
      </c>
      <c r="T98" s="668"/>
      <c r="U98" s="502"/>
      <c r="V98" s="503"/>
      <c r="W98" s="503"/>
      <c r="X98" s="441" t="e">
        <f t="shared" si="79"/>
        <v>#N/A</v>
      </c>
      <c r="Y98" s="668"/>
      <c r="Z98" s="502"/>
      <c r="AA98" s="503"/>
      <c r="AB98" s="503"/>
      <c r="AC98" s="441" t="e">
        <f t="shared" si="81"/>
        <v>#N/A</v>
      </c>
      <c r="AD98" s="668"/>
      <c r="AE98" s="502"/>
      <c r="AF98" s="503"/>
      <c r="AG98" s="503"/>
      <c r="AH98" s="441" t="e">
        <f t="shared" si="83"/>
        <v>#N/A</v>
      </c>
      <c r="AI98" s="668"/>
      <c r="AJ98" s="502"/>
      <c r="AK98" s="503"/>
      <c r="AL98" s="503"/>
      <c r="AM98" s="441" t="e">
        <f t="shared" si="85"/>
        <v>#N/A</v>
      </c>
      <c r="AN98" s="668"/>
      <c r="AO98" s="502"/>
      <c r="AP98" s="503"/>
      <c r="AQ98" s="503"/>
      <c r="AR98" s="441" t="e">
        <f t="shared" si="87"/>
        <v>#N/A</v>
      </c>
      <c r="AS98" s="668"/>
      <c r="AT98" s="502"/>
      <c r="AU98" s="503"/>
      <c r="AV98" s="503"/>
      <c r="AW98" s="441" t="e">
        <f t="shared" si="89"/>
        <v>#N/A</v>
      </c>
      <c r="AX98" s="605"/>
      <c r="AZ98" s="521" t="e">
        <f t="shared" si="91"/>
        <v>#N/A</v>
      </c>
      <c r="BA98" s="605"/>
    </row>
    <row r="99" spans="2:53">
      <c r="B99" s="610"/>
      <c r="C99" s="297">
        <v>13</v>
      </c>
      <c r="D99" s="226"/>
      <c r="E99" s="182"/>
      <c r="F99" s="488"/>
      <c r="G99" s="489"/>
      <c r="H99" s="668"/>
      <c r="I99" s="513" t="str">
        <f t="shared" si="76"/>
        <v>-</v>
      </c>
      <c r="J99" s="513" t="str">
        <f t="shared" si="77"/>
        <v>-</v>
      </c>
      <c r="K99" s="200" t="str">
        <f t="shared" si="78"/>
        <v>-</v>
      </c>
      <c r="L99" s="621"/>
      <c r="M99" s="201" t="e">
        <f>RANK(K99, K$87:$K$101)</f>
        <v>#VALUE!</v>
      </c>
      <c r="N99" s="604"/>
      <c r="O99" s="604"/>
      <c r="P99" s="502"/>
      <c r="Q99" s="503"/>
      <c r="R99" s="503"/>
      <c r="S99" s="297" t="e">
        <f t="shared" si="93"/>
        <v>#N/A</v>
      </c>
      <c r="T99" s="668"/>
      <c r="U99" s="502"/>
      <c r="V99" s="503"/>
      <c r="W99" s="503"/>
      <c r="X99" s="441" t="e">
        <f t="shared" si="79"/>
        <v>#N/A</v>
      </c>
      <c r="Y99" s="668"/>
      <c r="Z99" s="502"/>
      <c r="AA99" s="503"/>
      <c r="AB99" s="503"/>
      <c r="AC99" s="441" t="e">
        <f t="shared" si="81"/>
        <v>#N/A</v>
      </c>
      <c r="AD99" s="668"/>
      <c r="AE99" s="502"/>
      <c r="AF99" s="503"/>
      <c r="AG99" s="503"/>
      <c r="AH99" s="441" t="e">
        <f t="shared" si="83"/>
        <v>#N/A</v>
      </c>
      <c r="AI99" s="668"/>
      <c r="AJ99" s="502"/>
      <c r="AK99" s="503"/>
      <c r="AL99" s="503"/>
      <c r="AM99" s="441" t="e">
        <f t="shared" si="85"/>
        <v>#N/A</v>
      </c>
      <c r="AN99" s="668"/>
      <c r="AO99" s="502"/>
      <c r="AP99" s="503"/>
      <c r="AQ99" s="503"/>
      <c r="AR99" s="441" t="e">
        <f t="shared" si="87"/>
        <v>#N/A</v>
      </c>
      <c r="AS99" s="668"/>
      <c r="AT99" s="502"/>
      <c r="AU99" s="503"/>
      <c r="AV99" s="503"/>
      <c r="AW99" s="441" t="e">
        <f t="shared" si="89"/>
        <v>#N/A</v>
      </c>
      <c r="AX99" s="605"/>
      <c r="AZ99" s="521" t="e">
        <f t="shared" si="91"/>
        <v>#N/A</v>
      </c>
      <c r="BA99" s="605"/>
    </row>
    <row r="100" spans="2:53">
      <c r="B100" s="610"/>
      <c r="C100" s="297">
        <v>14</v>
      </c>
      <c r="D100" s="226"/>
      <c r="E100" s="182"/>
      <c r="F100" s="488"/>
      <c r="G100" s="489"/>
      <c r="H100" s="668"/>
      <c r="I100" s="513" t="str">
        <f t="shared" si="76"/>
        <v>-</v>
      </c>
      <c r="J100" s="513" t="str">
        <f t="shared" si="77"/>
        <v>-</v>
      </c>
      <c r="K100" s="200" t="str">
        <f t="shared" si="78"/>
        <v>-</v>
      </c>
      <c r="L100" s="621"/>
      <c r="M100" s="201" t="e">
        <f>RANK(K100, K$87:$K$101)</f>
        <v>#VALUE!</v>
      </c>
      <c r="N100" s="604"/>
      <c r="O100" s="604"/>
      <c r="P100" s="502"/>
      <c r="Q100" s="503"/>
      <c r="R100" s="503"/>
      <c r="S100" s="297" t="e">
        <f t="shared" si="93"/>
        <v>#N/A</v>
      </c>
      <c r="T100" s="668"/>
      <c r="U100" s="502"/>
      <c r="V100" s="503"/>
      <c r="W100" s="503"/>
      <c r="X100" s="441" t="e">
        <f t="shared" si="79"/>
        <v>#N/A</v>
      </c>
      <c r="Y100" s="668"/>
      <c r="Z100" s="502"/>
      <c r="AA100" s="503"/>
      <c r="AB100" s="503"/>
      <c r="AC100" s="441" t="e">
        <f t="shared" si="81"/>
        <v>#N/A</v>
      </c>
      <c r="AD100" s="668"/>
      <c r="AE100" s="502"/>
      <c r="AF100" s="503"/>
      <c r="AG100" s="503"/>
      <c r="AH100" s="441" t="e">
        <f t="shared" si="83"/>
        <v>#N/A</v>
      </c>
      <c r="AI100" s="668"/>
      <c r="AJ100" s="502"/>
      <c r="AK100" s="503"/>
      <c r="AL100" s="503"/>
      <c r="AM100" s="441" t="e">
        <f t="shared" si="85"/>
        <v>#N/A</v>
      </c>
      <c r="AN100" s="668"/>
      <c r="AO100" s="502"/>
      <c r="AP100" s="503"/>
      <c r="AQ100" s="503"/>
      <c r="AR100" s="441" t="e">
        <f t="shared" si="87"/>
        <v>#N/A</v>
      </c>
      <c r="AS100" s="668"/>
      <c r="AT100" s="502"/>
      <c r="AU100" s="503"/>
      <c r="AV100" s="503"/>
      <c r="AW100" s="441" t="e">
        <f t="shared" si="89"/>
        <v>#N/A</v>
      </c>
      <c r="AX100" s="605"/>
      <c r="AZ100" s="521" t="e">
        <f t="shared" si="91"/>
        <v>#N/A</v>
      </c>
      <c r="BA100" s="605"/>
    </row>
    <row r="101" spans="2:53">
      <c r="B101" s="610"/>
      <c r="C101" s="297">
        <v>15</v>
      </c>
      <c r="D101" s="226"/>
      <c r="E101" s="182"/>
      <c r="F101" s="488"/>
      <c r="G101" s="489"/>
      <c r="H101" s="669"/>
      <c r="I101" s="202"/>
      <c r="J101" s="202"/>
      <c r="K101" s="202"/>
      <c r="L101" s="622"/>
      <c r="M101" s="199" t="e">
        <f>RANK(K101, K$87:$K$101)</f>
        <v>#N/A</v>
      </c>
      <c r="N101" s="604"/>
      <c r="O101" s="604"/>
      <c r="P101" s="502"/>
      <c r="Q101" s="503"/>
      <c r="R101" s="503"/>
      <c r="S101" s="297" t="e">
        <f t="shared" si="93"/>
        <v>#N/A</v>
      </c>
      <c r="T101" s="669"/>
      <c r="U101" s="502"/>
      <c r="V101" s="503"/>
      <c r="W101" s="503"/>
      <c r="X101" s="441" t="e">
        <f t="shared" si="79"/>
        <v>#N/A</v>
      </c>
      <c r="Y101" s="669"/>
      <c r="Z101" s="502"/>
      <c r="AA101" s="503"/>
      <c r="AB101" s="503"/>
      <c r="AC101" s="441" t="e">
        <f t="shared" si="81"/>
        <v>#N/A</v>
      </c>
      <c r="AD101" s="669"/>
      <c r="AE101" s="502"/>
      <c r="AF101" s="503"/>
      <c r="AG101" s="503"/>
      <c r="AH101" s="441" t="e">
        <f t="shared" si="83"/>
        <v>#N/A</v>
      </c>
      <c r="AI101" s="669"/>
      <c r="AJ101" s="502"/>
      <c r="AK101" s="503"/>
      <c r="AL101" s="503"/>
      <c r="AM101" s="441" t="e">
        <f t="shared" si="85"/>
        <v>#N/A</v>
      </c>
      <c r="AN101" s="669"/>
      <c r="AO101" s="502"/>
      <c r="AP101" s="503"/>
      <c r="AQ101" s="503"/>
      <c r="AR101" s="441" t="e">
        <f t="shared" si="87"/>
        <v>#N/A</v>
      </c>
      <c r="AS101" s="669"/>
      <c r="AT101" s="502"/>
      <c r="AU101" s="503"/>
      <c r="AV101" s="503"/>
      <c r="AW101" s="441" t="e">
        <f t="shared" si="89"/>
        <v>#N/A</v>
      </c>
      <c r="AX101" s="605"/>
      <c r="AZ101" s="521" t="e">
        <f t="shared" si="91"/>
        <v>#N/A</v>
      </c>
      <c r="BA101" s="605"/>
    </row>
    <row r="102" spans="2:53" ht="15.75">
      <c r="B102" s="633" t="s">
        <v>163</v>
      </c>
      <c r="C102" s="634"/>
      <c r="D102" s="634"/>
      <c r="E102" s="634"/>
      <c r="F102" s="634"/>
      <c r="G102" s="634"/>
      <c r="H102" s="635"/>
      <c r="I102" s="208"/>
      <c r="J102" s="208"/>
      <c r="K102" s="208"/>
      <c r="L102" s="208"/>
      <c r="M102" s="207"/>
      <c r="N102" s="606" t="s">
        <v>156</v>
      </c>
      <c r="O102" s="606" t="s">
        <v>105</v>
      </c>
      <c r="P102" s="632">
        <f>P82+7</f>
        <v>46147</v>
      </c>
      <c r="Q102" s="610"/>
      <c r="R102" s="610"/>
      <c r="S102" s="610"/>
      <c r="T102" s="610"/>
      <c r="U102" s="629">
        <f>P102+1</f>
        <v>46148</v>
      </c>
      <c r="V102" s="630"/>
      <c r="W102" s="630"/>
      <c r="X102" s="630"/>
      <c r="Y102" s="631"/>
      <c r="Z102" s="629">
        <f>U102+1</f>
        <v>46149</v>
      </c>
      <c r="AA102" s="630"/>
      <c r="AB102" s="630"/>
      <c r="AC102" s="630"/>
      <c r="AD102" s="631"/>
      <c r="AE102" s="629">
        <f>Z102+1</f>
        <v>46150</v>
      </c>
      <c r="AF102" s="630"/>
      <c r="AG102" s="630"/>
      <c r="AH102" s="630"/>
      <c r="AI102" s="631"/>
      <c r="AJ102" s="629">
        <f>AE102+1</f>
        <v>46151</v>
      </c>
      <c r="AK102" s="630"/>
      <c r="AL102" s="630"/>
      <c r="AM102" s="630"/>
      <c r="AN102" s="631"/>
      <c r="AO102" s="629">
        <f>AJ102+1</f>
        <v>46152</v>
      </c>
      <c r="AP102" s="630"/>
      <c r="AQ102" s="630"/>
      <c r="AR102" s="630"/>
      <c r="AS102" s="631"/>
      <c r="AT102" s="629">
        <f>AO102+1</f>
        <v>46153</v>
      </c>
      <c r="AU102" s="630"/>
      <c r="AV102" s="630"/>
      <c r="AW102" s="630"/>
      <c r="AX102" s="631"/>
    </row>
    <row r="103" spans="2:53" ht="15.75">
      <c r="B103" s="636"/>
      <c r="C103" s="636"/>
      <c r="D103" s="636"/>
      <c r="E103" s="636"/>
      <c r="F103" s="636"/>
      <c r="G103" s="636"/>
      <c r="H103" s="636"/>
      <c r="I103" s="205"/>
      <c r="J103" s="205"/>
      <c r="K103" s="205"/>
      <c r="L103" s="205"/>
      <c r="M103" s="206"/>
      <c r="N103" s="608"/>
      <c r="O103" s="608"/>
      <c r="P103" s="632" t="s">
        <v>158</v>
      </c>
      <c r="Q103" s="610"/>
      <c r="R103" s="610"/>
      <c r="S103" s="610"/>
      <c r="T103" s="610"/>
      <c r="U103" s="632" t="s">
        <v>114</v>
      </c>
      <c r="V103" s="610"/>
      <c r="W103" s="610"/>
      <c r="X103" s="610"/>
      <c r="Y103" s="610"/>
      <c r="Z103" s="632" t="s">
        <v>159</v>
      </c>
      <c r="AA103" s="610"/>
      <c r="AB103" s="610"/>
      <c r="AC103" s="610"/>
      <c r="AD103" s="610"/>
      <c r="AE103" s="632" t="s">
        <v>157</v>
      </c>
      <c r="AF103" s="610"/>
      <c r="AG103" s="610"/>
      <c r="AH103" s="610"/>
      <c r="AI103" s="610"/>
      <c r="AJ103" s="632" t="s">
        <v>160</v>
      </c>
      <c r="AK103" s="610"/>
      <c r="AL103" s="610"/>
      <c r="AM103" s="610"/>
      <c r="AN103" s="610"/>
      <c r="AO103" s="632" t="s">
        <v>115</v>
      </c>
      <c r="AP103" s="610"/>
      <c r="AQ103" s="610"/>
      <c r="AR103" s="610"/>
      <c r="AS103" s="610"/>
      <c r="AT103" s="632" t="s">
        <v>162</v>
      </c>
      <c r="AU103" s="610"/>
      <c r="AV103" s="610"/>
      <c r="AW103" s="610"/>
      <c r="AX103" s="610"/>
    </row>
    <row r="104" spans="2:53">
      <c r="B104" s="604" t="s">
        <v>154</v>
      </c>
      <c r="C104" s="604" t="s">
        <v>408</v>
      </c>
      <c r="D104" s="604"/>
      <c r="E104" s="604" t="s">
        <v>399</v>
      </c>
      <c r="F104" s="604"/>
      <c r="G104" s="604"/>
      <c r="H104" s="637" t="s">
        <v>395</v>
      </c>
      <c r="I104" s="656" t="s">
        <v>400</v>
      </c>
      <c r="J104" s="656"/>
      <c r="K104" s="656"/>
      <c r="L104" s="657" t="s">
        <v>395</v>
      </c>
      <c r="M104" s="642" t="s">
        <v>396</v>
      </c>
      <c r="N104" s="604"/>
      <c r="O104" s="604" t="s">
        <v>401</v>
      </c>
      <c r="P104" s="623" t="s">
        <v>397</v>
      </c>
      <c r="Q104" s="624"/>
      <c r="R104" s="624"/>
      <c r="S104" s="625"/>
      <c r="T104" s="604" t="s">
        <v>395</v>
      </c>
      <c r="U104" s="623" t="s">
        <v>397</v>
      </c>
      <c r="V104" s="624"/>
      <c r="W104" s="624"/>
      <c r="X104" s="625"/>
      <c r="Y104" s="604" t="s">
        <v>395</v>
      </c>
      <c r="Z104" s="623" t="s">
        <v>397</v>
      </c>
      <c r="AA104" s="624"/>
      <c r="AB104" s="624"/>
      <c r="AC104" s="625"/>
      <c r="AD104" s="604" t="s">
        <v>395</v>
      </c>
      <c r="AE104" s="623" t="s">
        <v>397</v>
      </c>
      <c r="AF104" s="624"/>
      <c r="AG104" s="624"/>
      <c r="AH104" s="625"/>
      <c r="AI104" s="604" t="s">
        <v>395</v>
      </c>
      <c r="AJ104" s="623" t="s">
        <v>397</v>
      </c>
      <c r="AK104" s="624"/>
      <c r="AL104" s="624"/>
      <c r="AM104" s="625"/>
      <c r="AN104" s="604" t="s">
        <v>395</v>
      </c>
      <c r="AO104" s="623" t="s">
        <v>397</v>
      </c>
      <c r="AP104" s="624"/>
      <c r="AQ104" s="624"/>
      <c r="AR104" s="625"/>
      <c r="AS104" s="604" t="s">
        <v>395</v>
      </c>
      <c r="AT104" s="623" t="s">
        <v>397</v>
      </c>
      <c r="AU104" s="624"/>
      <c r="AV104" s="624"/>
      <c r="AW104" s="625"/>
      <c r="AX104" s="604" t="s">
        <v>395</v>
      </c>
      <c r="BA104" s="604" t="s">
        <v>395</v>
      </c>
    </row>
    <row r="105" spans="2:53">
      <c r="B105" s="604"/>
      <c r="C105" s="604"/>
      <c r="D105" s="604"/>
      <c r="E105" s="604" t="s">
        <v>402</v>
      </c>
      <c r="F105" s="604"/>
      <c r="G105" s="604"/>
      <c r="H105" s="638"/>
      <c r="I105" s="656" t="s">
        <v>402</v>
      </c>
      <c r="J105" s="656"/>
      <c r="K105" s="656"/>
      <c r="L105" s="658"/>
      <c r="M105" s="643"/>
      <c r="N105" s="604"/>
      <c r="O105" s="604"/>
      <c r="P105" s="623" t="s">
        <v>403</v>
      </c>
      <c r="Q105" s="624"/>
      <c r="R105" s="624"/>
      <c r="S105" s="625"/>
      <c r="T105" s="604"/>
      <c r="U105" s="623" t="s">
        <v>403</v>
      </c>
      <c r="V105" s="624"/>
      <c r="W105" s="624"/>
      <c r="X105" s="625"/>
      <c r="Y105" s="604"/>
      <c r="Z105" s="623" t="s">
        <v>403</v>
      </c>
      <c r="AA105" s="624"/>
      <c r="AB105" s="624"/>
      <c r="AC105" s="625"/>
      <c r="AD105" s="604"/>
      <c r="AE105" s="623" t="s">
        <v>403</v>
      </c>
      <c r="AF105" s="624"/>
      <c r="AG105" s="624"/>
      <c r="AH105" s="625"/>
      <c r="AI105" s="604"/>
      <c r="AJ105" s="623" t="s">
        <v>403</v>
      </c>
      <c r="AK105" s="624"/>
      <c r="AL105" s="624"/>
      <c r="AM105" s="625"/>
      <c r="AN105" s="604"/>
      <c r="AO105" s="623" t="s">
        <v>403</v>
      </c>
      <c r="AP105" s="624"/>
      <c r="AQ105" s="624"/>
      <c r="AR105" s="625"/>
      <c r="AS105" s="604"/>
      <c r="AT105" s="623" t="s">
        <v>403</v>
      </c>
      <c r="AU105" s="624"/>
      <c r="AV105" s="624"/>
      <c r="AW105" s="625"/>
      <c r="AX105" s="604"/>
      <c r="BA105" s="604"/>
    </row>
    <row r="106" spans="2:53">
      <c r="B106" s="604"/>
      <c r="C106" s="604"/>
      <c r="D106" s="604"/>
      <c r="E106" s="334" t="s">
        <v>404</v>
      </c>
      <c r="F106" s="334" t="s">
        <v>405</v>
      </c>
      <c r="G106" s="334" t="s">
        <v>406</v>
      </c>
      <c r="H106" s="639"/>
      <c r="I106" s="335" t="s">
        <v>404</v>
      </c>
      <c r="J106" s="335" t="s">
        <v>405</v>
      </c>
      <c r="K106" s="335" t="s">
        <v>406</v>
      </c>
      <c r="L106" s="659"/>
      <c r="M106" s="644"/>
      <c r="N106" s="604"/>
      <c r="O106" s="604"/>
      <c r="P106" s="334" t="s">
        <v>404</v>
      </c>
      <c r="Q106" s="334" t="s">
        <v>405</v>
      </c>
      <c r="R106" s="334" t="s">
        <v>406</v>
      </c>
      <c r="S106" s="334" t="s">
        <v>396</v>
      </c>
      <c r="T106" s="604"/>
      <c r="U106" s="334" t="s">
        <v>404</v>
      </c>
      <c r="V106" s="334" t="s">
        <v>405</v>
      </c>
      <c r="W106" s="334" t="s">
        <v>406</v>
      </c>
      <c r="X106" s="334" t="s">
        <v>396</v>
      </c>
      <c r="Y106" s="604"/>
      <c r="Z106" s="334" t="s">
        <v>404</v>
      </c>
      <c r="AA106" s="334" t="s">
        <v>405</v>
      </c>
      <c r="AB106" s="334" t="s">
        <v>406</v>
      </c>
      <c r="AC106" s="334" t="s">
        <v>396</v>
      </c>
      <c r="AD106" s="604"/>
      <c r="AE106" s="334" t="s">
        <v>404</v>
      </c>
      <c r="AF106" s="334" t="s">
        <v>405</v>
      </c>
      <c r="AG106" s="334" t="s">
        <v>406</v>
      </c>
      <c r="AH106" s="334" t="s">
        <v>396</v>
      </c>
      <c r="AI106" s="604"/>
      <c r="AJ106" s="334" t="s">
        <v>404</v>
      </c>
      <c r="AK106" s="334" t="s">
        <v>405</v>
      </c>
      <c r="AL106" s="334" t="s">
        <v>406</v>
      </c>
      <c r="AM106" s="334" t="s">
        <v>396</v>
      </c>
      <c r="AN106" s="604"/>
      <c r="AO106" s="334" t="s">
        <v>404</v>
      </c>
      <c r="AP106" s="334" t="s">
        <v>405</v>
      </c>
      <c r="AQ106" s="334" t="s">
        <v>406</v>
      </c>
      <c r="AR106" s="334" t="s">
        <v>396</v>
      </c>
      <c r="AS106" s="604"/>
      <c r="AT106" s="334" t="s">
        <v>404</v>
      </c>
      <c r="AU106" s="334" t="s">
        <v>405</v>
      </c>
      <c r="AV106" s="334" t="s">
        <v>406</v>
      </c>
      <c r="AW106" s="334" t="s">
        <v>396</v>
      </c>
      <c r="AX106" s="604"/>
      <c r="AZ106" s="520" t="s">
        <v>396</v>
      </c>
      <c r="BA106" s="604"/>
    </row>
    <row r="107" spans="2:53">
      <c r="B107" s="604" t="s">
        <v>132</v>
      </c>
      <c r="C107" s="333">
        <v>1</v>
      </c>
      <c r="D107" s="226"/>
      <c r="E107" s="182"/>
      <c r="F107" s="465"/>
      <c r="G107" s="466"/>
      <c r="H107" s="667" t="e">
        <f>AVERAGE(G107:G121)</f>
        <v>#DIV/0!</v>
      </c>
      <c r="I107" s="513" t="str">
        <f t="shared" ref="I107:I120" si="94">IFERROR(AVERAGE(P107,U107,Z107,AE107,AJ107,AO107,AT107),"-")</f>
        <v>-</v>
      </c>
      <c r="J107" s="513" t="str">
        <f t="shared" ref="J107:J120" si="95">IFERROR(AVERAGE(Q107,V107,AA107,AF107,AK107,AP107,AU107),"-")</f>
        <v>-</v>
      </c>
      <c r="K107" s="200" t="str">
        <f t="shared" ref="K107:K120" si="96">IFERROR(AVERAGE(R107,W107,AB107,AG107,AL107,AQ107,AV107),"-")</f>
        <v>-</v>
      </c>
      <c r="L107" s="620" t="str">
        <f>IFERROR(AVERAGE(K107:K121),"-")</f>
        <v>-</v>
      </c>
      <c r="M107" s="201" t="e">
        <f>RANK(K107, K$107:$K$121)</f>
        <v>#VALUE!</v>
      </c>
      <c r="N107" s="604"/>
      <c r="O107" s="604"/>
      <c r="P107" s="182"/>
      <c r="Q107" s="336"/>
      <c r="R107" s="336"/>
      <c r="S107" s="333" t="e">
        <f>RANK(R107, R$107:R$121)</f>
        <v>#N/A</v>
      </c>
      <c r="T107" s="667" t="e">
        <f>AVERAGE(R107:R121)</f>
        <v>#DIV/0!</v>
      </c>
      <c r="U107" s="182"/>
      <c r="V107" s="466"/>
      <c r="W107" s="466"/>
      <c r="X107" s="333" t="e">
        <f>RANK(W107, W$107:W$121)</f>
        <v>#N/A</v>
      </c>
      <c r="Y107" s="667" t="e">
        <f>AVERAGE(W107:W121)</f>
        <v>#DIV/0!</v>
      </c>
      <c r="Z107" s="182"/>
      <c r="AA107" s="466"/>
      <c r="AB107" s="466"/>
      <c r="AC107" s="333" t="e">
        <f>RANK(AB107, AB$107:AB$121)</f>
        <v>#N/A</v>
      </c>
      <c r="AD107" s="667" t="e">
        <f>AVERAGE(AB107:AB121)</f>
        <v>#DIV/0!</v>
      </c>
      <c r="AE107" s="182"/>
      <c r="AF107" s="466"/>
      <c r="AG107" s="466"/>
      <c r="AH107" s="333" t="e">
        <f>RANK(AG107, AG$107:AG$121)</f>
        <v>#N/A</v>
      </c>
      <c r="AI107" s="667" t="e">
        <f>AVERAGE(AG107:AG121)</f>
        <v>#DIV/0!</v>
      </c>
      <c r="AJ107" s="182"/>
      <c r="AK107" s="466"/>
      <c r="AL107" s="466"/>
      <c r="AM107" s="333" t="e">
        <f>RANK(AL107, AL$107:AL$121)</f>
        <v>#N/A</v>
      </c>
      <c r="AN107" s="667" t="e">
        <f>AVERAGE(AL107:AL121)</f>
        <v>#DIV/0!</v>
      </c>
      <c r="AO107" s="182"/>
      <c r="AP107" s="466"/>
      <c r="AQ107" s="466"/>
      <c r="AR107" s="333" t="e">
        <f>RANK(AQ107, AQ$107:AQ$121)</f>
        <v>#N/A</v>
      </c>
      <c r="AS107" s="667" t="e">
        <f>AVERAGE(AQ107:AQ121)</f>
        <v>#DIV/0!</v>
      </c>
      <c r="AT107" s="182"/>
      <c r="AU107" s="466"/>
      <c r="AV107" s="466"/>
      <c r="AW107" s="333" t="e">
        <f>RANK(AV107, AV$107:AV$121)</f>
        <v>#N/A</v>
      </c>
      <c r="AX107" s="605" t="e">
        <f>AVERAGE(AV107:AV121)</f>
        <v>#DIV/0!</v>
      </c>
      <c r="AZ107" s="521" t="e">
        <f>RANK(AY107, AY$107:AY$121)</f>
        <v>#N/A</v>
      </c>
      <c r="BA107" s="605" t="e">
        <f>AVERAGE(AY107:AY121)</f>
        <v>#DIV/0!</v>
      </c>
    </row>
    <row r="108" spans="2:53">
      <c r="B108" s="610"/>
      <c r="C108" s="333">
        <v>2</v>
      </c>
      <c r="D108" s="226"/>
      <c r="E108" s="182"/>
      <c r="F108" s="465"/>
      <c r="G108" s="466"/>
      <c r="H108" s="668"/>
      <c r="I108" s="513" t="str">
        <f t="shared" si="94"/>
        <v>-</v>
      </c>
      <c r="J108" s="513" t="str">
        <f t="shared" si="95"/>
        <v>-</v>
      </c>
      <c r="K108" s="200" t="str">
        <f t="shared" si="96"/>
        <v>-</v>
      </c>
      <c r="L108" s="621"/>
      <c r="M108" s="346" t="e">
        <f>RANK(K108, K$107:$K$121)</f>
        <v>#VALUE!</v>
      </c>
      <c r="N108" s="604"/>
      <c r="O108" s="604"/>
      <c r="P108" s="333"/>
      <c r="Q108" s="336"/>
      <c r="R108" s="336"/>
      <c r="S108" s="344" t="e">
        <f t="shared" ref="S108:S121" si="97">RANK(R108, R$107:R$121)</f>
        <v>#N/A</v>
      </c>
      <c r="T108" s="668"/>
      <c r="U108" s="465"/>
      <c r="V108" s="466"/>
      <c r="W108" s="466"/>
      <c r="X108" s="333" t="e">
        <f t="shared" ref="X108:X121" si="98">RANK(W108, W$107:W$121)</f>
        <v>#N/A</v>
      </c>
      <c r="Y108" s="668"/>
      <c r="Z108" s="465"/>
      <c r="AA108" s="466"/>
      <c r="AB108" s="466"/>
      <c r="AC108" s="333" t="e">
        <f t="shared" ref="AC108:AC121" si="99">RANK(AB108, AB$107:AB$121)</f>
        <v>#N/A</v>
      </c>
      <c r="AD108" s="668"/>
      <c r="AE108" s="465"/>
      <c r="AF108" s="466"/>
      <c r="AG108" s="466"/>
      <c r="AH108" s="333" t="e">
        <f t="shared" ref="AH108:AH121" si="100">RANK(AG108, AG$107:AG$121)</f>
        <v>#N/A</v>
      </c>
      <c r="AI108" s="668"/>
      <c r="AJ108" s="465"/>
      <c r="AK108" s="466"/>
      <c r="AL108" s="466"/>
      <c r="AM108" s="333" t="e">
        <f t="shared" ref="AM108:AM121" si="101">RANK(AL108, AL$107:AL$121)</f>
        <v>#N/A</v>
      </c>
      <c r="AN108" s="668"/>
      <c r="AO108" s="465"/>
      <c r="AP108" s="466"/>
      <c r="AQ108" s="466"/>
      <c r="AR108" s="333" t="e">
        <f t="shared" ref="AR108:AR121" si="102">RANK(AQ108, AQ$107:AQ$121)</f>
        <v>#N/A</v>
      </c>
      <c r="AS108" s="668"/>
      <c r="AT108" s="465"/>
      <c r="AU108" s="466"/>
      <c r="AV108" s="466"/>
      <c r="AW108" s="333" t="e">
        <f t="shared" ref="AW108:AW121" si="103">RANK(AV108, AV$107:AV$121)</f>
        <v>#N/A</v>
      </c>
      <c r="AX108" s="605"/>
      <c r="AZ108" s="521" t="e">
        <f t="shared" ref="AZ108:AZ121" si="104">RANK(AY108, AY$107:AY$121)</f>
        <v>#N/A</v>
      </c>
      <c r="BA108" s="605"/>
    </row>
    <row r="109" spans="2:53">
      <c r="B109" s="610"/>
      <c r="C109" s="333">
        <v>3</v>
      </c>
      <c r="D109" s="226"/>
      <c r="E109" s="182"/>
      <c r="F109" s="465"/>
      <c r="G109" s="466"/>
      <c r="H109" s="668"/>
      <c r="I109" s="513" t="str">
        <f t="shared" si="94"/>
        <v>-</v>
      </c>
      <c r="J109" s="513" t="str">
        <f t="shared" si="95"/>
        <v>-</v>
      </c>
      <c r="K109" s="200" t="str">
        <f t="shared" si="96"/>
        <v>-</v>
      </c>
      <c r="L109" s="621"/>
      <c r="M109" s="346" t="e">
        <f>RANK(K109, K$107:$K$121)</f>
        <v>#VALUE!</v>
      </c>
      <c r="N109" s="604"/>
      <c r="O109" s="604"/>
      <c r="P109" s="333"/>
      <c r="Q109" s="336"/>
      <c r="R109" s="336"/>
      <c r="S109" s="344" t="e">
        <f t="shared" si="97"/>
        <v>#N/A</v>
      </c>
      <c r="T109" s="668"/>
      <c r="U109" s="465"/>
      <c r="V109" s="466"/>
      <c r="W109" s="466"/>
      <c r="X109" s="333" t="e">
        <f t="shared" si="98"/>
        <v>#N/A</v>
      </c>
      <c r="Y109" s="668"/>
      <c r="Z109" s="465"/>
      <c r="AA109" s="466"/>
      <c r="AB109" s="466"/>
      <c r="AC109" s="333" t="e">
        <f t="shared" si="99"/>
        <v>#N/A</v>
      </c>
      <c r="AD109" s="668"/>
      <c r="AE109" s="465"/>
      <c r="AF109" s="466"/>
      <c r="AG109" s="466"/>
      <c r="AH109" s="333" t="e">
        <f t="shared" si="100"/>
        <v>#N/A</v>
      </c>
      <c r="AI109" s="668"/>
      <c r="AJ109" s="465"/>
      <c r="AK109" s="466"/>
      <c r="AL109" s="466"/>
      <c r="AM109" s="333" t="e">
        <f t="shared" si="101"/>
        <v>#N/A</v>
      </c>
      <c r="AN109" s="668"/>
      <c r="AO109" s="465"/>
      <c r="AP109" s="466"/>
      <c r="AQ109" s="466"/>
      <c r="AR109" s="333" t="e">
        <f t="shared" si="102"/>
        <v>#N/A</v>
      </c>
      <c r="AS109" s="668"/>
      <c r="AT109" s="465"/>
      <c r="AU109" s="466"/>
      <c r="AV109" s="466"/>
      <c r="AW109" s="333" t="e">
        <f t="shared" si="103"/>
        <v>#N/A</v>
      </c>
      <c r="AX109" s="605"/>
      <c r="AZ109" s="521" t="e">
        <f t="shared" si="104"/>
        <v>#N/A</v>
      </c>
      <c r="BA109" s="605"/>
    </row>
    <row r="110" spans="2:53">
      <c r="B110" s="610"/>
      <c r="C110" s="333">
        <v>4</v>
      </c>
      <c r="D110" s="226"/>
      <c r="E110" s="182"/>
      <c r="F110" s="465"/>
      <c r="G110" s="466"/>
      <c r="H110" s="668"/>
      <c r="I110" s="513" t="str">
        <f t="shared" si="94"/>
        <v>-</v>
      </c>
      <c r="J110" s="513" t="str">
        <f t="shared" si="95"/>
        <v>-</v>
      </c>
      <c r="K110" s="200" t="str">
        <f t="shared" si="96"/>
        <v>-</v>
      </c>
      <c r="L110" s="621"/>
      <c r="M110" s="346" t="e">
        <f>RANK(K110, K$107:$K$121)</f>
        <v>#VALUE!</v>
      </c>
      <c r="N110" s="604"/>
      <c r="O110" s="604"/>
      <c r="P110" s="333"/>
      <c r="Q110" s="336"/>
      <c r="R110" s="336"/>
      <c r="S110" s="344" t="e">
        <f t="shared" si="97"/>
        <v>#N/A</v>
      </c>
      <c r="T110" s="668"/>
      <c r="U110" s="465"/>
      <c r="V110" s="466"/>
      <c r="W110" s="466"/>
      <c r="X110" s="333" t="e">
        <f t="shared" si="98"/>
        <v>#N/A</v>
      </c>
      <c r="Y110" s="668"/>
      <c r="Z110" s="465"/>
      <c r="AA110" s="466"/>
      <c r="AB110" s="466"/>
      <c r="AC110" s="333" t="e">
        <f t="shared" si="99"/>
        <v>#N/A</v>
      </c>
      <c r="AD110" s="668"/>
      <c r="AE110" s="465"/>
      <c r="AF110" s="466"/>
      <c r="AG110" s="466"/>
      <c r="AH110" s="333" t="e">
        <f t="shared" si="100"/>
        <v>#N/A</v>
      </c>
      <c r="AI110" s="668"/>
      <c r="AJ110" s="465"/>
      <c r="AK110" s="466"/>
      <c r="AL110" s="466"/>
      <c r="AM110" s="333" t="e">
        <f t="shared" si="101"/>
        <v>#N/A</v>
      </c>
      <c r="AN110" s="668"/>
      <c r="AO110" s="465"/>
      <c r="AP110" s="466"/>
      <c r="AQ110" s="466"/>
      <c r="AR110" s="333" t="e">
        <f t="shared" si="102"/>
        <v>#N/A</v>
      </c>
      <c r="AS110" s="668"/>
      <c r="AT110" s="465"/>
      <c r="AU110" s="466"/>
      <c r="AV110" s="466"/>
      <c r="AW110" s="333" t="e">
        <f t="shared" si="103"/>
        <v>#N/A</v>
      </c>
      <c r="AX110" s="605"/>
      <c r="AZ110" s="521" t="e">
        <f t="shared" si="104"/>
        <v>#N/A</v>
      </c>
      <c r="BA110" s="605"/>
    </row>
    <row r="111" spans="2:53">
      <c r="B111" s="610"/>
      <c r="C111" s="333">
        <v>5</v>
      </c>
      <c r="D111" s="226"/>
      <c r="E111" s="182"/>
      <c r="F111" s="465"/>
      <c r="G111" s="466"/>
      <c r="H111" s="668"/>
      <c r="I111" s="513" t="str">
        <f t="shared" si="94"/>
        <v>-</v>
      </c>
      <c r="J111" s="513" t="str">
        <f t="shared" si="95"/>
        <v>-</v>
      </c>
      <c r="K111" s="200" t="str">
        <f t="shared" si="96"/>
        <v>-</v>
      </c>
      <c r="L111" s="621"/>
      <c r="M111" s="346" t="e">
        <f>RANK(K111, K$107:$K$121)</f>
        <v>#VALUE!</v>
      </c>
      <c r="N111" s="604"/>
      <c r="O111" s="604"/>
      <c r="P111" s="333"/>
      <c r="Q111" s="336"/>
      <c r="R111" s="336"/>
      <c r="S111" s="344" t="e">
        <f t="shared" si="97"/>
        <v>#N/A</v>
      </c>
      <c r="T111" s="668"/>
      <c r="U111" s="465"/>
      <c r="V111" s="466"/>
      <c r="W111" s="466"/>
      <c r="X111" s="333" t="e">
        <f t="shared" si="98"/>
        <v>#N/A</v>
      </c>
      <c r="Y111" s="668"/>
      <c r="Z111" s="465"/>
      <c r="AA111" s="466"/>
      <c r="AB111" s="466"/>
      <c r="AC111" s="333" t="e">
        <f t="shared" si="99"/>
        <v>#N/A</v>
      </c>
      <c r="AD111" s="668"/>
      <c r="AE111" s="465"/>
      <c r="AF111" s="466"/>
      <c r="AG111" s="466"/>
      <c r="AH111" s="333" t="e">
        <f t="shared" si="100"/>
        <v>#N/A</v>
      </c>
      <c r="AI111" s="668"/>
      <c r="AJ111" s="465"/>
      <c r="AK111" s="466"/>
      <c r="AL111" s="466"/>
      <c r="AM111" s="333" t="e">
        <f t="shared" si="101"/>
        <v>#N/A</v>
      </c>
      <c r="AN111" s="668"/>
      <c r="AO111" s="465"/>
      <c r="AP111" s="466"/>
      <c r="AQ111" s="466"/>
      <c r="AR111" s="333" t="e">
        <f t="shared" si="102"/>
        <v>#N/A</v>
      </c>
      <c r="AS111" s="668"/>
      <c r="AT111" s="465"/>
      <c r="AU111" s="466"/>
      <c r="AV111" s="466"/>
      <c r="AW111" s="333" t="e">
        <f t="shared" si="103"/>
        <v>#N/A</v>
      </c>
      <c r="AX111" s="605"/>
      <c r="AZ111" s="521" t="e">
        <f t="shared" si="104"/>
        <v>#N/A</v>
      </c>
      <c r="BA111" s="605"/>
    </row>
    <row r="112" spans="2:53">
      <c r="B112" s="610"/>
      <c r="C112" s="333">
        <v>6</v>
      </c>
      <c r="D112" s="226"/>
      <c r="E112" s="182"/>
      <c r="F112" s="465"/>
      <c r="G112" s="466"/>
      <c r="H112" s="668"/>
      <c r="I112" s="513" t="str">
        <f t="shared" si="94"/>
        <v>-</v>
      </c>
      <c r="J112" s="513" t="str">
        <f t="shared" si="95"/>
        <v>-</v>
      </c>
      <c r="K112" s="200" t="str">
        <f t="shared" si="96"/>
        <v>-</v>
      </c>
      <c r="L112" s="621"/>
      <c r="M112" s="346" t="e">
        <f>RANK(K112, K$107:$K$121)</f>
        <v>#VALUE!</v>
      </c>
      <c r="N112" s="604"/>
      <c r="O112" s="604"/>
      <c r="P112" s="333"/>
      <c r="Q112" s="336"/>
      <c r="R112" s="336"/>
      <c r="S112" s="344" t="e">
        <f t="shared" si="97"/>
        <v>#N/A</v>
      </c>
      <c r="T112" s="668"/>
      <c r="U112" s="465"/>
      <c r="V112" s="466"/>
      <c r="W112" s="466"/>
      <c r="X112" s="333" t="e">
        <f t="shared" si="98"/>
        <v>#N/A</v>
      </c>
      <c r="Y112" s="668"/>
      <c r="Z112" s="465"/>
      <c r="AA112" s="466"/>
      <c r="AB112" s="466"/>
      <c r="AC112" s="333" t="e">
        <f t="shared" si="99"/>
        <v>#N/A</v>
      </c>
      <c r="AD112" s="668"/>
      <c r="AE112" s="465"/>
      <c r="AF112" s="466"/>
      <c r="AG112" s="466"/>
      <c r="AH112" s="333" t="e">
        <f t="shared" si="100"/>
        <v>#N/A</v>
      </c>
      <c r="AI112" s="668"/>
      <c r="AJ112" s="465"/>
      <c r="AK112" s="466"/>
      <c r="AL112" s="466"/>
      <c r="AM112" s="333" t="e">
        <f t="shared" si="101"/>
        <v>#N/A</v>
      </c>
      <c r="AN112" s="668"/>
      <c r="AO112" s="465"/>
      <c r="AP112" s="466"/>
      <c r="AQ112" s="466"/>
      <c r="AR112" s="333" t="e">
        <f t="shared" si="102"/>
        <v>#N/A</v>
      </c>
      <c r="AS112" s="668"/>
      <c r="AT112" s="465"/>
      <c r="AU112" s="466"/>
      <c r="AV112" s="466"/>
      <c r="AW112" s="333" t="e">
        <f t="shared" si="103"/>
        <v>#N/A</v>
      </c>
      <c r="AX112" s="605"/>
      <c r="AZ112" s="521" t="e">
        <f t="shared" si="104"/>
        <v>#N/A</v>
      </c>
      <c r="BA112" s="605"/>
    </row>
    <row r="113" spans="2:53">
      <c r="B113" s="610"/>
      <c r="C113" s="333">
        <v>7</v>
      </c>
      <c r="D113" s="226"/>
      <c r="E113" s="182"/>
      <c r="F113" s="465"/>
      <c r="G113" s="466"/>
      <c r="H113" s="668"/>
      <c r="I113" s="513" t="str">
        <f t="shared" si="94"/>
        <v>-</v>
      </c>
      <c r="J113" s="513" t="str">
        <f t="shared" si="95"/>
        <v>-</v>
      </c>
      <c r="K113" s="200" t="str">
        <f t="shared" si="96"/>
        <v>-</v>
      </c>
      <c r="L113" s="621"/>
      <c r="M113" s="346" t="e">
        <f>RANK(K113, K$107:$K$121)</f>
        <v>#VALUE!</v>
      </c>
      <c r="N113" s="604"/>
      <c r="O113" s="604"/>
      <c r="P113" s="333"/>
      <c r="Q113" s="336"/>
      <c r="R113" s="336"/>
      <c r="S113" s="344" t="e">
        <f t="shared" si="97"/>
        <v>#N/A</v>
      </c>
      <c r="T113" s="668"/>
      <c r="U113" s="465"/>
      <c r="V113" s="466"/>
      <c r="W113" s="466"/>
      <c r="X113" s="333" t="e">
        <f t="shared" si="98"/>
        <v>#N/A</v>
      </c>
      <c r="Y113" s="668"/>
      <c r="Z113" s="465"/>
      <c r="AA113" s="466"/>
      <c r="AB113" s="466"/>
      <c r="AC113" s="333" t="e">
        <f t="shared" si="99"/>
        <v>#N/A</v>
      </c>
      <c r="AD113" s="668"/>
      <c r="AE113" s="465"/>
      <c r="AF113" s="466"/>
      <c r="AG113" s="466"/>
      <c r="AH113" s="333" t="e">
        <f t="shared" si="100"/>
        <v>#N/A</v>
      </c>
      <c r="AI113" s="668"/>
      <c r="AJ113" s="465"/>
      <c r="AK113" s="466"/>
      <c r="AL113" s="466"/>
      <c r="AM113" s="333" t="e">
        <f t="shared" si="101"/>
        <v>#N/A</v>
      </c>
      <c r="AN113" s="668"/>
      <c r="AO113" s="465"/>
      <c r="AP113" s="466"/>
      <c r="AQ113" s="466"/>
      <c r="AR113" s="333" t="e">
        <f t="shared" si="102"/>
        <v>#N/A</v>
      </c>
      <c r="AS113" s="668"/>
      <c r="AT113" s="465"/>
      <c r="AU113" s="466"/>
      <c r="AV113" s="466"/>
      <c r="AW113" s="333" t="e">
        <f t="shared" si="103"/>
        <v>#N/A</v>
      </c>
      <c r="AX113" s="605"/>
      <c r="AZ113" s="521" t="e">
        <f t="shared" si="104"/>
        <v>#N/A</v>
      </c>
      <c r="BA113" s="605"/>
    </row>
    <row r="114" spans="2:53">
      <c r="B114" s="610"/>
      <c r="C114" s="333">
        <v>8</v>
      </c>
      <c r="D114" s="226"/>
      <c r="E114" s="182"/>
      <c r="F114" s="465"/>
      <c r="G114" s="466"/>
      <c r="H114" s="668"/>
      <c r="I114" s="513" t="str">
        <f t="shared" si="94"/>
        <v>-</v>
      </c>
      <c r="J114" s="513" t="str">
        <f t="shared" si="95"/>
        <v>-</v>
      </c>
      <c r="K114" s="200" t="str">
        <f t="shared" si="96"/>
        <v>-</v>
      </c>
      <c r="L114" s="621"/>
      <c r="M114" s="346" t="e">
        <f>RANK(K114, K$107:$K$121)</f>
        <v>#VALUE!</v>
      </c>
      <c r="N114" s="604"/>
      <c r="O114" s="604"/>
      <c r="P114" s="333"/>
      <c r="Q114" s="336"/>
      <c r="R114" s="336"/>
      <c r="S114" s="344" t="e">
        <f t="shared" si="97"/>
        <v>#N/A</v>
      </c>
      <c r="T114" s="668"/>
      <c r="U114" s="465"/>
      <c r="V114" s="466"/>
      <c r="W114" s="466"/>
      <c r="X114" s="333" t="e">
        <f t="shared" si="98"/>
        <v>#N/A</v>
      </c>
      <c r="Y114" s="668"/>
      <c r="Z114" s="465"/>
      <c r="AA114" s="466"/>
      <c r="AB114" s="466"/>
      <c r="AC114" s="333" t="e">
        <f t="shared" si="99"/>
        <v>#N/A</v>
      </c>
      <c r="AD114" s="668"/>
      <c r="AE114" s="465"/>
      <c r="AF114" s="466"/>
      <c r="AG114" s="466"/>
      <c r="AH114" s="333" t="e">
        <f t="shared" si="100"/>
        <v>#N/A</v>
      </c>
      <c r="AI114" s="668"/>
      <c r="AJ114" s="465"/>
      <c r="AK114" s="466"/>
      <c r="AL114" s="466"/>
      <c r="AM114" s="333" t="e">
        <f t="shared" si="101"/>
        <v>#N/A</v>
      </c>
      <c r="AN114" s="668"/>
      <c r="AO114" s="465"/>
      <c r="AP114" s="466"/>
      <c r="AQ114" s="466"/>
      <c r="AR114" s="333" t="e">
        <f t="shared" si="102"/>
        <v>#N/A</v>
      </c>
      <c r="AS114" s="668"/>
      <c r="AT114" s="465"/>
      <c r="AU114" s="466"/>
      <c r="AV114" s="466"/>
      <c r="AW114" s="333" t="e">
        <f t="shared" si="103"/>
        <v>#N/A</v>
      </c>
      <c r="AX114" s="605"/>
      <c r="AZ114" s="521" t="e">
        <f t="shared" si="104"/>
        <v>#N/A</v>
      </c>
      <c r="BA114" s="605"/>
    </row>
    <row r="115" spans="2:53">
      <c r="B115" s="610"/>
      <c r="C115" s="333">
        <v>9</v>
      </c>
      <c r="D115" s="226"/>
      <c r="E115" s="182"/>
      <c r="F115" s="465"/>
      <c r="G115" s="466"/>
      <c r="H115" s="668"/>
      <c r="I115" s="513" t="str">
        <f t="shared" si="94"/>
        <v>-</v>
      </c>
      <c r="J115" s="513" t="str">
        <f t="shared" si="95"/>
        <v>-</v>
      </c>
      <c r="K115" s="200" t="str">
        <f t="shared" si="96"/>
        <v>-</v>
      </c>
      <c r="L115" s="621"/>
      <c r="M115" s="346" t="e">
        <f>RANK(K115, K$107:$K$121)</f>
        <v>#VALUE!</v>
      </c>
      <c r="N115" s="604"/>
      <c r="O115" s="604"/>
      <c r="P115" s="333"/>
      <c r="Q115" s="336"/>
      <c r="R115" s="336"/>
      <c r="S115" s="344" t="e">
        <f t="shared" si="97"/>
        <v>#N/A</v>
      </c>
      <c r="T115" s="668"/>
      <c r="U115" s="465"/>
      <c r="V115" s="466"/>
      <c r="W115" s="466"/>
      <c r="X115" s="333" t="e">
        <f t="shared" si="98"/>
        <v>#N/A</v>
      </c>
      <c r="Y115" s="668"/>
      <c r="Z115" s="465"/>
      <c r="AA115" s="466"/>
      <c r="AB115" s="466"/>
      <c r="AC115" s="333" t="e">
        <f t="shared" si="99"/>
        <v>#N/A</v>
      </c>
      <c r="AD115" s="668"/>
      <c r="AE115" s="465"/>
      <c r="AF115" s="466"/>
      <c r="AG115" s="466"/>
      <c r="AH115" s="333" t="e">
        <f t="shared" si="100"/>
        <v>#N/A</v>
      </c>
      <c r="AI115" s="668"/>
      <c r="AJ115" s="465"/>
      <c r="AK115" s="466"/>
      <c r="AL115" s="466"/>
      <c r="AM115" s="333" t="e">
        <f t="shared" si="101"/>
        <v>#N/A</v>
      </c>
      <c r="AN115" s="668"/>
      <c r="AO115" s="465"/>
      <c r="AP115" s="466"/>
      <c r="AQ115" s="466"/>
      <c r="AR115" s="333" t="e">
        <f t="shared" si="102"/>
        <v>#N/A</v>
      </c>
      <c r="AS115" s="668"/>
      <c r="AT115" s="465"/>
      <c r="AU115" s="466"/>
      <c r="AV115" s="466"/>
      <c r="AW115" s="333" t="e">
        <f t="shared" si="103"/>
        <v>#N/A</v>
      </c>
      <c r="AX115" s="605"/>
      <c r="AZ115" s="521" t="e">
        <f t="shared" si="104"/>
        <v>#N/A</v>
      </c>
      <c r="BA115" s="605"/>
    </row>
    <row r="116" spans="2:53">
      <c r="B116" s="610"/>
      <c r="C116" s="333">
        <v>10</v>
      </c>
      <c r="D116" s="226"/>
      <c r="E116" s="182"/>
      <c r="F116" s="465"/>
      <c r="G116" s="466"/>
      <c r="H116" s="668"/>
      <c r="I116" s="513" t="str">
        <f t="shared" si="94"/>
        <v>-</v>
      </c>
      <c r="J116" s="513" t="str">
        <f t="shared" si="95"/>
        <v>-</v>
      </c>
      <c r="K116" s="200" t="str">
        <f t="shared" si="96"/>
        <v>-</v>
      </c>
      <c r="L116" s="621"/>
      <c r="M116" s="346" t="e">
        <f>RANK(K116, K$107:$K$121)</f>
        <v>#VALUE!</v>
      </c>
      <c r="N116" s="604"/>
      <c r="O116" s="604"/>
      <c r="P116" s="333"/>
      <c r="Q116" s="336"/>
      <c r="R116" s="336"/>
      <c r="S116" s="344" t="e">
        <f t="shared" si="97"/>
        <v>#N/A</v>
      </c>
      <c r="T116" s="668"/>
      <c r="U116" s="465"/>
      <c r="V116" s="466"/>
      <c r="W116" s="466"/>
      <c r="X116" s="333" t="e">
        <f t="shared" si="98"/>
        <v>#N/A</v>
      </c>
      <c r="Y116" s="668"/>
      <c r="Z116" s="465"/>
      <c r="AA116" s="466"/>
      <c r="AB116" s="466"/>
      <c r="AC116" s="333" t="e">
        <f t="shared" si="99"/>
        <v>#N/A</v>
      </c>
      <c r="AD116" s="668"/>
      <c r="AE116" s="465"/>
      <c r="AF116" s="466"/>
      <c r="AG116" s="466"/>
      <c r="AH116" s="333" t="e">
        <f t="shared" si="100"/>
        <v>#N/A</v>
      </c>
      <c r="AI116" s="668"/>
      <c r="AJ116" s="465"/>
      <c r="AK116" s="466"/>
      <c r="AL116" s="466"/>
      <c r="AM116" s="333" t="e">
        <f t="shared" si="101"/>
        <v>#N/A</v>
      </c>
      <c r="AN116" s="668"/>
      <c r="AO116" s="465"/>
      <c r="AP116" s="466"/>
      <c r="AQ116" s="466"/>
      <c r="AR116" s="333" t="e">
        <f t="shared" si="102"/>
        <v>#N/A</v>
      </c>
      <c r="AS116" s="668"/>
      <c r="AT116" s="465"/>
      <c r="AU116" s="466"/>
      <c r="AV116" s="466"/>
      <c r="AW116" s="333" t="e">
        <f t="shared" si="103"/>
        <v>#N/A</v>
      </c>
      <c r="AX116" s="605"/>
      <c r="AZ116" s="521" t="e">
        <f t="shared" si="104"/>
        <v>#N/A</v>
      </c>
      <c r="BA116" s="605"/>
    </row>
    <row r="117" spans="2:53">
      <c r="B117" s="610"/>
      <c r="C117" s="333">
        <v>11</v>
      </c>
      <c r="D117" s="226"/>
      <c r="E117" s="182"/>
      <c r="F117" s="465"/>
      <c r="G117" s="466"/>
      <c r="H117" s="668"/>
      <c r="I117" s="513" t="str">
        <f t="shared" si="94"/>
        <v>-</v>
      </c>
      <c r="J117" s="513" t="str">
        <f t="shared" si="95"/>
        <v>-</v>
      </c>
      <c r="K117" s="200" t="str">
        <f t="shared" si="96"/>
        <v>-</v>
      </c>
      <c r="L117" s="621"/>
      <c r="M117" s="346" t="e">
        <f>RANK(K117, K$107:$K$121)</f>
        <v>#VALUE!</v>
      </c>
      <c r="N117" s="604"/>
      <c r="O117" s="604"/>
      <c r="P117" s="333"/>
      <c r="Q117" s="336"/>
      <c r="R117" s="336"/>
      <c r="S117" s="344" t="e">
        <f t="shared" si="97"/>
        <v>#N/A</v>
      </c>
      <c r="T117" s="668"/>
      <c r="U117" s="465"/>
      <c r="V117" s="466"/>
      <c r="W117" s="466"/>
      <c r="X117" s="333" t="e">
        <f t="shared" si="98"/>
        <v>#N/A</v>
      </c>
      <c r="Y117" s="668"/>
      <c r="Z117" s="465"/>
      <c r="AA117" s="466"/>
      <c r="AB117" s="466"/>
      <c r="AC117" s="333" t="e">
        <f t="shared" si="99"/>
        <v>#N/A</v>
      </c>
      <c r="AD117" s="668"/>
      <c r="AE117" s="465"/>
      <c r="AF117" s="466"/>
      <c r="AG117" s="466"/>
      <c r="AH117" s="333" t="e">
        <f t="shared" si="100"/>
        <v>#N/A</v>
      </c>
      <c r="AI117" s="668"/>
      <c r="AJ117" s="465"/>
      <c r="AK117" s="466"/>
      <c r="AL117" s="466"/>
      <c r="AM117" s="333" t="e">
        <f t="shared" si="101"/>
        <v>#N/A</v>
      </c>
      <c r="AN117" s="668"/>
      <c r="AO117" s="465"/>
      <c r="AP117" s="466"/>
      <c r="AQ117" s="466"/>
      <c r="AR117" s="333" t="e">
        <f t="shared" si="102"/>
        <v>#N/A</v>
      </c>
      <c r="AS117" s="668"/>
      <c r="AT117" s="465"/>
      <c r="AU117" s="466"/>
      <c r="AV117" s="466"/>
      <c r="AW117" s="333" t="e">
        <f t="shared" si="103"/>
        <v>#N/A</v>
      </c>
      <c r="AX117" s="605"/>
      <c r="AZ117" s="521" t="e">
        <f t="shared" si="104"/>
        <v>#N/A</v>
      </c>
      <c r="BA117" s="605"/>
    </row>
    <row r="118" spans="2:53">
      <c r="B118" s="610"/>
      <c r="C118" s="333">
        <v>12</v>
      </c>
      <c r="D118" s="226"/>
      <c r="E118" s="182"/>
      <c r="F118" s="465"/>
      <c r="G118" s="466"/>
      <c r="H118" s="668"/>
      <c r="I118" s="513" t="str">
        <f t="shared" si="94"/>
        <v>-</v>
      </c>
      <c r="J118" s="513" t="str">
        <f t="shared" si="95"/>
        <v>-</v>
      </c>
      <c r="K118" s="200" t="str">
        <f t="shared" si="96"/>
        <v>-</v>
      </c>
      <c r="L118" s="621"/>
      <c r="M118" s="346" t="e">
        <f>RANK(K118, K$107:$K$121)</f>
        <v>#VALUE!</v>
      </c>
      <c r="N118" s="604"/>
      <c r="O118" s="604"/>
      <c r="P118" s="333"/>
      <c r="Q118" s="336"/>
      <c r="R118" s="336"/>
      <c r="S118" s="344" t="e">
        <f t="shared" si="97"/>
        <v>#N/A</v>
      </c>
      <c r="T118" s="668"/>
      <c r="U118" s="465"/>
      <c r="V118" s="466"/>
      <c r="W118" s="466"/>
      <c r="X118" s="333" t="e">
        <f t="shared" si="98"/>
        <v>#N/A</v>
      </c>
      <c r="Y118" s="668"/>
      <c r="Z118" s="465"/>
      <c r="AA118" s="466"/>
      <c r="AB118" s="466"/>
      <c r="AC118" s="333" t="e">
        <f t="shared" si="99"/>
        <v>#N/A</v>
      </c>
      <c r="AD118" s="668"/>
      <c r="AE118" s="465"/>
      <c r="AF118" s="466"/>
      <c r="AG118" s="466"/>
      <c r="AH118" s="333" t="e">
        <f t="shared" si="100"/>
        <v>#N/A</v>
      </c>
      <c r="AI118" s="668"/>
      <c r="AJ118" s="465"/>
      <c r="AK118" s="466"/>
      <c r="AL118" s="466"/>
      <c r="AM118" s="333" t="e">
        <f t="shared" si="101"/>
        <v>#N/A</v>
      </c>
      <c r="AN118" s="668"/>
      <c r="AO118" s="465"/>
      <c r="AP118" s="466"/>
      <c r="AQ118" s="466"/>
      <c r="AR118" s="333" t="e">
        <f t="shared" si="102"/>
        <v>#N/A</v>
      </c>
      <c r="AS118" s="668"/>
      <c r="AT118" s="465"/>
      <c r="AU118" s="466"/>
      <c r="AV118" s="466"/>
      <c r="AW118" s="333" t="e">
        <f t="shared" si="103"/>
        <v>#N/A</v>
      </c>
      <c r="AX118" s="605"/>
      <c r="AZ118" s="521" t="e">
        <f t="shared" si="104"/>
        <v>#N/A</v>
      </c>
      <c r="BA118" s="605"/>
    </row>
    <row r="119" spans="2:53">
      <c r="B119" s="610"/>
      <c r="C119" s="333">
        <v>13</v>
      </c>
      <c r="D119" s="226"/>
      <c r="E119" s="182"/>
      <c r="F119" s="465"/>
      <c r="G119" s="466"/>
      <c r="H119" s="668"/>
      <c r="I119" s="513" t="str">
        <f t="shared" si="94"/>
        <v>-</v>
      </c>
      <c r="J119" s="513" t="str">
        <f t="shared" si="95"/>
        <v>-</v>
      </c>
      <c r="K119" s="200" t="str">
        <f t="shared" si="96"/>
        <v>-</v>
      </c>
      <c r="L119" s="621"/>
      <c r="M119" s="346" t="e">
        <f>RANK(K119, K$107:$K$121)</f>
        <v>#VALUE!</v>
      </c>
      <c r="N119" s="604"/>
      <c r="O119" s="604"/>
      <c r="P119" s="333"/>
      <c r="Q119" s="336"/>
      <c r="R119" s="336"/>
      <c r="S119" s="344" t="e">
        <f t="shared" si="97"/>
        <v>#N/A</v>
      </c>
      <c r="T119" s="668"/>
      <c r="U119" s="465"/>
      <c r="V119" s="466"/>
      <c r="W119" s="466"/>
      <c r="X119" s="333" t="e">
        <f t="shared" si="98"/>
        <v>#N/A</v>
      </c>
      <c r="Y119" s="668"/>
      <c r="Z119" s="465"/>
      <c r="AA119" s="466"/>
      <c r="AB119" s="466"/>
      <c r="AC119" s="333" t="e">
        <f t="shared" si="99"/>
        <v>#N/A</v>
      </c>
      <c r="AD119" s="668"/>
      <c r="AE119" s="465"/>
      <c r="AF119" s="466"/>
      <c r="AG119" s="466"/>
      <c r="AH119" s="333" t="e">
        <f t="shared" si="100"/>
        <v>#N/A</v>
      </c>
      <c r="AI119" s="668"/>
      <c r="AJ119" s="465"/>
      <c r="AK119" s="466"/>
      <c r="AL119" s="466"/>
      <c r="AM119" s="333" t="e">
        <f t="shared" si="101"/>
        <v>#N/A</v>
      </c>
      <c r="AN119" s="668"/>
      <c r="AO119" s="465"/>
      <c r="AP119" s="466"/>
      <c r="AQ119" s="466"/>
      <c r="AR119" s="333" t="e">
        <f t="shared" si="102"/>
        <v>#N/A</v>
      </c>
      <c r="AS119" s="668"/>
      <c r="AT119" s="465"/>
      <c r="AU119" s="466"/>
      <c r="AV119" s="466"/>
      <c r="AW119" s="333" t="e">
        <f t="shared" si="103"/>
        <v>#N/A</v>
      </c>
      <c r="AX119" s="605"/>
      <c r="AZ119" s="521" t="e">
        <f t="shared" si="104"/>
        <v>#N/A</v>
      </c>
      <c r="BA119" s="605"/>
    </row>
    <row r="120" spans="2:53">
      <c r="B120" s="610"/>
      <c r="C120" s="333">
        <v>14</v>
      </c>
      <c r="D120" s="226"/>
      <c r="E120" s="182"/>
      <c r="F120" s="465"/>
      <c r="G120" s="466"/>
      <c r="H120" s="668"/>
      <c r="I120" s="513" t="str">
        <f t="shared" si="94"/>
        <v>-</v>
      </c>
      <c r="J120" s="513" t="str">
        <f t="shared" si="95"/>
        <v>-</v>
      </c>
      <c r="K120" s="200" t="str">
        <f t="shared" si="96"/>
        <v>-</v>
      </c>
      <c r="L120" s="621"/>
      <c r="M120" s="346" t="e">
        <f>RANK(K120, K$107:$K$121)</f>
        <v>#VALUE!</v>
      </c>
      <c r="N120" s="604"/>
      <c r="O120" s="604"/>
      <c r="P120" s="333"/>
      <c r="Q120" s="336"/>
      <c r="R120" s="336"/>
      <c r="S120" s="344" t="e">
        <f t="shared" si="97"/>
        <v>#N/A</v>
      </c>
      <c r="T120" s="668"/>
      <c r="U120" s="465"/>
      <c r="V120" s="466"/>
      <c r="W120" s="466"/>
      <c r="X120" s="333" t="e">
        <f t="shared" si="98"/>
        <v>#N/A</v>
      </c>
      <c r="Y120" s="668"/>
      <c r="Z120" s="465"/>
      <c r="AA120" s="466"/>
      <c r="AB120" s="466"/>
      <c r="AC120" s="333" t="e">
        <f t="shared" si="99"/>
        <v>#N/A</v>
      </c>
      <c r="AD120" s="668"/>
      <c r="AE120" s="465"/>
      <c r="AF120" s="466"/>
      <c r="AG120" s="466"/>
      <c r="AH120" s="333" t="e">
        <f t="shared" si="100"/>
        <v>#N/A</v>
      </c>
      <c r="AI120" s="668"/>
      <c r="AJ120" s="465"/>
      <c r="AK120" s="466"/>
      <c r="AL120" s="466"/>
      <c r="AM120" s="333" t="e">
        <f t="shared" si="101"/>
        <v>#N/A</v>
      </c>
      <c r="AN120" s="668"/>
      <c r="AO120" s="465"/>
      <c r="AP120" s="466"/>
      <c r="AQ120" s="466"/>
      <c r="AR120" s="333" t="e">
        <f t="shared" si="102"/>
        <v>#N/A</v>
      </c>
      <c r="AS120" s="668"/>
      <c r="AT120" s="465"/>
      <c r="AU120" s="466"/>
      <c r="AV120" s="466"/>
      <c r="AW120" s="333" t="e">
        <f t="shared" si="103"/>
        <v>#N/A</v>
      </c>
      <c r="AX120" s="605"/>
      <c r="AZ120" s="521" t="e">
        <f t="shared" si="104"/>
        <v>#N/A</v>
      </c>
      <c r="BA120" s="605"/>
    </row>
    <row r="121" spans="2:53">
      <c r="B121" s="610"/>
      <c r="C121" s="333">
        <v>15</v>
      </c>
      <c r="D121" s="226"/>
      <c r="E121" s="182"/>
      <c r="F121" s="465"/>
      <c r="G121" s="466"/>
      <c r="H121" s="669"/>
      <c r="I121" s="202"/>
      <c r="J121" s="202"/>
      <c r="K121" s="202"/>
      <c r="L121" s="622"/>
      <c r="M121" s="346" t="e">
        <f>RANK(K121, K$107:$K$121)</f>
        <v>#N/A</v>
      </c>
      <c r="N121" s="604"/>
      <c r="O121" s="604"/>
      <c r="P121" s="333"/>
      <c r="Q121" s="336"/>
      <c r="R121" s="336"/>
      <c r="S121" s="344" t="e">
        <f t="shared" si="97"/>
        <v>#N/A</v>
      </c>
      <c r="T121" s="669"/>
      <c r="U121" s="465"/>
      <c r="V121" s="466"/>
      <c r="W121" s="466"/>
      <c r="X121" s="333" t="e">
        <f t="shared" si="98"/>
        <v>#N/A</v>
      </c>
      <c r="Y121" s="669"/>
      <c r="Z121" s="465"/>
      <c r="AA121" s="466"/>
      <c r="AB121" s="466"/>
      <c r="AC121" s="333" t="e">
        <f t="shared" si="99"/>
        <v>#N/A</v>
      </c>
      <c r="AD121" s="669"/>
      <c r="AE121" s="465"/>
      <c r="AF121" s="466"/>
      <c r="AG121" s="466"/>
      <c r="AH121" s="333" t="e">
        <f t="shared" si="100"/>
        <v>#N/A</v>
      </c>
      <c r="AI121" s="669"/>
      <c r="AJ121" s="465"/>
      <c r="AK121" s="466"/>
      <c r="AL121" s="466"/>
      <c r="AM121" s="333" t="e">
        <f t="shared" si="101"/>
        <v>#N/A</v>
      </c>
      <c r="AN121" s="669"/>
      <c r="AO121" s="465"/>
      <c r="AP121" s="466"/>
      <c r="AQ121" s="466"/>
      <c r="AR121" s="333" t="e">
        <f t="shared" si="102"/>
        <v>#N/A</v>
      </c>
      <c r="AS121" s="669"/>
      <c r="AT121" s="465"/>
      <c r="AU121" s="466"/>
      <c r="AV121" s="466"/>
      <c r="AW121" s="333" t="e">
        <f t="shared" si="103"/>
        <v>#N/A</v>
      </c>
      <c r="AX121" s="605"/>
      <c r="AZ121" s="521" t="e">
        <f t="shared" si="104"/>
        <v>#N/A</v>
      </c>
      <c r="BA121" s="605"/>
    </row>
    <row r="123" spans="2:53" ht="15.75">
      <c r="B123" s="613" t="s">
        <v>559</v>
      </c>
      <c r="C123" s="614"/>
      <c r="D123" s="614"/>
      <c r="E123" s="614"/>
      <c r="F123" s="614"/>
      <c r="G123" s="614"/>
      <c r="H123" s="615"/>
      <c r="I123" s="337"/>
      <c r="J123" s="337"/>
      <c r="K123" s="337"/>
      <c r="L123" s="337"/>
      <c r="M123" s="338"/>
    </row>
    <row r="124" spans="2:53" ht="15.75">
      <c r="B124" s="616"/>
      <c r="C124" s="616"/>
      <c r="D124" s="616"/>
      <c r="E124" s="616"/>
      <c r="F124" s="616"/>
      <c r="G124" s="616"/>
      <c r="H124" s="616"/>
      <c r="I124" s="339"/>
      <c r="J124" s="339"/>
      <c r="K124" s="339"/>
      <c r="L124" s="339"/>
      <c r="M124" s="340"/>
    </row>
    <row r="125" spans="2:53">
      <c r="B125" s="604" t="s">
        <v>560</v>
      </c>
      <c r="C125" s="604" t="s">
        <v>561</v>
      </c>
      <c r="D125" s="604"/>
      <c r="E125" s="604" t="s">
        <v>562</v>
      </c>
      <c r="F125" s="604"/>
      <c r="G125" s="604"/>
      <c r="H125" s="637" t="s">
        <v>563</v>
      </c>
      <c r="I125" s="617" t="s">
        <v>564</v>
      </c>
      <c r="J125" s="617"/>
      <c r="K125" s="617"/>
      <c r="L125" s="673" t="s">
        <v>563</v>
      </c>
      <c r="M125" s="676" t="s">
        <v>565</v>
      </c>
    </row>
    <row r="126" spans="2:53">
      <c r="B126" s="604"/>
      <c r="C126" s="604"/>
      <c r="D126" s="604"/>
      <c r="E126" s="604" t="s">
        <v>566</v>
      </c>
      <c r="F126" s="604"/>
      <c r="G126" s="604"/>
      <c r="H126" s="638"/>
      <c r="I126" s="617" t="s">
        <v>566</v>
      </c>
      <c r="J126" s="617"/>
      <c r="K126" s="617"/>
      <c r="L126" s="674"/>
      <c r="M126" s="677"/>
    </row>
    <row r="127" spans="2:53">
      <c r="B127" s="604"/>
      <c r="C127" s="604"/>
      <c r="D127" s="604"/>
      <c r="E127" s="334" t="s">
        <v>567</v>
      </c>
      <c r="F127" s="334" t="s">
        <v>568</v>
      </c>
      <c r="G127" s="334" t="s">
        <v>569</v>
      </c>
      <c r="H127" s="639"/>
      <c r="I127" s="341" t="s">
        <v>567</v>
      </c>
      <c r="J127" s="341" t="s">
        <v>568</v>
      </c>
      <c r="K127" s="341" t="s">
        <v>569</v>
      </c>
      <c r="L127" s="675"/>
      <c r="M127" s="678"/>
    </row>
    <row r="128" spans="2:53">
      <c r="B128" s="604" t="s">
        <v>575</v>
      </c>
      <c r="C128" s="333">
        <v>1</v>
      </c>
      <c r="D128" s="226"/>
      <c r="E128" s="182"/>
      <c r="F128" s="333"/>
      <c r="G128" s="336"/>
      <c r="H128" s="667" t="e">
        <f>AVERAGE(G128:G142)</f>
        <v>#DIV/0!</v>
      </c>
      <c r="I128" s="199" t="e">
        <f t="shared" ref="I128:J135" si="105">AVERAGEIF($D$7:$D$121,$D128,I$7:I$121)</f>
        <v>#DIV/0!</v>
      </c>
      <c r="J128" s="199" t="e">
        <f t="shared" si="105"/>
        <v>#DIV/0!</v>
      </c>
      <c r="K128" s="199" t="e">
        <f t="shared" ref="K128:K135" si="106">AVERAGEIF($D$7:$D$121,$D128,K$7:K$121)</f>
        <v>#DIV/0!</v>
      </c>
      <c r="L128" s="670" t="e">
        <f>AVERAGE(K128:K142)</f>
        <v>#DIV/0!</v>
      </c>
      <c r="M128" s="199" t="e">
        <f>RANK(K128, K$128:$K$142)</f>
        <v>#DIV/0!</v>
      </c>
    </row>
    <row r="129" spans="2:39">
      <c r="B129" s="610"/>
      <c r="C129" s="333">
        <v>2</v>
      </c>
      <c r="D129" s="226"/>
      <c r="E129" s="182"/>
      <c r="F129" s="333"/>
      <c r="G129" s="336"/>
      <c r="H129" s="668"/>
      <c r="I129" s="199" t="e">
        <f t="shared" si="105"/>
        <v>#DIV/0!</v>
      </c>
      <c r="J129" s="199" t="e">
        <f t="shared" si="105"/>
        <v>#DIV/0!</v>
      </c>
      <c r="K129" s="199" t="e">
        <f t="shared" si="106"/>
        <v>#DIV/0!</v>
      </c>
      <c r="L129" s="671"/>
      <c r="M129" s="199" t="e">
        <f>RANK(K129, K$128:$K$142)</f>
        <v>#DIV/0!</v>
      </c>
      <c r="N129" s="108"/>
      <c r="O129" s="108"/>
      <c r="P129" s="108"/>
      <c r="Q129" s="108"/>
      <c r="R129" s="108"/>
      <c r="S129" s="108"/>
      <c r="T129" s="108"/>
      <c r="X129" s="108"/>
      <c r="AC129" s="108"/>
      <c r="AH129" s="108"/>
      <c r="AM129" s="108"/>
    </row>
    <row r="130" spans="2:39">
      <c r="B130" s="610"/>
      <c r="C130" s="333">
        <v>3</v>
      </c>
      <c r="D130" s="226"/>
      <c r="E130" s="182"/>
      <c r="F130" s="333"/>
      <c r="G130" s="336"/>
      <c r="H130" s="668"/>
      <c r="I130" s="199" t="e">
        <f t="shared" si="105"/>
        <v>#DIV/0!</v>
      </c>
      <c r="J130" s="199" t="e">
        <f t="shared" si="105"/>
        <v>#DIV/0!</v>
      </c>
      <c r="K130" s="199" t="e">
        <f t="shared" si="106"/>
        <v>#DIV/0!</v>
      </c>
      <c r="L130" s="671"/>
      <c r="M130" s="199" t="e">
        <f>RANK(K130, K$128:$K$142)</f>
        <v>#DIV/0!</v>
      </c>
      <c r="N130" s="108"/>
      <c r="O130" s="108"/>
      <c r="P130" s="108"/>
      <c r="Q130" s="108"/>
      <c r="R130" s="108"/>
      <c r="S130" s="108"/>
      <c r="T130" s="108"/>
      <c r="X130" s="108"/>
      <c r="AC130" s="108"/>
      <c r="AH130" s="108"/>
      <c r="AM130" s="108"/>
    </row>
    <row r="131" spans="2:39">
      <c r="B131" s="610"/>
      <c r="C131" s="333">
        <v>4</v>
      </c>
      <c r="D131" s="226"/>
      <c r="E131" s="182"/>
      <c r="F131" s="333"/>
      <c r="G131" s="336"/>
      <c r="H131" s="668"/>
      <c r="I131" s="199" t="e">
        <f t="shared" si="105"/>
        <v>#DIV/0!</v>
      </c>
      <c r="J131" s="199" t="e">
        <f t="shared" si="105"/>
        <v>#DIV/0!</v>
      </c>
      <c r="K131" s="199" t="e">
        <f t="shared" si="106"/>
        <v>#DIV/0!</v>
      </c>
      <c r="L131" s="671"/>
      <c r="M131" s="199" t="e">
        <f>RANK(K131, K$128:$K$142)</f>
        <v>#DIV/0!</v>
      </c>
      <c r="N131" s="108"/>
      <c r="O131" s="108"/>
      <c r="P131" s="108"/>
      <c r="Q131" s="108"/>
      <c r="R131" s="108"/>
      <c r="S131" s="108"/>
      <c r="T131" s="108"/>
      <c r="X131" s="108"/>
      <c r="AC131" s="108"/>
      <c r="AH131" s="108"/>
      <c r="AM131" s="108"/>
    </row>
    <row r="132" spans="2:39">
      <c r="B132" s="610"/>
      <c r="C132" s="333">
        <v>5</v>
      </c>
      <c r="D132" s="226"/>
      <c r="E132" s="182"/>
      <c r="F132" s="333"/>
      <c r="G132" s="336"/>
      <c r="H132" s="668"/>
      <c r="I132" s="199" t="e">
        <f t="shared" si="105"/>
        <v>#DIV/0!</v>
      </c>
      <c r="J132" s="199" t="e">
        <f t="shared" si="105"/>
        <v>#DIV/0!</v>
      </c>
      <c r="K132" s="199" t="e">
        <f t="shared" si="106"/>
        <v>#DIV/0!</v>
      </c>
      <c r="L132" s="671"/>
      <c r="M132" s="199" t="e">
        <f>RANK(K132, K$128:$K$142)</f>
        <v>#DIV/0!</v>
      </c>
      <c r="N132" s="108"/>
      <c r="O132" s="108"/>
      <c r="P132" s="108"/>
      <c r="Q132" s="108"/>
      <c r="R132" s="108"/>
      <c r="S132" s="108"/>
      <c r="T132" s="108"/>
      <c r="X132" s="108"/>
      <c r="AC132" s="108"/>
      <c r="AH132" s="108"/>
      <c r="AM132" s="108"/>
    </row>
    <row r="133" spans="2:39">
      <c r="B133" s="610"/>
      <c r="C133" s="333">
        <v>6</v>
      </c>
      <c r="D133" s="342"/>
      <c r="E133" s="182"/>
      <c r="F133" s="333"/>
      <c r="G133" s="336"/>
      <c r="H133" s="668"/>
      <c r="I133" s="199" t="e">
        <f t="shared" si="105"/>
        <v>#DIV/0!</v>
      </c>
      <c r="J133" s="199" t="e">
        <f t="shared" si="105"/>
        <v>#DIV/0!</v>
      </c>
      <c r="K133" s="199" t="e">
        <f t="shared" si="106"/>
        <v>#DIV/0!</v>
      </c>
      <c r="L133" s="671"/>
      <c r="M133" s="199" t="e">
        <f>RANK(K133, K$128:$K$142)</f>
        <v>#DIV/0!</v>
      </c>
      <c r="N133" s="108"/>
      <c r="O133" s="108"/>
      <c r="P133" s="108"/>
      <c r="Q133" s="108"/>
      <c r="R133" s="108"/>
      <c r="S133" s="108"/>
      <c r="T133" s="108"/>
      <c r="X133" s="108"/>
      <c r="AC133" s="108"/>
      <c r="AH133" s="108"/>
      <c r="AM133" s="108"/>
    </row>
    <row r="134" spans="2:39">
      <c r="B134" s="610"/>
      <c r="C134" s="333">
        <v>7</v>
      </c>
      <c r="D134" s="226"/>
      <c r="E134" s="182"/>
      <c r="F134" s="333"/>
      <c r="G134" s="336"/>
      <c r="H134" s="668"/>
      <c r="I134" s="199" t="e">
        <f t="shared" si="105"/>
        <v>#DIV/0!</v>
      </c>
      <c r="J134" s="199" t="e">
        <f t="shared" si="105"/>
        <v>#DIV/0!</v>
      </c>
      <c r="K134" s="199" t="e">
        <f t="shared" si="106"/>
        <v>#DIV/0!</v>
      </c>
      <c r="L134" s="671"/>
      <c r="M134" s="199" t="e">
        <f>RANK(K134, K$128:$K$142)</f>
        <v>#DIV/0!</v>
      </c>
      <c r="N134" s="108"/>
      <c r="O134" s="108"/>
      <c r="P134" s="108"/>
      <c r="Q134" s="108"/>
      <c r="R134" s="108"/>
      <c r="S134" s="108"/>
      <c r="T134" s="108"/>
      <c r="X134" s="108"/>
      <c r="AC134" s="108"/>
      <c r="AH134" s="108"/>
      <c r="AM134" s="108"/>
    </row>
    <row r="135" spans="2:39">
      <c r="B135" s="610"/>
      <c r="C135" s="333">
        <v>8</v>
      </c>
      <c r="D135" s="226"/>
      <c r="E135" s="182"/>
      <c r="F135" s="333"/>
      <c r="G135" s="336"/>
      <c r="H135" s="668"/>
      <c r="I135" s="199" t="e">
        <f t="shared" si="105"/>
        <v>#DIV/0!</v>
      </c>
      <c r="J135" s="199" t="e">
        <f t="shared" si="105"/>
        <v>#DIV/0!</v>
      </c>
      <c r="K135" s="199" t="e">
        <f t="shared" si="106"/>
        <v>#DIV/0!</v>
      </c>
      <c r="L135" s="671"/>
      <c r="M135" s="199" t="e">
        <f>RANK(K135, K$128:$K$142)</f>
        <v>#DIV/0!</v>
      </c>
      <c r="N135" s="108"/>
      <c r="O135" s="108"/>
      <c r="P135" s="108"/>
      <c r="Q135" s="108"/>
      <c r="R135" s="108"/>
      <c r="S135" s="108"/>
      <c r="T135" s="108"/>
      <c r="X135" s="108"/>
      <c r="AC135" s="108"/>
      <c r="AH135" s="108"/>
      <c r="AM135" s="108"/>
    </row>
    <row r="136" spans="2:39">
      <c r="B136" s="610"/>
      <c r="C136" s="333">
        <v>9</v>
      </c>
      <c r="D136" s="226"/>
      <c r="E136" s="333"/>
      <c r="F136" s="333"/>
      <c r="G136" s="333"/>
      <c r="H136" s="668"/>
      <c r="I136" s="199"/>
      <c r="J136" s="199"/>
      <c r="K136" s="199"/>
      <c r="L136" s="671"/>
      <c r="M136" s="199" t="e">
        <f>RANK(K136, K$128:$K$142)</f>
        <v>#DIV/0!</v>
      </c>
      <c r="N136" s="108"/>
      <c r="O136" s="108"/>
      <c r="P136" s="108"/>
      <c r="Q136" s="108"/>
      <c r="R136" s="108"/>
      <c r="S136" s="108"/>
      <c r="T136" s="108"/>
      <c r="X136" s="108"/>
      <c r="AC136" s="108"/>
      <c r="AH136" s="108"/>
      <c r="AM136" s="108"/>
    </row>
    <row r="137" spans="2:39">
      <c r="B137" s="610"/>
      <c r="C137" s="333">
        <v>10</v>
      </c>
      <c r="D137" s="226"/>
      <c r="E137" s="333"/>
      <c r="F137" s="333"/>
      <c r="G137" s="333"/>
      <c r="H137" s="668"/>
      <c r="I137" s="199"/>
      <c r="J137" s="199"/>
      <c r="K137" s="199"/>
      <c r="L137" s="671"/>
      <c r="M137" s="199" t="e">
        <f>RANK(K137, K$128:$K$142)</f>
        <v>#DIV/0!</v>
      </c>
      <c r="N137" s="108"/>
      <c r="O137" s="108"/>
      <c r="P137" s="108"/>
      <c r="Q137" s="108"/>
      <c r="R137" s="108"/>
      <c r="S137" s="108"/>
      <c r="T137" s="108"/>
      <c r="X137" s="108"/>
      <c r="AC137" s="108"/>
      <c r="AH137" s="108"/>
      <c r="AM137" s="108"/>
    </row>
    <row r="138" spans="2:39">
      <c r="B138" s="610"/>
      <c r="C138" s="333">
        <v>11</v>
      </c>
      <c r="D138" s="226"/>
      <c r="E138" s="333"/>
      <c r="F138" s="333"/>
      <c r="G138" s="333"/>
      <c r="H138" s="668"/>
      <c r="I138" s="199"/>
      <c r="J138" s="199"/>
      <c r="K138" s="199"/>
      <c r="L138" s="671"/>
      <c r="M138" s="199" t="e">
        <f>RANK(K138, K$128:$K$142)</f>
        <v>#DIV/0!</v>
      </c>
      <c r="N138" s="108"/>
      <c r="O138" s="108"/>
      <c r="P138" s="108"/>
      <c r="Q138" s="108"/>
      <c r="R138" s="108"/>
      <c r="S138" s="108"/>
      <c r="T138" s="108"/>
      <c r="X138" s="108"/>
      <c r="AC138" s="108"/>
      <c r="AH138" s="108"/>
      <c r="AM138" s="108"/>
    </row>
    <row r="139" spans="2:39">
      <c r="B139" s="610"/>
      <c r="C139" s="333">
        <v>12</v>
      </c>
      <c r="D139" s="226"/>
      <c r="E139" s="333"/>
      <c r="F139" s="333"/>
      <c r="G139" s="333"/>
      <c r="H139" s="668"/>
      <c r="I139" s="199"/>
      <c r="J139" s="199"/>
      <c r="K139" s="199"/>
      <c r="L139" s="671"/>
      <c r="M139" s="199" t="e">
        <f>RANK(K139, K$128:$K$142)</f>
        <v>#DIV/0!</v>
      </c>
      <c r="N139" s="108"/>
      <c r="O139" s="108"/>
      <c r="P139" s="108"/>
      <c r="Q139" s="108"/>
      <c r="R139" s="108"/>
      <c r="S139" s="108"/>
      <c r="T139" s="108"/>
      <c r="X139" s="108"/>
      <c r="AC139" s="108"/>
      <c r="AH139" s="108"/>
      <c r="AM139" s="108"/>
    </row>
    <row r="140" spans="2:39">
      <c r="B140" s="610"/>
      <c r="C140" s="333">
        <v>13</v>
      </c>
      <c r="D140" s="226"/>
      <c r="E140" s="333"/>
      <c r="F140" s="333"/>
      <c r="G140" s="333"/>
      <c r="H140" s="668"/>
      <c r="I140" s="199"/>
      <c r="J140" s="199"/>
      <c r="K140" s="199"/>
      <c r="L140" s="671"/>
      <c r="M140" s="199" t="e">
        <f>RANK(K140, K$128:$K$142)</f>
        <v>#DIV/0!</v>
      </c>
      <c r="N140" s="108"/>
      <c r="O140" s="108"/>
      <c r="P140" s="108"/>
      <c r="Q140" s="108"/>
      <c r="R140" s="108"/>
      <c r="S140" s="108"/>
      <c r="T140" s="108"/>
      <c r="X140" s="108"/>
      <c r="AC140" s="108"/>
      <c r="AH140" s="108"/>
      <c r="AM140" s="108"/>
    </row>
    <row r="141" spans="2:39">
      <c r="B141" s="610"/>
      <c r="C141" s="333">
        <v>14</v>
      </c>
      <c r="D141" s="226"/>
      <c r="E141" s="333"/>
      <c r="F141" s="333"/>
      <c r="G141" s="333"/>
      <c r="H141" s="668"/>
      <c r="I141" s="199"/>
      <c r="J141" s="199"/>
      <c r="K141" s="199"/>
      <c r="L141" s="671"/>
      <c r="M141" s="199" t="e">
        <f>RANK(K141, K$128:$K$142)</f>
        <v>#DIV/0!</v>
      </c>
      <c r="N141" s="108"/>
      <c r="O141" s="108"/>
      <c r="P141" s="108"/>
      <c r="Q141" s="108"/>
      <c r="R141" s="108"/>
      <c r="S141" s="108"/>
      <c r="T141" s="108"/>
      <c r="X141" s="108"/>
      <c r="AC141" s="108"/>
      <c r="AH141" s="108"/>
      <c r="AM141" s="108"/>
    </row>
    <row r="142" spans="2:39">
      <c r="B142" s="610"/>
      <c r="C142" s="333">
        <v>15</v>
      </c>
      <c r="D142" s="226"/>
      <c r="E142" s="333"/>
      <c r="F142" s="333"/>
      <c r="G142" s="333"/>
      <c r="H142" s="669"/>
      <c r="I142" s="199"/>
      <c r="J142" s="199"/>
      <c r="K142" s="199"/>
      <c r="L142" s="672"/>
      <c r="M142" s="199" t="e">
        <f>RANK(K142, K$128:$K$142)</f>
        <v>#DIV/0!</v>
      </c>
      <c r="N142" s="108"/>
      <c r="O142" s="108"/>
      <c r="P142" s="108"/>
      <c r="Q142" s="108"/>
      <c r="R142" s="108"/>
      <c r="S142" s="108"/>
      <c r="T142" s="108"/>
      <c r="X142" s="108"/>
      <c r="AC142" s="108"/>
      <c r="AH142" s="108"/>
      <c r="AM142" s="108"/>
    </row>
  </sheetData>
  <mergeCells count="379">
    <mergeCell ref="BA87:BA101"/>
    <mergeCell ref="BA104:BA106"/>
    <mergeCell ref="BA107:BA121"/>
    <mergeCell ref="BA4:BA6"/>
    <mergeCell ref="BA7:BA21"/>
    <mergeCell ref="BA24:BA26"/>
    <mergeCell ref="BA27:BA41"/>
    <mergeCell ref="BA44:BA46"/>
    <mergeCell ref="BA47:BA61"/>
    <mergeCell ref="BA64:BA66"/>
    <mergeCell ref="BA67:BA81"/>
    <mergeCell ref="BA84:BA86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A142"/>
  <sheetViews>
    <sheetView zoomScale="40" zoomScaleNormal="40" workbookViewId="0">
      <pane xSplit="15" topLeftCell="P1" activePane="topRight" state="frozen"/>
      <selection activeCell="I107" sqref="I107:K120"/>
      <selection pane="topRight" activeCell="T67" activeCellId="2" sqref="AC67:AD81 X67:Y81 S67:T81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51" width="8.85546875" style="108"/>
    <col min="52" max="52" width="5.42578125" style="108" customWidth="1"/>
    <col min="53" max="53" width="13.140625" style="108" customWidth="1"/>
    <col min="54" max="16384" width="8.85546875" style="108"/>
  </cols>
  <sheetData>
    <row r="1" spans="1:53" ht="24">
      <c r="A1" s="75"/>
      <c r="B1" s="221" t="s">
        <v>332</v>
      </c>
      <c r="C1" s="220">
        <f>AVERAGE(L7,L27,L47,L67,L87,L107)</f>
        <v>84.842396460366146</v>
      </c>
    </row>
    <row r="2" spans="1:53" ht="15.75">
      <c r="A2" s="81"/>
      <c r="B2" s="633" t="s">
        <v>163</v>
      </c>
      <c r="C2" s="633"/>
      <c r="D2" s="633"/>
      <c r="E2" s="633"/>
      <c r="F2" s="633"/>
      <c r="G2" s="633"/>
      <c r="H2" s="633"/>
      <c r="I2" s="306"/>
      <c r="J2" s="306"/>
      <c r="K2" s="306"/>
      <c r="L2" s="306"/>
      <c r="M2" s="197"/>
      <c r="N2" s="606" t="s">
        <v>156</v>
      </c>
      <c r="O2" s="606" t="s">
        <v>155</v>
      </c>
      <c r="P2" s="645">
        <v>46112</v>
      </c>
      <c r="Q2" s="646"/>
      <c r="R2" s="646"/>
      <c r="S2" s="646"/>
      <c r="T2" s="647"/>
      <c r="U2" s="632">
        <f>P2+1</f>
        <v>46113</v>
      </c>
      <c r="V2" s="610"/>
      <c r="W2" s="610"/>
      <c r="X2" s="610"/>
      <c r="Y2" s="610"/>
      <c r="Z2" s="632">
        <f>U2+1</f>
        <v>46114</v>
      </c>
      <c r="AA2" s="610"/>
      <c r="AB2" s="610"/>
      <c r="AC2" s="610"/>
      <c r="AD2" s="610"/>
      <c r="AE2" s="632">
        <f>Z2+1</f>
        <v>46115</v>
      </c>
      <c r="AF2" s="610"/>
      <c r="AG2" s="610"/>
      <c r="AH2" s="610"/>
      <c r="AI2" s="610"/>
      <c r="AJ2" s="632">
        <f>AE2+1</f>
        <v>46116</v>
      </c>
      <c r="AK2" s="610"/>
      <c r="AL2" s="610"/>
      <c r="AM2" s="610"/>
      <c r="AN2" s="610"/>
      <c r="AO2" s="632">
        <f>AJ2+1</f>
        <v>46117</v>
      </c>
      <c r="AP2" s="610"/>
      <c r="AQ2" s="610"/>
      <c r="AR2" s="610"/>
      <c r="AS2" s="610"/>
      <c r="AT2" s="629">
        <f>AO2+1</f>
        <v>46118</v>
      </c>
      <c r="AU2" s="630"/>
      <c r="AV2" s="630"/>
      <c r="AW2" s="630"/>
      <c r="AX2" s="631"/>
    </row>
    <row r="3" spans="1:53" ht="15.75">
      <c r="A3" s="81"/>
      <c r="B3" s="641"/>
      <c r="C3" s="641"/>
      <c r="D3" s="641"/>
      <c r="E3" s="641"/>
      <c r="F3" s="641"/>
      <c r="G3" s="641"/>
      <c r="H3" s="641"/>
      <c r="I3" s="307"/>
      <c r="J3" s="307"/>
      <c r="K3" s="307"/>
      <c r="L3" s="307"/>
      <c r="M3" s="198"/>
      <c r="N3" s="608"/>
      <c r="O3" s="608"/>
      <c r="P3" s="629" t="s">
        <v>158</v>
      </c>
      <c r="Q3" s="630"/>
      <c r="R3" s="630"/>
      <c r="S3" s="630"/>
      <c r="T3" s="631"/>
      <c r="U3" s="629" t="s">
        <v>114</v>
      </c>
      <c r="V3" s="630"/>
      <c r="W3" s="630"/>
      <c r="X3" s="630"/>
      <c r="Y3" s="631"/>
      <c r="Z3" s="629" t="s">
        <v>159</v>
      </c>
      <c r="AA3" s="630"/>
      <c r="AB3" s="630"/>
      <c r="AC3" s="630"/>
      <c r="AD3" s="631"/>
      <c r="AE3" s="629" t="s">
        <v>157</v>
      </c>
      <c r="AF3" s="630"/>
      <c r="AG3" s="630"/>
      <c r="AH3" s="630"/>
      <c r="AI3" s="631"/>
      <c r="AJ3" s="629" t="s">
        <v>160</v>
      </c>
      <c r="AK3" s="630"/>
      <c r="AL3" s="630"/>
      <c r="AM3" s="630"/>
      <c r="AN3" s="631"/>
      <c r="AO3" s="629" t="s">
        <v>161</v>
      </c>
      <c r="AP3" s="630"/>
      <c r="AQ3" s="630"/>
      <c r="AR3" s="630"/>
      <c r="AS3" s="631"/>
      <c r="AT3" s="629" t="s">
        <v>162</v>
      </c>
      <c r="AU3" s="630"/>
      <c r="AV3" s="630"/>
      <c r="AW3" s="630"/>
      <c r="AX3" s="631"/>
    </row>
    <row r="4" spans="1:53" ht="14.25">
      <c r="A4" s="81"/>
      <c r="B4" s="604" t="s">
        <v>693</v>
      </c>
      <c r="C4" s="604" t="s">
        <v>694</v>
      </c>
      <c r="D4" s="604"/>
      <c r="E4" s="604" t="s">
        <v>695</v>
      </c>
      <c r="F4" s="604"/>
      <c r="G4" s="604"/>
      <c r="H4" s="637" t="s">
        <v>696</v>
      </c>
      <c r="I4" s="604" t="s">
        <v>697</v>
      </c>
      <c r="J4" s="604"/>
      <c r="K4" s="604"/>
      <c r="L4" s="637" t="s">
        <v>395</v>
      </c>
      <c r="M4" s="606" t="s">
        <v>698</v>
      </c>
      <c r="N4" s="604"/>
      <c r="O4" s="604" t="s">
        <v>699</v>
      </c>
      <c r="P4" s="623" t="s">
        <v>397</v>
      </c>
      <c r="Q4" s="624"/>
      <c r="R4" s="624"/>
      <c r="S4" s="625"/>
      <c r="T4" s="604" t="s">
        <v>395</v>
      </c>
      <c r="U4" s="623" t="s">
        <v>397</v>
      </c>
      <c r="V4" s="624"/>
      <c r="W4" s="624"/>
      <c r="X4" s="625"/>
      <c r="Y4" s="604" t="s">
        <v>395</v>
      </c>
      <c r="Z4" s="623" t="s">
        <v>397</v>
      </c>
      <c r="AA4" s="624"/>
      <c r="AB4" s="624"/>
      <c r="AC4" s="625"/>
      <c r="AD4" s="604" t="s">
        <v>395</v>
      </c>
      <c r="AE4" s="623" t="s">
        <v>397</v>
      </c>
      <c r="AF4" s="624"/>
      <c r="AG4" s="624"/>
      <c r="AH4" s="625"/>
      <c r="AI4" s="604" t="s">
        <v>395</v>
      </c>
      <c r="AJ4" s="623" t="s">
        <v>397</v>
      </c>
      <c r="AK4" s="624"/>
      <c r="AL4" s="624"/>
      <c r="AM4" s="625"/>
      <c r="AN4" s="604" t="s">
        <v>395</v>
      </c>
      <c r="AO4" s="623" t="s">
        <v>397</v>
      </c>
      <c r="AP4" s="624"/>
      <c r="AQ4" s="624"/>
      <c r="AR4" s="625"/>
      <c r="AS4" s="604" t="s">
        <v>395</v>
      </c>
      <c r="AT4" s="623" t="s">
        <v>397</v>
      </c>
      <c r="AU4" s="624"/>
      <c r="AV4" s="624"/>
      <c r="AW4" s="625"/>
      <c r="AX4" s="604" t="s">
        <v>395</v>
      </c>
      <c r="BA4" s="604" t="s">
        <v>395</v>
      </c>
    </row>
    <row r="5" spans="1:53" ht="14.25">
      <c r="A5" s="81"/>
      <c r="B5" s="604"/>
      <c r="C5" s="604"/>
      <c r="D5" s="604"/>
      <c r="E5" s="604" t="s">
        <v>700</v>
      </c>
      <c r="F5" s="604"/>
      <c r="G5" s="604"/>
      <c r="H5" s="638"/>
      <c r="I5" s="604" t="s">
        <v>700</v>
      </c>
      <c r="J5" s="604"/>
      <c r="K5" s="604"/>
      <c r="L5" s="638"/>
      <c r="M5" s="607"/>
      <c r="N5" s="604"/>
      <c r="O5" s="604"/>
      <c r="P5" s="623" t="s">
        <v>687</v>
      </c>
      <c r="Q5" s="624"/>
      <c r="R5" s="624"/>
      <c r="S5" s="625"/>
      <c r="T5" s="604"/>
      <c r="U5" s="623" t="s">
        <v>687</v>
      </c>
      <c r="V5" s="624"/>
      <c r="W5" s="624"/>
      <c r="X5" s="625"/>
      <c r="Y5" s="604"/>
      <c r="Z5" s="623" t="s">
        <v>687</v>
      </c>
      <c r="AA5" s="624"/>
      <c r="AB5" s="624"/>
      <c r="AC5" s="625"/>
      <c r="AD5" s="604"/>
      <c r="AE5" s="623" t="s">
        <v>687</v>
      </c>
      <c r="AF5" s="624"/>
      <c r="AG5" s="624"/>
      <c r="AH5" s="625"/>
      <c r="AI5" s="604"/>
      <c r="AJ5" s="623" t="s">
        <v>687</v>
      </c>
      <c r="AK5" s="624"/>
      <c r="AL5" s="624"/>
      <c r="AM5" s="625"/>
      <c r="AN5" s="604"/>
      <c r="AO5" s="623" t="s">
        <v>687</v>
      </c>
      <c r="AP5" s="624"/>
      <c r="AQ5" s="624"/>
      <c r="AR5" s="625"/>
      <c r="AS5" s="604"/>
      <c r="AT5" s="623" t="s">
        <v>687</v>
      </c>
      <c r="AU5" s="624"/>
      <c r="AV5" s="624"/>
      <c r="AW5" s="625"/>
      <c r="AX5" s="604"/>
      <c r="BA5" s="604"/>
    </row>
    <row r="6" spans="1:53" ht="14.25">
      <c r="A6" s="79"/>
      <c r="B6" s="604"/>
      <c r="C6" s="604"/>
      <c r="D6" s="604"/>
      <c r="E6" s="468" t="s">
        <v>701</v>
      </c>
      <c r="F6" s="468" t="s">
        <v>702</v>
      </c>
      <c r="G6" s="468" t="s">
        <v>703</v>
      </c>
      <c r="H6" s="639"/>
      <c r="I6" s="468" t="s">
        <v>701</v>
      </c>
      <c r="J6" s="468" t="s">
        <v>702</v>
      </c>
      <c r="K6" s="468" t="s">
        <v>703</v>
      </c>
      <c r="L6" s="639"/>
      <c r="M6" s="608"/>
      <c r="N6" s="604"/>
      <c r="O6" s="604"/>
      <c r="P6" s="468" t="s">
        <v>404</v>
      </c>
      <c r="Q6" s="468" t="s">
        <v>689</v>
      </c>
      <c r="R6" s="468" t="s">
        <v>690</v>
      </c>
      <c r="S6" s="468" t="s">
        <v>396</v>
      </c>
      <c r="T6" s="604"/>
      <c r="U6" s="468" t="s">
        <v>404</v>
      </c>
      <c r="V6" s="468" t="s">
        <v>689</v>
      </c>
      <c r="W6" s="468" t="s">
        <v>690</v>
      </c>
      <c r="X6" s="468" t="s">
        <v>396</v>
      </c>
      <c r="Y6" s="604"/>
      <c r="Z6" s="468" t="s">
        <v>404</v>
      </c>
      <c r="AA6" s="468" t="s">
        <v>689</v>
      </c>
      <c r="AB6" s="468" t="s">
        <v>690</v>
      </c>
      <c r="AC6" s="468" t="s">
        <v>396</v>
      </c>
      <c r="AD6" s="604"/>
      <c r="AE6" s="468" t="s">
        <v>404</v>
      </c>
      <c r="AF6" s="468" t="s">
        <v>689</v>
      </c>
      <c r="AG6" s="468" t="s">
        <v>690</v>
      </c>
      <c r="AH6" s="468" t="s">
        <v>396</v>
      </c>
      <c r="AI6" s="604"/>
      <c r="AJ6" s="468" t="s">
        <v>404</v>
      </c>
      <c r="AK6" s="468" t="s">
        <v>689</v>
      </c>
      <c r="AL6" s="468" t="s">
        <v>690</v>
      </c>
      <c r="AM6" s="468" t="s">
        <v>396</v>
      </c>
      <c r="AN6" s="604"/>
      <c r="AO6" s="468" t="s">
        <v>404</v>
      </c>
      <c r="AP6" s="468" t="s">
        <v>689</v>
      </c>
      <c r="AQ6" s="468" t="s">
        <v>690</v>
      </c>
      <c r="AR6" s="468" t="s">
        <v>396</v>
      </c>
      <c r="AS6" s="604"/>
      <c r="AT6" s="468" t="s">
        <v>404</v>
      </c>
      <c r="AU6" s="468" t="s">
        <v>689</v>
      </c>
      <c r="AV6" s="468" t="s">
        <v>690</v>
      </c>
      <c r="AW6" s="468" t="s">
        <v>396</v>
      </c>
      <c r="AX6" s="604"/>
      <c r="AZ6" s="520" t="s">
        <v>396</v>
      </c>
      <c r="BA6" s="604"/>
    </row>
    <row r="7" spans="1:53" ht="14.25">
      <c r="A7" s="81"/>
      <c r="B7" s="604" t="s">
        <v>135</v>
      </c>
      <c r="C7" s="469">
        <v>1</v>
      </c>
      <c r="D7" s="226" t="s">
        <v>639</v>
      </c>
      <c r="E7" s="182">
        <v>14</v>
      </c>
      <c r="F7" s="488">
        <v>1500</v>
      </c>
      <c r="G7" s="489">
        <v>107.1</v>
      </c>
      <c r="H7" s="618">
        <f>AVERAGE(G7:G21)</f>
        <v>99.199999999999989</v>
      </c>
      <c r="I7" s="513">
        <f t="shared" ref="I7:I20" si="0">IFERROR(AVERAGE(P7,U7,Z7,AE7,AJ7,AO7,AT7),"-")</f>
        <v>13.428571428571429</v>
      </c>
      <c r="J7" s="513">
        <f t="shared" ref="J7:J20" si="1">IFERROR(AVERAGE(Q7,V7,AA7,AF7,AK7,AP7,AU7),"-")</f>
        <v>1251.9791131555592</v>
      </c>
      <c r="K7" s="200">
        <f t="shared" ref="K7:K20" si="2">IFERROR(AVERAGE(R7,W7,AB7,AG7,AL7,AQ7,AV7),"-")</f>
        <v>93.350700868271915</v>
      </c>
      <c r="L7" s="618">
        <f>IFERROR(AVERAGE(K7:K21),"-")</f>
        <v>86.416426295417338</v>
      </c>
      <c r="M7" s="471">
        <f>RANK(K7, K$7:$K$21)</f>
        <v>1</v>
      </c>
      <c r="N7" s="604"/>
      <c r="O7" s="604"/>
      <c r="P7" s="521">
        <v>14</v>
      </c>
      <c r="Q7" s="182">
        <v>1241.7391304347825</v>
      </c>
      <c r="R7" s="182">
        <v>88.695652173913032</v>
      </c>
      <c r="S7" s="182">
        <v>1</v>
      </c>
      <c r="T7" s="688">
        <v>85.813020463255313</v>
      </c>
      <c r="U7" s="521">
        <v>13</v>
      </c>
      <c r="V7" s="182">
        <v>1263.1578947368412</v>
      </c>
      <c r="W7" s="182">
        <v>97.165991902833937</v>
      </c>
      <c r="X7" s="182">
        <v>1</v>
      </c>
      <c r="Y7" s="688">
        <v>87.587193379376004</v>
      </c>
      <c r="Z7" s="521">
        <v>13</v>
      </c>
      <c r="AA7" s="182">
        <v>1241.2499999999982</v>
      </c>
      <c r="AB7" s="182">
        <v>95.480769230769084</v>
      </c>
      <c r="AC7" s="182">
        <v>1</v>
      </c>
      <c r="AD7" s="688">
        <v>87.218914590705481</v>
      </c>
      <c r="AE7" s="521">
        <v>13</v>
      </c>
      <c r="AF7" s="182">
        <v>1259.9999999999991</v>
      </c>
      <c r="AG7" s="182">
        <v>96.923076923076849</v>
      </c>
      <c r="AH7" s="182">
        <v>1</v>
      </c>
      <c r="AI7" s="688">
        <v>87.194759574790496</v>
      </c>
      <c r="AJ7" s="521">
        <v>13</v>
      </c>
      <c r="AK7" s="182">
        <v>1234.285714285714</v>
      </c>
      <c r="AL7" s="182">
        <v>94.94505494505492</v>
      </c>
      <c r="AM7" s="182">
        <v>1</v>
      </c>
      <c r="AN7" s="688">
        <v>87.378743805214398</v>
      </c>
      <c r="AO7" s="521">
        <v>14</v>
      </c>
      <c r="AP7" s="182">
        <v>1228.421052631578</v>
      </c>
      <c r="AQ7" s="182">
        <v>87.744360902255579</v>
      </c>
      <c r="AR7" s="182">
        <v>1</v>
      </c>
      <c r="AS7" s="688">
        <v>83.929530849467454</v>
      </c>
      <c r="AT7" s="521">
        <v>14</v>
      </c>
      <c r="AU7" s="182">
        <v>1295.0000000000005</v>
      </c>
      <c r="AV7" s="182">
        <v>92.500000000000028</v>
      </c>
      <c r="AW7" s="182">
        <v>1</v>
      </c>
      <c r="AX7" s="688">
        <v>85.792821405112264</v>
      </c>
      <c r="AZ7" s="523" t="e">
        <f t="shared" ref="AZ7:AZ21" si="3">RANK(AY7, AY$7:AY$21)</f>
        <v>#N/A</v>
      </c>
      <c r="BA7" s="689" t="e">
        <f t="shared" ref="BA7" si="4">AVERAGE(AY7:AY21)</f>
        <v>#DIV/0!</v>
      </c>
    </row>
    <row r="8" spans="1:53" ht="15" customHeight="1">
      <c r="A8" s="81"/>
      <c r="B8" s="640"/>
      <c r="C8" s="469">
        <v>2</v>
      </c>
      <c r="D8" s="226" t="s">
        <v>675</v>
      </c>
      <c r="E8" s="182">
        <v>16</v>
      </c>
      <c r="F8" s="488">
        <v>1636</v>
      </c>
      <c r="G8" s="489">
        <v>102.3</v>
      </c>
      <c r="H8" s="619"/>
      <c r="I8" s="513">
        <f t="shared" si="0"/>
        <v>17</v>
      </c>
      <c r="J8" s="513">
        <f t="shared" si="1"/>
        <v>1436.6332329414174</v>
      </c>
      <c r="K8" s="200">
        <f t="shared" si="2"/>
        <v>84.507837231848072</v>
      </c>
      <c r="L8" s="619"/>
      <c r="M8" s="471">
        <f>RANK(K8, K$7:$K$21)</f>
        <v>2</v>
      </c>
      <c r="N8" s="604"/>
      <c r="O8" s="604"/>
      <c r="P8" s="521">
        <v>17</v>
      </c>
      <c r="Q8" s="182">
        <v>1461.3084112149534</v>
      </c>
      <c r="R8" s="182">
        <v>85.959318306761958</v>
      </c>
      <c r="S8" s="182">
        <v>2</v>
      </c>
      <c r="T8" s="688"/>
      <c r="U8" s="521">
        <v>17</v>
      </c>
      <c r="V8" s="182">
        <v>1436.9999999999993</v>
      </c>
      <c r="W8" s="182">
        <v>84.529411764705841</v>
      </c>
      <c r="X8" s="182">
        <v>2</v>
      </c>
      <c r="Y8" s="688"/>
      <c r="Z8" s="521">
        <v>17</v>
      </c>
      <c r="AA8" s="182">
        <v>1450.9756097560969</v>
      </c>
      <c r="AB8" s="182">
        <v>85.351506456240998</v>
      </c>
      <c r="AC8" s="182">
        <v>2</v>
      </c>
      <c r="AD8" s="688"/>
      <c r="AE8" s="521">
        <v>17</v>
      </c>
      <c r="AF8" s="182">
        <v>1420.2272727272727</v>
      </c>
      <c r="AG8" s="182">
        <v>83.542780748663105</v>
      </c>
      <c r="AH8" s="182">
        <v>2</v>
      </c>
      <c r="AI8" s="688"/>
      <c r="AJ8" s="521">
        <v>17</v>
      </c>
      <c r="AK8" s="182">
        <v>1432.6666666666665</v>
      </c>
      <c r="AL8" s="182">
        <v>84.274509803921561</v>
      </c>
      <c r="AM8" s="182">
        <v>2</v>
      </c>
      <c r="AN8" s="688"/>
      <c r="AO8" s="521">
        <v>17</v>
      </c>
      <c r="AP8" s="182">
        <v>1434.4186046511625</v>
      </c>
      <c r="AQ8" s="182">
        <v>84.377564979480141</v>
      </c>
      <c r="AR8" s="182">
        <v>2</v>
      </c>
      <c r="AS8" s="688"/>
      <c r="AT8" s="521">
        <v>17</v>
      </c>
      <c r="AU8" s="182">
        <v>1419.8360655737699</v>
      </c>
      <c r="AV8" s="182">
        <v>83.519768563162941</v>
      </c>
      <c r="AW8" s="182">
        <v>2</v>
      </c>
      <c r="AX8" s="688"/>
      <c r="AZ8" s="523" t="e">
        <f t="shared" si="3"/>
        <v>#N/A</v>
      </c>
      <c r="BA8" s="690"/>
    </row>
    <row r="9" spans="1:53" ht="14.25">
      <c r="A9" s="81"/>
      <c r="B9" s="640"/>
      <c r="C9" s="469">
        <v>3</v>
      </c>
      <c r="D9" s="226" t="s">
        <v>792</v>
      </c>
      <c r="E9" s="182">
        <v>17</v>
      </c>
      <c r="F9" s="488">
        <v>1500</v>
      </c>
      <c r="G9" s="489">
        <v>88.2</v>
      </c>
      <c r="H9" s="619"/>
      <c r="I9" s="513">
        <f t="shared" si="0"/>
        <v>16</v>
      </c>
      <c r="J9" s="513">
        <f t="shared" si="1"/>
        <v>1302.2518525781127</v>
      </c>
      <c r="K9" s="200">
        <f t="shared" si="2"/>
        <v>81.390740786132042</v>
      </c>
      <c r="L9" s="619"/>
      <c r="M9" s="471">
        <f>RANK(K9, K$7:$K$21)</f>
        <v>3</v>
      </c>
      <c r="N9" s="604"/>
      <c r="O9" s="604"/>
      <c r="P9" s="521">
        <v>16</v>
      </c>
      <c r="Q9" s="182">
        <v>1324.5454545454545</v>
      </c>
      <c r="R9" s="182">
        <v>82.784090909090907</v>
      </c>
      <c r="S9" s="182">
        <v>3</v>
      </c>
      <c r="T9" s="688"/>
      <c r="U9" s="521">
        <v>16</v>
      </c>
      <c r="V9" s="182">
        <v>1297.0588235294117</v>
      </c>
      <c r="W9" s="182">
        <v>81.066176470588232</v>
      </c>
      <c r="X9" s="182">
        <v>3</v>
      </c>
      <c r="Y9" s="688"/>
      <c r="Z9" s="521">
        <v>16</v>
      </c>
      <c r="AA9" s="182">
        <v>1293.1914893617022</v>
      </c>
      <c r="AB9" s="182">
        <v>80.824468085106389</v>
      </c>
      <c r="AC9" s="182">
        <v>3</v>
      </c>
      <c r="AD9" s="688"/>
      <c r="AE9" s="521">
        <v>16</v>
      </c>
      <c r="AF9" s="182">
        <v>1297.8947368421043</v>
      </c>
      <c r="AG9" s="182">
        <v>81.118421052631518</v>
      </c>
      <c r="AH9" s="182">
        <v>3</v>
      </c>
      <c r="AI9" s="688"/>
      <c r="AJ9" s="521">
        <v>16</v>
      </c>
      <c r="AK9" s="182">
        <v>1326.6666666666672</v>
      </c>
      <c r="AL9" s="182">
        <v>82.9166666666667</v>
      </c>
      <c r="AM9" s="182">
        <v>3</v>
      </c>
      <c r="AN9" s="688"/>
      <c r="AO9" s="521">
        <v>16</v>
      </c>
      <c r="AP9" s="182">
        <v>1274.6666666666665</v>
      </c>
      <c r="AQ9" s="182">
        <v>79.666666666666657</v>
      </c>
      <c r="AR9" s="182">
        <v>3</v>
      </c>
      <c r="AS9" s="688"/>
      <c r="AT9" s="521">
        <v>16</v>
      </c>
      <c r="AU9" s="182">
        <v>1301.7391304347814</v>
      </c>
      <c r="AV9" s="182">
        <v>81.358695652173836</v>
      </c>
      <c r="AW9" s="182">
        <v>3</v>
      </c>
      <c r="AX9" s="688"/>
      <c r="AZ9" s="523" t="e">
        <f t="shared" si="3"/>
        <v>#N/A</v>
      </c>
      <c r="BA9" s="690"/>
    </row>
    <row r="10" spans="1:53" ht="14.25">
      <c r="A10" s="81"/>
      <c r="B10" s="640"/>
      <c r="C10" s="469">
        <v>4</v>
      </c>
      <c r="D10" s="226"/>
      <c r="E10" s="182"/>
      <c r="F10" s="488"/>
      <c r="G10" s="489"/>
      <c r="H10" s="619"/>
      <c r="I10" s="513" t="str">
        <f t="shared" si="0"/>
        <v>-</v>
      </c>
      <c r="J10" s="513" t="str">
        <f t="shared" si="1"/>
        <v>-</v>
      </c>
      <c r="K10" s="200" t="str">
        <f t="shared" si="2"/>
        <v>-</v>
      </c>
      <c r="L10" s="619"/>
      <c r="M10" s="471" t="e">
        <f>RANK(K10, K$7:$K$21)</f>
        <v>#VALUE!</v>
      </c>
      <c r="N10" s="604"/>
      <c r="O10" s="604"/>
      <c r="P10" s="521" t="s">
        <v>822</v>
      </c>
      <c r="Q10" s="182" t="s">
        <v>822</v>
      </c>
      <c r="R10" s="182" t="s">
        <v>822</v>
      </c>
      <c r="S10" s="182" t="e">
        <v>#VALUE!</v>
      </c>
      <c r="T10" s="688"/>
      <c r="U10" s="521" t="s">
        <v>822</v>
      </c>
      <c r="V10" s="182" t="s">
        <v>822</v>
      </c>
      <c r="W10" s="182" t="s">
        <v>822</v>
      </c>
      <c r="X10" s="182" t="e">
        <v>#VALUE!</v>
      </c>
      <c r="Y10" s="688"/>
      <c r="Z10" s="521" t="s">
        <v>822</v>
      </c>
      <c r="AA10" s="182" t="s">
        <v>822</v>
      </c>
      <c r="AB10" s="182" t="s">
        <v>822</v>
      </c>
      <c r="AC10" s="182" t="e">
        <v>#VALUE!</v>
      </c>
      <c r="AD10" s="688"/>
      <c r="AE10" s="521" t="s">
        <v>822</v>
      </c>
      <c r="AF10" s="182" t="s">
        <v>822</v>
      </c>
      <c r="AG10" s="182" t="s">
        <v>822</v>
      </c>
      <c r="AH10" s="182" t="e">
        <v>#VALUE!</v>
      </c>
      <c r="AI10" s="688"/>
      <c r="AJ10" s="521" t="s">
        <v>822</v>
      </c>
      <c r="AK10" s="182" t="s">
        <v>822</v>
      </c>
      <c r="AL10" s="182" t="s">
        <v>822</v>
      </c>
      <c r="AM10" s="182" t="e">
        <v>#VALUE!</v>
      </c>
      <c r="AN10" s="688"/>
      <c r="AO10" s="521" t="s">
        <v>822</v>
      </c>
      <c r="AP10" s="182" t="s">
        <v>822</v>
      </c>
      <c r="AQ10" s="182" t="s">
        <v>822</v>
      </c>
      <c r="AR10" s="182" t="e">
        <v>#VALUE!</v>
      </c>
      <c r="AS10" s="688"/>
      <c r="AT10" s="521" t="s">
        <v>822</v>
      </c>
      <c r="AU10" s="182" t="s">
        <v>822</v>
      </c>
      <c r="AV10" s="182" t="s">
        <v>822</v>
      </c>
      <c r="AW10" s="182" t="e">
        <v>#VALUE!</v>
      </c>
      <c r="AX10" s="688"/>
      <c r="AZ10" s="523" t="e">
        <f t="shared" si="3"/>
        <v>#N/A</v>
      </c>
      <c r="BA10" s="690"/>
    </row>
    <row r="11" spans="1:53" ht="14.25">
      <c r="A11" s="81"/>
      <c r="B11" s="640"/>
      <c r="C11" s="469">
        <v>5</v>
      </c>
      <c r="D11" s="226"/>
      <c r="E11" s="182"/>
      <c r="F11" s="488"/>
      <c r="G11" s="489"/>
      <c r="H11" s="619"/>
      <c r="I11" s="513" t="str">
        <f t="shared" si="0"/>
        <v>-</v>
      </c>
      <c r="J11" s="513" t="str">
        <f t="shared" si="1"/>
        <v>-</v>
      </c>
      <c r="K11" s="200" t="str">
        <f t="shared" si="2"/>
        <v>-</v>
      </c>
      <c r="L11" s="619"/>
      <c r="M11" s="471" t="e">
        <f>RANK(K11, K$7:$K$21)</f>
        <v>#VALUE!</v>
      </c>
      <c r="N11" s="604"/>
      <c r="O11" s="604"/>
      <c r="P11" s="521" t="s">
        <v>822</v>
      </c>
      <c r="Q11" s="182" t="s">
        <v>822</v>
      </c>
      <c r="R11" s="182" t="s">
        <v>822</v>
      </c>
      <c r="S11" s="182" t="e">
        <v>#VALUE!</v>
      </c>
      <c r="T11" s="688"/>
      <c r="U11" s="521" t="s">
        <v>822</v>
      </c>
      <c r="V11" s="182" t="s">
        <v>822</v>
      </c>
      <c r="W11" s="182" t="s">
        <v>822</v>
      </c>
      <c r="X11" s="182" t="e">
        <v>#VALUE!</v>
      </c>
      <c r="Y11" s="688"/>
      <c r="Z11" s="521" t="s">
        <v>822</v>
      </c>
      <c r="AA11" s="182" t="s">
        <v>822</v>
      </c>
      <c r="AB11" s="182" t="s">
        <v>822</v>
      </c>
      <c r="AC11" s="182" t="e">
        <v>#VALUE!</v>
      </c>
      <c r="AD11" s="688"/>
      <c r="AE11" s="521" t="s">
        <v>822</v>
      </c>
      <c r="AF11" s="182" t="s">
        <v>822</v>
      </c>
      <c r="AG11" s="182" t="s">
        <v>822</v>
      </c>
      <c r="AH11" s="182" t="e">
        <v>#VALUE!</v>
      </c>
      <c r="AI11" s="688"/>
      <c r="AJ11" s="521" t="s">
        <v>822</v>
      </c>
      <c r="AK11" s="182" t="s">
        <v>822</v>
      </c>
      <c r="AL11" s="182" t="s">
        <v>822</v>
      </c>
      <c r="AM11" s="182" t="e">
        <v>#VALUE!</v>
      </c>
      <c r="AN11" s="688"/>
      <c r="AO11" s="521" t="s">
        <v>822</v>
      </c>
      <c r="AP11" s="182" t="s">
        <v>822</v>
      </c>
      <c r="AQ11" s="182" t="s">
        <v>822</v>
      </c>
      <c r="AR11" s="182" t="e">
        <v>#VALUE!</v>
      </c>
      <c r="AS11" s="688"/>
      <c r="AT11" s="521" t="s">
        <v>822</v>
      </c>
      <c r="AU11" s="182" t="s">
        <v>822</v>
      </c>
      <c r="AV11" s="182" t="s">
        <v>822</v>
      </c>
      <c r="AW11" s="182" t="e">
        <v>#VALUE!</v>
      </c>
      <c r="AX11" s="688"/>
      <c r="AZ11" s="523" t="e">
        <f t="shared" si="3"/>
        <v>#N/A</v>
      </c>
      <c r="BA11" s="690"/>
    </row>
    <row r="12" spans="1:53" ht="14.25">
      <c r="A12" s="81"/>
      <c r="B12" s="640"/>
      <c r="C12" s="469">
        <v>6</v>
      </c>
      <c r="D12" s="226"/>
      <c r="E12" s="182"/>
      <c r="F12" s="488"/>
      <c r="G12" s="489"/>
      <c r="H12" s="619"/>
      <c r="I12" s="513" t="str">
        <f t="shared" si="0"/>
        <v>-</v>
      </c>
      <c r="J12" s="513" t="str">
        <f t="shared" si="1"/>
        <v>-</v>
      </c>
      <c r="K12" s="200" t="str">
        <f t="shared" si="2"/>
        <v>-</v>
      </c>
      <c r="L12" s="619"/>
      <c r="M12" s="471" t="e">
        <f>RANK(K12, K$7:$K$21)</f>
        <v>#VALUE!</v>
      </c>
      <c r="N12" s="604"/>
      <c r="O12" s="604"/>
      <c r="P12" s="521" t="s">
        <v>822</v>
      </c>
      <c r="Q12" s="182" t="s">
        <v>822</v>
      </c>
      <c r="R12" s="182" t="s">
        <v>822</v>
      </c>
      <c r="S12" s="182" t="e">
        <v>#VALUE!</v>
      </c>
      <c r="T12" s="688"/>
      <c r="U12" s="521" t="s">
        <v>822</v>
      </c>
      <c r="V12" s="182" t="s">
        <v>822</v>
      </c>
      <c r="W12" s="182" t="s">
        <v>822</v>
      </c>
      <c r="X12" s="182" t="e">
        <v>#VALUE!</v>
      </c>
      <c r="Y12" s="688"/>
      <c r="Z12" s="521" t="s">
        <v>822</v>
      </c>
      <c r="AA12" s="182" t="s">
        <v>822</v>
      </c>
      <c r="AB12" s="182" t="s">
        <v>822</v>
      </c>
      <c r="AC12" s="182" t="e">
        <v>#VALUE!</v>
      </c>
      <c r="AD12" s="688"/>
      <c r="AE12" s="521" t="s">
        <v>822</v>
      </c>
      <c r="AF12" s="182" t="s">
        <v>822</v>
      </c>
      <c r="AG12" s="182" t="s">
        <v>822</v>
      </c>
      <c r="AH12" s="182" t="e">
        <v>#VALUE!</v>
      </c>
      <c r="AI12" s="688"/>
      <c r="AJ12" s="521" t="s">
        <v>822</v>
      </c>
      <c r="AK12" s="182" t="s">
        <v>822</v>
      </c>
      <c r="AL12" s="182" t="s">
        <v>822</v>
      </c>
      <c r="AM12" s="182" t="e">
        <v>#VALUE!</v>
      </c>
      <c r="AN12" s="688"/>
      <c r="AO12" s="521" t="s">
        <v>822</v>
      </c>
      <c r="AP12" s="182" t="s">
        <v>822</v>
      </c>
      <c r="AQ12" s="182" t="s">
        <v>822</v>
      </c>
      <c r="AR12" s="182" t="e">
        <v>#VALUE!</v>
      </c>
      <c r="AS12" s="688"/>
      <c r="AT12" s="521" t="s">
        <v>822</v>
      </c>
      <c r="AU12" s="182" t="s">
        <v>822</v>
      </c>
      <c r="AV12" s="182" t="s">
        <v>822</v>
      </c>
      <c r="AW12" s="182" t="e">
        <v>#VALUE!</v>
      </c>
      <c r="AX12" s="688"/>
      <c r="AZ12" s="523" t="e">
        <f t="shared" si="3"/>
        <v>#N/A</v>
      </c>
      <c r="BA12" s="690"/>
    </row>
    <row r="13" spans="1:53" ht="14.25">
      <c r="A13" s="81"/>
      <c r="B13" s="640"/>
      <c r="C13" s="469">
        <v>7</v>
      </c>
      <c r="D13" s="455"/>
      <c r="E13" s="472"/>
      <c r="F13" s="472"/>
      <c r="G13" s="472"/>
      <c r="H13" s="619"/>
      <c r="I13" s="513" t="str">
        <f t="shared" si="0"/>
        <v>-</v>
      </c>
      <c r="J13" s="513" t="str">
        <f t="shared" si="1"/>
        <v>-</v>
      </c>
      <c r="K13" s="200" t="str">
        <f t="shared" si="2"/>
        <v>-</v>
      </c>
      <c r="L13" s="619"/>
      <c r="M13" s="471" t="e">
        <f>RANK(K13, K$7:$K$21)</f>
        <v>#VALUE!</v>
      </c>
      <c r="N13" s="604"/>
      <c r="O13" s="604"/>
      <c r="P13" s="521" t="s">
        <v>822</v>
      </c>
      <c r="Q13" s="182" t="s">
        <v>822</v>
      </c>
      <c r="R13" s="182" t="s">
        <v>822</v>
      </c>
      <c r="S13" s="182" t="e">
        <v>#VALUE!</v>
      </c>
      <c r="T13" s="688"/>
      <c r="U13" s="521" t="s">
        <v>822</v>
      </c>
      <c r="V13" s="182" t="s">
        <v>822</v>
      </c>
      <c r="W13" s="182" t="s">
        <v>822</v>
      </c>
      <c r="X13" s="182"/>
      <c r="Y13" s="688"/>
      <c r="Z13" s="521" t="s">
        <v>822</v>
      </c>
      <c r="AA13" s="182" t="s">
        <v>822</v>
      </c>
      <c r="AB13" s="182" t="s">
        <v>822</v>
      </c>
      <c r="AC13" s="182"/>
      <c r="AD13" s="688"/>
      <c r="AE13" s="521" t="s">
        <v>822</v>
      </c>
      <c r="AF13" s="182" t="s">
        <v>822</v>
      </c>
      <c r="AG13" s="182" t="s">
        <v>822</v>
      </c>
      <c r="AH13" s="182"/>
      <c r="AI13" s="688"/>
      <c r="AJ13" s="521" t="s">
        <v>822</v>
      </c>
      <c r="AK13" s="182" t="s">
        <v>822</v>
      </c>
      <c r="AL13" s="182" t="s">
        <v>822</v>
      </c>
      <c r="AM13" s="182"/>
      <c r="AN13" s="688"/>
      <c r="AO13" s="521" t="s">
        <v>822</v>
      </c>
      <c r="AP13" s="182" t="s">
        <v>822</v>
      </c>
      <c r="AQ13" s="182" t="s">
        <v>822</v>
      </c>
      <c r="AR13" s="182"/>
      <c r="AS13" s="688"/>
      <c r="AT13" s="521" t="s">
        <v>822</v>
      </c>
      <c r="AU13" s="182" t="s">
        <v>822</v>
      </c>
      <c r="AV13" s="182" t="s">
        <v>822</v>
      </c>
      <c r="AW13" s="182"/>
      <c r="AX13" s="688"/>
      <c r="AZ13" s="523" t="e">
        <f t="shared" si="3"/>
        <v>#N/A</v>
      </c>
      <c r="BA13" s="690"/>
    </row>
    <row r="14" spans="1:53" ht="14.25">
      <c r="A14" s="81"/>
      <c r="B14" s="640"/>
      <c r="C14" s="469">
        <v>8</v>
      </c>
      <c r="D14" s="455"/>
      <c r="E14" s="472"/>
      <c r="F14" s="472"/>
      <c r="G14" s="472"/>
      <c r="H14" s="619"/>
      <c r="I14" s="513" t="str">
        <f t="shared" si="0"/>
        <v>-</v>
      </c>
      <c r="J14" s="513" t="str">
        <f t="shared" si="1"/>
        <v>-</v>
      </c>
      <c r="K14" s="200" t="str">
        <f t="shared" si="2"/>
        <v>-</v>
      </c>
      <c r="L14" s="619"/>
      <c r="M14" s="471" t="e">
        <f>RANK(K14, K$7:$K$21)</f>
        <v>#VALUE!</v>
      </c>
      <c r="N14" s="604"/>
      <c r="O14" s="604"/>
      <c r="P14" s="521" t="s">
        <v>822</v>
      </c>
      <c r="Q14" s="182" t="s">
        <v>822</v>
      </c>
      <c r="R14" s="182" t="s">
        <v>822</v>
      </c>
      <c r="S14" s="182" t="e">
        <v>#VALUE!</v>
      </c>
      <c r="T14" s="688"/>
      <c r="U14" s="521" t="s">
        <v>822</v>
      </c>
      <c r="V14" s="182" t="s">
        <v>822</v>
      </c>
      <c r="W14" s="182" t="s">
        <v>822</v>
      </c>
      <c r="X14" s="182"/>
      <c r="Y14" s="688"/>
      <c r="Z14" s="521" t="s">
        <v>822</v>
      </c>
      <c r="AA14" s="182" t="s">
        <v>822</v>
      </c>
      <c r="AB14" s="182" t="s">
        <v>822</v>
      </c>
      <c r="AC14" s="182"/>
      <c r="AD14" s="688"/>
      <c r="AE14" s="521" t="s">
        <v>822</v>
      </c>
      <c r="AF14" s="182" t="s">
        <v>822</v>
      </c>
      <c r="AG14" s="182" t="s">
        <v>822</v>
      </c>
      <c r="AH14" s="182"/>
      <c r="AI14" s="688"/>
      <c r="AJ14" s="521" t="s">
        <v>822</v>
      </c>
      <c r="AK14" s="182" t="s">
        <v>822</v>
      </c>
      <c r="AL14" s="182" t="s">
        <v>822</v>
      </c>
      <c r="AM14" s="182"/>
      <c r="AN14" s="688"/>
      <c r="AO14" s="521" t="s">
        <v>822</v>
      </c>
      <c r="AP14" s="182" t="s">
        <v>822</v>
      </c>
      <c r="AQ14" s="182" t="s">
        <v>822</v>
      </c>
      <c r="AR14" s="182"/>
      <c r="AS14" s="688"/>
      <c r="AT14" s="521" t="s">
        <v>822</v>
      </c>
      <c r="AU14" s="182" t="s">
        <v>822</v>
      </c>
      <c r="AV14" s="182" t="s">
        <v>822</v>
      </c>
      <c r="AW14" s="182"/>
      <c r="AX14" s="688"/>
      <c r="AZ14" s="523" t="e">
        <f t="shared" si="3"/>
        <v>#N/A</v>
      </c>
      <c r="BA14" s="690"/>
    </row>
    <row r="15" spans="1:53" ht="14.25">
      <c r="A15" s="81"/>
      <c r="B15" s="640"/>
      <c r="C15" s="469">
        <v>9</v>
      </c>
      <c r="D15" s="455"/>
      <c r="E15" s="472"/>
      <c r="F15" s="472"/>
      <c r="G15" s="472"/>
      <c r="H15" s="619"/>
      <c r="I15" s="513" t="str">
        <f t="shared" si="0"/>
        <v>-</v>
      </c>
      <c r="J15" s="513" t="str">
        <f t="shared" si="1"/>
        <v>-</v>
      </c>
      <c r="K15" s="200" t="str">
        <f t="shared" si="2"/>
        <v>-</v>
      </c>
      <c r="L15" s="619"/>
      <c r="M15" s="471" t="e">
        <f>RANK(K15, K$7:$K$21)</f>
        <v>#VALUE!</v>
      </c>
      <c r="N15" s="604"/>
      <c r="O15" s="604"/>
      <c r="P15" s="521" t="s">
        <v>822</v>
      </c>
      <c r="Q15" s="182" t="s">
        <v>822</v>
      </c>
      <c r="R15" s="182" t="s">
        <v>822</v>
      </c>
      <c r="S15" s="182" t="e">
        <v>#VALUE!</v>
      </c>
      <c r="T15" s="688"/>
      <c r="U15" s="521" t="s">
        <v>822</v>
      </c>
      <c r="V15" s="182" t="s">
        <v>822</v>
      </c>
      <c r="W15" s="182" t="s">
        <v>822</v>
      </c>
      <c r="X15" s="182"/>
      <c r="Y15" s="688"/>
      <c r="Z15" s="521" t="s">
        <v>822</v>
      </c>
      <c r="AA15" s="182" t="s">
        <v>822</v>
      </c>
      <c r="AB15" s="182" t="s">
        <v>822</v>
      </c>
      <c r="AC15" s="182"/>
      <c r="AD15" s="688"/>
      <c r="AE15" s="521" t="s">
        <v>822</v>
      </c>
      <c r="AF15" s="182" t="s">
        <v>822</v>
      </c>
      <c r="AG15" s="182" t="s">
        <v>822</v>
      </c>
      <c r="AH15" s="182"/>
      <c r="AI15" s="688"/>
      <c r="AJ15" s="521" t="s">
        <v>822</v>
      </c>
      <c r="AK15" s="182" t="s">
        <v>822</v>
      </c>
      <c r="AL15" s="182" t="s">
        <v>822</v>
      </c>
      <c r="AM15" s="182"/>
      <c r="AN15" s="688"/>
      <c r="AO15" s="521" t="s">
        <v>822</v>
      </c>
      <c r="AP15" s="182" t="s">
        <v>822</v>
      </c>
      <c r="AQ15" s="182" t="s">
        <v>822</v>
      </c>
      <c r="AR15" s="182"/>
      <c r="AS15" s="688"/>
      <c r="AT15" s="521" t="s">
        <v>822</v>
      </c>
      <c r="AU15" s="182" t="s">
        <v>822</v>
      </c>
      <c r="AV15" s="182" t="s">
        <v>822</v>
      </c>
      <c r="AW15" s="182"/>
      <c r="AX15" s="688"/>
      <c r="AZ15" s="523" t="e">
        <f t="shared" si="3"/>
        <v>#N/A</v>
      </c>
      <c r="BA15" s="690"/>
    </row>
    <row r="16" spans="1:53" ht="14.25">
      <c r="A16" s="81"/>
      <c r="B16" s="640"/>
      <c r="C16" s="469">
        <v>10</v>
      </c>
      <c r="D16" s="455"/>
      <c r="E16" s="472"/>
      <c r="F16" s="472"/>
      <c r="G16" s="472"/>
      <c r="H16" s="619"/>
      <c r="I16" s="513" t="str">
        <f t="shared" si="0"/>
        <v>-</v>
      </c>
      <c r="J16" s="513" t="str">
        <f t="shared" si="1"/>
        <v>-</v>
      </c>
      <c r="K16" s="200" t="str">
        <f t="shared" si="2"/>
        <v>-</v>
      </c>
      <c r="L16" s="619"/>
      <c r="M16" s="471" t="e">
        <f>RANK(K16, K$7:$K$21)</f>
        <v>#VALUE!</v>
      </c>
      <c r="N16" s="604"/>
      <c r="O16" s="604"/>
      <c r="P16" s="521" t="s">
        <v>822</v>
      </c>
      <c r="Q16" s="182" t="s">
        <v>822</v>
      </c>
      <c r="R16" s="182" t="s">
        <v>822</v>
      </c>
      <c r="S16" s="182" t="e">
        <v>#VALUE!</v>
      </c>
      <c r="T16" s="688"/>
      <c r="U16" s="521" t="s">
        <v>822</v>
      </c>
      <c r="V16" s="182" t="s">
        <v>822</v>
      </c>
      <c r="W16" s="182" t="s">
        <v>822</v>
      </c>
      <c r="X16" s="182"/>
      <c r="Y16" s="688"/>
      <c r="Z16" s="521" t="s">
        <v>822</v>
      </c>
      <c r="AA16" s="182" t="s">
        <v>822</v>
      </c>
      <c r="AB16" s="182" t="s">
        <v>822</v>
      </c>
      <c r="AC16" s="182"/>
      <c r="AD16" s="688"/>
      <c r="AE16" s="521" t="s">
        <v>822</v>
      </c>
      <c r="AF16" s="182" t="s">
        <v>822</v>
      </c>
      <c r="AG16" s="182" t="s">
        <v>822</v>
      </c>
      <c r="AH16" s="182"/>
      <c r="AI16" s="688"/>
      <c r="AJ16" s="521" t="s">
        <v>822</v>
      </c>
      <c r="AK16" s="182" t="s">
        <v>822</v>
      </c>
      <c r="AL16" s="182" t="s">
        <v>822</v>
      </c>
      <c r="AM16" s="182"/>
      <c r="AN16" s="688"/>
      <c r="AO16" s="521" t="s">
        <v>822</v>
      </c>
      <c r="AP16" s="182" t="s">
        <v>822</v>
      </c>
      <c r="AQ16" s="182" t="s">
        <v>822</v>
      </c>
      <c r="AR16" s="182"/>
      <c r="AS16" s="688"/>
      <c r="AT16" s="521" t="s">
        <v>822</v>
      </c>
      <c r="AU16" s="182" t="s">
        <v>822</v>
      </c>
      <c r="AV16" s="182" t="s">
        <v>822</v>
      </c>
      <c r="AW16" s="182"/>
      <c r="AX16" s="688"/>
      <c r="AZ16" s="523" t="e">
        <f t="shared" si="3"/>
        <v>#N/A</v>
      </c>
      <c r="BA16" s="690"/>
    </row>
    <row r="17" spans="2:53">
      <c r="B17" s="640"/>
      <c r="C17" s="469">
        <v>11</v>
      </c>
      <c r="D17" s="455"/>
      <c r="E17" s="472"/>
      <c r="F17" s="472"/>
      <c r="G17" s="472"/>
      <c r="H17" s="619"/>
      <c r="I17" s="513" t="str">
        <f t="shared" si="0"/>
        <v>-</v>
      </c>
      <c r="J17" s="513" t="str">
        <f t="shared" si="1"/>
        <v>-</v>
      </c>
      <c r="K17" s="200" t="str">
        <f t="shared" si="2"/>
        <v>-</v>
      </c>
      <c r="L17" s="619"/>
      <c r="M17" s="471" t="e">
        <f>RANK(K17, K$7:$K$21)</f>
        <v>#VALUE!</v>
      </c>
      <c r="N17" s="604"/>
      <c r="O17" s="604"/>
      <c r="P17" s="521" t="s">
        <v>822</v>
      </c>
      <c r="Q17" s="182" t="s">
        <v>822</v>
      </c>
      <c r="R17" s="182" t="s">
        <v>822</v>
      </c>
      <c r="S17" s="182"/>
      <c r="T17" s="688"/>
      <c r="U17" s="521" t="s">
        <v>822</v>
      </c>
      <c r="V17" s="182" t="s">
        <v>822</v>
      </c>
      <c r="W17" s="182" t="s">
        <v>822</v>
      </c>
      <c r="X17" s="182"/>
      <c r="Y17" s="688"/>
      <c r="Z17" s="521" t="s">
        <v>822</v>
      </c>
      <c r="AA17" s="182" t="s">
        <v>822</v>
      </c>
      <c r="AB17" s="182" t="s">
        <v>822</v>
      </c>
      <c r="AC17" s="182"/>
      <c r="AD17" s="688"/>
      <c r="AE17" s="521" t="s">
        <v>822</v>
      </c>
      <c r="AF17" s="182" t="s">
        <v>822</v>
      </c>
      <c r="AG17" s="182" t="s">
        <v>822</v>
      </c>
      <c r="AH17" s="182"/>
      <c r="AI17" s="688"/>
      <c r="AJ17" s="521" t="s">
        <v>822</v>
      </c>
      <c r="AK17" s="182" t="s">
        <v>822</v>
      </c>
      <c r="AL17" s="182" t="s">
        <v>822</v>
      </c>
      <c r="AM17" s="182"/>
      <c r="AN17" s="688"/>
      <c r="AO17" s="521" t="s">
        <v>822</v>
      </c>
      <c r="AP17" s="182" t="s">
        <v>822</v>
      </c>
      <c r="AQ17" s="182" t="s">
        <v>822</v>
      </c>
      <c r="AR17" s="182"/>
      <c r="AS17" s="688"/>
      <c r="AT17" s="521" t="s">
        <v>822</v>
      </c>
      <c r="AU17" s="182" t="s">
        <v>822</v>
      </c>
      <c r="AV17" s="182" t="s">
        <v>822</v>
      </c>
      <c r="AW17" s="182"/>
      <c r="AX17" s="688"/>
      <c r="AZ17" s="523" t="e">
        <f t="shared" si="3"/>
        <v>#N/A</v>
      </c>
      <c r="BA17" s="690"/>
    </row>
    <row r="18" spans="2:53">
      <c r="B18" s="640"/>
      <c r="C18" s="469">
        <v>12</v>
      </c>
      <c r="D18" s="455"/>
      <c r="E18" s="472"/>
      <c r="F18" s="472"/>
      <c r="G18" s="472"/>
      <c r="H18" s="619"/>
      <c r="I18" s="513" t="str">
        <f t="shared" si="0"/>
        <v>-</v>
      </c>
      <c r="J18" s="513" t="str">
        <f t="shared" si="1"/>
        <v>-</v>
      </c>
      <c r="K18" s="200" t="str">
        <f t="shared" si="2"/>
        <v>-</v>
      </c>
      <c r="L18" s="619"/>
      <c r="M18" s="471" t="e">
        <f>RANK(K18, K$7:$K$21)</f>
        <v>#VALUE!</v>
      </c>
      <c r="N18" s="604"/>
      <c r="O18" s="604"/>
      <c r="P18" s="521" t="s">
        <v>822</v>
      </c>
      <c r="Q18" s="182" t="s">
        <v>822</v>
      </c>
      <c r="R18" s="182" t="s">
        <v>822</v>
      </c>
      <c r="S18" s="182"/>
      <c r="T18" s="688"/>
      <c r="U18" s="521" t="s">
        <v>822</v>
      </c>
      <c r="V18" s="182" t="s">
        <v>822</v>
      </c>
      <c r="W18" s="182" t="s">
        <v>822</v>
      </c>
      <c r="X18" s="182"/>
      <c r="Y18" s="688"/>
      <c r="Z18" s="521" t="s">
        <v>822</v>
      </c>
      <c r="AA18" s="182" t="s">
        <v>822</v>
      </c>
      <c r="AB18" s="182" t="s">
        <v>822</v>
      </c>
      <c r="AC18" s="182"/>
      <c r="AD18" s="688"/>
      <c r="AE18" s="521" t="s">
        <v>822</v>
      </c>
      <c r="AF18" s="182" t="s">
        <v>822</v>
      </c>
      <c r="AG18" s="182" t="s">
        <v>822</v>
      </c>
      <c r="AH18" s="182"/>
      <c r="AI18" s="688"/>
      <c r="AJ18" s="521" t="s">
        <v>822</v>
      </c>
      <c r="AK18" s="182" t="s">
        <v>822</v>
      </c>
      <c r="AL18" s="182" t="s">
        <v>822</v>
      </c>
      <c r="AM18" s="182"/>
      <c r="AN18" s="688"/>
      <c r="AO18" s="521" t="s">
        <v>822</v>
      </c>
      <c r="AP18" s="182" t="s">
        <v>822</v>
      </c>
      <c r="AQ18" s="182" t="s">
        <v>822</v>
      </c>
      <c r="AR18" s="182"/>
      <c r="AS18" s="688"/>
      <c r="AT18" s="521" t="s">
        <v>822</v>
      </c>
      <c r="AU18" s="182" t="s">
        <v>822</v>
      </c>
      <c r="AV18" s="182" t="s">
        <v>822</v>
      </c>
      <c r="AW18" s="182"/>
      <c r="AX18" s="688"/>
      <c r="AZ18" s="523" t="e">
        <f t="shared" si="3"/>
        <v>#N/A</v>
      </c>
      <c r="BA18" s="690"/>
    </row>
    <row r="19" spans="2:53">
      <c r="B19" s="640"/>
      <c r="C19" s="469">
        <v>13</v>
      </c>
      <c r="D19" s="455"/>
      <c r="E19" s="472"/>
      <c r="F19" s="472"/>
      <c r="G19" s="472"/>
      <c r="H19" s="619"/>
      <c r="I19" s="513" t="str">
        <f t="shared" si="0"/>
        <v>-</v>
      </c>
      <c r="J19" s="513" t="str">
        <f t="shared" si="1"/>
        <v>-</v>
      </c>
      <c r="K19" s="200" t="str">
        <f t="shared" si="2"/>
        <v>-</v>
      </c>
      <c r="L19" s="619"/>
      <c r="M19" s="471" t="e">
        <f>RANK(K19, K$7:$K$21)</f>
        <v>#VALUE!</v>
      </c>
      <c r="N19" s="604"/>
      <c r="O19" s="604"/>
      <c r="P19" s="521" t="s">
        <v>822</v>
      </c>
      <c r="Q19" s="182" t="s">
        <v>822</v>
      </c>
      <c r="R19" s="182" t="s">
        <v>822</v>
      </c>
      <c r="S19" s="182"/>
      <c r="T19" s="688"/>
      <c r="U19" s="521" t="s">
        <v>822</v>
      </c>
      <c r="V19" s="182" t="s">
        <v>822</v>
      </c>
      <c r="W19" s="182" t="s">
        <v>822</v>
      </c>
      <c r="X19" s="182"/>
      <c r="Y19" s="688"/>
      <c r="Z19" s="521" t="s">
        <v>822</v>
      </c>
      <c r="AA19" s="182" t="s">
        <v>822</v>
      </c>
      <c r="AB19" s="182" t="s">
        <v>822</v>
      </c>
      <c r="AC19" s="182"/>
      <c r="AD19" s="688"/>
      <c r="AE19" s="521" t="s">
        <v>822</v>
      </c>
      <c r="AF19" s="182" t="s">
        <v>822</v>
      </c>
      <c r="AG19" s="182" t="s">
        <v>822</v>
      </c>
      <c r="AH19" s="182"/>
      <c r="AI19" s="688"/>
      <c r="AJ19" s="521" t="s">
        <v>822</v>
      </c>
      <c r="AK19" s="182" t="s">
        <v>822</v>
      </c>
      <c r="AL19" s="182" t="s">
        <v>822</v>
      </c>
      <c r="AM19" s="182"/>
      <c r="AN19" s="688"/>
      <c r="AO19" s="521" t="s">
        <v>822</v>
      </c>
      <c r="AP19" s="182" t="s">
        <v>822</v>
      </c>
      <c r="AQ19" s="182" t="s">
        <v>822</v>
      </c>
      <c r="AR19" s="182"/>
      <c r="AS19" s="688"/>
      <c r="AT19" s="521" t="s">
        <v>822</v>
      </c>
      <c r="AU19" s="182" t="s">
        <v>822</v>
      </c>
      <c r="AV19" s="182" t="s">
        <v>822</v>
      </c>
      <c r="AW19" s="182"/>
      <c r="AX19" s="688"/>
      <c r="AZ19" s="523" t="e">
        <f t="shared" si="3"/>
        <v>#N/A</v>
      </c>
      <c r="BA19" s="690"/>
    </row>
    <row r="20" spans="2:53">
      <c r="B20" s="640"/>
      <c r="C20" s="469">
        <v>14</v>
      </c>
      <c r="D20" s="455"/>
      <c r="E20" s="472"/>
      <c r="F20" s="472"/>
      <c r="G20" s="472"/>
      <c r="H20" s="619"/>
      <c r="I20" s="513" t="str">
        <f t="shared" si="0"/>
        <v>-</v>
      </c>
      <c r="J20" s="513" t="str">
        <f t="shared" si="1"/>
        <v>-</v>
      </c>
      <c r="K20" s="200" t="str">
        <f t="shared" si="2"/>
        <v>-</v>
      </c>
      <c r="L20" s="619"/>
      <c r="M20" s="471" t="e">
        <f>RANK(K20, K$7:$K$21)</f>
        <v>#VALUE!</v>
      </c>
      <c r="N20" s="604"/>
      <c r="O20" s="604"/>
      <c r="P20" s="521" t="s">
        <v>822</v>
      </c>
      <c r="Q20" s="182" t="s">
        <v>822</v>
      </c>
      <c r="R20" s="182" t="s">
        <v>822</v>
      </c>
      <c r="S20" s="182"/>
      <c r="T20" s="688"/>
      <c r="U20" s="521" t="s">
        <v>822</v>
      </c>
      <c r="V20" s="182" t="s">
        <v>822</v>
      </c>
      <c r="W20" s="182" t="s">
        <v>822</v>
      </c>
      <c r="X20" s="182"/>
      <c r="Y20" s="688"/>
      <c r="Z20" s="521" t="s">
        <v>822</v>
      </c>
      <c r="AA20" s="182" t="s">
        <v>822</v>
      </c>
      <c r="AB20" s="182" t="s">
        <v>822</v>
      </c>
      <c r="AC20" s="182"/>
      <c r="AD20" s="688"/>
      <c r="AE20" s="521" t="s">
        <v>822</v>
      </c>
      <c r="AF20" s="182" t="s">
        <v>822</v>
      </c>
      <c r="AG20" s="182" t="s">
        <v>822</v>
      </c>
      <c r="AH20" s="182"/>
      <c r="AI20" s="688"/>
      <c r="AJ20" s="521" t="s">
        <v>822</v>
      </c>
      <c r="AK20" s="182" t="s">
        <v>822</v>
      </c>
      <c r="AL20" s="182" t="s">
        <v>822</v>
      </c>
      <c r="AM20" s="182"/>
      <c r="AN20" s="688"/>
      <c r="AO20" s="521" t="s">
        <v>822</v>
      </c>
      <c r="AP20" s="182" t="s">
        <v>822</v>
      </c>
      <c r="AQ20" s="182" t="s">
        <v>822</v>
      </c>
      <c r="AR20" s="182"/>
      <c r="AS20" s="688"/>
      <c r="AT20" s="521" t="s">
        <v>822</v>
      </c>
      <c r="AU20" s="182" t="s">
        <v>822</v>
      </c>
      <c r="AV20" s="182" t="s">
        <v>822</v>
      </c>
      <c r="AW20" s="182"/>
      <c r="AX20" s="688"/>
      <c r="AZ20" s="523" t="e">
        <f t="shared" si="3"/>
        <v>#N/A</v>
      </c>
      <c r="BA20" s="690"/>
    </row>
    <row r="21" spans="2:53">
      <c r="B21" s="640"/>
      <c r="C21" s="469">
        <v>15</v>
      </c>
      <c r="D21" s="455"/>
      <c r="E21" s="472"/>
      <c r="F21" s="472"/>
      <c r="G21" s="472"/>
      <c r="H21" s="679"/>
      <c r="I21" s="469"/>
      <c r="J21" s="469"/>
      <c r="K21" s="469"/>
      <c r="L21" s="679"/>
      <c r="M21" s="471" t="e">
        <f>RANK(K21, K$7:$K$21)</f>
        <v>#N/A</v>
      </c>
      <c r="N21" s="604"/>
      <c r="O21" s="604"/>
      <c r="P21" s="521" t="s">
        <v>822</v>
      </c>
      <c r="Q21" s="182" t="s">
        <v>822</v>
      </c>
      <c r="R21" s="182" t="s">
        <v>822</v>
      </c>
      <c r="S21" s="182"/>
      <c r="T21" s="688"/>
      <c r="U21" s="521" t="s">
        <v>822</v>
      </c>
      <c r="V21" s="182" t="s">
        <v>822</v>
      </c>
      <c r="W21" s="182" t="s">
        <v>822</v>
      </c>
      <c r="X21" s="182"/>
      <c r="Y21" s="688"/>
      <c r="Z21" s="521" t="s">
        <v>822</v>
      </c>
      <c r="AA21" s="182" t="s">
        <v>822</v>
      </c>
      <c r="AB21" s="182" t="s">
        <v>822</v>
      </c>
      <c r="AC21" s="182"/>
      <c r="AD21" s="688"/>
      <c r="AE21" s="521" t="s">
        <v>822</v>
      </c>
      <c r="AF21" s="182" t="s">
        <v>822</v>
      </c>
      <c r="AG21" s="182" t="s">
        <v>822</v>
      </c>
      <c r="AH21" s="182"/>
      <c r="AI21" s="688"/>
      <c r="AJ21" s="521" t="s">
        <v>822</v>
      </c>
      <c r="AK21" s="182" t="s">
        <v>822</v>
      </c>
      <c r="AL21" s="182" t="s">
        <v>822</v>
      </c>
      <c r="AM21" s="182"/>
      <c r="AN21" s="688"/>
      <c r="AO21" s="521" t="s">
        <v>822</v>
      </c>
      <c r="AP21" s="182" t="s">
        <v>822</v>
      </c>
      <c r="AQ21" s="182" t="s">
        <v>822</v>
      </c>
      <c r="AR21" s="182"/>
      <c r="AS21" s="688"/>
      <c r="AT21" s="521" t="s">
        <v>822</v>
      </c>
      <c r="AU21" s="182" t="s">
        <v>822</v>
      </c>
      <c r="AV21" s="182" t="s">
        <v>822</v>
      </c>
      <c r="AW21" s="182"/>
      <c r="AX21" s="688"/>
      <c r="AZ21" s="523" t="e">
        <f t="shared" si="3"/>
        <v>#N/A</v>
      </c>
      <c r="BA21" s="691"/>
    </row>
    <row r="22" spans="2:53" ht="15.75">
      <c r="B22" s="648" t="s">
        <v>163</v>
      </c>
      <c r="C22" s="649"/>
      <c r="D22" s="649"/>
      <c r="E22" s="649"/>
      <c r="F22" s="649"/>
      <c r="G22" s="649"/>
      <c r="H22" s="649"/>
      <c r="I22" s="203"/>
      <c r="J22" s="203"/>
      <c r="K22" s="203"/>
      <c r="L22" s="203"/>
      <c r="M22" s="204"/>
      <c r="N22" s="606" t="s">
        <v>156</v>
      </c>
      <c r="O22" s="606" t="s">
        <v>105</v>
      </c>
      <c r="P22" s="632">
        <f>P2+7</f>
        <v>46119</v>
      </c>
      <c r="Q22" s="610"/>
      <c r="R22" s="610"/>
      <c r="S22" s="610"/>
      <c r="T22" s="610"/>
      <c r="U22" s="629">
        <f>P22+1</f>
        <v>46120</v>
      </c>
      <c r="V22" s="630"/>
      <c r="W22" s="630"/>
      <c r="X22" s="630"/>
      <c r="Y22" s="631"/>
      <c r="Z22" s="629">
        <f>U22+1</f>
        <v>46121</v>
      </c>
      <c r="AA22" s="630"/>
      <c r="AB22" s="630"/>
      <c r="AC22" s="630"/>
      <c r="AD22" s="631"/>
      <c r="AE22" s="629">
        <f>Z22+1</f>
        <v>46122</v>
      </c>
      <c r="AF22" s="630"/>
      <c r="AG22" s="630"/>
      <c r="AH22" s="630"/>
      <c r="AI22" s="631"/>
      <c r="AJ22" s="629">
        <f>AE22+1</f>
        <v>46123</v>
      </c>
      <c r="AK22" s="630"/>
      <c r="AL22" s="630"/>
      <c r="AM22" s="630"/>
      <c r="AN22" s="631"/>
      <c r="AO22" s="629">
        <f>AJ22+1</f>
        <v>46124</v>
      </c>
      <c r="AP22" s="630"/>
      <c r="AQ22" s="630"/>
      <c r="AR22" s="630"/>
      <c r="AS22" s="631"/>
      <c r="AT22" s="629">
        <f>AO22+1</f>
        <v>46125</v>
      </c>
      <c r="AU22" s="630"/>
      <c r="AV22" s="630"/>
      <c r="AW22" s="630"/>
      <c r="AX22" s="631"/>
    </row>
    <row r="23" spans="2:53" ht="15.75">
      <c r="B23" s="636"/>
      <c r="C23" s="636"/>
      <c r="D23" s="636"/>
      <c r="E23" s="636"/>
      <c r="F23" s="636"/>
      <c r="G23" s="636"/>
      <c r="H23" s="636"/>
      <c r="I23" s="205"/>
      <c r="J23" s="205"/>
      <c r="K23" s="205"/>
      <c r="L23" s="205"/>
      <c r="M23" s="206"/>
      <c r="N23" s="608"/>
      <c r="O23" s="608"/>
      <c r="P23" s="632" t="s">
        <v>336</v>
      </c>
      <c r="Q23" s="610"/>
      <c r="R23" s="610"/>
      <c r="S23" s="610"/>
      <c r="T23" s="610"/>
      <c r="U23" s="632" t="s">
        <v>337</v>
      </c>
      <c r="V23" s="610"/>
      <c r="W23" s="610"/>
      <c r="X23" s="610"/>
      <c r="Y23" s="610"/>
      <c r="Z23" s="632" t="s">
        <v>338</v>
      </c>
      <c r="AA23" s="610"/>
      <c r="AB23" s="610"/>
      <c r="AC23" s="610"/>
      <c r="AD23" s="610"/>
      <c r="AE23" s="632" t="s">
        <v>339</v>
      </c>
      <c r="AF23" s="610"/>
      <c r="AG23" s="610"/>
      <c r="AH23" s="610"/>
      <c r="AI23" s="610"/>
      <c r="AJ23" s="632" t="s">
        <v>340</v>
      </c>
      <c r="AK23" s="610"/>
      <c r="AL23" s="610"/>
      <c r="AM23" s="610"/>
      <c r="AN23" s="610"/>
      <c r="AO23" s="632" t="s">
        <v>341</v>
      </c>
      <c r="AP23" s="610"/>
      <c r="AQ23" s="610"/>
      <c r="AR23" s="610"/>
      <c r="AS23" s="610"/>
      <c r="AT23" s="632" t="s">
        <v>342</v>
      </c>
      <c r="AU23" s="610"/>
      <c r="AV23" s="610"/>
      <c r="AW23" s="610"/>
      <c r="AX23" s="610"/>
    </row>
    <row r="24" spans="2:53">
      <c r="B24" s="604" t="s">
        <v>398</v>
      </c>
      <c r="C24" s="604" t="s">
        <v>408</v>
      </c>
      <c r="D24" s="604"/>
      <c r="E24" s="604" t="s">
        <v>399</v>
      </c>
      <c r="F24" s="604"/>
      <c r="G24" s="604"/>
      <c r="H24" s="637" t="s">
        <v>395</v>
      </c>
      <c r="I24" s="656" t="s">
        <v>400</v>
      </c>
      <c r="J24" s="656"/>
      <c r="K24" s="656"/>
      <c r="L24" s="657" t="s">
        <v>395</v>
      </c>
      <c r="M24" s="642" t="s">
        <v>396</v>
      </c>
      <c r="N24" s="604"/>
      <c r="O24" s="604" t="s">
        <v>401</v>
      </c>
      <c r="P24" s="623" t="s">
        <v>397</v>
      </c>
      <c r="Q24" s="624"/>
      <c r="R24" s="624"/>
      <c r="S24" s="625"/>
      <c r="T24" s="604" t="s">
        <v>395</v>
      </c>
      <c r="U24" s="623" t="s">
        <v>397</v>
      </c>
      <c r="V24" s="624"/>
      <c r="W24" s="624"/>
      <c r="X24" s="625"/>
      <c r="Y24" s="604" t="s">
        <v>395</v>
      </c>
      <c r="Z24" s="623" t="s">
        <v>397</v>
      </c>
      <c r="AA24" s="624"/>
      <c r="AB24" s="624"/>
      <c r="AC24" s="625"/>
      <c r="AD24" s="604" t="s">
        <v>395</v>
      </c>
      <c r="AE24" s="623" t="s">
        <v>397</v>
      </c>
      <c r="AF24" s="624"/>
      <c r="AG24" s="624"/>
      <c r="AH24" s="625"/>
      <c r="AI24" s="604" t="s">
        <v>395</v>
      </c>
      <c r="AJ24" s="623" t="s">
        <v>397</v>
      </c>
      <c r="AK24" s="624"/>
      <c r="AL24" s="624"/>
      <c r="AM24" s="625"/>
      <c r="AN24" s="604" t="s">
        <v>395</v>
      </c>
      <c r="AO24" s="623" t="s">
        <v>397</v>
      </c>
      <c r="AP24" s="624"/>
      <c r="AQ24" s="624"/>
      <c r="AR24" s="625"/>
      <c r="AS24" s="604" t="s">
        <v>395</v>
      </c>
      <c r="AT24" s="623" t="s">
        <v>397</v>
      </c>
      <c r="AU24" s="624"/>
      <c r="AV24" s="624"/>
      <c r="AW24" s="625"/>
      <c r="AX24" s="604" t="s">
        <v>395</v>
      </c>
      <c r="BA24" s="604" t="s">
        <v>395</v>
      </c>
    </row>
    <row r="25" spans="2:53">
      <c r="B25" s="604"/>
      <c r="C25" s="604"/>
      <c r="D25" s="604"/>
      <c r="E25" s="604" t="s">
        <v>402</v>
      </c>
      <c r="F25" s="604"/>
      <c r="G25" s="604"/>
      <c r="H25" s="638"/>
      <c r="I25" s="656" t="s">
        <v>402</v>
      </c>
      <c r="J25" s="656"/>
      <c r="K25" s="656"/>
      <c r="L25" s="658"/>
      <c r="M25" s="643"/>
      <c r="N25" s="604"/>
      <c r="O25" s="604"/>
      <c r="P25" s="623" t="s">
        <v>403</v>
      </c>
      <c r="Q25" s="624"/>
      <c r="R25" s="624"/>
      <c r="S25" s="625"/>
      <c r="T25" s="604"/>
      <c r="U25" s="623" t="s">
        <v>403</v>
      </c>
      <c r="V25" s="624"/>
      <c r="W25" s="624"/>
      <c r="X25" s="625"/>
      <c r="Y25" s="604"/>
      <c r="Z25" s="623" t="s">
        <v>403</v>
      </c>
      <c r="AA25" s="624"/>
      <c r="AB25" s="624"/>
      <c r="AC25" s="625"/>
      <c r="AD25" s="604"/>
      <c r="AE25" s="623" t="s">
        <v>403</v>
      </c>
      <c r="AF25" s="624"/>
      <c r="AG25" s="624"/>
      <c r="AH25" s="625"/>
      <c r="AI25" s="604"/>
      <c r="AJ25" s="623" t="s">
        <v>403</v>
      </c>
      <c r="AK25" s="624"/>
      <c r="AL25" s="624"/>
      <c r="AM25" s="625"/>
      <c r="AN25" s="604"/>
      <c r="AO25" s="623" t="s">
        <v>403</v>
      </c>
      <c r="AP25" s="624"/>
      <c r="AQ25" s="624"/>
      <c r="AR25" s="625"/>
      <c r="AS25" s="604"/>
      <c r="AT25" s="623" t="s">
        <v>403</v>
      </c>
      <c r="AU25" s="624"/>
      <c r="AV25" s="624"/>
      <c r="AW25" s="625"/>
      <c r="AX25" s="604"/>
      <c r="BA25" s="604"/>
    </row>
    <row r="26" spans="2:53">
      <c r="B26" s="604"/>
      <c r="C26" s="604"/>
      <c r="D26" s="604"/>
      <c r="E26" s="304" t="s">
        <v>404</v>
      </c>
      <c r="F26" s="304" t="s">
        <v>405</v>
      </c>
      <c r="G26" s="304" t="s">
        <v>406</v>
      </c>
      <c r="H26" s="639"/>
      <c r="I26" s="303" t="s">
        <v>404</v>
      </c>
      <c r="J26" s="303" t="s">
        <v>405</v>
      </c>
      <c r="K26" s="303" t="s">
        <v>406</v>
      </c>
      <c r="L26" s="659"/>
      <c r="M26" s="644"/>
      <c r="N26" s="604"/>
      <c r="O26" s="604"/>
      <c r="P26" s="304" t="s">
        <v>404</v>
      </c>
      <c r="Q26" s="304" t="s">
        <v>405</v>
      </c>
      <c r="R26" s="304" t="s">
        <v>406</v>
      </c>
      <c r="S26" s="304" t="s">
        <v>396</v>
      </c>
      <c r="T26" s="604"/>
      <c r="U26" s="304" t="s">
        <v>404</v>
      </c>
      <c r="V26" s="304" t="s">
        <v>405</v>
      </c>
      <c r="W26" s="304" t="s">
        <v>406</v>
      </c>
      <c r="X26" s="304" t="s">
        <v>396</v>
      </c>
      <c r="Y26" s="604"/>
      <c r="Z26" s="304" t="s">
        <v>404</v>
      </c>
      <c r="AA26" s="304" t="s">
        <v>405</v>
      </c>
      <c r="AB26" s="304" t="s">
        <v>406</v>
      </c>
      <c r="AC26" s="304" t="s">
        <v>396</v>
      </c>
      <c r="AD26" s="604"/>
      <c r="AE26" s="304" t="s">
        <v>404</v>
      </c>
      <c r="AF26" s="304" t="s">
        <v>405</v>
      </c>
      <c r="AG26" s="304" t="s">
        <v>406</v>
      </c>
      <c r="AH26" s="304" t="s">
        <v>396</v>
      </c>
      <c r="AI26" s="604"/>
      <c r="AJ26" s="304" t="s">
        <v>404</v>
      </c>
      <c r="AK26" s="304" t="s">
        <v>405</v>
      </c>
      <c r="AL26" s="304" t="s">
        <v>406</v>
      </c>
      <c r="AM26" s="304" t="s">
        <v>396</v>
      </c>
      <c r="AN26" s="604"/>
      <c r="AO26" s="304" t="s">
        <v>404</v>
      </c>
      <c r="AP26" s="304" t="s">
        <v>405</v>
      </c>
      <c r="AQ26" s="304" t="s">
        <v>406</v>
      </c>
      <c r="AR26" s="304" t="s">
        <v>396</v>
      </c>
      <c r="AS26" s="604"/>
      <c r="AT26" s="304" t="s">
        <v>404</v>
      </c>
      <c r="AU26" s="304" t="s">
        <v>405</v>
      </c>
      <c r="AV26" s="304" t="s">
        <v>406</v>
      </c>
      <c r="AW26" s="304" t="s">
        <v>396</v>
      </c>
      <c r="AX26" s="604"/>
      <c r="AZ26" s="520" t="s">
        <v>396</v>
      </c>
      <c r="BA26" s="604"/>
    </row>
    <row r="27" spans="2:53">
      <c r="B27" s="604" t="s">
        <v>410</v>
      </c>
      <c r="C27" s="305">
        <v>1</v>
      </c>
      <c r="D27" s="226" t="s">
        <v>639</v>
      </c>
      <c r="E27" s="182">
        <v>14</v>
      </c>
      <c r="F27" s="511">
        <v>1500</v>
      </c>
      <c r="G27" s="512">
        <v>107.1</v>
      </c>
      <c r="H27" s="667">
        <f>AVERAGE(G27:G41)</f>
        <v>99.199999999999989</v>
      </c>
      <c r="I27" s="513">
        <f t="shared" ref="I27:I40" si="5">IFERROR(AVERAGE(P27,U27,Z27,AE27,AJ27,AO27,AT27),"-")</f>
        <v>14</v>
      </c>
      <c r="J27" s="513">
        <f t="shared" ref="J27:J40" si="6">IFERROR(AVERAGE(Q27,V27,AA27,AF27,AK27,AP27,AU27),"-")</f>
        <v>1258.3170970905521</v>
      </c>
      <c r="K27" s="200">
        <f t="shared" ref="K27:K40" si="7">IFERROR(AVERAGE(R27,W27,AB27,AG27,AL27,AQ27,AV27),"-")</f>
        <v>89.879792649325154</v>
      </c>
      <c r="L27" s="620">
        <f>IFERROR(AVERAGE(K27:K41),"-")</f>
        <v>85.588967527851182</v>
      </c>
      <c r="M27" s="201">
        <f>RANK(K27, K$27:$K$41)</f>
        <v>1</v>
      </c>
      <c r="N27" s="604"/>
      <c r="O27" s="604"/>
      <c r="P27" s="526">
        <v>14</v>
      </c>
      <c r="Q27" s="530">
        <v>1236.5217391304348</v>
      </c>
      <c r="R27" s="530">
        <v>88.322981366459629</v>
      </c>
      <c r="S27" s="526">
        <f t="shared" ref="S27:S41" si="8">RANK(R27, R$27:R$41)</f>
        <v>1</v>
      </c>
      <c r="T27" s="599">
        <f t="shared" ref="T27" si="9">AVERAGE(R27:R41)</f>
        <v>85.446364855310364</v>
      </c>
      <c r="U27" s="526">
        <v>14</v>
      </c>
      <c r="V27" s="530">
        <v>1259.9999999999991</v>
      </c>
      <c r="W27" s="530">
        <v>89.999999999999929</v>
      </c>
      <c r="X27" s="526">
        <f t="shared" ref="X27:X41" si="10">RANK(W27, W$27:W$41)</f>
        <v>1</v>
      </c>
      <c r="Y27" s="599">
        <f t="shared" ref="Y27" si="11">AVERAGE(W27:W41)</f>
        <v>86.471925133689808</v>
      </c>
      <c r="Z27" s="526">
        <v>14</v>
      </c>
      <c r="AA27" s="530">
        <v>1285.2631578947357</v>
      </c>
      <c r="AB27" s="530">
        <v>91.804511278195406</v>
      </c>
      <c r="AC27" s="526">
        <f t="shared" ref="AC27:AC41" si="12">RANK(AB27, AB$27:AB$41)</f>
        <v>1</v>
      </c>
      <c r="AD27" s="599">
        <f t="shared" ref="AD27" si="13">AVERAGE(AB27:AB41)</f>
        <v>86.897021966681351</v>
      </c>
      <c r="AE27" s="526">
        <v>14</v>
      </c>
      <c r="AF27" s="530">
        <v>1235.9999999999995</v>
      </c>
      <c r="AG27" s="530">
        <v>88.285714285714249</v>
      </c>
      <c r="AH27" s="526">
        <f t="shared" ref="AH27:AH41" si="14">RANK(AG27, AG$27:AG$41)</f>
        <v>1</v>
      </c>
      <c r="AI27" s="599">
        <f t="shared" ref="AI27" si="15">AVERAGE(AG27:AG41)</f>
        <v>83.616246498599438</v>
      </c>
      <c r="AJ27" s="526">
        <v>14</v>
      </c>
      <c r="AK27" s="530">
        <v>1270.4347826086957</v>
      </c>
      <c r="AL27" s="530">
        <v>90.745341614906835</v>
      </c>
      <c r="AM27" s="526">
        <f t="shared" ref="AM27:AM41" si="16">RANK(AL27, AL$27:AL$41)</f>
        <v>1</v>
      </c>
      <c r="AN27" s="599">
        <f t="shared" ref="AN27" si="17">AVERAGE(AL27:AL41)</f>
        <v>86.480195223325254</v>
      </c>
      <c r="AO27" s="526">
        <v>14</v>
      </c>
      <c r="AP27" s="530">
        <v>1250.0000000000005</v>
      </c>
      <c r="AQ27" s="530">
        <v>89.28571428571432</v>
      </c>
      <c r="AR27" s="526">
        <f t="shared" ref="AR27:AR41" si="18">RANK(AQ27, AQ$27:AQ$41)</f>
        <v>1</v>
      </c>
      <c r="AS27" s="599">
        <f t="shared" ref="AS27" si="19">AVERAGE(AQ27:AQ41)</f>
        <v>84.187110328002177</v>
      </c>
      <c r="AT27" s="526">
        <v>14</v>
      </c>
      <c r="AU27" s="530">
        <v>1270.0000000000002</v>
      </c>
      <c r="AV27" s="530">
        <v>90.714285714285737</v>
      </c>
      <c r="AW27" s="526">
        <f t="shared" ref="AW27:AW41" si="20">RANK(AV27, AV$27:AV$41)</f>
        <v>1</v>
      </c>
      <c r="AX27" s="599">
        <f t="shared" ref="AX27" si="21">AVERAGE(AV27:AV41)</f>
        <v>86.023908689349909</v>
      </c>
      <c r="AZ27" s="521" t="e">
        <f t="shared" ref="AZ27:AZ41" si="22">RANK(AY27, AY$27:AY$41)</f>
        <v>#N/A</v>
      </c>
      <c r="BA27" s="599" t="e">
        <f t="shared" ref="BA27" si="23">AVERAGE(AY27:AY41)</f>
        <v>#DIV/0!</v>
      </c>
    </row>
    <row r="28" spans="2:53">
      <c r="B28" s="610"/>
      <c r="C28" s="305">
        <v>2</v>
      </c>
      <c r="D28" s="226" t="s">
        <v>675</v>
      </c>
      <c r="E28" s="182">
        <v>16</v>
      </c>
      <c r="F28" s="511">
        <v>1636</v>
      </c>
      <c r="G28" s="512">
        <v>102.3</v>
      </c>
      <c r="H28" s="668"/>
      <c r="I28" s="513">
        <f t="shared" si="5"/>
        <v>17</v>
      </c>
      <c r="J28" s="513">
        <f t="shared" si="6"/>
        <v>1451.2692657682478</v>
      </c>
      <c r="K28" s="200">
        <f t="shared" si="7"/>
        <v>85.368780339308699</v>
      </c>
      <c r="L28" s="621"/>
      <c r="M28" s="201">
        <f>RANK(K28, K$27:$K$41)</f>
        <v>2</v>
      </c>
      <c r="N28" s="604"/>
      <c r="O28" s="604"/>
      <c r="P28" s="526">
        <v>17</v>
      </c>
      <c r="Q28" s="530">
        <v>1461.4678899082567</v>
      </c>
      <c r="R28" s="530">
        <v>85.968699406368046</v>
      </c>
      <c r="S28" s="526">
        <f t="shared" si="8"/>
        <v>2</v>
      </c>
      <c r="T28" s="600"/>
      <c r="U28" s="526">
        <v>17</v>
      </c>
      <c r="V28" s="530">
        <v>1462.5000000000009</v>
      </c>
      <c r="W28" s="530">
        <v>86.029411764705941</v>
      </c>
      <c r="X28" s="526">
        <f t="shared" si="10"/>
        <v>2</v>
      </c>
      <c r="Y28" s="600"/>
      <c r="Z28" s="526">
        <v>17</v>
      </c>
      <c r="AA28" s="530">
        <v>1468.5714285714282</v>
      </c>
      <c r="AB28" s="530">
        <v>86.386554621848717</v>
      </c>
      <c r="AC28" s="526">
        <f t="shared" si="12"/>
        <v>2</v>
      </c>
      <c r="AD28" s="600"/>
      <c r="AE28" s="526">
        <v>17</v>
      </c>
      <c r="AF28" s="530">
        <v>1440.0000000000014</v>
      </c>
      <c r="AG28" s="530">
        <v>84.705882352941259</v>
      </c>
      <c r="AH28" s="526">
        <f t="shared" si="14"/>
        <v>2</v>
      </c>
      <c r="AI28" s="600"/>
      <c r="AJ28" s="526">
        <v>17</v>
      </c>
      <c r="AK28" s="530">
        <v>1485.3191489361704</v>
      </c>
      <c r="AL28" s="530">
        <v>87.371714643304145</v>
      </c>
      <c r="AM28" s="526">
        <f t="shared" si="16"/>
        <v>2</v>
      </c>
      <c r="AN28" s="600"/>
      <c r="AO28" s="526">
        <v>17</v>
      </c>
      <c r="AP28" s="530">
        <v>1411.9354838709673</v>
      </c>
      <c r="AQ28" s="530">
        <v>83.055028462998081</v>
      </c>
      <c r="AR28" s="526">
        <f t="shared" si="18"/>
        <v>2</v>
      </c>
      <c r="AS28" s="600"/>
      <c r="AT28" s="526">
        <v>17</v>
      </c>
      <c r="AU28" s="530">
        <v>1429.0909090909095</v>
      </c>
      <c r="AV28" s="530">
        <v>84.064171122994679</v>
      </c>
      <c r="AW28" s="526">
        <f t="shared" si="20"/>
        <v>2</v>
      </c>
      <c r="AX28" s="600"/>
      <c r="AZ28" s="521" t="e">
        <f t="shared" si="22"/>
        <v>#N/A</v>
      </c>
      <c r="BA28" s="600"/>
    </row>
    <row r="29" spans="2:53">
      <c r="B29" s="610"/>
      <c r="C29" s="305">
        <v>3</v>
      </c>
      <c r="D29" s="226" t="s">
        <v>792</v>
      </c>
      <c r="E29" s="182">
        <v>17</v>
      </c>
      <c r="F29" s="511">
        <v>1500</v>
      </c>
      <c r="G29" s="512">
        <v>88.2</v>
      </c>
      <c r="H29" s="668"/>
      <c r="I29" s="513">
        <f t="shared" si="5"/>
        <v>16</v>
      </c>
      <c r="J29" s="513">
        <f t="shared" si="6"/>
        <v>1304.2932735187153</v>
      </c>
      <c r="K29" s="200">
        <f t="shared" si="7"/>
        <v>81.518329594919706</v>
      </c>
      <c r="L29" s="621"/>
      <c r="M29" s="201">
        <f>RANK(K29, K$27:$K$41)</f>
        <v>3</v>
      </c>
      <c r="N29" s="604"/>
      <c r="O29" s="604"/>
      <c r="P29" s="526">
        <v>16</v>
      </c>
      <c r="Q29" s="530">
        <v>1312.7586206896544</v>
      </c>
      <c r="R29" s="530">
        <v>82.047413793103402</v>
      </c>
      <c r="S29" s="526">
        <f t="shared" si="8"/>
        <v>3</v>
      </c>
      <c r="T29" s="600"/>
      <c r="U29" s="526">
        <v>16</v>
      </c>
      <c r="V29" s="530">
        <v>1334.1818181818171</v>
      </c>
      <c r="W29" s="530">
        <v>83.386363636363569</v>
      </c>
      <c r="X29" s="526">
        <f t="shared" si="10"/>
        <v>3</v>
      </c>
      <c r="Y29" s="600"/>
      <c r="Z29" s="526">
        <v>16</v>
      </c>
      <c r="AA29" s="530">
        <v>1319.9999999999993</v>
      </c>
      <c r="AB29" s="530">
        <v>82.499999999999957</v>
      </c>
      <c r="AC29" s="526">
        <f t="shared" si="12"/>
        <v>3</v>
      </c>
      <c r="AD29" s="600"/>
      <c r="AE29" s="526">
        <v>16</v>
      </c>
      <c r="AF29" s="530">
        <v>1245.7142857142853</v>
      </c>
      <c r="AG29" s="530">
        <v>77.857142857142833</v>
      </c>
      <c r="AH29" s="526">
        <f t="shared" si="14"/>
        <v>3</v>
      </c>
      <c r="AI29" s="600"/>
      <c r="AJ29" s="526">
        <v>16</v>
      </c>
      <c r="AK29" s="530">
        <v>1301.1764705882358</v>
      </c>
      <c r="AL29" s="530">
        <v>81.323529411764738</v>
      </c>
      <c r="AM29" s="526">
        <f t="shared" si="16"/>
        <v>3</v>
      </c>
      <c r="AN29" s="600"/>
      <c r="AO29" s="526">
        <v>16</v>
      </c>
      <c r="AP29" s="530">
        <v>1283.5294117647065</v>
      </c>
      <c r="AQ29" s="530">
        <v>80.220588235294159</v>
      </c>
      <c r="AR29" s="526">
        <f t="shared" si="18"/>
        <v>3</v>
      </c>
      <c r="AS29" s="600"/>
      <c r="AT29" s="526">
        <v>16</v>
      </c>
      <c r="AU29" s="530">
        <v>1332.6923076923085</v>
      </c>
      <c r="AV29" s="530">
        <v>83.293269230769283</v>
      </c>
      <c r="AW29" s="526">
        <f t="shared" si="20"/>
        <v>3</v>
      </c>
      <c r="AX29" s="600"/>
      <c r="AZ29" s="521" t="e">
        <f t="shared" si="22"/>
        <v>#N/A</v>
      </c>
      <c r="BA29" s="600"/>
    </row>
    <row r="30" spans="2:53">
      <c r="B30" s="610"/>
      <c r="C30" s="305">
        <v>4</v>
      </c>
      <c r="D30" s="226"/>
      <c r="E30" s="182"/>
      <c r="F30" s="511"/>
      <c r="G30" s="512"/>
      <c r="H30" s="668"/>
      <c r="I30" s="513" t="str">
        <f t="shared" si="5"/>
        <v>-</v>
      </c>
      <c r="J30" s="513" t="str">
        <f t="shared" si="6"/>
        <v>-</v>
      </c>
      <c r="K30" s="200" t="str">
        <f t="shared" si="7"/>
        <v>-</v>
      </c>
      <c r="L30" s="621"/>
      <c r="M30" s="201" t="e">
        <f>RANK(K30, K$27:$K$41)</f>
        <v>#VALUE!</v>
      </c>
      <c r="N30" s="604"/>
      <c r="O30" s="604"/>
      <c r="P30" s="526" t="s">
        <v>822</v>
      </c>
      <c r="Q30" s="530" t="s">
        <v>822</v>
      </c>
      <c r="R30" s="530" t="s">
        <v>822</v>
      </c>
      <c r="S30" s="526" t="e">
        <f t="shared" si="8"/>
        <v>#VALUE!</v>
      </c>
      <c r="T30" s="600"/>
      <c r="U30" s="526" t="s">
        <v>822</v>
      </c>
      <c r="V30" s="530" t="s">
        <v>822</v>
      </c>
      <c r="W30" s="530" t="s">
        <v>822</v>
      </c>
      <c r="X30" s="526" t="e">
        <f t="shared" si="10"/>
        <v>#VALUE!</v>
      </c>
      <c r="Y30" s="600"/>
      <c r="Z30" s="526" t="s">
        <v>822</v>
      </c>
      <c r="AA30" s="530" t="s">
        <v>822</v>
      </c>
      <c r="AB30" s="530" t="s">
        <v>822</v>
      </c>
      <c r="AC30" s="526" t="e">
        <f t="shared" si="12"/>
        <v>#VALUE!</v>
      </c>
      <c r="AD30" s="600"/>
      <c r="AE30" s="526" t="s">
        <v>822</v>
      </c>
      <c r="AF30" s="530" t="s">
        <v>822</v>
      </c>
      <c r="AG30" s="530" t="s">
        <v>822</v>
      </c>
      <c r="AH30" s="526" t="e">
        <f t="shared" si="14"/>
        <v>#VALUE!</v>
      </c>
      <c r="AI30" s="600"/>
      <c r="AJ30" s="526" t="s">
        <v>822</v>
      </c>
      <c r="AK30" s="530" t="s">
        <v>822</v>
      </c>
      <c r="AL30" s="530" t="s">
        <v>822</v>
      </c>
      <c r="AM30" s="526" t="e">
        <f t="shared" si="16"/>
        <v>#VALUE!</v>
      </c>
      <c r="AN30" s="600"/>
      <c r="AO30" s="526" t="s">
        <v>822</v>
      </c>
      <c r="AP30" s="530" t="s">
        <v>822</v>
      </c>
      <c r="AQ30" s="530" t="s">
        <v>822</v>
      </c>
      <c r="AR30" s="526" t="e">
        <f t="shared" si="18"/>
        <v>#VALUE!</v>
      </c>
      <c r="AS30" s="600"/>
      <c r="AT30" s="526" t="s">
        <v>822</v>
      </c>
      <c r="AU30" s="530" t="s">
        <v>822</v>
      </c>
      <c r="AV30" s="530" t="s">
        <v>822</v>
      </c>
      <c r="AW30" s="526" t="e">
        <f t="shared" si="20"/>
        <v>#VALUE!</v>
      </c>
      <c r="AX30" s="600"/>
      <c r="AZ30" s="521" t="e">
        <f t="shared" si="22"/>
        <v>#N/A</v>
      </c>
      <c r="BA30" s="600"/>
    </row>
    <row r="31" spans="2:53">
      <c r="B31" s="610"/>
      <c r="C31" s="305">
        <v>5</v>
      </c>
      <c r="D31" s="226"/>
      <c r="E31" s="182"/>
      <c r="F31" s="511"/>
      <c r="G31" s="512"/>
      <c r="H31" s="668"/>
      <c r="I31" s="513" t="str">
        <f t="shared" si="5"/>
        <v>-</v>
      </c>
      <c r="J31" s="513" t="str">
        <f t="shared" si="6"/>
        <v>-</v>
      </c>
      <c r="K31" s="200" t="str">
        <f t="shared" si="7"/>
        <v>-</v>
      </c>
      <c r="L31" s="621"/>
      <c r="M31" s="201" t="e">
        <f>RANK(K31, K$27:$K$41)</f>
        <v>#VALUE!</v>
      </c>
      <c r="N31" s="604"/>
      <c r="O31" s="604"/>
      <c r="P31" s="526" t="s">
        <v>822</v>
      </c>
      <c r="Q31" s="530" t="s">
        <v>822</v>
      </c>
      <c r="R31" s="530" t="s">
        <v>822</v>
      </c>
      <c r="S31" s="526" t="e">
        <f t="shared" si="8"/>
        <v>#VALUE!</v>
      </c>
      <c r="T31" s="600"/>
      <c r="U31" s="526" t="s">
        <v>822</v>
      </c>
      <c r="V31" s="530" t="s">
        <v>822</v>
      </c>
      <c r="W31" s="530" t="s">
        <v>822</v>
      </c>
      <c r="X31" s="526" t="e">
        <f t="shared" si="10"/>
        <v>#VALUE!</v>
      </c>
      <c r="Y31" s="600"/>
      <c r="Z31" s="526" t="s">
        <v>822</v>
      </c>
      <c r="AA31" s="530" t="s">
        <v>822</v>
      </c>
      <c r="AB31" s="530" t="s">
        <v>822</v>
      </c>
      <c r="AC31" s="526" t="e">
        <f t="shared" si="12"/>
        <v>#VALUE!</v>
      </c>
      <c r="AD31" s="600"/>
      <c r="AE31" s="526" t="s">
        <v>822</v>
      </c>
      <c r="AF31" s="530" t="s">
        <v>822</v>
      </c>
      <c r="AG31" s="530" t="s">
        <v>822</v>
      </c>
      <c r="AH31" s="526" t="e">
        <f t="shared" si="14"/>
        <v>#VALUE!</v>
      </c>
      <c r="AI31" s="600"/>
      <c r="AJ31" s="526" t="s">
        <v>822</v>
      </c>
      <c r="AK31" s="530" t="s">
        <v>822</v>
      </c>
      <c r="AL31" s="530" t="s">
        <v>822</v>
      </c>
      <c r="AM31" s="526" t="e">
        <f t="shared" si="16"/>
        <v>#VALUE!</v>
      </c>
      <c r="AN31" s="600"/>
      <c r="AO31" s="526" t="s">
        <v>822</v>
      </c>
      <c r="AP31" s="530" t="s">
        <v>822</v>
      </c>
      <c r="AQ31" s="530" t="s">
        <v>822</v>
      </c>
      <c r="AR31" s="526" t="e">
        <f t="shared" si="18"/>
        <v>#VALUE!</v>
      </c>
      <c r="AS31" s="600"/>
      <c r="AT31" s="526" t="s">
        <v>822</v>
      </c>
      <c r="AU31" s="530" t="s">
        <v>822</v>
      </c>
      <c r="AV31" s="530" t="s">
        <v>822</v>
      </c>
      <c r="AW31" s="526" t="e">
        <f t="shared" si="20"/>
        <v>#VALUE!</v>
      </c>
      <c r="AX31" s="600"/>
      <c r="AZ31" s="521" t="e">
        <f t="shared" si="22"/>
        <v>#N/A</v>
      </c>
      <c r="BA31" s="600"/>
    </row>
    <row r="32" spans="2:53">
      <c r="B32" s="610"/>
      <c r="C32" s="305">
        <v>6</v>
      </c>
      <c r="D32" s="226"/>
      <c r="E32" s="182"/>
      <c r="F32" s="511"/>
      <c r="G32" s="512"/>
      <c r="H32" s="668"/>
      <c r="I32" s="513" t="str">
        <f t="shared" si="5"/>
        <v>-</v>
      </c>
      <c r="J32" s="513" t="str">
        <f t="shared" si="6"/>
        <v>-</v>
      </c>
      <c r="K32" s="200" t="str">
        <f t="shared" si="7"/>
        <v>-</v>
      </c>
      <c r="L32" s="621"/>
      <c r="M32" s="201" t="e">
        <f>RANK(K32, K$27:$K$41)</f>
        <v>#VALUE!</v>
      </c>
      <c r="N32" s="604"/>
      <c r="O32" s="604"/>
      <c r="P32" s="526" t="s">
        <v>822</v>
      </c>
      <c r="Q32" s="530" t="s">
        <v>822</v>
      </c>
      <c r="R32" s="530" t="s">
        <v>822</v>
      </c>
      <c r="S32" s="526" t="e">
        <f t="shared" si="8"/>
        <v>#VALUE!</v>
      </c>
      <c r="T32" s="600"/>
      <c r="U32" s="526" t="s">
        <v>822</v>
      </c>
      <c r="V32" s="530" t="s">
        <v>822</v>
      </c>
      <c r="W32" s="530" t="s">
        <v>822</v>
      </c>
      <c r="X32" s="526" t="e">
        <f t="shared" si="10"/>
        <v>#VALUE!</v>
      </c>
      <c r="Y32" s="600"/>
      <c r="Z32" s="526" t="s">
        <v>822</v>
      </c>
      <c r="AA32" s="530" t="s">
        <v>822</v>
      </c>
      <c r="AB32" s="530" t="s">
        <v>822</v>
      </c>
      <c r="AC32" s="526" t="e">
        <f t="shared" si="12"/>
        <v>#VALUE!</v>
      </c>
      <c r="AD32" s="600"/>
      <c r="AE32" s="526" t="s">
        <v>822</v>
      </c>
      <c r="AF32" s="530" t="s">
        <v>822</v>
      </c>
      <c r="AG32" s="530" t="s">
        <v>822</v>
      </c>
      <c r="AH32" s="526" t="e">
        <f t="shared" si="14"/>
        <v>#VALUE!</v>
      </c>
      <c r="AI32" s="600"/>
      <c r="AJ32" s="526" t="s">
        <v>822</v>
      </c>
      <c r="AK32" s="530" t="s">
        <v>822</v>
      </c>
      <c r="AL32" s="530" t="s">
        <v>822</v>
      </c>
      <c r="AM32" s="526" t="e">
        <f t="shared" si="16"/>
        <v>#VALUE!</v>
      </c>
      <c r="AN32" s="600"/>
      <c r="AO32" s="526" t="s">
        <v>822</v>
      </c>
      <c r="AP32" s="530" t="s">
        <v>822</v>
      </c>
      <c r="AQ32" s="530" t="s">
        <v>822</v>
      </c>
      <c r="AR32" s="526" t="e">
        <f t="shared" si="18"/>
        <v>#VALUE!</v>
      </c>
      <c r="AS32" s="600"/>
      <c r="AT32" s="526" t="s">
        <v>822</v>
      </c>
      <c r="AU32" s="530" t="s">
        <v>822</v>
      </c>
      <c r="AV32" s="530" t="s">
        <v>822</v>
      </c>
      <c r="AW32" s="526" t="e">
        <f t="shared" si="20"/>
        <v>#VALUE!</v>
      </c>
      <c r="AX32" s="600"/>
      <c r="AZ32" s="521" t="e">
        <f t="shared" si="22"/>
        <v>#N/A</v>
      </c>
      <c r="BA32" s="600"/>
    </row>
    <row r="33" spans="2:53">
      <c r="B33" s="610"/>
      <c r="C33" s="305">
        <v>7</v>
      </c>
      <c r="D33" s="455"/>
      <c r="E33" s="518"/>
      <c r="F33" s="518"/>
      <c r="G33" s="518"/>
      <c r="H33" s="668"/>
      <c r="I33" s="513" t="str">
        <f t="shared" si="5"/>
        <v>-</v>
      </c>
      <c r="J33" s="513" t="str">
        <f t="shared" si="6"/>
        <v>-</v>
      </c>
      <c r="K33" s="200" t="str">
        <f t="shared" si="7"/>
        <v>-</v>
      </c>
      <c r="L33" s="621"/>
      <c r="M33" s="201" t="e">
        <f>RANK(K33, K$27:$K$41)</f>
        <v>#VALUE!</v>
      </c>
      <c r="N33" s="604"/>
      <c r="O33" s="604"/>
      <c r="P33" s="526" t="s">
        <v>822</v>
      </c>
      <c r="Q33" s="530" t="s">
        <v>822</v>
      </c>
      <c r="R33" s="530" t="s">
        <v>822</v>
      </c>
      <c r="S33" s="526" t="e">
        <f t="shared" si="8"/>
        <v>#VALUE!</v>
      </c>
      <c r="T33" s="600"/>
      <c r="U33" s="526" t="s">
        <v>822</v>
      </c>
      <c r="V33" s="530" t="s">
        <v>822</v>
      </c>
      <c r="W33" s="530" t="s">
        <v>822</v>
      </c>
      <c r="X33" s="526" t="e">
        <f t="shared" si="10"/>
        <v>#VALUE!</v>
      </c>
      <c r="Y33" s="600"/>
      <c r="Z33" s="526" t="s">
        <v>822</v>
      </c>
      <c r="AA33" s="530" t="s">
        <v>822</v>
      </c>
      <c r="AB33" s="530" t="s">
        <v>822</v>
      </c>
      <c r="AC33" s="526" t="e">
        <f t="shared" si="12"/>
        <v>#VALUE!</v>
      </c>
      <c r="AD33" s="600"/>
      <c r="AE33" s="526" t="s">
        <v>822</v>
      </c>
      <c r="AF33" s="530" t="s">
        <v>822</v>
      </c>
      <c r="AG33" s="530" t="s">
        <v>822</v>
      </c>
      <c r="AH33" s="526" t="e">
        <f t="shared" si="14"/>
        <v>#VALUE!</v>
      </c>
      <c r="AI33" s="600"/>
      <c r="AJ33" s="526" t="s">
        <v>822</v>
      </c>
      <c r="AK33" s="530" t="s">
        <v>822</v>
      </c>
      <c r="AL33" s="530" t="s">
        <v>822</v>
      </c>
      <c r="AM33" s="526" t="e">
        <f t="shared" si="16"/>
        <v>#VALUE!</v>
      </c>
      <c r="AN33" s="600"/>
      <c r="AO33" s="526" t="s">
        <v>822</v>
      </c>
      <c r="AP33" s="530" t="s">
        <v>822</v>
      </c>
      <c r="AQ33" s="530" t="s">
        <v>822</v>
      </c>
      <c r="AR33" s="526" t="e">
        <f t="shared" si="18"/>
        <v>#VALUE!</v>
      </c>
      <c r="AS33" s="600"/>
      <c r="AT33" s="526" t="s">
        <v>822</v>
      </c>
      <c r="AU33" s="530" t="s">
        <v>822</v>
      </c>
      <c r="AV33" s="530" t="s">
        <v>822</v>
      </c>
      <c r="AW33" s="526" t="e">
        <f t="shared" si="20"/>
        <v>#VALUE!</v>
      </c>
      <c r="AX33" s="600"/>
      <c r="AZ33" s="521" t="e">
        <f t="shared" si="22"/>
        <v>#N/A</v>
      </c>
      <c r="BA33" s="600"/>
    </row>
    <row r="34" spans="2:53">
      <c r="B34" s="610"/>
      <c r="C34" s="305">
        <v>8</v>
      </c>
      <c r="D34" s="455"/>
      <c r="E34" s="518"/>
      <c r="F34" s="518"/>
      <c r="G34" s="518"/>
      <c r="H34" s="668"/>
      <c r="I34" s="513" t="str">
        <f t="shared" si="5"/>
        <v>-</v>
      </c>
      <c r="J34" s="513" t="str">
        <f t="shared" si="6"/>
        <v>-</v>
      </c>
      <c r="K34" s="200" t="str">
        <f t="shared" si="7"/>
        <v>-</v>
      </c>
      <c r="L34" s="621"/>
      <c r="M34" s="201" t="e">
        <f>RANK(K34, K$27:$K$41)</f>
        <v>#VALUE!</v>
      </c>
      <c r="N34" s="604"/>
      <c r="O34" s="604"/>
      <c r="P34" s="526" t="s">
        <v>822</v>
      </c>
      <c r="Q34" s="530" t="s">
        <v>822</v>
      </c>
      <c r="R34" s="530" t="s">
        <v>822</v>
      </c>
      <c r="S34" s="526" t="e">
        <f t="shared" si="8"/>
        <v>#VALUE!</v>
      </c>
      <c r="T34" s="600"/>
      <c r="U34" s="526" t="s">
        <v>822</v>
      </c>
      <c r="V34" s="530" t="s">
        <v>822</v>
      </c>
      <c r="W34" s="530" t="s">
        <v>822</v>
      </c>
      <c r="X34" s="526" t="e">
        <f t="shared" si="10"/>
        <v>#VALUE!</v>
      </c>
      <c r="Y34" s="600"/>
      <c r="Z34" s="526" t="s">
        <v>822</v>
      </c>
      <c r="AA34" s="530" t="s">
        <v>822</v>
      </c>
      <c r="AB34" s="530" t="s">
        <v>822</v>
      </c>
      <c r="AC34" s="526" t="e">
        <f t="shared" si="12"/>
        <v>#VALUE!</v>
      </c>
      <c r="AD34" s="600"/>
      <c r="AE34" s="526" t="s">
        <v>822</v>
      </c>
      <c r="AF34" s="530" t="s">
        <v>822</v>
      </c>
      <c r="AG34" s="530" t="s">
        <v>822</v>
      </c>
      <c r="AH34" s="526" t="e">
        <f t="shared" si="14"/>
        <v>#VALUE!</v>
      </c>
      <c r="AI34" s="600"/>
      <c r="AJ34" s="526" t="s">
        <v>822</v>
      </c>
      <c r="AK34" s="530" t="s">
        <v>822</v>
      </c>
      <c r="AL34" s="530" t="s">
        <v>822</v>
      </c>
      <c r="AM34" s="526" t="e">
        <f t="shared" si="16"/>
        <v>#VALUE!</v>
      </c>
      <c r="AN34" s="600"/>
      <c r="AO34" s="526" t="s">
        <v>822</v>
      </c>
      <c r="AP34" s="530" t="s">
        <v>822</v>
      </c>
      <c r="AQ34" s="530" t="s">
        <v>822</v>
      </c>
      <c r="AR34" s="526" t="e">
        <f t="shared" si="18"/>
        <v>#VALUE!</v>
      </c>
      <c r="AS34" s="600"/>
      <c r="AT34" s="526" t="s">
        <v>822</v>
      </c>
      <c r="AU34" s="530" t="s">
        <v>822</v>
      </c>
      <c r="AV34" s="530" t="s">
        <v>822</v>
      </c>
      <c r="AW34" s="526" t="e">
        <f t="shared" si="20"/>
        <v>#VALUE!</v>
      </c>
      <c r="AX34" s="600"/>
      <c r="AZ34" s="521" t="e">
        <f t="shared" si="22"/>
        <v>#N/A</v>
      </c>
      <c r="BA34" s="600"/>
    </row>
    <row r="35" spans="2:53">
      <c r="B35" s="610"/>
      <c r="C35" s="305">
        <v>9</v>
      </c>
      <c r="D35" s="455"/>
      <c r="E35" s="518"/>
      <c r="F35" s="518"/>
      <c r="G35" s="518"/>
      <c r="H35" s="668"/>
      <c r="I35" s="513" t="str">
        <f t="shared" si="5"/>
        <v>-</v>
      </c>
      <c r="J35" s="513" t="str">
        <f t="shared" si="6"/>
        <v>-</v>
      </c>
      <c r="K35" s="200" t="str">
        <f t="shared" si="7"/>
        <v>-</v>
      </c>
      <c r="L35" s="621"/>
      <c r="M35" s="201" t="e">
        <f>RANK(K35, K$27:$K$41)</f>
        <v>#VALUE!</v>
      </c>
      <c r="N35" s="604"/>
      <c r="O35" s="604"/>
      <c r="P35" s="526" t="s">
        <v>822</v>
      </c>
      <c r="Q35" s="530" t="s">
        <v>822</v>
      </c>
      <c r="R35" s="530" t="s">
        <v>822</v>
      </c>
      <c r="S35" s="526" t="e">
        <f t="shared" si="8"/>
        <v>#VALUE!</v>
      </c>
      <c r="T35" s="600"/>
      <c r="U35" s="526" t="s">
        <v>822</v>
      </c>
      <c r="V35" s="530" t="s">
        <v>822</v>
      </c>
      <c r="W35" s="530" t="s">
        <v>822</v>
      </c>
      <c r="X35" s="526" t="e">
        <f t="shared" si="10"/>
        <v>#VALUE!</v>
      </c>
      <c r="Y35" s="600"/>
      <c r="Z35" s="526" t="s">
        <v>822</v>
      </c>
      <c r="AA35" s="530" t="s">
        <v>822</v>
      </c>
      <c r="AB35" s="530" t="s">
        <v>822</v>
      </c>
      <c r="AC35" s="526" t="e">
        <f t="shared" si="12"/>
        <v>#VALUE!</v>
      </c>
      <c r="AD35" s="600"/>
      <c r="AE35" s="526" t="s">
        <v>822</v>
      </c>
      <c r="AF35" s="530" t="s">
        <v>822</v>
      </c>
      <c r="AG35" s="530" t="s">
        <v>822</v>
      </c>
      <c r="AH35" s="526" t="e">
        <f t="shared" si="14"/>
        <v>#VALUE!</v>
      </c>
      <c r="AI35" s="600"/>
      <c r="AJ35" s="526" t="s">
        <v>822</v>
      </c>
      <c r="AK35" s="530" t="s">
        <v>822</v>
      </c>
      <c r="AL35" s="530" t="s">
        <v>822</v>
      </c>
      <c r="AM35" s="526" t="e">
        <f t="shared" si="16"/>
        <v>#VALUE!</v>
      </c>
      <c r="AN35" s="600"/>
      <c r="AO35" s="526" t="s">
        <v>822</v>
      </c>
      <c r="AP35" s="530" t="s">
        <v>822</v>
      </c>
      <c r="AQ35" s="530" t="s">
        <v>822</v>
      </c>
      <c r="AR35" s="526" t="e">
        <f t="shared" si="18"/>
        <v>#VALUE!</v>
      </c>
      <c r="AS35" s="600"/>
      <c r="AT35" s="526" t="s">
        <v>822</v>
      </c>
      <c r="AU35" s="530" t="s">
        <v>822</v>
      </c>
      <c r="AV35" s="530" t="s">
        <v>822</v>
      </c>
      <c r="AW35" s="526" t="e">
        <f t="shared" si="20"/>
        <v>#VALUE!</v>
      </c>
      <c r="AX35" s="600"/>
      <c r="AZ35" s="521" t="e">
        <f t="shared" si="22"/>
        <v>#N/A</v>
      </c>
      <c r="BA35" s="600"/>
    </row>
    <row r="36" spans="2:53">
      <c r="B36" s="610"/>
      <c r="C36" s="305">
        <v>10</v>
      </c>
      <c r="D36" s="455"/>
      <c r="E36" s="518"/>
      <c r="F36" s="518"/>
      <c r="G36" s="518"/>
      <c r="H36" s="668"/>
      <c r="I36" s="513" t="str">
        <f t="shared" si="5"/>
        <v>-</v>
      </c>
      <c r="J36" s="513" t="str">
        <f t="shared" si="6"/>
        <v>-</v>
      </c>
      <c r="K36" s="200" t="str">
        <f t="shared" si="7"/>
        <v>-</v>
      </c>
      <c r="L36" s="621"/>
      <c r="M36" s="201" t="e">
        <f>RANK(K36, K$27:$K$41)</f>
        <v>#VALUE!</v>
      </c>
      <c r="N36" s="604"/>
      <c r="O36" s="604"/>
      <c r="P36" s="526" t="s">
        <v>822</v>
      </c>
      <c r="Q36" s="530" t="s">
        <v>822</v>
      </c>
      <c r="R36" s="530" t="s">
        <v>822</v>
      </c>
      <c r="S36" s="526" t="e">
        <f t="shared" si="8"/>
        <v>#VALUE!</v>
      </c>
      <c r="T36" s="600"/>
      <c r="U36" s="526" t="s">
        <v>822</v>
      </c>
      <c r="V36" s="530" t="s">
        <v>822</v>
      </c>
      <c r="W36" s="530" t="s">
        <v>822</v>
      </c>
      <c r="X36" s="526" t="e">
        <f t="shared" si="10"/>
        <v>#VALUE!</v>
      </c>
      <c r="Y36" s="600"/>
      <c r="Z36" s="526" t="s">
        <v>822</v>
      </c>
      <c r="AA36" s="530" t="s">
        <v>822</v>
      </c>
      <c r="AB36" s="530" t="s">
        <v>822</v>
      </c>
      <c r="AC36" s="526" t="e">
        <f t="shared" si="12"/>
        <v>#VALUE!</v>
      </c>
      <c r="AD36" s="600"/>
      <c r="AE36" s="526" t="s">
        <v>822</v>
      </c>
      <c r="AF36" s="530" t="s">
        <v>822</v>
      </c>
      <c r="AG36" s="530" t="s">
        <v>822</v>
      </c>
      <c r="AH36" s="526" t="e">
        <f t="shared" si="14"/>
        <v>#VALUE!</v>
      </c>
      <c r="AI36" s="600"/>
      <c r="AJ36" s="526" t="s">
        <v>822</v>
      </c>
      <c r="AK36" s="530" t="s">
        <v>822</v>
      </c>
      <c r="AL36" s="530" t="s">
        <v>822</v>
      </c>
      <c r="AM36" s="526" t="e">
        <f t="shared" si="16"/>
        <v>#VALUE!</v>
      </c>
      <c r="AN36" s="600"/>
      <c r="AO36" s="526" t="s">
        <v>822</v>
      </c>
      <c r="AP36" s="530" t="s">
        <v>822</v>
      </c>
      <c r="AQ36" s="530" t="s">
        <v>822</v>
      </c>
      <c r="AR36" s="526" t="e">
        <f t="shared" si="18"/>
        <v>#VALUE!</v>
      </c>
      <c r="AS36" s="600"/>
      <c r="AT36" s="526" t="s">
        <v>822</v>
      </c>
      <c r="AU36" s="530" t="s">
        <v>822</v>
      </c>
      <c r="AV36" s="530" t="s">
        <v>822</v>
      </c>
      <c r="AW36" s="526" t="e">
        <f t="shared" si="20"/>
        <v>#VALUE!</v>
      </c>
      <c r="AX36" s="600"/>
      <c r="AZ36" s="521" t="e">
        <f t="shared" si="22"/>
        <v>#N/A</v>
      </c>
      <c r="BA36" s="600"/>
    </row>
    <row r="37" spans="2:53">
      <c r="B37" s="610"/>
      <c r="C37" s="305">
        <v>11</v>
      </c>
      <c r="D37" s="455"/>
      <c r="E37" s="518"/>
      <c r="F37" s="518"/>
      <c r="G37" s="518"/>
      <c r="H37" s="668"/>
      <c r="I37" s="513" t="str">
        <f t="shared" si="5"/>
        <v>-</v>
      </c>
      <c r="J37" s="513" t="str">
        <f t="shared" si="6"/>
        <v>-</v>
      </c>
      <c r="K37" s="200" t="str">
        <f t="shared" si="7"/>
        <v>-</v>
      </c>
      <c r="L37" s="621"/>
      <c r="M37" s="201" t="e">
        <f>RANK(K37, K$27:$K$41)</f>
        <v>#VALUE!</v>
      </c>
      <c r="N37" s="604"/>
      <c r="O37" s="604"/>
      <c r="P37" s="526" t="s">
        <v>822</v>
      </c>
      <c r="Q37" s="530" t="s">
        <v>822</v>
      </c>
      <c r="R37" s="530" t="s">
        <v>822</v>
      </c>
      <c r="S37" s="526" t="e">
        <f t="shared" si="8"/>
        <v>#VALUE!</v>
      </c>
      <c r="T37" s="600"/>
      <c r="U37" s="526" t="s">
        <v>822</v>
      </c>
      <c r="V37" s="530" t="s">
        <v>822</v>
      </c>
      <c r="W37" s="530" t="s">
        <v>822</v>
      </c>
      <c r="X37" s="526" t="e">
        <f t="shared" si="10"/>
        <v>#VALUE!</v>
      </c>
      <c r="Y37" s="600"/>
      <c r="Z37" s="526" t="s">
        <v>822</v>
      </c>
      <c r="AA37" s="530" t="s">
        <v>822</v>
      </c>
      <c r="AB37" s="530" t="s">
        <v>822</v>
      </c>
      <c r="AC37" s="526" t="e">
        <f t="shared" si="12"/>
        <v>#VALUE!</v>
      </c>
      <c r="AD37" s="600"/>
      <c r="AE37" s="526" t="s">
        <v>822</v>
      </c>
      <c r="AF37" s="530" t="s">
        <v>822</v>
      </c>
      <c r="AG37" s="530" t="s">
        <v>822</v>
      </c>
      <c r="AH37" s="526" t="e">
        <f t="shared" si="14"/>
        <v>#VALUE!</v>
      </c>
      <c r="AI37" s="600"/>
      <c r="AJ37" s="526" t="s">
        <v>822</v>
      </c>
      <c r="AK37" s="530" t="s">
        <v>822</v>
      </c>
      <c r="AL37" s="530" t="s">
        <v>822</v>
      </c>
      <c r="AM37" s="526" t="e">
        <f t="shared" si="16"/>
        <v>#VALUE!</v>
      </c>
      <c r="AN37" s="600"/>
      <c r="AO37" s="526" t="s">
        <v>822</v>
      </c>
      <c r="AP37" s="530" t="s">
        <v>822</v>
      </c>
      <c r="AQ37" s="530" t="s">
        <v>822</v>
      </c>
      <c r="AR37" s="526" t="e">
        <f t="shared" si="18"/>
        <v>#VALUE!</v>
      </c>
      <c r="AS37" s="600"/>
      <c r="AT37" s="526" t="s">
        <v>822</v>
      </c>
      <c r="AU37" s="530" t="s">
        <v>822</v>
      </c>
      <c r="AV37" s="530" t="s">
        <v>822</v>
      </c>
      <c r="AW37" s="526" t="e">
        <f t="shared" si="20"/>
        <v>#VALUE!</v>
      </c>
      <c r="AX37" s="600"/>
      <c r="AZ37" s="521" t="e">
        <f t="shared" si="22"/>
        <v>#N/A</v>
      </c>
      <c r="BA37" s="600"/>
    </row>
    <row r="38" spans="2:53">
      <c r="B38" s="610"/>
      <c r="C38" s="305">
        <v>12</v>
      </c>
      <c r="D38" s="455"/>
      <c r="E38" s="518"/>
      <c r="F38" s="518"/>
      <c r="G38" s="518"/>
      <c r="H38" s="668"/>
      <c r="I38" s="513" t="str">
        <f t="shared" si="5"/>
        <v>-</v>
      </c>
      <c r="J38" s="513" t="str">
        <f t="shared" si="6"/>
        <v>-</v>
      </c>
      <c r="K38" s="200" t="str">
        <f t="shared" si="7"/>
        <v>-</v>
      </c>
      <c r="L38" s="621"/>
      <c r="M38" s="201" t="e">
        <f>RANK(K38, K$27:$K$41)</f>
        <v>#VALUE!</v>
      </c>
      <c r="N38" s="604"/>
      <c r="O38" s="604"/>
      <c r="P38" s="526" t="s">
        <v>822</v>
      </c>
      <c r="Q38" s="530" t="s">
        <v>822</v>
      </c>
      <c r="R38" s="530" t="s">
        <v>822</v>
      </c>
      <c r="S38" s="526" t="e">
        <f t="shared" si="8"/>
        <v>#VALUE!</v>
      </c>
      <c r="T38" s="600"/>
      <c r="U38" s="526" t="s">
        <v>822</v>
      </c>
      <c r="V38" s="530" t="s">
        <v>822</v>
      </c>
      <c r="W38" s="530" t="s">
        <v>822</v>
      </c>
      <c r="X38" s="526" t="e">
        <f t="shared" si="10"/>
        <v>#VALUE!</v>
      </c>
      <c r="Y38" s="600"/>
      <c r="Z38" s="526" t="s">
        <v>822</v>
      </c>
      <c r="AA38" s="530" t="s">
        <v>822</v>
      </c>
      <c r="AB38" s="530" t="s">
        <v>822</v>
      </c>
      <c r="AC38" s="526" t="e">
        <f t="shared" si="12"/>
        <v>#VALUE!</v>
      </c>
      <c r="AD38" s="600"/>
      <c r="AE38" s="526" t="s">
        <v>822</v>
      </c>
      <c r="AF38" s="530" t="s">
        <v>822</v>
      </c>
      <c r="AG38" s="530" t="s">
        <v>822</v>
      </c>
      <c r="AH38" s="526" t="e">
        <f t="shared" si="14"/>
        <v>#VALUE!</v>
      </c>
      <c r="AI38" s="600"/>
      <c r="AJ38" s="526" t="s">
        <v>822</v>
      </c>
      <c r="AK38" s="530" t="s">
        <v>822</v>
      </c>
      <c r="AL38" s="530" t="s">
        <v>822</v>
      </c>
      <c r="AM38" s="526" t="e">
        <f t="shared" si="16"/>
        <v>#VALUE!</v>
      </c>
      <c r="AN38" s="600"/>
      <c r="AO38" s="526" t="s">
        <v>822</v>
      </c>
      <c r="AP38" s="530" t="s">
        <v>822</v>
      </c>
      <c r="AQ38" s="530" t="s">
        <v>822</v>
      </c>
      <c r="AR38" s="526" t="e">
        <f t="shared" si="18"/>
        <v>#VALUE!</v>
      </c>
      <c r="AS38" s="600"/>
      <c r="AT38" s="526" t="s">
        <v>822</v>
      </c>
      <c r="AU38" s="530" t="s">
        <v>822</v>
      </c>
      <c r="AV38" s="530" t="s">
        <v>822</v>
      </c>
      <c r="AW38" s="526" t="e">
        <f t="shared" si="20"/>
        <v>#VALUE!</v>
      </c>
      <c r="AX38" s="600"/>
      <c r="AZ38" s="521" t="e">
        <f t="shared" si="22"/>
        <v>#N/A</v>
      </c>
      <c r="BA38" s="600"/>
    </row>
    <row r="39" spans="2:53">
      <c r="B39" s="610"/>
      <c r="C39" s="305">
        <v>13</v>
      </c>
      <c r="D39" s="455"/>
      <c r="E39" s="518"/>
      <c r="F39" s="518"/>
      <c r="G39" s="518"/>
      <c r="H39" s="668"/>
      <c r="I39" s="513" t="str">
        <f t="shared" si="5"/>
        <v>-</v>
      </c>
      <c r="J39" s="513" t="str">
        <f t="shared" si="6"/>
        <v>-</v>
      </c>
      <c r="K39" s="200" t="str">
        <f t="shared" si="7"/>
        <v>-</v>
      </c>
      <c r="L39" s="621"/>
      <c r="M39" s="201" t="e">
        <f>RANK(K39, K$27:$K$41)</f>
        <v>#VALUE!</v>
      </c>
      <c r="N39" s="604"/>
      <c r="O39" s="604"/>
      <c r="P39" s="526" t="s">
        <v>822</v>
      </c>
      <c r="Q39" s="530" t="s">
        <v>822</v>
      </c>
      <c r="R39" s="530" t="s">
        <v>822</v>
      </c>
      <c r="S39" s="526" t="e">
        <f t="shared" si="8"/>
        <v>#VALUE!</v>
      </c>
      <c r="T39" s="600"/>
      <c r="U39" s="526" t="s">
        <v>822</v>
      </c>
      <c r="V39" s="530" t="s">
        <v>822</v>
      </c>
      <c r="W39" s="530" t="s">
        <v>822</v>
      </c>
      <c r="X39" s="526" t="e">
        <f t="shared" si="10"/>
        <v>#VALUE!</v>
      </c>
      <c r="Y39" s="600"/>
      <c r="Z39" s="526" t="s">
        <v>822</v>
      </c>
      <c r="AA39" s="530" t="s">
        <v>822</v>
      </c>
      <c r="AB39" s="530" t="s">
        <v>822</v>
      </c>
      <c r="AC39" s="526" t="e">
        <f t="shared" si="12"/>
        <v>#VALUE!</v>
      </c>
      <c r="AD39" s="600"/>
      <c r="AE39" s="526" t="s">
        <v>822</v>
      </c>
      <c r="AF39" s="530" t="s">
        <v>822</v>
      </c>
      <c r="AG39" s="530" t="s">
        <v>822</v>
      </c>
      <c r="AH39" s="526" t="e">
        <f t="shared" si="14"/>
        <v>#VALUE!</v>
      </c>
      <c r="AI39" s="600"/>
      <c r="AJ39" s="526" t="s">
        <v>822</v>
      </c>
      <c r="AK39" s="530" t="s">
        <v>822</v>
      </c>
      <c r="AL39" s="530" t="s">
        <v>822</v>
      </c>
      <c r="AM39" s="526" t="e">
        <f t="shared" si="16"/>
        <v>#VALUE!</v>
      </c>
      <c r="AN39" s="600"/>
      <c r="AO39" s="526" t="s">
        <v>822</v>
      </c>
      <c r="AP39" s="530" t="s">
        <v>822</v>
      </c>
      <c r="AQ39" s="530" t="s">
        <v>822</v>
      </c>
      <c r="AR39" s="526" t="e">
        <f t="shared" si="18"/>
        <v>#VALUE!</v>
      </c>
      <c r="AS39" s="600"/>
      <c r="AT39" s="526" t="s">
        <v>822</v>
      </c>
      <c r="AU39" s="530" t="s">
        <v>822</v>
      </c>
      <c r="AV39" s="530" t="s">
        <v>822</v>
      </c>
      <c r="AW39" s="526" t="e">
        <f t="shared" si="20"/>
        <v>#VALUE!</v>
      </c>
      <c r="AX39" s="600"/>
      <c r="AZ39" s="521" t="e">
        <f t="shared" si="22"/>
        <v>#N/A</v>
      </c>
      <c r="BA39" s="600"/>
    </row>
    <row r="40" spans="2:53">
      <c r="B40" s="610"/>
      <c r="C40" s="305">
        <v>14</v>
      </c>
      <c r="D40" s="455"/>
      <c r="E40" s="518"/>
      <c r="F40" s="518"/>
      <c r="G40" s="518"/>
      <c r="H40" s="668"/>
      <c r="I40" s="513" t="str">
        <f t="shared" si="5"/>
        <v>-</v>
      </c>
      <c r="J40" s="513" t="str">
        <f t="shared" si="6"/>
        <v>-</v>
      </c>
      <c r="K40" s="200" t="str">
        <f t="shared" si="7"/>
        <v>-</v>
      </c>
      <c r="L40" s="621"/>
      <c r="M40" s="201" t="e">
        <f>RANK(K40, K$27:$K$41)</f>
        <v>#VALUE!</v>
      </c>
      <c r="N40" s="604"/>
      <c r="O40" s="604"/>
      <c r="P40" s="526" t="s">
        <v>822</v>
      </c>
      <c r="Q40" s="530" t="s">
        <v>822</v>
      </c>
      <c r="R40" s="530" t="s">
        <v>822</v>
      </c>
      <c r="S40" s="526" t="e">
        <f t="shared" si="8"/>
        <v>#VALUE!</v>
      </c>
      <c r="T40" s="600"/>
      <c r="U40" s="526" t="s">
        <v>822</v>
      </c>
      <c r="V40" s="530" t="s">
        <v>822</v>
      </c>
      <c r="W40" s="530" t="s">
        <v>822</v>
      </c>
      <c r="X40" s="526" t="e">
        <f t="shared" si="10"/>
        <v>#VALUE!</v>
      </c>
      <c r="Y40" s="600"/>
      <c r="Z40" s="526" t="s">
        <v>822</v>
      </c>
      <c r="AA40" s="530" t="s">
        <v>822</v>
      </c>
      <c r="AB40" s="530" t="s">
        <v>822</v>
      </c>
      <c r="AC40" s="526" t="e">
        <f t="shared" si="12"/>
        <v>#VALUE!</v>
      </c>
      <c r="AD40" s="600"/>
      <c r="AE40" s="526" t="s">
        <v>822</v>
      </c>
      <c r="AF40" s="530" t="s">
        <v>822</v>
      </c>
      <c r="AG40" s="530" t="s">
        <v>822</v>
      </c>
      <c r="AH40" s="526" t="e">
        <f t="shared" si="14"/>
        <v>#VALUE!</v>
      </c>
      <c r="AI40" s="600"/>
      <c r="AJ40" s="526" t="s">
        <v>822</v>
      </c>
      <c r="AK40" s="530" t="s">
        <v>822</v>
      </c>
      <c r="AL40" s="530" t="s">
        <v>822</v>
      </c>
      <c r="AM40" s="526" t="e">
        <f t="shared" si="16"/>
        <v>#VALUE!</v>
      </c>
      <c r="AN40" s="600"/>
      <c r="AO40" s="526" t="s">
        <v>822</v>
      </c>
      <c r="AP40" s="530" t="s">
        <v>822</v>
      </c>
      <c r="AQ40" s="530" t="s">
        <v>822</v>
      </c>
      <c r="AR40" s="526" t="e">
        <f t="shared" si="18"/>
        <v>#VALUE!</v>
      </c>
      <c r="AS40" s="600"/>
      <c r="AT40" s="526" t="s">
        <v>822</v>
      </c>
      <c r="AU40" s="530" t="s">
        <v>822</v>
      </c>
      <c r="AV40" s="530" t="s">
        <v>822</v>
      </c>
      <c r="AW40" s="526" t="e">
        <f t="shared" si="20"/>
        <v>#VALUE!</v>
      </c>
      <c r="AX40" s="600"/>
      <c r="AZ40" s="521" t="e">
        <f t="shared" si="22"/>
        <v>#N/A</v>
      </c>
      <c r="BA40" s="600"/>
    </row>
    <row r="41" spans="2:53">
      <c r="B41" s="610"/>
      <c r="C41" s="305">
        <v>15</v>
      </c>
      <c r="D41" s="455"/>
      <c r="E41" s="518"/>
      <c r="F41" s="518"/>
      <c r="G41" s="518"/>
      <c r="H41" s="669"/>
      <c r="I41" s="517"/>
      <c r="J41" s="517"/>
      <c r="K41" s="517"/>
      <c r="L41" s="622"/>
      <c r="M41" s="199" t="e">
        <f>RANK(K41, K$27:$K$41)</f>
        <v>#N/A</v>
      </c>
      <c r="N41" s="604"/>
      <c r="O41" s="604"/>
      <c r="P41" s="526" t="s">
        <v>822</v>
      </c>
      <c r="Q41" s="530" t="s">
        <v>822</v>
      </c>
      <c r="R41" s="530" t="s">
        <v>822</v>
      </c>
      <c r="S41" s="526" t="e">
        <f t="shared" si="8"/>
        <v>#VALUE!</v>
      </c>
      <c r="T41" s="601"/>
      <c r="U41" s="526" t="s">
        <v>822</v>
      </c>
      <c r="V41" s="530" t="s">
        <v>822</v>
      </c>
      <c r="W41" s="530" t="s">
        <v>822</v>
      </c>
      <c r="X41" s="526" t="e">
        <f t="shared" si="10"/>
        <v>#VALUE!</v>
      </c>
      <c r="Y41" s="601"/>
      <c r="Z41" s="526" t="s">
        <v>822</v>
      </c>
      <c r="AA41" s="530" t="s">
        <v>822</v>
      </c>
      <c r="AB41" s="530" t="s">
        <v>822</v>
      </c>
      <c r="AC41" s="526" t="e">
        <f t="shared" si="12"/>
        <v>#VALUE!</v>
      </c>
      <c r="AD41" s="601"/>
      <c r="AE41" s="526" t="s">
        <v>822</v>
      </c>
      <c r="AF41" s="530" t="s">
        <v>822</v>
      </c>
      <c r="AG41" s="530" t="s">
        <v>822</v>
      </c>
      <c r="AH41" s="526" t="e">
        <f t="shared" si="14"/>
        <v>#VALUE!</v>
      </c>
      <c r="AI41" s="601"/>
      <c r="AJ41" s="526" t="s">
        <v>822</v>
      </c>
      <c r="AK41" s="530" t="s">
        <v>822</v>
      </c>
      <c r="AL41" s="530" t="s">
        <v>822</v>
      </c>
      <c r="AM41" s="526" t="e">
        <f t="shared" si="16"/>
        <v>#VALUE!</v>
      </c>
      <c r="AN41" s="601"/>
      <c r="AO41" s="526" t="s">
        <v>822</v>
      </c>
      <c r="AP41" s="530" t="s">
        <v>822</v>
      </c>
      <c r="AQ41" s="530" t="s">
        <v>822</v>
      </c>
      <c r="AR41" s="526" t="e">
        <f t="shared" si="18"/>
        <v>#VALUE!</v>
      </c>
      <c r="AS41" s="601"/>
      <c r="AT41" s="526" t="s">
        <v>822</v>
      </c>
      <c r="AU41" s="530" t="s">
        <v>822</v>
      </c>
      <c r="AV41" s="530" t="s">
        <v>822</v>
      </c>
      <c r="AW41" s="526" t="e">
        <f t="shared" si="20"/>
        <v>#VALUE!</v>
      </c>
      <c r="AX41" s="601"/>
      <c r="AZ41" s="521" t="e">
        <f t="shared" si="22"/>
        <v>#N/A</v>
      </c>
      <c r="BA41" s="601"/>
    </row>
    <row r="42" spans="2:53" ht="15.75">
      <c r="B42" s="648" t="s">
        <v>163</v>
      </c>
      <c r="C42" s="649"/>
      <c r="D42" s="649"/>
      <c r="E42" s="649"/>
      <c r="F42" s="649"/>
      <c r="G42" s="649"/>
      <c r="H42" s="649"/>
      <c r="I42" s="208"/>
      <c r="J42" s="203"/>
      <c r="K42" s="208"/>
      <c r="L42" s="208"/>
      <c r="M42" s="204"/>
      <c r="N42" s="606" t="s">
        <v>156</v>
      </c>
      <c r="O42" s="606" t="s">
        <v>105</v>
      </c>
      <c r="P42" s="632">
        <f>P22+7</f>
        <v>46126</v>
      </c>
      <c r="Q42" s="610"/>
      <c r="R42" s="610"/>
      <c r="S42" s="610"/>
      <c r="T42" s="610"/>
      <c r="U42" s="629">
        <f>P42+1</f>
        <v>46127</v>
      </c>
      <c r="V42" s="630"/>
      <c r="W42" s="630"/>
      <c r="X42" s="630"/>
      <c r="Y42" s="631"/>
      <c r="Z42" s="629">
        <f>U42+1</f>
        <v>46128</v>
      </c>
      <c r="AA42" s="630"/>
      <c r="AB42" s="630"/>
      <c r="AC42" s="630"/>
      <c r="AD42" s="631"/>
      <c r="AE42" s="629">
        <f>Z42+1</f>
        <v>46129</v>
      </c>
      <c r="AF42" s="630"/>
      <c r="AG42" s="630"/>
      <c r="AH42" s="630"/>
      <c r="AI42" s="631"/>
      <c r="AJ42" s="629">
        <f>AE42+1</f>
        <v>46130</v>
      </c>
      <c r="AK42" s="630"/>
      <c r="AL42" s="630"/>
      <c r="AM42" s="630"/>
      <c r="AN42" s="631"/>
      <c r="AO42" s="629">
        <f>AJ42+1</f>
        <v>46131</v>
      </c>
      <c r="AP42" s="630"/>
      <c r="AQ42" s="630"/>
      <c r="AR42" s="630"/>
      <c r="AS42" s="631"/>
      <c r="AT42" s="629">
        <f>AO42+1</f>
        <v>46132</v>
      </c>
      <c r="AU42" s="630"/>
      <c r="AV42" s="630"/>
      <c r="AW42" s="630"/>
      <c r="AX42" s="631"/>
    </row>
    <row r="43" spans="2:53" ht="15.75">
      <c r="B43" s="636"/>
      <c r="C43" s="636"/>
      <c r="D43" s="636"/>
      <c r="E43" s="636"/>
      <c r="F43" s="636"/>
      <c r="G43" s="636"/>
      <c r="H43" s="636"/>
      <c r="I43" s="205"/>
      <c r="J43" s="205"/>
      <c r="K43" s="205"/>
      <c r="L43" s="205"/>
      <c r="M43" s="206"/>
      <c r="N43" s="608"/>
      <c r="O43" s="608"/>
      <c r="P43" s="632" t="s">
        <v>336</v>
      </c>
      <c r="Q43" s="610"/>
      <c r="R43" s="610"/>
      <c r="S43" s="610"/>
      <c r="T43" s="610"/>
      <c r="U43" s="632" t="s">
        <v>337</v>
      </c>
      <c r="V43" s="610"/>
      <c r="W43" s="610"/>
      <c r="X43" s="610"/>
      <c r="Y43" s="610"/>
      <c r="Z43" s="632" t="s">
        <v>338</v>
      </c>
      <c r="AA43" s="610"/>
      <c r="AB43" s="610"/>
      <c r="AC43" s="610"/>
      <c r="AD43" s="610"/>
      <c r="AE43" s="632" t="s">
        <v>339</v>
      </c>
      <c r="AF43" s="610"/>
      <c r="AG43" s="610"/>
      <c r="AH43" s="610"/>
      <c r="AI43" s="610"/>
      <c r="AJ43" s="632" t="s">
        <v>340</v>
      </c>
      <c r="AK43" s="610"/>
      <c r="AL43" s="610"/>
      <c r="AM43" s="610"/>
      <c r="AN43" s="610"/>
      <c r="AO43" s="632" t="s">
        <v>341</v>
      </c>
      <c r="AP43" s="610"/>
      <c r="AQ43" s="610"/>
      <c r="AR43" s="610"/>
      <c r="AS43" s="610"/>
      <c r="AT43" s="632" t="s">
        <v>342</v>
      </c>
      <c r="AU43" s="610"/>
      <c r="AV43" s="610"/>
      <c r="AW43" s="610"/>
      <c r="AX43" s="610"/>
    </row>
    <row r="44" spans="2:53">
      <c r="B44" s="604" t="s">
        <v>398</v>
      </c>
      <c r="C44" s="604" t="s">
        <v>408</v>
      </c>
      <c r="D44" s="604"/>
      <c r="E44" s="604" t="s">
        <v>399</v>
      </c>
      <c r="F44" s="604"/>
      <c r="G44" s="604"/>
      <c r="H44" s="637" t="s">
        <v>395</v>
      </c>
      <c r="I44" s="656" t="s">
        <v>400</v>
      </c>
      <c r="J44" s="656"/>
      <c r="K44" s="656"/>
      <c r="L44" s="657" t="s">
        <v>395</v>
      </c>
      <c r="M44" s="642" t="s">
        <v>396</v>
      </c>
      <c r="N44" s="604"/>
      <c r="O44" s="604" t="s">
        <v>401</v>
      </c>
      <c r="P44" s="623" t="s">
        <v>755</v>
      </c>
      <c r="Q44" s="624"/>
      <c r="R44" s="624"/>
      <c r="S44" s="625"/>
      <c r="T44" s="604" t="s">
        <v>756</v>
      </c>
      <c r="U44" s="623" t="s">
        <v>755</v>
      </c>
      <c r="V44" s="624"/>
      <c r="W44" s="624"/>
      <c r="X44" s="625"/>
      <c r="Y44" s="604" t="s">
        <v>756</v>
      </c>
      <c r="Z44" s="623" t="s">
        <v>755</v>
      </c>
      <c r="AA44" s="624"/>
      <c r="AB44" s="624"/>
      <c r="AC44" s="625"/>
      <c r="AD44" s="604" t="s">
        <v>756</v>
      </c>
      <c r="AE44" s="623" t="s">
        <v>755</v>
      </c>
      <c r="AF44" s="624"/>
      <c r="AG44" s="624"/>
      <c r="AH44" s="625"/>
      <c r="AI44" s="604" t="s">
        <v>756</v>
      </c>
      <c r="AJ44" s="623" t="s">
        <v>755</v>
      </c>
      <c r="AK44" s="624"/>
      <c r="AL44" s="624"/>
      <c r="AM44" s="625"/>
      <c r="AN44" s="604" t="s">
        <v>756</v>
      </c>
      <c r="AO44" s="623" t="s">
        <v>755</v>
      </c>
      <c r="AP44" s="624"/>
      <c r="AQ44" s="624"/>
      <c r="AR44" s="625"/>
      <c r="AS44" s="604" t="s">
        <v>756</v>
      </c>
      <c r="AT44" s="623" t="s">
        <v>755</v>
      </c>
      <c r="AU44" s="624"/>
      <c r="AV44" s="624"/>
      <c r="AW44" s="625"/>
      <c r="AX44" s="604" t="s">
        <v>756</v>
      </c>
      <c r="BA44" s="604" t="s">
        <v>395</v>
      </c>
    </row>
    <row r="45" spans="2:53">
      <c r="B45" s="604"/>
      <c r="C45" s="604"/>
      <c r="D45" s="604"/>
      <c r="E45" s="604" t="s">
        <v>402</v>
      </c>
      <c r="F45" s="604"/>
      <c r="G45" s="604"/>
      <c r="H45" s="638"/>
      <c r="I45" s="656" t="s">
        <v>402</v>
      </c>
      <c r="J45" s="656"/>
      <c r="K45" s="656"/>
      <c r="L45" s="658"/>
      <c r="M45" s="643"/>
      <c r="N45" s="604"/>
      <c r="O45" s="604"/>
      <c r="P45" s="623" t="s">
        <v>757</v>
      </c>
      <c r="Q45" s="624"/>
      <c r="R45" s="624"/>
      <c r="S45" s="625"/>
      <c r="T45" s="604"/>
      <c r="U45" s="623" t="s">
        <v>757</v>
      </c>
      <c r="V45" s="624"/>
      <c r="W45" s="624"/>
      <c r="X45" s="625"/>
      <c r="Y45" s="604"/>
      <c r="Z45" s="623" t="s">
        <v>757</v>
      </c>
      <c r="AA45" s="624"/>
      <c r="AB45" s="624"/>
      <c r="AC45" s="625"/>
      <c r="AD45" s="604"/>
      <c r="AE45" s="623" t="s">
        <v>757</v>
      </c>
      <c r="AF45" s="624"/>
      <c r="AG45" s="624"/>
      <c r="AH45" s="625"/>
      <c r="AI45" s="604"/>
      <c r="AJ45" s="623" t="s">
        <v>757</v>
      </c>
      <c r="AK45" s="624"/>
      <c r="AL45" s="624"/>
      <c r="AM45" s="625"/>
      <c r="AN45" s="604"/>
      <c r="AO45" s="623" t="s">
        <v>757</v>
      </c>
      <c r="AP45" s="624"/>
      <c r="AQ45" s="624"/>
      <c r="AR45" s="625"/>
      <c r="AS45" s="604"/>
      <c r="AT45" s="623" t="s">
        <v>757</v>
      </c>
      <c r="AU45" s="624"/>
      <c r="AV45" s="624"/>
      <c r="AW45" s="625"/>
      <c r="AX45" s="604"/>
      <c r="BA45" s="604"/>
    </row>
    <row r="46" spans="2:53">
      <c r="B46" s="604"/>
      <c r="C46" s="604"/>
      <c r="D46" s="604"/>
      <c r="E46" s="304" t="s">
        <v>404</v>
      </c>
      <c r="F46" s="304" t="s">
        <v>405</v>
      </c>
      <c r="G46" s="304" t="s">
        <v>406</v>
      </c>
      <c r="H46" s="639"/>
      <c r="I46" s="303" t="s">
        <v>404</v>
      </c>
      <c r="J46" s="303" t="s">
        <v>405</v>
      </c>
      <c r="K46" s="303" t="s">
        <v>406</v>
      </c>
      <c r="L46" s="659"/>
      <c r="M46" s="644"/>
      <c r="N46" s="604"/>
      <c r="O46" s="604"/>
      <c r="P46" s="484" t="s">
        <v>758</v>
      </c>
      <c r="Q46" s="484" t="s">
        <v>759</v>
      </c>
      <c r="R46" s="484" t="s">
        <v>760</v>
      </c>
      <c r="S46" s="484" t="s">
        <v>761</v>
      </c>
      <c r="T46" s="604"/>
      <c r="U46" s="484" t="s">
        <v>758</v>
      </c>
      <c r="V46" s="484" t="s">
        <v>759</v>
      </c>
      <c r="W46" s="484" t="s">
        <v>760</v>
      </c>
      <c r="X46" s="484" t="s">
        <v>761</v>
      </c>
      <c r="Y46" s="604"/>
      <c r="Z46" s="484" t="s">
        <v>758</v>
      </c>
      <c r="AA46" s="484" t="s">
        <v>759</v>
      </c>
      <c r="AB46" s="484" t="s">
        <v>760</v>
      </c>
      <c r="AC46" s="484" t="s">
        <v>761</v>
      </c>
      <c r="AD46" s="604"/>
      <c r="AE46" s="484" t="s">
        <v>758</v>
      </c>
      <c r="AF46" s="484" t="s">
        <v>759</v>
      </c>
      <c r="AG46" s="484" t="s">
        <v>760</v>
      </c>
      <c r="AH46" s="484" t="s">
        <v>761</v>
      </c>
      <c r="AI46" s="604"/>
      <c r="AJ46" s="484" t="s">
        <v>758</v>
      </c>
      <c r="AK46" s="484" t="s">
        <v>759</v>
      </c>
      <c r="AL46" s="484" t="s">
        <v>760</v>
      </c>
      <c r="AM46" s="484" t="s">
        <v>761</v>
      </c>
      <c r="AN46" s="604"/>
      <c r="AO46" s="484" t="s">
        <v>758</v>
      </c>
      <c r="AP46" s="484" t="s">
        <v>759</v>
      </c>
      <c r="AQ46" s="484" t="s">
        <v>760</v>
      </c>
      <c r="AR46" s="484" t="s">
        <v>761</v>
      </c>
      <c r="AS46" s="604"/>
      <c r="AT46" s="484" t="s">
        <v>758</v>
      </c>
      <c r="AU46" s="484" t="s">
        <v>759</v>
      </c>
      <c r="AV46" s="484" t="s">
        <v>760</v>
      </c>
      <c r="AW46" s="484" t="s">
        <v>761</v>
      </c>
      <c r="AX46" s="604"/>
      <c r="AZ46" s="520" t="s">
        <v>761</v>
      </c>
      <c r="BA46" s="604"/>
    </row>
    <row r="47" spans="2:53">
      <c r="B47" s="604" t="s">
        <v>410</v>
      </c>
      <c r="C47" s="305">
        <v>1</v>
      </c>
      <c r="D47" s="226" t="s">
        <v>639</v>
      </c>
      <c r="E47" s="182">
        <v>14</v>
      </c>
      <c r="F47" s="511">
        <v>1500</v>
      </c>
      <c r="G47" s="512">
        <v>107.1</v>
      </c>
      <c r="H47" s="667">
        <f>AVERAGE(G47:G61)</f>
        <v>96.449999999999989</v>
      </c>
      <c r="I47" s="513">
        <f t="shared" ref="I47:I60" si="24">IFERROR(AVERAGE(P47,U47,Z47,AE47,AJ47,AO47,AT47),"-")</f>
        <v>13.857142857142858</v>
      </c>
      <c r="J47" s="513">
        <f t="shared" ref="J47:J60" si="25">IFERROR(AVERAGE(Q47,V47,AA47,AF47,AK47,AP47,AU47),"-")</f>
        <v>1228.6071205682185</v>
      </c>
      <c r="K47" s="200">
        <f t="shared" ref="K47:K60" si="26">IFERROR(AVERAGE(R47,W47,AB47,AG47,AL47,AQ47,AV47),"-")</f>
        <v>88.689651799655053</v>
      </c>
      <c r="L47" s="620">
        <f>IFERROR(AVERAGE(K47:K61),"-")</f>
        <v>83.212057836257472</v>
      </c>
      <c r="M47" s="201">
        <f>RANK(K47, K$47:$K$61)</f>
        <v>1</v>
      </c>
      <c r="N47" s="604"/>
      <c r="O47" s="604"/>
      <c r="P47" s="531">
        <v>14</v>
      </c>
      <c r="Q47" s="533">
        <v>1213.0434782608695</v>
      </c>
      <c r="R47" s="533">
        <v>86.645962732919244</v>
      </c>
      <c r="S47" s="531">
        <f t="shared" ref="S47:S61" si="27">RANK(R47, R$47:R$61)</f>
        <v>1</v>
      </c>
      <c r="T47" s="650">
        <f t="shared" ref="T47" si="28">AVERAGE(R47:R61)</f>
        <v>84.257263070896869</v>
      </c>
      <c r="U47" s="531">
        <v>13</v>
      </c>
      <c r="V47" s="533">
        <v>1187.3684210526308</v>
      </c>
      <c r="W47" s="533">
        <v>91.336032388663909</v>
      </c>
      <c r="X47" s="531">
        <f t="shared" ref="X47:X61" si="29">RANK(W47, W$47:W$61)</f>
        <v>1</v>
      </c>
      <c r="Y47" s="650">
        <f t="shared" ref="Y47" si="30">AVERAGE(W47:W61)</f>
        <v>84.815706975479998</v>
      </c>
      <c r="Z47" s="531">
        <v>14</v>
      </c>
      <c r="AA47" s="533">
        <v>1247.9999999999995</v>
      </c>
      <c r="AB47" s="533">
        <v>89.14285714285711</v>
      </c>
      <c r="AC47" s="531">
        <f t="shared" ref="AC47:AC61" si="31">RANK(AB47, AB$47:AB$61)</f>
        <v>1</v>
      </c>
      <c r="AD47" s="650">
        <f t="shared" ref="AD47" si="32">AVERAGE(AB47:AB61)</f>
        <v>84.163947998554264</v>
      </c>
      <c r="AE47" s="531">
        <v>14</v>
      </c>
      <c r="AF47" s="533">
        <v>1249.9999999999991</v>
      </c>
      <c r="AG47" s="533">
        <v>89.285714285714221</v>
      </c>
      <c r="AH47" s="531">
        <f t="shared" ref="AH47:AH61" si="33">RANK(AG47, AG$47:AG$61)</f>
        <v>1</v>
      </c>
      <c r="AI47" s="650">
        <f t="shared" ref="AI47" si="34">AVERAGE(AG47:AG61)</f>
        <v>82.953513925895578</v>
      </c>
      <c r="AJ47" s="531">
        <v>14</v>
      </c>
      <c r="AK47" s="533">
        <v>1227.2727272727273</v>
      </c>
      <c r="AL47" s="533">
        <v>87.662337662337663</v>
      </c>
      <c r="AM47" s="531">
        <f t="shared" ref="AM47:AM61" si="35">RANK(AL47, AL$47:AL$61)</f>
        <v>1</v>
      </c>
      <c r="AN47" s="650">
        <f t="shared" ref="AN47" si="36">AVERAGE(AL47:AL61)</f>
        <v>82.069083053778328</v>
      </c>
      <c r="AO47" s="531">
        <v>14</v>
      </c>
      <c r="AP47" s="533">
        <v>1225.0000000000002</v>
      </c>
      <c r="AQ47" s="533">
        <v>87.500000000000014</v>
      </c>
      <c r="AR47" s="531">
        <f t="shared" ref="AR47:AR61" si="37">RANK(AQ47, AQ$47:AQ$61)</f>
        <v>1</v>
      </c>
      <c r="AS47" s="650">
        <f t="shared" ref="AS47" si="38">AVERAGE(AQ47:AQ61)</f>
        <v>82.33328429395155</v>
      </c>
      <c r="AT47" s="531">
        <v>14</v>
      </c>
      <c r="AU47" s="533">
        <v>1249.5652173913043</v>
      </c>
      <c r="AV47" s="533">
        <v>89.254658385093165</v>
      </c>
      <c r="AW47" s="531">
        <f t="shared" ref="AW47:AW61" si="39">RANK(AV47, AV$47:AV$61)</f>
        <v>1</v>
      </c>
      <c r="AX47" s="650">
        <f t="shared" ref="AX47" si="40">AVERAGE(AV47:AV61)</f>
        <v>81.891605535245773</v>
      </c>
      <c r="AZ47" s="521" t="e">
        <f t="shared" ref="AZ47:AZ61" si="41">RANK(AY47, AY$47:AY$61)</f>
        <v>#N/A</v>
      </c>
      <c r="BA47" s="650" t="e">
        <f t="shared" ref="BA47" si="42">AVERAGE(AY47:AY61)</f>
        <v>#DIV/0!</v>
      </c>
    </row>
    <row r="48" spans="2:53">
      <c r="B48" s="610"/>
      <c r="C48" s="305">
        <v>2</v>
      </c>
      <c r="D48" s="226" t="s">
        <v>675</v>
      </c>
      <c r="E48" s="182">
        <v>16</v>
      </c>
      <c r="F48" s="511">
        <v>1636</v>
      </c>
      <c r="G48" s="512">
        <v>102.3</v>
      </c>
      <c r="H48" s="668"/>
      <c r="I48" s="513">
        <f t="shared" si="24"/>
        <v>17.142857142857142</v>
      </c>
      <c r="J48" s="513">
        <f t="shared" si="25"/>
        <v>1427.831869020087</v>
      </c>
      <c r="K48" s="200">
        <f t="shared" si="26"/>
        <v>83.325588814758092</v>
      </c>
      <c r="L48" s="621"/>
      <c r="M48" s="201">
        <f>RANK(K48, K$47:$K$61)</f>
        <v>2</v>
      </c>
      <c r="N48" s="604"/>
      <c r="O48" s="604"/>
      <c r="P48" s="531">
        <v>17</v>
      </c>
      <c r="Q48" s="533">
        <v>1445.1923076923085</v>
      </c>
      <c r="R48" s="533">
        <v>85.011312217194615</v>
      </c>
      <c r="S48" s="531">
        <f t="shared" si="27"/>
        <v>2</v>
      </c>
      <c r="T48" s="651"/>
      <c r="U48" s="531">
        <v>17</v>
      </c>
      <c r="V48" s="533">
        <v>1426.1052631578948</v>
      </c>
      <c r="W48" s="533">
        <v>83.888544891640876</v>
      </c>
      <c r="X48" s="531">
        <f t="shared" si="29"/>
        <v>3</v>
      </c>
      <c r="Y48" s="651"/>
      <c r="Z48" s="531">
        <v>17</v>
      </c>
      <c r="AA48" s="533">
        <v>1433.7500000000005</v>
      </c>
      <c r="AB48" s="533">
        <v>84.33823529411768</v>
      </c>
      <c r="AC48" s="531">
        <f t="shared" si="31"/>
        <v>3</v>
      </c>
      <c r="AD48" s="651"/>
      <c r="AE48" s="531">
        <v>17</v>
      </c>
      <c r="AF48" s="533">
        <v>1437.2571428571434</v>
      </c>
      <c r="AG48" s="533">
        <v>84.544537815126091</v>
      </c>
      <c r="AH48" s="531">
        <f t="shared" si="33"/>
        <v>2</v>
      </c>
      <c r="AI48" s="651"/>
      <c r="AJ48" s="531">
        <v>18</v>
      </c>
      <c r="AK48" s="533">
        <v>1423.404255319148</v>
      </c>
      <c r="AL48" s="533">
        <v>79.078014184397105</v>
      </c>
      <c r="AM48" s="531">
        <f t="shared" si="35"/>
        <v>4</v>
      </c>
      <c r="AN48" s="651"/>
      <c r="AO48" s="531">
        <v>17</v>
      </c>
      <c r="AP48" s="533">
        <v>1431.8918918918919</v>
      </c>
      <c r="AQ48" s="533">
        <v>84.228934817170114</v>
      </c>
      <c r="AR48" s="531">
        <f t="shared" si="37"/>
        <v>2</v>
      </c>
      <c r="AS48" s="651"/>
      <c r="AT48" s="531">
        <v>17</v>
      </c>
      <c r="AU48" s="533">
        <v>1397.2222222222222</v>
      </c>
      <c r="AV48" s="533">
        <v>82.189542483660134</v>
      </c>
      <c r="AW48" s="531">
        <f t="shared" si="39"/>
        <v>2</v>
      </c>
      <c r="AX48" s="651"/>
      <c r="AZ48" s="521" t="e">
        <f t="shared" si="41"/>
        <v>#N/A</v>
      </c>
      <c r="BA48" s="651"/>
    </row>
    <row r="49" spans="2:53">
      <c r="B49" s="610"/>
      <c r="C49" s="305">
        <v>3</v>
      </c>
      <c r="D49" s="226" t="s">
        <v>792</v>
      </c>
      <c r="E49" s="182">
        <v>17</v>
      </c>
      <c r="F49" s="511">
        <v>1500</v>
      </c>
      <c r="G49" s="512">
        <v>88.2</v>
      </c>
      <c r="H49" s="668"/>
      <c r="I49" s="513">
        <f t="shared" si="24"/>
        <v>17</v>
      </c>
      <c r="J49" s="513">
        <f t="shared" si="25"/>
        <v>1344.5317296345454</v>
      </c>
      <c r="K49" s="200">
        <f t="shared" si="26"/>
        <v>79.090101743208564</v>
      </c>
      <c r="L49" s="621"/>
      <c r="M49" s="201">
        <f>RANK(K49, K$47:$K$61)</f>
        <v>4</v>
      </c>
      <c r="N49" s="604"/>
      <c r="O49" s="604"/>
      <c r="P49" s="531">
        <v>17</v>
      </c>
      <c r="Q49" s="533">
        <v>1371.627906976744</v>
      </c>
      <c r="R49" s="533">
        <v>80.683994528043769</v>
      </c>
      <c r="S49" s="531">
        <f t="shared" si="27"/>
        <v>4</v>
      </c>
      <c r="T49" s="651"/>
      <c r="U49" s="531">
        <v>17</v>
      </c>
      <c r="V49" s="533">
        <v>1351.3636363636365</v>
      </c>
      <c r="W49" s="533">
        <v>79.491978609625676</v>
      </c>
      <c r="X49" s="531">
        <f t="shared" si="29"/>
        <v>4</v>
      </c>
      <c r="Y49" s="651"/>
      <c r="Z49" s="531">
        <v>17</v>
      </c>
      <c r="AA49" s="533">
        <v>1322.6666666666667</v>
      </c>
      <c r="AB49" s="533">
        <v>77.803921568627459</v>
      </c>
      <c r="AC49" s="531">
        <f t="shared" si="31"/>
        <v>4</v>
      </c>
      <c r="AD49" s="651"/>
      <c r="AE49" s="531">
        <v>17</v>
      </c>
      <c r="AF49" s="533">
        <v>1342.2222222222229</v>
      </c>
      <c r="AG49" s="533">
        <v>78.954248366013104</v>
      </c>
      <c r="AH49" s="531">
        <f t="shared" si="33"/>
        <v>4</v>
      </c>
      <c r="AI49" s="651"/>
      <c r="AJ49" s="531">
        <v>17</v>
      </c>
      <c r="AK49" s="533">
        <v>1381.578947368426</v>
      </c>
      <c r="AL49" s="533">
        <v>81.269349845201532</v>
      </c>
      <c r="AM49" s="531">
        <f t="shared" si="35"/>
        <v>2</v>
      </c>
      <c r="AN49" s="651"/>
      <c r="AO49" s="531">
        <v>17</v>
      </c>
      <c r="AP49" s="533">
        <v>1336.2162162162151</v>
      </c>
      <c r="AQ49" s="533">
        <v>78.600953895071484</v>
      </c>
      <c r="AR49" s="531">
        <f t="shared" si="37"/>
        <v>4</v>
      </c>
      <c r="AS49" s="651"/>
      <c r="AT49" s="531">
        <v>17</v>
      </c>
      <c r="AU49" s="533">
        <v>1306.0465116279067</v>
      </c>
      <c r="AV49" s="533">
        <v>76.826265389876866</v>
      </c>
      <c r="AW49" s="531">
        <f t="shared" si="39"/>
        <v>4</v>
      </c>
      <c r="AX49" s="651"/>
      <c r="AZ49" s="521" t="e">
        <f t="shared" si="41"/>
        <v>#N/A</v>
      </c>
      <c r="BA49" s="651"/>
    </row>
    <row r="50" spans="2:53">
      <c r="B50" s="610"/>
      <c r="C50" s="305">
        <v>4</v>
      </c>
      <c r="D50" s="226" t="s">
        <v>834</v>
      </c>
      <c r="E50" s="182">
        <v>17</v>
      </c>
      <c r="F50" s="511">
        <v>1500</v>
      </c>
      <c r="G50" s="512">
        <v>88.2</v>
      </c>
      <c r="H50" s="668"/>
      <c r="I50" s="513">
        <f t="shared" si="24"/>
        <v>17</v>
      </c>
      <c r="J50" s="513">
        <f t="shared" si="25"/>
        <v>1389.6291127859399</v>
      </c>
      <c r="K50" s="200">
        <f t="shared" si="26"/>
        <v>81.742888987408222</v>
      </c>
      <c r="L50" s="621"/>
      <c r="M50" s="201">
        <f>RANK(K50, K$47:$K$61)</f>
        <v>3</v>
      </c>
      <c r="N50" s="604"/>
      <c r="O50" s="604"/>
      <c r="P50" s="531">
        <v>17</v>
      </c>
      <c r="Q50" s="533">
        <v>1439.6923076923076</v>
      </c>
      <c r="R50" s="533">
        <v>84.687782805429862</v>
      </c>
      <c r="S50" s="531">
        <f t="shared" si="27"/>
        <v>3</v>
      </c>
      <c r="T50" s="651"/>
      <c r="U50" s="531">
        <v>17</v>
      </c>
      <c r="V50" s="533">
        <v>1437.2866242038217</v>
      </c>
      <c r="W50" s="533">
        <v>84.546272011989515</v>
      </c>
      <c r="X50" s="531">
        <f t="shared" si="29"/>
        <v>2</v>
      </c>
      <c r="Y50" s="651"/>
      <c r="Z50" s="531">
        <v>17</v>
      </c>
      <c r="AA50" s="533">
        <v>1451.3032258064516</v>
      </c>
      <c r="AB50" s="533">
        <v>85.370777988614805</v>
      </c>
      <c r="AC50" s="531">
        <f t="shared" si="31"/>
        <v>2</v>
      </c>
      <c r="AD50" s="651"/>
      <c r="AE50" s="531">
        <v>17</v>
      </c>
      <c r="AF50" s="533">
        <v>1343.5024390243907</v>
      </c>
      <c r="AG50" s="533">
        <v>79.029555236728868</v>
      </c>
      <c r="AH50" s="531">
        <f t="shared" si="33"/>
        <v>3</v>
      </c>
      <c r="AI50" s="651"/>
      <c r="AJ50" s="531">
        <v>17</v>
      </c>
      <c r="AK50" s="533">
        <v>1364.5327188940091</v>
      </c>
      <c r="AL50" s="533">
        <v>80.266630523177014</v>
      </c>
      <c r="AM50" s="531">
        <f t="shared" si="35"/>
        <v>3</v>
      </c>
      <c r="AN50" s="651"/>
      <c r="AO50" s="531">
        <v>17</v>
      </c>
      <c r="AP50" s="533">
        <v>1343.0552238805979</v>
      </c>
      <c r="AQ50" s="533">
        <v>79.003248463564574</v>
      </c>
      <c r="AR50" s="531">
        <f t="shared" si="37"/>
        <v>3</v>
      </c>
      <c r="AS50" s="651"/>
      <c r="AT50" s="531">
        <v>17</v>
      </c>
      <c r="AU50" s="533">
        <v>1348.03125</v>
      </c>
      <c r="AV50" s="533">
        <v>79.295955882352942</v>
      </c>
      <c r="AW50" s="531">
        <f t="shared" si="39"/>
        <v>3</v>
      </c>
      <c r="AX50" s="651"/>
      <c r="AZ50" s="521" t="e">
        <f t="shared" si="41"/>
        <v>#N/A</v>
      </c>
      <c r="BA50" s="651"/>
    </row>
    <row r="51" spans="2:53">
      <c r="B51" s="610"/>
      <c r="C51" s="305">
        <v>5</v>
      </c>
      <c r="D51" s="226"/>
      <c r="E51" s="182"/>
      <c r="F51" s="511"/>
      <c r="G51" s="512"/>
      <c r="H51" s="668"/>
      <c r="I51" s="513" t="str">
        <f t="shared" si="24"/>
        <v>-</v>
      </c>
      <c r="J51" s="513" t="str">
        <f t="shared" si="25"/>
        <v>-</v>
      </c>
      <c r="K51" s="200" t="str">
        <f t="shared" si="26"/>
        <v>-</v>
      </c>
      <c r="L51" s="621"/>
      <c r="M51" s="201" t="e">
        <f>RANK(K51, K$47:$K$61)</f>
        <v>#VALUE!</v>
      </c>
      <c r="N51" s="604"/>
      <c r="O51" s="604"/>
      <c r="P51" s="531" t="s">
        <v>822</v>
      </c>
      <c r="Q51" s="533" t="s">
        <v>822</v>
      </c>
      <c r="R51" s="533" t="s">
        <v>822</v>
      </c>
      <c r="S51" s="531" t="e">
        <f t="shared" si="27"/>
        <v>#VALUE!</v>
      </c>
      <c r="T51" s="651"/>
      <c r="U51" s="531" t="s">
        <v>822</v>
      </c>
      <c r="V51" s="533" t="s">
        <v>822</v>
      </c>
      <c r="W51" s="533" t="s">
        <v>822</v>
      </c>
      <c r="X51" s="531" t="e">
        <f t="shared" si="29"/>
        <v>#VALUE!</v>
      </c>
      <c r="Y51" s="651"/>
      <c r="Z51" s="531" t="s">
        <v>822</v>
      </c>
      <c r="AA51" s="533" t="s">
        <v>822</v>
      </c>
      <c r="AB51" s="533" t="s">
        <v>822</v>
      </c>
      <c r="AC51" s="531" t="e">
        <f t="shared" si="31"/>
        <v>#VALUE!</v>
      </c>
      <c r="AD51" s="651"/>
      <c r="AE51" s="531" t="s">
        <v>822</v>
      </c>
      <c r="AF51" s="533" t="s">
        <v>822</v>
      </c>
      <c r="AG51" s="533" t="s">
        <v>822</v>
      </c>
      <c r="AH51" s="531" t="e">
        <f t="shared" si="33"/>
        <v>#VALUE!</v>
      </c>
      <c r="AI51" s="651"/>
      <c r="AJ51" s="531" t="s">
        <v>822</v>
      </c>
      <c r="AK51" s="533" t="s">
        <v>822</v>
      </c>
      <c r="AL51" s="533" t="s">
        <v>822</v>
      </c>
      <c r="AM51" s="531" t="e">
        <f t="shared" si="35"/>
        <v>#VALUE!</v>
      </c>
      <c r="AN51" s="651"/>
      <c r="AO51" s="531" t="s">
        <v>822</v>
      </c>
      <c r="AP51" s="533" t="s">
        <v>822</v>
      </c>
      <c r="AQ51" s="533" t="s">
        <v>822</v>
      </c>
      <c r="AR51" s="531" t="e">
        <f t="shared" si="37"/>
        <v>#VALUE!</v>
      </c>
      <c r="AS51" s="651"/>
      <c r="AT51" s="531" t="s">
        <v>822</v>
      </c>
      <c r="AU51" s="533" t="s">
        <v>822</v>
      </c>
      <c r="AV51" s="533" t="s">
        <v>822</v>
      </c>
      <c r="AW51" s="531" t="e">
        <f t="shared" si="39"/>
        <v>#VALUE!</v>
      </c>
      <c r="AX51" s="651"/>
      <c r="AZ51" s="521" t="e">
        <f t="shared" si="41"/>
        <v>#N/A</v>
      </c>
      <c r="BA51" s="651"/>
    </row>
    <row r="52" spans="2:53">
      <c r="B52" s="610"/>
      <c r="C52" s="305">
        <v>6</v>
      </c>
      <c r="D52" s="226"/>
      <c r="E52" s="182"/>
      <c r="F52" s="511"/>
      <c r="G52" s="512"/>
      <c r="H52" s="668"/>
      <c r="I52" s="513" t="str">
        <f t="shared" si="24"/>
        <v>-</v>
      </c>
      <c r="J52" s="513" t="str">
        <f t="shared" si="25"/>
        <v>-</v>
      </c>
      <c r="K52" s="200" t="str">
        <f t="shared" si="26"/>
        <v>-</v>
      </c>
      <c r="L52" s="621"/>
      <c r="M52" s="201" t="e">
        <f>RANK(K52, K$47:$K$61)</f>
        <v>#VALUE!</v>
      </c>
      <c r="N52" s="604"/>
      <c r="O52" s="604"/>
      <c r="P52" s="531" t="s">
        <v>822</v>
      </c>
      <c r="Q52" s="533" t="s">
        <v>822</v>
      </c>
      <c r="R52" s="533" t="s">
        <v>822</v>
      </c>
      <c r="S52" s="531" t="e">
        <f t="shared" si="27"/>
        <v>#VALUE!</v>
      </c>
      <c r="T52" s="651"/>
      <c r="U52" s="531" t="s">
        <v>822</v>
      </c>
      <c r="V52" s="533" t="s">
        <v>822</v>
      </c>
      <c r="W52" s="533" t="s">
        <v>822</v>
      </c>
      <c r="X52" s="531" t="e">
        <f t="shared" si="29"/>
        <v>#VALUE!</v>
      </c>
      <c r="Y52" s="651"/>
      <c r="Z52" s="531" t="s">
        <v>822</v>
      </c>
      <c r="AA52" s="533" t="s">
        <v>822</v>
      </c>
      <c r="AB52" s="533" t="s">
        <v>822</v>
      </c>
      <c r="AC52" s="531" t="e">
        <f t="shared" si="31"/>
        <v>#VALUE!</v>
      </c>
      <c r="AD52" s="651"/>
      <c r="AE52" s="531" t="s">
        <v>822</v>
      </c>
      <c r="AF52" s="533" t="s">
        <v>822</v>
      </c>
      <c r="AG52" s="533" t="s">
        <v>822</v>
      </c>
      <c r="AH52" s="531" t="e">
        <f t="shared" si="33"/>
        <v>#VALUE!</v>
      </c>
      <c r="AI52" s="651"/>
      <c r="AJ52" s="531" t="s">
        <v>822</v>
      </c>
      <c r="AK52" s="533" t="s">
        <v>822</v>
      </c>
      <c r="AL52" s="533" t="s">
        <v>822</v>
      </c>
      <c r="AM52" s="531" t="e">
        <f t="shared" si="35"/>
        <v>#VALUE!</v>
      </c>
      <c r="AN52" s="651"/>
      <c r="AO52" s="531" t="s">
        <v>822</v>
      </c>
      <c r="AP52" s="533" t="s">
        <v>822</v>
      </c>
      <c r="AQ52" s="533" t="s">
        <v>822</v>
      </c>
      <c r="AR52" s="531" t="e">
        <f t="shared" si="37"/>
        <v>#VALUE!</v>
      </c>
      <c r="AS52" s="651"/>
      <c r="AT52" s="531" t="s">
        <v>822</v>
      </c>
      <c r="AU52" s="533" t="s">
        <v>822</v>
      </c>
      <c r="AV52" s="533" t="s">
        <v>822</v>
      </c>
      <c r="AW52" s="531" t="e">
        <f t="shared" si="39"/>
        <v>#VALUE!</v>
      </c>
      <c r="AX52" s="651"/>
      <c r="AZ52" s="521" t="e">
        <f t="shared" si="41"/>
        <v>#N/A</v>
      </c>
      <c r="BA52" s="651"/>
    </row>
    <row r="53" spans="2:53">
      <c r="B53" s="610"/>
      <c r="C53" s="305">
        <v>7</v>
      </c>
      <c r="D53" s="455"/>
      <c r="E53" s="518"/>
      <c r="F53" s="518"/>
      <c r="G53" s="518"/>
      <c r="H53" s="668"/>
      <c r="I53" s="513" t="str">
        <f t="shared" si="24"/>
        <v>-</v>
      </c>
      <c r="J53" s="513" t="str">
        <f t="shared" si="25"/>
        <v>-</v>
      </c>
      <c r="K53" s="200" t="str">
        <f t="shared" si="26"/>
        <v>-</v>
      </c>
      <c r="L53" s="621"/>
      <c r="M53" s="201" t="e">
        <f>RANK(K53, K$47:$K$61)</f>
        <v>#VALUE!</v>
      </c>
      <c r="N53" s="604"/>
      <c r="O53" s="604"/>
      <c r="P53" s="531" t="s">
        <v>822</v>
      </c>
      <c r="Q53" s="533" t="s">
        <v>822</v>
      </c>
      <c r="R53" s="533" t="s">
        <v>822</v>
      </c>
      <c r="S53" s="531" t="e">
        <f t="shared" si="27"/>
        <v>#VALUE!</v>
      </c>
      <c r="T53" s="651"/>
      <c r="U53" s="531" t="s">
        <v>822</v>
      </c>
      <c r="V53" s="533" t="s">
        <v>822</v>
      </c>
      <c r="W53" s="533" t="s">
        <v>822</v>
      </c>
      <c r="X53" s="531" t="e">
        <f t="shared" si="29"/>
        <v>#VALUE!</v>
      </c>
      <c r="Y53" s="651"/>
      <c r="Z53" s="531" t="s">
        <v>822</v>
      </c>
      <c r="AA53" s="533" t="s">
        <v>822</v>
      </c>
      <c r="AB53" s="533" t="s">
        <v>822</v>
      </c>
      <c r="AC53" s="531" t="e">
        <f t="shared" si="31"/>
        <v>#VALUE!</v>
      </c>
      <c r="AD53" s="651"/>
      <c r="AE53" s="531" t="s">
        <v>822</v>
      </c>
      <c r="AF53" s="533" t="s">
        <v>822</v>
      </c>
      <c r="AG53" s="533" t="s">
        <v>822</v>
      </c>
      <c r="AH53" s="531" t="e">
        <f t="shared" si="33"/>
        <v>#VALUE!</v>
      </c>
      <c r="AI53" s="651"/>
      <c r="AJ53" s="531" t="s">
        <v>822</v>
      </c>
      <c r="AK53" s="533" t="s">
        <v>822</v>
      </c>
      <c r="AL53" s="533" t="s">
        <v>822</v>
      </c>
      <c r="AM53" s="531" t="e">
        <f t="shared" si="35"/>
        <v>#VALUE!</v>
      </c>
      <c r="AN53" s="651"/>
      <c r="AO53" s="531" t="s">
        <v>822</v>
      </c>
      <c r="AP53" s="533" t="s">
        <v>822</v>
      </c>
      <c r="AQ53" s="533" t="s">
        <v>822</v>
      </c>
      <c r="AR53" s="531" t="e">
        <f t="shared" si="37"/>
        <v>#VALUE!</v>
      </c>
      <c r="AS53" s="651"/>
      <c r="AT53" s="531" t="s">
        <v>822</v>
      </c>
      <c r="AU53" s="533" t="s">
        <v>822</v>
      </c>
      <c r="AV53" s="533" t="s">
        <v>822</v>
      </c>
      <c r="AW53" s="531" t="e">
        <f t="shared" si="39"/>
        <v>#VALUE!</v>
      </c>
      <c r="AX53" s="651"/>
      <c r="AZ53" s="521" t="e">
        <f t="shared" si="41"/>
        <v>#N/A</v>
      </c>
      <c r="BA53" s="651"/>
    </row>
    <row r="54" spans="2:53">
      <c r="B54" s="610"/>
      <c r="C54" s="305">
        <v>8</v>
      </c>
      <c r="D54" s="455"/>
      <c r="E54" s="518"/>
      <c r="F54" s="518"/>
      <c r="G54" s="518"/>
      <c r="H54" s="668"/>
      <c r="I54" s="513" t="str">
        <f t="shared" si="24"/>
        <v>-</v>
      </c>
      <c r="J54" s="513" t="str">
        <f t="shared" si="25"/>
        <v>-</v>
      </c>
      <c r="K54" s="200" t="str">
        <f t="shared" si="26"/>
        <v>-</v>
      </c>
      <c r="L54" s="621"/>
      <c r="M54" s="201" t="e">
        <f>RANK(K54, K$47:$K$61)</f>
        <v>#VALUE!</v>
      </c>
      <c r="N54" s="604"/>
      <c r="O54" s="604"/>
      <c r="P54" s="531" t="s">
        <v>822</v>
      </c>
      <c r="Q54" s="533" t="s">
        <v>822</v>
      </c>
      <c r="R54" s="533" t="s">
        <v>822</v>
      </c>
      <c r="S54" s="531" t="e">
        <f t="shared" si="27"/>
        <v>#VALUE!</v>
      </c>
      <c r="T54" s="651"/>
      <c r="U54" s="531" t="s">
        <v>822</v>
      </c>
      <c r="V54" s="533" t="s">
        <v>822</v>
      </c>
      <c r="W54" s="533" t="s">
        <v>822</v>
      </c>
      <c r="X54" s="531" t="e">
        <f t="shared" si="29"/>
        <v>#VALUE!</v>
      </c>
      <c r="Y54" s="651"/>
      <c r="Z54" s="531" t="s">
        <v>822</v>
      </c>
      <c r="AA54" s="533" t="s">
        <v>822</v>
      </c>
      <c r="AB54" s="533" t="s">
        <v>822</v>
      </c>
      <c r="AC54" s="531" t="e">
        <f t="shared" si="31"/>
        <v>#VALUE!</v>
      </c>
      <c r="AD54" s="651"/>
      <c r="AE54" s="531" t="s">
        <v>822</v>
      </c>
      <c r="AF54" s="533" t="s">
        <v>822</v>
      </c>
      <c r="AG54" s="533" t="s">
        <v>822</v>
      </c>
      <c r="AH54" s="531" t="e">
        <f t="shared" si="33"/>
        <v>#VALUE!</v>
      </c>
      <c r="AI54" s="651"/>
      <c r="AJ54" s="531" t="s">
        <v>822</v>
      </c>
      <c r="AK54" s="533" t="s">
        <v>822</v>
      </c>
      <c r="AL54" s="533" t="s">
        <v>822</v>
      </c>
      <c r="AM54" s="531" t="e">
        <f t="shared" si="35"/>
        <v>#VALUE!</v>
      </c>
      <c r="AN54" s="651"/>
      <c r="AO54" s="531" t="s">
        <v>822</v>
      </c>
      <c r="AP54" s="533" t="s">
        <v>822</v>
      </c>
      <c r="AQ54" s="533" t="s">
        <v>822</v>
      </c>
      <c r="AR54" s="531" t="e">
        <f t="shared" si="37"/>
        <v>#VALUE!</v>
      </c>
      <c r="AS54" s="651"/>
      <c r="AT54" s="531" t="s">
        <v>822</v>
      </c>
      <c r="AU54" s="533" t="s">
        <v>822</v>
      </c>
      <c r="AV54" s="533" t="s">
        <v>822</v>
      </c>
      <c r="AW54" s="531" t="e">
        <f t="shared" si="39"/>
        <v>#VALUE!</v>
      </c>
      <c r="AX54" s="651"/>
      <c r="AZ54" s="521" t="e">
        <f t="shared" si="41"/>
        <v>#N/A</v>
      </c>
      <c r="BA54" s="651"/>
    </row>
    <row r="55" spans="2:53">
      <c r="B55" s="610"/>
      <c r="C55" s="305">
        <v>9</v>
      </c>
      <c r="D55" s="455"/>
      <c r="E55" s="518"/>
      <c r="F55" s="518"/>
      <c r="G55" s="518"/>
      <c r="H55" s="668"/>
      <c r="I55" s="513" t="str">
        <f t="shared" si="24"/>
        <v>-</v>
      </c>
      <c r="J55" s="513" t="str">
        <f t="shared" si="25"/>
        <v>-</v>
      </c>
      <c r="K55" s="200" t="str">
        <f t="shared" si="26"/>
        <v>-</v>
      </c>
      <c r="L55" s="621"/>
      <c r="M55" s="201" t="e">
        <f>RANK(K55, K$47:$K$61)</f>
        <v>#VALUE!</v>
      </c>
      <c r="N55" s="604"/>
      <c r="O55" s="604"/>
      <c r="P55" s="531" t="s">
        <v>822</v>
      </c>
      <c r="Q55" s="533" t="s">
        <v>822</v>
      </c>
      <c r="R55" s="533" t="s">
        <v>822</v>
      </c>
      <c r="S55" s="531" t="e">
        <f t="shared" si="27"/>
        <v>#VALUE!</v>
      </c>
      <c r="T55" s="651"/>
      <c r="U55" s="531" t="s">
        <v>822</v>
      </c>
      <c r="V55" s="533" t="s">
        <v>822</v>
      </c>
      <c r="W55" s="533" t="s">
        <v>822</v>
      </c>
      <c r="X55" s="531" t="e">
        <f t="shared" si="29"/>
        <v>#VALUE!</v>
      </c>
      <c r="Y55" s="651"/>
      <c r="Z55" s="531" t="s">
        <v>822</v>
      </c>
      <c r="AA55" s="533" t="s">
        <v>822</v>
      </c>
      <c r="AB55" s="533" t="s">
        <v>822</v>
      </c>
      <c r="AC55" s="531" t="e">
        <f t="shared" si="31"/>
        <v>#VALUE!</v>
      </c>
      <c r="AD55" s="651"/>
      <c r="AE55" s="531" t="s">
        <v>822</v>
      </c>
      <c r="AF55" s="533" t="s">
        <v>822</v>
      </c>
      <c r="AG55" s="533" t="s">
        <v>822</v>
      </c>
      <c r="AH55" s="531" t="e">
        <f t="shared" si="33"/>
        <v>#VALUE!</v>
      </c>
      <c r="AI55" s="651"/>
      <c r="AJ55" s="531" t="s">
        <v>822</v>
      </c>
      <c r="AK55" s="533" t="s">
        <v>822</v>
      </c>
      <c r="AL55" s="533" t="s">
        <v>822</v>
      </c>
      <c r="AM55" s="531" t="e">
        <f t="shared" si="35"/>
        <v>#VALUE!</v>
      </c>
      <c r="AN55" s="651"/>
      <c r="AO55" s="531" t="s">
        <v>822</v>
      </c>
      <c r="AP55" s="533" t="s">
        <v>822</v>
      </c>
      <c r="AQ55" s="533" t="s">
        <v>822</v>
      </c>
      <c r="AR55" s="531" t="e">
        <f t="shared" si="37"/>
        <v>#VALUE!</v>
      </c>
      <c r="AS55" s="651"/>
      <c r="AT55" s="531" t="s">
        <v>822</v>
      </c>
      <c r="AU55" s="533" t="s">
        <v>822</v>
      </c>
      <c r="AV55" s="533" t="s">
        <v>822</v>
      </c>
      <c r="AW55" s="531" t="e">
        <f t="shared" si="39"/>
        <v>#VALUE!</v>
      </c>
      <c r="AX55" s="651"/>
      <c r="AZ55" s="521" t="e">
        <f t="shared" si="41"/>
        <v>#N/A</v>
      </c>
      <c r="BA55" s="651"/>
    </row>
    <row r="56" spans="2:53">
      <c r="B56" s="610"/>
      <c r="C56" s="305">
        <v>10</v>
      </c>
      <c r="D56" s="455"/>
      <c r="E56" s="518"/>
      <c r="F56" s="518"/>
      <c r="G56" s="518"/>
      <c r="H56" s="668"/>
      <c r="I56" s="513" t="str">
        <f t="shared" si="24"/>
        <v>-</v>
      </c>
      <c r="J56" s="513" t="str">
        <f t="shared" si="25"/>
        <v>-</v>
      </c>
      <c r="K56" s="200" t="str">
        <f t="shared" si="26"/>
        <v>-</v>
      </c>
      <c r="L56" s="621"/>
      <c r="M56" s="201" t="e">
        <f>RANK(K56, K$47:$K$61)</f>
        <v>#VALUE!</v>
      </c>
      <c r="N56" s="604"/>
      <c r="O56" s="604"/>
      <c r="P56" s="531" t="s">
        <v>822</v>
      </c>
      <c r="Q56" s="533" t="s">
        <v>822</v>
      </c>
      <c r="R56" s="533" t="s">
        <v>822</v>
      </c>
      <c r="S56" s="531" t="e">
        <f t="shared" si="27"/>
        <v>#VALUE!</v>
      </c>
      <c r="T56" s="651"/>
      <c r="U56" s="531" t="s">
        <v>822</v>
      </c>
      <c r="V56" s="533" t="s">
        <v>822</v>
      </c>
      <c r="W56" s="533" t="s">
        <v>822</v>
      </c>
      <c r="X56" s="531" t="e">
        <f t="shared" si="29"/>
        <v>#VALUE!</v>
      </c>
      <c r="Y56" s="651"/>
      <c r="Z56" s="531" t="s">
        <v>822</v>
      </c>
      <c r="AA56" s="533" t="s">
        <v>822</v>
      </c>
      <c r="AB56" s="533" t="s">
        <v>822</v>
      </c>
      <c r="AC56" s="531" t="e">
        <f t="shared" si="31"/>
        <v>#VALUE!</v>
      </c>
      <c r="AD56" s="651"/>
      <c r="AE56" s="531" t="s">
        <v>822</v>
      </c>
      <c r="AF56" s="533" t="s">
        <v>822</v>
      </c>
      <c r="AG56" s="533" t="s">
        <v>822</v>
      </c>
      <c r="AH56" s="531" t="e">
        <f t="shared" si="33"/>
        <v>#VALUE!</v>
      </c>
      <c r="AI56" s="651"/>
      <c r="AJ56" s="531" t="s">
        <v>822</v>
      </c>
      <c r="AK56" s="533" t="s">
        <v>822</v>
      </c>
      <c r="AL56" s="533" t="s">
        <v>822</v>
      </c>
      <c r="AM56" s="531" t="e">
        <f t="shared" si="35"/>
        <v>#VALUE!</v>
      </c>
      <c r="AN56" s="651"/>
      <c r="AO56" s="531" t="s">
        <v>822</v>
      </c>
      <c r="AP56" s="533" t="s">
        <v>822</v>
      </c>
      <c r="AQ56" s="533" t="s">
        <v>822</v>
      </c>
      <c r="AR56" s="531" t="e">
        <f t="shared" si="37"/>
        <v>#VALUE!</v>
      </c>
      <c r="AS56" s="651"/>
      <c r="AT56" s="531" t="s">
        <v>822</v>
      </c>
      <c r="AU56" s="533" t="s">
        <v>822</v>
      </c>
      <c r="AV56" s="533" t="s">
        <v>822</v>
      </c>
      <c r="AW56" s="531" t="e">
        <f t="shared" si="39"/>
        <v>#VALUE!</v>
      </c>
      <c r="AX56" s="651"/>
      <c r="AZ56" s="521" t="e">
        <f t="shared" si="41"/>
        <v>#N/A</v>
      </c>
      <c r="BA56" s="651"/>
    </row>
    <row r="57" spans="2:53">
      <c r="B57" s="610"/>
      <c r="C57" s="305">
        <v>11</v>
      </c>
      <c r="D57" s="455"/>
      <c r="E57" s="518"/>
      <c r="F57" s="518"/>
      <c r="G57" s="518"/>
      <c r="H57" s="668"/>
      <c r="I57" s="513" t="str">
        <f t="shared" si="24"/>
        <v>-</v>
      </c>
      <c r="J57" s="513" t="str">
        <f t="shared" si="25"/>
        <v>-</v>
      </c>
      <c r="K57" s="200" t="str">
        <f t="shared" si="26"/>
        <v>-</v>
      </c>
      <c r="L57" s="621"/>
      <c r="M57" s="201" t="e">
        <f>RANK(K57, K$47:$K$61)</f>
        <v>#VALUE!</v>
      </c>
      <c r="N57" s="604"/>
      <c r="O57" s="604"/>
      <c r="P57" s="531" t="s">
        <v>822</v>
      </c>
      <c r="Q57" s="533" t="s">
        <v>822</v>
      </c>
      <c r="R57" s="533" t="s">
        <v>822</v>
      </c>
      <c r="S57" s="531" t="e">
        <f t="shared" si="27"/>
        <v>#VALUE!</v>
      </c>
      <c r="T57" s="651"/>
      <c r="U57" s="531" t="s">
        <v>822</v>
      </c>
      <c r="V57" s="533" t="s">
        <v>822</v>
      </c>
      <c r="W57" s="533" t="s">
        <v>822</v>
      </c>
      <c r="X57" s="531" t="e">
        <f t="shared" si="29"/>
        <v>#VALUE!</v>
      </c>
      <c r="Y57" s="651"/>
      <c r="Z57" s="531" t="s">
        <v>822</v>
      </c>
      <c r="AA57" s="533" t="s">
        <v>822</v>
      </c>
      <c r="AB57" s="533" t="s">
        <v>822</v>
      </c>
      <c r="AC57" s="531" t="e">
        <f t="shared" si="31"/>
        <v>#VALUE!</v>
      </c>
      <c r="AD57" s="651"/>
      <c r="AE57" s="531" t="s">
        <v>822</v>
      </c>
      <c r="AF57" s="533" t="s">
        <v>822</v>
      </c>
      <c r="AG57" s="533" t="s">
        <v>822</v>
      </c>
      <c r="AH57" s="531" t="e">
        <f t="shared" si="33"/>
        <v>#VALUE!</v>
      </c>
      <c r="AI57" s="651"/>
      <c r="AJ57" s="531" t="s">
        <v>822</v>
      </c>
      <c r="AK57" s="533" t="s">
        <v>822</v>
      </c>
      <c r="AL57" s="533" t="s">
        <v>822</v>
      </c>
      <c r="AM57" s="531" t="e">
        <f t="shared" si="35"/>
        <v>#VALUE!</v>
      </c>
      <c r="AN57" s="651"/>
      <c r="AO57" s="531" t="s">
        <v>822</v>
      </c>
      <c r="AP57" s="533" t="s">
        <v>822</v>
      </c>
      <c r="AQ57" s="533" t="s">
        <v>822</v>
      </c>
      <c r="AR57" s="531" t="e">
        <f t="shared" si="37"/>
        <v>#VALUE!</v>
      </c>
      <c r="AS57" s="651"/>
      <c r="AT57" s="531" t="s">
        <v>822</v>
      </c>
      <c r="AU57" s="533" t="s">
        <v>822</v>
      </c>
      <c r="AV57" s="533" t="s">
        <v>822</v>
      </c>
      <c r="AW57" s="531" t="e">
        <f t="shared" si="39"/>
        <v>#VALUE!</v>
      </c>
      <c r="AX57" s="651"/>
      <c r="AZ57" s="521" t="e">
        <f t="shared" si="41"/>
        <v>#N/A</v>
      </c>
      <c r="BA57" s="651"/>
    </row>
    <row r="58" spans="2:53">
      <c r="B58" s="610"/>
      <c r="C58" s="305">
        <v>12</v>
      </c>
      <c r="D58" s="455"/>
      <c r="E58" s="518"/>
      <c r="F58" s="518"/>
      <c r="G58" s="518"/>
      <c r="H58" s="668"/>
      <c r="I58" s="513" t="str">
        <f t="shared" si="24"/>
        <v>-</v>
      </c>
      <c r="J58" s="513" t="str">
        <f t="shared" si="25"/>
        <v>-</v>
      </c>
      <c r="K58" s="200" t="str">
        <f t="shared" si="26"/>
        <v>-</v>
      </c>
      <c r="L58" s="621"/>
      <c r="M58" s="201" t="e">
        <f>RANK(K58, K$47:$K$61)</f>
        <v>#VALUE!</v>
      </c>
      <c r="N58" s="604"/>
      <c r="O58" s="604"/>
      <c r="P58" s="531" t="s">
        <v>822</v>
      </c>
      <c r="Q58" s="533" t="s">
        <v>822</v>
      </c>
      <c r="R58" s="533" t="s">
        <v>822</v>
      </c>
      <c r="S58" s="531" t="e">
        <f t="shared" si="27"/>
        <v>#VALUE!</v>
      </c>
      <c r="T58" s="651"/>
      <c r="U58" s="531" t="s">
        <v>822</v>
      </c>
      <c r="V58" s="533" t="s">
        <v>822</v>
      </c>
      <c r="W58" s="533" t="s">
        <v>822</v>
      </c>
      <c r="X58" s="531" t="e">
        <f t="shared" si="29"/>
        <v>#VALUE!</v>
      </c>
      <c r="Y58" s="651"/>
      <c r="Z58" s="531" t="s">
        <v>822</v>
      </c>
      <c r="AA58" s="533" t="s">
        <v>822</v>
      </c>
      <c r="AB58" s="533" t="s">
        <v>822</v>
      </c>
      <c r="AC58" s="531" t="e">
        <f t="shared" si="31"/>
        <v>#VALUE!</v>
      </c>
      <c r="AD58" s="651"/>
      <c r="AE58" s="531" t="s">
        <v>822</v>
      </c>
      <c r="AF58" s="533" t="s">
        <v>822</v>
      </c>
      <c r="AG58" s="533" t="s">
        <v>822</v>
      </c>
      <c r="AH58" s="531" t="e">
        <f t="shared" si="33"/>
        <v>#VALUE!</v>
      </c>
      <c r="AI58" s="651"/>
      <c r="AJ58" s="531" t="s">
        <v>822</v>
      </c>
      <c r="AK58" s="533" t="s">
        <v>822</v>
      </c>
      <c r="AL58" s="533" t="s">
        <v>822</v>
      </c>
      <c r="AM58" s="531" t="e">
        <f t="shared" si="35"/>
        <v>#VALUE!</v>
      </c>
      <c r="AN58" s="651"/>
      <c r="AO58" s="531" t="s">
        <v>822</v>
      </c>
      <c r="AP58" s="533" t="s">
        <v>822</v>
      </c>
      <c r="AQ58" s="533" t="s">
        <v>822</v>
      </c>
      <c r="AR58" s="531" t="e">
        <f t="shared" si="37"/>
        <v>#VALUE!</v>
      </c>
      <c r="AS58" s="651"/>
      <c r="AT58" s="531" t="s">
        <v>822</v>
      </c>
      <c r="AU58" s="533" t="s">
        <v>822</v>
      </c>
      <c r="AV58" s="533" t="s">
        <v>822</v>
      </c>
      <c r="AW58" s="531" t="e">
        <f t="shared" si="39"/>
        <v>#VALUE!</v>
      </c>
      <c r="AX58" s="651"/>
      <c r="AZ58" s="521" t="e">
        <f t="shared" si="41"/>
        <v>#N/A</v>
      </c>
      <c r="BA58" s="651"/>
    </row>
    <row r="59" spans="2:53">
      <c r="B59" s="610"/>
      <c r="C59" s="305">
        <v>13</v>
      </c>
      <c r="D59" s="455"/>
      <c r="E59" s="518"/>
      <c r="F59" s="518"/>
      <c r="G59" s="518"/>
      <c r="H59" s="668"/>
      <c r="I59" s="513" t="str">
        <f t="shared" si="24"/>
        <v>-</v>
      </c>
      <c r="J59" s="513" t="str">
        <f t="shared" si="25"/>
        <v>-</v>
      </c>
      <c r="K59" s="200" t="str">
        <f t="shared" si="26"/>
        <v>-</v>
      </c>
      <c r="L59" s="621"/>
      <c r="M59" s="201" t="e">
        <f>RANK(K59, K$47:$K$61)</f>
        <v>#VALUE!</v>
      </c>
      <c r="N59" s="604"/>
      <c r="O59" s="604"/>
      <c r="P59" s="531" t="s">
        <v>822</v>
      </c>
      <c r="Q59" s="533" t="s">
        <v>822</v>
      </c>
      <c r="R59" s="533" t="s">
        <v>822</v>
      </c>
      <c r="S59" s="531" t="e">
        <f t="shared" si="27"/>
        <v>#VALUE!</v>
      </c>
      <c r="T59" s="651"/>
      <c r="U59" s="531" t="s">
        <v>822</v>
      </c>
      <c r="V59" s="533" t="s">
        <v>822</v>
      </c>
      <c r="W59" s="533" t="s">
        <v>822</v>
      </c>
      <c r="X59" s="531" t="e">
        <f t="shared" si="29"/>
        <v>#VALUE!</v>
      </c>
      <c r="Y59" s="651"/>
      <c r="Z59" s="531" t="s">
        <v>822</v>
      </c>
      <c r="AA59" s="533" t="s">
        <v>822</v>
      </c>
      <c r="AB59" s="533" t="s">
        <v>822</v>
      </c>
      <c r="AC59" s="531" t="e">
        <f t="shared" si="31"/>
        <v>#VALUE!</v>
      </c>
      <c r="AD59" s="651"/>
      <c r="AE59" s="531" t="s">
        <v>822</v>
      </c>
      <c r="AF59" s="533" t="s">
        <v>822</v>
      </c>
      <c r="AG59" s="533" t="s">
        <v>822</v>
      </c>
      <c r="AH59" s="531" t="e">
        <f t="shared" si="33"/>
        <v>#VALUE!</v>
      </c>
      <c r="AI59" s="651"/>
      <c r="AJ59" s="531" t="s">
        <v>822</v>
      </c>
      <c r="AK59" s="533" t="s">
        <v>822</v>
      </c>
      <c r="AL59" s="533" t="s">
        <v>822</v>
      </c>
      <c r="AM59" s="531" t="e">
        <f t="shared" si="35"/>
        <v>#VALUE!</v>
      </c>
      <c r="AN59" s="651"/>
      <c r="AO59" s="531" t="s">
        <v>822</v>
      </c>
      <c r="AP59" s="533" t="s">
        <v>822</v>
      </c>
      <c r="AQ59" s="533" t="s">
        <v>822</v>
      </c>
      <c r="AR59" s="531" t="e">
        <f t="shared" si="37"/>
        <v>#VALUE!</v>
      </c>
      <c r="AS59" s="651"/>
      <c r="AT59" s="531" t="s">
        <v>822</v>
      </c>
      <c r="AU59" s="533" t="s">
        <v>822</v>
      </c>
      <c r="AV59" s="533" t="s">
        <v>822</v>
      </c>
      <c r="AW59" s="531" t="e">
        <f t="shared" si="39"/>
        <v>#VALUE!</v>
      </c>
      <c r="AX59" s="651"/>
      <c r="AZ59" s="521" t="e">
        <f t="shared" si="41"/>
        <v>#N/A</v>
      </c>
      <c r="BA59" s="651"/>
    </row>
    <row r="60" spans="2:53">
      <c r="B60" s="610"/>
      <c r="C60" s="305">
        <v>14</v>
      </c>
      <c r="D60" s="455"/>
      <c r="E60" s="518"/>
      <c r="F60" s="518"/>
      <c r="G60" s="518"/>
      <c r="H60" s="668"/>
      <c r="I60" s="513" t="str">
        <f t="shared" si="24"/>
        <v>-</v>
      </c>
      <c r="J60" s="513" t="str">
        <f t="shared" si="25"/>
        <v>-</v>
      </c>
      <c r="K60" s="200" t="str">
        <f t="shared" si="26"/>
        <v>-</v>
      </c>
      <c r="L60" s="621"/>
      <c r="M60" s="201" t="e">
        <f>RANK(K60, K$47:$K$61)</f>
        <v>#VALUE!</v>
      </c>
      <c r="N60" s="604"/>
      <c r="O60" s="604"/>
      <c r="P60" s="531" t="s">
        <v>822</v>
      </c>
      <c r="Q60" s="533" t="s">
        <v>822</v>
      </c>
      <c r="R60" s="533" t="s">
        <v>822</v>
      </c>
      <c r="S60" s="531" t="e">
        <f t="shared" si="27"/>
        <v>#VALUE!</v>
      </c>
      <c r="T60" s="651"/>
      <c r="U60" s="531" t="s">
        <v>822</v>
      </c>
      <c r="V60" s="533" t="s">
        <v>822</v>
      </c>
      <c r="W60" s="533" t="s">
        <v>822</v>
      </c>
      <c r="X60" s="531" t="e">
        <f t="shared" si="29"/>
        <v>#VALUE!</v>
      </c>
      <c r="Y60" s="651"/>
      <c r="Z60" s="531" t="s">
        <v>822</v>
      </c>
      <c r="AA60" s="533" t="s">
        <v>822</v>
      </c>
      <c r="AB60" s="533" t="s">
        <v>822</v>
      </c>
      <c r="AC60" s="531" t="e">
        <f t="shared" si="31"/>
        <v>#VALUE!</v>
      </c>
      <c r="AD60" s="651"/>
      <c r="AE60" s="531" t="s">
        <v>822</v>
      </c>
      <c r="AF60" s="533" t="s">
        <v>822</v>
      </c>
      <c r="AG60" s="533" t="s">
        <v>822</v>
      </c>
      <c r="AH60" s="531" t="e">
        <f t="shared" si="33"/>
        <v>#VALUE!</v>
      </c>
      <c r="AI60" s="651"/>
      <c r="AJ60" s="531" t="s">
        <v>822</v>
      </c>
      <c r="AK60" s="533" t="s">
        <v>822</v>
      </c>
      <c r="AL60" s="533" t="s">
        <v>822</v>
      </c>
      <c r="AM60" s="531" t="e">
        <f t="shared" si="35"/>
        <v>#VALUE!</v>
      </c>
      <c r="AN60" s="651"/>
      <c r="AO60" s="531" t="s">
        <v>822</v>
      </c>
      <c r="AP60" s="533" t="s">
        <v>822</v>
      </c>
      <c r="AQ60" s="533" t="s">
        <v>822</v>
      </c>
      <c r="AR60" s="531" t="e">
        <f t="shared" si="37"/>
        <v>#VALUE!</v>
      </c>
      <c r="AS60" s="651"/>
      <c r="AT60" s="531" t="s">
        <v>822</v>
      </c>
      <c r="AU60" s="533" t="s">
        <v>822</v>
      </c>
      <c r="AV60" s="533" t="s">
        <v>822</v>
      </c>
      <c r="AW60" s="531" t="e">
        <f t="shared" si="39"/>
        <v>#VALUE!</v>
      </c>
      <c r="AX60" s="651"/>
      <c r="AZ60" s="521" t="e">
        <f t="shared" si="41"/>
        <v>#N/A</v>
      </c>
      <c r="BA60" s="651"/>
    </row>
    <row r="61" spans="2:53">
      <c r="B61" s="610"/>
      <c r="C61" s="305">
        <v>15</v>
      </c>
      <c r="D61" s="455"/>
      <c r="E61" s="518"/>
      <c r="F61" s="518"/>
      <c r="G61" s="518"/>
      <c r="H61" s="669"/>
      <c r="I61" s="517"/>
      <c r="J61" s="517"/>
      <c r="K61" s="517"/>
      <c r="L61" s="622"/>
      <c r="M61" s="201" t="e">
        <f>RANK(K61, K$47:$K$61)</f>
        <v>#N/A</v>
      </c>
      <c r="N61" s="604"/>
      <c r="O61" s="604"/>
      <c r="P61" s="531" t="s">
        <v>822</v>
      </c>
      <c r="Q61" s="533" t="s">
        <v>822</v>
      </c>
      <c r="R61" s="533" t="s">
        <v>822</v>
      </c>
      <c r="S61" s="531" t="e">
        <f t="shared" si="27"/>
        <v>#VALUE!</v>
      </c>
      <c r="T61" s="652"/>
      <c r="U61" s="531" t="s">
        <v>822</v>
      </c>
      <c r="V61" s="533" t="s">
        <v>822</v>
      </c>
      <c r="W61" s="533" t="s">
        <v>822</v>
      </c>
      <c r="X61" s="531" t="e">
        <f t="shared" si="29"/>
        <v>#VALUE!</v>
      </c>
      <c r="Y61" s="652"/>
      <c r="Z61" s="531" t="s">
        <v>822</v>
      </c>
      <c r="AA61" s="533" t="s">
        <v>822</v>
      </c>
      <c r="AB61" s="533" t="s">
        <v>822</v>
      </c>
      <c r="AC61" s="531" t="e">
        <f t="shared" si="31"/>
        <v>#VALUE!</v>
      </c>
      <c r="AD61" s="652"/>
      <c r="AE61" s="531" t="s">
        <v>822</v>
      </c>
      <c r="AF61" s="533" t="s">
        <v>822</v>
      </c>
      <c r="AG61" s="533" t="s">
        <v>822</v>
      </c>
      <c r="AH61" s="531" t="e">
        <f t="shared" si="33"/>
        <v>#VALUE!</v>
      </c>
      <c r="AI61" s="652"/>
      <c r="AJ61" s="531" t="s">
        <v>822</v>
      </c>
      <c r="AK61" s="533" t="s">
        <v>822</v>
      </c>
      <c r="AL61" s="533" t="s">
        <v>822</v>
      </c>
      <c r="AM61" s="531" t="e">
        <f t="shared" si="35"/>
        <v>#VALUE!</v>
      </c>
      <c r="AN61" s="652"/>
      <c r="AO61" s="531" t="s">
        <v>822</v>
      </c>
      <c r="AP61" s="533" t="s">
        <v>822</v>
      </c>
      <c r="AQ61" s="533" t="s">
        <v>822</v>
      </c>
      <c r="AR61" s="531" t="e">
        <f t="shared" si="37"/>
        <v>#VALUE!</v>
      </c>
      <c r="AS61" s="652"/>
      <c r="AT61" s="531" t="s">
        <v>822</v>
      </c>
      <c r="AU61" s="533" t="s">
        <v>822</v>
      </c>
      <c r="AV61" s="533" t="s">
        <v>822</v>
      </c>
      <c r="AW61" s="531" t="e">
        <f t="shared" si="39"/>
        <v>#VALUE!</v>
      </c>
      <c r="AX61" s="652"/>
      <c r="AZ61" s="521" t="e">
        <f t="shared" si="41"/>
        <v>#N/A</v>
      </c>
      <c r="BA61" s="652"/>
    </row>
    <row r="62" spans="2:53" ht="15.75">
      <c r="B62" s="633" t="s">
        <v>163</v>
      </c>
      <c r="C62" s="634"/>
      <c r="D62" s="634"/>
      <c r="E62" s="634"/>
      <c r="F62" s="634"/>
      <c r="G62" s="634"/>
      <c r="H62" s="635"/>
      <c r="I62" s="208"/>
      <c r="J62" s="208"/>
      <c r="K62" s="208"/>
      <c r="L62" s="208"/>
      <c r="M62" s="207"/>
      <c r="N62" s="606" t="s">
        <v>156</v>
      </c>
      <c r="O62" s="606" t="s">
        <v>105</v>
      </c>
      <c r="P62" s="632">
        <f>P42+7</f>
        <v>46133</v>
      </c>
      <c r="Q62" s="610"/>
      <c r="R62" s="610"/>
      <c r="S62" s="610"/>
      <c r="T62" s="610"/>
      <c r="U62" s="629">
        <f>P62+1</f>
        <v>46134</v>
      </c>
      <c r="V62" s="630"/>
      <c r="W62" s="630"/>
      <c r="X62" s="630"/>
      <c r="Y62" s="631"/>
      <c r="Z62" s="629">
        <f>U62+1</f>
        <v>46135</v>
      </c>
      <c r="AA62" s="630"/>
      <c r="AB62" s="630"/>
      <c r="AC62" s="630"/>
      <c r="AD62" s="631"/>
      <c r="AE62" s="629">
        <f>Z62+1</f>
        <v>46136</v>
      </c>
      <c r="AF62" s="630"/>
      <c r="AG62" s="630"/>
      <c r="AH62" s="630"/>
      <c r="AI62" s="631"/>
      <c r="AJ62" s="629">
        <f>AE62+1</f>
        <v>46137</v>
      </c>
      <c r="AK62" s="630"/>
      <c r="AL62" s="630"/>
      <c r="AM62" s="630"/>
      <c r="AN62" s="631"/>
      <c r="AO62" s="629">
        <f>AJ62+1</f>
        <v>46138</v>
      </c>
      <c r="AP62" s="630"/>
      <c r="AQ62" s="630"/>
      <c r="AR62" s="630"/>
      <c r="AS62" s="631"/>
      <c r="AT62" s="629">
        <f>AO62+1</f>
        <v>46139</v>
      </c>
      <c r="AU62" s="630"/>
      <c r="AV62" s="630"/>
      <c r="AW62" s="630"/>
      <c r="AX62" s="631"/>
    </row>
    <row r="63" spans="2:53" ht="15.75">
      <c r="B63" s="636"/>
      <c r="C63" s="636"/>
      <c r="D63" s="636"/>
      <c r="E63" s="636"/>
      <c r="F63" s="636"/>
      <c r="G63" s="636"/>
      <c r="H63" s="636"/>
      <c r="I63" s="205"/>
      <c r="J63" s="205"/>
      <c r="K63" s="205"/>
      <c r="L63" s="205"/>
      <c r="M63" s="206"/>
      <c r="N63" s="608"/>
      <c r="O63" s="608"/>
      <c r="P63" s="632" t="s">
        <v>336</v>
      </c>
      <c r="Q63" s="610"/>
      <c r="R63" s="610"/>
      <c r="S63" s="610"/>
      <c r="T63" s="610"/>
      <c r="U63" s="632" t="s">
        <v>337</v>
      </c>
      <c r="V63" s="610"/>
      <c r="W63" s="610"/>
      <c r="X63" s="610"/>
      <c r="Y63" s="610"/>
      <c r="Z63" s="632" t="s">
        <v>338</v>
      </c>
      <c r="AA63" s="610"/>
      <c r="AB63" s="610"/>
      <c r="AC63" s="610"/>
      <c r="AD63" s="610"/>
      <c r="AE63" s="632" t="s">
        <v>339</v>
      </c>
      <c r="AF63" s="610"/>
      <c r="AG63" s="610"/>
      <c r="AH63" s="610"/>
      <c r="AI63" s="610"/>
      <c r="AJ63" s="632" t="s">
        <v>340</v>
      </c>
      <c r="AK63" s="610"/>
      <c r="AL63" s="610"/>
      <c r="AM63" s="610"/>
      <c r="AN63" s="610"/>
      <c r="AO63" s="632" t="s">
        <v>341</v>
      </c>
      <c r="AP63" s="610"/>
      <c r="AQ63" s="610"/>
      <c r="AR63" s="610"/>
      <c r="AS63" s="610"/>
      <c r="AT63" s="632" t="s">
        <v>342</v>
      </c>
      <c r="AU63" s="610"/>
      <c r="AV63" s="610"/>
      <c r="AW63" s="610"/>
      <c r="AX63" s="610"/>
    </row>
    <row r="64" spans="2:53">
      <c r="B64" s="604" t="s">
        <v>398</v>
      </c>
      <c r="C64" s="604" t="s">
        <v>408</v>
      </c>
      <c r="D64" s="604"/>
      <c r="E64" s="604" t="s">
        <v>399</v>
      </c>
      <c r="F64" s="604"/>
      <c r="G64" s="604"/>
      <c r="H64" s="637" t="s">
        <v>395</v>
      </c>
      <c r="I64" s="656" t="s">
        <v>400</v>
      </c>
      <c r="J64" s="656"/>
      <c r="K64" s="656"/>
      <c r="L64" s="657" t="s">
        <v>395</v>
      </c>
      <c r="M64" s="642" t="s">
        <v>396</v>
      </c>
      <c r="N64" s="604"/>
      <c r="O64" s="604" t="s">
        <v>401</v>
      </c>
      <c r="P64" s="623" t="s">
        <v>397</v>
      </c>
      <c r="Q64" s="624"/>
      <c r="R64" s="624"/>
      <c r="S64" s="625"/>
      <c r="T64" s="604" t="s">
        <v>395</v>
      </c>
      <c r="U64" s="623" t="s">
        <v>397</v>
      </c>
      <c r="V64" s="624"/>
      <c r="W64" s="624"/>
      <c r="X64" s="625"/>
      <c r="Y64" s="604" t="s">
        <v>395</v>
      </c>
      <c r="Z64" s="623" t="s">
        <v>397</v>
      </c>
      <c r="AA64" s="624"/>
      <c r="AB64" s="624"/>
      <c r="AC64" s="625"/>
      <c r="AD64" s="604" t="s">
        <v>395</v>
      </c>
      <c r="AE64" s="623" t="s">
        <v>397</v>
      </c>
      <c r="AF64" s="624"/>
      <c r="AG64" s="624"/>
      <c r="AH64" s="625"/>
      <c r="AI64" s="604" t="s">
        <v>395</v>
      </c>
      <c r="AJ64" s="623" t="s">
        <v>397</v>
      </c>
      <c r="AK64" s="624"/>
      <c r="AL64" s="624"/>
      <c r="AM64" s="625"/>
      <c r="AN64" s="604" t="s">
        <v>395</v>
      </c>
      <c r="AO64" s="623" t="s">
        <v>397</v>
      </c>
      <c r="AP64" s="624"/>
      <c r="AQ64" s="624"/>
      <c r="AR64" s="625"/>
      <c r="AS64" s="604" t="s">
        <v>395</v>
      </c>
      <c r="AT64" s="623" t="s">
        <v>397</v>
      </c>
      <c r="AU64" s="624"/>
      <c r="AV64" s="624"/>
      <c r="AW64" s="625"/>
      <c r="AX64" s="604" t="s">
        <v>395</v>
      </c>
      <c r="BA64" s="604" t="s">
        <v>395</v>
      </c>
    </row>
    <row r="65" spans="2:53">
      <c r="B65" s="604"/>
      <c r="C65" s="604"/>
      <c r="D65" s="604"/>
      <c r="E65" s="604" t="s">
        <v>402</v>
      </c>
      <c r="F65" s="604"/>
      <c r="G65" s="604"/>
      <c r="H65" s="638"/>
      <c r="I65" s="656" t="s">
        <v>402</v>
      </c>
      <c r="J65" s="656"/>
      <c r="K65" s="656"/>
      <c r="L65" s="658"/>
      <c r="M65" s="643"/>
      <c r="N65" s="604"/>
      <c r="O65" s="604"/>
      <c r="P65" s="623" t="s">
        <v>403</v>
      </c>
      <c r="Q65" s="624"/>
      <c r="R65" s="624"/>
      <c r="S65" s="625"/>
      <c r="T65" s="604"/>
      <c r="U65" s="623" t="s">
        <v>403</v>
      </c>
      <c r="V65" s="624"/>
      <c r="W65" s="624"/>
      <c r="X65" s="625"/>
      <c r="Y65" s="604"/>
      <c r="Z65" s="623" t="s">
        <v>403</v>
      </c>
      <c r="AA65" s="624"/>
      <c r="AB65" s="624"/>
      <c r="AC65" s="625"/>
      <c r="AD65" s="604"/>
      <c r="AE65" s="623" t="s">
        <v>403</v>
      </c>
      <c r="AF65" s="624"/>
      <c r="AG65" s="624"/>
      <c r="AH65" s="625"/>
      <c r="AI65" s="604"/>
      <c r="AJ65" s="623" t="s">
        <v>403</v>
      </c>
      <c r="AK65" s="624"/>
      <c r="AL65" s="624"/>
      <c r="AM65" s="625"/>
      <c r="AN65" s="604"/>
      <c r="AO65" s="623" t="s">
        <v>403</v>
      </c>
      <c r="AP65" s="624"/>
      <c r="AQ65" s="624"/>
      <c r="AR65" s="625"/>
      <c r="AS65" s="604"/>
      <c r="AT65" s="623" t="s">
        <v>403</v>
      </c>
      <c r="AU65" s="624"/>
      <c r="AV65" s="624"/>
      <c r="AW65" s="625"/>
      <c r="AX65" s="604"/>
      <c r="BA65" s="604"/>
    </row>
    <row r="66" spans="2:53">
      <c r="B66" s="604"/>
      <c r="C66" s="604"/>
      <c r="D66" s="604"/>
      <c r="E66" s="304" t="s">
        <v>404</v>
      </c>
      <c r="F66" s="304" t="s">
        <v>405</v>
      </c>
      <c r="G66" s="304" t="s">
        <v>406</v>
      </c>
      <c r="H66" s="639"/>
      <c r="I66" s="303" t="s">
        <v>404</v>
      </c>
      <c r="J66" s="303" t="s">
        <v>405</v>
      </c>
      <c r="K66" s="303" t="s">
        <v>406</v>
      </c>
      <c r="L66" s="659"/>
      <c r="M66" s="644"/>
      <c r="N66" s="604"/>
      <c r="O66" s="604"/>
      <c r="P66" s="304" t="s">
        <v>404</v>
      </c>
      <c r="Q66" s="304" t="s">
        <v>405</v>
      </c>
      <c r="R66" s="304" t="s">
        <v>406</v>
      </c>
      <c r="S66" s="304" t="s">
        <v>396</v>
      </c>
      <c r="T66" s="604"/>
      <c r="U66" s="304" t="s">
        <v>404</v>
      </c>
      <c r="V66" s="304" t="s">
        <v>405</v>
      </c>
      <c r="W66" s="304" t="s">
        <v>406</v>
      </c>
      <c r="X66" s="304" t="s">
        <v>396</v>
      </c>
      <c r="Y66" s="604"/>
      <c r="Z66" s="304" t="s">
        <v>404</v>
      </c>
      <c r="AA66" s="304" t="s">
        <v>405</v>
      </c>
      <c r="AB66" s="304" t="s">
        <v>406</v>
      </c>
      <c r="AC66" s="304" t="s">
        <v>396</v>
      </c>
      <c r="AD66" s="604"/>
      <c r="AE66" s="304" t="s">
        <v>404</v>
      </c>
      <c r="AF66" s="304" t="s">
        <v>405</v>
      </c>
      <c r="AG66" s="304" t="s">
        <v>406</v>
      </c>
      <c r="AH66" s="304" t="s">
        <v>396</v>
      </c>
      <c r="AI66" s="604"/>
      <c r="AJ66" s="304" t="s">
        <v>404</v>
      </c>
      <c r="AK66" s="304" t="s">
        <v>405</v>
      </c>
      <c r="AL66" s="304" t="s">
        <v>406</v>
      </c>
      <c r="AM66" s="304" t="s">
        <v>396</v>
      </c>
      <c r="AN66" s="604"/>
      <c r="AO66" s="304" t="s">
        <v>404</v>
      </c>
      <c r="AP66" s="304" t="s">
        <v>405</v>
      </c>
      <c r="AQ66" s="304" t="s">
        <v>406</v>
      </c>
      <c r="AR66" s="304" t="s">
        <v>396</v>
      </c>
      <c r="AS66" s="604"/>
      <c r="AT66" s="304" t="s">
        <v>404</v>
      </c>
      <c r="AU66" s="304" t="s">
        <v>405</v>
      </c>
      <c r="AV66" s="304" t="s">
        <v>406</v>
      </c>
      <c r="AW66" s="304" t="s">
        <v>396</v>
      </c>
      <c r="AX66" s="604"/>
      <c r="AZ66" s="520" t="s">
        <v>396</v>
      </c>
      <c r="BA66" s="604"/>
    </row>
    <row r="67" spans="2:53">
      <c r="B67" s="604" t="s">
        <v>410</v>
      </c>
      <c r="C67" s="305">
        <v>1</v>
      </c>
      <c r="D67" s="226" t="s">
        <v>639</v>
      </c>
      <c r="E67" s="182">
        <v>14</v>
      </c>
      <c r="F67" s="511">
        <v>1500</v>
      </c>
      <c r="G67" s="512">
        <v>107.1</v>
      </c>
      <c r="H67" s="667">
        <f>AVERAGE(G67:G81)</f>
        <v>99.7</v>
      </c>
      <c r="I67" s="513">
        <f t="shared" ref="I67:I80" si="43">IFERROR(AVERAGE(P67,U67,Z67,AE67,AJ67,AO67,AT67),"-")</f>
        <v>13.285714285714286</v>
      </c>
      <c r="J67" s="513">
        <f t="shared" ref="J67:J80" si="44">IFERROR(AVERAGE(Q67,V67,AA67,AF67,AK67,AP67,AU67),"-")</f>
        <v>1216.6087066405503</v>
      </c>
      <c r="K67" s="200">
        <f t="shared" ref="K67:K80" si="45">IFERROR(AVERAGE(R67,W67,AB67,AG67,AL67,AQ67,AV67),"-")</f>
        <v>91.6486923072504</v>
      </c>
      <c r="L67" s="620">
        <f>IFERROR(AVERAGE(K67:K81),"-")</f>
        <v>84.152134181938592</v>
      </c>
      <c r="M67" s="201">
        <f>RANK(K67, K$67:$K$81)</f>
        <v>1</v>
      </c>
      <c r="N67" s="604"/>
      <c r="O67" s="604"/>
      <c r="P67" s="536">
        <v>13</v>
      </c>
      <c r="Q67" s="538">
        <v>1235.9999999999995</v>
      </c>
      <c r="R67" s="538">
        <v>95.076923076923038</v>
      </c>
      <c r="S67" s="536">
        <f t="shared" ref="S67:S81" si="46">RANK(R67, R$67:R$81)</f>
        <v>1</v>
      </c>
      <c r="T67" s="650">
        <f t="shared" ref="T67" si="47">AVERAGE(R67:R81)</f>
        <v>82.182163997344333</v>
      </c>
      <c r="U67" s="536">
        <v>13</v>
      </c>
      <c r="V67" s="538">
        <v>1239.9999999999977</v>
      </c>
      <c r="W67" s="538">
        <v>95.384615384615216</v>
      </c>
      <c r="X67" s="536">
        <f t="shared" ref="X67:X81" si="48">RANK(W67, W$67:W$81)</f>
        <v>1</v>
      </c>
      <c r="Y67" s="650">
        <f t="shared" ref="Y67" si="49">AVERAGE(W67:W81)</f>
        <v>85.332884385850562</v>
      </c>
      <c r="Z67" s="536">
        <v>13</v>
      </c>
      <c r="AA67" s="538">
        <v>1184.2105263157887</v>
      </c>
      <c r="AB67" s="538">
        <v>91.093117408906821</v>
      </c>
      <c r="AC67" s="536">
        <f t="shared" ref="AC67:AC81" si="50">RANK(AB67, AB$67:AB$81)</f>
        <v>1</v>
      </c>
      <c r="AD67" s="650">
        <f t="shared" ref="AD67" si="51">AVERAGE(AB67:AB81)</f>
        <v>83.862254960765654</v>
      </c>
      <c r="AE67" s="536">
        <v>14</v>
      </c>
      <c r="AF67" s="538">
        <v>1231.7647058823513</v>
      </c>
      <c r="AG67" s="538">
        <v>87.983193277310804</v>
      </c>
      <c r="AH67" s="536">
        <f t="shared" ref="AH67:AH81" si="52">RANK(AG67, AG$67:AG$81)</f>
        <v>2</v>
      </c>
      <c r="AI67" s="650">
        <f t="shared" ref="AI67" si="53">AVERAGE(AG67:AG81)</f>
        <v>83.85930108628817</v>
      </c>
      <c r="AJ67" s="536">
        <v>13</v>
      </c>
      <c r="AK67" s="538">
        <v>1194.2857142857138</v>
      </c>
      <c r="AL67" s="538">
        <v>91.868131868131826</v>
      </c>
      <c r="AM67" s="536">
        <f t="shared" ref="AM67:AM81" si="54">RANK(AL67, AL$67:AL$81)</f>
        <v>1</v>
      </c>
      <c r="AN67" s="650">
        <f t="shared" ref="AN67" si="55">AVERAGE(AL67:AL81)</f>
        <v>85.393169268120062</v>
      </c>
      <c r="AO67" s="536">
        <v>13</v>
      </c>
      <c r="AP67" s="538">
        <v>1194.5454545454545</v>
      </c>
      <c r="AQ67" s="538">
        <v>91.888111888111879</v>
      </c>
      <c r="AR67" s="536">
        <f t="shared" ref="AR67:AR81" si="56">RANK(AQ67, AQ$67:AQ$81)</f>
        <v>1</v>
      </c>
      <c r="AS67" s="650">
        <f t="shared" ref="AS67" si="57">AVERAGE(AQ67:AQ81)</f>
        <v>84.274632998534301</v>
      </c>
      <c r="AT67" s="536">
        <v>14</v>
      </c>
      <c r="AU67" s="538">
        <v>1235.4545454545455</v>
      </c>
      <c r="AV67" s="538">
        <v>88.246753246753244</v>
      </c>
      <c r="AW67" s="536">
        <f t="shared" ref="AW67:AW81" si="58">RANK(AV67, AV$67:AV$81)</f>
        <v>2</v>
      </c>
      <c r="AX67" s="650">
        <f t="shared" ref="AX67" si="59">AVERAGE(AV67:AV81)</f>
        <v>84.160532576667052</v>
      </c>
      <c r="AZ67" s="521" t="e">
        <f t="shared" ref="AZ67:AZ81" si="60">RANK(AY67, AY$67:AY$81)</f>
        <v>#N/A</v>
      </c>
      <c r="BA67" s="650" t="e">
        <f t="shared" ref="BA67" si="61">AVERAGE(AY67:AY81)</f>
        <v>#DIV/0!</v>
      </c>
    </row>
    <row r="68" spans="2:53">
      <c r="B68" s="610"/>
      <c r="C68" s="305">
        <v>2</v>
      </c>
      <c r="D68" s="226" t="s">
        <v>675</v>
      </c>
      <c r="E68" s="182">
        <v>16</v>
      </c>
      <c r="F68" s="511">
        <v>1636</v>
      </c>
      <c r="G68" s="512">
        <v>102.3</v>
      </c>
      <c r="H68" s="668"/>
      <c r="I68" s="513">
        <f t="shared" si="43"/>
        <v>16.571428571428573</v>
      </c>
      <c r="J68" s="513">
        <f t="shared" si="44"/>
        <v>1366.7722139927907</v>
      </c>
      <c r="K68" s="200">
        <f t="shared" si="45"/>
        <v>82.534655921725985</v>
      </c>
      <c r="L68" s="621"/>
      <c r="M68" s="201">
        <f>RANK(K68, K$67:$K$81)</f>
        <v>3</v>
      </c>
      <c r="N68" s="604"/>
      <c r="O68" s="604"/>
      <c r="P68" s="536">
        <v>17</v>
      </c>
      <c r="Q68" s="538">
        <v>1312.8088235294128</v>
      </c>
      <c r="R68" s="538">
        <v>77.224048442906636</v>
      </c>
      <c r="S68" s="536">
        <f t="shared" si="46"/>
        <v>4</v>
      </c>
      <c r="T68" s="651"/>
      <c r="U68" s="536">
        <v>16</v>
      </c>
      <c r="V68" s="538">
        <v>1343.4782608695652</v>
      </c>
      <c r="W68" s="538">
        <v>83.967391304347828</v>
      </c>
      <c r="X68" s="536">
        <f t="shared" si="48"/>
        <v>3</v>
      </c>
      <c r="Y68" s="651"/>
      <c r="Z68" s="536">
        <v>16</v>
      </c>
      <c r="AA68" s="538">
        <v>1324.4680851063831</v>
      </c>
      <c r="AB68" s="538">
        <v>82.779255319148945</v>
      </c>
      <c r="AC68" s="536">
        <f t="shared" si="50"/>
        <v>3</v>
      </c>
      <c r="AD68" s="651"/>
      <c r="AE68" s="536">
        <v>17</v>
      </c>
      <c r="AF68" s="538">
        <v>1377.8048780487807</v>
      </c>
      <c r="AG68" s="538">
        <v>81.047345767575337</v>
      </c>
      <c r="AH68" s="536">
        <f t="shared" si="52"/>
        <v>4</v>
      </c>
      <c r="AI68" s="651"/>
      <c r="AJ68" s="536">
        <v>16</v>
      </c>
      <c r="AK68" s="538">
        <v>1399.5505617977522</v>
      </c>
      <c r="AL68" s="538">
        <v>87.47191011235951</v>
      </c>
      <c r="AM68" s="536">
        <f t="shared" si="54"/>
        <v>2</v>
      </c>
      <c r="AN68" s="651"/>
      <c r="AO68" s="536">
        <v>17</v>
      </c>
      <c r="AP68" s="538">
        <v>1391.0091743119265</v>
      </c>
      <c r="AQ68" s="538">
        <v>81.82406907717214</v>
      </c>
      <c r="AR68" s="536">
        <f t="shared" si="56"/>
        <v>3</v>
      </c>
      <c r="AS68" s="651"/>
      <c r="AT68" s="536">
        <v>17</v>
      </c>
      <c r="AU68" s="538">
        <v>1418.2857142857158</v>
      </c>
      <c r="AV68" s="538">
        <v>83.428571428571516</v>
      </c>
      <c r="AW68" s="536">
        <f t="shared" si="58"/>
        <v>3</v>
      </c>
      <c r="AX68" s="651"/>
      <c r="AZ68" s="521" t="e">
        <f t="shared" si="60"/>
        <v>#N/A</v>
      </c>
      <c r="BA68" s="651"/>
    </row>
    <row r="69" spans="2:53">
      <c r="B69" s="610"/>
      <c r="C69" s="305">
        <v>3</v>
      </c>
      <c r="D69" s="226" t="s">
        <v>834</v>
      </c>
      <c r="E69" s="182">
        <v>17</v>
      </c>
      <c r="F69" s="511">
        <v>1500</v>
      </c>
      <c r="G69" s="512">
        <v>88.2</v>
      </c>
      <c r="H69" s="668"/>
      <c r="I69" s="513">
        <f t="shared" si="43"/>
        <v>17</v>
      </c>
      <c r="J69" s="513">
        <f t="shared" si="44"/>
        <v>1341.7105288948951</v>
      </c>
      <c r="K69" s="200">
        <f t="shared" si="45"/>
        <v>78.924148758523231</v>
      </c>
      <c r="L69" s="621"/>
      <c r="M69" s="201">
        <f>RANK(K69, K$67:$K$81)</f>
        <v>5</v>
      </c>
      <c r="N69" s="604"/>
      <c r="O69" s="604"/>
      <c r="P69" s="536">
        <v>17</v>
      </c>
      <c r="Q69" s="538">
        <v>1349.217391304348</v>
      </c>
      <c r="R69" s="538">
        <v>79.36572890025576</v>
      </c>
      <c r="S69" s="536">
        <f t="shared" si="46"/>
        <v>3</v>
      </c>
      <c r="T69" s="651"/>
      <c r="U69" s="536">
        <v>17</v>
      </c>
      <c r="V69" s="538">
        <v>1349.12</v>
      </c>
      <c r="W69" s="538">
        <v>79.36</v>
      </c>
      <c r="X69" s="536">
        <f t="shared" si="48"/>
        <v>5</v>
      </c>
      <c r="Y69" s="651"/>
      <c r="Z69" s="536">
        <v>17</v>
      </c>
      <c r="AA69" s="538">
        <v>1322.7251908396947</v>
      </c>
      <c r="AB69" s="538">
        <v>77.807364167040873</v>
      </c>
      <c r="AC69" s="536">
        <f t="shared" si="50"/>
        <v>5</v>
      </c>
      <c r="AD69" s="651"/>
      <c r="AE69" s="536">
        <v>17</v>
      </c>
      <c r="AF69" s="538">
        <v>1365.6964285714289</v>
      </c>
      <c r="AG69" s="538">
        <v>80.33508403361347</v>
      </c>
      <c r="AH69" s="536">
        <f t="shared" si="52"/>
        <v>5</v>
      </c>
      <c r="AI69" s="651"/>
      <c r="AJ69" s="536">
        <v>17</v>
      </c>
      <c r="AK69" s="538">
        <v>1334.5744680851067</v>
      </c>
      <c r="AL69" s="538">
        <v>78.504380475594516</v>
      </c>
      <c r="AM69" s="536">
        <f t="shared" si="54"/>
        <v>5</v>
      </c>
      <c r="AN69" s="651"/>
      <c r="AO69" s="536">
        <v>17</v>
      </c>
      <c r="AP69" s="538">
        <v>1336.2402234636872</v>
      </c>
      <c r="AQ69" s="538">
        <v>78.602366086099252</v>
      </c>
      <c r="AR69" s="536">
        <f t="shared" si="56"/>
        <v>5</v>
      </c>
      <c r="AS69" s="651"/>
      <c r="AT69" s="536">
        <v>17</v>
      </c>
      <c r="AU69" s="538">
        <v>1334.3999999999994</v>
      </c>
      <c r="AV69" s="538">
        <v>78.494117647058786</v>
      </c>
      <c r="AW69" s="536">
        <f t="shared" si="58"/>
        <v>5</v>
      </c>
      <c r="AX69" s="651"/>
      <c r="AZ69" s="521" t="e">
        <f t="shared" si="60"/>
        <v>#N/A</v>
      </c>
      <c r="BA69" s="651"/>
    </row>
    <row r="70" spans="2:53">
      <c r="B70" s="610"/>
      <c r="C70" s="305">
        <v>4</v>
      </c>
      <c r="D70" s="226" t="s">
        <v>872</v>
      </c>
      <c r="E70" s="182">
        <v>16</v>
      </c>
      <c r="F70" s="511">
        <v>1500</v>
      </c>
      <c r="G70" s="512">
        <v>93.8</v>
      </c>
      <c r="H70" s="668"/>
      <c r="I70" s="513">
        <f t="shared" si="43"/>
        <v>16.714285714285715</v>
      </c>
      <c r="J70" s="513">
        <f t="shared" si="44"/>
        <v>1367.4831127474015</v>
      </c>
      <c r="K70" s="200">
        <f t="shared" si="45"/>
        <v>81.997092586392782</v>
      </c>
      <c r="L70" s="621"/>
      <c r="M70" s="201">
        <f>RANK(K70, K$67:$K$81)</f>
        <v>4</v>
      </c>
      <c r="N70" s="604"/>
      <c r="O70" s="604"/>
      <c r="P70" s="536">
        <v>18</v>
      </c>
      <c r="Q70" s="538">
        <v>1299.0920245398775</v>
      </c>
      <c r="R70" s="538">
        <v>72.171779141104309</v>
      </c>
      <c r="S70" s="536">
        <f t="shared" si="46"/>
        <v>5</v>
      </c>
      <c r="T70" s="651"/>
      <c r="U70" s="536">
        <v>16</v>
      </c>
      <c r="V70" s="538">
        <v>1353.0612244897964</v>
      </c>
      <c r="W70" s="538">
        <v>84.566326530612272</v>
      </c>
      <c r="X70" s="536">
        <f t="shared" si="48"/>
        <v>2</v>
      </c>
      <c r="Y70" s="651"/>
      <c r="Z70" s="536">
        <v>16</v>
      </c>
      <c r="AA70" s="538">
        <v>1373.5095652173916</v>
      </c>
      <c r="AB70" s="538">
        <v>85.844347826086974</v>
      </c>
      <c r="AC70" s="536">
        <f t="shared" si="50"/>
        <v>2</v>
      </c>
      <c r="AD70" s="651"/>
      <c r="AE70" s="536">
        <v>17</v>
      </c>
      <c r="AF70" s="538">
        <v>1387.866666666667</v>
      </c>
      <c r="AG70" s="538">
        <v>81.639215686274525</v>
      </c>
      <c r="AH70" s="536">
        <f t="shared" si="52"/>
        <v>3</v>
      </c>
      <c r="AI70" s="651"/>
      <c r="AJ70" s="536">
        <v>16</v>
      </c>
      <c r="AK70" s="538">
        <v>1392.5333333333333</v>
      </c>
      <c r="AL70" s="538">
        <v>87.033333333333331</v>
      </c>
      <c r="AM70" s="536">
        <f t="shared" si="54"/>
        <v>3</v>
      </c>
      <c r="AN70" s="651"/>
      <c r="AO70" s="536">
        <v>17</v>
      </c>
      <c r="AP70" s="538">
        <v>1372.8644295302013</v>
      </c>
      <c r="AQ70" s="538">
        <v>80.756731148835371</v>
      </c>
      <c r="AR70" s="536">
        <f t="shared" si="56"/>
        <v>4</v>
      </c>
      <c r="AS70" s="651"/>
      <c r="AT70" s="536">
        <v>17</v>
      </c>
      <c r="AU70" s="538">
        <v>1393.4545454545457</v>
      </c>
      <c r="AV70" s="538">
        <v>81.967914438502689</v>
      </c>
      <c r="AW70" s="536">
        <f t="shared" si="58"/>
        <v>4</v>
      </c>
      <c r="AX70" s="651"/>
      <c r="AZ70" s="521" t="e">
        <f t="shared" si="60"/>
        <v>#N/A</v>
      </c>
      <c r="BA70" s="651"/>
    </row>
    <row r="71" spans="2:53">
      <c r="B71" s="610"/>
      <c r="C71" s="305">
        <v>5</v>
      </c>
      <c r="D71" s="226" t="s">
        <v>830</v>
      </c>
      <c r="E71" s="182">
        <v>15</v>
      </c>
      <c r="F71" s="511">
        <v>1500</v>
      </c>
      <c r="G71" s="512">
        <v>107.1</v>
      </c>
      <c r="H71" s="668"/>
      <c r="I71" s="513">
        <f t="shared" si="43"/>
        <v>15.428571428571429</v>
      </c>
      <c r="J71" s="513">
        <f t="shared" si="44"/>
        <v>1320.1642728003656</v>
      </c>
      <c r="K71" s="200">
        <f t="shared" si="45"/>
        <v>85.656081335800522</v>
      </c>
      <c r="L71" s="621"/>
      <c r="M71" s="201">
        <f>RANK(K71, K$67:$K$81)</f>
        <v>2</v>
      </c>
      <c r="N71" s="604"/>
      <c r="O71" s="604"/>
      <c r="P71" s="536">
        <v>15</v>
      </c>
      <c r="Q71" s="538">
        <v>1306.0851063829791</v>
      </c>
      <c r="R71" s="538">
        <v>87.072340425531948</v>
      </c>
      <c r="S71" s="536">
        <f t="shared" si="46"/>
        <v>2</v>
      </c>
      <c r="T71" s="651"/>
      <c r="U71" s="536">
        <v>16</v>
      </c>
      <c r="V71" s="538">
        <v>1334.1774193548392</v>
      </c>
      <c r="W71" s="538">
        <v>83.386088709677452</v>
      </c>
      <c r="X71" s="536">
        <f t="shared" si="48"/>
        <v>4</v>
      </c>
      <c r="Y71" s="651"/>
      <c r="Z71" s="536">
        <v>16</v>
      </c>
      <c r="AA71" s="538">
        <v>1308.5950413223143</v>
      </c>
      <c r="AB71" s="538">
        <v>81.787190082644642</v>
      </c>
      <c r="AC71" s="536">
        <f t="shared" si="50"/>
        <v>4</v>
      </c>
      <c r="AD71" s="651"/>
      <c r="AE71" s="536">
        <v>15</v>
      </c>
      <c r="AF71" s="538">
        <v>1324.3750000000002</v>
      </c>
      <c r="AG71" s="538">
        <v>88.291666666666686</v>
      </c>
      <c r="AH71" s="536">
        <f t="shared" si="52"/>
        <v>1</v>
      </c>
      <c r="AI71" s="651"/>
      <c r="AJ71" s="536">
        <v>16</v>
      </c>
      <c r="AK71" s="538">
        <v>1313.4094488188975</v>
      </c>
      <c r="AL71" s="538">
        <v>82.088090551181097</v>
      </c>
      <c r="AM71" s="536">
        <f t="shared" si="54"/>
        <v>4</v>
      </c>
      <c r="AN71" s="651"/>
      <c r="AO71" s="536">
        <v>15</v>
      </c>
      <c r="AP71" s="538">
        <v>1324.5283018867924</v>
      </c>
      <c r="AQ71" s="538">
        <v>88.301886792452834</v>
      </c>
      <c r="AR71" s="536">
        <f t="shared" si="56"/>
        <v>2</v>
      </c>
      <c r="AS71" s="651"/>
      <c r="AT71" s="536">
        <v>15</v>
      </c>
      <c r="AU71" s="538">
        <v>1329.9795918367354</v>
      </c>
      <c r="AV71" s="538">
        <v>88.665306122449024</v>
      </c>
      <c r="AW71" s="536">
        <f t="shared" si="58"/>
        <v>1</v>
      </c>
      <c r="AX71" s="651"/>
      <c r="AZ71" s="521" t="e">
        <f t="shared" si="60"/>
        <v>#N/A</v>
      </c>
      <c r="BA71" s="651"/>
    </row>
    <row r="72" spans="2:53">
      <c r="B72" s="610"/>
      <c r="C72" s="305">
        <v>6</v>
      </c>
      <c r="D72" s="226"/>
      <c r="E72" s="182"/>
      <c r="F72" s="511"/>
      <c r="G72" s="512"/>
      <c r="H72" s="668"/>
      <c r="I72" s="513" t="str">
        <f t="shared" si="43"/>
        <v>-</v>
      </c>
      <c r="J72" s="513" t="str">
        <f t="shared" si="44"/>
        <v>-</v>
      </c>
      <c r="K72" s="200" t="str">
        <f t="shared" si="45"/>
        <v>-</v>
      </c>
      <c r="L72" s="621"/>
      <c r="M72" s="201" t="e">
        <f>RANK(K72, K$67:$K$81)</f>
        <v>#VALUE!</v>
      </c>
      <c r="N72" s="604"/>
      <c r="O72" s="604"/>
      <c r="P72" s="536" t="s">
        <v>822</v>
      </c>
      <c r="Q72" s="538" t="s">
        <v>822</v>
      </c>
      <c r="R72" s="538" t="s">
        <v>822</v>
      </c>
      <c r="S72" s="536" t="e">
        <f t="shared" si="46"/>
        <v>#VALUE!</v>
      </c>
      <c r="T72" s="651"/>
      <c r="U72" s="536" t="s">
        <v>822</v>
      </c>
      <c r="V72" s="538" t="s">
        <v>822</v>
      </c>
      <c r="W72" s="538" t="s">
        <v>822</v>
      </c>
      <c r="X72" s="536" t="e">
        <f t="shared" si="48"/>
        <v>#VALUE!</v>
      </c>
      <c r="Y72" s="651"/>
      <c r="Z72" s="536" t="s">
        <v>822</v>
      </c>
      <c r="AA72" s="538" t="s">
        <v>822</v>
      </c>
      <c r="AB72" s="538" t="s">
        <v>822</v>
      </c>
      <c r="AC72" s="536" t="e">
        <f t="shared" si="50"/>
        <v>#VALUE!</v>
      </c>
      <c r="AD72" s="651"/>
      <c r="AE72" s="536" t="s">
        <v>822</v>
      </c>
      <c r="AF72" s="538" t="s">
        <v>822</v>
      </c>
      <c r="AG72" s="538" t="s">
        <v>822</v>
      </c>
      <c r="AH72" s="536" t="e">
        <f t="shared" si="52"/>
        <v>#VALUE!</v>
      </c>
      <c r="AI72" s="651"/>
      <c r="AJ72" s="536" t="s">
        <v>822</v>
      </c>
      <c r="AK72" s="538" t="s">
        <v>822</v>
      </c>
      <c r="AL72" s="538" t="s">
        <v>822</v>
      </c>
      <c r="AM72" s="536" t="e">
        <f t="shared" si="54"/>
        <v>#VALUE!</v>
      </c>
      <c r="AN72" s="651"/>
      <c r="AO72" s="536" t="s">
        <v>822</v>
      </c>
      <c r="AP72" s="538" t="s">
        <v>822</v>
      </c>
      <c r="AQ72" s="538" t="s">
        <v>822</v>
      </c>
      <c r="AR72" s="536" t="e">
        <f t="shared" si="56"/>
        <v>#VALUE!</v>
      </c>
      <c r="AS72" s="651"/>
      <c r="AT72" s="536" t="s">
        <v>822</v>
      </c>
      <c r="AU72" s="538" t="s">
        <v>822</v>
      </c>
      <c r="AV72" s="538" t="s">
        <v>822</v>
      </c>
      <c r="AW72" s="536" t="e">
        <f t="shared" si="58"/>
        <v>#VALUE!</v>
      </c>
      <c r="AX72" s="651"/>
      <c r="AZ72" s="521" t="e">
        <f t="shared" si="60"/>
        <v>#N/A</v>
      </c>
      <c r="BA72" s="651"/>
    </row>
    <row r="73" spans="2:53">
      <c r="B73" s="610"/>
      <c r="C73" s="305">
        <v>7</v>
      </c>
      <c r="D73" s="455"/>
      <c r="E73" s="518"/>
      <c r="F73" s="518"/>
      <c r="G73" s="518"/>
      <c r="H73" s="668"/>
      <c r="I73" s="513" t="str">
        <f t="shared" si="43"/>
        <v>-</v>
      </c>
      <c r="J73" s="513" t="str">
        <f t="shared" si="44"/>
        <v>-</v>
      </c>
      <c r="K73" s="200" t="str">
        <f t="shared" si="45"/>
        <v>-</v>
      </c>
      <c r="L73" s="621"/>
      <c r="M73" s="201" t="e">
        <f>RANK(K73, K$67:$K$81)</f>
        <v>#VALUE!</v>
      </c>
      <c r="N73" s="604"/>
      <c r="O73" s="604"/>
      <c r="P73" s="536" t="s">
        <v>822</v>
      </c>
      <c r="Q73" s="538" t="s">
        <v>822</v>
      </c>
      <c r="R73" s="538" t="s">
        <v>822</v>
      </c>
      <c r="S73" s="536" t="e">
        <f t="shared" si="46"/>
        <v>#VALUE!</v>
      </c>
      <c r="T73" s="651"/>
      <c r="U73" s="536" t="s">
        <v>822</v>
      </c>
      <c r="V73" s="538" t="s">
        <v>822</v>
      </c>
      <c r="W73" s="538" t="s">
        <v>822</v>
      </c>
      <c r="X73" s="536" t="e">
        <f t="shared" si="48"/>
        <v>#VALUE!</v>
      </c>
      <c r="Y73" s="651"/>
      <c r="Z73" s="536" t="s">
        <v>822</v>
      </c>
      <c r="AA73" s="538" t="s">
        <v>822</v>
      </c>
      <c r="AB73" s="538" t="s">
        <v>822</v>
      </c>
      <c r="AC73" s="536" t="e">
        <f t="shared" si="50"/>
        <v>#VALUE!</v>
      </c>
      <c r="AD73" s="651"/>
      <c r="AE73" s="536" t="s">
        <v>822</v>
      </c>
      <c r="AF73" s="538" t="s">
        <v>822</v>
      </c>
      <c r="AG73" s="538" t="s">
        <v>822</v>
      </c>
      <c r="AH73" s="536" t="e">
        <f t="shared" si="52"/>
        <v>#VALUE!</v>
      </c>
      <c r="AI73" s="651"/>
      <c r="AJ73" s="536" t="s">
        <v>822</v>
      </c>
      <c r="AK73" s="538" t="s">
        <v>822</v>
      </c>
      <c r="AL73" s="538" t="s">
        <v>822</v>
      </c>
      <c r="AM73" s="536" t="e">
        <f t="shared" si="54"/>
        <v>#VALUE!</v>
      </c>
      <c r="AN73" s="651"/>
      <c r="AO73" s="536" t="s">
        <v>822</v>
      </c>
      <c r="AP73" s="538" t="s">
        <v>822</v>
      </c>
      <c r="AQ73" s="538" t="s">
        <v>822</v>
      </c>
      <c r="AR73" s="536" t="e">
        <f t="shared" si="56"/>
        <v>#VALUE!</v>
      </c>
      <c r="AS73" s="651"/>
      <c r="AT73" s="536" t="s">
        <v>822</v>
      </c>
      <c r="AU73" s="538" t="s">
        <v>822</v>
      </c>
      <c r="AV73" s="538" t="s">
        <v>822</v>
      </c>
      <c r="AW73" s="536" t="e">
        <f t="shared" si="58"/>
        <v>#VALUE!</v>
      </c>
      <c r="AX73" s="651"/>
      <c r="AZ73" s="521" t="e">
        <f t="shared" si="60"/>
        <v>#N/A</v>
      </c>
      <c r="BA73" s="651"/>
    </row>
    <row r="74" spans="2:53">
      <c r="B74" s="610"/>
      <c r="C74" s="305">
        <v>8</v>
      </c>
      <c r="D74" s="455"/>
      <c r="E74" s="518"/>
      <c r="F74" s="518"/>
      <c r="G74" s="518"/>
      <c r="H74" s="668"/>
      <c r="I74" s="513" t="str">
        <f t="shared" si="43"/>
        <v>-</v>
      </c>
      <c r="J74" s="513" t="str">
        <f t="shared" si="44"/>
        <v>-</v>
      </c>
      <c r="K74" s="200" t="str">
        <f t="shared" si="45"/>
        <v>-</v>
      </c>
      <c r="L74" s="621"/>
      <c r="M74" s="201" t="e">
        <f>RANK(K74, K$67:$K$81)</f>
        <v>#VALUE!</v>
      </c>
      <c r="N74" s="604"/>
      <c r="O74" s="604"/>
      <c r="P74" s="536" t="s">
        <v>822</v>
      </c>
      <c r="Q74" s="538" t="s">
        <v>822</v>
      </c>
      <c r="R74" s="538" t="s">
        <v>822</v>
      </c>
      <c r="S74" s="536" t="e">
        <f t="shared" si="46"/>
        <v>#VALUE!</v>
      </c>
      <c r="T74" s="651"/>
      <c r="U74" s="536" t="s">
        <v>822</v>
      </c>
      <c r="V74" s="538" t="s">
        <v>822</v>
      </c>
      <c r="W74" s="538" t="s">
        <v>822</v>
      </c>
      <c r="X74" s="536" t="e">
        <f t="shared" si="48"/>
        <v>#VALUE!</v>
      </c>
      <c r="Y74" s="651"/>
      <c r="Z74" s="536" t="s">
        <v>822</v>
      </c>
      <c r="AA74" s="538" t="s">
        <v>822</v>
      </c>
      <c r="AB74" s="538" t="s">
        <v>822</v>
      </c>
      <c r="AC74" s="536" t="e">
        <f t="shared" si="50"/>
        <v>#VALUE!</v>
      </c>
      <c r="AD74" s="651"/>
      <c r="AE74" s="536" t="s">
        <v>822</v>
      </c>
      <c r="AF74" s="538" t="s">
        <v>822</v>
      </c>
      <c r="AG74" s="538" t="s">
        <v>822</v>
      </c>
      <c r="AH74" s="536" t="e">
        <f t="shared" si="52"/>
        <v>#VALUE!</v>
      </c>
      <c r="AI74" s="651"/>
      <c r="AJ74" s="536" t="s">
        <v>822</v>
      </c>
      <c r="AK74" s="538" t="s">
        <v>822</v>
      </c>
      <c r="AL74" s="538" t="s">
        <v>822</v>
      </c>
      <c r="AM74" s="536" t="e">
        <f t="shared" si="54"/>
        <v>#VALUE!</v>
      </c>
      <c r="AN74" s="651"/>
      <c r="AO74" s="536" t="s">
        <v>822</v>
      </c>
      <c r="AP74" s="538" t="s">
        <v>822</v>
      </c>
      <c r="AQ74" s="538" t="s">
        <v>822</v>
      </c>
      <c r="AR74" s="536" t="e">
        <f t="shared" si="56"/>
        <v>#VALUE!</v>
      </c>
      <c r="AS74" s="651"/>
      <c r="AT74" s="536" t="s">
        <v>822</v>
      </c>
      <c r="AU74" s="538" t="s">
        <v>822</v>
      </c>
      <c r="AV74" s="538" t="s">
        <v>822</v>
      </c>
      <c r="AW74" s="536" t="e">
        <f t="shared" si="58"/>
        <v>#VALUE!</v>
      </c>
      <c r="AX74" s="651"/>
      <c r="AZ74" s="521" t="e">
        <f t="shared" si="60"/>
        <v>#N/A</v>
      </c>
      <c r="BA74" s="651"/>
    </row>
    <row r="75" spans="2:53">
      <c r="B75" s="610"/>
      <c r="C75" s="305">
        <v>9</v>
      </c>
      <c r="D75" s="455"/>
      <c r="E75" s="518"/>
      <c r="F75" s="518"/>
      <c r="G75" s="518"/>
      <c r="H75" s="668"/>
      <c r="I75" s="513" t="str">
        <f t="shared" si="43"/>
        <v>-</v>
      </c>
      <c r="J75" s="513" t="str">
        <f t="shared" si="44"/>
        <v>-</v>
      </c>
      <c r="K75" s="200" t="str">
        <f t="shared" si="45"/>
        <v>-</v>
      </c>
      <c r="L75" s="621"/>
      <c r="M75" s="201" t="e">
        <f>RANK(K75, K$67:$K$81)</f>
        <v>#VALUE!</v>
      </c>
      <c r="N75" s="604"/>
      <c r="O75" s="604"/>
      <c r="P75" s="536" t="s">
        <v>822</v>
      </c>
      <c r="Q75" s="538" t="s">
        <v>822</v>
      </c>
      <c r="R75" s="538" t="s">
        <v>822</v>
      </c>
      <c r="S75" s="536" t="e">
        <f t="shared" si="46"/>
        <v>#VALUE!</v>
      </c>
      <c r="T75" s="651"/>
      <c r="U75" s="536" t="s">
        <v>822</v>
      </c>
      <c r="V75" s="538" t="s">
        <v>822</v>
      </c>
      <c r="W75" s="538" t="s">
        <v>822</v>
      </c>
      <c r="X75" s="536" t="e">
        <f t="shared" si="48"/>
        <v>#VALUE!</v>
      </c>
      <c r="Y75" s="651"/>
      <c r="Z75" s="536" t="s">
        <v>822</v>
      </c>
      <c r="AA75" s="538" t="s">
        <v>822</v>
      </c>
      <c r="AB75" s="538" t="s">
        <v>822</v>
      </c>
      <c r="AC75" s="536" t="e">
        <f t="shared" si="50"/>
        <v>#VALUE!</v>
      </c>
      <c r="AD75" s="651"/>
      <c r="AE75" s="536" t="s">
        <v>822</v>
      </c>
      <c r="AF75" s="538" t="s">
        <v>822</v>
      </c>
      <c r="AG75" s="538" t="s">
        <v>822</v>
      </c>
      <c r="AH75" s="536" t="e">
        <f t="shared" si="52"/>
        <v>#VALUE!</v>
      </c>
      <c r="AI75" s="651"/>
      <c r="AJ75" s="536" t="s">
        <v>822</v>
      </c>
      <c r="AK75" s="538" t="s">
        <v>822</v>
      </c>
      <c r="AL75" s="538" t="s">
        <v>822</v>
      </c>
      <c r="AM75" s="536" t="e">
        <f t="shared" si="54"/>
        <v>#VALUE!</v>
      </c>
      <c r="AN75" s="651"/>
      <c r="AO75" s="536" t="s">
        <v>822</v>
      </c>
      <c r="AP75" s="538" t="s">
        <v>822</v>
      </c>
      <c r="AQ75" s="538" t="s">
        <v>822</v>
      </c>
      <c r="AR75" s="536" t="e">
        <f t="shared" si="56"/>
        <v>#VALUE!</v>
      </c>
      <c r="AS75" s="651"/>
      <c r="AT75" s="536" t="s">
        <v>822</v>
      </c>
      <c r="AU75" s="538" t="s">
        <v>822</v>
      </c>
      <c r="AV75" s="538" t="s">
        <v>822</v>
      </c>
      <c r="AW75" s="536" t="e">
        <f t="shared" si="58"/>
        <v>#VALUE!</v>
      </c>
      <c r="AX75" s="651"/>
      <c r="AZ75" s="521" t="e">
        <f t="shared" si="60"/>
        <v>#N/A</v>
      </c>
      <c r="BA75" s="651"/>
    </row>
    <row r="76" spans="2:53">
      <c r="B76" s="610"/>
      <c r="C76" s="305">
        <v>10</v>
      </c>
      <c r="D76" s="455"/>
      <c r="E76" s="518"/>
      <c r="F76" s="518"/>
      <c r="G76" s="518"/>
      <c r="H76" s="668"/>
      <c r="I76" s="513" t="str">
        <f t="shared" si="43"/>
        <v>-</v>
      </c>
      <c r="J76" s="513" t="str">
        <f t="shared" si="44"/>
        <v>-</v>
      </c>
      <c r="K76" s="200" t="str">
        <f t="shared" si="45"/>
        <v>-</v>
      </c>
      <c r="L76" s="621"/>
      <c r="M76" s="201" t="e">
        <f>RANK(K76, K$67:$K$81)</f>
        <v>#VALUE!</v>
      </c>
      <c r="N76" s="604"/>
      <c r="O76" s="604"/>
      <c r="P76" s="536" t="s">
        <v>822</v>
      </c>
      <c r="Q76" s="538" t="s">
        <v>822</v>
      </c>
      <c r="R76" s="538" t="s">
        <v>822</v>
      </c>
      <c r="S76" s="536" t="e">
        <f t="shared" si="46"/>
        <v>#VALUE!</v>
      </c>
      <c r="T76" s="651"/>
      <c r="U76" s="536" t="s">
        <v>822</v>
      </c>
      <c r="V76" s="538" t="s">
        <v>822</v>
      </c>
      <c r="W76" s="538" t="s">
        <v>822</v>
      </c>
      <c r="X76" s="536" t="e">
        <f t="shared" si="48"/>
        <v>#VALUE!</v>
      </c>
      <c r="Y76" s="651"/>
      <c r="Z76" s="536" t="s">
        <v>822</v>
      </c>
      <c r="AA76" s="538" t="s">
        <v>822</v>
      </c>
      <c r="AB76" s="538" t="s">
        <v>822</v>
      </c>
      <c r="AC76" s="536" t="e">
        <f t="shared" si="50"/>
        <v>#VALUE!</v>
      </c>
      <c r="AD76" s="651"/>
      <c r="AE76" s="536" t="s">
        <v>822</v>
      </c>
      <c r="AF76" s="538" t="s">
        <v>822</v>
      </c>
      <c r="AG76" s="538" t="s">
        <v>822</v>
      </c>
      <c r="AH76" s="536" t="e">
        <f t="shared" si="52"/>
        <v>#VALUE!</v>
      </c>
      <c r="AI76" s="651"/>
      <c r="AJ76" s="536" t="s">
        <v>822</v>
      </c>
      <c r="AK76" s="538" t="s">
        <v>822</v>
      </c>
      <c r="AL76" s="538" t="s">
        <v>822</v>
      </c>
      <c r="AM76" s="536" t="e">
        <f t="shared" si="54"/>
        <v>#VALUE!</v>
      </c>
      <c r="AN76" s="651"/>
      <c r="AO76" s="536" t="s">
        <v>822</v>
      </c>
      <c r="AP76" s="538" t="s">
        <v>822</v>
      </c>
      <c r="AQ76" s="538" t="s">
        <v>822</v>
      </c>
      <c r="AR76" s="536" t="e">
        <f t="shared" si="56"/>
        <v>#VALUE!</v>
      </c>
      <c r="AS76" s="651"/>
      <c r="AT76" s="536" t="s">
        <v>822</v>
      </c>
      <c r="AU76" s="538" t="s">
        <v>822</v>
      </c>
      <c r="AV76" s="538" t="s">
        <v>822</v>
      </c>
      <c r="AW76" s="536" t="e">
        <f t="shared" si="58"/>
        <v>#VALUE!</v>
      </c>
      <c r="AX76" s="651"/>
      <c r="AZ76" s="521" t="e">
        <f t="shared" si="60"/>
        <v>#N/A</v>
      </c>
      <c r="BA76" s="651"/>
    </row>
    <row r="77" spans="2:53">
      <c r="B77" s="610"/>
      <c r="C77" s="305">
        <v>11</v>
      </c>
      <c r="D77" s="455"/>
      <c r="E77" s="518"/>
      <c r="F77" s="518"/>
      <c r="G77" s="518"/>
      <c r="H77" s="668"/>
      <c r="I77" s="513" t="str">
        <f t="shared" si="43"/>
        <v>-</v>
      </c>
      <c r="J77" s="513" t="str">
        <f t="shared" si="44"/>
        <v>-</v>
      </c>
      <c r="K77" s="200" t="str">
        <f t="shared" si="45"/>
        <v>-</v>
      </c>
      <c r="L77" s="621"/>
      <c r="M77" s="201" t="e">
        <f>RANK(K77, K$67:$K$81)</f>
        <v>#VALUE!</v>
      </c>
      <c r="N77" s="604"/>
      <c r="O77" s="604"/>
      <c r="P77" s="536" t="s">
        <v>822</v>
      </c>
      <c r="Q77" s="538" t="s">
        <v>822</v>
      </c>
      <c r="R77" s="538" t="s">
        <v>822</v>
      </c>
      <c r="S77" s="536" t="e">
        <f t="shared" si="46"/>
        <v>#VALUE!</v>
      </c>
      <c r="T77" s="651"/>
      <c r="U77" s="536" t="s">
        <v>822</v>
      </c>
      <c r="V77" s="538" t="s">
        <v>822</v>
      </c>
      <c r="W77" s="538" t="s">
        <v>822</v>
      </c>
      <c r="X77" s="536" t="e">
        <f t="shared" si="48"/>
        <v>#VALUE!</v>
      </c>
      <c r="Y77" s="651"/>
      <c r="Z77" s="536" t="s">
        <v>822</v>
      </c>
      <c r="AA77" s="538" t="s">
        <v>822</v>
      </c>
      <c r="AB77" s="538" t="s">
        <v>822</v>
      </c>
      <c r="AC77" s="536" t="e">
        <f t="shared" si="50"/>
        <v>#VALUE!</v>
      </c>
      <c r="AD77" s="651"/>
      <c r="AE77" s="536" t="s">
        <v>822</v>
      </c>
      <c r="AF77" s="538" t="s">
        <v>822</v>
      </c>
      <c r="AG77" s="538" t="s">
        <v>822</v>
      </c>
      <c r="AH77" s="536" t="e">
        <f t="shared" si="52"/>
        <v>#VALUE!</v>
      </c>
      <c r="AI77" s="651"/>
      <c r="AJ77" s="536" t="s">
        <v>822</v>
      </c>
      <c r="AK77" s="538" t="s">
        <v>822</v>
      </c>
      <c r="AL77" s="538" t="s">
        <v>822</v>
      </c>
      <c r="AM77" s="536" t="e">
        <f t="shared" si="54"/>
        <v>#VALUE!</v>
      </c>
      <c r="AN77" s="651"/>
      <c r="AO77" s="536" t="s">
        <v>822</v>
      </c>
      <c r="AP77" s="538" t="s">
        <v>822</v>
      </c>
      <c r="AQ77" s="538" t="s">
        <v>822</v>
      </c>
      <c r="AR77" s="536" t="e">
        <f t="shared" si="56"/>
        <v>#VALUE!</v>
      </c>
      <c r="AS77" s="651"/>
      <c r="AT77" s="536" t="s">
        <v>822</v>
      </c>
      <c r="AU77" s="538" t="s">
        <v>822</v>
      </c>
      <c r="AV77" s="538" t="s">
        <v>822</v>
      </c>
      <c r="AW77" s="536" t="e">
        <f t="shared" si="58"/>
        <v>#VALUE!</v>
      </c>
      <c r="AX77" s="651"/>
      <c r="AZ77" s="521" t="e">
        <f t="shared" si="60"/>
        <v>#N/A</v>
      </c>
      <c r="BA77" s="651"/>
    </row>
    <row r="78" spans="2:53">
      <c r="B78" s="610"/>
      <c r="C78" s="305">
        <v>12</v>
      </c>
      <c r="D78" s="455"/>
      <c r="E78" s="518"/>
      <c r="F78" s="518"/>
      <c r="G78" s="518"/>
      <c r="H78" s="668"/>
      <c r="I78" s="513" t="str">
        <f t="shared" si="43"/>
        <v>-</v>
      </c>
      <c r="J78" s="513" t="str">
        <f t="shared" si="44"/>
        <v>-</v>
      </c>
      <c r="K78" s="200" t="str">
        <f t="shared" si="45"/>
        <v>-</v>
      </c>
      <c r="L78" s="621"/>
      <c r="M78" s="201" t="e">
        <f>RANK(K78, K$67:$K$81)</f>
        <v>#VALUE!</v>
      </c>
      <c r="N78" s="604"/>
      <c r="O78" s="604"/>
      <c r="P78" s="536" t="s">
        <v>822</v>
      </c>
      <c r="Q78" s="538" t="s">
        <v>822</v>
      </c>
      <c r="R78" s="538" t="s">
        <v>822</v>
      </c>
      <c r="S78" s="536" t="e">
        <f t="shared" si="46"/>
        <v>#VALUE!</v>
      </c>
      <c r="T78" s="651"/>
      <c r="U78" s="536" t="s">
        <v>822</v>
      </c>
      <c r="V78" s="538" t="s">
        <v>822</v>
      </c>
      <c r="W78" s="538" t="s">
        <v>822</v>
      </c>
      <c r="X78" s="536" t="e">
        <f t="shared" si="48"/>
        <v>#VALUE!</v>
      </c>
      <c r="Y78" s="651"/>
      <c r="Z78" s="536" t="s">
        <v>822</v>
      </c>
      <c r="AA78" s="538" t="s">
        <v>822</v>
      </c>
      <c r="AB78" s="538" t="s">
        <v>822</v>
      </c>
      <c r="AC78" s="536" t="e">
        <f t="shared" si="50"/>
        <v>#VALUE!</v>
      </c>
      <c r="AD78" s="651"/>
      <c r="AE78" s="536" t="s">
        <v>822</v>
      </c>
      <c r="AF78" s="538" t="s">
        <v>822</v>
      </c>
      <c r="AG78" s="538" t="s">
        <v>822</v>
      </c>
      <c r="AH78" s="536" t="e">
        <f t="shared" si="52"/>
        <v>#VALUE!</v>
      </c>
      <c r="AI78" s="651"/>
      <c r="AJ78" s="536" t="s">
        <v>822</v>
      </c>
      <c r="AK78" s="538" t="s">
        <v>822</v>
      </c>
      <c r="AL78" s="538" t="s">
        <v>822</v>
      </c>
      <c r="AM78" s="536" t="e">
        <f t="shared" si="54"/>
        <v>#VALUE!</v>
      </c>
      <c r="AN78" s="651"/>
      <c r="AO78" s="536" t="s">
        <v>822</v>
      </c>
      <c r="AP78" s="538" t="s">
        <v>822</v>
      </c>
      <c r="AQ78" s="538" t="s">
        <v>822</v>
      </c>
      <c r="AR78" s="536" t="e">
        <f t="shared" si="56"/>
        <v>#VALUE!</v>
      </c>
      <c r="AS78" s="651"/>
      <c r="AT78" s="536" t="s">
        <v>822</v>
      </c>
      <c r="AU78" s="538" t="s">
        <v>822</v>
      </c>
      <c r="AV78" s="538" t="s">
        <v>822</v>
      </c>
      <c r="AW78" s="536" t="e">
        <f t="shared" si="58"/>
        <v>#VALUE!</v>
      </c>
      <c r="AX78" s="651"/>
      <c r="AZ78" s="521" t="e">
        <f t="shared" si="60"/>
        <v>#N/A</v>
      </c>
      <c r="BA78" s="651"/>
    </row>
    <row r="79" spans="2:53">
      <c r="B79" s="610"/>
      <c r="C79" s="305">
        <v>13</v>
      </c>
      <c r="D79" s="455"/>
      <c r="E79" s="518"/>
      <c r="F79" s="518"/>
      <c r="G79" s="518"/>
      <c r="H79" s="668"/>
      <c r="I79" s="513" t="str">
        <f t="shared" si="43"/>
        <v>-</v>
      </c>
      <c r="J79" s="513" t="str">
        <f t="shared" si="44"/>
        <v>-</v>
      </c>
      <c r="K79" s="200" t="str">
        <f t="shared" si="45"/>
        <v>-</v>
      </c>
      <c r="L79" s="621"/>
      <c r="M79" s="201" t="e">
        <f>RANK(K79, K$67:$K$81)</f>
        <v>#VALUE!</v>
      </c>
      <c r="N79" s="604"/>
      <c r="O79" s="604"/>
      <c r="P79" s="536" t="s">
        <v>822</v>
      </c>
      <c r="Q79" s="538" t="s">
        <v>822</v>
      </c>
      <c r="R79" s="538" t="s">
        <v>822</v>
      </c>
      <c r="S79" s="536" t="e">
        <f t="shared" si="46"/>
        <v>#VALUE!</v>
      </c>
      <c r="T79" s="651"/>
      <c r="U79" s="536" t="s">
        <v>822</v>
      </c>
      <c r="V79" s="538" t="s">
        <v>822</v>
      </c>
      <c r="W79" s="538" t="s">
        <v>822</v>
      </c>
      <c r="X79" s="536" t="e">
        <f t="shared" si="48"/>
        <v>#VALUE!</v>
      </c>
      <c r="Y79" s="651"/>
      <c r="Z79" s="536" t="s">
        <v>822</v>
      </c>
      <c r="AA79" s="538" t="s">
        <v>822</v>
      </c>
      <c r="AB79" s="538" t="s">
        <v>822</v>
      </c>
      <c r="AC79" s="536" t="e">
        <f t="shared" si="50"/>
        <v>#VALUE!</v>
      </c>
      <c r="AD79" s="651"/>
      <c r="AE79" s="536" t="s">
        <v>822</v>
      </c>
      <c r="AF79" s="538" t="s">
        <v>822</v>
      </c>
      <c r="AG79" s="538" t="s">
        <v>822</v>
      </c>
      <c r="AH79" s="536" t="e">
        <f t="shared" si="52"/>
        <v>#VALUE!</v>
      </c>
      <c r="AI79" s="651"/>
      <c r="AJ79" s="536" t="s">
        <v>822</v>
      </c>
      <c r="AK79" s="538" t="s">
        <v>822</v>
      </c>
      <c r="AL79" s="538" t="s">
        <v>822</v>
      </c>
      <c r="AM79" s="536" t="e">
        <f t="shared" si="54"/>
        <v>#VALUE!</v>
      </c>
      <c r="AN79" s="651"/>
      <c r="AO79" s="536" t="s">
        <v>822</v>
      </c>
      <c r="AP79" s="538" t="s">
        <v>822</v>
      </c>
      <c r="AQ79" s="538" t="s">
        <v>822</v>
      </c>
      <c r="AR79" s="536" t="e">
        <f t="shared" si="56"/>
        <v>#VALUE!</v>
      </c>
      <c r="AS79" s="651"/>
      <c r="AT79" s="536" t="s">
        <v>822</v>
      </c>
      <c r="AU79" s="538" t="s">
        <v>822</v>
      </c>
      <c r="AV79" s="538" t="s">
        <v>822</v>
      </c>
      <c r="AW79" s="536" t="e">
        <f t="shared" si="58"/>
        <v>#VALUE!</v>
      </c>
      <c r="AX79" s="651"/>
      <c r="AZ79" s="521" t="e">
        <f t="shared" si="60"/>
        <v>#N/A</v>
      </c>
      <c r="BA79" s="651"/>
    </row>
    <row r="80" spans="2:53">
      <c r="B80" s="610"/>
      <c r="C80" s="305">
        <v>14</v>
      </c>
      <c r="D80" s="455"/>
      <c r="E80" s="518"/>
      <c r="F80" s="518"/>
      <c r="G80" s="518"/>
      <c r="H80" s="668"/>
      <c r="I80" s="513" t="str">
        <f t="shared" si="43"/>
        <v>-</v>
      </c>
      <c r="J80" s="513" t="str">
        <f t="shared" si="44"/>
        <v>-</v>
      </c>
      <c r="K80" s="200" t="str">
        <f t="shared" si="45"/>
        <v>-</v>
      </c>
      <c r="L80" s="621"/>
      <c r="M80" s="201" t="e">
        <f>RANK(K80, K$67:$K$81)</f>
        <v>#VALUE!</v>
      </c>
      <c r="N80" s="604"/>
      <c r="O80" s="604"/>
      <c r="P80" s="536" t="s">
        <v>822</v>
      </c>
      <c r="Q80" s="538" t="s">
        <v>822</v>
      </c>
      <c r="R80" s="538" t="s">
        <v>822</v>
      </c>
      <c r="S80" s="536" t="e">
        <f t="shared" si="46"/>
        <v>#VALUE!</v>
      </c>
      <c r="T80" s="651"/>
      <c r="U80" s="536" t="s">
        <v>822</v>
      </c>
      <c r="V80" s="538" t="s">
        <v>822</v>
      </c>
      <c r="W80" s="538" t="s">
        <v>822</v>
      </c>
      <c r="X80" s="536" t="e">
        <f t="shared" si="48"/>
        <v>#VALUE!</v>
      </c>
      <c r="Y80" s="651"/>
      <c r="Z80" s="536" t="s">
        <v>822</v>
      </c>
      <c r="AA80" s="538" t="s">
        <v>822</v>
      </c>
      <c r="AB80" s="538" t="s">
        <v>822</v>
      </c>
      <c r="AC80" s="536" t="e">
        <f t="shared" si="50"/>
        <v>#VALUE!</v>
      </c>
      <c r="AD80" s="651"/>
      <c r="AE80" s="536" t="s">
        <v>822</v>
      </c>
      <c r="AF80" s="538" t="s">
        <v>822</v>
      </c>
      <c r="AG80" s="538" t="s">
        <v>822</v>
      </c>
      <c r="AH80" s="536" t="e">
        <f t="shared" si="52"/>
        <v>#VALUE!</v>
      </c>
      <c r="AI80" s="651"/>
      <c r="AJ80" s="536" t="s">
        <v>822</v>
      </c>
      <c r="AK80" s="538" t="s">
        <v>822</v>
      </c>
      <c r="AL80" s="538" t="s">
        <v>822</v>
      </c>
      <c r="AM80" s="536" t="e">
        <f t="shared" si="54"/>
        <v>#VALUE!</v>
      </c>
      <c r="AN80" s="651"/>
      <c r="AO80" s="536" t="s">
        <v>822</v>
      </c>
      <c r="AP80" s="538" t="s">
        <v>822</v>
      </c>
      <c r="AQ80" s="538" t="s">
        <v>822</v>
      </c>
      <c r="AR80" s="536" t="e">
        <f t="shared" si="56"/>
        <v>#VALUE!</v>
      </c>
      <c r="AS80" s="651"/>
      <c r="AT80" s="536" t="s">
        <v>822</v>
      </c>
      <c r="AU80" s="538" t="s">
        <v>822</v>
      </c>
      <c r="AV80" s="538" t="s">
        <v>822</v>
      </c>
      <c r="AW80" s="536" t="e">
        <f t="shared" si="58"/>
        <v>#VALUE!</v>
      </c>
      <c r="AX80" s="651"/>
      <c r="AZ80" s="521" t="e">
        <f t="shared" si="60"/>
        <v>#N/A</v>
      </c>
      <c r="BA80" s="651"/>
    </row>
    <row r="81" spans="2:53">
      <c r="B81" s="610"/>
      <c r="C81" s="305">
        <v>15</v>
      </c>
      <c r="D81" s="455"/>
      <c r="E81" s="518"/>
      <c r="F81" s="518"/>
      <c r="G81" s="518"/>
      <c r="H81" s="669"/>
      <c r="I81" s="517"/>
      <c r="J81" s="517"/>
      <c r="K81" s="517"/>
      <c r="L81" s="622"/>
      <c r="M81" s="201" t="e">
        <f>RANK(K81, K$67:$K$81)</f>
        <v>#N/A</v>
      </c>
      <c r="N81" s="604"/>
      <c r="O81" s="604"/>
      <c r="P81" s="536" t="s">
        <v>822</v>
      </c>
      <c r="Q81" s="538" t="s">
        <v>822</v>
      </c>
      <c r="R81" s="538" t="s">
        <v>822</v>
      </c>
      <c r="S81" s="536" t="e">
        <f t="shared" si="46"/>
        <v>#VALUE!</v>
      </c>
      <c r="T81" s="652"/>
      <c r="U81" s="536" t="s">
        <v>822</v>
      </c>
      <c r="V81" s="538" t="s">
        <v>822</v>
      </c>
      <c r="W81" s="538" t="s">
        <v>822</v>
      </c>
      <c r="X81" s="536" t="e">
        <f t="shared" si="48"/>
        <v>#VALUE!</v>
      </c>
      <c r="Y81" s="652"/>
      <c r="Z81" s="536" t="s">
        <v>822</v>
      </c>
      <c r="AA81" s="538" t="s">
        <v>822</v>
      </c>
      <c r="AB81" s="538" t="s">
        <v>822</v>
      </c>
      <c r="AC81" s="536" t="e">
        <f t="shared" si="50"/>
        <v>#VALUE!</v>
      </c>
      <c r="AD81" s="652"/>
      <c r="AE81" s="536" t="s">
        <v>822</v>
      </c>
      <c r="AF81" s="538" t="s">
        <v>822</v>
      </c>
      <c r="AG81" s="538" t="s">
        <v>822</v>
      </c>
      <c r="AH81" s="536" t="e">
        <f t="shared" si="52"/>
        <v>#VALUE!</v>
      </c>
      <c r="AI81" s="652"/>
      <c r="AJ81" s="536" t="s">
        <v>822</v>
      </c>
      <c r="AK81" s="538" t="s">
        <v>822</v>
      </c>
      <c r="AL81" s="538" t="s">
        <v>822</v>
      </c>
      <c r="AM81" s="536" t="e">
        <f t="shared" si="54"/>
        <v>#VALUE!</v>
      </c>
      <c r="AN81" s="652"/>
      <c r="AO81" s="536" t="s">
        <v>822</v>
      </c>
      <c r="AP81" s="538" t="s">
        <v>822</v>
      </c>
      <c r="AQ81" s="538" t="s">
        <v>822</v>
      </c>
      <c r="AR81" s="536" t="e">
        <f t="shared" si="56"/>
        <v>#VALUE!</v>
      </c>
      <c r="AS81" s="652"/>
      <c r="AT81" s="536" t="s">
        <v>822</v>
      </c>
      <c r="AU81" s="538" t="s">
        <v>822</v>
      </c>
      <c r="AV81" s="538" t="s">
        <v>822</v>
      </c>
      <c r="AW81" s="536" t="e">
        <f t="shared" si="58"/>
        <v>#VALUE!</v>
      </c>
      <c r="AX81" s="652"/>
      <c r="AZ81" s="521" t="e">
        <f t="shared" si="60"/>
        <v>#N/A</v>
      </c>
      <c r="BA81" s="652"/>
    </row>
    <row r="82" spans="2:53" ht="15.75">
      <c r="B82" s="633" t="s">
        <v>163</v>
      </c>
      <c r="C82" s="634"/>
      <c r="D82" s="634"/>
      <c r="E82" s="634"/>
      <c r="F82" s="634"/>
      <c r="G82" s="634"/>
      <c r="H82" s="635"/>
      <c r="I82" s="208"/>
      <c r="J82" s="208"/>
      <c r="K82" s="208"/>
      <c r="L82" s="208"/>
      <c r="M82" s="207"/>
      <c r="N82" s="606" t="s">
        <v>156</v>
      </c>
      <c r="O82" s="606" t="s">
        <v>105</v>
      </c>
      <c r="P82" s="632">
        <f>P62+7</f>
        <v>46140</v>
      </c>
      <c r="Q82" s="610"/>
      <c r="R82" s="610"/>
      <c r="S82" s="610"/>
      <c r="T82" s="610"/>
      <c r="U82" s="629">
        <f>P82+1</f>
        <v>46141</v>
      </c>
      <c r="V82" s="630"/>
      <c r="W82" s="630"/>
      <c r="X82" s="630"/>
      <c r="Y82" s="631"/>
      <c r="Z82" s="629">
        <f>U82+1</f>
        <v>46142</v>
      </c>
      <c r="AA82" s="630"/>
      <c r="AB82" s="630"/>
      <c r="AC82" s="630"/>
      <c r="AD82" s="631"/>
      <c r="AE82" s="629">
        <f>Z82+1</f>
        <v>46143</v>
      </c>
      <c r="AF82" s="630"/>
      <c r="AG82" s="630"/>
      <c r="AH82" s="630"/>
      <c r="AI82" s="631"/>
      <c r="AJ82" s="629">
        <f>AE82+1</f>
        <v>46144</v>
      </c>
      <c r="AK82" s="630"/>
      <c r="AL82" s="630"/>
      <c r="AM82" s="630"/>
      <c r="AN82" s="631"/>
      <c r="AO82" s="629">
        <f>AJ82+1</f>
        <v>46145</v>
      </c>
      <c r="AP82" s="630"/>
      <c r="AQ82" s="630"/>
      <c r="AR82" s="630"/>
      <c r="AS82" s="631"/>
      <c r="AT82" s="629">
        <f>AO82+1</f>
        <v>46146</v>
      </c>
      <c r="AU82" s="630"/>
      <c r="AV82" s="630"/>
      <c r="AW82" s="630"/>
      <c r="AX82" s="631"/>
    </row>
    <row r="83" spans="2:53" ht="15.75">
      <c r="B83" s="636"/>
      <c r="C83" s="636"/>
      <c r="D83" s="636"/>
      <c r="E83" s="636"/>
      <c r="F83" s="636"/>
      <c r="G83" s="636"/>
      <c r="H83" s="636"/>
      <c r="I83" s="205"/>
      <c r="J83" s="205"/>
      <c r="K83" s="205"/>
      <c r="L83" s="205"/>
      <c r="M83" s="206"/>
      <c r="N83" s="608"/>
      <c r="O83" s="608"/>
      <c r="P83" s="632" t="s">
        <v>336</v>
      </c>
      <c r="Q83" s="610"/>
      <c r="R83" s="610"/>
      <c r="S83" s="610"/>
      <c r="T83" s="610"/>
      <c r="U83" s="632" t="s">
        <v>337</v>
      </c>
      <c r="V83" s="610"/>
      <c r="W83" s="610"/>
      <c r="X83" s="610"/>
      <c r="Y83" s="610"/>
      <c r="Z83" s="632" t="s">
        <v>338</v>
      </c>
      <c r="AA83" s="610"/>
      <c r="AB83" s="610"/>
      <c r="AC83" s="610"/>
      <c r="AD83" s="610"/>
      <c r="AE83" s="632" t="s">
        <v>339</v>
      </c>
      <c r="AF83" s="610"/>
      <c r="AG83" s="610"/>
      <c r="AH83" s="610"/>
      <c r="AI83" s="610"/>
      <c r="AJ83" s="632" t="s">
        <v>340</v>
      </c>
      <c r="AK83" s="610"/>
      <c r="AL83" s="610"/>
      <c r="AM83" s="610"/>
      <c r="AN83" s="610"/>
      <c r="AO83" s="632" t="s">
        <v>341</v>
      </c>
      <c r="AP83" s="610"/>
      <c r="AQ83" s="610"/>
      <c r="AR83" s="610"/>
      <c r="AS83" s="610"/>
      <c r="AT83" s="632" t="s">
        <v>342</v>
      </c>
      <c r="AU83" s="610"/>
      <c r="AV83" s="610"/>
      <c r="AW83" s="610"/>
      <c r="AX83" s="610"/>
    </row>
    <row r="84" spans="2:53">
      <c r="B84" s="604" t="s">
        <v>423</v>
      </c>
      <c r="C84" s="604" t="s">
        <v>424</v>
      </c>
      <c r="D84" s="604"/>
      <c r="E84" s="604" t="s">
        <v>425</v>
      </c>
      <c r="F84" s="604"/>
      <c r="G84" s="604"/>
      <c r="H84" s="637" t="s">
        <v>426</v>
      </c>
      <c r="I84" s="656" t="s">
        <v>427</v>
      </c>
      <c r="J84" s="656"/>
      <c r="K84" s="656"/>
      <c r="L84" s="657" t="s">
        <v>395</v>
      </c>
      <c r="M84" s="642" t="s">
        <v>428</v>
      </c>
      <c r="N84" s="604"/>
      <c r="O84" s="604" t="s">
        <v>429</v>
      </c>
      <c r="P84" s="623" t="s">
        <v>430</v>
      </c>
      <c r="Q84" s="624"/>
      <c r="R84" s="624"/>
      <c r="S84" s="625"/>
      <c r="T84" s="604" t="s">
        <v>426</v>
      </c>
      <c r="U84" s="623" t="s">
        <v>430</v>
      </c>
      <c r="V84" s="624"/>
      <c r="W84" s="624"/>
      <c r="X84" s="625"/>
      <c r="Y84" s="604" t="s">
        <v>426</v>
      </c>
      <c r="Z84" s="623" t="s">
        <v>430</v>
      </c>
      <c r="AA84" s="624"/>
      <c r="AB84" s="624"/>
      <c r="AC84" s="625"/>
      <c r="AD84" s="604" t="s">
        <v>426</v>
      </c>
      <c r="AE84" s="623" t="s">
        <v>430</v>
      </c>
      <c r="AF84" s="624"/>
      <c r="AG84" s="624"/>
      <c r="AH84" s="625"/>
      <c r="AI84" s="604" t="s">
        <v>426</v>
      </c>
      <c r="AJ84" s="623" t="s">
        <v>430</v>
      </c>
      <c r="AK84" s="624"/>
      <c r="AL84" s="624"/>
      <c r="AM84" s="625"/>
      <c r="AN84" s="604" t="s">
        <v>426</v>
      </c>
      <c r="AO84" s="623" t="s">
        <v>430</v>
      </c>
      <c r="AP84" s="624"/>
      <c r="AQ84" s="624"/>
      <c r="AR84" s="625"/>
      <c r="AS84" s="604" t="s">
        <v>426</v>
      </c>
      <c r="AT84" s="623" t="s">
        <v>430</v>
      </c>
      <c r="AU84" s="624"/>
      <c r="AV84" s="624"/>
      <c r="AW84" s="625"/>
      <c r="AX84" s="604" t="s">
        <v>426</v>
      </c>
      <c r="BA84" s="604" t="s">
        <v>395</v>
      </c>
    </row>
    <row r="85" spans="2:53">
      <c r="B85" s="604"/>
      <c r="C85" s="604"/>
      <c r="D85" s="604"/>
      <c r="E85" s="604" t="s">
        <v>431</v>
      </c>
      <c r="F85" s="604"/>
      <c r="G85" s="604"/>
      <c r="H85" s="638"/>
      <c r="I85" s="656" t="s">
        <v>431</v>
      </c>
      <c r="J85" s="656"/>
      <c r="K85" s="656"/>
      <c r="L85" s="658"/>
      <c r="M85" s="643"/>
      <c r="N85" s="604"/>
      <c r="O85" s="604"/>
      <c r="P85" s="623" t="s">
        <v>432</v>
      </c>
      <c r="Q85" s="624"/>
      <c r="R85" s="624"/>
      <c r="S85" s="625"/>
      <c r="T85" s="604"/>
      <c r="U85" s="623" t="s">
        <v>432</v>
      </c>
      <c r="V85" s="624"/>
      <c r="W85" s="624"/>
      <c r="X85" s="625"/>
      <c r="Y85" s="604"/>
      <c r="Z85" s="623" t="s">
        <v>432</v>
      </c>
      <c r="AA85" s="624"/>
      <c r="AB85" s="624"/>
      <c r="AC85" s="625"/>
      <c r="AD85" s="604"/>
      <c r="AE85" s="623" t="s">
        <v>432</v>
      </c>
      <c r="AF85" s="624"/>
      <c r="AG85" s="624"/>
      <c r="AH85" s="625"/>
      <c r="AI85" s="604"/>
      <c r="AJ85" s="623" t="s">
        <v>432</v>
      </c>
      <c r="AK85" s="624"/>
      <c r="AL85" s="624"/>
      <c r="AM85" s="625"/>
      <c r="AN85" s="604"/>
      <c r="AO85" s="623" t="s">
        <v>432</v>
      </c>
      <c r="AP85" s="624"/>
      <c r="AQ85" s="624"/>
      <c r="AR85" s="625"/>
      <c r="AS85" s="604"/>
      <c r="AT85" s="623" t="s">
        <v>432</v>
      </c>
      <c r="AU85" s="624"/>
      <c r="AV85" s="624"/>
      <c r="AW85" s="625"/>
      <c r="AX85" s="604"/>
      <c r="BA85" s="604"/>
    </row>
    <row r="86" spans="2:53">
      <c r="B86" s="604"/>
      <c r="C86" s="604"/>
      <c r="D86" s="604"/>
      <c r="E86" s="298" t="s">
        <v>433</v>
      </c>
      <c r="F86" s="298" t="s">
        <v>434</v>
      </c>
      <c r="G86" s="298" t="s">
        <v>435</v>
      </c>
      <c r="H86" s="639"/>
      <c r="I86" s="299" t="s">
        <v>433</v>
      </c>
      <c r="J86" s="299" t="s">
        <v>434</v>
      </c>
      <c r="K86" s="299" t="s">
        <v>435</v>
      </c>
      <c r="L86" s="659"/>
      <c r="M86" s="644"/>
      <c r="N86" s="604"/>
      <c r="O86" s="604"/>
      <c r="P86" s="298" t="s">
        <v>433</v>
      </c>
      <c r="Q86" s="298" t="s">
        <v>434</v>
      </c>
      <c r="R86" s="298" t="s">
        <v>435</v>
      </c>
      <c r="S86" s="298" t="s">
        <v>428</v>
      </c>
      <c r="T86" s="604"/>
      <c r="U86" s="298" t="s">
        <v>433</v>
      </c>
      <c r="V86" s="298" t="s">
        <v>434</v>
      </c>
      <c r="W86" s="298" t="s">
        <v>435</v>
      </c>
      <c r="X86" s="298" t="s">
        <v>428</v>
      </c>
      <c r="Y86" s="604"/>
      <c r="Z86" s="298" t="s">
        <v>433</v>
      </c>
      <c r="AA86" s="298" t="s">
        <v>434</v>
      </c>
      <c r="AB86" s="298" t="s">
        <v>435</v>
      </c>
      <c r="AC86" s="298" t="s">
        <v>428</v>
      </c>
      <c r="AD86" s="604"/>
      <c r="AE86" s="298" t="s">
        <v>433</v>
      </c>
      <c r="AF86" s="298" t="s">
        <v>434</v>
      </c>
      <c r="AG86" s="298" t="s">
        <v>435</v>
      </c>
      <c r="AH86" s="298" t="s">
        <v>428</v>
      </c>
      <c r="AI86" s="604"/>
      <c r="AJ86" s="298" t="s">
        <v>433</v>
      </c>
      <c r="AK86" s="298" t="s">
        <v>434</v>
      </c>
      <c r="AL86" s="298" t="s">
        <v>435</v>
      </c>
      <c r="AM86" s="298" t="s">
        <v>428</v>
      </c>
      <c r="AN86" s="604"/>
      <c r="AO86" s="298" t="s">
        <v>433</v>
      </c>
      <c r="AP86" s="298" t="s">
        <v>434</v>
      </c>
      <c r="AQ86" s="298" t="s">
        <v>435</v>
      </c>
      <c r="AR86" s="298" t="s">
        <v>428</v>
      </c>
      <c r="AS86" s="604"/>
      <c r="AT86" s="298" t="s">
        <v>433</v>
      </c>
      <c r="AU86" s="298" t="s">
        <v>434</v>
      </c>
      <c r="AV86" s="298" t="s">
        <v>435</v>
      </c>
      <c r="AW86" s="298" t="s">
        <v>428</v>
      </c>
      <c r="AX86" s="604"/>
      <c r="AZ86" s="520" t="s">
        <v>396</v>
      </c>
      <c r="BA86" s="604"/>
    </row>
    <row r="87" spans="2:53">
      <c r="B87" s="604" t="s">
        <v>440</v>
      </c>
      <c r="C87" s="297">
        <v>1</v>
      </c>
      <c r="D87" s="226"/>
      <c r="E87" s="182"/>
      <c r="F87" s="465"/>
      <c r="G87" s="466"/>
      <c r="H87" s="667" t="e">
        <f>AVERAGE(G87:G101)</f>
        <v>#DIV/0!</v>
      </c>
      <c r="I87" s="513" t="str">
        <f t="shared" ref="I87:I100" si="62">IFERROR(AVERAGE(P87,U87,Z87,AE87,AJ87,AO87,AT87),"-")</f>
        <v>-</v>
      </c>
      <c r="J87" s="513" t="str">
        <f t="shared" ref="J87:J100" si="63">IFERROR(AVERAGE(Q87,V87,AA87,AF87,AK87,AP87,AU87),"-")</f>
        <v>-</v>
      </c>
      <c r="K87" s="200" t="str">
        <f t="shared" ref="K87:K100" si="64">IFERROR(AVERAGE(R87,W87,AB87,AG87,AL87,AQ87,AV87),"-")</f>
        <v>-</v>
      </c>
      <c r="L87" s="620" t="str">
        <f>IFERROR(AVERAGE(K87:K101),"-")</f>
        <v>-</v>
      </c>
      <c r="M87" s="201" t="e">
        <f>RANK(K87, K$87:$K$101)</f>
        <v>#VALUE!</v>
      </c>
      <c r="N87" s="604"/>
      <c r="O87" s="604"/>
      <c r="P87" s="506"/>
      <c r="Q87" s="507"/>
      <c r="R87" s="507"/>
      <c r="S87" s="297" t="e">
        <f>RANK(R87, R$87:R$101)</f>
        <v>#N/A</v>
      </c>
      <c r="T87" s="605" t="e">
        <f>AVERAGE(R87:R101)</f>
        <v>#DIV/0!</v>
      </c>
      <c r="U87" s="506"/>
      <c r="V87" s="507"/>
      <c r="W87" s="507"/>
      <c r="X87" s="441" t="e">
        <f t="shared" ref="X87:X101" si="65">RANK(W87, W$87:W$101)</f>
        <v>#N/A</v>
      </c>
      <c r="Y87" s="605" t="e">
        <f t="shared" ref="Y87" si="66">AVERAGE(W87:W101)</f>
        <v>#DIV/0!</v>
      </c>
      <c r="Z87" s="506"/>
      <c r="AA87" s="507"/>
      <c r="AB87" s="507"/>
      <c r="AC87" s="441" t="e">
        <f t="shared" ref="AC87:AC101" si="67">RANK(AB87, AB$87:AB$101)</f>
        <v>#N/A</v>
      </c>
      <c r="AD87" s="605" t="e">
        <f t="shared" ref="AD87" si="68">AVERAGE(AB87:AB101)</f>
        <v>#DIV/0!</v>
      </c>
      <c r="AE87" s="506"/>
      <c r="AF87" s="507"/>
      <c r="AG87" s="507"/>
      <c r="AH87" s="441" t="e">
        <f t="shared" ref="AH87:AH101" si="69">RANK(AG87, AG$87:AG$101)</f>
        <v>#N/A</v>
      </c>
      <c r="AI87" s="605" t="e">
        <f t="shared" ref="AI87" si="70">AVERAGE(AG87:AG101)</f>
        <v>#DIV/0!</v>
      </c>
      <c r="AJ87" s="506"/>
      <c r="AK87" s="507"/>
      <c r="AL87" s="507"/>
      <c r="AM87" s="441" t="e">
        <f t="shared" ref="AM87:AM101" si="71">RANK(AL87, AL$87:AL$101)</f>
        <v>#N/A</v>
      </c>
      <c r="AN87" s="605" t="e">
        <f t="shared" ref="AN87" si="72">AVERAGE(AL87:AL101)</f>
        <v>#DIV/0!</v>
      </c>
      <c r="AO87" s="506"/>
      <c r="AP87" s="507"/>
      <c r="AQ87" s="507"/>
      <c r="AR87" s="441" t="e">
        <f t="shared" ref="AR87:AR101" si="73">RANK(AQ87, AQ$87:AQ$101)</f>
        <v>#N/A</v>
      </c>
      <c r="AS87" s="605" t="e">
        <f t="shared" ref="AS87" si="74">AVERAGE(AQ87:AQ101)</f>
        <v>#DIV/0!</v>
      </c>
      <c r="AT87" s="506"/>
      <c r="AU87" s="507"/>
      <c r="AV87" s="507"/>
      <c r="AW87" s="441" t="e">
        <f t="shared" ref="AW87:AW101" si="75">RANK(AV87, AV$87:AV$101)</f>
        <v>#N/A</v>
      </c>
      <c r="AX87" s="605" t="e">
        <f t="shared" ref="AX87" si="76">AVERAGE(AV87:AV101)</f>
        <v>#DIV/0!</v>
      </c>
      <c r="AZ87" s="521" t="e">
        <f t="shared" ref="AZ87:AZ101" si="77">RANK(AY87, AY$87:AY$101)</f>
        <v>#N/A</v>
      </c>
      <c r="BA87" s="605" t="e">
        <f t="shared" ref="BA87" si="78">AVERAGE(AY87:AY101)</f>
        <v>#DIV/0!</v>
      </c>
    </row>
    <row r="88" spans="2:53">
      <c r="B88" s="610"/>
      <c r="C88" s="297">
        <v>2</v>
      </c>
      <c r="D88" s="226"/>
      <c r="E88" s="182"/>
      <c r="F88" s="465"/>
      <c r="G88" s="466"/>
      <c r="H88" s="668"/>
      <c r="I88" s="513" t="str">
        <f t="shared" si="62"/>
        <v>-</v>
      </c>
      <c r="J88" s="513" t="str">
        <f t="shared" si="63"/>
        <v>-</v>
      </c>
      <c r="K88" s="200" t="str">
        <f t="shared" si="64"/>
        <v>-</v>
      </c>
      <c r="L88" s="621"/>
      <c r="M88" s="201" t="e">
        <f>RANK(K88, K$87:$K$101)</f>
        <v>#VALUE!</v>
      </c>
      <c r="N88" s="604"/>
      <c r="O88" s="604"/>
      <c r="P88" s="506"/>
      <c r="Q88" s="507"/>
      <c r="R88" s="507"/>
      <c r="S88" s="297" t="e">
        <f t="shared" ref="S88:S101" si="79">RANK(R88, R$87:R$101)</f>
        <v>#N/A</v>
      </c>
      <c r="T88" s="605"/>
      <c r="U88" s="506"/>
      <c r="V88" s="507"/>
      <c r="W88" s="507"/>
      <c r="X88" s="441" t="e">
        <f t="shared" si="65"/>
        <v>#N/A</v>
      </c>
      <c r="Y88" s="605"/>
      <c r="Z88" s="506"/>
      <c r="AA88" s="507"/>
      <c r="AB88" s="507"/>
      <c r="AC88" s="441" t="e">
        <f t="shared" si="67"/>
        <v>#N/A</v>
      </c>
      <c r="AD88" s="605"/>
      <c r="AE88" s="506"/>
      <c r="AF88" s="507"/>
      <c r="AG88" s="507"/>
      <c r="AH88" s="441" t="e">
        <f t="shared" si="69"/>
        <v>#N/A</v>
      </c>
      <c r="AI88" s="605"/>
      <c r="AJ88" s="506"/>
      <c r="AK88" s="507"/>
      <c r="AL88" s="507"/>
      <c r="AM88" s="441" t="e">
        <f t="shared" si="71"/>
        <v>#N/A</v>
      </c>
      <c r="AN88" s="605"/>
      <c r="AO88" s="506"/>
      <c r="AP88" s="507"/>
      <c r="AQ88" s="507"/>
      <c r="AR88" s="441" t="e">
        <f t="shared" si="73"/>
        <v>#N/A</v>
      </c>
      <c r="AS88" s="605"/>
      <c r="AT88" s="506"/>
      <c r="AU88" s="507"/>
      <c r="AV88" s="507"/>
      <c r="AW88" s="441" t="e">
        <f t="shared" si="75"/>
        <v>#N/A</v>
      </c>
      <c r="AX88" s="605"/>
      <c r="AZ88" s="521" t="e">
        <f t="shared" si="77"/>
        <v>#N/A</v>
      </c>
      <c r="BA88" s="605"/>
    </row>
    <row r="89" spans="2:53">
      <c r="B89" s="610"/>
      <c r="C89" s="297">
        <v>3</v>
      </c>
      <c r="D89" s="226"/>
      <c r="E89" s="182"/>
      <c r="F89" s="465"/>
      <c r="G89" s="466"/>
      <c r="H89" s="668"/>
      <c r="I89" s="513" t="str">
        <f t="shared" si="62"/>
        <v>-</v>
      </c>
      <c r="J89" s="513" t="str">
        <f t="shared" si="63"/>
        <v>-</v>
      </c>
      <c r="K89" s="200" t="str">
        <f t="shared" si="64"/>
        <v>-</v>
      </c>
      <c r="L89" s="621"/>
      <c r="M89" s="201" t="e">
        <f>RANK(K89, K$87:$K$101)</f>
        <v>#VALUE!</v>
      </c>
      <c r="N89" s="604"/>
      <c r="O89" s="604"/>
      <c r="P89" s="506"/>
      <c r="Q89" s="507"/>
      <c r="R89" s="507"/>
      <c r="S89" s="297" t="e">
        <f t="shared" si="79"/>
        <v>#N/A</v>
      </c>
      <c r="T89" s="605"/>
      <c r="U89" s="506"/>
      <c r="V89" s="507"/>
      <c r="W89" s="507"/>
      <c r="X89" s="441" t="e">
        <f t="shared" si="65"/>
        <v>#N/A</v>
      </c>
      <c r="Y89" s="605"/>
      <c r="Z89" s="506"/>
      <c r="AA89" s="507"/>
      <c r="AB89" s="507"/>
      <c r="AC89" s="441" t="e">
        <f t="shared" si="67"/>
        <v>#N/A</v>
      </c>
      <c r="AD89" s="605"/>
      <c r="AE89" s="506"/>
      <c r="AF89" s="507"/>
      <c r="AG89" s="507"/>
      <c r="AH89" s="441" t="e">
        <f t="shared" si="69"/>
        <v>#N/A</v>
      </c>
      <c r="AI89" s="605"/>
      <c r="AJ89" s="506"/>
      <c r="AK89" s="507"/>
      <c r="AL89" s="507"/>
      <c r="AM89" s="441" t="e">
        <f t="shared" si="71"/>
        <v>#N/A</v>
      </c>
      <c r="AN89" s="605"/>
      <c r="AO89" s="506"/>
      <c r="AP89" s="507"/>
      <c r="AQ89" s="507"/>
      <c r="AR89" s="441" t="e">
        <f t="shared" si="73"/>
        <v>#N/A</v>
      </c>
      <c r="AS89" s="605"/>
      <c r="AT89" s="506"/>
      <c r="AU89" s="507"/>
      <c r="AV89" s="507"/>
      <c r="AW89" s="441" t="e">
        <f t="shared" si="75"/>
        <v>#N/A</v>
      </c>
      <c r="AX89" s="605"/>
      <c r="AZ89" s="521" t="e">
        <f t="shared" si="77"/>
        <v>#N/A</v>
      </c>
      <c r="BA89" s="605"/>
    </row>
    <row r="90" spans="2:53">
      <c r="B90" s="610"/>
      <c r="C90" s="297">
        <v>4</v>
      </c>
      <c r="D90" s="226"/>
      <c r="E90" s="182"/>
      <c r="F90" s="465"/>
      <c r="G90" s="466"/>
      <c r="H90" s="668"/>
      <c r="I90" s="513" t="str">
        <f t="shared" si="62"/>
        <v>-</v>
      </c>
      <c r="J90" s="513" t="str">
        <f t="shared" si="63"/>
        <v>-</v>
      </c>
      <c r="K90" s="200" t="str">
        <f t="shared" si="64"/>
        <v>-</v>
      </c>
      <c r="L90" s="621"/>
      <c r="M90" s="201" t="e">
        <f>RANK(K90, K$87:$K$101)</f>
        <v>#VALUE!</v>
      </c>
      <c r="N90" s="604"/>
      <c r="O90" s="604"/>
      <c r="P90" s="506"/>
      <c r="Q90" s="507"/>
      <c r="R90" s="507"/>
      <c r="S90" s="297" t="e">
        <f t="shared" si="79"/>
        <v>#N/A</v>
      </c>
      <c r="T90" s="605"/>
      <c r="U90" s="506"/>
      <c r="V90" s="507"/>
      <c r="W90" s="507"/>
      <c r="X90" s="441" t="e">
        <f t="shared" si="65"/>
        <v>#N/A</v>
      </c>
      <c r="Y90" s="605"/>
      <c r="Z90" s="506"/>
      <c r="AA90" s="507"/>
      <c r="AB90" s="507"/>
      <c r="AC90" s="441" t="e">
        <f t="shared" si="67"/>
        <v>#N/A</v>
      </c>
      <c r="AD90" s="605"/>
      <c r="AE90" s="506"/>
      <c r="AF90" s="507"/>
      <c r="AG90" s="507"/>
      <c r="AH90" s="441" t="e">
        <f t="shared" si="69"/>
        <v>#N/A</v>
      </c>
      <c r="AI90" s="605"/>
      <c r="AJ90" s="506"/>
      <c r="AK90" s="507"/>
      <c r="AL90" s="507"/>
      <c r="AM90" s="441" t="e">
        <f t="shared" si="71"/>
        <v>#N/A</v>
      </c>
      <c r="AN90" s="605"/>
      <c r="AO90" s="506"/>
      <c r="AP90" s="507"/>
      <c r="AQ90" s="507"/>
      <c r="AR90" s="441" t="e">
        <f t="shared" si="73"/>
        <v>#N/A</v>
      </c>
      <c r="AS90" s="605"/>
      <c r="AT90" s="506"/>
      <c r="AU90" s="507"/>
      <c r="AV90" s="507"/>
      <c r="AW90" s="441" t="e">
        <f t="shared" si="75"/>
        <v>#N/A</v>
      </c>
      <c r="AX90" s="605"/>
      <c r="AZ90" s="521" t="e">
        <f t="shared" si="77"/>
        <v>#N/A</v>
      </c>
      <c r="BA90" s="605"/>
    </row>
    <row r="91" spans="2:53">
      <c r="B91" s="610"/>
      <c r="C91" s="297">
        <v>5</v>
      </c>
      <c r="D91" s="226"/>
      <c r="E91" s="182"/>
      <c r="F91" s="465"/>
      <c r="G91" s="466"/>
      <c r="H91" s="668"/>
      <c r="I91" s="513" t="str">
        <f t="shared" si="62"/>
        <v>-</v>
      </c>
      <c r="J91" s="513" t="str">
        <f t="shared" si="63"/>
        <v>-</v>
      </c>
      <c r="K91" s="200" t="str">
        <f t="shared" si="64"/>
        <v>-</v>
      </c>
      <c r="L91" s="621"/>
      <c r="M91" s="201" t="e">
        <f>RANK(K91, K$87:$K$101)</f>
        <v>#VALUE!</v>
      </c>
      <c r="N91" s="604"/>
      <c r="O91" s="604"/>
      <c r="P91" s="506"/>
      <c r="Q91" s="507"/>
      <c r="R91" s="507"/>
      <c r="S91" s="297" t="e">
        <f t="shared" si="79"/>
        <v>#N/A</v>
      </c>
      <c r="T91" s="605"/>
      <c r="U91" s="506"/>
      <c r="V91" s="507"/>
      <c r="W91" s="507"/>
      <c r="X91" s="441" t="e">
        <f t="shared" si="65"/>
        <v>#N/A</v>
      </c>
      <c r="Y91" s="605"/>
      <c r="Z91" s="506"/>
      <c r="AA91" s="507"/>
      <c r="AB91" s="507"/>
      <c r="AC91" s="441" t="e">
        <f t="shared" si="67"/>
        <v>#N/A</v>
      </c>
      <c r="AD91" s="605"/>
      <c r="AE91" s="506"/>
      <c r="AF91" s="507"/>
      <c r="AG91" s="507"/>
      <c r="AH91" s="441" t="e">
        <f t="shared" si="69"/>
        <v>#N/A</v>
      </c>
      <c r="AI91" s="605"/>
      <c r="AJ91" s="506"/>
      <c r="AK91" s="507"/>
      <c r="AL91" s="507"/>
      <c r="AM91" s="441" t="e">
        <f t="shared" si="71"/>
        <v>#N/A</v>
      </c>
      <c r="AN91" s="605"/>
      <c r="AO91" s="506"/>
      <c r="AP91" s="507"/>
      <c r="AQ91" s="507"/>
      <c r="AR91" s="441" t="e">
        <f t="shared" si="73"/>
        <v>#N/A</v>
      </c>
      <c r="AS91" s="605"/>
      <c r="AT91" s="506"/>
      <c r="AU91" s="507"/>
      <c r="AV91" s="507"/>
      <c r="AW91" s="441" t="e">
        <f t="shared" si="75"/>
        <v>#N/A</v>
      </c>
      <c r="AX91" s="605"/>
      <c r="AZ91" s="521" t="e">
        <f t="shared" si="77"/>
        <v>#N/A</v>
      </c>
      <c r="BA91" s="605"/>
    </row>
    <row r="92" spans="2:53">
      <c r="B92" s="610"/>
      <c r="C92" s="297">
        <v>6</v>
      </c>
      <c r="D92" s="226"/>
      <c r="E92" s="182"/>
      <c r="F92" s="465"/>
      <c r="G92" s="466"/>
      <c r="H92" s="668"/>
      <c r="I92" s="513" t="str">
        <f t="shared" si="62"/>
        <v>-</v>
      </c>
      <c r="J92" s="513" t="str">
        <f t="shared" si="63"/>
        <v>-</v>
      </c>
      <c r="K92" s="200" t="str">
        <f t="shared" si="64"/>
        <v>-</v>
      </c>
      <c r="L92" s="621"/>
      <c r="M92" s="201" t="e">
        <f>RANK(K92, K$87:$K$101)</f>
        <v>#VALUE!</v>
      </c>
      <c r="N92" s="604"/>
      <c r="O92" s="604"/>
      <c r="P92" s="506"/>
      <c r="Q92" s="507"/>
      <c r="R92" s="507"/>
      <c r="S92" s="297" t="e">
        <f t="shared" si="79"/>
        <v>#N/A</v>
      </c>
      <c r="T92" s="605"/>
      <c r="U92" s="506"/>
      <c r="V92" s="507"/>
      <c r="W92" s="507"/>
      <c r="X92" s="441" t="e">
        <f t="shared" si="65"/>
        <v>#N/A</v>
      </c>
      <c r="Y92" s="605"/>
      <c r="Z92" s="506"/>
      <c r="AA92" s="507"/>
      <c r="AB92" s="507"/>
      <c r="AC92" s="441" t="e">
        <f t="shared" si="67"/>
        <v>#N/A</v>
      </c>
      <c r="AD92" s="605"/>
      <c r="AE92" s="506"/>
      <c r="AF92" s="507"/>
      <c r="AG92" s="507"/>
      <c r="AH92" s="441" t="e">
        <f t="shared" si="69"/>
        <v>#N/A</v>
      </c>
      <c r="AI92" s="605"/>
      <c r="AJ92" s="506"/>
      <c r="AK92" s="507"/>
      <c r="AL92" s="507"/>
      <c r="AM92" s="441" t="e">
        <f t="shared" si="71"/>
        <v>#N/A</v>
      </c>
      <c r="AN92" s="605"/>
      <c r="AO92" s="506"/>
      <c r="AP92" s="507"/>
      <c r="AQ92" s="507"/>
      <c r="AR92" s="441" t="e">
        <f t="shared" si="73"/>
        <v>#N/A</v>
      </c>
      <c r="AS92" s="605"/>
      <c r="AT92" s="506"/>
      <c r="AU92" s="507"/>
      <c r="AV92" s="507"/>
      <c r="AW92" s="441" t="e">
        <f t="shared" si="75"/>
        <v>#N/A</v>
      </c>
      <c r="AX92" s="605"/>
      <c r="AZ92" s="521" t="e">
        <f t="shared" si="77"/>
        <v>#N/A</v>
      </c>
      <c r="BA92" s="605"/>
    </row>
    <row r="93" spans="2:53">
      <c r="B93" s="610"/>
      <c r="C93" s="297">
        <v>7</v>
      </c>
      <c r="D93" s="226"/>
      <c r="E93" s="182"/>
      <c r="F93" s="465"/>
      <c r="G93" s="466"/>
      <c r="H93" s="668"/>
      <c r="I93" s="513" t="str">
        <f t="shared" si="62"/>
        <v>-</v>
      </c>
      <c r="J93" s="513" t="str">
        <f t="shared" si="63"/>
        <v>-</v>
      </c>
      <c r="K93" s="200" t="str">
        <f t="shared" si="64"/>
        <v>-</v>
      </c>
      <c r="L93" s="621"/>
      <c r="M93" s="201" t="e">
        <f>RANK(K93, K$87:$K$101)</f>
        <v>#VALUE!</v>
      </c>
      <c r="N93" s="604"/>
      <c r="O93" s="604"/>
      <c r="P93" s="506"/>
      <c r="Q93" s="507"/>
      <c r="R93" s="507"/>
      <c r="S93" s="297" t="e">
        <f t="shared" si="79"/>
        <v>#N/A</v>
      </c>
      <c r="T93" s="605"/>
      <c r="U93" s="506"/>
      <c r="V93" s="507"/>
      <c r="W93" s="507"/>
      <c r="X93" s="441" t="e">
        <f t="shared" si="65"/>
        <v>#N/A</v>
      </c>
      <c r="Y93" s="605"/>
      <c r="Z93" s="506"/>
      <c r="AA93" s="507"/>
      <c r="AB93" s="507"/>
      <c r="AC93" s="441" t="e">
        <f t="shared" si="67"/>
        <v>#N/A</v>
      </c>
      <c r="AD93" s="605"/>
      <c r="AE93" s="506"/>
      <c r="AF93" s="507"/>
      <c r="AG93" s="507"/>
      <c r="AH93" s="441" t="e">
        <f t="shared" si="69"/>
        <v>#N/A</v>
      </c>
      <c r="AI93" s="605"/>
      <c r="AJ93" s="506"/>
      <c r="AK93" s="507"/>
      <c r="AL93" s="507"/>
      <c r="AM93" s="441" t="e">
        <f t="shared" si="71"/>
        <v>#N/A</v>
      </c>
      <c r="AN93" s="605"/>
      <c r="AO93" s="506"/>
      <c r="AP93" s="507"/>
      <c r="AQ93" s="507"/>
      <c r="AR93" s="441" t="e">
        <f t="shared" si="73"/>
        <v>#N/A</v>
      </c>
      <c r="AS93" s="605"/>
      <c r="AT93" s="506"/>
      <c r="AU93" s="507"/>
      <c r="AV93" s="507"/>
      <c r="AW93" s="441" t="e">
        <f t="shared" si="75"/>
        <v>#N/A</v>
      </c>
      <c r="AX93" s="605"/>
      <c r="AZ93" s="521" t="e">
        <f t="shared" si="77"/>
        <v>#N/A</v>
      </c>
      <c r="BA93" s="605"/>
    </row>
    <row r="94" spans="2:53">
      <c r="B94" s="610"/>
      <c r="C94" s="297">
        <v>8</v>
      </c>
      <c r="D94" s="226"/>
      <c r="E94" s="182"/>
      <c r="F94" s="465"/>
      <c r="G94" s="466"/>
      <c r="H94" s="668"/>
      <c r="I94" s="513" t="str">
        <f t="shared" si="62"/>
        <v>-</v>
      </c>
      <c r="J94" s="513" t="str">
        <f t="shared" si="63"/>
        <v>-</v>
      </c>
      <c r="K94" s="200" t="str">
        <f t="shared" si="64"/>
        <v>-</v>
      </c>
      <c r="L94" s="621"/>
      <c r="M94" s="201" t="e">
        <f>RANK(K94, K$87:$K$101)</f>
        <v>#VALUE!</v>
      </c>
      <c r="N94" s="604"/>
      <c r="O94" s="604"/>
      <c r="P94" s="506"/>
      <c r="Q94" s="507"/>
      <c r="R94" s="507"/>
      <c r="S94" s="297" t="e">
        <f t="shared" si="79"/>
        <v>#N/A</v>
      </c>
      <c r="T94" s="605"/>
      <c r="U94" s="506"/>
      <c r="V94" s="507"/>
      <c r="W94" s="507"/>
      <c r="X94" s="441" t="e">
        <f t="shared" si="65"/>
        <v>#N/A</v>
      </c>
      <c r="Y94" s="605"/>
      <c r="Z94" s="506"/>
      <c r="AA94" s="507"/>
      <c r="AB94" s="507"/>
      <c r="AC94" s="441" t="e">
        <f t="shared" si="67"/>
        <v>#N/A</v>
      </c>
      <c r="AD94" s="605"/>
      <c r="AE94" s="506"/>
      <c r="AF94" s="507"/>
      <c r="AG94" s="507"/>
      <c r="AH94" s="441" t="e">
        <f t="shared" si="69"/>
        <v>#N/A</v>
      </c>
      <c r="AI94" s="605"/>
      <c r="AJ94" s="506"/>
      <c r="AK94" s="507"/>
      <c r="AL94" s="507"/>
      <c r="AM94" s="441" t="e">
        <f t="shared" si="71"/>
        <v>#N/A</v>
      </c>
      <c r="AN94" s="605"/>
      <c r="AO94" s="506"/>
      <c r="AP94" s="507"/>
      <c r="AQ94" s="507"/>
      <c r="AR94" s="441" t="e">
        <f t="shared" si="73"/>
        <v>#N/A</v>
      </c>
      <c r="AS94" s="605"/>
      <c r="AT94" s="506"/>
      <c r="AU94" s="507"/>
      <c r="AV94" s="507"/>
      <c r="AW94" s="441" t="e">
        <f t="shared" si="75"/>
        <v>#N/A</v>
      </c>
      <c r="AX94" s="605"/>
      <c r="AZ94" s="521" t="e">
        <f t="shared" si="77"/>
        <v>#N/A</v>
      </c>
      <c r="BA94" s="605"/>
    </row>
    <row r="95" spans="2:53">
      <c r="B95" s="610"/>
      <c r="C95" s="297">
        <v>9</v>
      </c>
      <c r="D95" s="226"/>
      <c r="E95" s="182"/>
      <c r="F95" s="465"/>
      <c r="G95" s="466"/>
      <c r="H95" s="668"/>
      <c r="I95" s="513" t="str">
        <f t="shared" si="62"/>
        <v>-</v>
      </c>
      <c r="J95" s="513" t="str">
        <f t="shared" si="63"/>
        <v>-</v>
      </c>
      <c r="K95" s="200" t="str">
        <f t="shared" si="64"/>
        <v>-</v>
      </c>
      <c r="L95" s="621"/>
      <c r="M95" s="201" t="e">
        <f>RANK(K95, K$87:$K$101)</f>
        <v>#VALUE!</v>
      </c>
      <c r="N95" s="604"/>
      <c r="O95" s="604"/>
      <c r="P95" s="506"/>
      <c r="Q95" s="507"/>
      <c r="R95" s="507"/>
      <c r="S95" s="297" t="e">
        <f t="shared" si="79"/>
        <v>#N/A</v>
      </c>
      <c r="T95" s="605"/>
      <c r="U95" s="506"/>
      <c r="V95" s="507"/>
      <c r="W95" s="507"/>
      <c r="X95" s="441" t="e">
        <f t="shared" si="65"/>
        <v>#N/A</v>
      </c>
      <c r="Y95" s="605"/>
      <c r="Z95" s="506"/>
      <c r="AA95" s="507"/>
      <c r="AB95" s="507"/>
      <c r="AC95" s="441" t="e">
        <f t="shared" si="67"/>
        <v>#N/A</v>
      </c>
      <c r="AD95" s="605"/>
      <c r="AE95" s="506"/>
      <c r="AF95" s="507"/>
      <c r="AG95" s="507"/>
      <c r="AH95" s="441" t="e">
        <f t="shared" si="69"/>
        <v>#N/A</v>
      </c>
      <c r="AI95" s="605"/>
      <c r="AJ95" s="506"/>
      <c r="AK95" s="507"/>
      <c r="AL95" s="507"/>
      <c r="AM95" s="441" t="e">
        <f t="shared" si="71"/>
        <v>#N/A</v>
      </c>
      <c r="AN95" s="605"/>
      <c r="AO95" s="506"/>
      <c r="AP95" s="507"/>
      <c r="AQ95" s="507"/>
      <c r="AR95" s="441" t="e">
        <f t="shared" si="73"/>
        <v>#N/A</v>
      </c>
      <c r="AS95" s="605"/>
      <c r="AT95" s="506"/>
      <c r="AU95" s="507"/>
      <c r="AV95" s="507"/>
      <c r="AW95" s="441" t="e">
        <f t="shared" si="75"/>
        <v>#N/A</v>
      </c>
      <c r="AX95" s="605"/>
      <c r="AZ95" s="521" t="e">
        <f t="shared" si="77"/>
        <v>#N/A</v>
      </c>
      <c r="BA95" s="605"/>
    </row>
    <row r="96" spans="2:53">
      <c r="B96" s="610"/>
      <c r="C96" s="297">
        <v>10</v>
      </c>
      <c r="D96" s="226"/>
      <c r="E96" s="182"/>
      <c r="F96" s="465"/>
      <c r="G96" s="466"/>
      <c r="H96" s="668"/>
      <c r="I96" s="513" t="str">
        <f t="shared" si="62"/>
        <v>-</v>
      </c>
      <c r="J96" s="513" t="str">
        <f t="shared" si="63"/>
        <v>-</v>
      </c>
      <c r="K96" s="200" t="str">
        <f t="shared" si="64"/>
        <v>-</v>
      </c>
      <c r="L96" s="621"/>
      <c r="M96" s="201" t="e">
        <f>RANK(K96, K$87:$K$101)</f>
        <v>#VALUE!</v>
      </c>
      <c r="N96" s="604"/>
      <c r="O96" s="604"/>
      <c r="P96" s="506"/>
      <c r="Q96" s="507"/>
      <c r="R96" s="507"/>
      <c r="S96" s="297" t="e">
        <f t="shared" si="79"/>
        <v>#N/A</v>
      </c>
      <c r="T96" s="605"/>
      <c r="U96" s="506"/>
      <c r="V96" s="507"/>
      <c r="W96" s="507"/>
      <c r="X96" s="441" t="e">
        <f t="shared" si="65"/>
        <v>#N/A</v>
      </c>
      <c r="Y96" s="605"/>
      <c r="Z96" s="506"/>
      <c r="AA96" s="507"/>
      <c r="AB96" s="507"/>
      <c r="AC96" s="441" t="e">
        <f t="shared" si="67"/>
        <v>#N/A</v>
      </c>
      <c r="AD96" s="605"/>
      <c r="AE96" s="506"/>
      <c r="AF96" s="507"/>
      <c r="AG96" s="507"/>
      <c r="AH96" s="441" t="e">
        <f t="shared" si="69"/>
        <v>#N/A</v>
      </c>
      <c r="AI96" s="605"/>
      <c r="AJ96" s="506"/>
      <c r="AK96" s="507"/>
      <c r="AL96" s="507"/>
      <c r="AM96" s="441" t="e">
        <f t="shared" si="71"/>
        <v>#N/A</v>
      </c>
      <c r="AN96" s="605"/>
      <c r="AO96" s="506"/>
      <c r="AP96" s="507"/>
      <c r="AQ96" s="507"/>
      <c r="AR96" s="441" t="e">
        <f t="shared" si="73"/>
        <v>#N/A</v>
      </c>
      <c r="AS96" s="605"/>
      <c r="AT96" s="506"/>
      <c r="AU96" s="507"/>
      <c r="AV96" s="507"/>
      <c r="AW96" s="441" t="e">
        <f t="shared" si="75"/>
        <v>#N/A</v>
      </c>
      <c r="AX96" s="605"/>
      <c r="AZ96" s="521" t="e">
        <f t="shared" si="77"/>
        <v>#N/A</v>
      </c>
      <c r="BA96" s="605"/>
    </row>
    <row r="97" spans="2:53">
      <c r="B97" s="610"/>
      <c r="C97" s="297">
        <v>11</v>
      </c>
      <c r="D97" s="226"/>
      <c r="E97" s="182"/>
      <c r="F97" s="465"/>
      <c r="G97" s="466"/>
      <c r="H97" s="668"/>
      <c r="I97" s="513" t="str">
        <f t="shared" si="62"/>
        <v>-</v>
      </c>
      <c r="J97" s="513" t="str">
        <f t="shared" si="63"/>
        <v>-</v>
      </c>
      <c r="K97" s="200" t="str">
        <f t="shared" si="64"/>
        <v>-</v>
      </c>
      <c r="L97" s="621"/>
      <c r="M97" s="201" t="e">
        <f>RANK(K97, K$87:$K$101)</f>
        <v>#VALUE!</v>
      </c>
      <c r="N97" s="604"/>
      <c r="O97" s="604"/>
      <c r="P97" s="506"/>
      <c r="Q97" s="507"/>
      <c r="R97" s="507"/>
      <c r="S97" s="297" t="e">
        <f t="shared" si="79"/>
        <v>#N/A</v>
      </c>
      <c r="T97" s="605"/>
      <c r="U97" s="506"/>
      <c r="V97" s="507"/>
      <c r="W97" s="507"/>
      <c r="X97" s="441" t="e">
        <f t="shared" si="65"/>
        <v>#N/A</v>
      </c>
      <c r="Y97" s="605"/>
      <c r="Z97" s="506"/>
      <c r="AA97" s="507"/>
      <c r="AB97" s="507"/>
      <c r="AC97" s="441" t="e">
        <f t="shared" si="67"/>
        <v>#N/A</v>
      </c>
      <c r="AD97" s="605"/>
      <c r="AE97" s="506"/>
      <c r="AF97" s="507"/>
      <c r="AG97" s="507"/>
      <c r="AH97" s="441" t="e">
        <f t="shared" si="69"/>
        <v>#N/A</v>
      </c>
      <c r="AI97" s="605"/>
      <c r="AJ97" s="506"/>
      <c r="AK97" s="507"/>
      <c r="AL97" s="507"/>
      <c r="AM97" s="441" t="e">
        <f t="shared" si="71"/>
        <v>#N/A</v>
      </c>
      <c r="AN97" s="605"/>
      <c r="AO97" s="506"/>
      <c r="AP97" s="507"/>
      <c r="AQ97" s="507"/>
      <c r="AR97" s="441" t="e">
        <f t="shared" si="73"/>
        <v>#N/A</v>
      </c>
      <c r="AS97" s="605"/>
      <c r="AT97" s="506"/>
      <c r="AU97" s="507"/>
      <c r="AV97" s="507"/>
      <c r="AW97" s="441" t="e">
        <f t="shared" si="75"/>
        <v>#N/A</v>
      </c>
      <c r="AX97" s="605"/>
      <c r="AZ97" s="521" t="e">
        <f t="shared" si="77"/>
        <v>#N/A</v>
      </c>
      <c r="BA97" s="605"/>
    </row>
    <row r="98" spans="2:53">
      <c r="B98" s="610"/>
      <c r="C98" s="297">
        <v>12</v>
      </c>
      <c r="D98" s="226"/>
      <c r="E98" s="182"/>
      <c r="F98" s="465"/>
      <c r="G98" s="466"/>
      <c r="H98" s="668"/>
      <c r="I98" s="513" t="str">
        <f t="shared" si="62"/>
        <v>-</v>
      </c>
      <c r="J98" s="513" t="str">
        <f t="shared" si="63"/>
        <v>-</v>
      </c>
      <c r="K98" s="200" t="str">
        <f t="shared" si="64"/>
        <v>-</v>
      </c>
      <c r="L98" s="621"/>
      <c r="M98" s="201" t="e">
        <f>RANK(K98, K$87:$K$101)</f>
        <v>#VALUE!</v>
      </c>
      <c r="N98" s="604"/>
      <c r="O98" s="604"/>
      <c r="P98" s="506"/>
      <c r="Q98" s="507"/>
      <c r="R98" s="507"/>
      <c r="S98" s="297" t="e">
        <f t="shared" si="79"/>
        <v>#N/A</v>
      </c>
      <c r="T98" s="605"/>
      <c r="U98" s="506"/>
      <c r="V98" s="507"/>
      <c r="W98" s="507"/>
      <c r="X98" s="441" t="e">
        <f t="shared" si="65"/>
        <v>#N/A</v>
      </c>
      <c r="Y98" s="605"/>
      <c r="Z98" s="506"/>
      <c r="AA98" s="507"/>
      <c r="AB98" s="507"/>
      <c r="AC98" s="441" t="e">
        <f t="shared" si="67"/>
        <v>#N/A</v>
      </c>
      <c r="AD98" s="605"/>
      <c r="AE98" s="506"/>
      <c r="AF98" s="507"/>
      <c r="AG98" s="507"/>
      <c r="AH98" s="441" t="e">
        <f t="shared" si="69"/>
        <v>#N/A</v>
      </c>
      <c r="AI98" s="605"/>
      <c r="AJ98" s="506"/>
      <c r="AK98" s="507"/>
      <c r="AL98" s="507"/>
      <c r="AM98" s="441" t="e">
        <f t="shared" si="71"/>
        <v>#N/A</v>
      </c>
      <c r="AN98" s="605"/>
      <c r="AO98" s="506"/>
      <c r="AP98" s="507"/>
      <c r="AQ98" s="507"/>
      <c r="AR98" s="441" t="e">
        <f t="shared" si="73"/>
        <v>#N/A</v>
      </c>
      <c r="AS98" s="605"/>
      <c r="AT98" s="506"/>
      <c r="AU98" s="507"/>
      <c r="AV98" s="507"/>
      <c r="AW98" s="441" t="e">
        <f t="shared" si="75"/>
        <v>#N/A</v>
      </c>
      <c r="AX98" s="605"/>
      <c r="AZ98" s="521" t="e">
        <f t="shared" si="77"/>
        <v>#N/A</v>
      </c>
      <c r="BA98" s="605"/>
    </row>
    <row r="99" spans="2:53">
      <c r="B99" s="610"/>
      <c r="C99" s="297">
        <v>13</v>
      </c>
      <c r="D99" s="226"/>
      <c r="E99" s="182"/>
      <c r="F99" s="465"/>
      <c r="G99" s="466"/>
      <c r="H99" s="668"/>
      <c r="I99" s="513" t="str">
        <f t="shared" si="62"/>
        <v>-</v>
      </c>
      <c r="J99" s="513" t="str">
        <f t="shared" si="63"/>
        <v>-</v>
      </c>
      <c r="K99" s="200" t="str">
        <f t="shared" si="64"/>
        <v>-</v>
      </c>
      <c r="L99" s="621"/>
      <c r="M99" s="201" t="e">
        <f>RANK(K99, K$87:$K$101)</f>
        <v>#VALUE!</v>
      </c>
      <c r="N99" s="604"/>
      <c r="O99" s="604"/>
      <c r="P99" s="506"/>
      <c r="Q99" s="507"/>
      <c r="R99" s="507"/>
      <c r="S99" s="297" t="e">
        <f t="shared" si="79"/>
        <v>#N/A</v>
      </c>
      <c r="T99" s="605"/>
      <c r="U99" s="506"/>
      <c r="V99" s="507"/>
      <c r="W99" s="507"/>
      <c r="X99" s="441" t="e">
        <f t="shared" si="65"/>
        <v>#N/A</v>
      </c>
      <c r="Y99" s="605"/>
      <c r="Z99" s="506"/>
      <c r="AA99" s="507"/>
      <c r="AB99" s="507"/>
      <c r="AC99" s="441" t="e">
        <f t="shared" si="67"/>
        <v>#N/A</v>
      </c>
      <c r="AD99" s="605"/>
      <c r="AE99" s="506"/>
      <c r="AF99" s="507"/>
      <c r="AG99" s="507"/>
      <c r="AH99" s="441" t="e">
        <f t="shared" si="69"/>
        <v>#N/A</v>
      </c>
      <c r="AI99" s="605"/>
      <c r="AJ99" s="506"/>
      <c r="AK99" s="507"/>
      <c r="AL99" s="507"/>
      <c r="AM99" s="441" t="e">
        <f t="shared" si="71"/>
        <v>#N/A</v>
      </c>
      <c r="AN99" s="605"/>
      <c r="AO99" s="506"/>
      <c r="AP99" s="507"/>
      <c r="AQ99" s="507"/>
      <c r="AR99" s="441" t="e">
        <f t="shared" si="73"/>
        <v>#N/A</v>
      </c>
      <c r="AS99" s="605"/>
      <c r="AT99" s="506"/>
      <c r="AU99" s="507"/>
      <c r="AV99" s="507"/>
      <c r="AW99" s="441" t="e">
        <f t="shared" si="75"/>
        <v>#N/A</v>
      </c>
      <c r="AX99" s="605"/>
      <c r="AZ99" s="521" t="e">
        <f t="shared" si="77"/>
        <v>#N/A</v>
      </c>
      <c r="BA99" s="605"/>
    </row>
    <row r="100" spans="2:53">
      <c r="B100" s="610"/>
      <c r="C100" s="297">
        <v>14</v>
      </c>
      <c r="D100" s="226"/>
      <c r="E100" s="182"/>
      <c r="F100" s="465"/>
      <c r="G100" s="466"/>
      <c r="H100" s="668"/>
      <c r="I100" s="513" t="str">
        <f t="shared" si="62"/>
        <v>-</v>
      </c>
      <c r="J100" s="513" t="str">
        <f t="shared" si="63"/>
        <v>-</v>
      </c>
      <c r="K100" s="200" t="str">
        <f t="shared" si="64"/>
        <v>-</v>
      </c>
      <c r="L100" s="621"/>
      <c r="M100" s="201" t="e">
        <f>RANK(K100, K$87:$K$101)</f>
        <v>#VALUE!</v>
      </c>
      <c r="N100" s="604"/>
      <c r="O100" s="604"/>
      <c r="P100" s="506"/>
      <c r="Q100" s="507"/>
      <c r="R100" s="507"/>
      <c r="S100" s="297" t="e">
        <f t="shared" si="79"/>
        <v>#N/A</v>
      </c>
      <c r="T100" s="605"/>
      <c r="U100" s="506"/>
      <c r="V100" s="507"/>
      <c r="W100" s="507"/>
      <c r="X100" s="441" t="e">
        <f t="shared" si="65"/>
        <v>#N/A</v>
      </c>
      <c r="Y100" s="605"/>
      <c r="Z100" s="506"/>
      <c r="AA100" s="507"/>
      <c r="AB100" s="507"/>
      <c r="AC100" s="441" t="e">
        <f t="shared" si="67"/>
        <v>#N/A</v>
      </c>
      <c r="AD100" s="605"/>
      <c r="AE100" s="506"/>
      <c r="AF100" s="507"/>
      <c r="AG100" s="507"/>
      <c r="AH100" s="441" t="e">
        <f t="shared" si="69"/>
        <v>#N/A</v>
      </c>
      <c r="AI100" s="605"/>
      <c r="AJ100" s="506"/>
      <c r="AK100" s="507"/>
      <c r="AL100" s="507"/>
      <c r="AM100" s="441" t="e">
        <f t="shared" si="71"/>
        <v>#N/A</v>
      </c>
      <c r="AN100" s="605"/>
      <c r="AO100" s="506"/>
      <c r="AP100" s="507"/>
      <c r="AQ100" s="507"/>
      <c r="AR100" s="441" t="e">
        <f t="shared" si="73"/>
        <v>#N/A</v>
      </c>
      <c r="AS100" s="605"/>
      <c r="AT100" s="506"/>
      <c r="AU100" s="507"/>
      <c r="AV100" s="507"/>
      <c r="AW100" s="441" t="e">
        <f t="shared" si="75"/>
        <v>#N/A</v>
      </c>
      <c r="AX100" s="605"/>
      <c r="AZ100" s="521" t="e">
        <f t="shared" si="77"/>
        <v>#N/A</v>
      </c>
      <c r="BA100" s="605"/>
    </row>
    <row r="101" spans="2:53">
      <c r="B101" s="610"/>
      <c r="C101" s="297">
        <v>15</v>
      </c>
      <c r="D101" s="226"/>
      <c r="E101" s="182"/>
      <c r="F101" s="465"/>
      <c r="G101" s="466"/>
      <c r="H101" s="669"/>
      <c r="I101" s="517"/>
      <c r="J101" s="517"/>
      <c r="K101" s="517"/>
      <c r="L101" s="622"/>
      <c r="M101" s="199" t="e">
        <f>RANK(K101, K$87:$K$101)</f>
        <v>#N/A</v>
      </c>
      <c r="N101" s="604"/>
      <c r="O101" s="604"/>
      <c r="P101" s="506"/>
      <c r="Q101" s="507"/>
      <c r="R101" s="507"/>
      <c r="S101" s="297" t="e">
        <f t="shared" si="79"/>
        <v>#N/A</v>
      </c>
      <c r="T101" s="605"/>
      <c r="U101" s="506"/>
      <c r="V101" s="507"/>
      <c r="W101" s="507"/>
      <c r="X101" s="441" t="e">
        <f t="shared" si="65"/>
        <v>#N/A</v>
      </c>
      <c r="Y101" s="605"/>
      <c r="Z101" s="506"/>
      <c r="AA101" s="507"/>
      <c r="AB101" s="507"/>
      <c r="AC101" s="441" t="e">
        <f t="shared" si="67"/>
        <v>#N/A</v>
      </c>
      <c r="AD101" s="605"/>
      <c r="AE101" s="506"/>
      <c r="AF101" s="507"/>
      <c r="AG101" s="507"/>
      <c r="AH101" s="441" t="e">
        <f t="shared" si="69"/>
        <v>#N/A</v>
      </c>
      <c r="AI101" s="605"/>
      <c r="AJ101" s="506"/>
      <c r="AK101" s="507"/>
      <c r="AL101" s="507"/>
      <c r="AM101" s="441" t="e">
        <f t="shared" si="71"/>
        <v>#N/A</v>
      </c>
      <c r="AN101" s="605"/>
      <c r="AO101" s="506"/>
      <c r="AP101" s="507"/>
      <c r="AQ101" s="507"/>
      <c r="AR101" s="441" t="e">
        <f t="shared" si="73"/>
        <v>#N/A</v>
      </c>
      <c r="AS101" s="605"/>
      <c r="AT101" s="506"/>
      <c r="AU101" s="507"/>
      <c r="AV101" s="507"/>
      <c r="AW101" s="441" t="e">
        <f t="shared" si="75"/>
        <v>#N/A</v>
      </c>
      <c r="AX101" s="605"/>
      <c r="AZ101" s="521" t="e">
        <f t="shared" si="77"/>
        <v>#N/A</v>
      </c>
      <c r="BA101" s="605"/>
    </row>
    <row r="102" spans="2:53" ht="15.75">
      <c r="B102" s="633" t="s">
        <v>163</v>
      </c>
      <c r="C102" s="634"/>
      <c r="D102" s="634"/>
      <c r="E102" s="634"/>
      <c r="F102" s="634"/>
      <c r="G102" s="634"/>
      <c r="H102" s="635"/>
      <c r="I102" s="208"/>
      <c r="J102" s="208"/>
      <c r="K102" s="208"/>
      <c r="L102" s="208"/>
      <c r="M102" s="207"/>
      <c r="N102" s="606" t="s">
        <v>156</v>
      </c>
      <c r="O102" s="606" t="s">
        <v>105</v>
      </c>
      <c r="P102" s="632">
        <f>P82+7</f>
        <v>46147</v>
      </c>
      <c r="Q102" s="610"/>
      <c r="R102" s="610"/>
      <c r="S102" s="610"/>
      <c r="T102" s="610"/>
      <c r="U102" s="629">
        <f>P102+1</f>
        <v>46148</v>
      </c>
      <c r="V102" s="630"/>
      <c r="W102" s="630"/>
      <c r="X102" s="630"/>
      <c r="Y102" s="631"/>
      <c r="Z102" s="629">
        <f>U102+1</f>
        <v>46149</v>
      </c>
      <c r="AA102" s="630"/>
      <c r="AB102" s="630"/>
      <c r="AC102" s="630"/>
      <c r="AD102" s="631"/>
      <c r="AE102" s="629">
        <f>Z102+1</f>
        <v>46150</v>
      </c>
      <c r="AF102" s="630"/>
      <c r="AG102" s="630"/>
      <c r="AH102" s="630"/>
      <c r="AI102" s="631"/>
      <c r="AJ102" s="629">
        <f>AE102+1</f>
        <v>46151</v>
      </c>
      <c r="AK102" s="630"/>
      <c r="AL102" s="630"/>
      <c r="AM102" s="630"/>
      <c r="AN102" s="631"/>
      <c r="AO102" s="629">
        <f>AJ102+1</f>
        <v>46152</v>
      </c>
      <c r="AP102" s="630"/>
      <c r="AQ102" s="630"/>
      <c r="AR102" s="630"/>
      <c r="AS102" s="631"/>
      <c r="AT102" s="629">
        <f>AO102+1</f>
        <v>46153</v>
      </c>
      <c r="AU102" s="630"/>
      <c r="AV102" s="630"/>
      <c r="AW102" s="630"/>
      <c r="AX102" s="631"/>
    </row>
    <row r="103" spans="2:53" ht="15.75">
      <c r="B103" s="636"/>
      <c r="C103" s="636"/>
      <c r="D103" s="636"/>
      <c r="E103" s="636"/>
      <c r="F103" s="636"/>
      <c r="G103" s="636"/>
      <c r="H103" s="636"/>
      <c r="I103" s="205"/>
      <c r="J103" s="205"/>
      <c r="K103" s="205"/>
      <c r="L103" s="205"/>
      <c r="M103" s="206"/>
      <c r="N103" s="608"/>
      <c r="O103" s="608"/>
      <c r="P103" s="632" t="s">
        <v>158</v>
      </c>
      <c r="Q103" s="610"/>
      <c r="R103" s="610"/>
      <c r="S103" s="610"/>
      <c r="T103" s="610"/>
      <c r="U103" s="632" t="s">
        <v>114</v>
      </c>
      <c r="V103" s="610"/>
      <c r="W103" s="610"/>
      <c r="X103" s="610"/>
      <c r="Y103" s="610"/>
      <c r="Z103" s="632" t="s">
        <v>159</v>
      </c>
      <c r="AA103" s="610"/>
      <c r="AB103" s="610"/>
      <c r="AC103" s="610"/>
      <c r="AD103" s="610"/>
      <c r="AE103" s="632" t="s">
        <v>157</v>
      </c>
      <c r="AF103" s="610"/>
      <c r="AG103" s="610"/>
      <c r="AH103" s="610"/>
      <c r="AI103" s="610"/>
      <c r="AJ103" s="632" t="s">
        <v>160</v>
      </c>
      <c r="AK103" s="610"/>
      <c r="AL103" s="610"/>
      <c r="AM103" s="610"/>
      <c r="AN103" s="610"/>
      <c r="AO103" s="632" t="s">
        <v>115</v>
      </c>
      <c r="AP103" s="610"/>
      <c r="AQ103" s="610"/>
      <c r="AR103" s="610"/>
      <c r="AS103" s="610"/>
      <c r="AT103" s="632" t="s">
        <v>162</v>
      </c>
      <c r="AU103" s="610"/>
      <c r="AV103" s="610"/>
      <c r="AW103" s="610"/>
      <c r="AX103" s="610"/>
    </row>
    <row r="104" spans="2:53">
      <c r="B104" s="604" t="s">
        <v>693</v>
      </c>
      <c r="C104" s="604" t="s">
        <v>694</v>
      </c>
      <c r="D104" s="604"/>
      <c r="E104" s="604" t="s">
        <v>695</v>
      </c>
      <c r="F104" s="604"/>
      <c r="G104" s="604"/>
      <c r="H104" s="637" t="s">
        <v>696</v>
      </c>
      <c r="I104" s="604" t="s">
        <v>697</v>
      </c>
      <c r="J104" s="604"/>
      <c r="K104" s="604"/>
      <c r="L104" s="637" t="s">
        <v>395</v>
      </c>
      <c r="M104" s="606" t="s">
        <v>698</v>
      </c>
      <c r="N104" s="604"/>
      <c r="O104" s="604" t="s">
        <v>699</v>
      </c>
      <c r="P104" s="623" t="s">
        <v>685</v>
      </c>
      <c r="Q104" s="624"/>
      <c r="R104" s="624"/>
      <c r="S104" s="625"/>
      <c r="T104" s="604" t="s">
        <v>681</v>
      </c>
      <c r="U104" s="623" t="s">
        <v>685</v>
      </c>
      <c r="V104" s="624"/>
      <c r="W104" s="624"/>
      <c r="X104" s="625"/>
      <c r="Y104" s="604" t="s">
        <v>681</v>
      </c>
      <c r="Z104" s="623" t="s">
        <v>685</v>
      </c>
      <c r="AA104" s="624"/>
      <c r="AB104" s="624"/>
      <c r="AC104" s="625"/>
      <c r="AD104" s="604" t="s">
        <v>681</v>
      </c>
      <c r="AE104" s="623" t="s">
        <v>685</v>
      </c>
      <c r="AF104" s="624"/>
      <c r="AG104" s="624"/>
      <c r="AH104" s="625"/>
      <c r="AI104" s="604" t="s">
        <v>681</v>
      </c>
      <c r="AJ104" s="623" t="s">
        <v>685</v>
      </c>
      <c r="AK104" s="624"/>
      <c r="AL104" s="624"/>
      <c r="AM104" s="625"/>
      <c r="AN104" s="604" t="s">
        <v>681</v>
      </c>
      <c r="AO104" s="623" t="s">
        <v>685</v>
      </c>
      <c r="AP104" s="624"/>
      <c r="AQ104" s="624"/>
      <c r="AR104" s="625"/>
      <c r="AS104" s="604" t="s">
        <v>681</v>
      </c>
      <c r="AT104" s="623" t="s">
        <v>685</v>
      </c>
      <c r="AU104" s="624"/>
      <c r="AV104" s="624"/>
      <c r="AW104" s="625"/>
      <c r="AX104" s="604" t="s">
        <v>681</v>
      </c>
      <c r="BA104" s="604" t="s">
        <v>395</v>
      </c>
    </row>
    <row r="105" spans="2:53">
      <c r="B105" s="604"/>
      <c r="C105" s="604"/>
      <c r="D105" s="604"/>
      <c r="E105" s="604" t="s">
        <v>700</v>
      </c>
      <c r="F105" s="604"/>
      <c r="G105" s="604"/>
      <c r="H105" s="638"/>
      <c r="I105" s="604" t="s">
        <v>700</v>
      </c>
      <c r="J105" s="604"/>
      <c r="K105" s="604"/>
      <c r="L105" s="638"/>
      <c r="M105" s="607"/>
      <c r="N105" s="604"/>
      <c r="O105" s="604"/>
      <c r="P105" s="623" t="s">
        <v>687</v>
      </c>
      <c r="Q105" s="624"/>
      <c r="R105" s="624"/>
      <c r="S105" s="625"/>
      <c r="T105" s="604"/>
      <c r="U105" s="623" t="s">
        <v>687</v>
      </c>
      <c r="V105" s="624"/>
      <c r="W105" s="624"/>
      <c r="X105" s="625"/>
      <c r="Y105" s="604"/>
      <c r="Z105" s="623" t="s">
        <v>687</v>
      </c>
      <c r="AA105" s="624"/>
      <c r="AB105" s="624"/>
      <c r="AC105" s="625"/>
      <c r="AD105" s="604"/>
      <c r="AE105" s="623" t="s">
        <v>687</v>
      </c>
      <c r="AF105" s="624"/>
      <c r="AG105" s="624"/>
      <c r="AH105" s="625"/>
      <c r="AI105" s="604"/>
      <c r="AJ105" s="623" t="s">
        <v>687</v>
      </c>
      <c r="AK105" s="624"/>
      <c r="AL105" s="624"/>
      <c r="AM105" s="625"/>
      <c r="AN105" s="604"/>
      <c r="AO105" s="623" t="s">
        <v>687</v>
      </c>
      <c r="AP105" s="624"/>
      <c r="AQ105" s="624"/>
      <c r="AR105" s="625"/>
      <c r="AS105" s="604"/>
      <c r="AT105" s="623" t="s">
        <v>687</v>
      </c>
      <c r="AU105" s="624"/>
      <c r="AV105" s="624"/>
      <c r="AW105" s="625"/>
      <c r="AX105" s="604"/>
      <c r="BA105" s="604"/>
    </row>
    <row r="106" spans="2:53">
      <c r="B106" s="604"/>
      <c r="C106" s="604"/>
      <c r="D106" s="604"/>
      <c r="E106" s="446" t="s">
        <v>701</v>
      </c>
      <c r="F106" s="446" t="s">
        <v>702</v>
      </c>
      <c r="G106" s="446" t="s">
        <v>703</v>
      </c>
      <c r="H106" s="639"/>
      <c r="I106" s="446" t="s">
        <v>701</v>
      </c>
      <c r="J106" s="446" t="s">
        <v>702</v>
      </c>
      <c r="K106" s="446" t="s">
        <v>703</v>
      </c>
      <c r="L106" s="639"/>
      <c r="M106" s="608"/>
      <c r="N106" s="604"/>
      <c r="O106" s="604"/>
      <c r="P106" s="446" t="s">
        <v>688</v>
      </c>
      <c r="Q106" s="446" t="s">
        <v>689</v>
      </c>
      <c r="R106" s="446" t="s">
        <v>690</v>
      </c>
      <c r="S106" s="446" t="s">
        <v>683</v>
      </c>
      <c r="T106" s="604"/>
      <c r="U106" s="446" t="s">
        <v>688</v>
      </c>
      <c r="V106" s="446" t="s">
        <v>689</v>
      </c>
      <c r="W106" s="446" t="s">
        <v>690</v>
      </c>
      <c r="X106" s="446" t="s">
        <v>683</v>
      </c>
      <c r="Y106" s="604"/>
      <c r="Z106" s="446" t="s">
        <v>688</v>
      </c>
      <c r="AA106" s="446" t="s">
        <v>689</v>
      </c>
      <c r="AB106" s="446" t="s">
        <v>690</v>
      </c>
      <c r="AC106" s="446" t="s">
        <v>683</v>
      </c>
      <c r="AD106" s="604"/>
      <c r="AE106" s="446" t="s">
        <v>688</v>
      </c>
      <c r="AF106" s="446" t="s">
        <v>689</v>
      </c>
      <c r="AG106" s="446" t="s">
        <v>690</v>
      </c>
      <c r="AH106" s="446" t="s">
        <v>683</v>
      </c>
      <c r="AI106" s="604"/>
      <c r="AJ106" s="446" t="s">
        <v>688</v>
      </c>
      <c r="AK106" s="446" t="s">
        <v>689</v>
      </c>
      <c r="AL106" s="446" t="s">
        <v>690</v>
      </c>
      <c r="AM106" s="446" t="s">
        <v>683</v>
      </c>
      <c r="AN106" s="604"/>
      <c r="AO106" s="446" t="s">
        <v>688</v>
      </c>
      <c r="AP106" s="446" t="s">
        <v>689</v>
      </c>
      <c r="AQ106" s="446" t="s">
        <v>690</v>
      </c>
      <c r="AR106" s="446" t="s">
        <v>683</v>
      </c>
      <c r="AS106" s="604"/>
      <c r="AT106" s="446" t="s">
        <v>688</v>
      </c>
      <c r="AU106" s="446" t="s">
        <v>689</v>
      </c>
      <c r="AV106" s="446" t="s">
        <v>690</v>
      </c>
      <c r="AW106" s="446" t="s">
        <v>683</v>
      </c>
      <c r="AX106" s="604"/>
      <c r="AZ106" s="520" t="s">
        <v>683</v>
      </c>
      <c r="BA106" s="604"/>
    </row>
    <row r="107" spans="2:53">
      <c r="B107" s="604" t="s">
        <v>135</v>
      </c>
      <c r="C107" s="451">
        <v>1</v>
      </c>
      <c r="D107" s="226"/>
      <c r="E107" s="182"/>
      <c r="F107" s="465"/>
      <c r="G107" s="466"/>
      <c r="H107" s="618" t="e">
        <f>AVERAGE(G107:G121)</f>
        <v>#DIV/0!</v>
      </c>
      <c r="I107" s="513" t="str">
        <f t="shared" ref="I107:I120" si="80">IFERROR(AVERAGE(P107,U107,Z107,AE107,AJ107,AO107,AT107),"-")</f>
        <v>-</v>
      </c>
      <c r="J107" s="513" t="str">
        <f t="shared" ref="J107:J120" si="81">IFERROR(AVERAGE(Q107,V107,AA107,AF107,AK107,AP107,AU107),"-")</f>
        <v>-</v>
      </c>
      <c r="K107" s="200" t="str">
        <f t="shared" ref="K107:K120" si="82">IFERROR(AVERAGE(R107,W107,AB107,AG107,AL107,AQ107,AV107),"-")</f>
        <v>-</v>
      </c>
      <c r="L107" s="620" t="str">
        <f>IFERROR(AVERAGE(K107:K121),"-")</f>
        <v>-</v>
      </c>
      <c r="M107" s="452" t="e">
        <f>RANK(K107, K$67:$K$81)</f>
        <v>#VALUE!</v>
      </c>
      <c r="N107" s="604"/>
      <c r="O107" s="604"/>
      <c r="P107" s="451"/>
      <c r="Q107" s="452"/>
      <c r="R107" s="452"/>
      <c r="S107" s="452" t="e">
        <f>RANK(R107, R$67:R$81)</f>
        <v>#N/A</v>
      </c>
      <c r="T107" s="687" t="e">
        <f>AVERAGE(R107:R121)</f>
        <v>#DIV/0!</v>
      </c>
      <c r="U107" s="469"/>
      <c r="V107" s="472"/>
      <c r="W107" s="472"/>
      <c r="X107" s="452" t="e">
        <f>RANK(W107, W$67:W$81)</f>
        <v>#N/A</v>
      </c>
      <c r="Y107" s="612" t="e">
        <f>AVERAGE(W107:W121)</f>
        <v>#DIV/0!</v>
      </c>
      <c r="Z107" s="469"/>
      <c r="AA107" s="472"/>
      <c r="AB107" s="472"/>
      <c r="AC107" s="452" t="e">
        <f>RANK(AB107, AB$67:AB$81)</f>
        <v>#N/A</v>
      </c>
      <c r="AD107" s="612" t="e">
        <f>AVERAGE(AB107:AB121)</f>
        <v>#DIV/0!</v>
      </c>
      <c r="AE107" s="469"/>
      <c r="AF107" s="472"/>
      <c r="AG107" s="472"/>
      <c r="AH107" s="452" t="e">
        <f>RANK(AG107, AG$67:AG$81)</f>
        <v>#N/A</v>
      </c>
      <c r="AI107" s="612" t="e">
        <f>AVERAGE(AG107:AG121)</f>
        <v>#DIV/0!</v>
      </c>
      <c r="AJ107" s="469"/>
      <c r="AK107" s="472"/>
      <c r="AL107" s="472"/>
      <c r="AM107" s="452" t="e">
        <f>RANK(AL107, AL$67:AL$81)</f>
        <v>#N/A</v>
      </c>
      <c r="AN107" s="612" t="e">
        <f>AVERAGE(AL107:AL121)</f>
        <v>#DIV/0!</v>
      </c>
      <c r="AO107" s="469"/>
      <c r="AP107" s="472"/>
      <c r="AQ107" s="472"/>
      <c r="AR107" s="452" t="e">
        <f>RANK(AQ107, AQ$67:AQ$81)</f>
        <v>#N/A</v>
      </c>
      <c r="AS107" s="687" t="e">
        <f>AVERAGE(AQ107:AQ121)</f>
        <v>#DIV/0!</v>
      </c>
      <c r="AT107" s="182"/>
      <c r="AU107" s="182"/>
      <c r="AV107" s="182"/>
      <c r="AW107" s="451" t="e">
        <f>RANK(AV107, AV$67:AV$81)</f>
        <v>#N/A</v>
      </c>
      <c r="AX107" s="686" t="e">
        <f>AVERAGE(AV107:AV121)</f>
        <v>#DIV/0!</v>
      </c>
      <c r="AZ107" s="522" t="e">
        <f>RANK(AY107, AY$67:AY$81)</f>
        <v>#N/A</v>
      </c>
      <c r="BA107" s="686" t="e">
        <f>AVERAGE(AY107:AY121)</f>
        <v>#DIV/0!</v>
      </c>
    </row>
    <row r="108" spans="2:53">
      <c r="B108" s="640"/>
      <c r="C108" s="451">
        <v>2</v>
      </c>
      <c r="D108" s="226"/>
      <c r="E108" s="182"/>
      <c r="F108" s="465"/>
      <c r="G108" s="466"/>
      <c r="H108" s="619"/>
      <c r="I108" s="513" t="str">
        <f t="shared" si="80"/>
        <v>-</v>
      </c>
      <c r="J108" s="513" t="str">
        <f t="shared" si="81"/>
        <v>-</v>
      </c>
      <c r="K108" s="200" t="str">
        <f t="shared" si="82"/>
        <v>-</v>
      </c>
      <c r="L108" s="621"/>
      <c r="M108" s="452" t="e">
        <f>RANK(K108, K$67:$K$81)</f>
        <v>#VALUE!</v>
      </c>
      <c r="N108" s="604"/>
      <c r="O108" s="604"/>
      <c r="P108" s="451"/>
      <c r="Q108" s="452"/>
      <c r="R108" s="452"/>
      <c r="S108" s="452" t="e">
        <f t="shared" ref="S108:S121" si="83">RANK(R108, R$67:R$81)</f>
        <v>#N/A</v>
      </c>
      <c r="T108" s="687"/>
      <c r="U108" s="469"/>
      <c r="V108" s="472"/>
      <c r="W108" s="472"/>
      <c r="X108" s="452" t="e">
        <f t="shared" ref="X108:X121" si="84">RANK(W108, W$67:W$81)</f>
        <v>#N/A</v>
      </c>
      <c r="Y108" s="612"/>
      <c r="Z108" s="469"/>
      <c r="AA108" s="472"/>
      <c r="AB108" s="472"/>
      <c r="AC108" s="452" t="e">
        <f t="shared" ref="AC108:AC121" si="85">RANK(AB108, AB$67:AB$81)</f>
        <v>#N/A</v>
      </c>
      <c r="AD108" s="612"/>
      <c r="AE108" s="469"/>
      <c r="AF108" s="472"/>
      <c r="AG108" s="472"/>
      <c r="AH108" s="452" t="e">
        <f t="shared" ref="AH108:AH121" si="86">RANK(AG108, AG$67:AG$81)</f>
        <v>#N/A</v>
      </c>
      <c r="AI108" s="612"/>
      <c r="AJ108" s="469"/>
      <c r="AK108" s="472"/>
      <c r="AL108" s="472"/>
      <c r="AM108" s="452" t="e">
        <f t="shared" ref="AM108:AM121" si="87">RANK(AL108, AL$67:AL$81)</f>
        <v>#N/A</v>
      </c>
      <c r="AN108" s="612"/>
      <c r="AO108" s="469"/>
      <c r="AP108" s="472"/>
      <c r="AQ108" s="472"/>
      <c r="AR108" s="452" t="e">
        <f t="shared" ref="AR108:AR121" si="88">RANK(AQ108, AQ$67:AQ$81)</f>
        <v>#N/A</v>
      </c>
      <c r="AS108" s="687"/>
      <c r="AT108" s="182"/>
      <c r="AU108" s="182"/>
      <c r="AV108" s="182"/>
      <c r="AW108" s="451" t="e">
        <f t="shared" ref="AW108:AW121" si="89">RANK(AV108, AV$67:AV$81)</f>
        <v>#N/A</v>
      </c>
      <c r="AX108" s="686"/>
      <c r="AZ108" s="522" t="e">
        <f t="shared" ref="AZ108:AZ121" si="90">RANK(AY108, AY$67:AY$81)</f>
        <v>#N/A</v>
      </c>
      <c r="BA108" s="686"/>
    </row>
    <row r="109" spans="2:53">
      <c r="B109" s="640"/>
      <c r="C109" s="451">
        <v>3</v>
      </c>
      <c r="D109" s="226"/>
      <c r="E109" s="182"/>
      <c r="F109" s="465"/>
      <c r="G109" s="466"/>
      <c r="H109" s="619"/>
      <c r="I109" s="513" t="str">
        <f t="shared" si="80"/>
        <v>-</v>
      </c>
      <c r="J109" s="513" t="str">
        <f t="shared" si="81"/>
        <v>-</v>
      </c>
      <c r="K109" s="200" t="str">
        <f t="shared" si="82"/>
        <v>-</v>
      </c>
      <c r="L109" s="621"/>
      <c r="M109" s="452" t="e">
        <f>RANK(K109, K$67:$K$81)</f>
        <v>#VALUE!</v>
      </c>
      <c r="N109" s="604"/>
      <c r="O109" s="604"/>
      <c r="P109" s="451"/>
      <c r="Q109" s="452"/>
      <c r="R109" s="452"/>
      <c r="S109" s="452" t="e">
        <f t="shared" si="83"/>
        <v>#N/A</v>
      </c>
      <c r="T109" s="687"/>
      <c r="U109" s="469"/>
      <c r="V109" s="472"/>
      <c r="W109" s="472"/>
      <c r="X109" s="452" t="e">
        <f t="shared" si="84"/>
        <v>#N/A</v>
      </c>
      <c r="Y109" s="612"/>
      <c r="Z109" s="469"/>
      <c r="AA109" s="472"/>
      <c r="AB109" s="472"/>
      <c r="AC109" s="452" t="e">
        <f t="shared" si="85"/>
        <v>#N/A</v>
      </c>
      <c r="AD109" s="612"/>
      <c r="AE109" s="469"/>
      <c r="AF109" s="472"/>
      <c r="AG109" s="472"/>
      <c r="AH109" s="452" t="e">
        <f t="shared" si="86"/>
        <v>#N/A</v>
      </c>
      <c r="AI109" s="612"/>
      <c r="AJ109" s="469"/>
      <c r="AK109" s="472"/>
      <c r="AL109" s="472"/>
      <c r="AM109" s="452" t="e">
        <f t="shared" si="87"/>
        <v>#N/A</v>
      </c>
      <c r="AN109" s="612"/>
      <c r="AO109" s="469"/>
      <c r="AP109" s="472"/>
      <c r="AQ109" s="472"/>
      <c r="AR109" s="452" t="e">
        <f t="shared" si="88"/>
        <v>#N/A</v>
      </c>
      <c r="AS109" s="687"/>
      <c r="AT109" s="182"/>
      <c r="AU109" s="182"/>
      <c r="AV109" s="182"/>
      <c r="AW109" s="451" t="e">
        <f t="shared" si="89"/>
        <v>#N/A</v>
      </c>
      <c r="AX109" s="686"/>
      <c r="AZ109" s="522" t="e">
        <f t="shared" si="90"/>
        <v>#N/A</v>
      </c>
      <c r="BA109" s="686"/>
    </row>
    <row r="110" spans="2:53">
      <c r="B110" s="640"/>
      <c r="C110" s="451">
        <v>4</v>
      </c>
      <c r="D110" s="226"/>
      <c r="E110" s="182"/>
      <c r="F110" s="465"/>
      <c r="G110" s="466"/>
      <c r="H110" s="619"/>
      <c r="I110" s="513" t="str">
        <f t="shared" si="80"/>
        <v>-</v>
      </c>
      <c r="J110" s="513" t="str">
        <f t="shared" si="81"/>
        <v>-</v>
      </c>
      <c r="K110" s="200" t="str">
        <f t="shared" si="82"/>
        <v>-</v>
      </c>
      <c r="L110" s="621"/>
      <c r="M110" s="452" t="e">
        <f>RANK(K110, K$67:$K$81)</f>
        <v>#VALUE!</v>
      </c>
      <c r="N110" s="604"/>
      <c r="O110" s="604"/>
      <c r="P110" s="451"/>
      <c r="Q110" s="452"/>
      <c r="R110" s="452"/>
      <c r="S110" s="452" t="e">
        <f t="shared" si="83"/>
        <v>#N/A</v>
      </c>
      <c r="T110" s="687"/>
      <c r="U110" s="469"/>
      <c r="V110" s="472"/>
      <c r="W110" s="472"/>
      <c r="X110" s="452" t="e">
        <f t="shared" si="84"/>
        <v>#N/A</v>
      </c>
      <c r="Y110" s="612"/>
      <c r="Z110" s="469"/>
      <c r="AA110" s="472"/>
      <c r="AB110" s="472"/>
      <c r="AC110" s="452" t="e">
        <f t="shared" si="85"/>
        <v>#N/A</v>
      </c>
      <c r="AD110" s="612"/>
      <c r="AE110" s="469"/>
      <c r="AF110" s="472"/>
      <c r="AG110" s="472"/>
      <c r="AH110" s="452" t="e">
        <f t="shared" si="86"/>
        <v>#N/A</v>
      </c>
      <c r="AI110" s="612"/>
      <c r="AJ110" s="469"/>
      <c r="AK110" s="472"/>
      <c r="AL110" s="472"/>
      <c r="AM110" s="452" t="e">
        <f t="shared" si="87"/>
        <v>#N/A</v>
      </c>
      <c r="AN110" s="612"/>
      <c r="AO110" s="469"/>
      <c r="AP110" s="472"/>
      <c r="AQ110" s="472"/>
      <c r="AR110" s="452" t="e">
        <f t="shared" si="88"/>
        <v>#N/A</v>
      </c>
      <c r="AS110" s="687"/>
      <c r="AT110" s="182"/>
      <c r="AU110" s="182"/>
      <c r="AV110" s="182"/>
      <c r="AW110" s="451" t="e">
        <f t="shared" si="89"/>
        <v>#N/A</v>
      </c>
      <c r="AX110" s="686"/>
      <c r="AZ110" s="522" t="e">
        <f t="shared" si="90"/>
        <v>#N/A</v>
      </c>
      <c r="BA110" s="686"/>
    </row>
    <row r="111" spans="2:53">
      <c r="B111" s="640"/>
      <c r="C111" s="451">
        <v>5</v>
      </c>
      <c r="D111" s="226"/>
      <c r="E111" s="182"/>
      <c r="F111" s="465"/>
      <c r="G111" s="466"/>
      <c r="H111" s="619"/>
      <c r="I111" s="513" t="str">
        <f t="shared" si="80"/>
        <v>-</v>
      </c>
      <c r="J111" s="513" t="str">
        <f t="shared" si="81"/>
        <v>-</v>
      </c>
      <c r="K111" s="200" t="str">
        <f t="shared" si="82"/>
        <v>-</v>
      </c>
      <c r="L111" s="621"/>
      <c r="M111" s="452" t="e">
        <f>RANK(K111, K$67:$K$81)</f>
        <v>#VALUE!</v>
      </c>
      <c r="N111" s="604"/>
      <c r="O111" s="604"/>
      <c r="P111" s="451"/>
      <c r="Q111" s="452"/>
      <c r="R111" s="452"/>
      <c r="S111" s="452" t="e">
        <f t="shared" si="83"/>
        <v>#N/A</v>
      </c>
      <c r="T111" s="687"/>
      <c r="U111" s="469"/>
      <c r="V111" s="472"/>
      <c r="W111" s="472"/>
      <c r="X111" s="452" t="e">
        <f t="shared" si="84"/>
        <v>#N/A</v>
      </c>
      <c r="Y111" s="612"/>
      <c r="Z111" s="469"/>
      <c r="AA111" s="472"/>
      <c r="AB111" s="472"/>
      <c r="AC111" s="452" t="e">
        <f t="shared" si="85"/>
        <v>#N/A</v>
      </c>
      <c r="AD111" s="612"/>
      <c r="AE111" s="469"/>
      <c r="AF111" s="472"/>
      <c r="AG111" s="472"/>
      <c r="AH111" s="452" t="e">
        <f t="shared" si="86"/>
        <v>#N/A</v>
      </c>
      <c r="AI111" s="612"/>
      <c r="AJ111" s="469"/>
      <c r="AK111" s="472"/>
      <c r="AL111" s="472"/>
      <c r="AM111" s="452" t="e">
        <f t="shared" si="87"/>
        <v>#N/A</v>
      </c>
      <c r="AN111" s="612"/>
      <c r="AO111" s="469"/>
      <c r="AP111" s="472"/>
      <c r="AQ111" s="472"/>
      <c r="AR111" s="452" t="e">
        <f t="shared" si="88"/>
        <v>#N/A</v>
      </c>
      <c r="AS111" s="687"/>
      <c r="AT111" s="182"/>
      <c r="AU111" s="182"/>
      <c r="AV111" s="182"/>
      <c r="AW111" s="451" t="e">
        <f t="shared" si="89"/>
        <v>#N/A</v>
      </c>
      <c r="AX111" s="686"/>
      <c r="AZ111" s="522" t="e">
        <f t="shared" si="90"/>
        <v>#N/A</v>
      </c>
      <c r="BA111" s="686"/>
    </row>
    <row r="112" spans="2:53">
      <c r="B112" s="640"/>
      <c r="C112" s="451">
        <v>6</v>
      </c>
      <c r="D112" s="226"/>
      <c r="E112" s="182"/>
      <c r="F112" s="465"/>
      <c r="G112" s="466"/>
      <c r="H112" s="619"/>
      <c r="I112" s="513" t="str">
        <f t="shared" si="80"/>
        <v>-</v>
      </c>
      <c r="J112" s="513" t="str">
        <f t="shared" si="81"/>
        <v>-</v>
      </c>
      <c r="K112" s="200" t="str">
        <f t="shared" si="82"/>
        <v>-</v>
      </c>
      <c r="L112" s="621"/>
      <c r="M112" s="452" t="e">
        <f>RANK(K112, K$67:$K$81)</f>
        <v>#VALUE!</v>
      </c>
      <c r="N112" s="604"/>
      <c r="O112" s="604"/>
      <c r="P112" s="451"/>
      <c r="Q112" s="452"/>
      <c r="R112" s="452"/>
      <c r="S112" s="452" t="e">
        <f t="shared" si="83"/>
        <v>#N/A</v>
      </c>
      <c r="T112" s="687"/>
      <c r="U112" s="469"/>
      <c r="V112" s="472"/>
      <c r="W112" s="472"/>
      <c r="X112" s="452" t="e">
        <f t="shared" si="84"/>
        <v>#N/A</v>
      </c>
      <c r="Y112" s="612"/>
      <c r="Z112" s="469"/>
      <c r="AA112" s="472"/>
      <c r="AB112" s="472"/>
      <c r="AC112" s="452" t="e">
        <f t="shared" si="85"/>
        <v>#N/A</v>
      </c>
      <c r="AD112" s="612"/>
      <c r="AE112" s="469"/>
      <c r="AF112" s="472"/>
      <c r="AG112" s="472"/>
      <c r="AH112" s="452" t="e">
        <f t="shared" si="86"/>
        <v>#N/A</v>
      </c>
      <c r="AI112" s="612"/>
      <c r="AJ112" s="469"/>
      <c r="AK112" s="472"/>
      <c r="AL112" s="472"/>
      <c r="AM112" s="452" t="e">
        <f t="shared" si="87"/>
        <v>#N/A</v>
      </c>
      <c r="AN112" s="612"/>
      <c r="AO112" s="469"/>
      <c r="AP112" s="472"/>
      <c r="AQ112" s="472"/>
      <c r="AR112" s="452" t="e">
        <f t="shared" si="88"/>
        <v>#N/A</v>
      </c>
      <c r="AS112" s="687"/>
      <c r="AT112" s="182"/>
      <c r="AU112" s="182"/>
      <c r="AV112" s="182"/>
      <c r="AW112" s="451" t="e">
        <f t="shared" si="89"/>
        <v>#N/A</v>
      </c>
      <c r="AX112" s="686"/>
      <c r="AZ112" s="522" t="e">
        <f t="shared" si="90"/>
        <v>#N/A</v>
      </c>
      <c r="BA112" s="686"/>
    </row>
    <row r="113" spans="2:53">
      <c r="B113" s="640"/>
      <c r="C113" s="451">
        <v>7</v>
      </c>
      <c r="D113" s="226"/>
      <c r="E113" s="182"/>
      <c r="F113" s="465"/>
      <c r="G113" s="466"/>
      <c r="H113" s="619"/>
      <c r="I113" s="513" t="str">
        <f t="shared" si="80"/>
        <v>-</v>
      </c>
      <c r="J113" s="513" t="str">
        <f t="shared" si="81"/>
        <v>-</v>
      </c>
      <c r="K113" s="200" t="str">
        <f t="shared" si="82"/>
        <v>-</v>
      </c>
      <c r="L113" s="621"/>
      <c r="M113" s="452" t="e">
        <f>RANK(K113, K$67:$K$81)</f>
        <v>#VALUE!</v>
      </c>
      <c r="N113" s="604"/>
      <c r="O113" s="604"/>
      <c r="P113" s="451"/>
      <c r="Q113" s="452"/>
      <c r="R113" s="452"/>
      <c r="S113" s="452" t="e">
        <f t="shared" si="83"/>
        <v>#N/A</v>
      </c>
      <c r="T113" s="687"/>
      <c r="U113" s="469"/>
      <c r="V113" s="472"/>
      <c r="W113" s="472"/>
      <c r="X113" s="452" t="e">
        <f t="shared" si="84"/>
        <v>#N/A</v>
      </c>
      <c r="Y113" s="612"/>
      <c r="Z113" s="469"/>
      <c r="AA113" s="472"/>
      <c r="AB113" s="472"/>
      <c r="AC113" s="452" t="e">
        <f t="shared" si="85"/>
        <v>#N/A</v>
      </c>
      <c r="AD113" s="612"/>
      <c r="AE113" s="469"/>
      <c r="AF113" s="472"/>
      <c r="AG113" s="472"/>
      <c r="AH113" s="452" t="e">
        <f t="shared" si="86"/>
        <v>#N/A</v>
      </c>
      <c r="AI113" s="612"/>
      <c r="AJ113" s="469"/>
      <c r="AK113" s="472"/>
      <c r="AL113" s="472"/>
      <c r="AM113" s="452" t="e">
        <f t="shared" si="87"/>
        <v>#N/A</v>
      </c>
      <c r="AN113" s="612"/>
      <c r="AO113" s="469"/>
      <c r="AP113" s="472"/>
      <c r="AQ113" s="472"/>
      <c r="AR113" s="452" t="e">
        <f t="shared" si="88"/>
        <v>#N/A</v>
      </c>
      <c r="AS113" s="687"/>
      <c r="AT113" s="182"/>
      <c r="AU113" s="182"/>
      <c r="AV113" s="182"/>
      <c r="AW113" s="451" t="e">
        <f t="shared" si="89"/>
        <v>#N/A</v>
      </c>
      <c r="AX113" s="686"/>
      <c r="AZ113" s="522" t="e">
        <f t="shared" si="90"/>
        <v>#N/A</v>
      </c>
      <c r="BA113" s="686"/>
    </row>
    <row r="114" spans="2:53">
      <c r="B114" s="640"/>
      <c r="C114" s="451">
        <v>8</v>
      </c>
      <c r="D114" s="226"/>
      <c r="E114" s="182"/>
      <c r="F114" s="465"/>
      <c r="G114" s="466"/>
      <c r="H114" s="619"/>
      <c r="I114" s="513" t="str">
        <f t="shared" si="80"/>
        <v>-</v>
      </c>
      <c r="J114" s="513" t="str">
        <f t="shared" si="81"/>
        <v>-</v>
      </c>
      <c r="K114" s="200" t="str">
        <f t="shared" si="82"/>
        <v>-</v>
      </c>
      <c r="L114" s="621"/>
      <c r="M114" s="452" t="e">
        <f>RANK(K114, K$67:$K$81)</f>
        <v>#VALUE!</v>
      </c>
      <c r="N114" s="604"/>
      <c r="O114" s="604"/>
      <c r="P114" s="451"/>
      <c r="Q114" s="452"/>
      <c r="R114" s="452"/>
      <c r="S114" s="452" t="e">
        <f t="shared" si="83"/>
        <v>#N/A</v>
      </c>
      <c r="T114" s="687"/>
      <c r="U114" s="469"/>
      <c r="V114" s="472"/>
      <c r="W114" s="472"/>
      <c r="X114" s="452" t="e">
        <f t="shared" si="84"/>
        <v>#N/A</v>
      </c>
      <c r="Y114" s="612"/>
      <c r="Z114" s="469"/>
      <c r="AA114" s="472"/>
      <c r="AB114" s="472"/>
      <c r="AC114" s="452" t="e">
        <f t="shared" si="85"/>
        <v>#N/A</v>
      </c>
      <c r="AD114" s="612"/>
      <c r="AE114" s="469"/>
      <c r="AF114" s="472"/>
      <c r="AG114" s="472"/>
      <c r="AH114" s="452" t="e">
        <f t="shared" si="86"/>
        <v>#N/A</v>
      </c>
      <c r="AI114" s="612"/>
      <c r="AJ114" s="469"/>
      <c r="AK114" s="472"/>
      <c r="AL114" s="472"/>
      <c r="AM114" s="452" t="e">
        <f t="shared" si="87"/>
        <v>#N/A</v>
      </c>
      <c r="AN114" s="612"/>
      <c r="AO114" s="469"/>
      <c r="AP114" s="472"/>
      <c r="AQ114" s="472"/>
      <c r="AR114" s="452" t="e">
        <f t="shared" si="88"/>
        <v>#N/A</v>
      </c>
      <c r="AS114" s="687"/>
      <c r="AT114" s="182"/>
      <c r="AU114" s="182"/>
      <c r="AV114" s="182"/>
      <c r="AW114" s="451" t="e">
        <f t="shared" si="89"/>
        <v>#N/A</v>
      </c>
      <c r="AX114" s="686"/>
      <c r="AZ114" s="522" t="e">
        <f t="shared" si="90"/>
        <v>#N/A</v>
      </c>
      <c r="BA114" s="686"/>
    </row>
    <row r="115" spans="2:53">
      <c r="B115" s="640"/>
      <c r="C115" s="451">
        <v>9</v>
      </c>
      <c r="D115" s="226"/>
      <c r="E115" s="182"/>
      <c r="F115" s="465"/>
      <c r="G115" s="466"/>
      <c r="H115" s="619"/>
      <c r="I115" s="513" t="str">
        <f t="shared" si="80"/>
        <v>-</v>
      </c>
      <c r="J115" s="513" t="str">
        <f t="shared" si="81"/>
        <v>-</v>
      </c>
      <c r="K115" s="200" t="str">
        <f t="shared" si="82"/>
        <v>-</v>
      </c>
      <c r="L115" s="621"/>
      <c r="M115" s="452" t="e">
        <f>RANK(K115, K$67:$K$81)</f>
        <v>#VALUE!</v>
      </c>
      <c r="N115" s="604"/>
      <c r="O115" s="604"/>
      <c r="P115" s="451"/>
      <c r="Q115" s="452"/>
      <c r="R115" s="452"/>
      <c r="S115" s="452" t="e">
        <f t="shared" si="83"/>
        <v>#N/A</v>
      </c>
      <c r="T115" s="687"/>
      <c r="U115" s="469"/>
      <c r="V115" s="472"/>
      <c r="W115" s="472"/>
      <c r="X115" s="452" t="e">
        <f t="shared" si="84"/>
        <v>#N/A</v>
      </c>
      <c r="Y115" s="612"/>
      <c r="Z115" s="469"/>
      <c r="AA115" s="472"/>
      <c r="AB115" s="472"/>
      <c r="AC115" s="452" t="e">
        <f t="shared" si="85"/>
        <v>#N/A</v>
      </c>
      <c r="AD115" s="612"/>
      <c r="AE115" s="469"/>
      <c r="AF115" s="472"/>
      <c r="AG115" s="472"/>
      <c r="AH115" s="452" t="e">
        <f t="shared" si="86"/>
        <v>#N/A</v>
      </c>
      <c r="AI115" s="612"/>
      <c r="AJ115" s="469"/>
      <c r="AK115" s="472"/>
      <c r="AL115" s="472"/>
      <c r="AM115" s="452" t="e">
        <f t="shared" si="87"/>
        <v>#N/A</v>
      </c>
      <c r="AN115" s="612"/>
      <c r="AO115" s="469"/>
      <c r="AP115" s="472"/>
      <c r="AQ115" s="472"/>
      <c r="AR115" s="452" t="e">
        <f t="shared" si="88"/>
        <v>#N/A</v>
      </c>
      <c r="AS115" s="687"/>
      <c r="AT115" s="182"/>
      <c r="AU115" s="182"/>
      <c r="AV115" s="182"/>
      <c r="AW115" s="451" t="e">
        <f t="shared" si="89"/>
        <v>#N/A</v>
      </c>
      <c r="AX115" s="686"/>
      <c r="AZ115" s="522" t="e">
        <f t="shared" si="90"/>
        <v>#N/A</v>
      </c>
      <c r="BA115" s="686"/>
    </row>
    <row r="116" spans="2:53">
      <c r="B116" s="640"/>
      <c r="C116" s="451">
        <v>10</v>
      </c>
      <c r="D116" s="226"/>
      <c r="E116" s="182"/>
      <c r="F116" s="465"/>
      <c r="G116" s="466"/>
      <c r="H116" s="619"/>
      <c r="I116" s="513" t="str">
        <f t="shared" si="80"/>
        <v>-</v>
      </c>
      <c r="J116" s="513" t="str">
        <f t="shared" si="81"/>
        <v>-</v>
      </c>
      <c r="K116" s="200" t="str">
        <f t="shared" si="82"/>
        <v>-</v>
      </c>
      <c r="L116" s="621"/>
      <c r="M116" s="452" t="e">
        <f>RANK(K116, K$67:$K$81)</f>
        <v>#VALUE!</v>
      </c>
      <c r="N116" s="604"/>
      <c r="O116" s="604"/>
      <c r="P116" s="451"/>
      <c r="Q116" s="452"/>
      <c r="R116" s="452"/>
      <c r="S116" s="452" t="e">
        <f t="shared" si="83"/>
        <v>#N/A</v>
      </c>
      <c r="T116" s="687"/>
      <c r="U116" s="469"/>
      <c r="V116" s="472"/>
      <c r="W116" s="472"/>
      <c r="X116" s="452" t="e">
        <f t="shared" si="84"/>
        <v>#N/A</v>
      </c>
      <c r="Y116" s="612"/>
      <c r="Z116" s="469"/>
      <c r="AA116" s="472"/>
      <c r="AB116" s="472"/>
      <c r="AC116" s="452" t="e">
        <f t="shared" si="85"/>
        <v>#N/A</v>
      </c>
      <c r="AD116" s="612"/>
      <c r="AE116" s="469"/>
      <c r="AF116" s="472"/>
      <c r="AG116" s="472"/>
      <c r="AH116" s="452" t="e">
        <f t="shared" si="86"/>
        <v>#N/A</v>
      </c>
      <c r="AI116" s="612"/>
      <c r="AJ116" s="469"/>
      <c r="AK116" s="472"/>
      <c r="AL116" s="472"/>
      <c r="AM116" s="452" t="e">
        <f t="shared" si="87"/>
        <v>#N/A</v>
      </c>
      <c r="AN116" s="612"/>
      <c r="AO116" s="469"/>
      <c r="AP116" s="472"/>
      <c r="AQ116" s="472"/>
      <c r="AR116" s="452" t="e">
        <f t="shared" si="88"/>
        <v>#N/A</v>
      </c>
      <c r="AS116" s="687"/>
      <c r="AT116" s="182"/>
      <c r="AU116" s="182"/>
      <c r="AV116" s="182"/>
      <c r="AW116" s="451" t="e">
        <f t="shared" si="89"/>
        <v>#N/A</v>
      </c>
      <c r="AX116" s="686"/>
      <c r="AZ116" s="522" t="e">
        <f t="shared" si="90"/>
        <v>#N/A</v>
      </c>
      <c r="BA116" s="686"/>
    </row>
    <row r="117" spans="2:53">
      <c r="B117" s="640"/>
      <c r="C117" s="451">
        <v>11</v>
      </c>
      <c r="D117" s="226"/>
      <c r="E117" s="182"/>
      <c r="F117" s="465"/>
      <c r="G117" s="466"/>
      <c r="H117" s="619"/>
      <c r="I117" s="513" t="str">
        <f t="shared" si="80"/>
        <v>-</v>
      </c>
      <c r="J117" s="513" t="str">
        <f t="shared" si="81"/>
        <v>-</v>
      </c>
      <c r="K117" s="200" t="str">
        <f t="shared" si="82"/>
        <v>-</v>
      </c>
      <c r="L117" s="621"/>
      <c r="M117" s="452" t="e">
        <f>RANK(K117, K$67:$K$81)</f>
        <v>#VALUE!</v>
      </c>
      <c r="N117" s="604"/>
      <c r="O117" s="604"/>
      <c r="P117" s="451"/>
      <c r="Q117" s="452"/>
      <c r="R117" s="452"/>
      <c r="S117" s="452" t="e">
        <f t="shared" si="83"/>
        <v>#N/A</v>
      </c>
      <c r="T117" s="687"/>
      <c r="U117" s="469"/>
      <c r="V117" s="472"/>
      <c r="W117" s="472"/>
      <c r="X117" s="452" t="e">
        <f t="shared" si="84"/>
        <v>#N/A</v>
      </c>
      <c r="Y117" s="612"/>
      <c r="Z117" s="469"/>
      <c r="AA117" s="472"/>
      <c r="AB117" s="472"/>
      <c r="AC117" s="452" t="e">
        <f t="shared" si="85"/>
        <v>#N/A</v>
      </c>
      <c r="AD117" s="612"/>
      <c r="AE117" s="469"/>
      <c r="AF117" s="472"/>
      <c r="AG117" s="472"/>
      <c r="AH117" s="452" t="e">
        <f t="shared" si="86"/>
        <v>#N/A</v>
      </c>
      <c r="AI117" s="612"/>
      <c r="AJ117" s="469"/>
      <c r="AK117" s="472"/>
      <c r="AL117" s="472"/>
      <c r="AM117" s="452" t="e">
        <f t="shared" si="87"/>
        <v>#N/A</v>
      </c>
      <c r="AN117" s="612"/>
      <c r="AO117" s="469"/>
      <c r="AP117" s="472"/>
      <c r="AQ117" s="472"/>
      <c r="AR117" s="452" t="e">
        <f t="shared" si="88"/>
        <v>#N/A</v>
      </c>
      <c r="AS117" s="687"/>
      <c r="AT117" s="182"/>
      <c r="AU117" s="182"/>
      <c r="AV117" s="182"/>
      <c r="AW117" s="451" t="e">
        <f t="shared" si="89"/>
        <v>#N/A</v>
      </c>
      <c r="AX117" s="686"/>
      <c r="AZ117" s="522" t="e">
        <f t="shared" si="90"/>
        <v>#N/A</v>
      </c>
      <c r="BA117" s="686"/>
    </row>
    <row r="118" spans="2:53">
      <c r="B118" s="640"/>
      <c r="C118" s="451">
        <v>12</v>
      </c>
      <c r="D118" s="226"/>
      <c r="E118" s="182"/>
      <c r="F118" s="465"/>
      <c r="G118" s="466"/>
      <c r="H118" s="619"/>
      <c r="I118" s="513" t="str">
        <f t="shared" si="80"/>
        <v>-</v>
      </c>
      <c r="J118" s="513" t="str">
        <f t="shared" si="81"/>
        <v>-</v>
      </c>
      <c r="K118" s="200" t="str">
        <f t="shared" si="82"/>
        <v>-</v>
      </c>
      <c r="L118" s="621"/>
      <c r="M118" s="452" t="e">
        <f>RANK(K118, K$67:$K$81)</f>
        <v>#VALUE!</v>
      </c>
      <c r="N118" s="604"/>
      <c r="O118" s="604"/>
      <c r="P118" s="451"/>
      <c r="Q118" s="452"/>
      <c r="R118" s="452"/>
      <c r="S118" s="452" t="e">
        <f t="shared" si="83"/>
        <v>#N/A</v>
      </c>
      <c r="T118" s="687"/>
      <c r="U118" s="469"/>
      <c r="V118" s="472"/>
      <c r="W118" s="472"/>
      <c r="X118" s="452" t="e">
        <f t="shared" si="84"/>
        <v>#N/A</v>
      </c>
      <c r="Y118" s="612"/>
      <c r="Z118" s="469"/>
      <c r="AA118" s="472"/>
      <c r="AB118" s="472"/>
      <c r="AC118" s="452" t="e">
        <f t="shared" si="85"/>
        <v>#N/A</v>
      </c>
      <c r="AD118" s="612"/>
      <c r="AE118" s="469"/>
      <c r="AF118" s="472"/>
      <c r="AG118" s="472"/>
      <c r="AH118" s="452" t="e">
        <f t="shared" si="86"/>
        <v>#N/A</v>
      </c>
      <c r="AI118" s="612"/>
      <c r="AJ118" s="469"/>
      <c r="AK118" s="472"/>
      <c r="AL118" s="472"/>
      <c r="AM118" s="452" t="e">
        <f t="shared" si="87"/>
        <v>#N/A</v>
      </c>
      <c r="AN118" s="612"/>
      <c r="AO118" s="469"/>
      <c r="AP118" s="472"/>
      <c r="AQ118" s="472"/>
      <c r="AR118" s="452" t="e">
        <f t="shared" si="88"/>
        <v>#N/A</v>
      </c>
      <c r="AS118" s="687"/>
      <c r="AT118" s="182"/>
      <c r="AU118" s="182"/>
      <c r="AV118" s="182"/>
      <c r="AW118" s="451" t="e">
        <f t="shared" si="89"/>
        <v>#N/A</v>
      </c>
      <c r="AX118" s="686"/>
      <c r="AZ118" s="522" t="e">
        <f t="shared" si="90"/>
        <v>#N/A</v>
      </c>
      <c r="BA118" s="686"/>
    </row>
    <row r="119" spans="2:53">
      <c r="B119" s="640"/>
      <c r="C119" s="451">
        <v>13</v>
      </c>
      <c r="D119" s="226"/>
      <c r="E119" s="182"/>
      <c r="F119" s="465"/>
      <c r="G119" s="466"/>
      <c r="H119" s="619"/>
      <c r="I119" s="513" t="str">
        <f t="shared" si="80"/>
        <v>-</v>
      </c>
      <c r="J119" s="513" t="str">
        <f t="shared" si="81"/>
        <v>-</v>
      </c>
      <c r="K119" s="200" t="str">
        <f t="shared" si="82"/>
        <v>-</v>
      </c>
      <c r="L119" s="621"/>
      <c r="M119" s="452" t="e">
        <f>RANK(K119, K$67:$K$81)</f>
        <v>#VALUE!</v>
      </c>
      <c r="N119" s="604"/>
      <c r="O119" s="604"/>
      <c r="P119" s="451"/>
      <c r="Q119" s="452"/>
      <c r="R119" s="452"/>
      <c r="S119" s="452" t="e">
        <f t="shared" si="83"/>
        <v>#N/A</v>
      </c>
      <c r="T119" s="687"/>
      <c r="U119" s="469"/>
      <c r="V119" s="472"/>
      <c r="W119" s="472"/>
      <c r="X119" s="452" t="e">
        <f t="shared" si="84"/>
        <v>#N/A</v>
      </c>
      <c r="Y119" s="612"/>
      <c r="Z119" s="469"/>
      <c r="AA119" s="472"/>
      <c r="AB119" s="472"/>
      <c r="AC119" s="453" t="e">
        <f t="shared" si="85"/>
        <v>#N/A</v>
      </c>
      <c r="AD119" s="612"/>
      <c r="AE119" s="469"/>
      <c r="AF119" s="472"/>
      <c r="AG119" s="472"/>
      <c r="AH119" s="452" t="e">
        <f t="shared" si="86"/>
        <v>#N/A</v>
      </c>
      <c r="AI119" s="612"/>
      <c r="AJ119" s="469"/>
      <c r="AK119" s="472"/>
      <c r="AL119" s="472"/>
      <c r="AM119" s="452" t="e">
        <f t="shared" si="87"/>
        <v>#N/A</v>
      </c>
      <c r="AN119" s="612"/>
      <c r="AO119" s="469"/>
      <c r="AP119" s="472"/>
      <c r="AQ119" s="472"/>
      <c r="AR119" s="453" t="e">
        <f t="shared" si="88"/>
        <v>#N/A</v>
      </c>
      <c r="AS119" s="687"/>
      <c r="AT119" s="182"/>
      <c r="AU119" s="182"/>
      <c r="AV119" s="182"/>
      <c r="AW119" s="451" t="e">
        <f t="shared" si="89"/>
        <v>#N/A</v>
      </c>
      <c r="AX119" s="686"/>
      <c r="AZ119" s="522" t="e">
        <f t="shared" si="90"/>
        <v>#N/A</v>
      </c>
      <c r="BA119" s="686"/>
    </row>
    <row r="120" spans="2:53">
      <c r="B120" s="640"/>
      <c r="C120" s="451">
        <v>14</v>
      </c>
      <c r="D120" s="226"/>
      <c r="E120" s="182"/>
      <c r="F120" s="465"/>
      <c r="G120" s="466"/>
      <c r="H120" s="619"/>
      <c r="I120" s="513" t="str">
        <f t="shared" si="80"/>
        <v>-</v>
      </c>
      <c r="J120" s="513" t="str">
        <f t="shared" si="81"/>
        <v>-</v>
      </c>
      <c r="K120" s="200" t="str">
        <f t="shared" si="82"/>
        <v>-</v>
      </c>
      <c r="L120" s="621"/>
      <c r="M120" s="452" t="e">
        <f>RANK(K120, K$67:$K$81)</f>
        <v>#VALUE!</v>
      </c>
      <c r="N120" s="604"/>
      <c r="O120" s="604"/>
      <c r="P120" s="451"/>
      <c r="Q120" s="452"/>
      <c r="R120" s="452"/>
      <c r="S120" s="452" t="e">
        <f t="shared" si="83"/>
        <v>#N/A</v>
      </c>
      <c r="T120" s="687"/>
      <c r="U120" s="469"/>
      <c r="V120" s="472"/>
      <c r="W120" s="472"/>
      <c r="X120" s="452" t="e">
        <f t="shared" si="84"/>
        <v>#N/A</v>
      </c>
      <c r="Y120" s="612"/>
      <c r="Z120" s="469"/>
      <c r="AA120" s="472"/>
      <c r="AB120" s="472"/>
      <c r="AC120" s="453" t="e">
        <f t="shared" si="85"/>
        <v>#N/A</v>
      </c>
      <c r="AD120" s="612"/>
      <c r="AE120" s="469"/>
      <c r="AF120" s="472"/>
      <c r="AG120" s="472"/>
      <c r="AH120" s="453" t="e">
        <f t="shared" si="86"/>
        <v>#N/A</v>
      </c>
      <c r="AI120" s="612"/>
      <c r="AJ120" s="469"/>
      <c r="AK120" s="472"/>
      <c r="AL120" s="472"/>
      <c r="AM120" s="453" t="e">
        <f t="shared" si="87"/>
        <v>#N/A</v>
      </c>
      <c r="AN120" s="612"/>
      <c r="AO120" s="469"/>
      <c r="AP120" s="472"/>
      <c r="AQ120" s="472"/>
      <c r="AR120" s="453" t="e">
        <f t="shared" si="88"/>
        <v>#N/A</v>
      </c>
      <c r="AS120" s="687"/>
      <c r="AT120" s="182"/>
      <c r="AU120" s="182"/>
      <c r="AV120" s="182"/>
      <c r="AW120" s="451" t="e">
        <f t="shared" si="89"/>
        <v>#N/A</v>
      </c>
      <c r="AX120" s="686"/>
      <c r="AZ120" s="522" t="e">
        <f t="shared" si="90"/>
        <v>#N/A</v>
      </c>
      <c r="BA120" s="686"/>
    </row>
    <row r="121" spans="2:53">
      <c r="B121" s="640"/>
      <c r="C121" s="451">
        <v>15</v>
      </c>
      <c r="D121" s="226"/>
      <c r="E121" s="182"/>
      <c r="F121" s="465"/>
      <c r="G121" s="466"/>
      <c r="H121" s="679"/>
      <c r="I121" s="517"/>
      <c r="J121" s="517"/>
      <c r="K121" s="517"/>
      <c r="L121" s="622"/>
      <c r="M121" s="452" t="e">
        <f>RANK(K121, K$67:$K$81)</f>
        <v>#N/A</v>
      </c>
      <c r="N121" s="604"/>
      <c r="O121" s="604"/>
      <c r="P121" s="451"/>
      <c r="Q121" s="452"/>
      <c r="R121" s="452"/>
      <c r="S121" s="452" t="e">
        <f t="shared" si="83"/>
        <v>#N/A</v>
      </c>
      <c r="T121" s="687"/>
      <c r="U121" s="469"/>
      <c r="V121" s="472"/>
      <c r="W121" s="472"/>
      <c r="X121" s="453" t="e">
        <f t="shared" si="84"/>
        <v>#N/A</v>
      </c>
      <c r="Y121" s="612"/>
      <c r="Z121" s="469"/>
      <c r="AA121" s="472"/>
      <c r="AB121" s="472"/>
      <c r="AC121" s="453" t="e">
        <f t="shared" si="85"/>
        <v>#N/A</v>
      </c>
      <c r="AD121" s="612"/>
      <c r="AE121" s="469"/>
      <c r="AF121" s="472"/>
      <c r="AG121" s="472"/>
      <c r="AH121" s="453" t="e">
        <f t="shared" si="86"/>
        <v>#N/A</v>
      </c>
      <c r="AI121" s="612"/>
      <c r="AJ121" s="469"/>
      <c r="AK121" s="472"/>
      <c r="AL121" s="472"/>
      <c r="AM121" s="453" t="e">
        <f t="shared" si="87"/>
        <v>#N/A</v>
      </c>
      <c r="AN121" s="612"/>
      <c r="AO121" s="469"/>
      <c r="AP121" s="472"/>
      <c r="AQ121" s="472"/>
      <c r="AR121" s="453" t="e">
        <f t="shared" si="88"/>
        <v>#N/A</v>
      </c>
      <c r="AS121" s="687"/>
      <c r="AT121" s="182"/>
      <c r="AU121" s="182"/>
      <c r="AV121" s="182"/>
      <c r="AW121" s="451" t="e">
        <f t="shared" si="89"/>
        <v>#N/A</v>
      </c>
      <c r="AX121" s="686"/>
      <c r="AZ121" s="522" t="e">
        <f t="shared" si="90"/>
        <v>#N/A</v>
      </c>
      <c r="BA121" s="686"/>
    </row>
    <row r="123" spans="2:53" ht="15.75">
      <c r="B123" s="613" t="s">
        <v>572</v>
      </c>
      <c r="C123" s="614"/>
      <c r="D123" s="614"/>
      <c r="E123" s="614"/>
      <c r="F123" s="614"/>
      <c r="G123" s="614"/>
      <c r="H123" s="615"/>
      <c r="I123" s="337"/>
      <c r="J123" s="337"/>
      <c r="K123" s="337"/>
      <c r="L123" s="337"/>
      <c r="M123" s="338"/>
    </row>
    <row r="124" spans="2:53" ht="15.75">
      <c r="B124" s="616"/>
      <c r="C124" s="616"/>
      <c r="D124" s="616"/>
      <c r="E124" s="616"/>
      <c r="F124" s="616"/>
      <c r="G124" s="616"/>
      <c r="H124" s="616"/>
      <c r="I124" s="339"/>
      <c r="J124" s="339"/>
      <c r="K124" s="339"/>
      <c r="L124" s="339"/>
      <c r="M124" s="340"/>
    </row>
    <row r="125" spans="2:53">
      <c r="B125" s="604" t="s">
        <v>154</v>
      </c>
      <c r="C125" s="604" t="s">
        <v>408</v>
      </c>
      <c r="D125" s="604"/>
      <c r="E125" s="604" t="s">
        <v>399</v>
      </c>
      <c r="F125" s="604"/>
      <c r="G125" s="604"/>
      <c r="H125" s="637" t="s">
        <v>395</v>
      </c>
      <c r="I125" s="617" t="s">
        <v>400</v>
      </c>
      <c r="J125" s="617"/>
      <c r="K125" s="617"/>
      <c r="L125" s="673" t="s">
        <v>395</v>
      </c>
      <c r="M125" s="676" t="s">
        <v>396</v>
      </c>
    </row>
    <row r="126" spans="2:53">
      <c r="B126" s="604"/>
      <c r="C126" s="604"/>
      <c r="D126" s="604"/>
      <c r="E126" s="604" t="s">
        <v>402</v>
      </c>
      <c r="F126" s="604"/>
      <c r="G126" s="604"/>
      <c r="H126" s="638"/>
      <c r="I126" s="617" t="s">
        <v>402</v>
      </c>
      <c r="J126" s="617"/>
      <c r="K126" s="617"/>
      <c r="L126" s="674"/>
      <c r="M126" s="677"/>
    </row>
    <row r="127" spans="2:53">
      <c r="B127" s="604"/>
      <c r="C127" s="604"/>
      <c r="D127" s="604"/>
      <c r="E127" s="334" t="s">
        <v>404</v>
      </c>
      <c r="F127" s="334" t="s">
        <v>405</v>
      </c>
      <c r="G127" s="334" t="s">
        <v>406</v>
      </c>
      <c r="H127" s="639"/>
      <c r="I127" s="341" t="s">
        <v>404</v>
      </c>
      <c r="J127" s="341" t="s">
        <v>405</v>
      </c>
      <c r="K127" s="341" t="s">
        <v>406</v>
      </c>
      <c r="L127" s="675"/>
      <c r="M127" s="678"/>
    </row>
    <row r="128" spans="2:53">
      <c r="B128" s="604" t="s">
        <v>410</v>
      </c>
      <c r="C128" s="333">
        <v>1</v>
      </c>
      <c r="D128" s="226"/>
      <c r="E128" s="182"/>
      <c r="F128" s="333"/>
      <c r="G128" s="336"/>
      <c r="H128" s="667" t="e">
        <f>AVERAGE(G128:G142)</f>
        <v>#DIV/0!</v>
      </c>
      <c r="I128" s="199" t="e">
        <f t="shared" ref="I128:J137" si="91">AVERAGEIF($D$7:$D$121,$D128,I$7:I$121)</f>
        <v>#DIV/0!</v>
      </c>
      <c r="J128" s="199" t="e">
        <f t="shared" si="91"/>
        <v>#DIV/0!</v>
      </c>
      <c r="K128" s="199" t="e">
        <f t="shared" ref="K128:K137" si="92">AVERAGEIF($D$7:$D$121,$D128,K$7:K$121)</f>
        <v>#DIV/0!</v>
      </c>
      <c r="L128" s="670" t="e">
        <f>AVERAGE(K128:K142)</f>
        <v>#DIV/0!</v>
      </c>
      <c r="M128" s="199" t="e">
        <f>RANK(K128, K$128:$K$142)</f>
        <v>#DIV/0!</v>
      </c>
    </row>
    <row r="129" spans="2:39">
      <c r="B129" s="610"/>
      <c r="C129" s="333">
        <v>2</v>
      </c>
      <c r="D129" s="226"/>
      <c r="E129" s="182"/>
      <c r="F129" s="333"/>
      <c r="G129" s="336"/>
      <c r="H129" s="668"/>
      <c r="I129" s="199" t="e">
        <f t="shared" si="91"/>
        <v>#DIV/0!</v>
      </c>
      <c r="J129" s="199" t="e">
        <f t="shared" si="91"/>
        <v>#DIV/0!</v>
      </c>
      <c r="K129" s="199" t="e">
        <f t="shared" si="92"/>
        <v>#DIV/0!</v>
      </c>
      <c r="L129" s="671"/>
      <c r="M129" s="199" t="e">
        <f>RANK(K129, K$128:$K$142)</f>
        <v>#DIV/0!</v>
      </c>
      <c r="N129" s="108"/>
      <c r="O129" s="108"/>
      <c r="P129" s="108"/>
      <c r="Q129" s="108"/>
      <c r="R129" s="108"/>
      <c r="S129" s="108"/>
      <c r="T129" s="108"/>
      <c r="X129" s="108"/>
      <c r="AC129" s="108"/>
      <c r="AH129" s="108"/>
      <c r="AM129" s="108"/>
    </row>
    <row r="130" spans="2:39">
      <c r="B130" s="610"/>
      <c r="C130" s="333">
        <v>3</v>
      </c>
      <c r="D130" s="226"/>
      <c r="E130" s="182"/>
      <c r="F130" s="333"/>
      <c r="G130" s="336"/>
      <c r="H130" s="668"/>
      <c r="I130" s="199" t="e">
        <f t="shared" si="91"/>
        <v>#DIV/0!</v>
      </c>
      <c r="J130" s="199" t="e">
        <f t="shared" si="91"/>
        <v>#DIV/0!</v>
      </c>
      <c r="K130" s="199" t="e">
        <f t="shared" si="92"/>
        <v>#DIV/0!</v>
      </c>
      <c r="L130" s="671"/>
      <c r="M130" s="199" t="e">
        <f>RANK(K130, K$128:$K$142)</f>
        <v>#DIV/0!</v>
      </c>
      <c r="N130" s="108"/>
      <c r="O130" s="108"/>
      <c r="P130" s="108"/>
      <c r="Q130" s="108"/>
      <c r="R130" s="108"/>
      <c r="S130" s="108"/>
      <c r="T130" s="108"/>
      <c r="X130" s="108"/>
      <c r="AC130" s="108"/>
      <c r="AH130" s="108"/>
      <c r="AM130" s="108"/>
    </row>
    <row r="131" spans="2:39">
      <c r="B131" s="610"/>
      <c r="C131" s="333">
        <v>4</v>
      </c>
      <c r="D131" s="226"/>
      <c r="E131" s="182"/>
      <c r="F131" s="333"/>
      <c r="G131" s="336"/>
      <c r="H131" s="668"/>
      <c r="I131" s="199" t="e">
        <f t="shared" si="91"/>
        <v>#DIV/0!</v>
      </c>
      <c r="J131" s="199" t="e">
        <f t="shared" si="91"/>
        <v>#DIV/0!</v>
      </c>
      <c r="K131" s="199" t="e">
        <f t="shared" si="92"/>
        <v>#DIV/0!</v>
      </c>
      <c r="L131" s="671"/>
      <c r="M131" s="199" t="e">
        <f>RANK(K131, K$128:$K$142)</f>
        <v>#DIV/0!</v>
      </c>
      <c r="N131" s="108"/>
      <c r="O131" s="108"/>
      <c r="P131" s="108"/>
      <c r="Q131" s="108"/>
      <c r="R131" s="108"/>
      <c r="S131" s="108"/>
      <c r="T131" s="108"/>
      <c r="X131" s="108"/>
      <c r="AC131" s="108"/>
      <c r="AH131" s="108"/>
      <c r="AM131" s="108"/>
    </row>
    <row r="132" spans="2:39">
      <c r="B132" s="610"/>
      <c r="C132" s="333">
        <v>5</v>
      </c>
      <c r="D132" s="226"/>
      <c r="E132" s="182"/>
      <c r="F132" s="333"/>
      <c r="G132" s="336"/>
      <c r="H132" s="668"/>
      <c r="I132" s="199" t="e">
        <f t="shared" si="91"/>
        <v>#DIV/0!</v>
      </c>
      <c r="J132" s="199" t="e">
        <f t="shared" si="91"/>
        <v>#DIV/0!</v>
      </c>
      <c r="K132" s="199" t="e">
        <f t="shared" si="92"/>
        <v>#DIV/0!</v>
      </c>
      <c r="L132" s="671"/>
      <c r="M132" s="199" t="e">
        <f>RANK(K132, K$128:$K$142)</f>
        <v>#DIV/0!</v>
      </c>
      <c r="N132" s="108"/>
      <c r="O132" s="108"/>
      <c r="P132" s="108"/>
      <c r="Q132" s="108"/>
      <c r="R132" s="108"/>
      <c r="S132" s="108"/>
      <c r="T132" s="108"/>
      <c r="X132" s="108"/>
      <c r="AC132" s="108"/>
      <c r="AH132" s="108"/>
      <c r="AM132" s="108"/>
    </row>
    <row r="133" spans="2:39">
      <c r="B133" s="610"/>
      <c r="C133" s="333">
        <v>6</v>
      </c>
      <c r="D133" s="342"/>
      <c r="E133" s="182"/>
      <c r="F133" s="333"/>
      <c r="G133" s="336"/>
      <c r="H133" s="668"/>
      <c r="I133" s="199" t="e">
        <f t="shared" si="91"/>
        <v>#DIV/0!</v>
      </c>
      <c r="J133" s="199" t="e">
        <f t="shared" si="91"/>
        <v>#DIV/0!</v>
      </c>
      <c r="K133" s="199" t="e">
        <f t="shared" si="92"/>
        <v>#DIV/0!</v>
      </c>
      <c r="L133" s="671"/>
      <c r="M133" s="199" t="e">
        <f>RANK(K133, K$128:$K$142)</f>
        <v>#DIV/0!</v>
      </c>
      <c r="N133" s="108"/>
      <c r="O133" s="108"/>
      <c r="P133" s="108"/>
      <c r="Q133" s="108"/>
      <c r="R133" s="108"/>
      <c r="S133" s="108"/>
      <c r="T133" s="108"/>
      <c r="X133" s="108"/>
      <c r="AC133" s="108"/>
      <c r="AH133" s="108"/>
      <c r="AM133" s="108"/>
    </row>
    <row r="134" spans="2:39">
      <c r="B134" s="610"/>
      <c r="C134" s="333">
        <v>7</v>
      </c>
      <c r="D134" s="226"/>
      <c r="E134" s="182"/>
      <c r="F134" s="333"/>
      <c r="G134" s="336"/>
      <c r="H134" s="668"/>
      <c r="I134" s="199" t="e">
        <f t="shared" si="91"/>
        <v>#DIV/0!</v>
      </c>
      <c r="J134" s="199" t="e">
        <f t="shared" si="91"/>
        <v>#DIV/0!</v>
      </c>
      <c r="K134" s="199" t="e">
        <f t="shared" si="92"/>
        <v>#DIV/0!</v>
      </c>
      <c r="L134" s="671"/>
      <c r="M134" s="199" t="e">
        <f>RANK(K134, K$128:$K$142)</f>
        <v>#DIV/0!</v>
      </c>
      <c r="N134" s="108"/>
      <c r="O134" s="108"/>
      <c r="P134" s="108"/>
      <c r="Q134" s="108"/>
      <c r="R134" s="108"/>
      <c r="S134" s="108"/>
      <c r="T134" s="108"/>
      <c r="X134" s="108"/>
      <c r="AC134" s="108"/>
      <c r="AH134" s="108"/>
      <c r="AM134" s="108"/>
    </row>
    <row r="135" spans="2:39">
      <c r="B135" s="610"/>
      <c r="C135" s="333">
        <v>8</v>
      </c>
      <c r="D135" s="226"/>
      <c r="E135" s="182"/>
      <c r="F135" s="333"/>
      <c r="G135" s="336"/>
      <c r="H135" s="668"/>
      <c r="I135" s="199" t="e">
        <f t="shared" si="91"/>
        <v>#DIV/0!</v>
      </c>
      <c r="J135" s="199" t="e">
        <f t="shared" si="91"/>
        <v>#DIV/0!</v>
      </c>
      <c r="K135" s="199" t="e">
        <f t="shared" si="92"/>
        <v>#DIV/0!</v>
      </c>
      <c r="L135" s="671"/>
      <c r="M135" s="199" t="e">
        <f>RANK(K135, K$128:$K$142)</f>
        <v>#DIV/0!</v>
      </c>
      <c r="N135" s="108"/>
      <c r="O135" s="108"/>
      <c r="P135" s="108"/>
      <c r="Q135" s="108"/>
      <c r="R135" s="108"/>
      <c r="S135" s="108"/>
      <c r="T135" s="108"/>
      <c r="X135" s="108"/>
      <c r="AC135" s="108"/>
      <c r="AH135" s="108"/>
      <c r="AM135" s="108"/>
    </row>
    <row r="136" spans="2:39">
      <c r="B136" s="610"/>
      <c r="C136" s="333">
        <v>9</v>
      </c>
      <c r="D136" s="226"/>
      <c r="E136" s="333"/>
      <c r="F136" s="333"/>
      <c r="G136" s="333"/>
      <c r="H136" s="668"/>
      <c r="I136" s="199" t="e">
        <f t="shared" si="91"/>
        <v>#DIV/0!</v>
      </c>
      <c r="J136" s="199" t="e">
        <f t="shared" si="91"/>
        <v>#DIV/0!</v>
      </c>
      <c r="K136" s="199" t="e">
        <f t="shared" si="92"/>
        <v>#DIV/0!</v>
      </c>
      <c r="L136" s="671"/>
      <c r="M136" s="199" t="e">
        <f>RANK(K136, K$128:$K$142)</f>
        <v>#DIV/0!</v>
      </c>
      <c r="N136" s="108"/>
      <c r="O136" s="108"/>
      <c r="P136" s="108"/>
      <c r="Q136" s="108"/>
      <c r="R136" s="108"/>
      <c r="S136" s="108"/>
      <c r="T136" s="108"/>
      <c r="X136" s="108"/>
      <c r="AC136" s="108"/>
      <c r="AH136" s="108"/>
      <c r="AM136" s="108"/>
    </row>
    <row r="137" spans="2:39">
      <c r="B137" s="610"/>
      <c r="C137" s="333">
        <v>10</v>
      </c>
      <c r="D137" s="226"/>
      <c r="E137" s="333"/>
      <c r="F137" s="333"/>
      <c r="G137" s="333"/>
      <c r="H137" s="668"/>
      <c r="I137" s="199" t="e">
        <f t="shared" si="91"/>
        <v>#DIV/0!</v>
      </c>
      <c r="J137" s="199" t="e">
        <f t="shared" si="91"/>
        <v>#DIV/0!</v>
      </c>
      <c r="K137" s="199" t="e">
        <f t="shared" si="92"/>
        <v>#DIV/0!</v>
      </c>
      <c r="L137" s="671"/>
      <c r="M137" s="199" t="e">
        <f>RANK(K137, K$128:$K$142)</f>
        <v>#DIV/0!</v>
      </c>
      <c r="N137" s="108"/>
      <c r="O137" s="108"/>
      <c r="P137" s="108"/>
      <c r="Q137" s="108"/>
      <c r="R137" s="108"/>
      <c r="S137" s="108"/>
      <c r="T137" s="108"/>
      <c r="X137" s="108"/>
      <c r="AC137" s="108"/>
      <c r="AH137" s="108"/>
      <c r="AM137" s="108"/>
    </row>
    <row r="138" spans="2:39">
      <c r="B138" s="610"/>
      <c r="C138" s="333">
        <v>11</v>
      </c>
      <c r="D138" s="226"/>
      <c r="E138" s="333"/>
      <c r="F138" s="333"/>
      <c r="G138" s="333"/>
      <c r="H138" s="668"/>
      <c r="I138" s="199"/>
      <c r="J138" s="199"/>
      <c r="K138" s="199"/>
      <c r="L138" s="671"/>
      <c r="M138" s="199" t="e">
        <f>RANK(K138, K$128:$K$142)</f>
        <v>#DIV/0!</v>
      </c>
      <c r="N138" s="108"/>
      <c r="O138" s="108"/>
      <c r="P138" s="108"/>
      <c r="Q138" s="108"/>
      <c r="R138" s="108"/>
      <c r="S138" s="108"/>
      <c r="T138" s="108"/>
      <c r="X138" s="108"/>
      <c r="AC138" s="108"/>
      <c r="AH138" s="108"/>
      <c r="AM138" s="108"/>
    </row>
    <row r="139" spans="2:39">
      <c r="B139" s="610"/>
      <c r="C139" s="333">
        <v>12</v>
      </c>
      <c r="D139" s="226"/>
      <c r="E139" s="333"/>
      <c r="F139" s="333"/>
      <c r="G139" s="333"/>
      <c r="H139" s="668"/>
      <c r="I139" s="199"/>
      <c r="J139" s="199"/>
      <c r="K139" s="199"/>
      <c r="L139" s="671"/>
      <c r="M139" s="199" t="e">
        <f>RANK(K139, K$128:$K$142)</f>
        <v>#DIV/0!</v>
      </c>
      <c r="N139" s="108"/>
      <c r="O139" s="108"/>
      <c r="P139" s="108"/>
      <c r="Q139" s="108"/>
      <c r="R139" s="108"/>
      <c r="S139" s="108"/>
      <c r="T139" s="108"/>
      <c r="X139" s="108"/>
      <c r="AC139" s="108"/>
      <c r="AH139" s="108"/>
      <c r="AM139" s="108"/>
    </row>
    <row r="140" spans="2:39">
      <c r="B140" s="610"/>
      <c r="C140" s="333">
        <v>13</v>
      </c>
      <c r="D140" s="226"/>
      <c r="E140" s="333"/>
      <c r="F140" s="333"/>
      <c r="G140" s="333"/>
      <c r="H140" s="668"/>
      <c r="I140" s="199"/>
      <c r="J140" s="199"/>
      <c r="K140" s="199"/>
      <c r="L140" s="671"/>
      <c r="M140" s="199" t="e">
        <f>RANK(K140, K$128:$K$142)</f>
        <v>#DIV/0!</v>
      </c>
      <c r="N140" s="108"/>
      <c r="O140" s="108"/>
      <c r="P140" s="108"/>
      <c r="Q140" s="108"/>
      <c r="R140" s="108"/>
      <c r="S140" s="108"/>
      <c r="T140" s="108"/>
      <c r="X140" s="108"/>
      <c r="AC140" s="108"/>
      <c r="AH140" s="108"/>
      <c r="AM140" s="108"/>
    </row>
    <row r="141" spans="2:39">
      <c r="B141" s="610"/>
      <c r="C141" s="333">
        <v>14</v>
      </c>
      <c r="D141" s="226"/>
      <c r="E141" s="333"/>
      <c r="F141" s="333"/>
      <c r="G141" s="333"/>
      <c r="H141" s="668"/>
      <c r="I141" s="199"/>
      <c r="J141" s="199"/>
      <c r="K141" s="199"/>
      <c r="L141" s="671"/>
      <c r="M141" s="199" t="e">
        <f>RANK(K141, K$128:$K$142)</f>
        <v>#DIV/0!</v>
      </c>
      <c r="N141" s="108"/>
      <c r="O141" s="108"/>
      <c r="P141" s="108"/>
      <c r="Q141" s="108"/>
      <c r="R141" s="108"/>
      <c r="S141" s="108"/>
      <c r="T141" s="108"/>
      <c r="X141" s="108"/>
      <c r="AC141" s="108"/>
      <c r="AH141" s="108"/>
      <c r="AM141" s="108"/>
    </row>
    <row r="142" spans="2:39">
      <c r="B142" s="610"/>
      <c r="C142" s="333">
        <v>15</v>
      </c>
      <c r="D142" s="226"/>
      <c r="E142" s="333"/>
      <c r="F142" s="333"/>
      <c r="G142" s="333"/>
      <c r="H142" s="669"/>
      <c r="I142" s="199"/>
      <c r="J142" s="199"/>
      <c r="K142" s="199"/>
      <c r="L142" s="672"/>
      <c r="M142" s="199" t="e">
        <f>RANK(K142, K$128:$K$142)</f>
        <v>#DIV/0!</v>
      </c>
      <c r="N142" s="108"/>
      <c r="O142" s="108"/>
      <c r="P142" s="108"/>
      <c r="Q142" s="108"/>
      <c r="R142" s="108"/>
      <c r="S142" s="108"/>
      <c r="T142" s="108"/>
      <c r="X142" s="108"/>
      <c r="AC142" s="108"/>
      <c r="AH142" s="108"/>
      <c r="AM142" s="108"/>
    </row>
  </sheetData>
  <mergeCells count="379">
    <mergeCell ref="BA87:BA101"/>
    <mergeCell ref="BA104:BA106"/>
    <mergeCell ref="BA107:BA121"/>
    <mergeCell ref="BA4:BA6"/>
    <mergeCell ref="BA7:BA21"/>
    <mergeCell ref="BA24:BA26"/>
    <mergeCell ref="BA27:BA41"/>
    <mergeCell ref="BA44:BA46"/>
    <mergeCell ref="BA47:BA61"/>
    <mergeCell ref="BA64:BA66"/>
    <mergeCell ref="BA67:BA81"/>
    <mergeCell ref="BA84:BA86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A142"/>
  <sheetViews>
    <sheetView zoomScale="40" zoomScaleNormal="40" workbookViewId="0">
      <pane xSplit="15" topLeftCell="P1" activePane="topRight" state="frozen"/>
      <selection activeCell="I107" sqref="I107:K120"/>
      <selection pane="topRight" activeCell="T67" sqref="S67:T81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51" width="8.85546875" style="108"/>
    <col min="52" max="52" width="5.42578125" style="108" customWidth="1"/>
    <col min="53" max="53" width="13.140625" style="108" customWidth="1"/>
    <col min="54" max="16384" width="8.85546875" style="108"/>
  </cols>
  <sheetData>
    <row r="1" spans="1:53" ht="24">
      <c r="A1" s="75"/>
      <c r="B1" s="221" t="s">
        <v>332</v>
      </c>
      <c r="C1" s="220">
        <f>AVERAGE(L7,L27,L47,L67,L87,L107)</f>
        <v>125.28930718210442</v>
      </c>
    </row>
    <row r="2" spans="1:53" ht="15.75">
      <c r="A2" s="81"/>
      <c r="B2" s="633" t="s">
        <v>163</v>
      </c>
      <c r="C2" s="633"/>
      <c r="D2" s="633"/>
      <c r="E2" s="633"/>
      <c r="F2" s="633"/>
      <c r="G2" s="633"/>
      <c r="H2" s="633"/>
      <c r="I2" s="306"/>
      <c r="J2" s="306"/>
      <c r="K2" s="306"/>
      <c r="L2" s="306"/>
      <c r="M2" s="197"/>
      <c r="N2" s="606" t="s">
        <v>156</v>
      </c>
      <c r="O2" s="606" t="s">
        <v>155</v>
      </c>
      <c r="P2" s="645">
        <v>46112</v>
      </c>
      <c r="Q2" s="646"/>
      <c r="R2" s="646"/>
      <c r="S2" s="646"/>
      <c r="T2" s="647"/>
      <c r="U2" s="632">
        <f>P2+1</f>
        <v>46113</v>
      </c>
      <c r="V2" s="610"/>
      <c r="W2" s="610"/>
      <c r="X2" s="610"/>
      <c r="Y2" s="610"/>
      <c r="Z2" s="632">
        <f>U2+1</f>
        <v>46114</v>
      </c>
      <c r="AA2" s="610"/>
      <c r="AB2" s="610"/>
      <c r="AC2" s="610"/>
      <c r="AD2" s="610"/>
      <c r="AE2" s="632">
        <f>Z2+1</f>
        <v>46115</v>
      </c>
      <c r="AF2" s="610"/>
      <c r="AG2" s="610"/>
      <c r="AH2" s="610"/>
      <c r="AI2" s="610"/>
      <c r="AJ2" s="632">
        <f>AE2+1</f>
        <v>46116</v>
      </c>
      <c r="AK2" s="610"/>
      <c r="AL2" s="610"/>
      <c r="AM2" s="610"/>
      <c r="AN2" s="610"/>
      <c r="AO2" s="632">
        <f>AJ2+1</f>
        <v>46117</v>
      </c>
      <c r="AP2" s="610"/>
      <c r="AQ2" s="610"/>
      <c r="AR2" s="610"/>
      <c r="AS2" s="610"/>
      <c r="AT2" s="629">
        <f>AO2+1</f>
        <v>46118</v>
      </c>
      <c r="AU2" s="630"/>
      <c r="AV2" s="630"/>
      <c r="AW2" s="630"/>
      <c r="AX2" s="631"/>
    </row>
    <row r="3" spans="1:53" ht="15.75">
      <c r="A3" s="81"/>
      <c r="B3" s="641"/>
      <c r="C3" s="641"/>
      <c r="D3" s="641"/>
      <c r="E3" s="641"/>
      <c r="F3" s="641"/>
      <c r="G3" s="641"/>
      <c r="H3" s="641"/>
      <c r="I3" s="307"/>
      <c r="J3" s="307"/>
      <c r="K3" s="307"/>
      <c r="L3" s="307"/>
      <c r="M3" s="198"/>
      <c r="N3" s="608"/>
      <c r="O3" s="608"/>
      <c r="P3" s="629" t="s">
        <v>158</v>
      </c>
      <c r="Q3" s="630"/>
      <c r="R3" s="630"/>
      <c r="S3" s="630"/>
      <c r="T3" s="631"/>
      <c r="U3" s="629" t="s">
        <v>114</v>
      </c>
      <c r="V3" s="630"/>
      <c r="W3" s="630"/>
      <c r="X3" s="630"/>
      <c r="Y3" s="631"/>
      <c r="Z3" s="629" t="s">
        <v>159</v>
      </c>
      <c r="AA3" s="630"/>
      <c r="AB3" s="630"/>
      <c r="AC3" s="630"/>
      <c r="AD3" s="631"/>
      <c r="AE3" s="629" t="s">
        <v>157</v>
      </c>
      <c r="AF3" s="630"/>
      <c r="AG3" s="630"/>
      <c r="AH3" s="630"/>
      <c r="AI3" s="631"/>
      <c r="AJ3" s="629" t="s">
        <v>160</v>
      </c>
      <c r="AK3" s="630"/>
      <c r="AL3" s="630"/>
      <c r="AM3" s="630"/>
      <c r="AN3" s="631"/>
      <c r="AO3" s="629" t="s">
        <v>161</v>
      </c>
      <c r="AP3" s="630"/>
      <c r="AQ3" s="630"/>
      <c r="AR3" s="630"/>
      <c r="AS3" s="631"/>
      <c r="AT3" s="629" t="s">
        <v>162</v>
      </c>
      <c r="AU3" s="630"/>
      <c r="AV3" s="630"/>
      <c r="AW3" s="630"/>
      <c r="AX3" s="631"/>
    </row>
    <row r="4" spans="1:53" ht="14.25">
      <c r="A4" s="81"/>
      <c r="B4" s="604" t="s">
        <v>693</v>
      </c>
      <c r="C4" s="604" t="s">
        <v>694</v>
      </c>
      <c r="D4" s="604"/>
      <c r="E4" s="604" t="s">
        <v>695</v>
      </c>
      <c r="F4" s="604"/>
      <c r="G4" s="604"/>
      <c r="H4" s="637" t="s">
        <v>696</v>
      </c>
      <c r="I4" s="604" t="s">
        <v>697</v>
      </c>
      <c r="J4" s="604"/>
      <c r="K4" s="604"/>
      <c r="L4" s="637" t="s">
        <v>395</v>
      </c>
      <c r="M4" s="606" t="s">
        <v>698</v>
      </c>
      <c r="N4" s="604"/>
      <c r="O4" s="604" t="s">
        <v>429</v>
      </c>
      <c r="P4" s="623" t="s">
        <v>397</v>
      </c>
      <c r="Q4" s="624"/>
      <c r="R4" s="624"/>
      <c r="S4" s="625"/>
      <c r="T4" s="604" t="s">
        <v>395</v>
      </c>
      <c r="U4" s="623" t="s">
        <v>397</v>
      </c>
      <c r="V4" s="624"/>
      <c r="W4" s="624"/>
      <c r="X4" s="625"/>
      <c r="Y4" s="604" t="s">
        <v>395</v>
      </c>
      <c r="Z4" s="623" t="s">
        <v>397</v>
      </c>
      <c r="AA4" s="624"/>
      <c r="AB4" s="624"/>
      <c r="AC4" s="625"/>
      <c r="AD4" s="604" t="s">
        <v>395</v>
      </c>
      <c r="AE4" s="623" t="s">
        <v>397</v>
      </c>
      <c r="AF4" s="624"/>
      <c r="AG4" s="624"/>
      <c r="AH4" s="625"/>
      <c r="AI4" s="604" t="s">
        <v>395</v>
      </c>
      <c r="AJ4" s="623" t="s">
        <v>397</v>
      </c>
      <c r="AK4" s="624"/>
      <c r="AL4" s="624"/>
      <c r="AM4" s="625"/>
      <c r="AN4" s="604" t="s">
        <v>395</v>
      </c>
      <c r="AO4" s="623" t="s">
        <v>397</v>
      </c>
      <c r="AP4" s="624"/>
      <c r="AQ4" s="624"/>
      <c r="AR4" s="625"/>
      <c r="AS4" s="604" t="s">
        <v>395</v>
      </c>
      <c r="AT4" s="623" t="s">
        <v>397</v>
      </c>
      <c r="AU4" s="624"/>
      <c r="AV4" s="624"/>
      <c r="AW4" s="625"/>
      <c r="AX4" s="604" t="s">
        <v>395</v>
      </c>
      <c r="BA4" s="604" t="s">
        <v>395</v>
      </c>
    </row>
    <row r="5" spans="1:53" ht="14.25">
      <c r="A5" s="81"/>
      <c r="B5" s="604"/>
      <c r="C5" s="604"/>
      <c r="D5" s="604"/>
      <c r="E5" s="604" t="s">
        <v>700</v>
      </c>
      <c r="F5" s="604"/>
      <c r="G5" s="604"/>
      <c r="H5" s="638"/>
      <c r="I5" s="604" t="s">
        <v>700</v>
      </c>
      <c r="J5" s="604"/>
      <c r="K5" s="604"/>
      <c r="L5" s="638"/>
      <c r="M5" s="607"/>
      <c r="N5" s="604"/>
      <c r="O5" s="604"/>
      <c r="P5" s="623" t="s">
        <v>687</v>
      </c>
      <c r="Q5" s="624"/>
      <c r="R5" s="624"/>
      <c r="S5" s="625"/>
      <c r="T5" s="604"/>
      <c r="U5" s="623" t="s">
        <v>687</v>
      </c>
      <c r="V5" s="624"/>
      <c r="W5" s="624"/>
      <c r="X5" s="625"/>
      <c r="Y5" s="604"/>
      <c r="Z5" s="623" t="s">
        <v>687</v>
      </c>
      <c r="AA5" s="624"/>
      <c r="AB5" s="624"/>
      <c r="AC5" s="625"/>
      <c r="AD5" s="604"/>
      <c r="AE5" s="623" t="s">
        <v>687</v>
      </c>
      <c r="AF5" s="624"/>
      <c r="AG5" s="624"/>
      <c r="AH5" s="625"/>
      <c r="AI5" s="604"/>
      <c r="AJ5" s="623" t="s">
        <v>687</v>
      </c>
      <c r="AK5" s="624"/>
      <c r="AL5" s="624"/>
      <c r="AM5" s="625"/>
      <c r="AN5" s="604"/>
      <c r="AO5" s="623" t="s">
        <v>687</v>
      </c>
      <c r="AP5" s="624"/>
      <c r="AQ5" s="624"/>
      <c r="AR5" s="625"/>
      <c r="AS5" s="604"/>
      <c r="AT5" s="623" t="s">
        <v>687</v>
      </c>
      <c r="AU5" s="624"/>
      <c r="AV5" s="624"/>
      <c r="AW5" s="625"/>
      <c r="AX5" s="604"/>
      <c r="BA5" s="604"/>
    </row>
    <row r="6" spans="1:53" ht="14.25">
      <c r="A6" s="79"/>
      <c r="B6" s="604"/>
      <c r="C6" s="604"/>
      <c r="D6" s="604"/>
      <c r="E6" s="468" t="s">
        <v>701</v>
      </c>
      <c r="F6" s="468" t="s">
        <v>702</v>
      </c>
      <c r="G6" s="468" t="s">
        <v>703</v>
      </c>
      <c r="H6" s="639"/>
      <c r="I6" s="468" t="s">
        <v>701</v>
      </c>
      <c r="J6" s="468" t="s">
        <v>702</v>
      </c>
      <c r="K6" s="468" t="s">
        <v>703</v>
      </c>
      <c r="L6" s="639"/>
      <c r="M6" s="608"/>
      <c r="N6" s="604"/>
      <c r="O6" s="604"/>
      <c r="P6" s="468" t="s">
        <v>404</v>
      </c>
      <c r="Q6" s="468" t="s">
        <v>689</v>
      </c>
      <c r="R6" s="468" t="s">
        <v>690</v>
      </c>
      <c r="S6" s="468" t="s">
        <v>396</v>
      </c>
      <c r="T6" s="604"/>
      <c r="U6" s="468" t="s">
        <v>404</v>
      </c>
      <c r="V6" s="468" t="s">
        <v>689</v>
      </c>
      <c r="W6" s="468" t="s">
        <v>690</v>
      </c>
      <c r="X6" s="468" t="s">
        <v>396</v>
      </c>
      <c r="Y6" s="604"/>
      <c r="Z6" s="468" t="s">
        <v>404</v>
      </c>
      <c r="AA6" s="468" t="s">
        <v>689</v>
      </c>
      <c r="AB6" s="468" t="s">
        <v>690</v>
      </c>
      <c r="AC6" s="468" t="s">
        <v>396</v>
      </c>
      <c r="AD6" s="604"/>
      <c r="AE6" s="468" t="s">
        <v>404</v>
      </c>
      <c r="AF6" s="468" t="s">
        <v>689</v>
      </c>
      <c r="AG6" s="468" t="s">
        <v>690</v>
      </c>
      <c r="AH6" s="468" t="s">
        <v>396</v>
      </c>
      <c r="AI6" s="604"/>
      <c r="AJ6" s="468" t="s">
        <v>404</v>
      </c>
      <c r="AK6" s="468" t="s">
        <v>689</v>
      </c>
      <c r="AL6" s="468" t="s">
        <v>690</v>
      </c>
      <c r="AM6" s="468" t="s">
        <v>396</v>
      </c>
      <c r="AN6" s="604"/>
      <c r="AO6" s="468" t="s">
        <v>404</v>
      </c>
      <c r="AP6" s="468" t="s">
        <v>689</v>
      </c>
      <c r="AQ6" s="468" t="s">
        <v>690</v>
      </c>
      <c r="AR6" s="468" t="s">
        <v>396</v>
      </c>
      <c r="AS6" s="604"/>
      <c r="AT6" s="468" t="s">
        <v>404</v>
      </c>
      <c r="AU6" s="468" t="s">
        <v>689</v>
      </c>
      <c r="AV6" s="468" t="s">
        <v>690</v>
      </c>
      <c r="AW6" s="468" t="s">
        <v>396</v>
      </c>
      <c r="AX6" s="604"/>
      <c r="AZ6" s="520" t="s">
        <v>396</v>
      </c>
      <c r="BA6" s="604"/>
    </row>
    <row r="7" spans="1:53" ht="14.25">
      <c r="A7" s="81"/>
      <c r="B7" s="604" t="s">
        <v>136</v>
      </c>
      <c r="C7" s="469">
        <v>1</v>
      </c>
      <c r="D7" s="455" t="s">
        <v>377</v>
      </c>
      <c r="E7" s="472">
        <v>20</v>
      </c>
      <c r="F7" s="472">
        <v>2400</v>
      </c>
      <c r="G7" s="472">
        <v>120</v>
      </c>
      <c r="H7" s="692">
        <f>AVERAGE(G7:G21)</f>
        <v>148.73999999999998</v>
      </c>
      <c r="I7" s="513">
        <f t="shared" ref="I7:I20" si="0">IFERROR(AVERAGE(P7,U7,Z7,AE7,AJ7,AO7,AT7),"-")</f>
        <v>20</v>
      </c>
      <c r="J7" s="513">
        <f t="shared" ref="J7:J20" si="1">IFERROR(AVERAGE(Q7,V7,AA7,AF7,AK7,AP7,AU7),"-")</f>
        <v>2277.4089280617613</v>
      </c>
      <c r="K7" s="200">
        <f t="shared" ref="K7:K20" si="2">IFERROR(AVERAGE(R7,W7,AB7,AG7,AL7,AQ7,AV7),"-")</f>
        <v>113.87044640308807</v>
      </c>
      <c r="L7" s="618">
        <f>IFERROR(AVERAGE(K7:K21),"-")</f>
        <v>123.5962842751391</v>
      </c>
      <c r="M7" s="471">
        <f>RANK(K7, K$7:$K$21)</f>
        <v>5</v>
      </c>
      <c r="N7" s="604"/>
      <c r="O7" s="604"/>
      <c r="P7" s="521">
        <v>20</v>
      </c>
      <c r="Q7" s="182">
        <v>2263.788990825688</v>
      </c>
      <c r="R7" s="182">
        <v>113.1894495412844</v>
      </c>
      <c r="S7" s="522">
        <f t="shared" ref="S7:S21" si="3">RANK(R7, R$7:R$21)</f>
        <v>5</v>
      </c>
      <c r="T7" s="612">
        <f t="shared" ref="T7" si="4">AVERAGE(R7:R21)</f>
        <v>124.51891468739927</v>
      </c>
      <c r="U7" s="521">
        <v>20</v>
      </c>
      <c r="V7" s="182">
        <v>2250.8571428571422</v>
      </c>
      <c r="W7" s="182">
        <v>112.54285714285712</v>
      </c>
      <c r="X7" s="522">
        <f t="shared" ref="X7:X21" si="5">RANK(W7, W$7:W$21)</f>
        <v>5</v>
      </c>
      <c r="Y7" s="612">
        <f t="shared" ref="Y7" si="6">AVERAGE(W7:W21)</f>
        <v>123.39556950192794</v>
      </c>
      <c r="Z7" s="521">
        <v>20</v>
      </c>
      <c r="AA7" s="182">
        <v>2294.3030303030291</v>
      </c>
      <c r="AB7" s="182">
        <v>114.71515151515146</v>
      </c>
      <c r="AC7" s="522">
        <f t="shared" ref="AC7:AC21" si="7">RANK(AB7, AB$7:AB$21)</f>
        <v>5</v>
      </c>
      <c r="AD7" s="612">
        <f t="shared" ref="AD7" si="8">AVERAGE(AB7:AB21)</f>
        <v>122.97106588824015</v>
      </c>
      <c r="AE7" s="521">
        <v>20</v>
      </c>
      <c r="AF7" s="182">
        <v>2282.6746987951801</v>
      </c>
      <c r="AG7" s="182">
        <v>114.13373493975901</v>
      </c>
      <c r="AH7" s="522">
        <f t="shared" ref="AH7:AH21" si="9">RANK(AG7, AG$7:AG$21)</f>
        <v>5</v>
      </c>
      <c r="AI7" s="612">
        <f t="shared" ref="AI7" si="10">AVERAGE(AG7:AG21)</f>
        <v>123.42848039676076</v>
      </c>
      <c r="AJ7" s="521">
        <v>20</v>
      </c>
      <c r="AK7" s="182">
        <v>2287.5806451612907</v>
      </c>
      <c r="AL7" s="182">
        <v>114.37903225806454</v>
      </c>
      <c r="AM7" s="522">
        <f t="shared" ref="AM7:AM21" si="11">RANK(AL7, AL$7:AL$21)</f>
        <v>5</v>
      </c>
      <c r="AN7" s="612">
        <f t="shared" ref="AN7" si="12">AVERAGE(AL7:AL21)</f>
        <v>123.80788436624346</v>
      </c>
      <c r="AO7" s="521">
        <v>20</v>
      </c>
      <c r="AP7" s="182">
        <v>2288.2921348314608</v>
      </c>
      <c r="AQ7" s="182">
        <v>114.41460674157304</v>
      </c>
      <c r="AR7" s="522">
        <f t="shared" ref="AR7:AR21" si="13">RANK(AQ7, AQ$7:AQ$21)</f>
        <v>5</v>
      </c>
      <c r="AS7" s="612">
        <f t="shared" ref="AS7" si="14">AVERAGE(AQ7:AQ21)</f>
        <v>123.16307134633966</v>
      </c>
      <c r="AT7" s="521">
        <v>20</v>
      </c>
      <c r="AU7" s="182">
        <v>2274.3658536585376</v>
      </c>
      <c r="AV7" s="182">
        <v>113.71829268292689</v>
      </c>
      <c r="AW7" s="522">
        <f t="shared" ref="AW7:AW21" si="15">RANK(AV7, AV$7:AV$21)</f>
        <v>5</v>
      </c>
      <c r="AX7" s="612">
        <f t="shared" ref="AX7" si="16">AVERAGE(AV7:AV21)</f>
        <v>123.88900373906252</v>
      </c>
      <c r="AZ7" s="522" t="e">
        <f t="shared" ref="AZ7:AZ21" si="17">RANK(AY7, AY$7:AY$21)</f>
        <v>#N/A</v>
      </c>
      <c r="BA7" s="612" t="e">
        <f t="shared" ref="BA7" si="18">AVERAGE(AY7:AY21)</f>
        <v>#DIV/0!</v>
      </c>
    </row>
    <row r="8" spans="1:53" ht="15" customHeight="1">
      <c r="A8" s="81"/>
      <c r="B8" s="640"/>
      <c r="C8" s="469">
        <v>2</v>
      </c>
      <c r="D8" s="455" t="s">
        <v>378</v>
      </c>
      <c r="E8" s="472">
        <v>18</v>
      </c>
      <c r="F8" s="472">
        <v>2600</v>
      </c>
      <c r="G8" s="472">
        <v>166.7</v>
      </c>
      <c r="H8" s="693"/>
      <c r="I8" s="513">
        <f t="shared" si="0"/>
        <v>19.142857142857142</v>
      </c>
      <c r="J8" s="513">
        <f t="shared" si="1"/>
        <v>2524.3319952981192</v>
      </c>
      <c r="K8" s="200">
        <f t="shared" si="2"/>
        <v>131.91657834186304</v>
      </c>
      <c r="L8" s="619"/>
      <c r="M8" s="471">
        <f>RANK(K8, K$7:$K$21)</f>
        <v>1</v>
      </c>
      <c r="N8" s="604"/>
      <c r="O8" s="604"/>
      <c r="P8" s="521">
        <v>20</v>
      </c>
      <c r="Q8" s="182">
        <v>2508.3809523809518</v>
      </c>
      <c r="R8" s="182">
        <v>125.41904761904759</v>
      </c>
      <c r="S8" s="522">
        <f t="shared" si="3"/>
        <v>3</v>
      </c>
      <c r="T8" s="612"/>
      <c r="U8" s="521">
        <v>19</v>
      </c>
      <c r="V8" s="182">
        <v>2531.099999999999</v>
      </c>
      <c r="W8" s="182">
        <v>133.21578947368417</v>
      </c>
      <c r="X8" s="522">
        <f t="shared" si="5"/>
        <v>1</v>
      </c>
      <c r="Y8" s="612"/>
      <c r="Z8" s="521">
        <v>19</v>
      </c>
      <c r="AA8" s="182">
        <v>2525.8999999999987</v>
      </c>
      <c r="AB8" s="182">
        <v>132.94210526315783</v>
      </c>
      <c r="AC8" s="522">
        <f t="shared" si="7"/>
        <v>1</v>
      </c>
      <c r="AD8" s="612"/>
      <c r="AE8" s="521">
        <v>19</v>
      </c>
      <c r="AF8" s="182">
        <v>2487.5882352941189</v>
      </c>
      <c r="AG8" s="182">
        <v>130.92569659442731</v>
      </c>
      <c r="AH8" s="522">
        <f t="shared" si="9"/>
        <v>1</v>
      </c>
      <c r="AI8" s="612"/>
      <c r="AJ8" s="521">
        <v>19</v>
      </c>
      <c r="AK8" s="182">
        <v>2551.8235294117662</v>
      </c>
      <c r="AL8" s="182">
        <v>134.30650154798769</v>
      </c>
      <c r="AM8" s="522">
        <f t="shared" si="11"/>
        <v>1</v>
      </c>
      <c r="AN8" s="612"/>
      <c r="AO8" s="521">
        <v>19</v>
      </c>
      <c r="AP8" s="182">
        <v>2529.3125000000009</v>
      </c>
      <c r="AQ8" s="182">
        <v>133.12171052631584</v>
      </c>
      <c r="AR8" s="522">
        <f t="shared" si="13"/>
        <v>1</v>
      </c>
      <c r="AS8" s="612"/>
      <c r="AT8" s="521">
        <v>19</v>
      </c>
      <c r="AU8" s="182">
        <v>2536.2187499999995</v>
      </c>
      <c r="AV8" s="182">
        <v>133.48519736842104</v>
      </c>
      <c r="AW8" s="522">
        <f t="shared" si="15"/>
        <v>1</v>
      </c>
      <c r="AX8" s="612"/>
      <c r="AZ8" s="522" t="e">
        <f t="shared" si="17"/>
        <v>#N/A</v>
      </c>
      <c r="BA8" s="612"/>
    </row>
    <row r="9" spans="1:53" ht="14.25">
      <c r="A9" s="81"/>
      <c r="B9" s="640"/>
      <c r="C9" s="469">
        <v>3</v>
      </c>
      <c r="D9" s="455" t="s">
        <v>379</v>
      </c>
      <c r="E9" s="472">
        <v>18</v>
      </c>
      <c r="F9" s="472">
        <v>2600</v>
      </c>
      <c r="G9" s="472">
        <v>166.7</v>
      </c>
      <c r="H9" s="693"/>
      <c r="I9" s="513">
        <f t="shared" si="0"/>
        <v>19.142857142857142</v>
      </c>
      <c r="J9" s="513">
        <f t="shared" si="1"/>
        <v>2396.9452100840331</v>
      </c>
      <c r="K9" s="200">
        <f t="shared" si="2"/>
        <v>125.15174922600617</v>
      </c>
      <c r="L9" s="619"/>
      <c r="M9" s="471">
        <f>RANK(K9, K$7:$K$21)</f>
        <v>3</v>
      </c>
      <c r="N9" s="604"/>
      <c r="O9" s="604"/>
      <c r="P9" s="521">
        <v>20</v>
      </c>
      <c r="Q9" s="182">
        <v>2668.6764705882333</v>
      </c>
      <c r="R9" s="182">
        <v>133.43382352941165</v>
      </c>
      <c r="S9" s="522">
        <f t="shared" si="3"/>
        <v>1</v>
      </c>
      <c r="T9" s="612"/>
      <c r="U9" s="521">
        <v>19</v>
      </c>
      <c r="V9" s="182">
        <v>2357.9999999999991</v>
      </c>
      <c r="W9" s="182">
        <v>124.10526315789468</v>
      </c>
      <c r="X9" s="522">
        <f t="shared" si="5"/>
        <v>3</v>
      </c>
      <c r="Y9" s="612"/>
      <c r="Z9" s="521">
        <v>19</v>
      </c>
      <c r="AA9" s="182">
        <v>2332.3999999999987</v>
      </c>
      <c r="AB9" s="182">
        <v>122.75789473684203</v>
      </c>
      <c r="AC9" s="522">
        <f t="shared" si="7"/>
        <v>3</v>
      </c>
      <c r="AD9" s="612"/>
      <c r="AE9" s="521">
        <v>19</v>
      </c>
      <c r="AF9" s="182">
        <v>2388.4800000000009</v>
      </c>
      <c r="AG9" s="182">
        <v>125.70947368421058</v>
      </c>
      <c r="AH9" s="522">
        <f t="shared" si="9"/>
        <v>3</v>
      </c>
      <c r="AI9" s="612"/>
      <c r="AJ9" s="521">
        <v>19</v>
      </c>
      <c r="AK9" s="182">
        <v>2350.5599999999972</v>
      </c>
      <c r="AL9" s="182">
        <v>123.71368421052617</v>
      </c>
      <c r="AM9" s="522">
        <f t="shared" si="11"/>
        <v>3</v>
      </c>
      <c r="AN9" s="612"/>
      <c r="AO9" s="521">
        <v>19</v>
      </c>
      <c r="AP9" s="182">
        <v>2324.0000000000009</v>
      </c>
      <c r="AQ9" s="182">
        <v>122.31578947368426</v>
      </c>
      <c r="AR9" s="522">
        <f t="shared" si="13"/>
        <v>3</v>
      </c>
      <c r="AS9" s="612"/>
      <c r="AT9" s="521">
        <v>19</v>
      </c>
      <c r="AU9" s="182">
        <v>2356.5000000000027</v>
      </c>
      <c r="AV9" s="182">
        <v>124.02631578947383</v>
      </c>
      <c r="AW9" s="522">
        <f t="shared" si="15"/>
        <v>3</v>
      </c>
      <c r="AX9" s="612"/>
      <c r="AZ9" s="522" t="e">
        <f t="shared" si="17"/>
        <v>#N/A</v>
      </c>
      <c r="BA9" s="612"/>
    </row>
    <row r="10" spans="1:53" ht="14.25">
      <c r="A10" s="81"/>
      <c r="B10" s="640"/>
      <c r="C10" s="469">
        <v>4</v>
      </c>
      <c r="D10" s="455" t="s">
        <v>380</v>
      </c>
      <c r="E10" s="472">
        <v>19</v>
      </c>
      <c r="F10" s="472">
        <v>2600</v>
      </c>
      <c r="G10" s="472">
        <v>157.9</v>
      </c>
      <c r="H10" s="693"/>
      <c r="I10" s="513">
        <f t="shared" si="0"/>
        <v>20</v>
      </c>
      <c r="J10" s="513">
        <f t="shared" si="1"/>
        <v>2538.5933960580487</v>
      </c>
      <c r="K10" s="200">
        <f t="shared" si="2"/>
        <v>126.92966980290244</v>
      </c>
      <c r="L10" s="619"/>
      <c r="M10" s="471">
        <f>RANK(K10, K$7:$K$21)</f>
        <v>2</v>
      </c>
      <c r="N10" s="604"/>
      <c r="O10" s="604"/>
      <c r="P10" s="521">
        <v>20</v>
      </c>
      <c r="Q10" s="182">
        <v>2516.099999999999</v>
      </c>
      <c r="R10" s="182">
        <v>125.80499999999995</v>
      </c>
      <c r="S10" s="522">
        <f t="shared" si="3"/>
        <v>2</v>
      </c>
      <c r="T10" s="612"/>
      <c r="U10" s="521">
        <v>20</v>
      </c>
      <c r="V10" s="182">
        <v>2533.9243243243259</v>
      </c>
      <c r="W10" s="182">
        <v>126.6962162162163</v>
      </c>
      <c r="X10" s="522">
        <f t="shared" si="5"/>
        <v>2</v>
      </c>
      <c r="Y10" s="612"/>
      <c r="Z10" s="521">
        <v>20</v>
      </c>
      <c r="AA10" s="182">
        <v>2520.9247706422016</v>
      </c>
      <c r="AB10" s="182">
        <v>126.04623853211008</v>
      </c>
      <c r="AC10" s="522">
        <f t="shared" si="7"/>
        <v>2</v>
      </c>
      <c r="AD10" s="612"/>
      <c r="AE10" s="521">
        <v>20</v>
      </c>
      <c r="AF10" s="182">
        <v>2551.7123595505618</v>
      </c>
      <c r="AG10" s="182">
        <v>127.58561797752809</v>
      </c>
      <c r="AH10" s="522">
        <f t="shared" si="9"/>
        <v>2</v>
      </c>
      <c r="AI10" s="612"/>
      <c r="AJ10" s="521">
        <v>20</v>
      </c>
      <c r="AK10" s="182">
        <v>2572.520388349516</v>
      </c>
      <c r="AL10" s="182">
        <v>128.62601941747579</v>
      </c>
      <c r="AM10" s="522">
        <f t="shared" si="11"/>
        <v>2</v>
      </c>
      <c r="AN10" s="612"/>
      <c r="AO10" s="521">
        <v>20</v>
      </c>
      <c r="AP10" s="182">
        <v>2526.9278350515474</v>
      </c>
      <c r="AQ10" s="182">
        <v>126.34639175257738</v>
      </c>
      <c r="AR10" s="522">
        <f t="shared" si="13"/>
        <v>2</v>
      </c>
      <c r="AS10" s="612"/>
      <c r="AT10" s="521">
        <v>20</v>
      </c>
      <c r="AU10" s="182">
        <v>2548.0440944881889</v>
      </c>
      <c r="AV10" s="182">
        <v>127.40220472440944</v>
      </c>
      <c r="AW10" s="522">
        <f t="shared" si="15"/>
        <v>2</v>
      </c>
      <c r="AX10" s="612"/>
      <c r="AZ10" s="522" t="e">
        <f t="shared" si="17"/>
        <v>#N/A</v>
      </c>
      <c r="BA10" s="612"/>
    </row>
    <row r="11" spans="1:53" ht="14.25">
      <c r="A11" s="81"/>
      <c r="B11" s="640"/>
      <c r="C11" s="469">
        <v>5</v>
      </c>
      <c r="D11" s="455" t="s">
        <v>644</v>
      </c>
      <c r="E11" s="472">
        <v>17</v>
      </c>
      <c r="F11" s="472">
        <v>2250</v>
      </c>
      <c r="G11" s="472">
        <v>132.4</v>
      </c>
      <c r="H11" s="693"/>
      <c r="I11" s="513">
        <f t="shared" si="0"/>
        <v>18</v>
      </c>
      <c r="J11" s="513">
        <f t="shared" si="1"/>
        <v>2162.0335968330442</v>
      </c>
      <c r="K11" s="200">
        <f t="shared" si="2"/>
        <v>120.11297760183579</v>
      </c>
      <c r="L11" s="619"/>
      <c r="M11" s="471">
        <f>RANK(K11, K$7:$K$21)</f>
        <v>4</v>
      </c>
      <c r="N11" s="604"/>
      <c r="O11" s="604"/>
      <c r="P11" s="521">
        <v>18</v>
      </c>
      <c r="Q11" s="182">
        <v>2245.4505494505497</v>
      </c>
      <c r="R11" s="182">
        <v>124.74725274725276</v>
      </c>
      <c r="S11" s="522">
        <f t="shared" si="3"/>
        <v>4</v>
      </c>
      <c r="T11" s="612"/>
      <c r="U11" s="521">
        <v>18</v>
      </c>
      <c r="V11" s="182">
        <v>2167.5189873417721</v>
      </c>
      <c r="W11" s="182">
        <v>120.41772151898734</v>
      </c>
      <c r="X11" s="522">
        <f t="shared" si="5"/>
        <v>4</v>
      </c>
      <c r="Y11" s="612"/>
      <c r="Z11" s="521">
        <v>18</v>
      </c>
      <c r="AA11" s="182">
        <v>2131.090909090909</v>
      </c>
      <c r="AB11" s="182">
        <v>118.39393939393939</v>
      </c>
      <c r="AC11" s="522">
        <f t="shared" si="7"/>
        <v>4</v>
      </c>
      <c r="AD11" s="612"/>
      <c r="AE11" s="521">
        <v>18</v>
      </c>
      <c r="AF11" s="182">
        <v>2138.181818181818</v>
      </c>
      <c r="AG11" s="182">
        <v>118.78787878787878</v>
      </c>
      <c r="AH11" s="522">
        <f t="shared" si="9"/>
        <v>4</v>
      </c>
      <c r="AI11" s="612"/>
      <c r="AJ11" s="521">
        <v>18</v>
      </c>
      <c r="AK11" s="182">
        <v>2124.2553191489355</v>
      </c>
      <c r="AL11" s="182">
        <v>118.01418439716309</v>
      </c>
      <c r="AM11" s="522">
        <f t="shared" si="11"/>
        <v>4</v>
      </c>
      <c r="AN11" s="612"/>
      <c r="AO11" s="521">
        <v>18</v>
      </c>
      <c r="AP11" s="182">
        <v>2153.1034482758614</v>
      </c>
      <c r="AQ11" s="182">
        <v>119.61685823754786</v>
      </c>
      <c r="AR11" s="522">
        <f t="shared" si="13"/>
        <v>4</v>
      </c>
      <c r="AS11" s="612"/>
      <c r="AT11" s="521">
        <v>18</v>
      </c>
      <c r="AU11" s="182">
        <v>2174.6341463414637</v>
      </c>
      <c r="AV11" s="182">
        <v>120.81300813008131</v>
      </c>
      <c r="AW11" s="522">
        <f t="shared" si="15"/>
        <v>4</v>
      </c>
      <c r="AX11" s="612"/>
      <c r="AZ11" s="522" t="e">
        <f t="shared" si="17"/>
        <v>#N/A</v>
      </c>
      <c r="BA11" s="612"/>
    </row>
    <row r="12" spans="1:53" ht="14.25">
      <c r="A12" s="81"/>
      <c r="B12" s="640"/>
      <c r="C12" s="469">
        <v>6</v>
      </c>
      <c r="D12" s="455"/>
      <c r="E12" s="472"/>
      <c r="F12" s="472"/>
      <c r="G12" s="472"/>
      <c r="H12" s="693"/>
      <c r="I12" s="513" t="str">
        <f t="shared" si="0"/>
        <v>-</v>
      </c>
      <c r="J12" s="513" t="str">
        <f t="shared" si="1"/>
        <v>-</v>
      </c>
      <c r="K12" s="200" t="str">
        <f t="shared" si="2"/>
        <v>-</v>
      </c>
      <c r="L12" s="619"/>
      <c r="M12" s="471" t="e">
        <f>RANK(K12, K$7:$K$21)</f>
        <v>#VALUE!</v>
      </c>
      <c r="N12" s="604"/>
      <c r="O12" s="604"/>
      <c r="P12" s="521" t="s">
        <v>822</v>
      </c>
      <c r="Q12" s="182" t="s">
        <v>822</v>
      </c>
      <c r="R12" s="182" t="s">
        <v>822</v>
      </c>
      <c r="S12" s="522" t="e">
        <f t="shared" si="3"/>
        <v>#VALUE!</v>
      </c>
      <c r="T12" s="612"/>
      <c r="U12" s="521" t="s">
        <v>822</v>
      </c>
      <c r="V12" s="182" t="s">
        <v>822</v>
      </c>
      <c r="W12" s="182" t="s">
        <v>822</v>
      </c>
      <c r="X12" s="522" t="e">
        <f t="shared" si="5"/>
        <v>#VALUE!</v>
      </c>
      <c r="Y12" s="612"/>
      <c r="Z12" s="521" t="s">
        <v>822</v>
      </c>
      <c r="AA12" s="182" t="s">
        <v>822</v>
      </c>
      <c r="AB12" s="182" t="s">
        <v>822</v>
      </c>
      <c r="AC12" s="522" t="e">
        <f t="shared" si="7"/>
        <v>#VALUE!</v>
      </c>
      <c r="AD12" s="612"/>
      <c r="AE12" s="521" t="s">
        <v>822</v>
      </c>
      <c r="AF12" s="182" t="s">
        <v>822</v>
      </c>
      <c r="AG12" s="182" t="s">
        <v>822</v>
      </c>
      <c r="AH12" s="522" t="e">
        <f t="shared" si="9"/>
        <v>#VALUE!</v>
      </c>
      <c r="AI12" s="612"/>
      <c r="AJ12" s="521" t="s">
        <v>822</v>
      </c>
      <c r="AK12" s="182" t="s">
        <v>822</v>
      </c>
      <c r="AL12" s="182" t="s">
        <v>822</v>
      </c>
      <c r="AM12" s="522" t="e">
        <f t="shared" si="11"/>
        <v>#VALUE!</v>
      </c>
      <c r="AN12" s="612"/>
      <c r="AO12" s="521" t="s">
        <v>822</v>
      </c>
      <c r="AP12" s="182" t="s">
        <v>822</v>
      </c>
      <c r="AQ12" s="182" t="s">
        <v>822</v>
      </c>
      <c r="AR12" s="522" t="e">
        <f t="shared" si="13"/>
        <v>#VALUE!</v>
      </c>
      <c r="AS12" s="612"/>
      <c r="AT12" s="521" t="s">
        <v>822</v>
      </c>
      <c r="AU12" s="182" t="s">
        <v>822</v>
      </c>
      <c r="AV12" s="182" t="s">
        <v>822</v>
      </c>
      <c r="AW12" s="522" t="e">
        <f t="shared" si="15"/>
        <v>#VALUE!</v>
      </c>
      <c r="AX12" s="612"/>
      <c r="AZ12" s="522" t="e">
        <f t="shared" si="17"/>
        <v>#N/A</v>
      </c>
      <c r="BA12" s="612"/>
    </row>
    <row r="13" spans="1:53" ht="14.25">
      <c r="A13" s="81"/>
      <c r="B13" s="640"/>
      <c r="C13" s="469">
        <v>7</v>
      </c>
      <c r="D13" s="455"/>
      <c r="E13" s="472"/>
      <c r="F13" s="472"/>
      <c r="G13" s="472"/>
      <c r="H13" s="693"/>
      <c r="I13" s="513" t="str">
        <f t="shared" si="0"/>
        <v>-</v>
      </c>
      <c r="J13" s="513" t="str">
        <f t="shared" si="1"/>
        <v>-</v>
      </c>
      <c r="K13" s="200" t="str">
        <f t="shared" si="2"/>
        <v>-</v>
      </c>
      <c r="L13" s="619"/>
      <c r="M13" s="471" t="e">
        <f>RANK(K13, K$7:$K$21)</f>
        <v>#VALUE!</v>
      </c>
      <c r="N13" s="604"/>
      <c r="O13" s="604"/>
      <c r="P13" s="521" t="s">
        <v>822</v>
      </c>
      <c r="Q13" s="182" t="s">
        <v>822</v>
      </c>
      <c r="R13" s="182" t="s">
        <v>822</v>
      </c>
      <c r="S13" s="522" t="e">
        <f t="shared" si="3"/>
        <v>#VALUE!</v>
      </c>
      <c r="T13" s="612"/>
      <c r="U13" s="521" t="s">
        <v>822</v>
      </c>
      <c r="V13" s="182" t="s">
        <v>822</v>
      </c>
      <c r="W13" s="182" t="s">
        <v>822</v>
      </c>
      <c r="X13" s="522" t="e">
        <f t="shared" si="5"/>
        <v>#VALUE!</v>
      </c>
      <c r="Y13" s="612"/>
      <c r="Z13" s="521" t="s">
        <v>822</v>
      </c>
      <c r="AA13" s="182" t="s">
        <v>822</v>
      </c>
      <c r="AB13" s="182" t="s">
        <v>822</v>
      </c>
      <c r="AC13" s="522" t="e">
        <f t="shared" si="7"/>
        <v>#VALUE!</v>
      </c>
      <c r="AD13" s="612"/>
      <c r="AE13" s="521" t="s">
        <v>822</v>
      </c>
      <c r="AF13" s="182" t="s">
        <v>822</v>
      </c>
      <c r="AG13" s="182" t="s">
        <v>822</v>
      </c>
      <c r="AH13" s="522" t="e">
        <f t="shared" si="9"/>
        <v>#VALUE!</v>
      </c>
      <c r="AI13" s="612"/>
      <c r="AJ13" s="521" t="s">
        <v>822</v>
      </c>
      <c r="AK13" s="182" t="s">
        <v>822</v>
      </c>
      <c r="AL13" s="182" t="s">
        <v>822</v>
      </c>
      <c r="AM13" s="522" t="e">
        <f t="shared" si="11"/>
        <v>#VALUE!</v>
      </c>
      <c r="AN13" s="612"/>
      <c r="AO13" s="521" t="s">
        <v>822</v>
      </c>
      <c r="AP13" s="182" t="s">
        <v>822</v>
      </c>
      <c r="AQ13" s="182" t="s">
        <v>822</v>
      </c>
      <c r="AR13" s="522" t="e">
        <f t="shared" si="13"/>
        <v>#VALUE!</v>
      </c>
      <c r="AS13" s="612"/>
      <c r="AT13" s="521" t="s">
        <v>822</v>
      </c>
      <c r="AU13" s="182" t="s">
        <v>822</v>
      </c>
      <c r="AV13" s="182" t="s">
        <v>822</v>
      </c>
      <c r="AW13" s="522" t="e">
        <f t="shared" si="15"/>
        <v>#VALUE!</v>
      </c>
      <c r="AX13" s="612"/>
      <c r="AZ13" s="522" t="e">
        <f t="shared" si="17"/>
        <v>#N/A</v>
      </c>
      <c r="BA13" s="612"/>
    </row>
    <row r="14" spans="1:53" ht="14.25">
      <c r="A14" s="81"/>
      <c r="B14" s="640"/>
      <c r="C14" s="469">
        <v>8</v>
      </c>
      <c r="D14" s="455"/>
      <c r="E14" s="472"/>
      <c r="F14" s="472"/>
      <c r="G14" s="472"/>
      <c r="H14" s="693"/>
      <c r="I14" s="513" t="str">
        <f t="shared" si="0"/>
        <v>-</v>
      </c>
      <c r="J14" s="513" t="str">
        <f t="shared" si="1"/>
        <v>-</v>
      </c>
      <c r="K14" s="200" t="str">
        <f t="shared" si="2"/>
        <v>-</v>
      </c>
      <c r="L14" s="619"/>
      <c r="M14" s="471" t="e">
        <f>RANK(K14, K$7:$K$21)</f>
        <v>#VALUE!</v>
      </c>
      <c r="N14" s="604"/>
      <c r="O14" s="604"/>
      <c r="P14" s="521" t="s">
        <v>822</v>
      </c>
      <c r="Q14" s="182" t="s">
        <v>822</v>
      </c>
      <c r="R14" s="182" t="s">
        <v>822</v>
      </c>
      <c r="S14" s="522" t="e">
        <f t="shared" si="3"/>
        <v>#VALUE!</v>
      </c>
      <c r="T14" s="612"/>
      <c r="U14" s="521" t="s">
        <v>822</v>
      </c>
      <c r="V14" s="182" t="s">
        <v>822</v>
      </c>
      <c r="W14" s="182" t="s">
        <v>822</v>
      </c>
      <c r="X14" s="522" t="e">
        <f t="shared" si="5"/>
        <v>#VALUE!</v>
      </c>
      <c r="Y14" s="612"/>
      <c r="Z14" s="521" t="s">
        <v>822</v>
      </c>
      <c r="AA14" s="182" t="s">
        <v>822</v>
      </c>
      <c r="AB14" s="182" t="s">
        <v>822</v>
      </c>
      <c r="AC14" s="522" t="e">
        <f t="shared" si="7"/>
        <v>#VALUE!</v>
      </c>
      <c r="AD14" s="612"/>
      <c r="AE14" s="521" t="s">
        <v>822</v>
      </c>
      <c r="AF14" s="182" t="s">
        <v>822</v>
      </c>
      <c r="AG14" s="182" t="s">
        <v>822</v>
      </c>
      <c r="AH14" s="522" t="e">
        <f t="shared" si="9"/>
        <v>#VALUE!</v>
      </c>
      <c r="AI14" s="612"/>
      <c r="AJ14" s="521" t="s">
        <v>822</v>
      </c>
      <c r="AK14" s="182" t="s">
        <v>822</v>
      </c>
      <c r="AL14" s="182" t="s">
        <v>822</v>
      </c>
      <c r="AM14" s="522" t="e">
        <f t="shared" si="11"/>
        <v>#VALUE!</v>
      </c>
      <c r="AN14" s="612"/>
      <c r="AO14" s="521" t="s">
        <v>822</v>
      </c>
      <c r="AP14" s="182" t="s">
        <v>822</v>
      </c>
      <c r="AQ14" s="182" t="s">
        <v>822</v>
      </c>
      <c r="AR14" s="522" t="e">
        <f t="shared" si="13"/>
        <v>#VALUE!</v>
      </c>
      <c r="AS14" s="612"/>
      <c r="AT14" s="521" t="s">
        <v>822</v>
      </c>
      <c r="AU14" s="182" t="s">
        <v>822</v>
      </c>
      <c r="AV14" s="182" t="s">
        <v>822</v>
      </c>
      <c r="AW14" s="522" t="e">
        <f t="shared" si="15"/>
        <v>#VALUE!</v>
      </c>
      <c r="AX14" s="612"/>
      <c r="AZ14" s="522" t="e">
        <f t="shared" si="17"/>
        <v>#N/A</v>
      </c>
      <c r="BA14" s="612"/>
    </row>
    <row r="15" spans="1:53" ht="14.25">
      <c r="A15" s="81"/>
      <c r="B15" s="640"/>
      <c r="C15" s="469">
        <v>9</v>
      </c>
      <c r="D15" s="455"/>
      <c r="E15" s="472"/>
      <c r="F15" s="472"/>
      <c r="G15" s="472"/>
      <c r="H15" s="693"/>
      <c r="I15" s="513" t="str">
        <f t="shared" si="0"/>
        <v>-</v>
      </c>
      <c r="J15" s="513" t="str">
        <f t="shared" si="1"/>
        <v>-</v>
      </c>
      <c r="K15" s="200" t="str">
        <f t="shared" si="2"/>
        <v>-</v>
      </c>
      <c r="L15" s="619"/>
      <c r="M15" s="471" t="e">
        <f>RANK(K15, K$7:$K$21)</f>
        <v>#VALUE!</v>
      </c>
      <c r="N15" s="604"/>
      <c r="O15" s="604"/>
      <c r="P15" s="521" t="s">
        <v>822</v>
      </c>
      <c r="Q15" s="182" t="s">
        <v>822</v>
      </c>
      <c r="R15" s="182" t="s">
        <v>822</v>
      </c>
      <c r="S15" s="522" t="e">
        <f t="shared" si="3"/>
        <v>#VALUE!</v>
      </c>
      <c r="T15" s="612"/>
      <c r="U15" s="521" t="s">
        <v>822</v>
      </c>
      <c r="V15" s="182" t="s">
        <v>822</v>
      </c>
      <c r="W15" s="182" t="s">
        <v>822</v>
      </c>
      <c r="X15" s="522" t="e">
        <f t="shared" si="5"/>
        <v>#VALUE!</v>
      </c>
      <c r="Y15" s="612"/>
      <c r="Z15" s="521" t="s">
        <v>822</v>
      </c>
      <c r="AA15" s="182" t="s">
        <v>822</v>
      </c>
      <c r="AB15" s="182" t="s">
        <v>822</v>
      </c>
      <c r="AC15" s="522" t="e">
        <f t="shared" si="7"/>
        <v>#VALUE!</v>
      </c>
      <c r="AD15" s="612"/>
      <c r="AE15" s="521" t="s">
        <v>822</v>
      </c>
      <c r="AF15" s="182" t="s">
        <v>822</v>
      </c>
      <c r="AG15" s="182" t="s">
        <v>822</v>
      </c>
      <c r="AH15" s="522" t="e">
        <f t="shared" si="9"/>
        <v>#VALUE!</v>
      </c>
      <c r="AI15" s="612"/>
      <c r="AJ15" s="521" t="s">
        <v>822</v>
      </c>
      <c r="AK15" s="182" t="s">
        <v>822</v>
      </c>
      <c r="AL15" s="182" t="s">
        <v>822</v>
      </c>
      <c r="AM15" s="522" t="e">
        <f t="shared" si="11"/>
        <v>#VALUE!</v>
      </c>
      <c r="AN15" s="612"/>
      <c r="AO15" s="521" t="s">
        <v>822</v>
      </c>
      <c r="AP15" s="182" t="s">
        <v>822</v>
      </c>
      <c r="AQ15" s="182" t="s">
        <v>822</v>
      </c>
      <c r="AR15" s="522" t="e">
        <f t="shared" si="13"/>
        <v>#VALUE!</v>
      </c>
      <c r="AS15" s="612"/>
      <c r="AT15" s="521" t="s">
        <v>822</v>
      </c>
      <c r="AU15" s="182" t="s">
        <v>822</v>
      </c>
      <c r="AV15" s="182" t="s">
        <v>822</v>
      </c>
      <c r="AW15" s="522" t="e">
        <f t="shared" si="15"/>
        <v>#VALUE!</v>
      </c>
      <c r="AX15" s="612"/>
      <c r="AZ15" s="522" t="e">
        <f t="shared" si="17"/>
        <v>#N/A</v>
      </c>
      <c r="BA15" s="612"/>
    </row>
    <row r="16" spans="1:53" ht="14.25">
      <c r="A16" s="81"/>
      <c r="B16" s="640"/>
      <c r="C16" s="469">
        <v>10</v>
      </c>
      <c r="D16" s="455"/>
      <c r="E16" s="472"/>
      <c r="F16" s="472"/>
      <c r="G16" s="472"/>
      <c r="H16" s="693"/>
      <c r="I16" s="513" t="str">
        <f t="shared" si="0"/>
        <v>-</v>
      </c>
      <c r="J16" s="513" t="str">
        <f t="shared" si="1"/>
        <v>-</v>
      </c>
      <c r="K16" s="200" t="str">
        <f t="shared" si="2"/>
        <v>-</v>
      </c>
      <c r="L16" s="619"/>
      <c r="M16" s="471" t="e">
        <f>RANK(K16, K$7:$K$21)</f>
        <v>#VALUE!</v>
      </c>
      <c r="N16" s="604"/>
      <c r="O16" s="604"/>
      <c r="P16" s="521" t="s">
        <v>822</v>
      </c>
      <c r="Q16" s="182" t="s">
        <v>822</v>
      </c>
      <c r="R16" s="182" t="s">
        <v>822</v>
      </c>
      <c r="S16" s="522" t="e">
        <f t="shared" si="3"/>
        <v>#VALUE!</v>
      </c>
      <c r="T16" s="612"/>
      <c r="U16" s="521" t="s">
        <v>822</v>
      </c>
      <c r="V16" s="182" t="s">
        <v>822</v>
      </c>
      <c r="W16" s="182" t="s">
        <v>822</v>
      </c>
      <c r="X16" s="522" t="e">
        <f t="shared" si="5"/>
        <v>#VALUE!</v>
      </c>
      <c r="Y16" s="612"/>
      <c r="Z16" s="521" t="s">
        <v>822</v>
      </c>
      <c r="AA16" s="182" t="s">
        <v>822</v>
      </c>
      <c r="AB16" s="182" t="s">
        <v>822</v>
      </c>
      <c r="AC16" s="522" t="e">
        <f t="shared" si="7"/>
        <v>#VALUE!</v>
      </c>
      <c r="AD16" s="612"/>
      <c r="AE16" s="521" t="s">
        <v>822</v>
      </c>
      <c r="AF16" s="182" t="s">
        <v>822</v>
      </c>
      <c r="AG16" s="182" t="s">
        <v>822</v>
      </c>
      <c r="AH16" s="522" t="e">
        <f t="shared" si="9"/>
        <v>#VALUE!</v>
      </c>
      <c r="AI16" s="612"/>
      <c r="AJ16" s="521" t="s">
        <v>822</v>
      </c>
      <c r="AK16" s="182" t="s">
        <v>822</v>
      </c>
      <c r="AL16" s="182" t="s">
        <v>822</v>
      </c>
      <c r="AM16" s="522" t="e">
        <f t="shared" si="11"/>
        <v>#VALUE!</v>
      </c>
      <c r="AN16" s="612"/>
      <c r="AO16" s="521" t="s">
        <v>822</v>
      </c>
      <c r="AP16" s="182" t="s">
        <v>822</v>
      </c>
      <c r="AQ16" s="182" t="s">
        <v>822</v>
      </c>
      <c r="AR16" s="522" t="e">
        <f t="shared" si="13"/>
        <v>#VALUE!</v>
      </c>
      <c r="AS16" s="612"/>
      <c r="AT16" s="521" t="s">
        <v>822</v>
      </c>
      <c r="AU16" s="182" t="s">
        <v>822</v>
      </c>
      <c r="AV16" s="182" t="s">
        <v>822</v>
      </c>
      <c r="AW16" s="522" t="e">
        <f t="shared" si="15"/>
        <v>#VALUE!</v>
      </c>
      <c r="AX16" s="612"/>
      <c r="AZ16" s="522" t="e">
        <f t="shared" si="17"/>
        <v>#N/A</v>
      </c>
      <c r="BA16" s="612"/>
    </row>
    <row r="17" spans="2:53">
      <c r="B17" s="640"/>
      <c r="C17" s="469">
        <v>11</v>
      </c>
      <c r="D17" s="455"/>
      <c r="E17" s="472"/>
      <c r="F17" s="472"/>
      <c r="G17" s="472"/>
      <c r="H17" s="693"/>
      <c r="I17" s="513" t="str">
        <f t="shared" si="0"/>
        <v>-</v>
      </c>
      <c r="J17" s="513" t="str">
        <f t="shared" si="1"/>
        <v>-</v>
      </c>
      <c r="K17" s="200" t="str">
        <f t="shared" si="2"/>
        <v>-</v>
      </c>
      <c r="L17" s="619"/>
      <c r="M17" s="471" t="e">
        <f>RANK(K17, K$7:$K$21)</f>
        <v>#VALUE!</v>
      </c>
      <c r="N17" s="604"/>
      <c r="O17" s="604"/>
      <c r="P17" s="521" t="s">
        <v>822</v>
      </c>
      <c r="Q17" s="182" t="s">
        <v>822</v>
      </c>
      <c r="R17" s="182" t="s">
        <v>822</v>
      </c>
      <c r="S17" s="522" t="e">
        <f t="shared" si="3"/>
        <v>#VALUE!</v>
      </c>
      <c r="T17" s="612"/>
      <c r="U17" s="521" t="s">
        <v>822</v>
      </c>
      <c r="V17" s="182" t="s">
        <v>822</v>
      </c>
      <c r="W17" s="182" t="s">
        <v>822</v>
      </c>
      <c r="X17" s="522" t="e">
        <f t="shared" si="5"/>
        <v>#VALUE!</v>
      </c>
      <c r="Y17" s="612"/>
      <c r="Z17" s="521" t="s">
        <v>822</v>
      </c>
      <c r="AA17" s="182" t="s">
        <v>822</v>
      </c>
      <c r="AB17" s="182" t="s">
        <v>822</v>
      </c>
      <c r="AC17" s="522" t="e">
        <f t="shared" si="7"/>
        <v>#VALUE!</v>
      </c>
      <c r="AD17" s="612"/>
      <c r="AE17" s="521" t="s">
        <v>822</v>
      </c>
      <c r="AF17" s="182" t="s">
        <v>822</v>
      </c>
      <c r="AG17" s="182" t="s">
        <v>822</v>
      </c>
      <c r="AH17" s="522" t="e">
        <f t="shared" si="9"/>
        <v>#VALUE!</v>
      </c>
      <c r="AI17" s="612"/>
      <c r="AJ17" s="521" t="s">
        <v>822</v>
      </c>
      <c r="AK17" s="182" t="s">
        <v>822</v>
      </c>
      <c r="AL17" s="182" t="s">
        <v>822</v>
      </c>
      <c r="AM17" s="522" t="e">
        <f t="shared" si="11"/>
        <v>#VALUE!</v>
      </c>
      <c r="AN17" s="612"/>
      <c r="AO17" s="521" t="s">
        <v>822</v>
      </c>
      <c r="AP17" s="182" t="s">
        <v>822</v>
      </c>
      <c r="AQ17" s="182" t="s">
        <v>822</v>
      </c>
      <c r="AR17" s="522" t="e">
        <f t="shared" si="13"/>
        <v>#VALUE!</v>
      </c>
      <c r="AS17" s="612"/>
      <c r="AT17" s="521" t="s">
        <v>822</v>
      </c>
      <c r="AU17" s="182" t="s">
        <v>822</v>
      </c>
      <c r="AV17" s="182" t="s">
        <v>822</v>
      </c>
      <c r="AW17" s="522" t="e">
        <f t="shared" si="15"/>
        <v>#VALUE!</v>
      </c>
      <c r="AX17" s="612"/>
      <c r="AZ17" s="522" t="e">
        <f t="shared" si="17"/>
        <v>#N/A</v>
      </c>
      <c r="BA17" s="612"/>
    </row>
    <row r="18" spans="2:53">
      <c r="B18" s="640"/>
      <c r="C18" s="469">
        <v>12</v>
      </c>
      <c r="D18" s="455"/>
      <c r="E18" s="472"/>
      <c r="F18" s="472"/>
      <c r="G18" s="472"/>
      <c r="H18" s="693"/>
      <c r="I18" s="513" t="str">
        <f t="shared" si="0"/>
        <v>-</v>
      </c>
      <c r="J18" s="513" t="str">
        <f t="shared" si="1"/>
        <v>-</v>
      </c>
      <c r="K18" s="200" t="str">
        <f t="shared" si="2"/>
        <v>-</v>
      </c>
      <c r="L18" s="619"/>
      <c r="M18" s="471" t="e">
        <f>RANK(K18, K$7:$K$21)</f>
        <v>#VALUE!</v>
      </c>
      <c r="N18" s="604"/>
      <c r="O18" s="604"/>
      <c r="P18" s="521" t="s">
        <v>822</v>
      </c>
      <c r="Q18" s="182" t="s">
        <v>822</v>
      </c>
      <c r="R18" s="182" t="s">
        <v>822</v>
      </c>
      <c r="S18" s="522" t="e">
        <f t="shared" si="3"/>
        <v>#VALUE!</v>
      </c>
      <c r="T18" s="612"/>
      <c r="U18" s="521" t="s">
        <v>822</v>
      </c>
      <c r="V18" s="182" t="s">
        <v>822</v>
      </c>
      <c r="W18" s="182" t="s">
        <v>822</v>
      </c>
      <c r="X18" s="522" t="e">
        <f t="shared" si="5"/>
        <v>#VALUE!</v>
      </c>
      <c r="Y18" s="612"/>
      <c r="Z18" s="521" t="s">
        <v>822</v>
      </c>
      <c r="AA18" s="182" t="s">
        <v>822</v>
      </c>
      <c r="AB18" s="182" t="s">
        <v>822</v>
      </c>
      <c r="AC18" s="522" t="e">
        <f t="shared" si="7"/>
        <v>#VALUE!</v>
      </c>
      <c r="AD18" s="612"/>
      <c r="AE18" s="521" t="s">
        <v>822</v>
      </c>
      <c r="AF18" s="182" t="s">
        <v>822</v>
      </c>
      <c r="AG18" s="182" t="s">
        <v>822</v>
      </c>
      <c r="AH18" s="522" t="e">
        <f t="shared" si="9"/>
        <v>#VALUE!</v>
      </c>
      <c r="AI18" s="612"/>
      <c r="AJ18" s="521" t="s">
        <v>822</v>
      </c>
      <c r="AK18" s="182" t="s">
        <v>822</v>
      </c>
      <c r="AL18" s="182" t="s">
        <v>822</v>
      </c>
      <c r="AM18" s="522" t="e">
        <f t="shared" si="11"/>
        <v>#VALUE!</v>
      </c>
      <c r="AN18" s="612"/>
      <c r="AO18" s="521" t="s">
        <v>822</v>
      </c>
      <c r="AP18" s="182" t="s">
        <v>822</v>
      </c>
      <c r="AQ18" s="182" t="s">
        <v>822</v>
      </c>
      <c r="AR18" s="522" t="e">
        <f t="shared" si="13"/>
        <v>#VALUE!</v>
      </c>
      <c r="AS18" s="612"/>
      <c r="AT18" s="521" t="s">
        <v>822</v>
      </c>
      <c r="AU18" s="182" t="s">
        <v>822</v>
      </c>
      <c r="AV18" s="182" t="s">
        <v>822</v>
      </c>
      <c r="AW18" s="522" t="e">
        <f t="shared" si="15"/>
        <v>#VALUE!</v>
      </c>
      <c r="AX18" s="612"/>
      <c r="AZ18" s="522" t="e">
        <f t="shared" si="17"/>
        <v>#N/A</v>
      </c>
      <c r="BA18" s="612"/>
    </row>
    <row r="19" spans="2:53">
      <c r="B19" s="640"/>
      <c r="C19" s="469">
        <v>13</v>
      </c>
      <c r="D19" s="455"/>
      <c r="E19" s="472"/>
      <c r="F19" s="472"/>
      <c r="G19" s="472"/>
      <c r="H19" s="693"/>
      <c r="I19" s="513" t="str">
        <f t="shared" si="0"/>
        <v>-</v>
      </c>
      <c r="J19" s="513" t="str">
        <f t="shared" si="1"/>
        <v>-</v>
      </c>
      <c r="K19" s="200" t="str">
        <f t="shared" si="2"/>
        <v>-</v>
      </c>
      <c r="L19" s="619"/>
      <c r="M19" s="471" t="e">
        <f>RANK(K19, K$7:$K$21)</f>
        <v>#VALUE!</v>
      </c>
      <c r="N19" s="604"/>
      <c r="O19" s="604"/>
      <c r="P19" s="521" t="s">
        <v>822</v>
      </c>
      <c r="Q19" s="182" t="s">
        <v>822</v>
      </c>
      <c r="R19" s="182" t="s">
        <v>822</v>
      </c>
      <c r="S19" s="522" t="e">
        <f t="shared" si="3"/>
        <v>#VALUE!</v>
      </c>
      <c r="T19" s="612"/>
      <c r="U19" s="521" t="s">
        <v>822</v>
      </c>
      <c r="V19" s="182" t="s">
        <v>822</v>
      </c>
      <c r="W19" s="182" t="s">
        <v>822</v>
      </c>
      <c r="X19" s="522" t="e">
        <f t="shared" si="5"/>
        <v>#VALUE!</v>
      </c>
      <c r="Y19" s="612"/>
      <c r="Z19" s="521" t="s">
        <v>822</v>
      </c>
      <c r="AA19" s="182" t="s">
        <v>822</v>
      </c>
      <c r="AB19" s="182" t="s">
        <v>822</v>
      </c>
      <c r="AC19" s="522" t="e">
        <f t="shared" si="7"/>
        <v>#VALUE!</v>
      </c>
      <c r="AD19" s="612"/>
      <c r="AE19" s="521" t="s">
        <v>822</v>
      </c>
      <c r="AF19" s="182" t="s">
        <v>822</v>
      </c>
      <c r="AG19" s="182" t="s">
        <v>822</v>
      </c>
      <c r="AH19" s="522" t="e">
        <f t="shared" si="9"/>
        <v>#VALUE!</v>
      </c>
      <c r="AI19" s="612"/>
      <c r="AJ19" s="521" t="s">
        <v>822</v>
      </c>
      <c r="AK19" s="182" t="s">
        <v>822</v>
      </c>
      <c r="AL19" s="182" t="s">
        <v>822</v>
      </c>
      <c r="AM19" s="522" t="e">
        <f t="shared" si="11"/>
        <v>#VALUE!</v>
      </c>
      <c r="AN19" s="612"/>
      <c r="AO19" s="521" t="s">
        <v>822</v>
      </c>
      <c r="AP19" s="182" t="s">
        <v>822</v>
      </c>
      <c r="AQ19" s="182" t="s">
        <v>822</v>
      </c>
      <c r="AR19" s="522" t="e">
        <f t="shared" si="13"/>
        <v>#VALUE!</v>
      </c>
      <c r="AS19" s="612"/>
      <c r="AT19" s="521" t="s">
        <v>822</v>
      </c>
      <c r="AU19" s="182" t="s">
        <v>822</v>
      </c>
      <c r="AV19" s="182" t="s">
        <v>822</v>
      </c>
      <c r="AW19" s="522" t="e">
        <f t="shared" si="15"/>
        <v>#VALUE!</v>
      </c>
      <c r="AX19" s="612"/>
      <c r="AZ19" s="522" t="e">
        <f t="shared" si="17"/>
        <v>#N/A</v>
      </c>
      <c r="BA19" s="612"/>
    </row>
    <row r="20" spans="2:53">
      <c r="B20" s="640"/>
      <c r="C20" s="469">
        <v>14</v>
      </c>
      <c r="D20" s="455"/>
      <c r="E20" s="472"/>
      <c r="F20" s="472"/>
      <c r="G20" s="472"/>
      <c r="H20" s="693"/>
      <c r="I20" s="513" t="str">
        <f t="shared" si="0"/>
        <v>-</v>
      </c>
      <c r="J20" s="513" t="str">
        <f t="shared" si="1"/>
        <v>-</v>
      </c>
      <c r="K20" s="200" t="str">
        <f t="shared" si="2"/>
        <v>-</v>
      </c>
      <c r="L20" s="619"/>
      <c r="M20" s="471" t="e">
        <f>RANK(K20, K$7:$K$21)</f>
        <v>#VALUE!</v>
      </c>
      <c r="N20" s="604"/>
      <c r="O20" s="604"/>
      <c r="P20" s="521" t="s">
        <v>822</v>
      </c>
      <c r="Q20" s="182" t="s">
        <v>822</v>
      </c>
      <c r="R20" s="182" t="s">
        <v>822</v>
      </c>
      <c r="S20" s="522" t="e">
        <f t="shared" si="3"/>
        <v>#VALUE!</v>
      </c>
      <c r="T20" s="612"/>
      <c r="U20" s="521" t="s">
        <v>822</v>
      </c>
      <c r="V20" s="182" t="s">
        <v>822</v>
      </c>
      <c r="W20" s="182" t="s">
        <v>822</v>
      </c>
      <c r="X20" s="522" t="e">
        <f t="shared" si="5"/>
        <v>#VALUE!</v>
      </c>
      <c r="Y20" s="612"/>
      <c r="Z20" s="521" t="s">
        <v>822</v>
      </c>
      <c r="AA20" s="182" t="s">
        <v>822</v>
      </c>
      <c r="AB20" s="182" t="s">
        <v>822</v>
      </c>
      <c r="AC20" s="522" t="e">
        <f t="shared" si="7"/>
        <v>#VALUE!</v>
      </c>
      <c r="AD20" s="612"/>
      <c r="AE20" s="521" t="s">
        <v>822</v>
      </c>
      <c r="AF20" s="182" t="s">
        <v>822</v>
      </c>
      <c r="AG20" s="182" t="s">
        <v>822</v>
      </c>
      <c r="AH20" s="522" t="e">
        <f t="shared" si="9"/>
        <v>#VALUE!</v>
      </c>
      <c r="AI20" s="612"/>
      <c r="AJ20" s="521" t="s">
        <v>822</v>
      </c>
      <c r="AK20" s="182" t="s">
        <v>822</v>
      </c>
      <c r="AL20" s="182" t="s">
        <v>822</v>
      </c>
      <c r="AM20" s="522" t="e">
        <f t="shared" si="11"/>
        <v>#VALUE!</v>
      </c>
      <c r="AN20" s="612"/>
      <c r="AO20" s="521" t="s">
        <v>822</v>
      </c>
      <c r="AP20" s="182" t="s">
        <v>822</v>
      </c>
      <c r="AQ20" s="182" t="s">
        <v>822</v>
      </c>
      <c r="AR20" s="522" t="e">
        <f t="shared" si="13"/>
        <v>#VALUE!</v>
      </c>
      <c r="AS20" s="612"/>
      <c r="AT20" s="521" t="s">
        <v>822</v>
      </c>
      <c r="AU20" s="182" t="s">
        <v>822</v>
      </c>
      <c r="AV20" s="182" t="s">
        <v>822</v>
      </c>
      <c r="AW20" s="522" t="e">
        <f t="shared" si="15"/>
        <v>#VALUE!</v>
      </c>
      <c r="AX20" s="612"/>
      <c r="AZ20" s="522" t="e">
        <f t="shared" si="17"/>
        <v>#N/A</v>
      </c>
      <c r="BA20" s="612"/>
    </row>
    <row r="21" spans="2:53">
      <c r="B21" s="640"/>
      <c r="C21" s="469">
        <v>15</v>
      </c>
      <c r="D21" s="455"/>
      <c r="E21" s="472"/>
      <c r="F21" s="472"/>
      <c r="G21" s="472"/>
      <c r="H21" s="694"/>
      <c r="I21" s="469"/>
      <c r="J21" s="469"/>
      <c r="K21" s="469"/>
      <c r="L21" s="679"/>
      <c r="M21" s="471" t="e">
        <f>RANK(K21, K$7:$K$21)</f>
        <v>#N/A</v>
      </c>
      <c r="N21" s="604"/>
      <c r="O21" s="604"/>
      <c r="P21" s="521" t="s">
        <v>822</v>
      </c>
      <c r="Q21" s="182" t="s">
        <v>822</v>
      </c>
      <c r="R21" s="182" t="s">
        <v>822</v>
      </c>
      <c r="S21" s="522" t="e">
        <f t="shared" si="3"/>
        <v>#VALUE!</v>
      </c>
      <c r="T21" s="612"/>
      <c r="U21" s="521" t="s">
        <v>822</v>
      </c>
      <c r="V21" s="182" t="s">
        <v>822</v>
      </c>
      <c r="W21" s="182" t="s">
        <v>822</v>
      </c>
      <c r="X21" s="522" t="e">
        <f t="shared" si="5"/>
        <v>#VALUE!</v>
      </c>
      <c r="Y21" s="612"/>
      <c r="Z21" s="521" t="s">
        <v>822</v>
      </c>
      <c r="AA21" s="182" t="s">
        <v>822</v>
      </c>
      <c r="AB21" s="182" t="s">
        <v>822</v>
      </c>
      <c r="AC21" s="522" t="e">
        <f t="shared" si="7"/>
        <v>#VALUE!</v>
      </c>
      <c r="AD21" s="612"/>
      <c r="AE21" s="521" t="s">
        <v>822</v>
      </c>
      <c r="AF21" s="182" t="s">
        <v>822</v>
      </c>
      <c r="AG21" s="182" t="s">
        <v>822</v>
      </c>
      <c r="AH21" s="522" t="e">
        <f t="shared" si="9"/>
        <v>#VALUE!</v>
      </c>
      <c r="AI21" s="612"/>
      <c r="AJ21" s="521" t="s">
        <v>822</v>
      </c>
      <c r="AK21" s="182" t="s">
        <v>822</v>
      </c>
      <c r="AL21" s="182" t="s">
        <v>822</v>
      </c>
      <c r="AM21" s="522" t="e">
        <f t="shared" si="11"/>
        <v>#VALUE!</v>
      </c>
      <c r="AN21" s="612"/>
      <c r="AO21" s="521" t="s">
        <v>822</v>
      </c>
      <c r="AP21" s="182" t="s">
        <v>822</v>
      </c>
      <c r="AQ21" s="182" t="s">
        <v>822</v>
      </c>
      <c r="AR21" s="522" t="e">
        <f t="shared" si="13"/>
        <v>#VALUE!</v>
      </c>
      <c r="AS21" s="612"/>
      <c r="AT21" s="521" t="s">
        <v>822</v>
      </c>
      <c r="AU21" s="182" t="s">
        <v>822</v>
      </c>
      <c r="AV21" s="182" t="s">
        <v>822</v>
      </c>
      <c r="AW21" s="522" t="e">
        <f t="shared" si="15"/>
        <v>#VALUE!</v>
      </c>
      <c r="AX21" s="612"/>
      <c r="AZ21" s="522" t="e">
        <f t="shared" si="17"/>
        <v>#N/A</v>
      </c>
      <c r="BA21" s="612"/>
    </row>
    <row r="22" spans="2:53" ht="15.75">
      <c r="B22" s="648" t="s">
        <v>163</v>
      </c>
      <c r="C22" s="649"/>
      <c r="D22" s="649"/>
      <c r="E22" s="649"/>
      <c r="F22" s="649"/>
      <c r="G22" s="649"/>
      <c r="H22" s="649"/>
      <c r="I22" s="203"/>
      <c r="J22" s="203"/>
      <c r="K22" s="203"/>
      <c r="L22" s="203"/>
      <c r="M22" s="204"/>
      <c r="N22" s="606" t="s">
        <v>156</v>
      </c>
      <c r="O22" s="606" t="s">
        <v>105</v>
      </c>
      <c r="P22" s="632">
        <f>P2+7</f>
        <v>46119</v>
      </c>
      <c r="Q22" s="610"/>
      <c r="R22" s="610"/>
      <c r="S22" s="610"/>
      <c r="T22" s="610"/>
      <c r="U22" s="629">
        <f>P22+1</f>
        <v>46120</v>
      </c>
      <c r="V22" s="630"/>
      <c r="W22" s="630"/>
      <c r="X22" s="630"/>
      <c r="Y22" s="631"/>
      <c r="Z22" s="629">
        <f>U22+1</f>
        <v>46121</v>
      </c>
      <c r="AA22" s="630"/>
      <c r="AB22" s="630"/>
      <c r="AC22" s="630"/>
      <c r="AD22" s="631"/>
      <c r="AE22" s="629">
        <f>Z22+1</f>
        <v>46122</v>
      </c>
      <c r="AF22" s="630"/>
      <c r="AG22" s="630"/>
      <c r="AH22" s="630"/>
      <c r="AI22" s="631"/>
      <c r="AJ22" s="629">
        <f>AE22+1</f>
        <v>46123</v>
      </c>
      <c r="AK22" s="630"/>
      <c r="AL22" s="630"/>
      <c r="AM22" s="630"/>
      <c r="AN22" s="631"/>
      <c r="AO22" s="629">
        <f>AJ22+1</f>
        <v>46124</v>
      </c>
      <c r="AP22" s="630"/>
      <c r="AQ22" s="630"/>
      <c r="AR22" s="630"/>
      <c r="AS22" s="631"/>
      <c r="AT22" s="629">
        <f>AO22+1</f>
        <v>46125</v>
      </c>
      <c r="AU22" s="630"/>
      <c r="AV22" s="630"/>
      <c r="AW22" s="630"/>
      <c r="AX22" s="631"/>
    </row>
    <row r="23" spans="2:53" ht="15.75">
      <c r="B23" s="636"/>
      <c r="C23" s="636"/>
      <c r="D23" s="636"/>
      <c r="E23" s="636"/>
      <c r="F23" s="636"/>
      <c r="G23" s="636"/>
      <c r="H23" s="636"/>
      <c r="I23" s="205"/>
      <c r="J23" s="205"/>
      <c r="K23" s="205"/>
      <c r="L23" s="205"/>
      <c r="M23" s="206"/>
      <c r="N23" s="608"/>
      <c r="O23" s="608"/>
      <c r="P23" s="632" t="s">
        <v>336</v>
      </c>
      <c r="Q23" s="610"/>
      <c r="R23" s="610"/>
      <c r="S23" s="610"/>
      <c r="T23" s="610"/>
      <c r="U23" s="632" t="s">
        <v>337</v>
      </c>
      <c r="V23" s="610"/>
      <c r="W23" s="610"/>
      <c r="X23" s="610"/>
      <c r="Y23" s="610"/>
      <c r="Z23" s="632" t="s">
        <v>338</v>
      </c>
      <c r="AA23" s="610"/>
      <c r="AB23" s="610"/>
      <c r="AC23" s="610"/>
      <c r="AD23" s="610"/>
      <c r="AE23" s="632" t="s">
        <v>339</v>
      </c>
      <c r="AF23" s="610"/>
      <c r="AG23" s="610"/>
      <c r="AH23" s="610"/>
      <c r="AI23" s="610"/>
      <c r="AJ23" s="632" t="s">
        <v>340</v>
      </c>
      <c r="AK23" s="610"/>
      <c r="AL23" s="610"/>
      <c r="AM23" s="610"/>
      <c r="AN23" s="610"/>
      <c r="AO23" s="632" t="s">
        <v>341</v>
      </c>
      <c r="AP23" s="610"/>
      <c r="AQ23" s="610"/>
      <c r="AR23" s="610"/>
      <c r="AS23" s="610"/>
      <c r="AT23" s="632" t="s">
        <v>342</v>
      </c>
      <c r="AU23" s="610"/>
      <c r="AV23" s="610"/>
      <c r="AW23" s="610"/>
      <c r="AX23" s="610"/>
    </row>
    <row r="24" spans="2:53">
      <c r="B24" s="604" t="s">
        <v>154</v>
      </c>
      <c r="C24" s="604" t="s">
        <v>501</v>
      </c>
      <c r="D24" s="604"/>
      <c r="E24" s="604" t="s">
        <v>502</v>
      </c>
      <c r="F24" s="604"/>
      <c r="G24" s="604"/>
      <c r="H24" s="637" t="s">
        <v>395</v>
      </c>
      <c r="I24" s="656" t="s">
        <v>400</v>
      </c>
      <c r="J24" s="656"/>
      <c r="K24" s="656"/>
      <c r="L24" s="657" t="s">
        <v>395</v>
      </c>
      <c r="M24" s="642" t="s">
        <v>496</v>
      </c>
      <c r="N24" s="604"/>
      <c r="O24" s="604" t="s">
        <v>401</v>
      </c>
      <c r="P24" s="623" t="s">
        <v>504</v>
      </c>
      <c r="Q24" s="624"/>
      <c r="R24" s="624"/>
      <c r="S24" s="625"/>
      <c r="T24" s="604" t="s">
        <v>395</v>
      </c>
      <c r="U24" s="623" t="s">
        <v>504</v>
      </c>
      <c r="V24" s="624"/>
      <c r="W24" s="624"/>
      <c r="X24" s="625"/>
      <c r="Y24" s="604" t="s">
        <v>503</v>
      </c>
      <c r="Z24" s="623" t="s">
        <v>397</v>
      </c>
      <c r="AA24" s="624"/>
      <c r="AB24" s="624"/>
      <c r="AC24" s="625"/>
      <c r="AD24" s="604" t="s">
        <v>395</v>
      </c>
      <c r="AE24" s="623" t="s">
        <v>397</v>
      </c>
      <c r="AF24" s="624"/>
      <c r="AG24" s="624"/>
      <c r="AH24" s="625"/>
      <c r="AI24" s="604" t="s">
        <v>503</v>
      </c>
      <c r="AJ24" s="623" t="s">
        <v>397</v>
      </c>
      <c r="AK24" s="624"/>
      <c r="AL24" s="624"/>
      <c r="AM24" s="625"/>
      <c r="AN24" s="604" t="s">
        <v>395</v>
      </c>
      <c r="AO24" s="623" t="s">
        <v>504</v>
      </c>
      <c r="AP24" s="624"/>
      <c r="AQ24" s="624"/>
      <c r="AR24" s="625"/>
      <c r="AS24" s="604" t="s">
        <v>395</v>
      </c>
      <c r="AT24" s="623" t="s">
        <v>504</v>
      </c>
      <c r="AU24" s="624"/>
      <c r="AV24" s="624"/>
      <c r="AW24" s="625"/>
      <c r="AX24" s="604" t="s">
        <v>395</v>
      </c>
      <c r="BA24" s="604" t="s">
        <v>395</v>
      </c>
    </row>
    <row r="25" spans="2:53">
      <c r="B25" s="604"/>
      <c r="C25" s="604"/>
      <c r="D25" s="604"/>
      <c r="E25" s="604" t="s">
        <v>505</v>
      </c>
      <c r="F25" s="604"/>
      <c r="G25" s="604"/>
      <c r="H25" s="638"/>
      <c r="I25" s="656" t="s">
        <v>505</v>
      </c>
      <c r="J25" s="656"/>
      <c r="K25" s="656"/>
      <c r="L25" s="658"/>
      <c r="M25" s="643"/>
      <c r="N25" s="604"/>
      <c r="O25" s="604"/>
      <c r="P25" s="623" t="s">
        <v>403</v>
      </c>
      <c r="Q25" s="624"/>
      <c r="R25" s="624"/>
      <c r="S25" s="625"/>
      <c r="T25" s="604"/>
      <c r="U25" s="623" t="s">
        <v>403</v>
      </c>
      <c r="V25" s="624"/>
      <c r="W25" s="624"/>
      <c r="X25" s="625"/>
      <c r="Y25" s="604"/>
      <c r="Z25" s="623" t="s">
        <v>506</v>
      </c>
      <c r="AA25" s="624"/>
      <c r="AB25" s="624"/>
      <c r="AC25" s="625"/>
      <c r="AD25" s="604"/>
      <c r="AE25" s="623" t="s">
        <v>506</v>
      </c>
      <c r="AF25" s="624"/>
      <c r="AG25" s="624"/>
      <c r="AH25" s="625"/>
      <c r="AI25" s="604"/>
      <c r="AJ25" s="623" t="s">
        <v>403</v>
      </c>
      <c r="AK25" s="624"/>
      <c r="AL25" s="624"/>
      <c r="AM25" s="625"/>
      <c r="AN25" s="604"/>
      <c r="AO25" s="623" t="s">
        <v>403</v>
      </c>
      <c r="AP25" s="624"/>
      <c r="AQ25" s="624"/>
      <c r="AR25" s="625"/>
      <c r="AS25" s="604"/>
      <c r="AT25" s="623" t="s">
        <v>506</v>
      </c>
      <c r="AU25" s="624"/>
      <c r="AV25" s="624"/>
      <c r="AW25" s="625"/>
      <c r="AX25" s="604"/>
      <c r="BA25" s="604"/>
    </row>
    <row r="26" spans="2:53">
      <c r="B26" s="604"/>
      <c r="C26" s="604"/>
      <c r="D26" s="604"/>
      <c r="E26" s="316" t="s">
        <v>404</v>
      </c>
      <c r="F26" s="316" t="s">
        <v>405</v>
      </c>
      <c r="G26" s="316" t="s">
        <v>406</v>
      </c>
      <c r="H26" s="639"/>
      <c r="I26" s="315" t="s">
        <v>507</v>
      </c>
      <c r="J26" s="315" t="s">
        <v>508</v>
      </c>
      <c r="K26" s="315" t="s">
        <v>509</v>
      </c>
      <c r="L26" s="659"/>
      <c r="M26" s="644"/>
      <c r="N26" s="604"/>
      <c r="O26" s="604"/>
      <c r="P26" s="316" t="s">
        <v>507</v>
      </c>
      <c r="Q26" s="316" t="s">
        <v>405</v>
      </c>
      <c r="R26" s="316" t="s">
        <v>406</v>
      </c>
      <c r="S26" s="316" t="s">
        <v>396</v>
      </c>
      <c r="T26" s="604"/>
      <c r="U26" s="316" t="s">
        <v>404</v>
      </c>
      <c r="V26" s="316" t="s">
        <v>508</v>
      </c>
      <c r="W26" s="316" t="s">
        <v>509</v>
      </c>
      <c r="X26" s="316" t="s">
        <v>396</v>
      </c>
      <c r="Y26" s="604"/>
      <c r="Z26" s="316" t="s">
        <v>507</v>
      </c>
      <c r="AA26" s="316" t="s">
        <v>508</v>
      </c>
      <c r="AB26" s="316" t="s">
        <v>406</v>
      </c>
      <c r="AC26" s="316" t="s">
        <v>396</v>
      </c>
      <c r="AD26" s="604"/>
      <c r="AE26" s="316" t="s">
        <v>507</v>
      </c>
      <c r="AF26" s="316" t="s">
        <v>510</v>
      </c>
      <c r="AG26" s="316" t="s">
        <v>406</v>
      </c>
      <c r="AH26" s="316" t="s">
        <v>511</v>
      </c>
      <c r="AI26" s="604"/>
      <c r="AJ26" s="316" t="s">
        <v>404</v>
      </c>
      <c r="AK26" s="316" t="s">
        <v>508</v>
      </c>
      <c r="AL26" s="316" t="s">
        <v>406</v>
      </c>
      <c r="AM26" s="316" t="s">
        <v>396</v>
      </c>
      <c r="AN26" s="604"/>
      <c r="AO26" s="316" t="s">
        <v>404</v>
      </c>
      <c r="AP26" s="316" t="s">
        <v>508</v>
      </c>
      <c r="AQ26" s="316" t="s">
        <v>509</v>
      </c>
      <c r="AR26" s="316" t="s">
        <v>396</v>
      </c>
      <c r="AS26" s="604"/>
      <c r="AT26" s="316" t="s">
        <v>404</v>
      </c>
      <c r="AU26" s="316" t="s">
        <v>508</v>
      </c>
      <c r="AV26" s="316" t="s">
        <v>406</v>
      </c>
      <c r="AW26" s="316" t="s">
        <v>396</v>
      </c>
      <c r="AX26" s="604"/>
      <c r="AZ26" s="520" t="s">
        <v>396</v>
      </c>
      <c r="BA26" s="604"/>
    </row>
    <row r="27" spans="2:53">
      <c r="B27" s="604" t="s">
        <v>512</v>
      </c>
      <c r="C27" s="317">
        <v>1</v>
      </c>
      <c r="D27" s="455" t="s">
        <v>377</v>
      </c>
      <c r="E27" s="518">
        <v>20</v>
      </c>
      <c r="F27" s="518">
        <v>2400</v>
      </c>
      <c r="G27" s="518">
        <v>120</v>
      </c>
      <c r="H27" s="667">
        <f>AVERAGE(G27:G41)</f>
        <v>148.73999999999998</v>
      </c>
      <c r="I27" s="513">
        <f t="shared" ref="I27:I40" si="19">IFERROR(AVERAGE(P27,U27,Z27,AE27,AJ27,AO27,AT27),"-")</f>
        <v>20</v>
      </c>
      <c r="J27" s="513">
        <f t="shared" ref="J27:J40" si="20">IFERROR(AVERAGE(Q27,V27,AA27,AF27,AK27,AP27,AU27),"-")</f>
        <v>2253.5505589906697</v>
      </c>
      <c r="K27" s="200">
        <f t="shared" ref="K27:K40" si="21">IFERROR(AVERAGE(R27,W27,AB27,AG27,AL27,AQ27,AV27),"-")</f>
        <v>112.67752794953348</v>
      </c>
      <c r="L27" s="620">
        <f>IFERROR(AVERAGE(K27:K41),"-")</f>
        <v>124.46114473924573</v>
      </c>
      <c r="M27" s="201">
        <f>RANK(K27, K$27:$K$41)</f>
        <v>5</v>
      </c>
      <c r="N27" s="604"/>
      <c r="O27" s="604"/>
      <c r="P27" s="526">
        <v>20</v>
      </c>
      <c r="Q27" s="530">
        <v>2249.1074380165292</v>
      </c>
      <c r="R27" s="530">
        <v>112.45537190082646</v>
      </c>
      <c r="S27" s="526">
        <f t="shared" ref="S27:S41" si="22">RANK(R27, R$27:R$41)</f>
        <v>5</v>
      </c>
      <c r="T27" s="599">
        <f t="shared" ref="T27" si="23">AVERAGE(R27:R41)</f>
        <v>125.858086908514</v>
      </c>
      <c r="U27" s="526">
        <v>20</v>
      </c>
      <c r="V27" s="530">
        <v>2249.2184873949586</v>
      </c>
      <c r="W27" s="530">
        <v>112.46092436974793</v>
      </c>
      <c r="X27" s="526">
        <f t="shared" ref="X27:X41" si="24">RANK(W27, W$27:W$41)</f>
        <v>5</v>
      </c>
      <c r="Y27" s="599">
        <f t="shared" ref="Y27" si="25">AVERAGE(W27:W41)</f>
        <v>126.27713101590021</v>
      </c>
      <c r="Z27" s="526">
        <v>20</v>
      </c>
      <c r="AA27" s="530">
        <v>2291.3505154639179</v>
      </c>
      <c r="AB27" s="530">
        <v>114.5675257731959</v>
      </c>
      <c r="AC27" s="526">
        <f t="shared" ref="AC27:AC41" si="26">RANK(AB27, AB$27:AB$41)</f>
        <v>5</v>
      </c>
      <c r="AD27" s="599">
        <f t="shared" ref="AD27" si="27">AVERAGE(AB27:AB41)</f>
        <v>123.76098020651622</v>
      </c>
      <c r="AE27" s="526">
        <v>20</v>
      </c>
      <c r="AF27" s="530">
        <v>2237.4742268041246</v>
      </c>
      <c r="AG27" s="530">
        <v>111.87371134020623</v>
      </c>
      <c r="AH27" s="526">
        <f t="shared" ref="AH27:AH41" si="28">RANK(AG27, AG$27:AG$41)</f>
        <v>5</v>
      </c>
      <c r="AI27" s="599">
        <f t="shared" ref="AI27" si="29">AVERAGE(AG27:AG41)</f>
        <v>123.65928497886939</v>
      </c>
      <c r="AJ27" s="526">
        <v>20</v>
      </c>
      <c r="AK27" s="530">
        <v>2277.8644067796617</v>
      </c>
      <c r="AL27" s="530">
        <v>113.89322033898308</v>
      </c>
      <c r="AM27" s="526">
        <f t="shared" ref="AM27:AM41" si="30">RANK(AL27, AL$27:AL$41)</f>
        <v>5</v>
      </c>
      <c r="AN27" s="599">
        <f t="shared" ref="AN27" si="31">AVERAGE(AL27:AL41)</f>
        <v>123.93269968766469</v>
      </c>
      <c r="AO27" s="526">
        <v>20</v>
      </c>
      <c r="AP27" s="530">
        <v>2244.786206896551</v>
      </c>
      <c r="AQ27" s="530">
        <v>112.23931034482754</v>
      </c>
      <c r="AR27" s="526">
        <f t="shared" ref="AR27:AR41" si="32">RANK(AQ27, AQ$27:AQ$41)</f>
        <v>5</v>
      </c>
      <c r="AS27" s="599">
        <f t="shared" ref="AS27" si="33">AVERAGE(AQ27:AQ41)</f>
        <v>124.97747012736541</v>
      </c>
      <c r="AT27" s="526">
        <v>20</v>
      </c>
      <c r="AU27" s="530">
        <v>2225.0526315789471</v>
      </c>
      <c r="AV27" s="530">
        <v>111.25263157894736</v>
      </c>
      <c r="AW27" s="526">
        <f t="shared" ref="AW27:AW41" si="34">RANK(AV27, AV$27:AV$41)</f>
        <v>5</v>
      </c>
      <c r="AX27" s="599">
        <f t="shared" ref="AX27" si="35">AVERAGE(AV27:AV41)</f>
        <v>122.76236024988998</v>
      </c>
      <c r="AZ27" s="521" t="e">
        <f t="shared" ref="AZ27:AZ41" si="36">RANK(AY27, AY$27:AY$41)</f>
        <v>#N/A</v>
      </c>
      <c r="BA27" s="599" t="e">
        <f t="shared" ref="BA27" si="37">AVERAGE(AY27:AY41)</f>
        <v>#DIV/0!</v>
      </c>
    </row>
    <row r="28" spans="2:53">
      <c r="B28" s="610"/>
      <c r="C28" s="317">
        <v>2</v>
      </c>
      <c r="D28" s="455" t="s">
        <v>378</v>
      </c>
      <c r="E28" s="518">
        <v>18</v>
      </c>
      <c r="F28" s="518">
        <v>2700</v>
      </c>
      <c r="G28" s="518">
        <v>166.7</v>
      </c>
      <c r="H28" s="668"/>
      <c r="I28" s="513">
        <f t="shared" si="19"/>
        <v>19</v>
      </c>
      <c r="J28" s="513">
        <f t="shared" si="20"/>
        <v>2520.008327161951</v>
      </c>
      <c r="K28" s="200">
        <f t="shared" si="21"/>
        <v>132.63201721905006</v>
      </c>
      <c r="L28" s="621"/>
      <c r="M28" s="201">
        <f>RANK(K28, K$27:$K$41)</f>
        <v>1</v>
      </c>
      <c r="N28" s="604"/>
      <c r="O28" s="604"/>
      <c r="P28" s="526">
        <v>19</v>
      </c>
      <c r="Q28" s="530">
        <v>2542.6721311475403</v>
      </c>
      <c r="R28" s="530">
        <v>133.82484900776527</v>
      </c>
      <c r="S28" s="526">
        <f t="shared" si="22"/>
        <v>1</v>
      </c>
      <c r="T28" s="600"/>
      <c r="U28" s="526">
        <v>19</v>
      </c>
      <c r="V28" s="530">
        <v>2546.6999999999994</v>
      </c>
      <c r="W28" s="530">
        <v>134.03684210526313</v>
      </c>
      <c r="X28" s="526">
        <f t="shared" si="24"/>
        <v>1</v>
      </c>
      <c r="Y28" s="600"/>
      <c r="Z28" s="526">
        <v>19</v>
      </c>
      <c r="AA28" s="530">
        <v>2492.2500000000018</v>
      </c>
      <c r="AB28" s="530">
        <v>131.17105263157904</v>
      </c>
      <c r="AC28" s="526">
        <f t="shared" si="26"/>
        <v>1</v>
      </c>
      <c r="AD28" s="600"/>
      <c r="AE28" s="526">
        <v>19</v>
      </c>
      <c r="AF28" s="530">
        <v>2509.2452830188695</v>
      </c>
      <c r="AG28" s="530">
        <v>132.06554121151945</v>
      </c>
      <c r="AH28" s="526">
        <f t="shared" si="28"/>
        <v>1</v>
      </c>
      <c r="AI28" s="600"/>
      <c r="AJ28" s="526">
        <v>19</v>
      </c>
      <c r="AK28" s="530">
        <v>2483.955882352941</v>
      </c>
      <c r="AL28" s="530">
        <v>130.73452012383899</v>
      </c>
      <c r="AM28" s="526">
        <f t="shared" si="30"/>
        <v>1</v>
      </c>
      <c r="AN28" s="600"/>
      <c r="AO28" s="526">
        <v>19</v>
      </c>
      <c r="AP28" s="530">
        <v>2563.4074074074065</v>
      </c>
      <c r="AQ28" s="530">
        <v>134.91617933723191</v>
      </c>
      <c r="AR28" s="526">
        <f t="shared" si="32"/>
        <v>1</v>
      </c>
      <c r="AS28" s="600"/>
      <c r="AT28" s="526">
        <v>19</v>
      </c>
      <c r="AU28" s="530">
        <v>2501.8275862068963</v>
      </c>
      <c r="AV28" s="530">
        <v>131.67513611615243</v>
      </c>
      <c r="AW28" s="526">
        <f t="shared" si="34"/>
        <v>1</v>
      </c>
      <c r="AX28" s="600"/>
      <c r="AZ28" s="521" t="e">
        <f t="shared" si="36"/>
        <v>#N/A</v>
      </c>
      <c r="BA28" s="600"/>
    </row>
    <row r="29" spans="2:53">
      <c r="B29" s="610"/>
      <c r="C29" s="317">
        <v>3</v>
      </c>
      <c r="D29" s="455" t="s">
        <v>379</v>
      </c>
      <c r="E29" s="518">
        <v>18</v>
      </c>
      <c r="F29" s="518">
        <v>2700</v>
      </c>
      <c r="G29" s="518">
        <v>166.7</v>
      </c>
      <c r="H29" s="668"/>
      <c r="I29" s="513">
        <f t="shared" si="19"/>
        <v>19.714285714285715</v>
      </c>
      <c r="J29" s="513">
        <f t="shared" si="20"/>
        <v>2492.9689091273453</v>
      </c>
      <c r="K29" s="200">
        <f t="shared" si="21"/>
        <v>126.4528214994498</v>
      </c>
      <c r="L29" s="621"/>
      <c r="M29" s="201">
        <f>RANK(K29, K$27:$K$41)</f>
        <v>3</v>
      </c>
      <c r="N29" s="604"/>
      <c r="O29" s="604"/>
      <c r="P29" s="526">
        <v>20</v>
      </c>
      <c r="Q29" s="530">
        <v>2620.7142857142849</v>
      </c>
      <c r="R29" s="530">
        <v>131.03571428571425</v>
      </c>
      <c r="S29" s="526">
        <f t="shared" si="22"/>
        <v>2</v>
      </c>
      <c r="T29" s="600"/>
      <c r="U29" s="526">
        <v>20</v>
      </c>
      <c r="V29" s="530">
        <v>2641.5789473684194</v>
      </c>
      <c r="W29" s="530">
        <v>132.07894736842098</v>
      </c>
      <c r="X29" s="526">
        <f t="shared" si="24"/>
        <v>2</v>
      </c>
      <c r="Y29" s="600"/>
      <c r="Z29" s="526">
        <v>20</v>
      </c>
      <c r="AA29" s="530">
        <v>2473.2750000000028</v>
      </c>
      <c r="AB29" s="530">
        <v>123.66375000000014</v>
      </c>
      <c r="AC29" s="526">
        <f t="shared" si="26"/>
        <v>4</v>
      </c>
      <c r="AD29" s="600"/>
      <c r="AE29" s="526">
        <v>20</v>
      </c>
      <c r="AF29" s="530">
        <v>2433.5294117647095</v>
      </c>
      <c r="AG29" s="530">
        <v>121.67647058823547</v>
      </c>
      <c r="AH29" s="526">
        <f t="shared" si="28"/>
        <v>4</v>
      </c>
      <c r="AI29" s="600"/>
      <c r="AJ29" s="526">
        <v>19</v>
      </c>
      <c r="AK29" s="530">
        <v>2291.0086956521736</v>
      </c>
      <c r="AL29" s="530">
        <v>120.57940503432492</v>
      </c>
      <c r="AM29" s="526">
        <f t="shared" si="30"/>
        <v>4</v>
      </c>
      <c r="AN29" s="600"/>
      <c r="AO29" s="526">
        <v>19</v>
      </c>
      <c r="AP29" s="530">
        <v>2508.6315789473779</v>
      </c>
      <c r="AQ29" s="530">
        <v>132.03324099723042</v>
      </c>
      <c r="AR29" s="526">
        <f t="shared" si="32"/>
        <v>2</v>
      </c>
      <c r="AS29" s="600"/>
      <c r="AT29" s="526">
        <v>20</v>
      </c>
      <c r="AU29" s="530">
        <v>2482.0444444444461</v>
      </c>
      <c r="AV29" s="530">
        <v>124.10222222222231</v>
      </c>
      <c r="AW29" s="526">
        <f t="shared" si="34"/>
        <v>3</v>
      </c>
      <c r="AX29" s="600"/>
      <c r="AZ29" s="521" t="e">
        <f t="shared" si="36"/>
        <v>#N/A</v>
      </c>
      <c r="BA29" s="600"/>
    </row>
    <row r="30" spans="2:53">
      <c r="B30" s="610"/>
      <c r="C30" s="317">
        <v>4</v>
      </c>
      <c r="D30" s="455" t="s">
        <v>380</v>
      </c>
      <c r="E30" s="518">
        <v>19</v>
      </c>
      <c r="F30" s="518">
        <v>2700</v>
      </c>
      <c r="G30" s="518">
        <v>157.9</v>
      </c>
      <c r="H30" s="668"/>
      <c r="I30" s="513">
        <f t="shared" si="19"/>
        <v>20</v>
      </c>
      <c r="J30" s="513">
        <f t="shared" si="20"/>
        <v>2540.4945325138756</v>
      </c>
      <c r="K30" s="200">
        <f t="shared" si="21"/>
        <v>127.02472662569379</v>
      </c>
      <c r="L30" s="621"/>
      <c r="M30" s="201">
        <f>RANK(K30, K$27:$K$41)</f>
        <v>2</v>
      </c>
      <c r="N30" s="604"/>
      <c r="O30" s="604"/>
      <c r="P30" s="526">
        <v>20</v>
      </c>
      <c r="Q30" s="530">
        <v>2545.2371134020627</v>
      </c>
      <c r="R30" s="530">
        <v>127.26185567010313</v>
      </c>
      <c r="S30" s="526">
        <f t="shared" si="22"/>
        <v>3</v>
      </c>
      <c r="T30" s="600"/>
      <c r="U30" s="526">
        <v>20</v>
      </c>
      <c r="V30" s="530">
        <v>2553.7978723404262</v>
      </c>
      <c r="W30" s="530">
        <v>127.68989361702131</v>
      </c>
      <c r="X30" s="526">
        <f t="shared" si="24"/>
        <v>3</v>
      </c>
      <c r="Y30" s="600"/>
      <c r="Z30" s="526">
        <v>20</v>
      </c>
      <c r="AA30" s="530">
        <v>2512.0657894736855</v>
      </c>
      <c r="AB30" s="530">
        <v>125.60328947368427</v>
      </c>
      <c r="AC30" s="526">
        <f t="shared" si="26"/>
        <v>2</v>
      </c>
      <c r="AD30" s="600"/>
      <c r="AE30" s="526">
        <v>20</v>
      </c>
      <c r="AF30" s="530">
        <v>2554.6666666666661</v>
      </c>
      <c r="AG30" s="530">
        <v>127.73333333333331</v>
      </c>
      <c r="AH30" s="526">
        <f t="shared" si="28"/>
        <v>2</v>
      </c>
      <c r="AI30" s="600"/>
      <c r="AJ30" s="526">
        <v>20</v>
      </c>
      <c r="AK30" s="530">
        <v>2571.4800000000005</v>
      </c>
      <c r="AL30" s="530">
        <v>128.57400000000001</v>
      </c>
      <c r="AM30" s="526">
        <f t="shared" si="30"/>
        <v>2</v>
      </c>
      <c r="AN30" s="600"/>
      <c r="AO30" s="526">
        <v>20</v>
      </c>
      <c r="AP30" s="530">
        <v>2511.0000000000005</v>
      </c>
      <c r="AQ30" s="530">
        <v>125.55000000000003</v>
      </c>
      <c r="AR30" s="526">
        <f t="shared" si="32"/>
        <v>3</v>
      </c>
      <c r="AS30" s="600"/>
      <c r="AT30" s="526">
        <v>20</v>
      </c>
      <c r="AU30" s="530">
        <v>2535.2142857142862</v>
      </c>
      <c r="AV30" s="530">
        <v>126.76071428571431</v>
      </c>
      <c r="AW30" s="526">
        <f t="shared" si="34"/>
        <v>2</v>
      </c>
      <c r="AX30" s="600"/>
      <c r="AZ30" s="521" t="e">
        <f t="shared" si="36"/>
        <v>#N/A</v>
      </c>
      <c r="BA30" s="600"/>
    </row>
    <row r="31" spans="2:53">
      <c r="B31" s="610"/>
      <c r="C31" s="317">
        <v>5</v>
      </c>
      <c r="D31" s="455" t="s">
        <v>644</v>
      </c>
      <c r="E31" s="518">
        <v>17</v>
      </c>
      <c r="F31" s="518">
        <v>2250</v>
      </c>
      <c r="G31" s="518">
        <v>132.4</v>
      </c>
      <c r="H31" s="668"/>
      <c r="I31" s="513">
        <f t="shared" si="19"/>
        <v>18</v>
      </c>
      <c r="J31" s="513">
        <f t="shared" si="20"/>
        <v>2223.3353472450258</v>
      </c>
      <c r="K31" s="200">
        <f t="shared" si="21"/>
        <v>123.51863040250143</v>
      </c>
      <c r="L31" s="621"/>
      <c r="M31" s="201">
        <f>RANK(K31, K$27:$K$41)</f>
        <v>4</v>
      </c>
      <c r="N31" s="604"/>
      <c r="O31" s="604"/>
      <c r="P31" s="526">
        <v>18</v>
      </c>
      <c r="Q31" s="530">
        <v>2244.8275862068958</v>
      </c>
      <c r="R31" s="530">
        <v>124.71264367816087</v>
      </c>
      <c r="S31" s="526">
        <f t="shared" si="22"/>
        <v>4</v>
      </c>
      <c r="T31" s="600"/>
      <c r="U31" s="526">
        <v>18</v>
      </c>
      <c r="V31" s="530">
        <v>2252.1428571428569</v>
      </c>
      <c r="W31" s="530">
        <v>125.11904761904761</v>
      </c>
      <c r="X31" s="526">
        <f t="shared" si="24"/>
        <v>4</v>
      </c>
      <c r="Y31" s="600"/>
      <c r="Z31" s="526">
        <v>18</v>
      </c>
      <c r="AA31" s="530">
        <v>2228.3870967741927</v>
      </c>
      <c r="AB31" s="530">
        <v>123.79928315412182</v>
      </c>
      <c r="AC31" s="526">
        <f t="shared" si="26"/>
        <v>3</v>
      </c>
      <c r="AD31" s="600"/>
      <c r="AE31" s="526">
        <v>18</v>
      </c>
      <c r="AF31" s="530">
        <v>2249.0526315789466</v>
      </c>
      <c r="AG31" s="530">
        <v>124.94736842105259</v>
      </c>
      <c r="AH31" s="526">
        <f t="shared" si="28"/>
        <v>3</v>
      </c>
      <c r="AI31" s="600"/>
      <c r="AJ31" s="526">
        <v>18</v>
      </c>
      <c r="AK31" s="530">
        <v>2265.8823529411761</v>
      </c>
      <c r="AL31" s="530">
        <v>125.88235294117645</v>
      </c>
      <c r="AM31" s="526">
        <f t="shared" si="30"/>
        <v>3</v>
      </c>
      <c r="AN31" s="600"/>
      <c r="AO31" s="526">
        <v>18</v>
      </c>
      <c r="AP31" s="530">
        <v>2162.6751592356682</v>
      </c>
      <c r="AQ31" s="530">
        <v>120.14861995753712</v>
      </c>
      <c r="AR31" s="526">
        <f t="shared" si="32"/>
        <v>4</v>
      </c>
      <c r="AS31" s="600"/>
      <c r="AT31" s="526">
        <v>18</v>
      </c>
      <c r="AU31" s="530">
        <v>2160.3797468354428</v>
      </c>
      <c r="AV31" s="530">
        <v>120.02109704641349</v>
      </c>
      <c r="AW31" s="526">
        <f t="shared" si="34"/>
        <v>4</v>
      </c>
      <c r="AX31" s="600"/>
      <c r="AZ31" s="521" t="e">
        <f t="shared" si="36"/>
        <v>#N/A</v>
      </c>
      <c r="BA31" s="600"/>
    </row>
    <row r="32" spans="2:53">
      <c r="B32" s="610"/>
      <c r="C32" s="317">
        <v>6</v>
      </c>
      <c r="D32" s="455"/>
      <c r="E32" s="518"/>
      <c r="F32" s="518"/>
      <c r="G32" s="518"/>
      <c r="H32" s="668"/>
      <c r="I32" s="513" t="str">
        <f t="shared" si="19"/>
        <v>-</v>
      </c>
      <c r="J32" s="513" t="str">
        <f t="shared" si="20"/>
        <v>-</v>
      </c>
      <c r="K32" s="200" t="str">
        <f t="shared" si="21"/>
        <v>-</v>
      </c>
      <c r="L32" s="621"/>
      <c r="M32" s="201" t="e">
        <f>RANK(K32, K$27:$K$41)</f>
        <v>#VALUE!</v>
      </c>
      <c r="N32" s="604"/>
      <c r="O32" s="604"/>
      <c r="P32" s="526" t="s">
        <v>822</v>
      </c>
      <c r="Q32" s="530" t="s">
        <v>822</v>
      </c>
      <c r="R32" s="530" t="s">
        <v>822</v>
      </c>
      <c r="S32" s="526" t="e">
        <f t="shared" si="22"/>
        <v>#VALUE!</v>
      </c>
      <c r="T32" s="600"/>
      <c r="U32" s="526" t="s">
        <v>822</v>
      </c>
      <c r="V32" s="530" t="s">
        <v>822</v>
      </c>
      <c r="W32" s="530" t="s">
        <v>822</v>
      </c>
      <c r="X32" s="526" t="e">
        <f t="shared" si="24"/>
        <v>#VALUE!</v>
      </c>
      <c r="Y32" s="600"/>
      <c r="Z32" s="526" t="s">
        <v>822</v>
      </c>
      <c r="AA32" s="530" t="s">
        <v>822</v>
      </c>
      <c r="AB32" s="530" t="s">
        <v>822</v>
      </c>
      <c r="AC32" s="526" t="e">
        <f t="shared" si="26"/>
        <v>#VALUE!</v>
      </c>
      <c r="AD32" s="600"/>
      <c r="AE32" s="526" t="s">
        <v>822</v>
      </c>
      <c r="AF32" s="530" t="s">
        <v>822</v>
      </c>
      <c r="AG32" s="530" t="s">
        <v>822</v>
      </c>
      <c r="AH32" s="526" t="e">
        <f t="shared" si="28"/>
        <v>#VALUE!</v>
      </c>
      <c r="AI32" s="600"/>
      <c r="AJ32" s="526" t="s">
        <v>822</v>
      </c>
      <c r="AK32" s="530" t="s">
        <v>822</v>
      </c>
      <c r="AL32" s="530" t="s">
        <v>822</v>
      </c>
      <c r="AM32" s="526" t="e">
        <f t="shared" si="30"/>
        <v>#VALUE!</v>
      </c>
      <c r="AN32" s="600"/>
      <c r="AO32" s="526" t="s">
        <v>822</v>
      </c>
      <c r="AP32" s="530" t="s">
        <v>822</v>
      </c>
      <c r="AQ32" s="530" t="s">
        <v>822</v>
      </c>
      <c r="AR32" s="526" t="e">
        <f t="shared" si="32"/>
        <v>#VALUE!</v>
      </c>
      <c r="AS32" s="600"/>
      <c r="AT32" s="526" t="s">
        <v>822</v>
      </c>
      <c r="AU32" s="530" t="s">
        <v>822</v>
      </c>
      <c r="AV32" s="530" t="s">
        <v>822</v>
      </c>
      <c r="AW32" s="526" t="e">
        <f t="shared" si="34"/>
        <v>#VALUE!</v>
      </c>
      <c r="AX32" s="600"/>
      <c r="AZ32" s="521" t="e">
        <f t="shared" si="36"/>
        <v>#N/A</v>
      </c>
      <c r="BA32" s="600"/>
    </row>
    <row r="33" spans="2:53">
      <c r="B33" s="610"/>
      <c r="C33" s="317">
        <v>7</v>
      </c>
      <c r="D33" s="455"/>
      <c r="E33" s="518"/>
      <c r="F33" s="518"/>
      <c r="G33" s="518"/>
      <c r="H33" s="668"/>
      <c r="I33" s="513" t="str">
        <f t="shared" si="19"/>
        <v>-</v>
      </c>
      <c r="J33" s="513" t="str">
        <f t="shared" si="20"/>
        <v>-</v>
      </c>
      <c r="K33" s="200" t="str">
        <f t="shared" si="21"/>
        <v>-</v>
      </c>
      <c r="L33" s="621"/>
      <c r="M33" s="201" t="e">
        <f>RANK(K33, K$27:$K$41)</f>
        <v>#VALUE!</v>
      </c>
      <c r="N33" s="604"/>
      <c r="O33" s="604"/>
      <c r="P33" s="526" t="s">
        <v>822</v>
      </c>
      <c r="Q33" s="530" t="s">
        <v>822</v>
      </c>
      <c r="R33" s="530" t="s">
        <v>822</v>
      </c>
      <c r="S33" s="526" t="e">
        <f t="shared" si="22"/>
        <v>#VALUE!</v>
      </c>
      <c r="T33" s="600"/>
      <c r="U33" s="526" t="s">
        <v>822</v>
      </c>
      <c r="V33" s="530" t="s">
        <v>822</v>
      </c>
      <c r="W33" s="530" t="s">
        <v>822</v>
      </c>
      <c r="X33" s="526" t="e">
        <f t="shared" si="24"/>
        <v>#VALUE!</v>
      </c>
      <c r="Y33" s="600"/>
      <c r="Z33" s="526" t="s">
        <v>822</v>
      </c>
      <c r="AA33" s="530" t="s">
        <v>822</v>
      </c>
      <c r="AB33" s="530" t="s">
        <v>822</v>
      </c>
      <c r="AC33" s="526" t="e">
        <f t="shared" si="26"/>
        <v>#VALUE!</v>
      </c>
      <c r="AD33" s="600"/>
      <c r="AE33" s="526" t="s">
        <v>822</v>
      </c>
      <c r="AF33" s="530" t="s">
        <v>822</v>
      </c>
      <c r="AG33" s="530" t="s">
        <v>822</v>
      </c>
      <c r="AH33" s="526" t="e">
        <f t="shared" si="28"/>
        <v>#VALUE!</v>
      </c>
      <c r="AI33" s="600"/>
      <c r="AJ33" s="526" t="s">
        <v>822</v>
      </c>
      <c r="AK33" s="530" t="s">
        <v>822</v>
      </c>
      <c r="AL33" s="530" t="s">
        <v>822</v>
      </c>
      <c r="AM33" s="526" t="e">
        <f t="shared" si="30"/>
        <v>#VALUE!</v>
      </c>
      <c r="AN33" s="600"/>
      <c r="AO33" s="526" t="s">
        <v>822</v>
      </c>
      <c r="AP33" s="530" t="s">
        <v>822</v>
      </c>
      <c r="AQ33" s="530" t="s">
        <v>822</v>
      </c>
      <c r="AR33" s="526" t="e">
        <f t="shared" si="32"/>
        <v>#VALUE!</v>
      </c>
      <c r="AS33" s="600"/>
      <c r="AT33" s="526" t="s">
        <v>822</v>
      </c>
      <c r="AU33" s="530" t="s">
        <v>822</v>
      </c>
      <c r="AV33" s="530" t="s">
        <v>822</v>
      </c>
      <c r="AW33" s="526" t="e">
        <f t="shared" si="34"/>
        <v>#VALUE!</v>
      </c>
      <c r="AX33" s="600"/>
      <c r="AZ33" s="521" t="e">
        <f t="shared" si="36"/>
        <v>#N/A</v>
      </c>
      <c r="BA33" s="600"/>
    </row>
    <row r="34" spans="2:53">
      <c r="B34" s="610"/>
      <c r="C34" s="317">
        <v>8</v>
      </c>
      <c r="D34" s="455"/>
      <c r="E34" s="518"/>
      <c r="F34" s="518"/>
      <c r="G34" s="518"/>
      <c r="H34" s="668"/>
      <c r="I34" s="513" t="str">
        <f t="shared" si="19"/>
        <v>-</v>
      </c>
      <c r="J34" s="513" t="str">
        <f t="shared" si="20"/>
        <v>-</v>
      </c>
      <c r="K34" s="200" t="str">
        <f t="shared" si="21"/>
        <v>-</v>
      </c>
      <c r="L34" s="621"/>
      <c r="M34" s="201" t="e">
        <f>RANK(K34, K$27:$K$41)</f>
        <v>#VALUE!</v>
      </c>
      <c r="N34" s="604"/>
      <c r="O34" s="604"/>
      <c r="P34" s="526" t="s">
        <v>822</v>
      </c>
      <c r="Q34" s="530" t="s">
        <v>822</v>
      </c>
      <c r="R34" s="530" t="s">
        <v>822</v>
      </c>
      <c r="S34" s="526" t="e">
        <f t="shared" si="22"/>
        <v>#VALUE!</v>
      </c>
      <c r="T34" s="600"/>
      <c r="U34" s="526" t="s">
        <v>822</v>
      </c>
      <c r="V34" s="530" t="s">
        <v>822</v>
      </c>
      <c r="W34" s="530" t="s">
        <v>822</v>
      </c>
      <c r="X34" s="526" t="e">
        <f t="shared" si="24"/>
        <v>#VALUE!</v>
      </c>
      <c r="Y34" s="600"/>
      <c r="Z34" s="526" t="s">
        <v>822</v>
      </c>
      <c r="AA34" s="530" t="s">
        <v>822</v>
      </c>
      <c r="AB34" s="530" t="s">
        <v>822</v>
      </c>
      <c r="AC34" s="526" t="e">
        <f t="shared" si="26"/>
        <v>#VALUE!</v>
      </c>
      <c r="AD34" s="600"/>
      <c r="AE34" s="526" t="s">
        <v>822</v>
      </c>
      <c r="AF34" s="530" t="s">
        <v>822</v>
      </c>
      <c r="AG34" s="530" t="s">
        <v>822</v>
      </c>
      <c r="AH34" s="526" t="e">
        <f t="shared" si="28"/>
        <v>#VALUE!</v>
      </c>
      <c r="AI34" s="600"/>
      <c r="AJ34" s="526" t="s">
        <v>822</v>
      </c>
      <c r="AK34" s="530" t="s">
        <v>822</v>
      </c>
      <c r="AL34" s="530" t="s">
        <v>822</v>
      </c>
      <c r="AM34" s="526" t="e">
        <f t="shared" si="30"/>
        <v>#VALUE!</v>
      </c>
      <c r="AN34" s="600"/>
      <c r="AO34" s="526" t="s">
        <v>822</v>
      </c>
      <c r="AP34" s="530" t="s">
        <v>822</v>
      </c>
      <c r="AQ34" s="530" t="s">
        <v>822</v>
      </c>
      <c r="AR34" s="526" t="e">
        <f t="shared" si="32"/>
        <v>#VALUE!</v>
      </c>
      <c r="AS34" s="600"/>
      <c r="AT34" s="526" t="s">
        <v>822</v>
      </c>
      <c r="AU34" s="530" t="s">
        <v>822</v>
      </c>
      <c r="AV34" s="530" t="s">
        <v>822</v>
      </c>
      <c r="AW34" s="526" t="e">
        <f t="shared" si="34"/>
        <v>#VALUE!</v>
      </c>
      <c r="AX34" s="600"/>
      <c r="AZ34" s="521" t="e">
        <f t="shared" si="36"/>
        <v>#N/A</v>
      </c>
      <c r="BA34" s="600"/>
    </row>
    <row r="35" spans="2:53">
      <c r="B35" s="610"/>
      <c r="C35" s="317">
        <v>9</v>
      </c>
      <c r="D35" s="455"/>
      <c r="E35" s="518"/>
      <c r="F35" s="518"/>
      <c r="G35" s="518"/>
      <c r="H35" s="668"/>
      <c r="I35" s="513" t="str">
        <f t="shared" si="19"/>
        <v>-</v>
      </c>
      <c r="J35" s="513" t="str">
        <f t="shared" si="20"/>
        <v>-</v>
      </c>
      <c r="K35" s="200" t="str">
        <f t="shared" si="21"/>
        <v>-</v>
      </c>
      <c r="L35" s="621"/>
      <c r="M35" s="201" t="e">
        <f>RANK(K35, K$27:$K$41)</f>
        <v>#VALUE!</v>
      </c>
      <c r="N35" s="604"/>
      <c r="O35" s="604"/>
      <c r="P35" s="526" t="s">
        <v>822</v>
      </c>
      <c r="Q35" s="530" t="s">
        <v>822</v>
      </c>
      <c r="R35" s="530" t="s">
        <v>822</v>
      </c>
      <c r="S35" s="526" t="e">
        <f t="shared" si="22"/>
        <v>#VALUE!</v>
      </c>
      <c r="T35" s="600"/>
      <c r="U35" s="526" t="s">
        <v>822</v>
      </c>
      <c r="V35" s="530" t="s">
        <v>822</v>
      </c>
      <c r="W35" s="530" t="s">
        <v>822</v>
      </c>
      <c r="X35" s="526" t="e">
        <f t="shared" si="24"/>
        <v>#VALUE!</v>
      </c>
      <c r="Y35" s="600"/>
      <c r="Z35" s="526" t="s">
        <v>822</v>
      </c>
      <c r="AA35" s="530" t="s">
        <v>822</v>
      </c>
      <c r="AB35" s="530" t="s">
        <v>822</v>
      </c>
      <c r="AC35" s="526" t="e">
        <f t="shared" si="26"/>
        <v>#VALUE!</v>
      </c>
      <c r="AD35" s="600"/>
      <c r="AE35" s="526" t="s">
        <v>822</v>
      </c>
      <c r="AF35" s="530" t="s">
        <v>822</v>
      </c>
      <c r="AG35" s="530" t="s">
        <v>822</v>
      </c>
      <c r="AH35" s="526" t="e">
        <f t="shared" si="28"/>
        <v>#VALUE!</v>
      </c>
      <c r="AI35" s="600"/>
      <c r="AJ35" s="526" t="s">
        <v>822</v>
      </c>
      <c r="AK35" s="530" t="s">
        <v>822</v>
      </c>
      <c r="AL35" s="530" t="s">
        <v>822</v>
      </c>
      <c r="AM35" s="526" t="e">
        <f t="shared" si="30"/>
        <v>#VALUE!</v>
      </c>
      <c r="AN35" s="600"/>
      <c r="AO35" s="526" t="s">
        <v>822</v>
      </c>
      <c r="AP35" s="530" t="s">
        <v>822</v>
      </c>
      <c r="AQ35" s="530" t="s">
        <v>822</v>
      </c>
      <c r="AR35" s="526" t="e">
        <f t="shared" si="32"/>
        <v>#VALUE!</v>
      </c>
      <c r="AS35" s="600"/>
      <c r="AT35" s="526" t="s">
        <v>822</v>
      </c>
      <c r="AU35" s="530" t="s">
        <v>822</v>
      </c>
      <c r="AV35" s="530" t="s">
        <v>822</v>
      </c>
      <c r="AW35" s="526" t="e">
        <f t="shared" si="34"/>
        <v>#VALUE!</v>
      </c>
      <c r="AX35" s="600"/>
      <c r="AZ35" s="521" t="e">
        <f t="shared" si="36"/>
        <v>#N/A</v>
      </c>
      <c r="BA35" s="600"/>
    </row>
    <row r="36" spans="2:53">
      <c r="B36" s="610"/>
      <c r="C36" s="317">
        <v>10</v>
      </c>
      <c r="D36" s="455"/>
      <c r="E36" s="518"/>
      <c r="F36" s="518"/>
      <c r="G36" s="518"/>
      <c r="H36" s="668"/>
      <c r="I36" s="513" t="str">
        <f t="shared" si="19"/>
        <v>-</v>
      </c>
      <c r="J36" s="513" t="str">
        <f t="shared" si="20"/>
        <v>-</v>
      </c>
      <c r="K36" s="200" t="str">
        <f t="shared" si="21"/>
        <v>-</v>
      </c>
      <c r="L36" s="621"/>
      <c r="M36" s="201" t="e">
        <f>RANK(K36, K$27:$K$41)</f>
        <v>#VALUE!</v>
      </c>
      <c r="N36" s="604"/>
      <c r="O36" s="604"/>
      <c r="P36" s="526" t="s">
        <v>822</v>
      </c>
      <c r="Q36" s="530" t="s">
        <v>822</v>
      </c>
      <c r="R36" s="530" t="s">
        <v>822</v>
      </c>
      <c r="S36" s="526" t="e">
        <f t="shared" si="22"/>
        <v>#VALUE!</v>
      </c>
      <c r="T36" s="600"/>
      <c r="U36" s="526" t="s">
        <v>822</v>
      </c>
      <c r="V36" s="530" t="s">
        <v>822</v>
      </c>
      <c r="W36" s="530" t="s">
        <v>822</v>
      </c>
      <c r="X36" s="526" t="e">
        <f t="shared" si="24"/>
        <v>#VALUE!</v>
      </c>
      <c r="Y36" s="600"/>
      <c r="Z36" s="526" t="s">
        <v>822</v>
      </c>
      <c r="AA36" s="530" t="s">
        <v>822</v>
      </c>
      <c r="AB36" s="530" t="s">
        <v>822</v>
      </c>
      <c r="AC36" s="526" t="e">
        <f t="shared" si="26"/>
        <v>#VALUE!</v>
      </c>
      <c r="AD36" s="600"/>
      <c r="AE36" s="526" t="s">
        <v>822</v>
      </c>
      <c r="AF36" s="530" t="s">
        <v>822</v>
      </c>
      <c r="AG36" s="530" t="s">
        <v>822</v>
      </c>
      <c r="AH36" s="526" t="e">
        <f t="shared" si="28"/>
        <v>#VALUE!</v>
      </c>
      <c r="AI36" s="600"/>
      <c r="AJ36" s="526" t="s">
        <v>822</v>
      </c>
      <c r="AK36" s="530" t="s">
        <v>822</v>
      </c>
      <c r="AL36" s="530" t="s">
        <v>822</v>
      </c>
      <c r="AM36" s="526" t="e">
        <f t="shared" si="30"/>
        <v>#VALUE!</v>
      </c>
      <c r="AN36" s="600"/>
      <c r="AO36" s="526" t="s">
        <v>822</v>
      </c>
      <c r="AP36" s="530" t="s">
        <v>822</v>
      </c>
      <c r="AQ36" s="530" t="s">
        <v>822</v>
      </c>
      <c r="AR36" s="526" t="e">
        <f t="shared" si="32"/>
        <v>#VALUE!</v>
      </c>
      <c r="AS36" s="600"/>
      <c r="AT36" s="526" t="s">
        <v>822</v>
      </c>
      <c r="AU36" s="530" t="s">
        <v>822</v>
      </c>
      <c r="AV36" s="530" t="s">
        <v>822</v>
      </c>
      <c r="AW36" s="526" t="e">
        <f t="shared" si="34"/>
        <v>#VALUE!</v>
      </c>
      <c r="AX36" s="600"/>
      <c r="AZ36" s="521" t="e">
        <f t="shared" si="36"/>
        <v>#N/A</v>
      </c>
      <c r="BA36" s="600"/>
    </row>
    <row r="37" spans="2:53">
      <c r="B37" s="610"/>
      <c r="C37" s="317">
        <v>11</v>
      </c>
      <c r="D37" s="455"/>
      <c r="E37" s="518"/>
      <c r="F37" s="518"/>
      <c r="G37" s="518"/>
      <c r="H37" s="668"/>
      <c r="I37" s="513" t="str">
        <f t="shared" si="19"/>
        <v>-</v>
      </c>
      <c r="J37" s="513" t="str">
        <f t="shared" si="20"/>
        <v>-</v>
      </c>
      <c r="K37" s="200" t="str">
        <f t="shared" si="21"/>
        <v>-</v>
      </c>
      <c r="L37" s="621"/>
      <c r="M37" s="201" t="e">
        <f>RANK(K37, K$27:$K$41)</f>
        <v>#VALUE!</v>
      </c>
      <c r="N37" s="604"/>
      <c r="O37" s="604"/>
      <c r="P37" s="526" t="s">
        <v>822</v>
      </c>
      <c r="Q37" s="530" t="s">
        <v>822</v>
      </c>
      <c r="R37" s="530" t="s">
        <v>822</v>
      </c>
      <c r="S37" s="526" t="e">
        <f t="shared" si="22"/>
        <v>#VALUE!</v>
      </c>
      <c r="T37" s="600"/>
      <c r="U37" s="526" t="s">
        <v>822</v>
      </c>
      <c r="V37" s="530" t="s">
        <v>822</v>
      </c>
      <c r="W37" s="530" t="s">
        <v>822</v>
      </c>
      <c r="X37" s="526" t="e">
        <f t="shared" si="24"/>
        <v>#VALUE!</v>
      </c>
      <c r="Y37" s="600"/>
      <c r="Z37" s="526" t="s">
        <v>822</v>
      </c>
      <c r="AA37" s="530" t="s">
        <v>822</v>
      </c>
      <c r="AB37" s="530" t="s">
        <v>822</v>
      </c>
      <c r="AC37" s="526" t="e">
        <f t="shared" si="26"/>
        <v>#VALUE!</v>
      </c>
      <c r="AD37" s="600"/>
      <c r="AE37" s="526" t="s">
        <v>822</v>
      </c>
      <c r="AF37" s="530" t="s">
        <v>822</v>
      </c>
      <c r="AG37" s="530" t="s">
        <v>822</v>
      </c>
      <c r="AH37" s="526" t="e">
        <f t="shared" si="28"/>
        <v>#VALUE!</v>
      </c>
      <c r="AI37" s="600"/>
      <c r="AJ37" s="526" t="s">
        <v>822</v>
      </c>
      <c r="AK37" s="530" t="s">
        <v>822</v>
      </c>
      <c r="AL37" s="530" t="s">
        <v>822</v>
      </c>
      <c r="AM37" s="526" t="e">
        <f t="shared" si="30"/>
        <v>#VALUE!</v>
      </c>
      <c r="AN37" s="600"/>
      <c r="AO37" s="526" t="s">
        <v>822</v>
      </c>
      <c r="AP37" s="530" t="s">
        <v>822</v>
      </c>
      <c r="AQ37" s="530" t="s">
        <v>822</v>
      </c>
      <c r="AR37" s="526" t="e">
        <f t="shared" si="32"/>
        <v>#VALUE!</v>
      </c>
      <c r="AS37" s="600"/>
      <c r="AT37" s="526" t="s">
        <v>822</v>
      </c>
      <c r="AU37" s="530" t="s">
        <v>822</v>
      </c>
      <c r="AV37" s="530" t="s">
        <v>822</v>
      </c>
      <c r="AW37" s="526" t="e">
        <f t="shared" si="34"/>
        <v>#VALUE!</v>
      </c>
      <c r="AX37" s="600"/>
      <c r="AZ37" s="521" t="e">
        <f t="shared" si="36"/>
        <v>#N/A</v>
      </c>
      <c r="BA37" s="600"/>
    </row>
    <row r="38" spans="2:53">
      <c r="B38" s="610"/>
      <c r="C38" s="317">
        <v>12</v>
      </c>
      <c r="D38" s="455"/>
      <c r="E38" s="518"/>
      <c r="F38" s="518"/>
      <c r="G38" s="518"/>
      <c r="H38" s="668"/>
      <c r="I38" s="513" t="str">
        <f t="shared" si="19"/>
        <v>-</v>
      </c>
      <c r="J38" s="513" t="str">
        <f t="shared" si="20"/>
        <v>-</v>
      </c>
      <c r="K38" s="200" t="str">
        <f t="shared" si="21"/>
        <v>-</v>
      </c>
      <c r="L38" s="621"/>
      <c r="M38" s="201" t="e">
        <f>RANK(K38, K$27:$K$41)</f>
        <v>#VALUE!</v>
      </c>
      <c r="N38" s="604"/>
      <c r="O38" s="604"/>
      <c r="P38" s="526" t="s">
        <v>822</v>
      </c>
      <c r="Q38" s="530" t="s">
        <v>822</v>
      </c>
      <c r="R38" s="530" t="s">
        <v>822</v>
      </c>
      <c r="S38" s="526" t="e">
        <f t="shared" si="22"/>
        <v>#VALUE!</v>
      </c>
      <c r="T38" s="600"/>
      <c r="U38" s="526" t="s">
        <v>822</v>
      </c>
      <c r="V38" s="530" t="s">
        <v>822</v>
      </c>
      <c r="W38" s="530" t="s">
        <v>822</v>
      </c>
      <c r="X38" s="526" t="e">
        <f t="shared" si="24"/>
        <v>#VALUE!</v>
      </c>
      <c r="Y38" s="600"/>
      <c r="Z38" s="526" t="s">
        <v>822</v>
      </c>
      <c r="AA38" s="530" t="s">
        <v>822</v>
      </c>
      <c r="AB38" s="530" t="s">
        <v>822</v>
      </c>
      <c r="AC38" s="526" t="e">
        <f t="shared" si="26"/>
        <v>#VALUE!</v>
      </c>
      <c r="AD38" s="600"/>
      <c r="AE38" s="526" t="s">
        <v>822</v>
      </c>
      <c r="AF38" s="530" t="s">
        <v>822</v>
      </c>
      <c r="AG38" s="530" t="s">
        <v>822</v>
      </c>
      <c r="AH38" s="526" t="e">
        <f t="shared" si="28"/>
        <v>#VALUE!</v>
      </c>
      <c r="AI38" s="600"/>
      <c r="AJ38" s="526" t="s">
        <v>822</v>
      </c>
      <c r="AK38" s="530" t="s">
        <v>822</v>
      </c>
      <c r="AL38" s="530" t="s">
        <v>822</v>
      </c>
      <c r="AM38" s="526" t="e">
        <f t="shared" si="30"/>
        <v>#VALUE!</v>
      </c>
      <c r="AN38" s="600"/>
      <c r="AO38" s="526" t="s">
        <v>822</v>
      </c>
      <c r="AP38" s="530" t="s">
        <v>822</v>
      </c>
      <c r="AQ38" s="530" t="s">
        <v>822</v>
      </c>
      <c r="AR38" s="526" t="e">
        <f t="shared" si="32"/>
        <v>#VALUE!</v>
      </c>
      <c r="AS38" s="600"/>
      <c r="AT38" s="526" t="s">
        <v>822</v>
      </c>
      <c r="AU38" s="530" t="s">
        <v>822</v>
      </c>
      <c r="AV38" s="530" t="s">
        <v>822</v>
      </c>
      <c r="AW38" s="526" t="e">
        <f t="shared" si="34"/>
        <v>#VALUE!</v>
      </c>
      <c r="AX38" s="600"/>
      <c r="AZ38" s="521" t="e">
        <f t="shared" si="36"/>
        <v>#N/A</v>
      </c>
      <c r="BA38" s="600"/>
    </row>
    <row r="39" spans="2:53">
      <c r="B39" s="610"/>
      <c r="C39" s="317">
        <v>13</v>
      </c>
      <c r="D39" s="455"/>
      <c r="E39" s="518"/>
      <c r="F39" s="518"/>
      <c r="G39" s="518"/>
      <c r="H39" s="668"/>
      <c r="I39" s="513" t="str">
        <f t="shared" si="19"/>
        <v>-</v>
      </c>
      <c r="J39" s="513" t="str">
        <f t="shared" si="20"/>
        <v>-</v>
      </c>
      <c r="K39" s="200" t="str">
        <f t="shared" si="21"/>
        <v>-</v>
      </c>
      <c r="L39" s="621"/>
      <c r="M39" s="201" t="e">
        <f>RANK(K39, K$27:$K$41)</f>
        <v>#VALUE!</v>
      </c>
      <c r="N39" s="604"/>
      <c r="O39" s="604"/>
      <c r="P39" s="526" t="s">
        <v>822</v>
      </c>
      <c r="Q39" s="530" t="s">
        <v>822</v>
      </c>
      <c r="R39" s="530" t="s">
        <v>822</v>
      </c>
      <c r="S39" s="526" t="e">
        <f t="shared" si="22"/>
        <v>#VALUE!</v>
      </c>
      <c r="T39" s="600"/>
      <c r="U39" s="526" t="s">
        <v>822</v>
      </c>
      <c r="V39" s="530" t="s">
        <v>822</v>
      </c>
      <c r="W39" s="530" t="s">
        <v>822</v>
      </c>
      <c r="X39" s="526" t="e">
        <f t="shared" si="24"/>
        <v>#VALUE!</v>
      </c>
      <c r="Y39" s="600"/>
      <c r="Z39" s="526" t="s">
        <v>822</v>
      </c>
      <c r="AA39" s="530" t="s">
        <v>822</v>
      </c>
      <c r="AB39" s="530" t="s">
        <v>822</v>
      </c>
      <c r="AC39" s="526" t="e">
        <f t="shared" si="26"/>
        <v>#VALUE!</v>
      </c>
      <c r="AD39" s="600"/>
      <c r="AE39" s="526" t="s">
        <v>822</v>
      </c>
      <c r="AF39" s="530" t="s">
        <v>822</v>
      </c>
      <c r="AG39" s="530" t="s">
        <v>822</v>
      </c>
      <c r="AH39" s="526" t="e">
        <f t="shared" si="28"/>
        <v>#VALUE!</v>
      </c>
      <c r="AI39" s="600"/>
      <c r="AJ39" s="526" t="s">
        <v>822</v>
      </c>
      <c r="AK39" s="530" t="s">
        <v>822</v>
      </c>
      <c r="AL39" s="530" t="s">
        <v>822</v>
      </c>
      <c r="AM39" s="526" t="e">
        <f t="shared" si="30"/>
        <v>#VALUE!</v>
      </c>
      <c r="AN39" s="600"/>
      <c r="AO39" s="526" t="s">
        <v>822</v>
      </c>
      <c r="AP39" s="530" t="s">
        <v>822</v>
      </c>
      <c r="AQ39" s="530" t="s">
        <v>822</v>
      </c>
      <c r="AR39" s="526" t="e">
        <f t="shared" si="32"/>
        <v>#VALUE!</v>
      </c>
      <c r="AS39" s="600"/>
      <c r="AT39" s="526" t="s">
        <v>822</v>
      </c>
      <c r="AU39" s="530" t="s">
        <v>822</v>
      </c>
      <c r="AV39" s="530" t="s">
        <v>822</v>
      </c>
      <c r="AW39" s="526" t="e">
        <f t="shared" si="34"/>
        <v>#VALUE!</v>
      </c>
      <c r="AX39" s="600"/>
      <c r="AZ39" s="521" t="e">
        <f t="shared" si="36"/>
        <v>#N/A</v>
      </c>
      <c r="BA39" s="600"/>
    </row>
    <row r="40" spans="2:53">
      <c r="B40" s="610"/>
      <c r="C40" s="317">
        <v>14</v>
      </c>
      <c r="D40" s="455"/>
      <c r="E40" s="518"/>
      <c r="F40" s="518"/>
      <c r="G40" s="518"/>
      <c r="H40" s="668"/>
      <c r="I40" s="513" t="str">
        <f t="shared" si="19"/>
        <v>-</v>
      </c>
      <c r="J40" s="513" t="str">
        <f t="shared" si="20"/>
        <v>-</v>
      </c>
      <c r="K40" s="200" t="str">
        <f t="shared" si="21"/>
        <v>-</v>
      </c>
      <c r="L40" s="621"/>
      <c r="M40" s="201" t="e">
        <f>RANK(K40, K$27:$K$41)</f>
        <v>#VALUE!</v>
      </c>
      <c r="N40" s="604"/>
      <c r="O40" s="604"/>
      <c r="P40" s="526" t="s">
        <v>822</v>
      </c>
      <c r="Q40" s="530" t="s">
        <v>822</v>
      </c>
      <c r="R40" s="530" t="s">
        <v>822</v>
      </c>
      <c r="S40" s="526" t="e">
        <f t="shared" si="22"/>
        <v>#VALUE!</v>
      </c>
      <c r="T40" s="600"/>
      <c r="U40" s="526" t="s">
        <v>822</v>
      </c>
      <c r="V40" s="530" t="s">
        <v>822</v>
      </c>
      <c r="W40" s="530" t="s">
        <v>822</v>
      </c>
      <c r="X40" s="526" t="e">
        <f t="shared" si="24"/>
        <v>#VALUE!</v>
      </c>
      <c r="Y40" s="600"/>
      <c r="Z40" s="526" t="s">
        <v>822</v>
      </c>
      <c r="AA40" s="530" t="s">
        <v>822</v>
      </c>
      <c r="AB40" s="530" t="s">
        <v>822</v>
      </c>
      <c r="AC40" s="526" t="e">
        <f t="shared" si="26"/>
        <v>#VALUE!</v>
      </c>
      <c r="AD40" s="600"/>
      <c r="AE40" s="526" t="s">
        <v>822</v>
      </c>
      <c r="AF40" s="530" t="s">
        <v>822</v>
      </c>
      <c r="AG40" s="530" t="s">
        <v>822</v>
      </c>
      <c r="AH40" s="526" t="e">
        <f t="shared" si="28"/>
        <v>#VALUE!</v>
      </c>
      <c r="AI40" s="600"/>
      <c r="AJ40" s="526" t="s">
        <v>822</v>
      </c>
      <c r="AK40" s="530" t="s">
        <v>822</v>
      </c>
      <c r="AL40" s="530" t="s">
        <v>822</v>
      </c>
      <c r="AM40" s="526" t="e">
        <f t="shared" si="30"/>
        <v>#VALUE!</v>
      </c>
      <c r="AN40" s="600"/>
      <c r="AO40" s="526" t="s">
        <v>822</v>
      </c>
      <c r="AP40" s="530" t="s">
        <v>822</v>
      </c>
      <c r="AQ40" s="530" t="s">
        <v>822</v>
      </c>
      <c r="AR40" s="526" t="e">
        <f t="shared" si="32"/>
        <v>#VALUE!</v>
      </c>
      <c r="AS40" s="600"/>
      <c r="AT40" s="526" t="s">
        <v>822</v>
      </c>
      <c r="AU40" s="530" t="s">
        <v>822</v>
      </c>
      <c r="AV40" s="530" t="s">
        <v>822</v>
      </c>
      <c r="AW40" s="526" t="e">
        <f t="shared" si="34"/>
        <v>#VALUE!</v>
      </c>
      <c r="AX40" s="600"/>
      <c r="AZ40" s="521" t="e">
        <f t="shared" si="36"/>
        <v>#N/A</v>
      </c>
      <c r="BA40" s="600"/>
    </row>
    <row r="41" spans="2:53">
      <c r="B41" s="610"/>
      <c r="C41" s="317">
        <v>15</v>
      </c>
      <c r="D41" s="455"/>
      <c r="E41" s="518"/>
      <c r="F41" s="518"/>
      <c r="G41" s="518"/>
      <c r="H41" s="669"/>
      <c r="I41" s="517"/>
      <c r="J41" s="517"/>
      <c r="K41" s="517"/>
      <c r="L41" s="622"/>
      <c r="M41" s="199" t="e">
        <f>RANK(K41, K$27:$K$41)</f>
        <v>#N/A</v>
      </c>
      <c r="N41" s="604"/>
      <c r="O41" s="604"/>
      <c r="P41" s="526" t="s">
        <v>822</v>
      </c>
      <c r="Q41" s="530" t="s">
        <v>822</v>
      </c>
      <c r="R41" s="530" t="s">
        <v>822</v>
      </c>
      <c r="S41" s="526" t="e">
        <f t="shared" si="22"/>
        <v>#VALUE!</v>
      </c>
      <c r="T41" s="601"/>
      <c r="U41" s="526" t="s">
        <v>822</v>
      </c>
      <c r="V41" s="530" t="s">
        <v>822</v>
      </c>
      <c r="W41" s="530" t="s">
        <v>822</v>
      </c>
      <c r="X41" s="526" t="e">
        <f t="shared" si="24"/>
        <v>#VALUE!</v>
      </c>
      <c r="Y41" s="601"/>
      <c r="Z41" s="526" t="s">
        <v>822</v>
      </c>
      <c r="AA41" s="530" t="s">
        <v>822</v>
      </c>
      <c r="AB41" s="530" t="s">
        <v>822</v>
      </c>
      <c r="AC41" s="526" t="e">
        <f t="shared" si="26"/>
        <v>#VALUE!</v>
      </c>
      <c r="AD41" s="601"/>
      <c r="AE41" s="526" t="s">
        <v>822</v>
      </c>
      <c r="AF41" s="530" t="s">
        <v>822</v>
      </c>
      <c r="AG41" s="530" t="s">
        <v>822</v>
      </c>
      <c r="AH41" s="526" t="e">
        <f t="shared" si="28"/>
        <v>#VALUE!</v>
      </c>
      <c r="AI41" s="601"/>
      <c r="AJ41" s="526" t="s">
        <v>822</v>
      </c>
      <c r="AK41" s="530" t="s">
        <v>822</v>
      </c>
      <c r="AL41" s="530" t="s">
        <v>822</v>
      </c>
      <c r="AM41" s="526" t="e">
        <f t="shared" si="30"/>
        <v>#VALUE!</v>
      </c>
      <c r="AN41" s="601"/>
      <c r="AO41" s="526" t="s">
        <v>822</v>
      </c>
      <c r="AP41" s="530" t="s">
        <v>822</v>
      </c>
      <c r="AQ41" s="530" t="s">
        <v>822</v>
      </c>
      <c r="AR41" s="526" t="e">
        <f t="shared" si="32"/>
        <v>#VALUE!</v>
      </c>
      <c r="AS41" s="601"/>
      <c r="AT41" s="526" t="s">
        <v>822</v>
      </c>
      <c r="AU41" s="530" t="s">
        <v>822</v>
      </c>
      <c r="AV41" s="530" t="s">
        <v>822</v>
      </c>
      <c r="AW41" s="526" t="e">
        <f t="shared" si="34"/>
        <v>#VALUE!</v>
      </c>
      <c r="AX41" s="601"/>
      <c r="AZ41" s="521" t="e">
        <f t="shared" si="36"/>
        <v>#N/A</v>
      </c>
      <c r="BA41" s="601"/>
    </row>
    <row r="42" spans="2:53" ht="15.75">
      <c r="B42" s="648" t="s">
        <v>163</v>
      </c>
      <c r="C42" s="649"/>
      <c r="D42" s="649"/>
      <c r="E42" s="649"/>
      <c r="F42" s="649"/>
      <c r="G42" s="649"/>
      <c r="H42" s="649"/>
      <c r="I42" s="208"/>
      <c r="J42" s="203"/>
      <c r="K42" s="208"/>
      <c r="L42" s="208"/>
      <c r="M42" s="204"/>
      <c r="N42" s="606" t="s">
        <v>156</v>
      </c>
      <c r="O42" s="606" t="s">
        <v>105</v>
      </c>
      <c r="P42" s="632">
        <f>P22+7</f>
        <v>46126</v>
      </c>
      <c r="Q42" s="610"/>
      <c r="R42" s="610"/>
      <c r="S42" s="610"/>
      <c r="T42" s="610"/>
      <c r="U42" s="629">
        <f>P42+1</f>
        <v>46127</v>
      </c>
      <c r="V42" s="630"/>
      <c r="W42" s="630"/>
      <c r="X42" s="630"/>
      <c r="Y42" s="631"/>
      <c r="Z42" s="629">
        <f>U42+1</f>
        <v>46128</v>
      </c>
      <c r="AA42" s="630"/>
      <c r="AB42" s="630"/>
      <c r="AC42" s="630"/>
      <c r="AD42" s="631"/>
      <c r="AE42" s="629">
        <f>Z42+1</f>
        <v>46129</v>
      </c>
      <c r="AF42" s="630"/>
      <c r="AG42" s="630"/>
      <c r="AH42" s="630"/>
      <c r="AI42" s="631"/>
      <c r="AJ42" s="629">
        <f>AE42+1</f>
        <v>46130</v>
      </c>
      <c r="AK42" s="630"/>
      <c r="AL42" s="630"/>
      <c r="AM42" s="630"/>
      <c r="AN42" s="631"/>
      <c r="AO42" s="629">
        <f>AJ42+1</f>
        <v>46131</v>
      </c>
      <c r="AP42" s="630"/>
      <c r="AQ42" s="630"/>
      <c r="AR42" s="630"/>
      <c r="AS42" s="631"/>
      <c r="AT42" s="629">
        <f>AO42+1</f>
        <v>46132</v>
      </c>
      <c r="AU42" s="630"/>
      <c r="AV42" s="630"/>
      <c r="AW42" s="630"/>
      <c r="AX42" s="631"/>
    </row>
    <row r="43" spans="2:53" ht="15.75">
      <c r="B43" s="636"/>
      <c r="C43" s="636"/>
      <c r="D43" s="636"/>
      <c r="E43" s="636"/>
      <c r="F43" s="636"/>
      <c r="G43" s="636"/>
      <c r="H43" s="636"/>
      <c r="I43" s="205"/>
      <c r="J43" s="205"/>
      <c r="K43" s="205"/>
      <c r="L43" s="205"/>
      <c r="M43" s="206"/>
      <c r="N43" s="608"/>
      <c r="O43" s="608"/>
      <c r="P43" s="632" t="s">
        <v>336</v>
      </c>
      <c r="Q43" s="610"/>
      <c r="R43" s="610"/>
      <c r="S43" s="610"/>
      <c r="T43" s="610"/>
      <c r="U43" s="632" t="s">
        <v>337</v>
      </c>
      <c r="V43" s="610"/>
      <c r="W43" s="610"/>
      <c r="X43" s="610"/>
      <c r="Y43" s="610"/>
      <c r="Z43" s="632" t="s">
        <v>338</v>
      </c>
      <c r="AA43" s="610"/>
      <c r="AB43" s="610"/>
      <c r="AC43" s="610"/>
      <c r="AD43" s="610"/>
      <c r="AE43" s="632" t="s">
        <v>339</v>
      </c>
      <c r="AF43" s="610"/>
      <c r="AG43" s="610"/>
      <c r="AH43" s="610"/>
      <c r="AI43" s="610"/>
      <c r="AJ43" s="632" t="s">
        <v>340</v>
      </c>
      <c r="AK43" s="610"/>
      <c r="AL43" s="610"/>
      <c r="AM43" s="610"/>
      <c r="AN43" s="610"/>
      <c r="AO43" s="632" t="s">
        <v>341</v>
      </c>
      <c r="AP43" s="610"/>
      <c r="AQ43" s="610"/>
      <c r="AR43" s="610"/>
      <c r="AS43" s="610"/>
      <c r="AT43" s="632" t="s">
        <v>342</v>
      </c>
      <c r="AU43" s="610"/>
      <c r="AV43" s="610"/>
      <c r="AW43" s="610"/>
      <c r="AX43" s="610"/>
    </row>
    <row r="44" spans="2:53">
      <c r="B44" s="604" t="s">
        <v>530</v>
      </c>
      <c r="C44" s="604" t="s">
        <v>531</v>
      </c>
      <c r="D44" s="604"/>
      <c r="E44" s="604" t="s">
        <v>532</v>
      </c>
      <c r="F44" s="604"/>
      <c r="G44" s="604"/>
      <c r="H44" s="637" t="s">
        <v>533</v>
      </c>
      <c r="I44" s="656" t="s">
        <v>534</v>
      </c>
      <c r="J44" s="656"/>
      <c r="K44" s="656"/>
      <c r="L44" s="657" t="s">
        <v>395</v>
      </c>
      <c r="M44" s="642" t="s">
        <v>535</v>
      </c>
      <c r="N44" s="604"/>
      <c r="O44" s="604" t="s">
        <v>536</v>
      </c>
      <c r="P44" s="623" t="s">
        <v>755</v>
      </c>
      <c r="Q44" s="624"/>
      <c r="R44" s="624"/>
      <c r="S44" s="625"/>
      <c r="T44" s="604" t="s">
        <v>756</v>
      </c>
      <c r="U44" s="623" t="s">
        <v>755</v>
      </c>
      <c r="V44" s="624"/>
      <c r="W44" s="624"/>
      <c r="X44" s="625"/>
      <c r="Y44" s="604" t="s">
        <v>756</v>
      </c>
      <c r="Z44" s="623" t="s">
        <v>755</v>
      </c>
      <c r="AA44" s="624"/>
      <c r="AB44" s="624"/>
      <c r="AC44" s="625"/>
      <c r="AD44" s="604" t="s">
        <v>756</v>
      </c>
      <c r="AE44" s="623" t="s">
        <v>755</v>
      </c>
      <c r="AF44" s="624"/>
      <c r="AG44" s="624"/>
      <c r="AH44" s="625"/>
      <c r="AI44" s="604" t="s">
        <v>756</v>
      </c>
      <c r="AJ44" s="623" t="s">
        <v>755</v>
      </c>
      <c r="AK44" s="624"/>
      <c r="AL44" s="624"/>
      <c r="AM44" s="625"/>
      <c r="AN44" s="604" t="s">
        <v>756</v>
      </c>
      <c r="AO44" s="623" t="s">
        <v>755</v>
      </c>
      <c r="AP44" s="624"/>
      <c r="AQ44" s="624"/>
      <c r="AR44" s="625"/>
      <c r="AS44" s="604" t="s">
        <v>756</v>
      </c>
      <c r="AT44" s="623" t="s">
        <v>755</v>
      </c>
      <c r="AU44" s="624"/>
      <c r="AV44" s="624"/>
      <c r="AW44" s="625"/>
      <c r="AX44" s="604" t="s">
        <v>756</v>
      </c>
      <c r="BA44" s="604" t="s">
        <v>395</v>
      </c>
    </row>
    <row r="45" spans="2:53">
      <c r="B45" s="604"/>
      <c r="C45" s="604"/>
      <c r="D45" s="604"/>
      <c r="E45" s="604" t="s">
        <v>538</v>
      </c>
      <c r="F45" s="604"/>
      <c r="G45" s="604"/>
      <c r="H45" s="638"/>
      <c r="I45" s="656" t="s">
        <v>538</v>
      </c>
      <c r="J45" s="656"/>
      <c r="K45" s="656"/>
      <c r="L45" s="658"/>
      <c r="M45" s="643"/>
      <c r="N45" s="604"/>
      <c r="O45" s="604"/>
      <c r="P45" s="623" t="s">
        <v>757</v>
      </c>
      <c r="Q45" s="624"/>
      <c r="R45" s="624"/>
      <c r="S45" s="625"/>
      <c r="T45" s="604"/>
      <c r="U45" s="623" t="s">
        <v>757</v>
      </c>
      <c r="V45" s="624"/>
      <c r="W45" s="624"/>
      <c r="X45" s="625"/>
      <c r="Y45" s="604"/>
      <c r="Z45" s="623" t="s">
        <v>757</v>
      </c>
      <c r="AA45" s="624"/>
      <c r="AB45" s="624"/>
      <c r="AC45" s="625"/>
      <c r="AD45" s="604"/>
      <c r="AE45" s="623" t="s">
        <v>757</v>
      </c>
      <c r="AF45" s="624"/>
      <c r="AG45" s="624"/>
      <c r="AH45" s="625"/>
      <c r="AI45" s="604"/>
      <c r="AJ45" s="623" t="s">
        <v>757</v>
      </c>
      <c r="AK45" s="624"/>
      <c r="AL45" s="624"/>
      <c r="AM45" s="625"/>
      <c r="AN45" s="604"/>
      <c r="AO45" s="623" t="s">
        <v>757</v>
      </c>
      <c r="AP45" s="624"/>
      <c r="AQ45" s="624"/>
      <c r="AR45" s="625"/>
      <c r="AS45" s="604"/>
      <c r="AT45" s="623" t="s">
        <v>757</v>
      </c>
      <c r="AU45" s="624"/>
      <c r="AV45" s="624"/>
      <c r="AW45" s="625"/>
      <c r="AX45" s="604"/>
      <c r="BA45" s="604"/>
    </row>
    <row r="46" spans="2:53">
      <c r="B46" s="604"/>
      <c r="C46" s="604"/>
      <c r="D46" s="604"/>
      <c r="E46" s="319" t="s">
        <v>540</v>
      </c>
      <c r="F46" s="319" t="s">
        <v>541</v>
      </c>
      <c r="G46" s="319" t="s">
        <v>542</v>
      </c>
      <c r="H46" s="639"/>
      <c r="I46" s="318" t="s">
        <v>540</v>
      </c>
      <c r="J46" s="318" t="s">
        <v>541</v>
      </c>
      <c r="K46" s="318" t="s">
        <v>542</v>
      </c>
      <c r="L46" s="659"/>
      <c r="M46" s="644"/>
      <c r="N46" s="604"/>
      <c r="O46" s="604"/>
      <c r="P46" s="484" t="s">
        <v>758</v>
      </c>
      <c r="Q46" s="484" t="s">
        <v>759</v>
      </c>
      <c r="R46" s="484" t="s">
        <v>760</v>
      </c>
      <c r="S46" s="484" t="s">
        <v>761</v>
      </c>
      <c r="T46" s="604"/>
      <c r="U46" s="484" t="s">
        <v>758</v>
      </c>
      <c r="V46" s="484" t="s">
        <v>759</v>
      </c>
      <c r="W46" s="484" t="s">
        <v>760</v>
      </c>
      <c r="X46" s="484" t="s">
        <v>761</v>
      </c>
      <c r="Y46" s="604"/>
      <c r="Z46" s="484" t="s">
        <v>758</v>
      </c>
      <c r="AA46" s="484" t="s">
        <v>759</v>
      </c>
      <c r="AB46" s="484" t="s">
        <v>760</v>
      </c>
      <c r="AC46" s="484" t="s">
        <v>761</v>
      </c>
      <c r="AD46" s="604"/>
      <c r="AE46" s="484" t="s">
        <v>758</v>
      </c>
      <c r="AF46" s="484" t="s">
        <v>759</v>
      </c>
      <c r="AG46" s="484" t="s">
        <v>760</v>
      </c>
      <c r="AH46" s="484" t="s">
        <v>761</v>
      </c>
      <c r="AI46" s="604"/>
      <c r="AJ46" s="484" t="s">
        <v>758</v>
      </c>
      <c r="AK46" s="484" t="s">
        <v>759</v>
      </c>
      <c r="AL46" s="484" t="s">
        <v>760</v>
      </c>
      <c r="AM46" s="484" t="s">
        <v>761</v>
      </c>
      <c r="AN46" s="604"/>
      <c r="AO46" s="484" t="s">
        <v>758</v>
      </c>
      <c r="AP46" s="484" t="s">
        <v>759</v>
      </c>
      <c r="AQ46" s="484" t="s">
        <v>760</v>
      </c>
      <c r="AR46" s="484" t="s">
        <v>761</v>
      </c>
      <c r="AS46" s="604"/>
      <c r="AT46" s="484" t="s">
        <v>758</v>
      </c>
      <c r="AU46" s="484" t="s">
        <v>759</v>
      </c>
      <c r="AV46" s="484" t="s">
        <v>760</v>
      </c>
      <c r="AW46" s="484" t="s">
        <v>761</v>
      </c>
      <c r="AX46" s="604"/>
      <c r="AZ46" s="520" t="s">
        <v>761</v>
      </c>
      <c r="BA46" s="604"/>
    </row>
    <row r="47" spans="2:53">
      <c r="B47" s="604" t="s">
        <v>545</v>
      </c>
      <c r="C47" s="320">
        <v>1</v>
      </c>
      <c r="D47" s="455" t="s">
        <v>377</v>
      </c>
      <c r="E47" s="518">
        <v>20</v>
      </c>
      <c r="F47" s="518">
        <v>2400</v>
      </c>
      <c r="G47" s="518">
        <v>120</v>
      </c>
      <c r="H47" s="667">
        <f>AVERAGE(G47:G61)</f>
        <v>151.73333333333332</v>
      </c>
      <c r="I47" s="513">
        <f t="shared" ref="I47:I60" si="38">IFERROR(AVERAGE(P47,U47,Z47,AE47,AJ47,AO47,AT47),"-")</f>
        <v>20</v>
      </c>
      <c r="J47" s="513">
        <f t="shared" ref="J47:J60" si="39">IFERROR(AVERAGE(Q47,V47,AA47,AF47,AK47,AP47,AU47),"-")</f>
        <v>2261.6456928190719</v>
      </c>
      <c r="K47" s="200">
        <f t="shared" ref="K47:K60" si="40">IFERROR(AVERAGE(R47,W47,AB47,AG47,AL47,AQ47,AV47),"-")</f>
        <v>113.0822846409536</v>
      </c>
      <c r="L47" s="620">
        <f>IFERROR(AVERAGE(K47:K61),"-")</f>
        <v>126.42690083132315</v>
      </c>
      <c r="M47" s="201">
        <f>RANK(K47, K$47:$K$61)</f>
        <v>6</v>
      </c>
      <c r="N47" s="604"/>
      <c r="O47" s="604"/>
      <c r="P47" s="531">
        <v>20</v>
      </c>
      <c r="Q47" s="533">
        <v>2294.8979591836742</v>
      </c>
      <c r="R47" s="533">
        <v>114.7448979591837</v>
      </c>
      <c r="S47" s="531">
        <f t="shared" ref="S47:S51" si="41">RANK(R47, R$47:R$61)</f>
        <v>6</v>
      </c>
      <c r="T47" s="599">
        <f t="shared" ref="T47" si="42">AVERAGE(R47:R61)</f>
        <v>128.05817138060715</v>
      </c>
      <c r="U47" s="531">
        <v>20</v>
      </c>
      <c r="V47" s="533">
        <v>2251.4999999999991</v>
      </c>
      <c r="W47" s="533">
        <v>112.57499999999996</v>
      </c>
      <c r="X47" s="531">
        <f t="shared" ref="X47:X51" si="43">RANK(W47, W$47:W$61)</f>
        <v>6</v>
      </c>
      <c r="Y47" s="599">
        <f t="shared" ref="Y47" si="44">AVERAGE(W47:W61)</f>
        <v>127.14250871114722</v>
      </c>
      <c r="Z47" s="531">
        <v>20</v>
      </c>
      <c r="AA47" s="533">
        <v>2248.636363636364</v>
      </c>
      <c r="AB47" s="533">
        <v>112.4318181818182</v>
      </c>
      <c r="AC47" s="531">
        <f t="shared" ref="AC47:AC51" si="45">RANK(AB47, AB$47:AB$61)</f>
        <v>6</v>
      </c>
      <c r="AD47" s="599">
        <f t="shared" ref="AD47" si="46">AVERAGE(AB47:AB61)</f>
        <v>126.55521799808632</v>
      </c>
      <c r="AE47" s="531">
        <v>20</v>
      </c>
      <c r="AF47" s="533">
        <v>2264</v>
      </c>
      <c r="AG47" s="533">
        <v>113.2</v>
      </c>
      <c r="AH47" s="531">
        <f t="shared" ref="AH47:AH51" si="47">RANK(AG47, AG$47:AG$61)</f>
        <v>6</v>
      </c>
      <c r="AI47" s="599">
        <f t="shared" ref="AI47" si="48">AVERAGE(AG47:AG61)</f>
        <v>126.75185641491464</v>
      </c>
      <c r="AJ47" s="531">
        <v>20</v>
      </c>
      <c r="AK47" s="533">
        <v>2266.6378378378381</v>
      </c>
      <c r="AL47" s="533">
        <v>113.3318918918919</v>
      </c>
      <c r="AM47" s="531">
        <f t="shared" ref="AM47:AM51" si="49">RANK(AL47, AL$47:AL$61)</f>
        <v>5</v>
      </c>
      <c r="AN47" s="599">
        <f t="shared" ref="AN47" si="50">AVERAGE(AL47:AL61)</f>
        <v>126.18473173070457</v>
      </c>
      <c r="AO47" s="531">
        <v>20</v>
      </c>
      <c r="AP47" s="533">
        <v>2267.2941176470595</v>
      </c>
      <c r="AQ47" s="533">
        <v>113.36470588235298</v>
      </c>
      <c r="AR47" s="531">
        <f t="shared" ref="AR47:AR51" si="51">RANK(AQ47, AQ$47:AQ$61)</f>
        <v>6</v>
      </c>
      <c r="AS47" s="599">
        <f t="shared" ref="AS47" si="52">AVERAGE(AQ47:AQ61)</f>
        <v>127.00522610208293</v>
      </c>
      <c r="AT47" s="531">
        <v>20</v>
      </c>
      <c r="AU47" s="533">
        <v>2238.5535714285706</v>
      </c>
      <c r="AV47" s="533">
        <v>111.92767857142853</v>
      </c>
      <c r="AW47" s="531">
        <f t="shared" ref="AW47:AW51" si="53">RANK(AV47, AV$47:AV$61)</f>
        <v>6</v>
      </c>
      <c r="AX47" s="599">
        <f t="shared" ref="AX47" si="54">AVERAGE(AV47:AV61)</f>
        <v>123.29059348171914</v>
      </c>
      <c r="AZ47" s="521" t="e">
        <f t="shared" ref="AZ47:AZ51" si="55">RANK(AY47, AY$47:AY$61)</f>
        <v>#N/A</v>
      </c>
      <c r="BA47" s="599" t="e">
        <f t="shared" ref="BA47" si="56">AVERAGE(AY47:AY61)</f>
        <v>#DIV/0!</v>
      </c>
    </row>
    <row r="48" spans="2:53">
      <c r="B48" s="610"/>
      <c r="C48" s="320">
        <v>2</v>
      </c>
      <c r="D48" s="455" t="s">
        <v>378</v>
      </c>
      <c r="E48" s="518">
        <v>18</v>
      </c>
      <c r="F48" s="518">
        <v>2700</v>
      </c>
      <c r="G48" s="518">
        <v>166.7</v>
      </c>
      <c r="H48" s="668"/>
      <c r="I48" s="513">
        <f t="shared" si="38"/>
        <v>19</v>
      </c>
      <c r="J48" s="513">
        <f t="shared" si="39"/>
        <v>2559.9278753710396</v>
      </c>
      <c r="K48" s="200">
        <f t="shared" si="40"/>
        <v>134.73304607215999</v>
      </c>
      <c r="L48" s="621"/>
      <c r="M48" s="201">
        <f>RANK(K48, K$47:$K$61)</f>
        <v>1</v>
      </c>
      <c r="N48" s="604"/>
      <c r="O48" s="604"/>
      <c r="P48" s="531">
        <v>19</v>
      </c>
      <c r="Q48" s="533">
        <v>2588.2258064516141</v>
      </c>
      <c r="R48" s="533">
        <v>136.22241086587442</v>
      </c>
      <c r="S48" s="531">
        <f t="shared" si="41"/>
        <v>2</v>
      </c>
      <c r="T48" s="600"/>
      <c r="U48" s="531">
        <v>19</v>
      </c>
      <c r="V48" s="533">
        <v>2550.2097902097908</v>
      </c>
      <c r="W48" s="533">
        <v>134.22156790577847</v>
      </c>
      <c r="X48" s="531">
        <f t="shared" si="43"/>
        <v>2</v>
      </c>
      <c r="Y48" s="600"/>
      <c r="Z48" s="531">
        <v>19</v>
      </c>
      <c r="AA48" s="533">
        <v>2541.7834394904462</v>
      </c>
      <c r="AB48" s="533">
        <v>133.77807576265505</v>
      </c>
      <c r="AC48" s="531">
        <f t="shared" si="45"/>
        <v>3</v>
      </c>
      <c r="AD48" s="600"/>
      <c r="AE48" s="531">
        <v>19</v>
      </c>
      <c r="AF48" s="533">
        <v>2571.5044247787614</v>
      </c>
      <c r="AG48" s="533">
        <v>135.3423381462506</v>
      </c>
      <c r="AH48" s="531">
        <f t="shared" si="47"/>
        <v>2</v>
      </c>
      <c r="AI48" s="600"/>
      <c r="AJ48" s="531">
        <v>19</v>
      </c>
      <c r="AK48" s="533">
        <v>2520.4800000000009</v>
      </c>
      <c r="AL48" s="533">
        <v>132.65684210526319</v>
      </c>
      <c r="AM48" s="531">
        <f t="shared" si="49"/>
        <v>3</v>
      </c>
      <c r="AN48" s="600"/>
      <c r="AO48" s="531">
        <v>19</v>
      </c>
      <c r="AP48" s="533">
        <v>2570.6249999999995</v>
      </c>
      <c r="AQ48" s="533">
        <v>135.29605263157893</v>
      </c>
      <c r="AR48" s="531">
        <f t="shared" si="51"/>
        <v>1</v>
      </c>
      <c r="AS48" s="600"/>
      <c r="AT48" s="531">
        <v>19</v>
      </c>
      <c r="AU48" s="533">
        <v>2576.6666666666656</v>
      </c>
      <c r="AV48" s="533">
        <v>135.61403508771923</v>
      </c>
      <c r="AW48" s="531">
        <f t="shared" si="53"/>
        <v>1</v>
      </c>
      <c r="AX48" s="600"/>
      <c r="AZ48" s="521" t="e">
        <f t="shared" si="55"/>
        <v>#N/A</v>
      </c>
      <c r="BA48" s="600"/>
    </row>
    <row r="49" spans="2:53">
      <c r="B49" s="610"/>
      <c r="C49" s="320">
        <v>3</v>
      </c>
      <c r="D49" s="455" t="s">
        <v>379</v>
      </c>
      <c r="E49" s="518">
        <v>18</v>
      </c>
      <c r="F49" s="518">
        <v>2700</v>
      </c>
      <c r="G49" s="518">
        <v>166.7</v>
      </c>
      <c r="H49" s="668"/>
      <c r="I49" s="513">
        <f t="shared" si="38"/>
        <v>19.142857142857142</v>
      </c>
      <c r="J49" s="513">
        <f t="shared" si="39"/>
        <v>2534.1355307535273</v>
      </c>
      <c r="K49" s="200">
        <f t="shared" si="40"/>
        <v>132.47405049078716</v>
      </c>
      <c r="L49" s="621"/>
      <c r="M49" s="201">
        <f>RANK(K49, K$47:$K$61)</f>
        <v>3</v>
      </c>
      <c r="N49" s="604"/>
      <c r="O49" s="604"/>
      <c r="P49" s="531">
        <v>19</v>
      </c>
      <c r="Q49" s="533">
        <v>2547.3417721518972</v>
      </c>
      <c r="R49" s="533">
        <v>134.07061958694194</v>
      </c>
      <c r="S49" s="531">
        <f t="shared" si="41"/>
        <v>3</v>
      </c>
      <c r="T49" s="600"/>
      <c r="U49" s="531">
        <v>19</v>
      </c>
      <c r="V49" s="533">
        <v>2572.7472527472528</v>
      </c>
      <c r="W49" s="533">
        <v>135.40775014459226</v>
      </c>
      <c r="X49" s="531">
        <f t="shared" si="43"/>
        <v>1</v>
      </c>
      <c r="Y49" s="600"/>
      <c r="Z49" s="531">
        <v>19</v>
      </c>
      <c r="AA49" s="533">
        <v>2577.9310344827582</v>
      </c>
      <c r="AB49" s="533">
        <v>135.68058076225043</v>
      </c>
      <c r="AC49" s="531">
        <f t="shared" si="45"/>
        <v>1</v>
      </c>
      <c r="AD49" s="600"/>
      <c r="AE49" s="531">
        <v>19</v>
      </c>
      <c r="AF49" s="533">
        <v>2519.9999999999982</v>
      </c>
      <c r="AG49" s="533">
        <v>132.63157894736833</v>
      </c>
      <c r="AH49" s="531">
        <f t="shared" si="47"/>
        <v>3</v>
      </c>
      <c r="AI49" s="600"/>
      <c r="AJ49" s="531">
        <v>19</v>
      </c>
      <c r="AK49" s="533">
        <v>2557.6744186046508</v>
      </c>
      <c r="AL49" s="533">
        <v>134.6144430844553</v>
      </c>
      <c r="AM49" s="531">
        <f t="shared" si="49"/>
        <v>2</v>
      </c>
      <c r="AN49" s="600"/>
      <c r="AO49" s="531">
        <v>19</v>
      </c>
      <c r="AP49" s="533">
        <v>2565.2542372881344</v>
      </c>
      <c r="AQ49" s="533">
        <v>135.0133809099018</v>
      </c>
      <c r="AR49" s="531">
        <f t="shared" si="51"/>
        <v>2</v>
      </c>
      <c r="AS49" s="600"/>
      <c r="AT49" s="531">
        <v>20</v>
      </c>
      <c r="AU49" s="533">
        <v>2398</v>
      </c>
      <c r="AV49" s="533">
        <v>119.9</v>
      </c>
      <c r="AW49" s="531">
        <f t="shared" si="53"/>
        <v>4</v>
      </c>
      <c r="AX49" s="600"/>
      <c r="AZ49" s="521" t="e">
        <f t="shared" si="55"/>
        <v>#N/A</v>
      </c>
      <c r="BA49" s="600"/>
    </row>
    <row r="50" spans="2:53">
      <c r="B50" s="610"/>
      <c r="C50" s="320">
        <v>4</v>
      </c>
      <c r="D50" s="455" t="s">
        <v>380</v>
      </c>
      <c r="E50" s="518">
        <v>19</v>
      </c>
      <c r="F50" s="518">
        <v>2700</v>
      </c>
      <c r="G50" s="518">
        <v>157.9</v>
      </c>
      <c r="H50" s="668"/>
      <c r="I50" s="513">
        <f t="shared" si="38"/>
        <v>19.714285714285715</v>
      </c>
      <c r="J50" s="513">
        <f t="shared" si="39"/>
        <v>2549.0358975540807</v>
      </c>
      <c r="K50" s="200">
        <f t="shared" si="40"/>
        <v>129.36864035734098</v>
      </c>
      <c r="L50" s="621"/>
      <c r="M50" s="201">
        <f>RANK(K50, K$47:$K$61)</f>
        <v>4</v>
      </c>
      <c r="N50" s="604"/>
      <c r="O50" s="604"/>
      <c r="P50" s="531">
        <v>19</v>
      </c>
      <c r="Q50" s="533">
        <v>2588.3544303797453</v>
      </c>
      <c r="R50" s="533">
        <v>136.22918054630239</v>
      </c>
      <c r="S50" s="531">
        <f t="shared" si="41"/>
        <v>1</v>
      </c>
      <c r="T50" s="600"/>
      <c r="U50" s="531">
        <v>19</v>
      </c>
      <c r="V50" s="533">
        <v>2510.4545454545455</v>
      </c>
      <c r="W50" s="533">
        <v>132.12918660287082</v>
      </c>
      <c r="X50" s="531">
        <f t="shared" si="43"/>
        <v>3</v>
      </c>
      <c r="Y50" s="600"/>
      <c r="Z50" s="531">
        <v>20</v>
      </c>
      <c r="AA50" s="533">
        <v>2554.5405405405386</v>
      </c>
      <c r="AB50" s="533">
        <v>127.72702702702694</v>
      </c>
      <c r="AC50" s="531">
        <f t="shared" si="45"/>
        <v>4</v>
      </c>
      <c r="AD50" s="600"/>
      <c r="AE50" s="531">
        <v>20</v>
      </c>
      <c r="AF50" s="533">
        <v>2537.316455696201</v>
      </c>
      <c r="AG50" s="533">
        <v>126.86582278481005</v>
      </c>
      <c r="AH50" s="531">
        <f t="shared" si="47"/>
        <v>4</v>
      </c>
      <c r="AI50" s="600"/>
      <c r="AJ50" s="531">
        <v>20</v>
      </c>
      <c r="AK50" s="533">
        <v>2555.2800000000011</v>
      </c>
      <c r="AL50" s="533">
        <v>127.76400000000005</v>
      </c>
      <c r="AM50" s="531">
        <f t="shared" si="49"/>
        <v>4</v>
      </c>
      <c r="AN50" s="600"/>
      <c r="AO50" s="531">
        <v>20</v>
      </c>
      <c r="AP50" s="533">
        <v>2572.9887640449438</v>
      </c>
      <c r="AQ50" s="533">
        <v>128.64943820224718</v>
      </c>
      <c r="AR50" s="531">
        <f t="shared" si="51"/>
        <v>4</v>
      </c>
      <c r="AS50" s="600"/>
      <c r="AT50" s="531">
        <v>20</v>
      </c>
      <c r="AU50" s="533">
        <v>2524.31654676259</v>
      </c>
      <c r="AV50" s="533">
        <v>126.2158273381295</v>
      </c>
      <c r="AW50" s="531">
        <f t="shared" si="53"/>
        <v>3</v>
      </c>
      <c r="AX50" s="600"/>
      <c r="AZ50" s="521" t="e">
        <f t="shared" si="55"/>
        <v>#N/A</v>
      </c>
      <c r="BA50" s="600"/>
    </row>
    <row r="51" spans="2:53">
      <c r="B51" s="610"/>
      <c r="C51" s="320">
        <v>5</v>
      </c>
      <c r="D51" s="455" t="s">
        <v>644</v>
      </c>
      <c r="E51" s="518">
        <v>17</v>
      </c>
      <c r="F51" s="518">
        <v>2250</v>
      </c>
      <c r="G51" s="518">
        <v>132.4</v>
      </c>
      <c r="H51" s="668"/>
      <c r="I51" s="513">
        <f t="shared" si="38"/>
        <v>19</v>
      </c>
      <c r="J51" s="513">
        <f t="shared" si="39"/>
        <v>2184.6097252428503</v>
      </c>
      <c r="K51" s="200">
        <f t="shared" si="40"/>
        <v>114.97945922330788</v>
      </c>
      <c r="L51" s="621"/>
      <c r="M51" s="201">
        <f>RANK(K51, K$47:$K$61)</f>
        <v>5</v>
      </c>
      <c r="N51" s="604"/>
      <c r="O51" s="604"/>
      <c r="P51" s="531">
        <v>19</v>
      </c>
      <c r="Q51" s="533">
        <v>2192.3243243243242</v>
      </c>
      <c r="R51" s="533">
        <v>115.3854907539118</v>
      </c>
      <c r="S51" s="531">
        <f t="shared" si="41"/>
        <v>5</v>
      </c>
      <c r="T51" s="600"/>
      <c r="U51" s="531">
        <v>19</v>
      </c>
      <c r="V51" s="533">
        <v>2226.3684210526312</v>
      </c>
      <c r="W51" s="533">
        <v>117.17728531855954</v>
      </c>
      <c r="X51" s="531">
        <f t="shared" si="43"/>
        <v>5</v>
      </c>
      <c r="Y51" s="600"/>
      <c r="Z51" s="531">
        <v>19</v>
      </c>
      <c r="AA51" s="533">
        <v>2189.2000000000003</v>
      </c>
      <c r="AB51" s="533">
        <v>115.22105263157896</v>
      </c>
      <c r="AC51" s="531">
        <f t="shared" si="45"/>
        <v>5</v>
      </c>
      <c r="AD51" s="600"/>
      <c r="AE51" s="531">
        <v>19</v>
      </c>
      <c r="AF51" s="533">
        <v>2191.6535433070871</v>
      </c>
      <c r="AG51" s="533">
        <v>115.35018648984669</v>
      </c>
      <c r="AH51" s="531">
        <f t="shared" si="47"/>
        <v>5</v>
      </c>
      <c r="AI51" s="600"/>
      <c r="AJ51" s="531">
        <v>19</v>
      </c>
      <c r="AK51" s="533">
        <v>2148.1818181818189</v>
      </c>
      <c r="AL51" s="533">
        <v>113.06220095693784</v>
      </c>
      <c r="AM51" s="531">
        <f t="shared" si="49"/>
        <v>6</v>
      </c>
      <c r="AN51" s="600"/>
      <c r="AO51" s="531">
        <v>19</v>
      </c>
      <c r="AP51" s="533">
        <v>2203.4117647058824</v>
      </c>
      <c r="AQ51" s="533">
        <v>115.96904024767802</v>
      </c>
      <c r="AR51" s="531">
        <f t="shared" si="51"/>
        <v>5</v>
      </c>
      <c r="AS51" s="600"/>
      <c r="AT51" s="531">
        <v>19</v>
      </c>
      <c r="AU51" s="533">
        <v>2141.1282051282046</v>
      </c>
      <c r="AV51" s="533">
        <v>112.69095816464235</v>
      </c>
      <c r="AW51" s="531">
        <f t="shared" si="53"/>
        <v>5</v>
      </c>
      <c r="AX51" s="600"/>
      <c r="AZ51" s="521" t="e">
        <f t="shared" si="55"/>
        <v>#N/A</v>
      </c>
      <c r="BA51" s="600"/>
    </row>
    <row r="52" spans="2:53">
      <c r="B52" s="610"/>
      <c r="C52" s="320">
        <v>6</v>
      </c>
      <c r="D52" s="455" t="s">
        <v>846</v>
      </c>
      <c r="E52" s="518">
        <v>17</v>
      </c>
      <c r="F52" s="518">
        <v>2700</v>
      </c>
      <c r="G52" s="518">
        <v>166.7</v>
      </c>
      <c r="H52" s="668"/>
      <c r="I52" s="513">
        <f t="shared" si="38"/>
        <v>18</v>
      </c>
      <c r="J52" s="513">
        <f t="shared" si="39"/>
        <v>2410.6306356610053</v>
      </c>
      <c r="K52" s="200">
        <f t="shared" si="40"/>
        <v>133.92392420338919</v>
      </c>
      <c r="L52" s="621"/>
      <c r="M52" s="201">
        <f>RANK(K52, K$47:$K$61)</f>
        <v>2</v>
      </c>
      <c r="N52" s="604"/>
      <c r="O52" s="604"/>
      <c r="P52" s="531">
        <v>18</v>
      </c>
      <c r="Q52" s="533">
        <v>2370.5357142857165</v>
      </c>
      <c r="R52" s="533">
        <v>131.6964285714287</v>
      </c>
      <c r="S52" s="531"/>
      <c r="T52" s="600"/>
      <c r="U52" s="531">
        <v>18</v>
      </c>
      <c r="V52" s="533">
        <v>2364.1967213114772</v>
      </c>
      <c r="W52" s="533">
        <v>131.34426229508207</v>
      </c>
      <c r="X52" s="531"/>
      <c r="Y52" s="600"/>
      <c r="Z52" s="531">
        <v>18</v>
      </c>
      <c r="AA52" s="533">
        <v>2420.8695652173915</v>
      </c>
      <c r="AB52" s="533">
        <v>134.49275362318841</v>
      </c>
      <c r="AC52" s="531"/>
      <c r="AD52" s="600"/>
      <c r="AE52" s="531">
        <v>18</v>
      </c>
      <c r="AF52" s="533">
        <v>2468.1818181818207</v>
      </c>
      <c r="AG52" s="533">
        <v>137.12121212121227</v>
      </c>
      <c r="AH52" s="531"/>
      <c r="AI52" s="600"/>
      <c r="AJ52" s="531">
        <v>18</v>
      </c>
      <c r="AK52" s="533">
        <v>2442.2222222222235</v>
      </c>
      <c r="AL52" s="533">
        <v>135.6790123456791</v>
      </c>
      <c r="AM52" s="531"/>
      <c r="AN52" s="600"/>
      <c r="AO52" s="531">
        <v>18</v>
      </c>
      <c r="AP52" s="533">
        <v>2407.2972972972957</v>
      </c>
      <c r="AQ52" s="533">
        <v>133.73873873873865</v>
      </c>
      <c r="AR52" s="531"/>
      <c r="AS52" s="600"/>
      <c r="AT52" s="531">
        <v>18</v>
      </c>
      <c r="AU52" s="533">
        <v>2401.1111111111122</v>
      </c>
      <c r="AV52" s="533">
        <v>133.39506172839512</v>
      </c>
      <c r="AW52" s="531"/>
      <c r="AX52" s="600"/>
      <c r="AZ52" s="521"/>
      <c r="BA52" s="600"/>
    </row>
    <row r="53" spans="2:53">
      <c r="B53" s="610"/>
      <c r="C53" s="320">
        <v>7</v>
      </c>
      <c r="D53" s="455"/>
      <c r="E53" s="518"/>
      <c r="F53" s="518"/>
      <c r="G53" s="518"/>
      <c r="H53" s="668"/>
      <c r="I53" s="513" t="str">
        <f t="shared" si="38"/>
        <v>-</v>
      </c>
      <c r="J53" s="513" t="str">
        <f t="shared" si="39"/>
        <v>-</v>
      </c>
      <c r="K53" s="200" t="str">
        <f t="shared" si="40"/>
        <v>-</v>
      </c>
      <c r="L53" s="621"/>
      <c r="M53" s="201" t="e">
        <f>RANK(K53, K$47:$K$61)</f>
        <v>#VALUE!</v>
      </c>
      <c r="N53" s="604"/>
      <c r="O53" s="604"/>
      <c r="P53" s="531" t="s">
        <v>822</v>
      </c>
      <c r="Q53" s="533" t="s">
        <v>822</v>
      </c>
      <c r="R53" s="533" t="s">
        <v>822</v>
      </c>
      <c r="S53" s="531"/>
      <c r="T53" s="600"/>
      <c r="U53" s="531" t="s">
        <v>822</v>
      </c>
      <c r="V53" s="533" t="s">
        <v>822</v>
      </c>
      <c r="W53" s="533" t="s">
        <v>822</v>
      </c>
      <c r="X53" s="531"/>
      <c r="Y53" s="600"/>
      <c r="Z53" s="531" t="s">
        <v>822</v>
      </c>
      <c r="AA53" s="533" t="s">
        <v>822</v>
      </c>
      <c r="AB53" s="533" t="s">
        <v>822</v>
      </c>
      <c r="AC53" s="531"/>
      <c r="AD53" s="600"/>
      <c r="AE53" s="531" t="s">
        <v>822</v>
      </c>
      <c r="AF53" s="533" t="s">
        <v>822</v>
      </c>
      <c r="AG53" s="533" t="s">
        <v>822</v>
      </c>
      <c r="AH53" s="531"/>
      <c r="AI53" s="600"/>
      <c r="AJ53" s="531" t="s">
        <v>822</v>
      </c>
      <c r="AK53" s="533" t="s">
        <v>822</v>
      </c>
      <c r="AL53" s="533" t="s">
        <v>822</v>
      </c>
      <c r="AM53" s="531"/>
      <c r="AN53" s="600"/>
      <c r="AO53" s="531" t="s">
        <v>822</v>
      </c>
      <c r="AP53" s="533" t="s">
        <v>822</v>
      </c>
      <c r="AQ53" s="533" t="s">
        <v>822</v>
      </c>
      <c r="AR53" s="531"/>
      <c r="AS53" s="600"/>
      <c r="AT53" s="531" t="s">
        <v>822</v>
      </c>
      <c r="AU53" s="533" t="s">
        <v>822</v>
      </c>
      <c r="AV53" s="533" t="s">
        <v>822</v>
      </c>
      <c r="AW53" s="531"/>
      <c r="AX53" s="600"/>
      <c r="AZ53" s="521"/>
      <c r="BA53" s="600"/>
    </row>
    <row r="54" spans="2:53">
      <c r="B54" s="610"/>
      <c r="C54" s="320">
        <v>8</v>
      </c>
      <c r="D54" s="455"/>
      <c r="E54" s="518"/>
      <c r="F54" s="518"/>
      <c r="G54" s="518"/>
      <c r="H54" s="668"/>
      <c r="I54" s="513" t="str">
        <f t="shared" si="38"/>
        <v>-</v>
      </c>
      <c r="J54" s="513" t="str">
        <f t="shared" si="39"/>
        <v>-</v>
      </c>
      <c r="K54" s="200" t="str">
        <f t="shared" si="40"/>
        <v>-</v>
      </c>
      <c r="L54" s="621"/>
      <c r="M54" s="201" t="e">
        <f>RANK(K54, K$47:$K$61)</f>
        <v>#VALUE!</v>
      </c>
      <c r="N54" s="604"/>
      <c r="O54" s="604"/>
      <c r="P54" s="531" t="s">
        <v>822</v>
      </c>
      <c r="Q54" s="533" t="s">
        <v>822</v>
      </c>
      <c r="R54" s="533" t="s">
        <v>822</v>
      </c>
      <c r="S54" s="531"/>
      <c r="T54" s="600"/>
      <c r="U54" s="531" t="s">
        <v>822</v>
      </c>
      <c r="V54" s="533" t="s">
        <v>822</v>
      </c>
      <c r="W54" s="533" t="s">
        <v>822</v>
      </c>
      <c r="X54" s="531"/>
      <c r="Y54" s="600"/>
      <c r="Z54" s="531" t="s">
        <v>822</v>
      </c>
      <c r="AA54" s="533" t="s">
        <v>822</v>
      </c>
      <c r="AB54" s="533" t="s">
        <v>822</v>
      </c>
      <c r="AC54" s="531"/>
      <c r="AD54" s="600"/>
      <c r="AE54" s="531" t="s">
        <v>822</v>
      </c>
      <c r="AF54" s="533" t="s">
        <v>822</v>
      </c>
      <c r="AG54" s="533" t="s">
        <v>822</v>
      </c>
      <c r="AH54" s="531"/>
      <c r="AI54" s="600"/>
      <c r="AJ54" s="531" t="s">
        <v>822</v>
      </c>
      <c r="AK54" s="533" t="s">
        <v>822</v>
      </c>
      <c r="AL54" s="533" t="s">
        <v>822</v>
      </c>
      <c r="AM54" s="531"/>
      <c r="AN54" s="600"/>
      <c r="AO54" s="531" t="s">
        <v>822</v>
      </c>
      <c r="AP54" s="533" t="s">
        <v>822</v>
      </c>
      <c r="AQ54" s="533" t="s">
        <v>822</v>
      </c>
      <c r="AR54" s="531"/>
      <c r="AS54" s="600"/>
      <c r="AT54" s="531" t="s">
        <v>822</v>
      </c>
      <c r="AU54" s="533" t="s">
        <v>822</v>
      </c>
      <c r="AV54" s="533" t="s">
        <v>822</v>
      </c>
      <c r="AW54" s="531"/>
      <c r="AX54" s="600"/>
      <c r="AZ54" s="521"/>
      <c r="BA54" s="600"/>
    </row>
    <row r="55" spans="2:53">
      <c r="B55" s="610"/>
      <c r="C55" s="320">
        <v>9</v>
      </c>
      <c r="D55" s="455"/>
      <c r="E55" s="518"/>
      <c r="F55" s="518"/>
      <c r="G55" s="518"/>
      <c r="H55" s="668"/>
      <c r="I55" s="513" t="str">
        <f t="shared" si="38"/>
        <v>-</v>
      </c>
      <c r="J55" s="513" t="str">
        <f t="shared" si="39"/>
        <v>-</v>
      </c>
      <c r="K55" s="200" t="str">
        <f t="shared" si="40"/>
        <v>-</v>
      </c>
      <c r="L55" s="621"/>
      <c r="M55" s="201" t="e">
        <f>RANK(K55, K$47:$K$61)</f>
        <v>#VALUE!</v>
      </c>
      <c r="N55" s="604"/>
      <c r="O55" s="604"/>
      <c r="P55" s="531" t="s">
        <v>822</v>
      </c>
      <c r="Q55" s="533" t="s">
        <v>822</v>
      </c>
      <c r="R55" s="533" t="s">
        <v>822</v>
      </c>
      <c r="S55" s="531"/>
      <c r="T55" s="600"/>
      <c r="U55" s="531" t="s">
        <v>822</v>
      </c>
      <c r="V55" s="533" t="s">
        <v>822</v>
      </c>
      <c r="W55" s="533" t="s">
        <v>822</v>
      </c>
      <c r="X55" s="531"/>
      <c r="Y55" s="600"/>
      <c r="Z55" s="531" t="s">
        <v>822</v>
      </c>
      <c r="AA55" s="533" t="s">
        <v>822</v>
      </c>
      <c r="AB55" s="533" t="s">
        <v>822</v>
      </c>
      <c r="AC55" s="531"/>
      <c r="AD55" s="600"/>
      <c r="AE55" s="531" t="s">
        <v>822</v>
      </c>
      <c r="AF55" s="533" t="s">
        <v>822</v>
      </c>
      <c r="AG55" s="533" t="s">
        <v>822</v>
      </c>
      <c r="AH55" s="531"/>
      <c r="AI55" s="600"/>
      <c r="AJ55" s="531" t="s">
        <v>822</v>
      </c>
      <c r="AK55" s="533" t="s">
        <v>822</v>
      </c>
      <c r="AL55" s="533" t="s">
        <v>822</v>
      </c>
      <c r="AM55" s="531"/>
      <c r="AN55" s="600"/>
      <c r="AO55" s="531" t="s">
        <v>822</v>
      </c>
      <c r="AP55" s="533" t="s">
        <v>822</v>
      </c>
      <c r="AQ55" s="533" t="s">
        <v>822</v>
      </c>
      <c r="AR55" s="531"/>
      <c r="AS55" s="600"/>
      <c r="AT55" s="531" t="s">
        <v>822</v>
      </c>
      <c r="AU55" s="533" t="s">
        <v>822</v>
      </c>
      <c r="AV55" s="533" t="s">
        <v>822</v>
      </c>
      <c r="AW55" s="531"/>
      <c r="AX55" s="600"/>
      <c r="AZ55" s="521"/>
      <c r="BA55" s="600"/>
    </row>
    <row r="56" spans="2:53">
      <c r="B56" s="610"/>
      <c r="C56" s="320">
        <v>10</v>
      </c>
      <c r="D56" s="455"/>
      <c r="E56" s="518"/>
      <c r="F56" s="518"/>
      <c r="G56" s="518"/>
      <c r="H56" s="668"/>
      <c r="I56" s="513" t="str">
        <f t="shared" si="38"/>
        <v>-</v>
      </c>
      <c r="J56" s="513" t="str">
        <f t="shared" si="39"/>
        <v>-</v>
      </c>
      <c r="K56" s="200" t="str">
        <f t="shared" si="40"/>
        <v>-</v>
      </c>
      <c r="L56" s="621"/>
      <c r="M56" s="201" t="e">
        <f>RANK(K56, K$47:$K$61)</f>
        <v>#VALUE!</v>
      </c>
      <c r="N56" s="604"/>
      <c r="O56" s="604"/>
      <c r="P56" s="531" t="s">
        <v>822</v>
      </c>
      <c r="Q56" s="533" t="s">
        <v>822</v>
      </c>
      <c r="R56" s="533" t="s">
        <v>822</v>
      </c>
      <c r="S56" s="531"/>
      <c r="T56" s="600"/>
      <c r="U56" s="531" t="s">
        <v>822</v>
      </c>
      <c r="V56" s="533" t="s">
        <v>822</v>
      </c>
      <c r="W56" s="533" t="s">
        <v>822</v>
      </c>
      <c r="X56" s="531"/>
      <c r="Y56" s="600"/>
      <c r="Z56" s="531" t="s">
        <v>822</v>
      </c>
      <c r="AA56" s="533" t="s">
        <v>822</v>
      </c>
      <c r="AB56" s="533" t="s">
        <v>822</v>
      </c>
      <c r="AC56" s="531"/>
      <c r="AD56" s="600"/>
      <c r="AE56" s="531" t="s">
        <v>822</v>
      </c>
      <c r="AF56" s="533" t="s">
        <v>822</v>
      </c>
      <c r="AG56" s="533" t="s">
        <v>822</v>
      </c>
      <c r="AH56" s="531"/>
      <c r="AI56" s="600"/>
      <c r="AJ56" s="531" t="s">
        <v>822</v>
      </c>
      <c r="AK56" s="533" t="s">
        <v>822</v>
      </c>
      <c r="AL56" s="533" t="s">
        <v>822</v>
      </c>
      <c r="AM56" s="531"/>
      <c r="AN56" s="600"/>
      <c r="AO56" s="531" t="s">
        <v>822</v>
      </c>
      <c r="AP56" s="533" t="s">
        <v>822</v>
      </c>
      <c r="AQ56" s="533" t="s">
        <v>822</v>
      </c>
      <c r="AR56" s="531"/>
      <c r="AS56" s="600"/>
      <c r="AT56" s="531" t="s">
        <v>822</v>
      </c>
      <c r="AU56" s="533" t="s">
        <v>822</v>
      </c>
      <c r="AV56" s="533" t="s">
        <v>822</v>
      </c>
      <c r="AW56" s="531"/>
      <c r="AX56" s="600"/>
      <c r="AZ56" s="521"/>
      <c r="BA56" s="600"/>
    </row>
    <row r="57" spans="2:53">
      <c r="B57" s="610"/>
      <c r="C57" s="320">
        <v>11</v>
      </c>
      <c r="D57" s="455"/>
      <c r="E57" s="518"/>
      <c r="F57" s="518"/>
      <c r="G57" s="518"/>
      <c r="H57" s="668"/>
      <c r="I57" s="513" t="str">
        <f t="shared" si="38"/>
        <v>-</v>
      </c>
      <c r="J57" s="513" t="str">
        <f t="shared" si="39"/>
        <v>-</v>
      </c>
      <c r="K57" s="200" t="str">
        <f t="shared" si="40"/>
        <v>-</v>
      </c>
      <c r="L57" s="621"/>
      <c r="M57" s="201" t="e">
        <f>RANK(K57, K$47:$K$61)</f>
        <v>#VALUE!</v>
      </c>
      <c r="N57" s="604"/>
      <c r="O57" s="604"/>
      <c r="P57" s="531" t="s">
        <v>822</v>
      </c>
      <c r="Q57" s="533" t="s">
        <v>822</v>
      </c>
      <c r="R57" s="533" t="s">
        <v>822</v>
      </c>
      <c r="S57" s="531"/>
      <c r="T57" s="600"/>
      <c r="U57" s="531" t="s">
        <v>822</v>
      </c>
      <c r="V57" s="533" t="s">
        <v>822</v>
      </c>
      <c r="W57" s="533" t="s">
        <v>822</v>
      </c>
      <c r="X57" s="531"/>
      <c r="Y57" s="600"/>
      <c r="Z57" s="531" t="s">
        <v>822</v>
      </c>
      <c r="AA57" s="533" t="s">
        <v>822</v>
      </c>
      <c r="AB57" s="533" t="s">
        <v>822</v>
      </c>
      <c r="AC57" s="531"/>
      <c r="AD57" s="600"/>
      <c r="AE57" s="531" t="s">
        <v>822</v>
      </c>
      <c r="AF57" s="533" t="s">
        <v>822</v>
      </c>
      <c r="AG57" s="533" t="s">
        <v>822</v>
      </c>
      <c r="AH57" s="531"/>
      <c r="AI57" s="600"/>
      <c r="AJ57" s="531" t="s">
        <v>822</v>
      </c>
      <c r="AK57" s="533" t="s">
        <v>822</v>
      </c>
      <c r="AL57" s="533" t="s">
        <v>822</v>
      </c>
      <c r="AM57" s="531"/>
      <c r="AN57" s="600"/>
      <c r="AO57" s="531" t="s">
        <v>822</v>
      </c>
      <c r="AP57" s="533" t="s">
        <v>822</v>
      </c>
      <c r="AQ57" s="533" t="s">
        <v>822</v>
      </c>
      <c r="AR57" s="531"/>
      <c r="AS57" s="600"/>
      <c r="AT57" s="531" t="s">
        <v>822</v>
      </c>
      <c r="AU57" s="533" t="s">
        <v>822</v>
      </c>
      <c r="AV57" s="533" t="s">
        <v>822</v>
      </c>
      <c r="AW57" s="531"/>
      <c r="AX57" s="600"/>
      <c r="AZ57" s="521"/>
      <c r="BA57" s="600"/>
    </row>
    <row r="58" spans="2:53">
      <c r="B58" s="610"/>
      <c r="C58" s="320">
        <v>12</v>
      </c>
      <c r="D58" s="455"/>
      <c r="E58" s="518"/>
      <c r="F58" s="518"/>
      <c r="G58" s="518"/>
      <c r="H58" s="668"/>
      <c r="I58" s="513" t="str">
        <f t="shared" si="38"/>
        <v>-</v>
      </c>
      <c r="J58" s="513" t="str">
        <f t="shared" si="39"/>
        <v>-</v>
      </c>
      <c r="K58" s="200" t="str">
        <f t="shared" si="40"/>
        <v>-</v>
      </c>
      <c r="L58" s="621"/>
      <c r="M58" s="201" t="e">
        <f>RANK(K58, K$47:$K$61)</f>
        <v>#VALUE!</v>
      </c>
      <c r="N58" s="604"/>
      <c r="O58" s="604"/>
      <c r="P58" s="531" t="s">
        <v>822</v>
      </c>
      <c r="Q58" s="533" t="s">
        <v>822</v>
      </c>
      <c r="R58" s="533" t="s">
        <v>822</v>
      </c>
      <c r="S58" s="531"/>
      <c r="T58" s="600"/>
      <c r="U58" s="531" t="s">
        <v>822</v>
      </c>
      <c r="V58" s="533" t="s">
        <v>822</v>
      </c>
      <c r="W58" s="533" t="s">
        <v>822</v>
      </c>
      <c r="X58" s="531"/>
      <c r="Y58" s="600"/>
      <c r="Z58" s="531" t="s">
        <v>822</v>
      </c>
      <c r="AA58" s="533" t="s">
        <v>822</v>
      </c>
      <c r="AB58" s="533" t="s">
        <v>822</v>
      </c>
      <c r="AC58" s="531"/>
      <c r="AD58" s="600"/>
      <c r="AE58" s="531" t="s">
        <v>822</v>
      </c>
      <c r="AF58" s="533" t="s">
        <v>822</v>
      </c>
      <c r="AG58" s="533" t="s">
        <v>822</v>
      </c>
      <c r="AH58" s="531"/>
      <c r="AI58" s="600"/>
      <c r="AJ58" s="531" t="s">
        <v>822</v>
      </c>
      <c r="AK58" s="533" t="s">
        <v>822</v>
      </c>
      <c r="AL58" s="533" t="s">
        <v>822</v>
      </c>
      <c r="AM58" s="531"/>
      <c r="AN58" s="600"/>
      <c r="AO58" s="531" t="s">
        <v>822</v>
      </c>
      <c r="AP58" s="533" t="s">
        <v>822</v>
      </c>
      <c r="AQ58" s="533" t="s">
        <v>822</v>
      </c>
      <c r="AR58" s="531"/>
      <c r="AS58" s="600"/>
      <c r="AT58" s="531" t="s">
        <v>822</v>
      </c>
      <c r="AU58" s="533" t="s">
        <v>822</v>
      </c>
      <c r="AV58" s="533" t="s">
        <v>822</v>
      </c>
      <c r="AW58" s="531"/>
      <c r="AX58" s="600"/>
      <c r="AZ58" s="521"/>
      <c r="BA58" s="600"/>
    </row>
    <row r="59" spans="2:53">
      <c r="B59" s="610"/>
      <c r="C59" s="320">
        <v>13</v>
      </c>
      <c r="D59" s="455"/>
      <c r="E59" s="518"/>
      <c r="F59" s="518"/>
      <c r="G59" s="518"/>
      <c r="H59" s="668"/>
      <c r="I59" s="513" t="str">
        <f t="shared" si="38"/>
        <v>-</v>
      </c>
      <c r="J59" s="513" t="str">
        <f t="shared" si="39"/>
        <v>-</v>
      </c>
      <c r="K59" s="200" t="str">
        <f t="shared" si="40"/>
        <v>-</v>
      </c>
      <c r="L59" s="621"/>
      <c r="M59" s="201" t="e">
        <f>RANK(K59, K$47:$K$61)</f>
        <v>#VALUE!</v>
      </c>
      <c r="N59" s="604"/>
      <c r="O59" s="604"/>
      <c r="P59" s="531" t="s">
        <v>822</v>
      </c>
      <c r="Q59" s="533" t="s">
        <v>822</v>
      </c>
      <c r="R59" s="533" t="s">
        <v>822</v>
      </c>
      <c r="S59" s="531"/>
      <c r="T59" s="600"/>
      <c r="U59" s="531" t="s">
        <v>822</v>
      </c>
      <c r="V59" s="533" t="s">
        <v>822</v>
      </c>
      <c r="W59" s="533" t="s">
        <v>822</v>
      </c>
      <c r="X59" s="531"/>
      <c r="Y59" s="600"/>
      <c r="Z59" s="531" t="s">
        <v>822</v>
      </c>
      <c r="AA59" s="533" t="s">
        <v>822</v>
      </c>
      <c r="AB59" s="533" t="s">
        <v>822</v>
      </c>
      <c r="AC59" s="531"/>
      <c r="AD59" s="600"/>
      <c r="AE59" s="531" t="s">
        <v>822</v>
      </c>
      <c r="AF59" s="533" t="s">
        <v>822</v>
      </c>
      <c r="AG59" s="533" t="s">
        <v>822</v>
      </c>
      <c r="AH59" s="531"/>
      <c r="AI59" s="600"/>
      <c r="AJ59" s="531" t="s">
        <v>822</v>
      </c>
      <c r="AK59" s="533" t="s">
        <v>822</v>
      </c>
      <c r="AL59" s="533" t="s">
        <v>822</v>
      </c>
      <c r="AM59" s="531"/>
      <c r="AN59" s="600"/>
      <c r="AO59" s="531" t="s">
        <v>822</v>
      </c>
      <c r="AP59" s="533" t="s">
        <v>822</v>
      </c>
      <c r="AQ59" s="533" t="s">
        <v>822</v>
      </c>
      <c r="AR59" s="531"/>
      <c r="AS59" s="600"/>
      <c r="AT59" s="531" t="s">
        <v>822</v>
      </c>
      <c r="AU59" s="533" t="s">
        <v>822</v>
      </c>
      <c r="AV59" s="533" t="s">
        <v>822</v>
      </c>
      <c r="AW59" s="531"/>
      <c r="AX59" s="600"/>
      <c r="AZ59" s="521"/>
      <c r="BA59" s="600"/>
    </row>
    <row r="60" spans="2:53">
      <c r="B60" s="610"/>
      <c r="C60" s="320">
        <v>14</v>
      </c>
      <c r="D60" s="455"/>
      <c r="E60" s="518"/>
      <c r="F60" s="518"/>
      <c r="G60" s="518"/>
      <c r="H60" s="668"/>
      <c r="I60" s="513" t="str">
        <f t="shared" si="38"/>
        <v>-</v>
      </c>
      <c r="J60" s="513" t="str">
        <f t="shared" si="39"/>
        <v>-</v>
      </c>
      <c r="K60" s="200" t="str">
        <f t="shared" si="40"/>
        <v>-</v>
      </c>
      <c r="L60" s="621"/>
      <c r="M60" s="201" t="e">
        <f>RANK(K60, K$47:$K$61)</f>
        <v>#VALUE!</v>
      </c>
      <c r="N60" s="604"/>
      <c r="O60" s="604"/>
      <c r="P60" s="531" t="s">
        <v>822</v>
      </c>
      <c r="Q60" s="533" t="s">
        <v>822</v>
      </c>
      <c r="R60" s="533" t="s">
        <v>822</v>
      </c>
      <c r="S60" s="531"/>
      <c r="T60" s="600"/>
      <c r="U60" s="531" t="s">
        <v>822</v>
      </c>
      <c r="V60" s="533" t="s">
        <v>822</v>
      </c>
      <c r="W60" s="533" t="s">
        <v>822</v>
      </c>
      <c r="X60" s="531"/>
      <c r="Y60" s="600"/>
      <c r="Z60" s="531" t="s">
        <v>822</v>
      </c>
      <c r="AA60" s="533" t="s">
        <v>822</v>
      </c>
      <c r="AB60" s="533" t="s">
        <v>822</v>
      </c>
      <c r="AC60" s="531"/>
      <c r="AD60" s="600"/>
      <c r="AE60" s="531" t="s">
        <v>822</v>
      </c>
      <c r="AF60" s="533" t="s">
        <v>822</v>
      </c>
      <c r="AG60" s="533" t="s">
        <v>822</v>
      </c>
      <c r="AH60" s="531"/>
      <c r="AI60" s="600"/>
      <c r="AJ60" s="531" t="s">
        <v>822</v>
      </c>
      <c r="AK60" s="533" t="s">
        <v>822</v>
      </c>
      <c r="AL60" s="533" t="s">
        <v>822</v>
      </c>
      <c r="AM60" s="531"/>
      <c r="AN60" s="600"/>
      <c r="AO60" s="531" t="s">
        <v>822</v>
      </c>
      <c r="AP60" s="533" t="s">
        <v>822</v>
      </c>
      <c r="AQ60" s="533" t="s">
        <v>822</v>
      </c>
      <c r="AR60" s="531"/>
      <c r="AS60" s="600"/>
      <c r="AT60" s="531" t="s">
        <v>822</v>
      </c>
      <c r="AU60" s="533" t="s">
        <v>822</v>
      </c>
      <c r="AV60" s="533" t="s">
        <v>822</v>
      </c>
      <c r="AW60" s="531"/>
      <c r="AX60" s="600"/>
      <c r="AZ60" s="521"/>
      <c r="BA60" s="600"/>
    </row>
    <row r="61" spans="2:53">
      <c r="B61" s="610"/>
      <c r="C61" s="320">
        <v>15</v>
      </c>
      <c r="D61" s="455"/>
      <c r="E61" s="518"/>
      <c r="F61" s="518"/>
      <c r="G61" s="518"/>
      <c r="H61" s="669"/>
      <c r="I61" s="517"/>
      <c r="J61" s="517"/>
      <c r="K61" s="517"/>
      <c r="L61" s="622"/>
      <c r="M61" s="201" t="e">
        <f>RANK(K61, K$47:$K$61)</f>
        <v>#N/A</v>
      </c>
      <c r="N61" s="604"/>
      <c r="O61" s="604"/>
      <c r="P61" s="531" t="s">
        <v>822</v>
      </c>
      <c r="Q61" s="533" t="s">
        <v>822</v>
      </c>
      <c r="R61" s="533" t="s">
        <v>822</v>
      </c>
      <c r="S61" s="531"/>
      <c r="T61" s="601"/>
      <c r="U61" s="531" t="s">
        <v>822</v>
      </c>
      <c r="V61" s="533" t="s">
        <v>822</v>
      </c>
      <c r="W61" s="533" t="s">
        <v>822</v>
      </c>
      <c r="X61" s="531"/>
      <c r="Y61" s="601"/>
      <c r="Z61" s="531" t="s">
        <v>822</v>
      </c>
      <c r="AA61" s="533" t="s">
        <v>822</v>
      </c>
      <c r="AB61" s="533" t="s">
        <v>822</v>
      </c>
      <c r="AC61" s="531"/>
      <c r="AD61" s="601"/>
      <c r="AE61" s="531" t="s">
        <v>822</v>
      </c>
      <c r="AF61" s="533" t="s">
        <v>822</v>
      </c>
      <c r="AG61" s="533" t="s">
        <v>822</v>
      </c>
      <c r="AH61" s="531"/>
      <c r="AI61" s="601"/>
      <c r="AJ61" s="531" t="s">
        <v>822</v>
      </c>
      <c r="AK61" s="533" t="s">
        <v>822</v>
      </c>
      <c r="AL61" s="533" t="s">
        <v>822</v>
      </c>
      <c r="AM61" s="531"/>
      <c r="AN61" s="601"/>
      <c r="AO61" s="531" t="s">
        <v>822</v>
      </c>
      <c r="AP61" s="533" t="s">
        <v>822</v>
      </c>
      <c r="AQ61" s="533" t="s">
        <v>822</v>
      </c>
      <c r="AR61" s="531"/>
      <c r="AS61" s="601"/>
      <c r="AT61" s="531" t="s">
        <v>822</v>
      </c>
      <c r="AU61" s="533" t="s">
        <v>822</v>
      </c>
      <c r="AV61" s="533" t="s">
        <v>822</v>
      </c>
      <c r="AW61" s="531"/>
      <c r="AX61" s="601"/>
      <c r="AZ61" s="521"/>
      <c r="BA61" s="601"/>
    </row>
    <row r="62" spans="2:53" ht="15.75">
      <c r="B62" s="633" t="s">
        <v>163</v>
      </c>
      <c r="C62" s="634"/>
      <c r="D62" s="634"/>
      <c r="E62" s="634"/>
      <c r="F62" s="634"/>
      <c r="G62" s="634"/>
      <c r="H62" s="635"/>
      <c r="I62" s="208"/>
      <c r="J62" s="208"/>
      <c r="K62" s="208"/>
      <c r="L62" s="208"/>
      <c r="M62" s="207"/>
      <c r="N62" s="606" t="s">
        <v>156</v>
      </c>
      <c r="O62" s="606" t="s">
        <v>105</v>
      </c>
      <c r="P62" s="632">
        <f>P42+7</f>
        <v>46133</v>
      </c>
      <c r="Q62" s="610"/>
      <c r="R62" s="610"/>
      <c r="S62" s="610"/>
      <c r="T62" s="610"/>
      <c r="U62" s="629">
        <f>P62+1</f>
        <v>46134</v>
      </c>
      <c r="V62" s="630"/>
      <c r="W62" s="630"/>
      <c r="X62" s="630"/>
      <c r="Y62" s="631"/>
      <c r="Z62" s="629">
        <f>U62+1</f>
        <v>46135</v>
      </c>
      <c r="AA62" s="630"/>
      <c r="AB62" s="630"/>
      <c r="AC62" s="630"/>
      <c r="AD62" s="631"/>
      <c r="AE62" s="629">
        <f>Z62+1</f>
        <v>46136</v>
      </c>
      <c r="AF62" s="630"/>
      <c r="AG62" s="630"/>
      <c r="AH62" s="630"/>
      <c r="AI62" s="631"/>
      <c r="AJ62" s="629">
        <f>AE62+1</f>
        <v>46137</v>
      </c>
      <c r="AK62" s="630"/>
      <c r="AL62" s="630"/>
      <c r="AM62" s="630"/>
      <c r="AN62" s="631"/>
      <c r="AO62" s="629">
        <f>AJ62+1</f>
        <v>46138</v>
      </c>
      <c r="AP62" s="630"/>
      <c r="AQ62" s="630"/>
      <c r="AR62" s="630"/>
      <c r="AS62" s="631"/>
      <c r="AT62" s="629">
        <f>AO62+1</f>
        <v>46139</v>
      </c>
      <c r="AU62" s="630"/>
      <c r="AV62" s="630"/>
      <c r="AW62" s="630"/>
      <c r="AX62" s="631"/>
    </row>
    <row r="63" spans="2:53" ht="15.75">
      <c r="B63" s="636"/>
      <c r="C63" s="636"/>
      <c r="D63" s="636"/>
      <c r="E63" s="636"/>
      <c r="F63" s="636"/>
      <c r="G63" s="636"/>
      <c r="H63" s="636"/>
      <c r="I63" s="205"/>
      <c r="J63" s="205"/>
      <c r="K63" s="205"/>
      <c r="L63" s="205"/>
      <c r="M63" s="206"/>
      <c r="N63" s="608"/>
      <c r="O63" s="608"/>
      <c r="P63" s="632" t="s">
        <v>336</v>
      </c>
      <c r="Q63" s="610"/>
      <c r="R63" s="610"/>
      <c r="S63" s="610"/>
      <c r="T63" s="610"/>
      <c r="U63" s="632" t="s">
        <v>337</v>
      </c>
      <c r="V63" s="610"/>
      <c r="W63" s="610"/>
      <c r="X63" s="610"/>
      <c r="Y63" s="610"/>
      <c r="Z63" s="632" t="s">
        <v>338</v>
      </c>
      <c r="AA63" s="610"/>
      <c r="AB63" s="610"/>
      <c r="AC63" s="610"/>
      <c r="AD63" s="610"/>
      <c r="AE63" s="632" t="s">
        <v>339</v>
      </c>
      <c r="AF63" s="610"/>
      <c r="AG63" s="610"/>
      <c r="AH63" s="610"/>
      <c r="AI63" s="610"/>
      <c r="AJ63" s="632" t="s">
        <v>340</v>
      </c>
      <c r="AK63" s="610"/>
      <c r="AL63" s="610"/>
      <c r="AM63" s="610"/>
      <c r="AN63" s="610"/>
      <c r="AO63" s="632" t="s">
        <v>341</v>
      </c>
      <c r="AP63" s="610"/>
      <c r="AQ63" s="610"/>
      <c r="AR63" s="610"/>
      <c r="AS63" s="610"/>
      <c r="AT63" s="632" t="s">
        <v>342</v>
      </c>
      <c r="AU63" s="610"/>
      <c r="AV63" s="610"/>
      <c r="AW63" s="610"/>
      <c r="AX63" s="610"/>
    </row>
    <row r="64" spans="2:53">
      <c r="B64" s="604" t="s">
        <v>441</v>
      </c>
      <c r="C64" s="604" t="s">
        <v>442</v>
      </c>
      <c r="D64" s="604"/>
      <c r="E64" s="604" t="s">
        <v>443</v>
      </c>
      <c r="F64" s="604"/>
      <c r="G64" s="604"/>
      <c r="H64" s="637" t="s">
        <v>444</v>
      </c>
      <c r="I64" s="656" t="s">
        <v>445</v>
      </c>
      <c r="J64" s="656"/>
      <c r="K64" s="656"/>
      <c r="L64" s="657" t="s">
        <v>395</v>
      </c>
      <c r="M64" s="642" t="s">
        <v>446</v>
      </c>
      <c r="N64" s="604"/>
      <c r="O64" s="604" t="s">
        <v>447</v>
      </c>
      <c r="P64" s="623" t="s">
        <v>448</v>
      </c>
      <c r="Q64" s="624"/>
      <c r="R64" s="624"/>
      <c r="S64" s="625"/>
      <c r="T64" s="604" t="s">
        <v>444</v>
      </c>
      <c r="U64" s="623" t="s">
        <v>448</v>
      </c>
      <c r="V64" s="624"/>
      <c r="W64" s="624"/>
      <c r="X64" s="625"/>
      <c r="Y64" s="604" t="s">
        <v>444</v>
      </c>
      <c r="Z64" s="623" t="s">
        <v>448</v>
      </c>
      <c r="AA64" s="624"/>
      <c r="AB64" s="624"/>
      <c r="AC64" s="625"/>
      <c r="AD64" s="604" t="s">
        <v>444</v>
      </c>
      <c r="AE64" s="623" t="s">
        <v>448</v>
      </c>
      <c r="AF64" s="624"/>
      <c r="AG64" s="624"/>
      <c r="AH64" s="625"/>
      <c r="AI64" s="604" t="s">
        <v>444</v>
      </c>
      <c r="AJ64" s="623" t="s">
        <v>448</v>
      </c>
      <c r="AK64" s="624"/>
      <c r="AL64" s="624"/>
      <c r="AM64" s="625"/>
      <c r="AN64" s="604" t="s">
        <v>444</v>
      </c>
      <c r="AO64" s="623" t="s">
        <v>448</v>
      </c>
      <c r="AP64" s="624"/>
      <c r="AQ64" s="624"/>
      <c r="AR64" s="625"/>
      <c r="AS64" s="604" t="s">
        <v>444</v>
      </c>
      <c r="AT64" s="623" t="s">
        <v>448</v>
      </c>
      <c r="AU64" s="624"/>
      <c r="AV64" s="624"/>
      <c r="AW64" s="625"/>
      <c r="AX64" s="604" t="s">
        <v>444</v>
      </c>
      <c r="BA64" s="604" t="s">
        <v>395</v>
      </c>
    </row>
    <row r="65" spans="2:53">
      <c r="B65" s="604"/>
      <c r="C65" s="604"/>
      <c r="D65" s="604"/>
      <c r="E65" s="604" t="s">
        <v>449</v>
      </c>
      <c r="F65" s="604"/>
      <c r="G65" s="604"/>
      <c r="H65" s="638"/>
      <c r="I65" s="656" t="s">
        <v>449</v>
      </c>
      <c r="J65" s="656"/>
      <c r="K65" s="656"/>
      <c r="L65" s="658"/>
      <c r="M65" s="643"/>
      <c r="N65" s="604"/>
      <c r="O65" s="604"/>
      <c r="P65" s="623" t="s">
        <v>450</v>
      </c>
      <c r="Q65" s="624"/>
      <c r="R65" s="624"/>
      <c r="S65" s="625"/>
      <c r="T65" s="604"/>
      <c r="U65" s="623" t="s">
        <v>450</v>
      </c>
      <c r="V65" s="624"/>
      <c r="W65" s="624"/>
      <c r="X65" s="625"/>
      <c r="Y65" s="604"/>
      <c r="Z65" s="623" t="s">
        <v>450</v>
      </c>
      <c r="AA65" s="624"/>
      <c r="AB65" s="624"/>
      <c r="AC65" s="625"/>
      <c r="AD65" s="604"/>
      <c r="AE65" s="623" t="s">
        <v>450</v>
      </c>
      <c r="AF65" s="624"/>
      <c r="AG65" s="624"/>
      <c r="AH65" s="625"/>
      <c r="AI65" s="604"/>
      <c r="AJ65" s="623" t="s">
        <v>450</v>
      </c>
      <c r="AK65" s="624"/>
      <c r="AL65" s="624"/>
      <c r="AM65" s="625"/>
      <c r="AN65" s="604"/>
      <c r="AO65" s="623" t="s">
        <v>450</v>
      </c>
      <c r="AP65" s="624"/>
      <c r="AQ65" s="624"/>
      <c r="AR65" s="625"/>
      <c r="AS65" s="604"/>
      <c r="AT65" s="623" t="s">
        <v>450</v>
      </c>
      <c r="AU65" s="624"/>
      <c r="AV65" s="624"/>
      <c r="AW65" s="625"/>
      <c r="AX65" s="604"/>
      <c r="BA65" s="604"/>
    </row>
    <row r="66" spans="2:53">
      <c r="B66" s="604"/>
      <c r="C66" s="604"/>
      <c r="D66" s="604"/>
      <c r="E66" s="304" t="s">
        <v>451</v>
      </c>
      <c r="F66" s="304" t="s">
        <v>452</v>
      </c>
      <c r="G66" s="304" t="s">
        <v>453</v>
      </c>
      <c r="H66" s="639"/>
      <c r="I66" s="303" t="s">
        <v>451</v>
      </c>
      <c r="J66" s="303" t="s">
        <v>452</v>
      </c>
      <c r="K66" s="303" t="s">
        <v>453</v>
      </c>
      <c r="L66" s="659"/>
      <c r="M66" s="644"/>
      <c r="N66" s="604"/>
      <c r="O66" s="604"/>
      <c r="P66" s="304" t="s">
        <v>451</v>
      </c>
      <c r="Q66" s="304" t="s">
        <v>452</v>
      </c>
      <c r="R66" s="304" t="s">
        <v>453</v>
      </c>
      <c r="S66" s="304" t="s">
        <v>446</v>
      </c>
      <c r="T66" s="604"/>
      <c r="U66" s="304" t="s">
        <v>451</v>
      </c>
      <c r="V66" s="304" t="s">
        <v>452</v>
      </c>
      <c r="W66" s="304" t="s">
        <v>453</v>
      </c>
      <c r="X66" s="304" t="s">
        <v>446</v>
      </c>
      <c r="Y66" s="604"/>
      <c r="Z66" s="304" t="s">
        <v>451</v>
      </c>
      <c r="AA66" s="304" t="s">
        <v>452</v>
      </c>
      <c r="AB66" s="304" t="s">
        <v>453</v>
      </c>
      <c r="AC66" s="304" t="s">
        <v>446</v>
      </c>
      <c r="AD66" s="604"/>
      <c r="AE66" s="304" t="s">
        <v>451</v>
      </c>
      <c r="AF66" s="304" t="s">
        <v>452</v>
      </c>
      <c r="AG66" s="304" t="s">
        <v>453</v>
      </c>
      <c r="AH66" s="304" t="s">
        <v>446</v>
      </c>
      <c r="AI66" s="604"/>
      <c r="AJ66" s="304" t="s">
        <v>451</v>
      </c>
      <c r="AK66" s="304" t="s">
        <v>452</v>
      </c>
      <c r="AL66" s="304" t="s">
        <v>453</v>
      </c>
      <c r="AM66" s="304" t="s">
        <v>446</v>
      </c>
      <c r="AN66" s="604"/>
      <c r="AO66" s="304" t="s">
        <v>451</v>
      </c>
      <c r="AP66" s="304" t="s">
        <v>452</v>
      </c>
      <c r="AQ66" s="304" t="s">
        <v>453</v>
      </c>
      <c r="AR66" s="304" t="s">
        <v>446</v>
      </c>
      <c r="AS66" s="604"/>
      <c r="AT66" s="304" t="s">
        <v>451</v>
      </c>
      <c r="AU66" s="304" t="s">
        <v>452</v>
      </c>
      <c r="AV66" s="304" t="s">
        <v>453</v>
      </c>
      <c r="AW66" s="304" t="s">
        <v>446</v>
      </c>
      <c r="AX66" s="604"/>
      <c r="AZ66" s="520" t="s">
        <v>396</v>
      </c>
      <c r="BA66" s="604"/>
    </row>
    <row r="67" spans="2:53">
      <c r="B67" s="604" t="s">
        <v>458</v>
      </c>
      <c r="C67" s="305">
        <v>1</v>
      </c>
      <c r="D67" s="455" t="s">
        <v>377</v>
      </c>
      <c r="E67" s="518">
        <v>20</v>
      </c>
      <c r="F67" s="518">
        <v>2400</v>
      </c>
      <c r="G67" s="518">
        <v>120</v>
      </c>
      <c r="H67" s="667">
        <f>AVERAGE(G67:G81)</f>
        <v>151.73333333333332</v>
      </c>
      <c r="I67" s="513">
        <f t="shared" ref="I67:I80" si="57">IFERROR(AVERAGE(P67,U67,Z67,AE67,AJ67,AO67,AT67),"-")</f>
        <v>20</v>
      </c>
      <c r="J67" s="513">
        <f t="shared" ref="J67:J80" si="58">IFERROR(AVERAGE(Q67,V67,AA67,AF67,AK67,AP67,AU67),"-")</f>
        <v>2185.7917018550265</v>
      </c>
      <c r="K67" s="200">
        <f t="shared" ref="K67:K80" si="59">IFERROR(AVERAGE(R67,W67,AB67,AG67,AL67,AQ67,AV67),"-")</f>
        <v>109.28958509275131</v>
      </c>
      <c r="L67" s="620">
        <f>IFERROR(AVERAGE(K67:K81),"-")</f>
        <v>126.67289888270972</v>
      </c>
      <c r="M67" s="201">
        <f>RANK(K67, K$67:$K$81)</f>
        <v>6</v>
      </c>
      <c r="N67" s="604"/>
      <c r="O67" s="604"/>
      <c r="P67" s="536">
        <v>20</v>
      </c>
      <c r="Q67" s="538">
        <v>2168.2608695652175</v>
      </c>
      <c r="R67" s="538">
        <v>108.41304347826087</v>
      </c>
      <c r="S67" s="536">
        <f t="shared" ref="S67:S81" si="60">RANK(R67, R$67:R$81)</f>
        <v>6</v>
      </c>
      <c r="T67" s="599">
        <f t="shared" ref="T67" si="61">AVERAGE(R67:R81)</f>
        <v>126.96523877549345</v>
      </c>
      <c r="U67" s="536">
        <v>20</v>
      </c>
      <c r="V67" s="538">
        <v>2203.0278884462155</v>
      </c>
      <c r="W67" s="538">
        <v>110.15139442231077</v>
      </c>
      <c r="X67" s="536">
        <f t="shared" ref="X67:X81" si="62">RANK(W67, W$67:W$81)</f>
        <v>6</v>
      </c>
      <c r="Y67" s="599">
        <f t="shared" ref="Y67" si="63">AVERAGE(W67:W81)</f>
        <v>127.28132367842194</v>
      </c>
      <c r="Z67" s="536">
        <v>20</v>
      </c>
      <c r="AA67" s="538">
        <v>2206.0194690265489</v>
      </c>
      <c r="AB67" s="538">
        <v>110.30097345132745</v>
      </c>
      <c r="AC67" s="536">
        <f t="shared" ref="AC67:AC81" si="64">RANK(AB67, AB$67:AB$81)</f>
        <v>6</v>
      </c>
      <c r="AD67" s="599">
        <f t="shared" ref="AD67" si="65">AVERAGE(AB67:AB81)</f>
        <v>128.2815182256837</v>
      </c>
      <c r="AE67" s="536">
        <v>20</v>
      </c>
      <c r="AF67" s="538">
        <v>2203.8914285714282</v>
      </c>
      <c r="AG67" s="538">
        <v>110.19457142857141</v>
      </c>
      <c r="AH67" s="536">
        <f t="shared" ref="AH67:AH81" si="66">RANK(AG67, AG$67:AG$81)</f>
        <v>6</v>
      </c>
      <c r="AI67" s="599">
        <f t="shared" ref="AI67" si="67">AVERAGE(AG67:AG81)</f>
        <v>126.90520842016844</v>
      </c>
      <c r="AJ67" s="536">
        <v>20</v>
      </c>
      <c r="AK67" s="538">
        <v>2181.48</v>
      </c>
      <c r="AL67" s="538">
        <v>109.074</v>
      </c>
      <c r="AM67" s="536">
        <f t="shared" ref="AM67:AM81" si="68">RANK(AL67, AL$67:AL$81)</f>
        <v>6</v>
      </c>
      <c r="AN67" s="599">
        <f t="shared" ref="AN67" si="69">AVERAGE(AL67:AL81)</f>
        <v>126.56036003084046</v>
      </c>
      <c r="AO67" s="536">
        <v>20</v>
      </c>
      <c r="AP67" s="538">
        <v>2179.1888198757765</v>
      </c>
      <c r="AQ67" s="538">
        <v>108.95944099378883</v>
      </c>
      <c r="AR67" s="536">
        <f t="shared" ref="AR67:AR81" si="70">RANK(AQ67, AQ$67:AQ$81)</f>
        <v>6</v>
      </c>
      <c r="AS67" s="599">
        <f t="shared" ref="AS67" si="71">AVERAGE(AQ67:AQ81)</f>
        <v>125.34770671772613</v>
      </c>
      <c r="AT67" s="536">
        <v>20</v>
      </c>
      <c r="AU67" s="538">
        <v>2158.6734374999996</v>
      </c>
      <c r="AV67" s="538">
        <v>107.93367187499999</v>
      </c>
      <c r="AW67" s="536">
        <f t="shared" ref="AW67:AW81" si="72">RANK(AV67, AV$67:AV$81)</f>
        <v>6</v>
      </c>
      <c r="AX67" s="599">
        <f t="shared" ref="AX67" si="73">AVERAGE(AV67:AV81)</f>
        <v>125.36893633063386</v>
      </c>
      <c r="AZ67" s="521" t="e">
        <f t="shared" ref="AZ67:AZ81" si="74">RANK(AY67, AY$67:AY$81)</f>
        <v>#N/A</v>
      </c>
      <c r="BA67" s="599" t="e">
        <f t="shared" ref="BA67" si="75">AVERAGE(AY67:AY81)</f>
        <v>#DIV/0!</v>
      </c>
    </row>
    <row r="68" spans="2:53">
      <c r="B68" s="610"/>
      <c r="C68" s="305">
        <v>2</v>
      </c>
      <c r="D68" s="455" t="s">
        <v>378</v>
      </c>
      <c r="E68" s="518">
        <v>18</v>
      </c>
      <c r="F68" s="518">
        <v>2700</v>
      </c>
      <c r="G68" s="518">
        <v>166.7</v>
      </c>
      <c r="H68" s="668"/>
      <c r="I68" s="513">
        <f t="shared" si="57"/>
        <v>19</v>
      </c>
      <c r="J68" s="513">
        <f t="shared" si="58"/>
        <v>2527.5680939425051</v>
      </c>
      <c r="K68" s="200">
        <f t="shared" si="59"/>
        <v>133.0298996811845</v>
      </c>
      <c r="L68" s="621"/>
      <c r="M68" s="201">
        <f>RANK(K68, K$67:$K$81)</f>
        <v>2</v>
      </c>
      <c r="N68" s="604"/>
      <c r="O68" s="604"/>
      <c r="P68" s="536">
        <v>19</v>
      </c>
      <c r="Q68" s="538">
        <v>2544.9350649350636</v>
      </c>
      <c r="R68" s="538">
        <v>133.94395078605598</v>
      </c>
      <c r="S68" s="536">
        <f t="shared" si="60"/>
        <v>3</v>
      </c>
      <c r="T68" s="600"/>
      <c r="U68" s="536">
        <v>19</v>
      </c>
      <c r="V68" s="538">
        <v>2512.615384615387</v>
      </c>
      <c r="W68" s="538">
        <v>132.24291497975722</v>
      </c>
      <c r="X68" s="536">
        <f t="shared" si="62"/>
        <v>2</v>
      </c>
      <c r="Y68" s="600"/>
      <c r="Z68" s="536">
        <v>19</v>
      </c>
      <c r="AA68" s="538">
        <v>2497.0000000000023</v>
      </c>
      <c r="AB68" s="538">
        <v>131.42105263157907</v>
      </c>
      <c r="AC68" s="536">
        <f t="shared" si="64"/>
        <v>4</v>
      </c>
      <c r="AD68" s="600"/>
      <c r="AE68" s="536">
        <v>19</v>
      </c>
      <c r="AF68" s="538">
        <v>2572.631578947367</v>
      </c>
      <c r="AG68" s="538">
        <v>135.40166204986141</v>
      </c>
      <c r="AH68" s="536">
        <f t="shared" si="66"/>
        <v>2</v>
      </c>
      <c r="AI68" s="600"/>
      <c r="AJ68" s="536">
        <v>19</v>
      </c>
      <c r="AK68" s="538">
        <v>2537.2881355932223</v>
      </c>
      <c r="AL68" s="538">
        <v>133.54148082069591</v>
      </c>
      <c r="AM68" s="536">
        <f t="shared" si="68"/>
        <v>3</v>
      </c>
      <c r="AN68" s="600"/>
      <c r="AO68" s="536">
        <v>19</v>
      </c>
      <c r="AP68" s="538">
        <v>2493.506493506492</v>
      </c>
      <c r="AQ68" s="538">
        <v>131.23718386876274</v>
      </c>
      <c r="AR68" s="536">
        <f t="shared" si="70"/>
        <v>3</v>
      </c>
      <c r="AS68" s="600"/>
      <c r="AT68" s="536">
        <v>19</v>
      </c>
      <c r="AU68" s="538">
        <v>2535.0000000000032</v>
      </c>
      <c r="AV68" s="538">
        <v>133.4210526315791</v>
      </c>
      <c r="AW68" s="536">
        <f t="shared" si="72"/>
        <v>3</v>
      </c>
      <c r="AX68" s="600"/>
      <c r="AZ68" s="521" t="e">
        <f t="shared" si="74"/>
        <v>#N/A</v>
      </c>
      <c r="BA68" s="600"/>
    </row>
    <row r="69" spans="2:53">
      <c r="B69" s="610"/>
      <c r="C69" s="305">
        <v>3</v>
      </c>
      <c r="D69" s="455" t="s">
        <v>379</v>
      </c>
      <c r="E69" s="518">
        <v>18</v>
      </c>
      <c r="F69" s="518">
        <v>2700</v>
      </c>
      <c r="G69" s="518">
        <v>166.7</v>
      </c>
      <c r="H69" s="668"/>
      <c r="I69" s="513">
        <f t="shared" si="57"/>
        <v>19</v>
      </c>
      <c r="J69" s="513">
        <f t="shared" si="58"/>
        <v>2522.3968190536034</v>
      </c>
      <c r="K69" s="200">
        <f t="shared" si="59"/>
        <v>132.75772731861068</v>
      </c>
      <c r="L69" s="621"/>
      <c r="M69" s="201">
        <f>RANK(K69, K$67:$K$81)</f>
        <v>3</v>
      </c>
      <c r="N69" s="604"/>
      <c r="O69" s="604"/>
      <c r="P69" s="536">
        <v>19</v>
      </c>
      <c r="Q69" s="538">
        <v>2551.0909090909108</v>
      </c>
      <c r="R69" s="538">
        <v>134.26794258373215</v>
      </c>
      <c r="S69" s="536">
        <f t="shared" si="60"/>
        <v>2</v>
      </c>
      <c r="T69" s="600"/>
      <c r="U69" s="536">
        <v>19</v>
      </c>
      <c r="V69" s="538">
        <v>2488.8888888888878</v>
      </c>
      <c r="W69" s="538">
        <v>130.99415204678357</v>
      </c>
      <c r="X69" s="536">
        <f t="shared" si="62"/>
        <v>3</v>
      </c>
      <c r="Y69" s="600"/>
      <c r="Z69" s="536">
        <v>19</v>
      </c>
      <c r="AA69" s="538">
        <v>2515.227272727273</v>
      </c>
      <c r="AB69" s="538">
        <v>132.38038277511964</v>
      </c>
      <c r="AC69" s="536">
        <f t="shared" si="64"/>
        <v>3</v>
      </c>
      <c r="AD69" s="600"/>
      <c r="AE69" s="536">
        <v>19</v>
      </c>
      <c r="AF69" s="538">
        <v>2495.2941176470622</v>
      </c>
      <c r="AG69" s="538">
        <v>131.33126934984537</v>
      </c>
      <c r="AH69" s="536">
        <f t="shared" si="66"/>
        <v>3</v>
      </c>
      <c r="AI69" s="600"/>
      <c r="AJ69" s="536">
        <v>19</v>
      </c>
      <c r="AK69" s="538">
        <v>2544.878048780487</v>
      </c>
      <c r="AL69" s="538">
        <v>133.9409499358151</v>
      </c>
      <c r="AM69" s="536">
        <f t="shared" si="68"/>
        <v>2</v>
      </c>
      <c r="AN69" s="600"/>
      <c r="AO69" s="536">
        <v>19</v>
      </c>
      <c r="AP69" s="538">
        <v>2525.6842105263163</v>
      </c>
      <c r="AQ69" s="538">
        <v>132.93074792243769</v>
      </c>
      <c r="AR69" s="536">
        <f t="shared" si="70"/>
        <v>2</v>
      </c>
      <c r="AS69" s="600"/>
      <c r="AT69" s="536">
        <v>19</v>
      </c>
      <c r="AU69" s="538">
        <v>2535.7142857142849</v>
      </c>
      <c r="AV69" s="538">
        <v>133.4586466165413</v>
      </c>
      <c r="AW69" s="536">
        <f t="shared" si="72"/>
        <v>2</v>
      </c>
      <c r="AX69" s="600"/>
      <c r="AZ69" s="521" t="e">
        <f t="shared" si="74"/>
        <v>#N/A</v>
      </c>
      <c r="BA69" s="600"/>
    </row>
    <row r="70" spans="2:53">
      <c r="B70" s="610"/>
      <c r="C70" s="305">
        <v>4</v>
      </c>
      <c r="D70" s="455" t="s">
        <v>380</v>
      </c>
      <c r="E70" s="518">
        <v>19</v>
      </c>
      <c r="F70" s="518">
        <v>2700</v>
      </c>
      <c r="G70" s="518">
        <v>157.9</v>
      </c>
      <c r="H70" s="668"/>
      <c r="I70" s="513">
        <f t="shared" si="57"/>
        <v>19.857142857142858</v>
      </c>
      <c r="J70" s="513">
        <f t="shared" si="58"/>
        <v>2530.2466063515608</v>
      </c>
      <c r="K70" s="200">
        <f t="shared" si="59"/>
        <v>127.47299089759952</v>
      </c>
      <c r="L70" s="621"/>
      <c r="M70" s="201">
        <f>RANK(K70, K$67:$K$81)</f>
        <v>4</v>
      </c>
      <c r="N70" s="604"/>
      <c r="O70" s="604"/>
      <c r="P70" s="536">
        <v>20</v>
      </c>
      <c r="Q70" s="538">
        <v>2553.0697674418602</v>
      </c>
      <c r="R70" s="538">
        <v>127.65348837209301</v>
      </c>
      <c r="S70" s="536">
        <f t="shared" si="60"/>
        <v>4</v>
      </c>
      <c r="T70" s="600"/>
      <c r="U70" s="536">
        <v>20</v>
      </c>
      <c r="V70" s="538">
        <v>2508.5217391304332</v>
      </c>
      <c r="W70" s="538">
        <v>125.42608695652166</v>
      </c>
      <c r="X70" s="536">
        <f t="shared" si="62"/>
        <v>5</v>
      </c>
      <c r="Y70" s="600"/>
      <c r="Z70" s="536">
        <v>19</v>
      </c>
      <c r="AA70" s="538">
        <v>2555.3571428571445</v>
      </c>
      <c r="AB70" s="538">
        <v>134.4924812030076</v>
      </c>
      <c r="AC70" s="536">
        <f t="shared" si="64"/>
        <v>2</v>
      </c>
      <c r="AD70" s="600"/>
      <c r="AE70" s="536">
        <v>20</v>
      </c>
      <c r="AF70" s="538">
        <v>2527.4336283185862</v>
      </c>
      <c r="AG70" s="538">
        <v>126.37168141592932</v>
      </c>
      <c r="AH70" s="536">
        <f t="shared" si="66"/>
        <v>4</v>
      </c>
      <c r="AI70" s="600"/>
      <c r="AJ70" s="536">
        <v>20</v>
      </c>
      <c r="AK70" s="538">
        <v>2538.0582524271854</v>
      </c>
      <c r="AL70" s="538">
        <v>126.90291262135926</v>
      </c>
      <c r="AM70" s="536">
        <f t="shared" si="68"/>
        <v>4</v>
      </c>
      <c r="AN70" s="600"/>
      <c r="AO70" s="536">
        <v>20</v>
      </c>
      <c r="AP70" s="538">
        <v>2493.7499999999995</v>
      </c>
      <c r="AQ70" s="538">
        <v>124.68749999999997</v>
      </c>
      <c r="AR70" s="536">
        <f t="shared" si="70"/>
        <v>4</v>
      </c>
      <c r="AS70" s="600"/>
      <c r="AT70" s="536">
        <v>20</v>
      </c>
      <c r="AU70" s="538">
        <v>2535.5357142857165</v>
      </c>
      <c r="AV70" s="538">
        <v>126.77678571428582</v>
      </c>
      <c r="AW70" s="536">
        <f t="shared" si="72"/>
        <v>4</v>
      </c>
      <c r="AX70" s="600"/>
      <c r="AZ70" s="521" t="e">
        <f t="shared" si="74"/>
        <v>#N/A</v>
      </c>
      <c r="BA70" s="600"/>
    </row>
    <row r="71" spans="2:53">
      <c r="B71" s="610"/>
      <c r="C71" s="305">
        <v>5</v>
      </c>
      <c r="D71" s="455" t="s">
        <v>644</v>
      </c>
      <c r="E71" s="518">
        <v>17</v>
      </c>
      <c r="F71" s="518">
        <v>2250</v>
      </c>
      <c r="G71" s="518">
        <v>132.4</v>
      </c>
      <c r="H71" s="668"/>
      <c r="I71" s="513">
        <f t="shared" si="57"/>
        <v>17.714285714285715</v>
      </c>
      <c r="J71" s="513">
        <f t="shared" si="58"/>
        <v>2151.241330235287</v>
      </c>
      <c r="K71" s="200">
        <f t="shared" si="59"/>
        <v>121.5316687137982</v>
      </c>
      <c r="L71" s="621"/>
      <c r="M71" s="201">
        <f>RANK(K71, K$67:$K$81)</f>
        <v>5</v>
      </c>
      <c r="N71" s="604"/>
      <c r="O71" s="604"/>
      <c r="P71" s="536">
        <v>18</v>
      </c>
      <c r="Q71" s="538">
        <v>2180.6886792452833</v>
      </c>
      <c r="R71" s="538">
        <v>121.14937106918241</v>
      </c>
      <c r="S71" s="536">
        <f t="shared" si="60"/>
        <v>5</v>
      </c>
      <c r="T71" s="600"/>
      <c r="U71" s="536">
        <v>17</v>
      </c>
      <c r="V71" s="538">
        <v>2198.04</v>
      </c>
      <c r="W71" s="538">
        <v>129.29647058823528</v>
      </c>
      <c r="X71" s="536">
        <f t="shared" si="62"/>
        <v>4</v>
      </c>
      <c r="Y71" s="600"/>
      <c r="Z71" s="536">
        <v>17</v>
      </c>
      <c r="AA71" s="538">
        <v>2125.076086956522</v>
      </c>
      <c r="AB71" s="538">
        <v>125.00447570332483</v>
      </c>
      <c r="AC71" s="536">
        <f t="shared" si="64"/>
        <v>5</v>
      </c>
      <c r="AD71" s="600"/>
      <c r="AE71" s="536">
        <v>18</v>
      </c>
      <c r="AF71" s="538">
        <v>2192.2105263157891</v>
      </c>
      <c r="AG71" s="538">
        <v>121.78947368421051</v>
      </c>
      <c r="AH71" s="536">
        <f t="shared" si="66"/>
        <v>5</v>
      </c>
      <c r="AI71" s="600"/>
      <c r="AJ71" s="536">
        <v>18</v>
      </c>
      <c r="AK71" s="538">
        <v>2133.7978723404253</v>
      </c>
      <c r="AL71" s="538">
        <v>118.54432624113474</v>
      </c>
      <c r="AM71" s="536">
        <f t="shared" si="68"/>
        <v>5</v>
      </c>
      <c r="AN71" s="600"/>
      <c r="AO71" s="536">
        <v>18</v>
      </c>
      <c r="AP71" s="538">
        <v>2151.5</v>
      </c>
      <c r="AQ71" s="538">
        <v>119.52777777777777</v>
      </c>
      <c r="AR71" s="536">
        <f t="shared" si="70"/>
        <v>5</v>
      </c>
      <c r="AS71" s="600"/>
      <c r="AT71" s="536">
        <v>18</v>
      </c>
      <c r="AU71" s="538">
        <v>2077.3761467889904</v>
      </c>
      <c r="AV71" s="538">
        <v>115.40978593272169</v>
      </c>
      <c r="AW71" s="536">
        <f t="shared" si="72"/>
        <v>5</v>
      </c>
      <c r="AX71" s="600"/>
      <c r="AZ71" s="521" t="e">
        <f t="shared" si="74"/>
        <v>#N/A</v>
      </c>
      <c r="BA71" s="600"/>
    </row>
    <row r="72" spans="2:53">
      <c r="B72" s="610"/>
      <c r="C72" s="305">
        <v>6</v>
      </c>
      <c r="D72" s="455" t="s">
        <v>846</v>
      </c>
      <c r="E72" s="518">
        <v>17</v>
      </c>
      <c r="F72" s="518">
        <v>2700</v>
      </c>
      <c r="G72" s="518">
        <v>166.7</v>
      </c>
      <c r="H72" s="668"/>
      <c r="I72" s="513">
        <f t="shared" si="57"/>
        <v>18</v>
      </c>
      <c r="J72" s="513">
        <f t="shared" si="58"/>
        <v>2447.1993886616538</v>
      </c>
      <c r="K72" s="200">
        <f t="shared" si="59"/>
        <v>135.95552159231408</v>
      </c>
      <c r="L72" s="621"/>
      <c r="M72" s="201">
        <f>RANK(K72, K$67:$K$81)</f>
        <v>1</v>
      </c>
      <c r="N72" s="604"/>
      <c r="O72" s="604"/>
      <c r="P72" s="536">
        <v>18</v>
      </c>
      <c r="Q72" s="538">
        <v>2454.5454545454527</v>
      </c>
      <c r="R72" s="538">
        <v>136.36363636363626</v>
      </c>
      <c r="S72" s="536">
        <f t="shared" si="60"/>
        <v>1</v>
      </c>
      <c r="T72" s="600"/>
      <c r="U72" s="536">
        <v>18</v>
      </c>
      <c r="V72" s="538">
        <v>2440.3846153846171</v>
      </c>
      <c r="W72" s="538">
        <v>135.57692307692318</v>
      </c>
      <c r="X72" s="536">
        <f t="shared" si="62"/>
        <v>1</v>
      </c>
      <c r="Y72" s="600"/>
      <c r="Z72" s="536">
        <v>18</v>
      </c>
      <c r="AA72" s="538">
        <v>2449.6153846153861</v>
      </c>
      <c r="AB72" s="538">
        <v>136.08974358974368</v>
      </c>
      <c r="AC72" s="536">
        <f t="shared" si="64"/>
        <v>1</v>
      </c>
      <c r="AD72" s="600"/>
      <c r="AE72" s="536">
        <v>18</v>
      </c>
      <c r="AF72" s="538">
        <v>2454.166666666667</v>
      </c>
      <c r="AG72" s="538">
        <v>136.34259259259261</v>
      </c>
      <c r="AH72" s="536">
        <f t="shared" si="66"/>
        <v>1</v>
      </c>
      <c r="AI72" s="600"/>
      <c r="AJ72" s="536">
        <v>18</v>
      </c>
      <c r="AK72" s="538">
        <v>2472.4528301886803</v>
      </c>
      <c r="AL72" s="538">
        <v>137.3584905660378</v>
      </c>
      <c r="AM72" s="536">
        <f t="shared" si="68"/>
        <v>1</v>
      </c>
      <c r="AN72" s="600"/>
      <c r="AO72" s="536">
        <v>18</v>
      </c>
      <c r="AP72" s="538">
        <v>2425.3846153846171</v>
      </c>
      <c r="AQ72" s="538">
        <v>134.74358974358984</v>
      </c>
      <c r="AR72" s="536">
        <f t="shared" si="70"/>
        <v>1</v>
      </c>
      <c r="AS72" s="600"/>
      <c r="AT72" s="536">
        <v>18</v>
      </c>
      <c r="AU72" s="538">
        <v>2433.8461538461524</v>
      </c>
      <c r="AV72" s="538">
        <v>135.21367521367515</v>
      </c>
      <c r="AW72" s="536">
        <f t="shared" si="72"/>
        <v>1</v>
      </c>
      <c r="AX72" s="600"/>
      <c r="AZ72" s="521" t="e">
        <f t="shared" si="74"/>
        <v>#N/A</v>
      </c>
      <c r="BA72" s="600"/>
    </row>
    <row r="73" spans="2:53">
      <c r="B73" s="610"/>
      <c r="C73" s="305">
        <v>7</v>
      </c>
      <c r="D73" s="455"/>
      <c r="E73" s="518"/>
      <c r="F73" s="518"/>
      <c r="G73" s="518"/>
      <c r="H73" s="668"/>
      <c r="I73" s="513" t="str">
        <f t="shared" si="57"/>
        <v>-</v>
      </c>
      <c r="J73" s="513" t="str">
        <f t="shared" si="58"/>
        <v>-</v>
      </c>
      <c r="K73" s="200" t="str">
        <f t="shared" si="59"/>
        <v>-</v>
      </c>
      <c r="L73" s="621"/>
      <c r="M73" s="201" t="e">
        <f>RANK(K73, K$67:$K$81)</f>
        <v>#VALUE!</v>
      </c>
      <c r="N73" s="604"/>
      <c r="O73" s="604"/>
      <c r="P73" s="536" t="s">
        <v>822</v>
      </c>
      <c r="Q73" s="538" t="s">
        <v>822</v>
      </c>
      <c r="R73" s="538" t="s">
        <v>822</v>
      </c>
      <c r="S73" s="536" t="e">
        <f t="shared" si="60"/>
        <v>#VALUE!</v>
      </c>
      <c r="T73" s="600"/>
      <c r="U73" s="536" t="s">
        <v>822</v>
      </c>
      <c r="V73" s="538" t="s">
        <v>822</v>
      </c>
      <c r="W73" s="538" t="s">
        <v>822</v>
      </c>
      <c r="X73" s="536" t="e">
        <f t="shared" si="62"/>
        <v>#VALUE!</v>
      </c>
      <c r="Y73" s="600"/>
      <c r="Z73" s="536" t="s">
        <v>822</v>
      </c>
      <c r="AA73" s="538" t="s">
        <v>822</v>
      </c>
      <c r="AB73" s="538" t="s">
        <v>822</v>
      </c>
      <c r="AC73" s="536" t="e">
        <f t="shared" si="64"/>
        <v>#VALUE!</v>
      </c>
      <c r="AD73" s="600"/>
      <c r="AE73" s="536" t="s">
        <v>822</v>
      </c>
      <c r="AF73" s="538" t="s">
        <v>822</v>
      </c>
      <c r="AG73" s="538" t="s">
        <v>822</v>
      </c>
      <c r="AH73" s="536" t="e">
        <f t="shared" si="66"/>
        <v>#VALUE!</v>
      </c>
      <c r="AI73" s="600"/>
      <c r="AJ73" s="536" t="s">
        <v>822</v>
      </c>
      <c r="AK73" s="538" t="s">
        <v>822</v>
      </c>
      <c r="AL73" s="538" t="s">
        <v>822</v>
      </c>
      <c r="AM73" s="536" t="e">
        <f t="shared" si="68"/>
        <v>#VALUE!</v>
      </c>
      <c r="AN73" s="600"/>
      <c r="AO73" s="536" t="s">
        <v>822</v>
      </c>
      <c r="AP73" s="538" t="s">
        <v>822</v>
      </c>
      <c r="AQ73" s="538" t="s">
        <v>822</v>
      </c>
      <c r="AR73" s="536" t="e">
        <f t="shared" si="70"/>
        <v>#VALUE!</v>
      </c>
      <c r="AS73" s="600"/>
      <c r="AT73" s="536" t="s">
        <v>822</v>
      </c>
      <c r="AU73" s="538" t="s">
        <v>822</v>
      </c>
      <c r="AV73" s="538" t="s">
        <v>822</v>
      </c>
      <c r="AW73" s="536" t="e">
        <f t="shared" si="72"/>
        <v>#VALUE!</v>
      </c>
      <c r="AX73" s="600"/>
      <c r="AZ73" s="521" t="e">
        <f t="shared" si="74"/>
        <v>#N/A</v>
      </c>
      <c r="BA73" s="600"/>
    </row>
    <row r="74" spans="2:53">
      <c r="B74" s="610"/>
      <c r="C74" s="305">
        <v>8</v>
      </c>
      <c r="D74" s="455"/>
      <c r="E74" s="518"/>
      <c r="F74" s="518"/>
      <c r="G74" s="518"/>
      <c r="H74" s="668"/>
      <c r="I74" s="513" t="str">
        <f t="shared" si="57"/>
        <v>-</v>
      </c>
      <c r="J74" s="513" t="str">
        <f t="shared" si="58"/>
        <v>-</v>
      </c>
      <c r="K74" s="200" t="str">
        <f t="shared" si="59"/>
        <v>-</v>
      </c>
      <c r="L74" s="621"/>
      <c r="M74" s="201" t="e">
        <f>RANK(K74, K$67:$K$81)</f>
        <v>#VALUE!</v>
      </c>
      <c r="N74" s="604"/>
      <c r="O74" s="604"/>
      <c r="P74" s="536" t="s">
        <v>822</v>
      </c>
      <c r="Q74" s="538" t="s">
        <v>822</v>
      </c>
      <c r="R74" s="538" t="s">
        <v>822</v>
      </c>
      <c r="S74" s="536" t="e">
        <f t="shared" si="60"/>
        <v>#VALUE!</v>
      </c>
      <c r="T74" s="600"/>
      <c r="U74" s="536" t="s">
        <v>822</v>
      </c>
      <c r="V74" s="538" t="s">
        <v>822</v>
      </c>
      <c r="W74" s="538" t="s">
        <v>822</v>
      </c>
      <c r="X74" s="536" t="e">
        <f t="shared" si="62"/>
        <v>#VALUE!</v>
      </c>
      <c r="Y74" s="600"/>
      <c r="Z74" s="536" t="s">
        <v>822</v>
      </c>
      <c r="AA74" s="538" t="s">
        <v>822</v>
      </c>
      <c r="AB74" s="538" t="s">
        <v>822</v>
      </c>
      <c r="AC74" s="536" t="e">
        <f t="shared" si="64"/>
        <v>#VALUE!</v>
      </c>
      <c r="AD74" s="600"/>
      <c r="AE74" s="536" t="s">
        <v>822</v>
      </c>
      <c r="AF74" s="538" t="s">
        <v>822</v>
      </c>
      <c r="AG74" s="538" t="s">
        <v>822</v>
      </c>
      <c r="AH74" s="536" t="e">
        <f t="shared" si="66"/>
        <v>#VALUE!</v>
      </c>
      <c r="AI74" s="600"/>
      <c r="AJ74" s="536" t="s">
        <v>822</v>
      </c>
      <c r="AK74" s="538" t="s">
        <v>822</v>
      </c>
      <c r="AL74" s="538" t="s">
        <v>822</v>
      </c>
      <c r="AM74" s="536" t="e">
        <f t="shared" si="68"/>
        <v>#VALUE!</v>
      </c>
      <c r="AN74" s="600"/>
      <c r="AO74" s="536" t="s">
        <v>822</v>
      </c>
      <c r="AP74" s="538" t="s">
        <v>822</v>
      </c>
      <c r="AQ74" s="538" t="s">
        <v>822</v>
      </c>
      <c r="AR74" s="536" t="e">
        <f t="shared" si="70"/>
        <v>#VALUE!</v>
      </c>
      <c r="AS74" s="600"/>
      <c r="AT74" s="536" t="s">
        <v>822</v>
      </c>
      <c r="AU74" s="538" t="s">
        <v>822</v>
      </c>
      <c r="AV74" s="538" t="s">
        <v>822</v>
      </c>
      <c r="AW74" s="536" t="e">
        <f t="shared" si="72"/>
        <v>#VALUE!</v>
      </c>
      <c r="AX74" s="600"/>
      <c r="AZ74" s="521" t="e">
        <f t="shared" si="74"/>
        <v>#N/A</v>
      </c>
      <c r="BA74" s="600"/>
    </row>
    <row r="75" spans="2:53">
      <c r="B75" s="610"/>
      <c r="C75" s="305">
        <v>9</v>
      </c>
      <c r="D75" s="455"/>
      <c r="E75" s="518"/>
      <c r="F75" s="518"/>
      <c r="G75" s="518"/>
      <c r="H75" s="668"/>
      <c r="I75" s="513" t="str">
        <f t="shared" si="57"/>
        <v>-</v>
      </c>
      <c r="J75" s="513" t="str">
        <f t="shared" si="58"/>
        <v>-</v>
      </c>
      <c r="K75" s="200" t="str">
        <f t="shared" si="59"/>
        <v>-</v>
      </c>
      <c r="L75" s="621"/>
      <c r="M75" s="201" t="e">
        <f>RANK(K75, K$67:$K$81)</f>
        <v>#VALUE!</v>
      </c>
      <c r="N75" s="604"/>
      <c r="O75" s="604"/>
      <c r="P75" s="536" t="s">
        <v>822</v>
      </c>
      <c r="Q75" s="538" t="s">
        <v>822</v>
      </c>
      <c r="R75" s="538" t="s">
        <v>822</v>
      </c>
      <c r="S75" s="536" t="e">
        <f t="shared" si="60"/>
        <v>#VALUE!</v>
      </c>
      <c r="T75" s="600"/>
      <c r="U75" s="536" t="s">
        <v>822</v>
      </c>
      <c r="V75" s="538" t="s">
        <v>822</v>
      </c>
      <c r="W75" s="538" t="s">
        <v>822</v>
      </c>
      <c r="X75" s="536" t="e">
        <f t="shared" si="62"/>
        <v>#VALUE!</v>
      </c>
      <c r="Y75" s="600"/>
      <c r="Z75" s="536" t="s">
        <v>822</v>
      </c>
      <c r="AA75" s="538" t="s">
        <v>822</v>
      </c>
      <c r="AB75" s="538" t="s">
        <v>822</v>
      </c>
      <c r="AC75" s="536" t="e">
        <f t="shared" si="64"/>
        <v>#VALUE!</v>
      </c>
      <c r="AD75" s="600"/>
      <c r="AE75" s="536" t="s">
        <v>822</v>
      </c>
      <c r="AF75" s="538" t="s">
        <v>822</v>
      </c>
      <c r="AG75" s="538" t="s">
        <v>822</v>
      </c>
      <c r="AH75" s="536" t="e">
        <f t="shared" si="66"/>
        <v>#VALUE!</v>
      </c>
      <c r="AI75" s="600"/>
      <c r="AJ75" s="536" t="s">
        <v>822</v>
      </c>
      <c r="AK75" s="538" t="s">
        <v>822</v>
      </c>
      <c r="AL75" s="538" t="s">
        <v>822</v>
      </c>
      <c r="AM75" s="536" t="e">
        <f t="shared" si="68"/>
        <v>#VALUE!</v>
      </c>
      <c r="AN75" s="600"/>
      <c r="AO75" s="536" t="s">
        <v>822</v>
      </c>
      <c r="AP75" s="538" t="s">
        <v>822</v>
      </c>
      <c r="AQ75" s="538" t="s">
        <v>822</v>
      </c>
      <c r="AR75" s="536" t="e">
        <f t="shared" si="70"/>
        <v>#VALUE!</v>
      </c>
      <c r="AS75" s="600"/>
      <c r="AT75" s="536" t="s">
        <v>822</v>
      </c>
      <c r="AU75" s="538" t="s">
        <v>822</v>
      </c>
      <c r="AV75" s="538" t="s">
        <v>822</v>
      </c>
      <c r="AW75" s="536" t="e">
        <f t="shared" si="72"/>
        <v>#VALUE!</v>
      </c>
      <c r="AX75" s="600"/>
      <c r="AZ75" s="521" t="e">
        <f t="shared" si="74"/>
        <v>#N/A</v>
      </c>
      <c r="BA75" s="600"/>
    </row>
    <row r="76" spans="2:53">
      <c r="B76" s="610"/>
      <c r="C76" s="305">
        <v>10</v>
      </c>
      <c r="D76" s="455"/>
      <c r="E76" s="518"/>
      <c r="F76" s="518"/>
      <c r="G76" s="518"/>
      <c r="H76" s="668"/>
      <c r="I76" s="513" t="str">
        <f t="shared" si="57"/>
        <v>-</v>
      </c>
      <c r="J76" s="513" t="str">
        <f t="shared" si="58"/>
        <v>-</v>
      </c>
      <c r="K76" s="200" t="str">
        <f t="shared" si="59"/>
        <v>-</v>
      </c>
      <c r="L76" s="621"/>
      <c r="M76" s="201" t="e">
        <f>RANK(K76, K$67:$K$81)</f>
        <v>#VALUE!</v>
      </c>
      <c r="N76" s="604"/>
      <c r="O76" s="604"/>
      <c r="P76" s="536" t="s">
        <v>822</v>
      </c>
      <c r="Q76" s="538" t="s">
        <v>822</v>
      </c>
      <c r="R76" s="538" t="s">
        <v>822</v>
      </c>
      <c r="S76" s="536" t="e">
        <f t="shared" si="60"/>
        <v>#VALUE!</v>
      </c>
      <c r="T76" s="600"/>
      <c r="U76" s="536" t="s">
        <v>822</v>
      </c>
      <c r="V76" s="538" t="s">
        <v>822</v>
      </c>
      <c r="W76" s="538" t="s">
        <v>822</v>
      </c>
      <c r="X76" s="536" t="e">
        <f t="shared" si="62"/>
        <v>#VALUE!</v>
      </c>
      <c r="Y76" s="600"/>
      <c r="Z76" s="536" t="s">
        <v>822</v>
      </c>
      <c r="AA76" s="538" t="s">
        <v>822</v>
      </c>
      <c r="AB76" s="538" t="s">
        <v>822</v>
      </c>
      <c r="AC76" s="536" t="e">
        <f t="shared" si="64"/>
        <v>#VALUE!</v>
      </c>
      <c r="AD76" s="600"/>
      <c r="AE76" s="536" t="s">
        <v>822</v>
      </c>
      <c r="AF76" s="538" t="s">
        <v>822</v>
      </c>
      <c r="AG76" s="538" t="s">
        <v>822</v>
      </c>
      <c r="AH76" s="536" t="e">
        <f t="shared" si="66"/>
        <v>#VALUE!</v>
      </c>
      <c r="AI76" s="600"/>
      <c r="AJ76" s="536" t="s">
        <v>822</v>
      </c>
      <c r="AK76" s="538" t="s">
        <v>822</v>
      </c>
      <c r="AL76" s="538" t="s">
        <v>822</v>
      </c>
      <c r="AM76" s="536" t="e">
        <f t="shared" si="68"/>
        <v>#VALUE!</v>
      </c>
      <c r="AN76" s="600"/>
      <c r="AO76" s="536" t="s">
        <v>822</v>
      </c>
      <c r="AP76" s="538" t="s">
        <v>822</v>
      </c>
      <c r="AQ76" s="538" t="s">
        <v>822</v>
      </c>
      <c r="AR76" s="536" t="e">
        <f t="shared" si="70"/>
        <v>#VALUE!</v>
      </c>
      <c r="AS76" s="600"/>
      <c r="AT76" s="536" t="s">
        <v>822</v>
      </c>
      <c r="AU76" s="538" t="s">
        <v>822</v>
      </c>
      <c r="AV76" s="538" t="s">
        <v>822</v>
      </c>
      <c r="AW76" s="536" t="e">
        <f t="shared" si="72"/>
        <v>#VALUE!</v>
      </c>
      <c r="AX76" s="600"/>
      <c r="AZ76" s="521" t="e">
        <f t="shared" si="74"/>
        <v>#N/A</v>
      </c>
      <c r="BA76" s="600"/>
    </row>
    <row r="77" spans="2:53">
      <c r="B77" s="610"/>
      <c r="C77" s="305">
        <v>11</v>
      </c>
      <c r="D77" s="455"/>
      <c r="E77" s="518"/>
      <c r="F77" s="518"/>
      <c r="G77" s="518"/>
      <c r="H77" s="668"/>
      <c r="I77" s="513" t="str">
        <f t="shared" si="57"/>
        <v>-</v>
      </c>
      <c r="J77" s="513" t="str">
        <f t="shared" si="58"/>
        <v>-</v>
      </c>
      <c r="K77" s="200" t="str">
        <f t="shared" si="59"/>
        <v>-</v>
      </c>
      <c r="L77" s="621"/>
      <c r="M77" s="201" t="e">
        <f>RANK(K77, K$67:$K$81)</f>
        <v>#VALUE!</v>
      </c>
      <c r="N77" s="604"/>
      <c r="O77" s="604"/>
      <c r="P77" s="536" t="s">
        <v>822</v>
      </c>
      <c r="Q77" s="538" t="s">
        <v>822</v>
      </c>
      <c r="R77" s="538" t="s">
        <v>822</v>
      </c>
      <c r="S77" s="536" t="e">
        <f t="shared" si="60"/>
        <v>#VALUE!</v>
      </c>
      <c r="T77" s="600"/>
      <c r="U77" s="536" t="s">
        <v>822</v>
      </c>
      <c r="V77" s="538" t="s">
        <v>822</v>
      </c>
      <c r="W77" s="538" t="s">
        <v>822</v>
      </c>
      <c r="X77" s="536" t="e">
        <f t="shared" si="62"/>
        <v>#VALUE!</v>
      </c>
      <c r="Y77" s="600"/>
      <c r="Z77" s="536" t="s">
        <v>822</v>
      </c>
      <c r="AA77" s="538" t="s">
        <v>822</v>
      </c>
      <c r="AB77" s="538" t="s">
        <v>822</v>
      </c>
      <c r="AC77" s="536" t="e">
        <f t="shared" si="64"/>
        <v>#VALUE!</v>
      </c>
      <c r="AD77" s="600"/>
      <c r="AE77" s="536" t="s">
        <v>822</v>
      </c>
      <c r="AF77" s="538" t="s">
        <v>822</v>
      </c>
      <c r="AG77" s="538" t="s">
        <v>822</v>
      </c>
      <c r="AH77" s="536" t="e">
        <f t="shared" si="66"/>
        <v>#VALUE!</v>
      </c>
      <c r="AI77" s="600"/>
      <c r="AJ77" s="536" t="s">
        <v>822</v>
      </c>
      <c r="AK77" s="538" t="s">
        <v>822</v>
      </c>
      <c r="AL77" s="538" t="s">
        <v>822</v>
      </c>
      <c r="AM77" s="536" t="e">
        <f t="shared" si="68"/>
        <v>#VALUE!</v>
      </c>
      <c r="AN77" s="600"/>
      <c r="AO77" s="536" t="s">
        <v>822</v>
      </c>
      <c r="AP77" s="538" t="s">
        <v>822</v>
      </c>
      <c r="AQ77" s="538" t="s">
        <v>822</v>
      </c>
      <c r="AR77" s="536" t="e">
        <f t="shared" si="70"/>
        <v>#VALUE!</v>
      </c>
      <c r="AS77" s="600"/>
      <c r="AT77" s="536" t="s">
        <v>822</v>
      </c>
      <c r="AU77" s="538" t="s">
        <v>822</v>
      </c>
      <c r="AV77" s="538" t="s">
        <v>822</v>
      </c>
      <c r="AW77" s="536" t="e">
        <f t="shared" si="72"/>
        <v>#VALUE!</v>
      </c>
      <c r="AX77" s="600"/>
      <c r="AZ77" s="521" t="e">
        <f t="shared" si="74"/>
        <v>#N/A</v>
      </c>
      <c r="BA77" s="600"/>
    </row>
    <row r="78" spans="2:53">
      <c r="B78" s="610"/>
      <c r="C78" s="305">
        <v>12</v>
      </c>
      <c r="D78" s="455"/>
      <c r="E78" s="518"/>
      <c r="F78" s="518"/>
      <c r="G78" s="518"/>
      <c r="H78" s="668"/>
      <c r="I78" s="513" t="str">
        <f t="shared" si="57"/>
        <v>-</v>
      </c>
      <c r="J78" s="513" t="str">
        <f t="shared" si="58"/>
        <v>-</v>
      </c>
      <c r="K78" s="200" t="str">
        <f t="shared" si="59"/>
        <v>-</v>
      </c>
      <c r="L78" s="621"/>
      <c r="M78" s="201" t="e">
        <f>RANK(K78, K$67:$K$81)</f>
        <v>#VALUE!</v>
      </c>
      <c r="N78" s="604"/>
      <c r="O78" s="604"/>
      <c r="P78" s="536" t="s">
        <v>822</v>
      </c>
      <c r="Q78" s="538" t="s">
        <v>822</v>
      </c>
      <c r="R78" s="538" t="s">
        <v>822</v>
      </c>
      <c r="S78" s="536" t="e">
        <f t="shared" si="60"/>
        <v>#VALUE!</v>
      </c>
      <c r="T78" s="600"/>
      <c r="U78" s="536" t="s">
        <v>822</v>
      </c>
      <c r="V78" s="538" t="s">
        <v>822</v>
      </c>
      <c r="W78" s="538" t="s">
        <v>822</v>
      </c>
      <c r="X78" s="536" t="e">
        <f t="shared" si="62"/>
        <v>#VALUE!</v>
      </c>
      <c r="Y78" s="600"/>
      <c r="Z78" s="536" t="s">
        <v>822</v>
      </c>
      <c r="AA78" s="538" t="s">
        <v>822</v>
      </c>
      <c r="AB78" s="538" t="s">
        <v>822</v>
      </c>
      <c r="AC78" s="536" t="e">
        <f t="shared" si="64"/>
        <v>#VALUE!</v>
      </c>
      <c r="AD78" s="600"/>
      <c r="AE78" s="536" t="s">
        <v>822</v>
      </c>
      <c r="AF78" s="538" t="s">
        <v>822</v>
      </c>
      <c r="AG78" s="538" t="s">
        <v>822</v>
      </c>
      <c r="AH78" s="536" t="e">
        <f t="shared" si="66"/>
        <v>#VALUE!</v>
      </c>
      <c r="AI78" s="600"/>
      <c r="AJ78" s="536" t="s">
        <v>822</v>
      </c>
      <c r="AK78" s="538" t="s">
        <v>822</v>
      </c>
      <c r="AL78" s="538" t="s">
        <v>822</v>
      </c>
      <c r="AM78" s="536" t="e">
        <f t="shared" si="68"/>
        <v>#VALUE!</v>
      </c>
      <c r="AN78" s="600"/>
      <c r="AO78" s="536" t="s">
        <v>822</v>
      </c>
      <c r="AP78" s="538" t="s">
        <v>822</v>
      </c>
      <c r="AQ78" s="538" t="s">
        <v>822</v>
      </c>
      <c r="AR78" s="536" t="e">
        <f t="shared" si="70"/>
        <v>#VALUE!</v>
      </c>
      <c r="AS78" s="600"/>
      <c r="AT78" s="536" t="s">
        <v>822</v>
      </c>
      <c r="AU78" s="538" t="s">
        <v>822</v>
      </c>
      <c r="AV78" s="538" t="s">
        <v>822</v>
      </c>
      <c r="AW78" s="536" t="e">
        <f t="shared" si="72"/>
        <v>#VALUE!</v>
      </c>
      <c r="AX78" s="600"/>
      <c r="AZ78" s="521" t="e">
        <f t="shared" si="74"/>
        <v>#N/A</v>
      </c>
      <c r="BA78" s="600"/>
    </row>
    <row r="79" spans="2:53">
      <c r="B79" s="610"/>
      <c r="C79" s="305">
        <v>13</v>
      </c>
      <c r="D79" s="455"/>
      <c r="E79" s="518"/>
      <c r="F79" s="518"/>
      <c r="G79" s="518"/>
      <c r="H79" s="668"/>
      <c r="I79" s="513" t="str">
        <f t="shared" si="57"/>
        <v>-</v>
      </c>
      <c r="J79" s="513" t="str">
        <f t="shared" si="58"/>
        <v>-</v>
      </c>
      <c r="K79" s="200" t="str">
        <f t="shared" si="59"/>
        <v>-</v>
      </c>
      <c r="L79" s="621"/>
      <c r="M79" s="201" t="e">
        <f>RANK(K79, K$67:$K$81)</f>
        <v>#VALUE!</v>
      </c>
      <c r="N79" s="604"/>
      <c r="O79" s="604"/>
      <c r="P79" s="536" t="s">
        <v>822</v>
      </c>
      <c r="Q79" s="538" t="s">
        <v>822</v>
      </c>
      <c r="R79" s="538" t="s">
        <v>822</v>
      </c>
      <c r="S79" s="536" t="e">
        <f t="shared" si="60"/>
        <v>#VALUE!</v>
      </c>
      <c r="T79" s="600"/>
      <c r="U79" s="536" t="s">
        <v>822</v>
      </c>
      <c r="V79" s="538" t="s">
        <v>822</v>
      </c>
      <c r="W79" s="538" t="s">
        <v>822</v>
      </c>
      <c r="X79" s="536" t="e">
        <f t="shared" si="62"/>
        <v>#VALUE!</v>
      </c>
      <c r="Y79" s="600"/>
      <c r="Z79" s="536" t="s">
        <v>822</v>
      </c>
      <c r="AA79" s="538" t="s">
        <v>822</v>
      </c>
      <c r="AB79" s="538" t="s">
        <v>822</v>
      </c>
      <c r="AC79" s="536" t="e">
        <f t="shared" si="64"/>
        <v>#VALUE!</v>
      </c>
      <c r="AD79" s="600"/>
      <c r="AE79" s="536" t="s">
        <v>822</v>
      </c>
      <c r="AF79" s="538" t="s">
        <v>822</v>
      </c>
      <c r="AG79" s="538" t="s">
        <v>822</v>
      </c>
      <c r="AH79" s="536" t="e">
        <f t="shared" si="66"/>
        <v>#VALUE!</v>
      </c>
      <c r="AI79" s="600"/>
      <c r="AJ79" s="536" t="s">
        <v>822</v>
      </c>
      <c r="AK79" s="538" t="s">
        <v>822</v>
      </c>
      <c r="AL79" s="538" t="s">
        <v>822</v>
      </c>
      <c r="AM79" s="536" t="e">
        <f t="shared" si="68"/>
        <v>#VALUE!</v>
      </c>
      <c r="AN79" s="600"/>
      <c r="AO79" s="536" t="s">
        <v>822</v>
      </c>
      <c r="AP79" s="538" t="s">
        <v>822</v>
      </c>
      <c r="AQ79" s="538" t="s">
        <v>822</v>
      </c>
      <c r="AR79" s="536" t="e">
        <f t="shared" si="70"/>
        <v>#VALUE!</v>
      </c>
      <c r="AS79" s="600"/>
      <c r="AT79" s="536" t="s">
        <v>822</v>
      </c>
      <c r="AU79" s="538" t="s">
        <v>822</v>
      </c>
      <c r="AV79" s="538" t="s">
        <v>822</v>
      </c>
      <c r="AW79" s="536" t="e">
        <f t="shared" si="72"/>
        <v>#VALUE!</v>
      </c>
      <c r="AX79" s="600"/>
      <c r="AZ79" s="521" t="e">
        <f t="shared" si="74"/>
        <v>#N/A</v>
      </c>
      <c r="BA79" s="600"/>
    </row>
    <row r="80" spans="2:53">
      <c r="B80" s="610"/>
      <c r="C80" s="305">
        <v>14</v>
      </c>
      <c r="D80" s="455"/>
      <c r="E80" s="518"/>
      <c r="F80" s="518"/>
      <c r="G80" s="518"/>
      <c r="H80" s="668"/>
      <c r="I80" s="513" t="str">
        <f t="shared" si="57"/>
        <v>-</v>
      </c>
      <c r="J80" s="513" t="str">
        <f t="shared" si="58"/>
        <v>-</v>
      </c>
      <c r="K80" s="200" t="str">
        <f t="shared" si="59"/>
        <v>-</v>
      </c>
      <c r="L80" s="621"/>
      <c r="M80" s="201" t="e">
        <f>RANK(K80, K$67:$K$81)</f>
        <v>#VALUE!</v>
      </c>
      <c r="N80" s="604"/>
      <c r="O80" s="604"/>
      <c r="P80" s="536" t="s">
        <v>822</v>
      </c>
      <c r="Q80" s="538" t="s">
        <v>822</v>
      </c>
      <c r="R80" s="538" t="s">
        <v>822</v>
      </c>
      <c r="S80" s="536" t="e">
        <f t="shared" si="60"/>
        <v>#VALUE!</v>
      </c>
      <c r="T80" s="600"/>
      <c r="U80" s="536" t="s">
        <v>822</v>
      </c>
      <c r="V80" s="538" t="s">
        <v>822</v>
      </c>
      <c r="W80" s="538" t="s">
        <v>822</v>
      </c>
      <c r="X80" s="536" t="e">
        <f t="shared" si="62"/>
        <v>#VALUE!</v>
      </c>
      <c r="Y80" s="600"/>
      <c r="Z80" s="536" t="s">
        <v>822</v>
      </c>
      <c r="AA80" s="538" t="s">
        <v>822</v>
      </c>
      <c r="AB80" s="538" t="s">
        <v>822</v>
      </c>
      <c r="AC80" s="536" t="e">
        <f t="shared" si="64"/>
        <v>#VALUE!</v>
      </c>
      <c r="AD80" s="600"/>
      <c r="AE80" s="536" t="s">
        <v>822</v>
      </c>
      <c r="AF80" s="538" t="s">
        <v>822</v>
      </c>
      <c r="AG80" s="538" t="s">
        <v>822</v>
      </c>
      <c r="AH80" s="536" t="e">
        <f t="shared" si="66"/>
        <v>#VALUE!</v>
      </c>
      <c r="AI80" s="600"/>
      <c r="AJ80" s="536" t="s">
        <v>822</v>
      </c>
      <c r="AK80" s="538" t="s">
        <v>822</v>
      </c>
      <c r="AL80" s="538" t="s">
        <v>822</v>
      </c>
      <c r="AM80" s="536" t="e">
        <f t="shared" si="68"/>
        <v>#VALUE!</v>
      </c>
      <c r="AN80" s="600"/>
      <c r="AO80" s="536" t="s">
        <v>822</v>
      </c>
      <c r="AP80" s="538" t="s">
        <v>822</v>
      </c>
      <c r="AQ80" s="538" t="s">
        <v>822</v>
      </c>
      <c r="AR80" s="536" t="e">
        <f t="shared" si="70"/>
        <v>#VALUE!</v>
      </c>
      <c r="AS80" s="600"/>
      <c r="AT80" s="536" t="s">
        <v>822</v>
      </c>
      <c r="AU80" s="538" t="s">
        <v>822</v>
      </c>
      <c r="AV80" s="538" t="s">
        <v>822</v>
      </c>
      <c r="AW80" s="536" t="e">
        <f t="shared" si="72"/>
        <v>#VALUE!</v>
      </c>
      <c r="AX80" s="600"/>
      <c r="AZ80" s="521" t="e">
        <f t="shared" si="74"/>
        <v>#N/A</v>
      </c>
      <c r="BA80" s="600"/>
    </row>
    <row r="81" spans="2:53">
      <c r="B81" s="610"/>
      <c r="C81" s="305">
        <v>15</v>
      </c>
      <c r="D81" s="455"/>
      <c r="E81" s="518"/>
      <c r="F81" s="518"/>
      <c r="G81" s="518"/>
      <c r="H81" s="669"/>
      <c r="I81" s="517"/>
      <c r="J81" s="517"/>
      <c r="K81" s="517"/>
      <c r="L81" s="622"/>
      <c r="M81" s="201" t="e">
        <f>RANK(K81, K$67:$K$81)</f>
        <v>#N/A</v>
      </c>
      <c r="N81" s="604"/>
      <c r="O81" s="604"/>
      <c r="P81" s="536" t="s">
        <v>822</v>
      </c>
      <c r="Q81" s="538" t="s">
        <v>822</v>
      </c>
      <c r="R81" s="538" t="s">
        <v>822</v>
      </c>
      <c r="S81" s="536" t="e">
        <f t="shared" si="60"/>
        <v>#VALUE!</v>
      </c>
      <c r="T81" s="601"/>
      <c r="U81" s="536" t="s">
        <v>822</v>
      </c>
      <c r="V81" s="538" t="s">
        <v>822</v>
      </c>
      <c r="W81" s="538" t="s">
        <v>822</v>
      </c>
      <c r="X81" s="536" t="e">
        <f t="shared" si="62"/>
        <v>#VALUE!</v>
      </c>
      <c r="Y81" s="601"/>
      <c r="Z81" s="536" t="s">
        <v>822</v>
      </c>
      <c r="AA81" s="538" t="s">
        <v>822</v>
      </c>
      <c r="AB81" s="538" t="s">
        <v>822</v>
      </c>
      <c r="AC81" s="536" t="e">
        <f t="shared" si="64"/>
        <v>#VALUE!</v>
      </c>
      <c r="AD81" s="601"/>
      <c r="AE81" s="536" t="s">
        <v>822</v>
      </c>
      <c r="AF81" s="538" t="s">
        <v>822</v>
      </c>
      <c r="AG81" s="538" t="s">
        <v>822</v>
      </c>
      <c r="AH81" s="536" t="e">
        <f t="shared" si="66"/>
        <v>#VALUE!</v>
      </c>
      <c r="AI81" s="601"/>
      <c r="AJ81" s="536" t="s">
        <v>822</v>
      </c>
      <c r="AK81" s="538" t="s">
        <v>822</v>
      </c>
      <c r="AL81" s="538" t="s">
        <v>822</v>
      </c>
      <c r="AM81" s="536" t="e">
        <f t="shared" si="68"/>
        <v>#VALUE!</v>
      </c>
      <c r="AN81" s="601"/>
      <c r="AO81" s="536" t="s">
        <v>822</v>
      </c>
      <c r="AP81" s="538" t="s">
        <v>822</v>
      </c>
      <c r="AQ81" s="538" t="s">
        <v>822</v>
      </c>
      <c r="AR81" s="536" t="e">
        <f t="shared" si="70"/>
        <v>#VALUE!</v>
      </c>
      <c r="AS81" s="601"/>
      <c r="AT81" s="536" t="s">
        <v>822</v>
      </c>
      <c r="AU81" s="538" t="s">
        <v>822</v>
      </c>
      <c r="AV81" s="538" t="s">
        <v>822</v>
      </c>
      <c r="AW81" s="536" t="e">
        <f t="shared" si="72"/>
        <v>#VALUE!</v>
      </c>
      <c r="AX81" s="601"/>
      <c r="AZ81" s="521" t="e">
        <f t="shared" si="74"/>
        <v>#N/A</v>
      </c>
      <c r="BA81" s="601"/>
    </row>
    <row r="82" spans="2:53" ht="15.75">
      <c r="B82" s="633" t="s">
        <v>163</v>
      </c>
      <c r="C82" s="634"/>
      <c r="D82" s="634"/>
      <c r="E82" s="634"/>
      <c r="F82" s="634"/>
      <c r="G82" s="634"/>
      <c r="H82" s="635"/>
      <c r="I82" s="208"/>
      <c r="J82" s="208"/>
      <c r="K82" s="208"/>
      <c r="L82" s="208"/>
      <c r="M82" s="207"/>
      <c r="N82" s="606" t="s">
        <v>156</v>
      </c>
      <c r="O82" s="606" t="s">
        <v>105</v>
      </c>
      <c r="P82" s="632">
        <f>P62+7</f>
        <v>46140</v>
      </c>
      <c r="Q82" s="610"/>
      <c r="R82" s="610"/>
      <c r="S82" s="610"/>
      <c r="T82" s="610"/>
      <c r="U82" s="629">
        <f>P82+1</f>
        <v>46141</v>
      </c>
      <c r="V82" s="630"/>
      <c r="W82" s="630"/>
      <c r="X82" s="630"/>
      <c r="Y82" s="631"/>
      <c r="Z82" s="629">
        <f>U82+1</f>
        <v>46142</v>
      </c>
      <c r="AA82" s="630"/>
      <c r="AB82" s="630"/>
      <c r="AC82" s="630"/>
      <c r="AD82" s="631"/>
      <c r="AE82" s="629">
        <f>Z82+1</f>
        <v>46143</v>
      </c>
      <c r="AF82" s="630"/>
      <c r="AG82" s="630"/>
      <c r="AH82" s="630"/>
      <c r="AI82" s="631"/>
      <c r="AJ82" s="629">
        <f>AE82+1</f>
        <v>46144</v>
      </c>
      <c r="AK82" s="630"/>
      <c r="AL82" s="630"/>
      <c r="AM82" s="630"/>
      <c r="AN82" s="631"/>
      <c r="AO82" s="629">
        <f>AJ82+1</f>
        <v>46145</v>
      </c>
      <c r="AP82" s="630"/>
      <c r="AQ82" s="630"/>
      <c r="AR82" s="630"/>
      <c r="AS82" s="631"/>
      <c r="AT82" s="629">
        <f>AO82+1</f>
        <v>46146</v>
      </c>
      <c r="AU82" s="630"/>
      <c r="AV82" s="630"/>
      <c r="AW82" s="630"/>
      <c r="AX82" s="631"/>
    </row>
    <row r="83" spans="2:53" ht="15.75">
      <c r="B83" s="636"/>
      <c r="C83" s="636"/>
      <c r="D83" s="636"/>
      <c r="E83" s="636"/>
      <c r="F83" s="636"/>
      <c r="G83" s="636"/>
      <c r="H83" s="636"/>
      <c r="I83" s="205"/>
      <c r="J83" s="205"/>
      <c r="K83" s="205"/>
      <c r="L83" s="205"/>
      <c r="M83" s="206"/>
      <c r="N83" s="608"/>
      <c r="O83" s="608"/>
      <c r="P83" s="632" t="s">
        <v>336</v>
      </c>
      <c r="Q83" s="610"/>
      <c r="R83" s="610"/>
      <c r="S83" s="610"/>
      <c r="T83" s="610"/>
      <c r="U83" s="632" t="s">
        <v>337</v>
      </c>
      <c r="V83" s="610"/>
      <c r="W83" s="610"/>
      <c r="X83" s="610"/>
      <c r="Y83" s="610"/>
      <c r="Z83" s="632" t="s">
        <v>338</v>
      </c>
      <c r="AA83" s="610"/>
      <c r="AB83" s="610"/>
      <c r="AC83" s="610"/>
      <c r="AD83" s="610"/>
      <c r="AE83" s="632" t="s">
        <v>339</v>
      </c>
      <c r="AF83" s="610"/>
      <c r="AG83" s="610"/>
      <c r="AH83" s="610"/>
      <c r="AI83" s="610"/>
      <c r="AJ83" s="632" t="s">
        <v>340</v>
      </c>
      <c r="AK83" s="610"/>
      <c r="AL83" s="610"/>
      <c r="AM83" s="610"/>
      <c r="AN83" s="610"/>
      <c r="AO83" s="632" t="s">
        <v>341</v>
      </c>
      <c r="AP83" s="610"/>
      <c r="AQ83" s="610"/>
      <c r="AR83" s="610"/>
      <c r="AS83" s="610"/>
      <c r="AT83" s="632" t="s">
        <v>342</v>
      </c>
      <c r="AU83" s="610"/>
      <c r="AV83" s="610"/>
      <c r="AW83" s="610"/>
      <c r="AX83" s="610"/>
    </row>
    <row r="84" spans="2:53">
      <c r="B84" s="604" t="s">
        <v>441</v>
      </c>
      <c r="C84" s="604" t="s">
        <v>442</v>
      </c>
      <c r="D84" s="604"/>
      <c r="E84" s="604" t="s">
        <v>443</v>
      </c>
      <c r="F84" s="604"/>
      <c r="G84" s="604"/>
      <c r="H84" s="637" t="s">
        <v>444</v>
      </c>
      <c r="I84" s="656" t="s">
        <v>445</v>
      </c>
      <c r="J84" s="656"/>
      <c r="K84" s="656"/>
      <c r="L84" s="657" t="s">
        <v>395</v>
      </c>
      <c r="M84" s="642" t="s">
        <v>446</v>
      </c>
      <c r="N84" s="604"/>
      <c r="O84" s="604" t="s">
        <v>447</v>
      </c>
      <c r="P84" s="623" t="s">
        <v>448</v>
      </c>
      <c r="Q84" s="624"/>
      <c r="R84" s="624"/>
      <c r="S84" s="625"/>
      <c r="T84" s="604" t="s">
        <v>444</v>
      </c>
      <c r="U84" s="623" t="s">
        <v>448</v>
      </c>
      <c r="V84" s="624"/>
      <c r="W84" s="624"/>
      <c r="X84" s="625"/>
      <c r="Y84" s="604" t="s">
        <v>444</v>
      </c>
      <c r="Z84" s="623" t="s">
        <v>448</v>
      </c>
      <c r="AA84" s="624"/>
      <c r="AB84" s="624"/>
      <c r="AC84" s="625"/>
      <c r="AD84" s="604" t="s">
        <v>444</v>
      </c>
      <c r="AE84" s="623" t="s">
        <v>448</v>
      </c>
      <c r="AF84" s="624"/>
      <c r="AG84" s="624"/>
      <c r="AH84" s="625"/>
      <c r="AI84" s="604" t="s">
        <v>444</v>
      </c>
      <c r="AJ84" s="623" t="s">
        <v>448</v>
      </c>
      <c r="AK84" s="624"/>
      <c r="AL84" s="624"/>
      <c r="AM84" s="625"/>
      <c r="AN84" s="604" t="s">
        <v>444</v>
      </c>
      <c r="AO84" s="623" t="s">
        <v>448</v>
      </c>
      <c r="AP84" s="624"/>
      <c r="AQ84" s="624"/>
      <c r="AR84" s="625"/>
      <c r="AS84" s="604" t="s">
        <v>444</v>
      </c>
      <c r="AT84" s="623" t="s">
        <v>448</v>
      </c>
      <c r="AU84" s="624"/>
      <c r="AV84" s="624"/>
      <c r="AW84" s="625"/>
      <c r="AX84" s="604" t="s">
        <v>444</v>
      </c>
      <c r="BA84" s="604" t="s">
        <v>395</v>
      </c>
    </row>
    <row r="85" spans="2:53">
      <c r="B85" s="604"/>
      <c r="C85" s="604"/>
      <c r="D85" s="604"/>
      <c r="E85" s="604" t="s">
        <v>449</v>
      </c>
      <c r="F85" s="604"/>
      <c r="G85" s="604"/>
      <c r="H85" s="638"/>
      <c r="I85" s="656" t="s">
        <v>449</v>
      </c>
      <c r="J85" s="656"/>
      <c r="K85" s="656"/>
      <c r="L85" s="658"/>
      <c r="M85" s="643"/>
      <c r="N85" s="604"/>
      <c r="O85" s="604"/>
      <c r="P85" s="623" t="s">
        <v>450</v>
      </c>
      <c r="Q85" s="624"/>
      <c r="R85" s="624"/>
      <c r="S85" s="625"/>
      <c r="T85" s="604"/>
      <c r="U85" s="623" t="s">
        <v>450</v>
      </c>
      <c r="V85" s="624"/>
      <c r="W85" s="624"/>
      <c r="X85" s="625"/>
      <c r="Y85" s="604"/>
      <c r="Z85" s="623" t="s">
        <v>450</v>
      </c>
      <c r="AA85" s="624"/>
      <c r="AB85" s="624"/>
      <c r="AC85" s="625"/>
      <c r="AD85" s="604"/>
      <c r="AE85" s="623" t="s">
        <v>450</v>
      </c>
      <c r="AF85" s="624"/>
      <c r="AG85" s="624"/>
      <c r="AH85" s="625"/>
      <c r="AI85" s="604"/>
      <c r="AJ85" s="623" t="s">
        <v>450</v>
      </c>
      <c r="AK85" s="624"/>
      <c r="AL85" s="624"/>
      <c r="AM85" s="625"/>
      <c r="AN85" s="604"/>
      <c r="AO85" s="623" t="s">
        <v>450</v>
      </c>
      <c r="AP85" s="624"/>
      <c r="AQ85" s="624"/>
      <c r="AR85" s="625"/>
      <c r="AS85" s="604"/>
      <c r="AT85" s="623" t="s">
        <v>450</v>
      </c>
      <c r="AU85" s="624"/>
      <c r="AV85" s="624"/>
      <c r="AW85" s="625"/>
      <c r="AX85" s="604"/>
      <c r="BA85" s="604"/>
    </row>
    <row r="86" spans="2:53">
      <c r="B86" s="604"/>
      <c r="C86" s="604"/>
      <c r="D86" s="604"/>
      <c r="E86" s="301" t="s">
        <v>451</v>
      </c>
      <c r="F86" s="301" t="s">
        <v>452</v>
      </c>
      <c r="G86" s="301" t="s">
        <v>453</v>
      </c>
      <c r="H86" s="639"/>
      <c r="I86" s="302" t="s">
        <v>451</v>
      </c>
      <c r="J86" s="302" t="s">
        <v>452</v>
      </c>
      <c r="K86" s="302" t="s">
        <v>453</v>
      </c>
      <c r="L86" s="659"/>
      <c r="M86" s="644"/>
      <c r="N86" s="604"/>
      <c r="O86" s="604"/>
      <c r="P86" s="301" t="s">
        <v>451</v>
      </c>
      <c r="Q86" s="301" t="s">
        <v>452</v>
      </c>
      <c r="R86" s="301" t="s">
        <v>453</v>
      </c>
      <c r="S86" s="301" t="s">
        <v>446</v>
      </c>
      <c r="T86" s="604"/>
      <c r="U86" s="301" t="s">
        <v>451</v>
      </c>
      <c r="V86" s="301" t="s">
        <v>452</v>
      </c>
      <c r="W86" s="301" t="s">
        <v>453</v>
      </c>
      <c r="X86" s="301" t="s">
        <v>446</v>
      </c>
      <c r="Y86" s="604"/>
      <c r="Z86" s="301" t="s">
        <v>451</v>
      </c>
      <c r="AA86" s="301" t="s">
        <v>452</v>
      </c>
      <c r="AB86" s="301" t="s">
        <v>453</v>
      </c>
      <c r="AC86" s="301" t="s">
        <v>446</v>
      </c>
      <c r="AD86" s="604"/>
      <c r="AE86" s="301" t="s">
        <v>451</v>
      </c>
      <c r="AF86" s="301" t="s">
        <v>452</v>
      </c>
      <c r="AG86" s="301" t="s">
        <v>453</v>
      </c>
      <c r="AH86" s="301" t="s">
        <v>446</v>
      </c>
      <c r="AI86" s="604"/>
      <c r="AJ86" s="301" t="s">
        <v>451</v>
      </c>
      <c r="AK86" s="301" t="s">
        <v>452</v>
      </c>
      <c r="AL86" s="301" t="s">
        <v>453</v>
      </c>
      <c r="AM86" s="301" t="s">
        <v>446</v>
      </c>
      <c r="AN86" s="604"/>
      <c r="AO86" s="301" t="s">
        <v>451</v>
      </c>
      <c r="AP86" s="301" t="s">
        <v>452</v>
      </c>
      <c r="AQ86" s="301" t="s">
        <v>453</v>
      </c>
      <c r="AR86" s="301" t="s">
        <v>446</v>
      </c>
      <c r="AS86" s="604"/>
      <c r="AT86" s="301" t="s">
        <v>451</v>
      </c>
      <c r="AU86" s="301" t="s">
        <v>452</v>
      </c>
      <c r="AV86" s="301" t="s">
        <v>453</v>
      </c>
      <c r="AW86" s="301" t="s">
        <v>446</v>
      </c>
      <c r="AX86" s="604"/>
      <c r="AZ86" s="520" t="s">
        <v>396</v>
      </c>
      <c r="BA86" s="604"/>
    </row>
    <row r="87" spans="2:53">
      <c r="B87" s="604" t="s">
        <v>458</v>
      </c>
      <c r="C87" s="300">
        <v>1</v>
      </c>
      <c r="D87" s="226"/>
      <c r="E87" s="182"/>
      <c r="F87" s="488"/>
      <c r="G87" s="489"/>
      <c r="H87" s="667" t="e">
        <f>AVERAGE(G87:G101)</f>
        <v>#DIV/0!</v>
      </c>
      <c r="I87" s="513" t="str">
        <f t="shared" ref="I87:I100" si="76">IFERROR(AVERAGE(P87,U87,Z87,AE87,AJ87,AO87,AT87),"-")</f>
        <v>-</v>
      </c>
      <c r="J87" s="513" t="str">
        <f t="shared" ref="J87:J100" si="77">IFERROR(AVERAGE(Q87,V87,AA87,AF87,AK87,AP87,AU87),"-")</f>
        <v>-</v>
      </c>
      <c r="K87" s="200" t="str">
        <f t="shared" ref="K87:K100" si="78">IFERROR(AVERAGE(R87,W87,AB87,AG87,AL87,AQ87,AV87),"-")</f>
        <v>-</v>
      </c>
      <c r="L87" s="620" t="str">
        <f>IFERROR(AVERAGE(K87:K101),"-")</f>
        <v>-</v>
      </c>
      <c r="M87" s="201" t="e">
        <f>RANK(K87, K$87:$K$101)</f>
        <v>#VALUE!</v>
      </c>
      <c r="N87" s="604"/>
      <c r="O87" s="604"/>
      <c r="P87" s="506"/>
      <c r="Q87" s="507"/>
      <c r="R87" s="507"/>
      <c r="S87" s="300" t="e">
        <f>RANK(R87, R$87:R$101)</f>
        <v>#N/A</v>
      </c>
      <c r="T87" s="667" t="e">
        <f>AVERAGE(R87:R101)</f>
        <v>#DIV/0!</v>
      </c>
      <c r="U87" s="506"/>
      <c r="V87" s="507"/>
      <c r="W87" s="507"/>
      <c r="X87" s="441" t="e">
        <f t="shared" ref="X87:X101" si="79">RANK(W87, W$87:W$101)</f>
        <v>#N/A</v>
      </c>
      <c r="Y87" s="667" t="e">
        <f t="shared" ref="Y87" si="80">AVERAGE(W87:W101)</f>
        <v>#DIV/0!</v>
      </c>
      <c r="Z87" s="506"/>
      <c r="AA87" s="507"/>
      <c r="AB87" s="507"/>
      <c r="AC87" s="441" t="e">
        <f t="shared" ref="AC87:AC101" si="81">RANK(AB87, AB$87:AB$101)</f>
        <v>#N/A</v>
      </c>
      <c r="AD87" s="667" t="e">
        <f t="shared" ref="AD87" si="82">AVERAGE(AB87:AB101)</f>
        <v>#DIV/0!</v>
      </c>
      <c r="AE87" s="506"/>
      <c r="AF87" s="507"/>
      <c r="AG87" s="507"/>
      <c r="AH87" s="441" t="e">
        <f t="shared" ref="AH87:AH101" si="83">RANK(AG87, AG$87:AG$101)</f>
        <v>#N/A</v>
      </c>
      <c r="AI87" s="667" t="e">
        <f t="shared" ref="AI87" si="84">AVERAGE(AG87:AG101)</f>
        <v>#DIV/0!</v>
      </c>
      <c r="AJ87" s="506"/>
      <c r="AK87" s="507"/>
      <c r="AL87" s="507"/>
      <c r="AM87" s="441" t="e">
        <f t="shared" ref="AM87:AM101" si="85">RANK(AL87, AL$87:AL$101)</f>
        <v>#N/A</v>
      </c>
      <c r="AN87" s="667" t="e">
        <f t="shared" ref="AN87" si="86">AVERAGE(AL87:AL101)</f>
        <v>#DIV/0!</v>
      </c>
      <c r="AO87" s="506"/>
      <c r="AP87" s="507"/>
      <c r="AQ87" s="507"/>
      <c r="AR87" s="441" t="e">
        <f t="shared" ref="AR87:AR101" si="87">RANK(AQ87, AQ$87:AQ$101)</f>
        <v>#N/A</v>
      </c>
      <c r="AS87" s="667" t="e">
        <f t="shared" ref="AS87" si="88">AVERAGE(AQ87:AQ101)</f>
        <v>#DIV/0!</v>
      </c>
      <c r="AT87" s="506"/>
      <c r="AU87" s="507"/>
      <c r="AV87" s="507"/>
      <c r="AW87" s="441" t="e">
        <f t="shared" ref="AW87:AW101" si="89">RANK(AV87, AV$87:AV$101)</f>
        <v>#N/A</v>
      </c>
      <c r="AX87" s="605" t="e">
        <f t="shared" ref="AX87" si="90">AVERAGE(AV87:AV101)</f>
        <v>#DIV/0!</v>
      </c>
      <c r="AZ87" s="521" t="e">
        <f t="shared" ref="AZ87:AZ101" si="91">RANK(AY87, AY$87:AY$101)</f>
        <v>#N/A</v>
      </c>
      <c r="BA87" s="605" t="e">
        <f t="shared" ref="BA87" si="92">AVERAGE(AY87:AY101)</f>
        <v>#DIV/0!</v>
      </c>
    </row>
    <row r="88" spans="2:53">
      <c r="B88" s="610"/>
      <c r="C88" s="300">
        <v>2</v>
      </c>
      <c r="D88" s="226"/>
      <c r="E88" s="182"/>
      <c r="F88" s="488"/>
      <c r="G88" s="489"/>
      <c r="H88" s="668"/>
      <c r="I88" s="513" t="str">
        <f t="shared" si="76"/>
        <v>-</v>
      </c>
      <c r="J88" s="513" t="str">
        <f t="shared" si="77"/>
        <v>-</v>
      </c>
      <c r="K88" s="200" t="str">
        <f t="shared" si="78"/>
        <v>-</v>
      </c>
      <c r="L88" s="621"/>
      <c r="M88" s="201" t="e">
        <f>RANK(K88, K$87:$K$101)</f>
        <v>#VALUE!</v>
      </c>
      <c r="N88" s="604"/>
      <c r="O88" s="604"/>
      <c r="P88" s="506"/>
      <c r="Q88" s="507"/>
      <c r="R88" s="507"/>
      <c r="S88" s="300" t="e">
        <f t="shared" ref="S88:S101" si="93">RANK(R88, R$87:R$101)</f>
        <v>#N/A</v>
      </c>
      <c r="T88" s="668"/>
      <c r="U88" s="506"/>
      <c r="V88" s="507"/>
      <c r="W88" s="507"/>
      <c r="X88" s="441" t="e">
        <f t="shared" si="79"/>
        <v>#N/A</v>
      </c>
      <c r="Y88" s="668"/>
      <c r="Z88" s="506"/>
      <c r="AA88" s="507"/>
      <c r="AB88" s="507"/>
      <c r="AC88" s="441" t="e">
        <f t="shared" si="81"/>
        <v>#N/A</v>
      </c>
      <c r="AD88" s="668"/>
      <c r="AE88" s="506"/>
      <c r="AF88" s="507"/>
      <c r="AG88" s="507"/>
      <c r="AH88" s="441" t="e">
        <f t="shared" si="83"/>
        <v>#N/A</v>
      </c>
      <c r="AI88" s="668"/>
      <c r="AJ88" s="506"/>
      <c r="AK88" s="507"/>
      <c r="AL88" s="507"/>
      <c r="AM88" s="441" t="e">
        <f t="shared" si="85"/>
        <v>#N/A</v>
      </c>
      <c r="AN88" s="668"/>
      <c r="AO88" s="506"/>
      <c r="AP88" s="507"/>
      <c r="AQ88" s="507"/>
      <c r="AR88" s="441" t="e">
        <f t="shared" si="87"/>
        <v>#N/A</v>
      </c>
      <c r="AS88" s="668"/>
      <c r="AT88" s="506"/>
      <c r="AU88" s="507"/>
      <c r="AV88" s="507"/>
      <c r="AW88" s="441" t="e">
        <f t="shared" si="89"/>
        <v>#N/A</v>
      </c>
      <c r="AX88" s="605"/>
      <c r="AZ88" s="521" t="e">
        <f t="shared" si="91"/>
        <v>#N/A</v>
      </c>
      <c r="BA88" s="605"/>
    </row>
    <row r="89" spans="2:53">
      <c r="B89" s="610"/>
      <c r="C89" s="300">
        <v>3</v>
      </c>
      <c r="D89" s="226"/>
      <c r="E89" s="182"/>
      <c r="F89" s="488"/>
      <c r="G89" s="489"/>
      <c r="H89" s="668"/>
      <c r="I89" s="513" t="str">
        <f t="shared" si="76"/>
        <v>-</v>
      </c>
      <c r="J89" s="513" t="str">
        <f t="shared" si="77"/>
        <v>-</v>
      </c>
      <c r="K89" s="200" t="str">
        <f t="shared" si="78"/>
        <v>-</v>
      </c>
      <c r="L89" s="621"/>
      <c r="M89" s="201" t="e">
        <f>RANK(K89, K$87:$K$101)</f>
        <v>#VALUE!</v>
      </c>
      <c r="N89" s="604"/>
      <c r="O89" s="604"/>
      <c r="P89" s="506"/>
      <c r="Q89" s="507"/>
      <c r="R89" s="507"/>
      <c r="S89" s="300" t="e">
        <f t="shared" si="93"/>
        <v>#N/A</v>
      </c>
      <c r="T89" s="668"/>
      <c r="U89" s="506"/>
      <c r="V89" s="507"/>
      <c r="W89" s="507"/>
      <c r="X89" s="441" t="e">
        <f t="shared" si="79"/>
        <v>#N/A</v>
      </c>
      <c r="Y89" s="668"/>
      <c r="Z89" s="506"/>
      <c r="AA89" s="507"/>
      <c r="AB89" s="507"/>
      <c r="AC89" s="441" t="e">
        <f t="shared" si="81"/>
        <v>#N/A</v>
      </c>
      <c r="AD89" s="668"/>
      <c r="AE89" s="506"/>
      <c r="AF89" s="507"/>
      <c r="AG89" s="507"/>
      <c r="AH89" s="441" t="e">
        <f t="shared" si="83"/>
        <v>#N/A</v>
      </c>
      <c r="AI89" s="668"/>
      <c r="AJ89" s="506"/>
      <c r="AK89" s="507"/>
      <c r="AL89" s="507"/>
      <c r="AM89" s="441" t="e">
        <f t="shared" si="85"/>
        <v>#N/A</v>
      </c>
      <c r="AN89" s="668"/>
      <c r="AO89" s="506"/>
      <c r="AP89" s="507"/>
      <c r="AQ89" s="507"/>
      <c r="AR89" s="441" t="e">
        <f t="shared" si="87"/>
        <v>#N/A</v>
      </c>
      <c r="AS89" s="668"/>
      <c r="AT89" s="506"/>
      <c r="AU89" s="507"/>
      <c r="AV89" s="507"/>
      <c r="AW89" s="441" t="e">
        <f t="shared" si="89"/>
        <v>#N/A</v>
      </c>
      <c r="AX89" s="605"/>
      <c r="AZ89" s="521" t="e">
        <f t="shared" si="91"/>
        <v>#N/A</v>
      </c>
      <c r="BA89" s="605"/>
    </row>
    <row r="90" spans="2:53">
      <c r="B90" s="610"/>
      <c r="C90" s="300">
        <v>4</v>
      </c>
      <c r="D90" s="226"/>
      <c r="E90" s="182"/>
      <c r="F90" s="488"/>
      <c r="G90" s="489"/>
      <c r="H90" s="668"/>
      <c r="I90" s="513" t="str">
        <f t="shared" si="76"/>
        <v>-</v>
      </c>
      <c r="J90" s="513" t="str">
        <f t="shared" si="77"/>
        <v>-</v>
      </c>
      <c r="K90" s="200" t="str">
        <f t="shared" si="78"/>
        <v>-</v>
      </c>
      <c r="L90" s="621"/>
      <c r="M90" s="201" t="e">
        <f>RANK(K90, K$87:$K$101)</f>
        <v>#VALUE!</v>
      </c>
      <c r="N90" s="604"/>
      <c r="O90" s="604"/>
      <c r="P90" s="506"/>
      <c r="Q90" s="507"/>
      <c r="R90" s="507"/>
      <c r="S90" s="300" t="e">
        <f t="shared" si="93"/>
        <v>#N/A</v>
      </c>
      <c r="T90" s="668"/>
      <c r="U90" s="506"/>
      <c r="V90" s="507"/>
      <c r="W90" s="507"/>
      <c r="X90" s="441" t="e">
        <f t="shared" si="79"/>
        <v>#N/A</v>
      </c>
      <c r="Y90" s="668"/>
      <c r="Z90" s="506"/>
      <c r="AA90" s="507"/>
      <c r="AB90" s="507"/>
      <c r="AC90" s="441" t="e">
        <f t="shared" si="81"/>
        <v>#N/A</v>
      </c>
      <c r="AD90" s="668"/>
      <c r="AE90" s="506"/>
      <c r="AF90" s="507"/>
      <c r="AG90" s="507"/>
      <c r="AH90" s="441" t="e">
        <f t="shared" si="83"/>
        <v>#N/A</v>
      </c>
      <c r="AI90" s="668"/>
      <c r="AJ90" s="506"/>
      <c r="AK90" s="507"/>
      <c r="AL90" s="507"/>
      <c r="AM90" s="441" t="e">
        <f t="shared" si="85"/>
        <v>#N/A</v>
      </c>
      <c r="AN90" s="668"/>
      <c r="AO90" s="506"/>
      <c r="AP90" s="507"/>
      <c r="AQ90" s="507"/>
      <c r="AR90" s="441" t="e">
        <f t="shared" si="87"/>
        <v>#N/A</v>
      </c>
      <c r="AS90" s="668"/>
      <c r="AT90" s="506"/>
      <c r="AU90" s="507"/>
      <c r="AV90" s="507"/>
      <c r="AW90" s="441" t="e">
        <f t="shared" si="89"/>
        <v>#N/A</v>
      </c>
      <c r="AX90" s="605"/>
      <c r="AZ90" s="521" t="e">
        <f t="shared" si="91"/>
        <v>#N/A</v>
      </c>
      <c r="BA90" s="605"/>
    </row>
    <row r="91" spans="2:53">
      <c r="B91" s="610"/>
      <c r="C91" s="300">
        <v>5</v>
      </c>
      <c r="D91" s="226"/>
      <c r="E91" s="182"/>
      <c r="F91" s="488"/>
      <c r="G91" s="489"/>
      <c r="H91" s="668"/>
      <c r="I91" s="513" t="str">
        <f t="shared" si="76"/>
        <v>-</v>
      </c>
      <c r="J91" s="513" t="str">
        <f t="shared" si="77"/>
        <v>-</v>
      </c>
      <c r="K91" s="200" t="str">
        <f t="shared" si="78"/>
        <v>-</v>
      </c>
      <c r="L91" s="621"/>
      <c r="M91" s="201" t="e">
        <f>RANK(K91, K$87:$K$101)</f>
        <v>#VALUE!</v>
      </c>
      <c r="N91" s="604"/>
      <c r="O91" s="604"/>
      <c r="P91" s="506"/>
      <c r="Q91" s="507"/>
      <c r="R91" s="507"/>
      <c r="S91" s="300" t="e">
        <f t="shared" si="93"/>
        <v>#N/A</v>
      </c>
      <c r="T91" s="668"/>
      <c r="U91" s="506"/>
      <c r="V91" s="507"/>
      <c r="W91" s="507"/>
      <c r="X91" s="441" t="e">
        <f t="shared" si="79"/>
        <v>#N/A</v>
      </c>
      <c r="Y91" s="668"/>
      <c r="Z91" s="506"/>
      <c r="AA91" s="507"/>
      <c r="AB91" s="507"/>
      <c r="AC91" s="441" t="e">
        <f t="shared" si="81"/>
        <v>#N/A</v>
      </c>
      <c r="AD91" s="668"/>
      <c r="AE91" s="506"/>
      <c r="AF91" s="507"/>
      <c r="AG91" s="507"/>
      <c r="AH91" s="441" t="e">
        <f t="shared" si="83"/>
        <v>#N/A</v>
      </c>
      <c r="AI91" s="668"/>
      <c r="AJ91" s="506"/>
      <c r="AK91" s="507"/>
      <c r="AL91" s="507"/>
      <c r="AM91" s="441" t="e">
        <f t="shared" si="85"/>
        <v>#N/A</v>
      </c>
      <c r="AN91" s="668"/>
      <c r="AO91" s="506"/>
      <c r="AP91" s="507"/>
      <c r="AQ91" s="507"/>
      <c r="AR91" s="441" t="e">
        <f t="shared" si="87"/>
        <v>#N/A</v>
      </c>
      <c r="AS91" s="668"/>
      <c r="AT91" s="506"/>
      <c r="AU91" s="507"/>
      <c r="AV91" s="507"/>
      <c r="AW91" s="441" t="e">
        <f t="shared" si="89"/>
        <v>#N/A</v>
      </c>
      <c r="AX91" s="605"/>
      <c r="AZ91" s="521" t="e">
        <f t="shared" si="91"/>
        <v>#N/A</v>
      </c>
      <c r="BA91" s="605"/>
    </row>
    <row r="92" spans="2:53">
      <c r="B92" s="610"/>
      <c r="C92" s="300">
        <v>6</v>
      </c>
      <c r="D92" s="226"/>
      <c r="E92" s="182"/>
      <c r="F92" s="465"/>
      <c r="G92" s="466"/>
      <c r="H92" s="668"/>
      <c r="I92" s="513" t="str">
        <f t="shared" si="76"/>
        <v>-</v>
      </c>
      <c r="J92" s="513" t="str">
        <f t="shared" si="77"/>
        <v>-</v>
      </c>
      <c r="K92" s="200" t="str">
        <f t="shared" si="78"/>
        <v>-</v>
      </c>
      <c r="L92" s="621"/>
      <c r="M92" s="201" t="e">
        <f>RANK(K92, K$87:$K$101)</f>
        <v>#VALUE!</v>
      </c>
      <c r="N92" s="604"/>
      <c r="O92" s="604"/>
      <c r="P92" s="506"/>
      <c r="Q92" s="507"/>
      <c r="R92" s="507"/>
      <c r="S92" s="300" t="e">
        <f t="shared" si="93"/>
        <v>#N/A</v>
      </c>
      <c r="T92" s="668"/>
      <c r="U92" s="506"/>
      <c r="V92" s="507"/>
      <c r="W92" s="507"/>
      <c r="X92" s="441" t="e">
        <f t="shared" si="79"/>
        <v>#N/A</v>
      </c>
      <c r="Y92" s="668"/>
      <c r="Z92" s="506"/>
      <c r="AA92" s="507"/>
      <c r="AB92" s="507"/>
      <c r="AC92" s="441" t="e">
        <f t="shared" si="81"/>
        <v>#N/A</v>
      </c>
      <c r="AD92" s="668"/>
      <c r="AE92" s="506"/>
      <c r="AF92" s="507"/>
      <c r="AG92" s="507"/>
      <c r="AH92" s="441" t="e">
        <f t="shared" si="83"/>
        <v>#N/A</v>
      </c>
      <c r="AI92" s="668"/>
      <c r="AJ92" s="506"/>
      <c r="AK92" s="507"/>
      <c r="AL92" s="507"/>
      <c r="AM92" s="441" t="e">
        <f t="shared" si="85"/>
        <v>#N/A</v>
      </c>
      <c r="AN92" s="668"/>
      <c r="AO92" s="506"/>
      <c r="AP92" s="507"/>
      <c r="AQ92" s="507"/>
      <c r="AR92" s="441" t="e">
        <f t="shared" si="87"/>
        <v>#N/A</v>
      </c>
      <c r="AS92" s="668"/>
      <c r="AT92" s="506"/>
      <c r="AU92" s="507"/>
      <c r="AV92" s="507"/>
      <c r="AW92" s="441" t="e">
        <f t="shared" si="89"/>
        <v>#N/A</v>
      </c>
      <c r="AX92" s="605"/>
      <c r="AZ92" s="521" t="e">
        <f t="shared" si="91"/>
        <v>#N/A</v>
      </c>
      <c r="BA92" s="605"/>
    </row>
    <row r="93" spans="2:53">
      <c r="B93" s="610"/>
      <c r="C93" s="300">
        <v>7</v>
      </c>
      <c r="D93" s="226"/>
      <c r="E93" s="182"/>
      <c r="F93" s="465"/>
      <c r="G93" s="466"/>
      <c r="H93" s="668"/>
      <c r="I93" s="513" t="str">
        <f t="shared" si="76"/>
        <v>-</v>
      </c>
      <c r="J93" s="513" t="str">
        <f t="shared" si="77"/>
        <v>-</v>
      </c>
      <c r="K93" s="200" t="str">
        <f t="shared" si="78"/>
        <v>-</v>
      </c>
      <c r="L93" s="621"/>
      <c r="M93" s="201" t="e">
        <f>RANK(K93, K$87:$K$101)</f>
        <v>#VALUE!</v>
      </c>
      <c r="N93" s="604"/>
      <c r="O93" s="604"/>
      <c r="P93" s="506"/>
      <c r="Q93" s="507"/>
      <c r="R93" s="507"/>
      <c r="S93" s="300" t="e">
        <f t="shared" si="93"/>
        <v>#N/A</v>
      </c>
      <c r="T93" s="668"/>
      <c r="U93" s="506"/>
      <c r="V93" s="507"/>
      <c r="W93" s="507"/>
      <c r="X93" s="441" t="e">
        <f t="shared" si="79"/>
        <v>#N/A</v>
      </c>
      <c r="Y93" s="668"/>
      <c r="Z93" s="506"/>
      <c r="AA93" s="507"/>
      <c r="AB93" s="507"/>
      <c r="AC93" s="441" t="e">
        <f t="shared" si="81"/>
        <v>#N/A</v>
      </c>
      <c r="AD93" s="668"/>
      <c r="AE93" s="506"/>
      <c r="AF93" s="507"/>
      <c r="AG93" s="507"/>
      <c r="AH93" s="441" t="e">
        <f t="shared" si="83"/>
        <v>#N/A</v>
      </c>
      <c r="AI93" s="668"/>
      <c r="AJ93" s="506"/>
      <c r="AK93" s="507"/>
      <c r="AL93" s="507"/>
      <c r="AM93" s="441" t="e">
        <f t="shared" si="85"/>
        <v>#N/A</v>
      </c>
      <c r="AN93" s="668"/>
      <c r="AO93" s="506"/>
      <c r="AP93" s="507"/>
      <c r="AQ93" s="507"/>
      <c r="AR93" s="441" t="e">
        <f t="shared" si="87"/>
        <v>#N/A</v>
      </c>
      <c r="AS93" s="668"/>
      <c r="AT93" s="506"/>
      <c r="AU93" s="507"/>
      <c r="AV93" s="507"/>
      <c r="AW93" s="441" t="e">
        <f t="shared" si="89"/>
        <v>#N/A</v>
      </c>
      <c r="AX93" s="605"/>
      <c r="AZ93" s="521" t="e">
        <f t="shared" si="91"/>
        <v>#N/A</v>
      </c>
      <c r="BA93" s="605"/>
    </row>
    <row r="94" spans="2:53">
      <c r="B94" s="610"/>
      <c r="C94" s="300">
        <v>8</v>
      </c>
      <c r="D94" s="226"/>
      <c r="E94" s="182"/>
      <c r="F94" s="465"/>
      <c r="G94" s="466"/>
      <c r="H94" s="668"/>
      <c r="I94" s="513" t="str">
        <f t="shared" si="76"/>
        <v>-</v>
      </c>
      <c r="J94" s="513" t="str">
        <f t="shared" si="77"/>
        <v>-</v>
      </c>
      <c r="K94" s="200" t="str">
        <f t="shared" si="78"/>
        <v>-</v>
      </c>
      <c r="L94" s="621"/>
      <c r="M94" s="201" t="e">
        <f>RANK(K94, K$87:$K$101)</f>
        <v>#VALUE!</v>
      </c>
      <c r="N94" s="604"/>
      <c r="O94" s="604"/>
      <c r="P94" s="506"/>
      <c r="Q94" s="507"/>
      <c r="R94" s="507"/>
      <c r="S94" s="300" t="e">
        <f t="shared" si="93"/>
        <v>#N/A</v>
      </c>
      <c r="T94" s="668"/>
      <c r="U94" s="506"/>
      <c r="V94" s="507"/>
      <c r="W94" s="507"/>
      <c r="X94" s="441" t="e">
        <f t="shared" si="79"/>
        <v>#N/A</v>
      </c>
      <c r="Y94" s="668"/>
      <c r="Z94" s="506"/>
      <c r="AA94" s="507"/>
      <c r="AB94" s="507"/>
      <c r="AC94" s="441" t="e">
        <f t="shared" si="81"/>
        <v>#N/A</v>
      </c>
      <c r="AD94" s="668"/>
      <c r="AE94" s="506"/>
      <c r="AF94" s="507"/>
      <c r="AG94" s="507"/>
      <c r="AH94" s="441" t="e">
        <f t="shared" si="83"/>
        <v>#N/A</v>
      </c>
      <c r="AI94" s="668"/>
      <c r="AJ94" s="506"/>
      <c r="AK94" s="507"/>
      <c r="AL94" s="507"/>
      <c r="AM94" s="441" t="e">
        <f t="shared" si="85"/>
        <v>#N/A</v>
      </c>
      <c r="AN94" s="668"/>
      <c r="AO94" s="506"/>
      <c r="AP94" s="507"/>
      <c r="AQ94" s="507"/>
      <c r="AR94" s="441" t="e">
        <f t="shared" si="87"/>
        <v>#N/A</v>
      </c>
      <c r="AS94" s="668"/>
      <c r="AT94" s="506"/>
      <c r="AU94" s="507"/>
      <c r="AV94" s="507"/>
      <c r="AW94" s="441" t="e">
        <f t="shared" si="89"/>
        <v>#N/A</v>
      </c>
      <c r="AX94" s="605"/>
      <c r="AZ94" s="521" t="e">
        <f t="shared" si="91"/>
        <v>#N/A</v>
      </c>
      <c r="BA94" s="605"/>
    </row>
    <row r="95" spans="2:53">
      <c r="B95" s="610"/>
      <c r="C95" s="300">
        <v>9</v>
      </c>
      <c r="D95" s="226"/>
      <c r="E95" s="182"/>
      <c r="F95" s="465"/>
      <c r="G95" s="466"/>
      <c r="H95" s="668"/>
      <c r="I95" s="513" t="str">
        <f t="shared" si="76"/>
        <v>-</v>
      </c>
      <c r="J95" s="513" t="str">
        <f t="shared" si="77"/>
        <v>-</v>
      </c>
      <c r="K95" s="200" t="str">
        <f t="shared" si="78"/>
        <v>-</v>
      </c>
      <c r="L95" s="621"/>
      <c r="M95" s="201" t="e">
        <f>RANK(K95, K$87:$K$101)</f>
        <v>#VALUE!</v>
      </c>
      <c r="N95" s="604"/>
      <c r="O95" s="604"/>
      <c r="P95" s="506"/>
      <c r="Q95" s="507"/>
      <c r="R95" s="507"/>
      <c r="S95" s="300" t="e">
        <f t="shared" si="93"/>
        <v>#N/A</v>
      </c>
      <c r="T95" s="668"/>
      <c r="U95" s="506"/>
      <c r="V95" s="507"/>
      <c r="W95" s="507"/>
      <c r="X95" s="441" t="e">
        <f t="shared" si="79"/>
        <v>#N/A</v>
      </c>
      <c r="Y95" s="668"/>
      <c r="Z95" s="506"/>
      <c r="AA95" s="507"/>
      <c r="AB95" s="507"/>
      <c r="AC95" s="441" t="e">
        <f t="shared" si="81"/>
        <v>#N/A</v>
      </c>
      <c r="AD95" s="668"/>
      <c r="AE95" s="506"/>
      <c r="AF95" s="507"/>
      <c r="AG95" s="507"/>
      <c r="AH95" s="441" t="e">
        <f t="shared" si="83"/>
        <v>#N/A</v>
      </c>
      <c r="AI95" s="668"/>
      <c r="AJ95" s="506"/>
      <c r="AK95" s="507"/>
      <c r="AL95" s="507"/>
      <c r="AM95" s="441" t="e">
        <f t="shared" si="85"/>
        <v>#N/A</v>
      </c>
      <c r="AN95" s="668"/>
      <c r="AO95" s="506"/>
      <c r="AP95" s="507"/>
      <c r="AQ95" s="507"/>
      <c r="AR95" s="441" t="e">
        <f t="shared" si="87"/>
        <v>#N/A</v>
      </c>
      <c r="AS95" s="668"/>
      <c r="AT95" s="506"/>
      <c r="AU95" s="507"/>
      <c r="AV95" s="507"/>
      <c r="AW95" s="441" t="e">
        <f t="shared" si="89"/>
        <v>#N/A</v>
      </c>
      <c r="AX95" s="605"/>
      <c r="AZ95" s="521" t="e">
        <f t="shared" si="91"/>
        <v>#N/A</v>
      </c>
      <c r="BA95" s="605"/>
    </row>
    <row r="96" spans="2:53">
      <c r="B96" s="610"/>
      <c r="C96" s="300">
        <v>10</v>
      </c>
      <c r="D96" s="226"/>
      <c r="E96" s="182"/>
      <c r="F96" s="465"/>
      <c r="G96" s="466"/>
      <c r="H96" s="668"/>
      <c r="I96" s="513" t="str">
        <f t="shared" si="76"/>
        <v>-</v>
      </c>
      <c r="J96" s="513" t="str">
        <f t="shared" si="77"/>
        <v>-</v>
      </c>
      <c r="K96" s="200" t="str">
        <f t="shared" si="78"/>
        <v>-</v>
      </c>
      <c r="L96" s="621"/>
      <c r="M96" s="201" t="e">
        <f>RANK(K96, K$87:$K$101)</f>
        <v>#VALUE!</v>
      </c>
      <c r="N96" s="604"/>
      <c r="O96" s="604"/>
      <c r="P96" s="506"/>
      <c r="Q96" s="507"/>
      <c r="R96" s="507"/>
      <c r="S96" s="300" t="e">
        <f t="shared" si="93"/>
        <v>#N/A</v>
      </c>
      <c r="T96" s="668"/>
      <c r="U96" s="506"/>
      <c r="V96" s="507"/>
      <c r="W96" s="507"/>
      <c r="X96" s="441" t="e">
        <f t="shared" si="79"/>
        <v>#N/A</v>
      </c>
      <c r="Y96" s="668"/>
      <c r="Z96" s="506"/>
      <c r="AA96" s="507"/>
      <c r="AB96" s="507"/>
      <c r="AC96" s="441" t="e">
        <f t="shared" si="81"/>
        <v>#N/A</v>
      </c>
      <c r="AD96" s="668"/>
      <c r="AE96" s="506"/>
      <c r="AF96" s="507"/>
      <c r="AG96" s="507"/>
      <c r="AH96" s="441" t="e">
        <f t="shared" si="83"/>
        <v>#N/A</v>
      </c>
      <c r="AI96" s="668"/>
      <c r="AJ96" s="506"/>
      <c r="AK96" s="507"/>
      <c r="AL96" s="507"/>
      <c r="AM96" s="441" t="e">
        <f t="shared" si="85"/>
        <v>#N/A</v>
      </c>
      <c r="AN96" s="668"/>
      <c r="AO96" s="506"/>
      <c r="AP96" s="507"/>
      <c r="AQ96" s="507"/>
      <c r="AR96" s="441" t="e">
        <f t="shared" si="87"/>
        <v>#N/A</v>
      </c>
      <c r="AS96" s="668"/>
      <c r="AT96" s="506"/>
      <c r="AU96" s="507"/>
      <c r="AV96" s="507"/>
      <c r="AW96" s="441" t="e">
        <f t="shared" si="89"/>
        <v>#N/A</v>
      </c>
      <c r="AX96" s="605"/>
      <c r="AZ96" s="521" t="e">
        <f t="shared" si="91"/>
        <v>#N/A</v>
      </c>
      <c r="BA96" s="605"/>
    </row>
    <row r="97" spans="2:53">
      <c r="B97" s="610"/>
      <c r="C97" s="300">
        <v>11</v>
      </c>
      <c r="D97" s="226"/>
      <c r="E97" s="182"/>
      <c r="F97" s="465"/>
      <c r="G97" s="466"/>
      <c r="H97" s="668"/>
      <c r="I97" s="513" t="str">
        <f t="shared" si="76"/>
        <v>-</v>
      </c>
      <c r="J97" s="513" t="str">
        <f t="shared" si="77"/>
        <v>-</v>
      </c>
      <c r="K97" s="200" t="str">
        <f t="shared" si="78"/>
        <v>-</v>
      </c>
      <c r="L97" s="621"/>
      <c r="M97" s="201" t="e">
        <f>RANK(K97, K$87:$K$101)</f>
        <v>#VALUE!</v>
      </c>
      <c r="N97" s="604"/>
      <c r="O97" s="604"/>
      <c r="P97" s="506"/>
      <c r="Q97" s="507"/>
      <c r="R97" s="507"/>
      <c r="S97" s="300" t="e">
        <f t="shared" si="93"/>
        <v>#N/A</v>
      </c>
      <c r="T97" s="668"/>
      <c r="U97" s="506"/>
      <c r="V97" s="507"/>
      <c r="W97" s="507"/>
      <c r="X97" s="441" t="e">
        <f t="shared" si="79"/>
        <v>#N/A</v>
      </c>
      <c r="Y97" s="668"/>
      <c r="Z97" s="506"/>
      <c r="AA97" s="507"/>
      <c r="AB97" s="507"/>
      <c r="AC97" s="441" t="e">
        <f t="shared" si="81"/>
        <v>#N/A</v>
      </c>
      <c r="AD97" s="668"/>
      <c r="AE97" s="506"/>
      <c r="AF97" s="507"/>
      <c r="AG97" s="507"/>
      <c r="AH97" s="441" t="e">
        <f t="shared" si="83"/>
        <v>#N/A</v>
      </c>
      <c r="AI97" s="668"/>
      <c r="AJ97" s="506"/>
      <c r="AK97" s="507"/>
      <c r="AL97" s="507"/>
      <c r="AM97" s="441" t="e">
        <f t="shared" si="85"/>
        <v>#N/A</v>
      </c>
      <c r="AN97" s="668"/>
      <c r="AO97" s="506"/>
      <c r="AP97" s="507"/>
      <c r="AQ97" s="507"/>
      <c r="AR97" s="441" t="e">
        <f t="shared" si="87"/>
        <v>#N/A</v>
      </c>
      <c r="AS97" s="668"/>
      <c r="AT97" s="506"/>
      <c r="AU97" s="507"/>
      <c r="AV97" s="507"/>
      <c r="AW97" s="441" t="e">
        <f t="shared" si="89"/>
        <v>#N/A</v>
      </c>
      <c r="AX97" s="605"/>
      <c r="AZ97" s="521" t="e">
        <f t="shared" si="91"/>
        <v>#N/A</v>
      </c>
      <c r="BA97" s="605"/>
    </row>
    <row r="98" spans="2:53">
      <c r="B98" s="610"/>
      <c r="C98" s="300">
        <v>12</v>
      </c>
      <c r="D98" s="226"/>
      <c r="E98" s="182"/>
      <c r="F98" s="465"/>
      <c r="G98" s="466"/>
      <c r="H98" s="668"/>
      <c r="I98" s="513" t="str">
        <f t="shared" si="76"/>
        <v>-</v>
      </c>
      <c r="J98" s="513" t="str">
        <f t="shared" si="77"/>
        <v>-</v>
      </c>
      <c r="K98" s="200" t="str">
        <f t="shared" si="78"/>
        <v>-</v>
      </c>
      <c r="L98" s="621"/>
      <c r="M98" s="201" t="e">
        <f>RANK(K98, K$87:$K$101)</f>
        <v>#VALUE!</v>
      </c>
      <c r="N98" s="604"/>
      <c r="O98" s="604"/>
      <c r="P98" s="506"/>
      <c r="Q98" s="507"/>
      <c r="R98" s="507"/>
      <c r="S98" s="300" t="e">
        <f t="shared" si="93"/>
        <v>#N/A</v>
      </c>
      <c r="T98" s="668"/>
      <c r="U98" s="506"/>
      <c r="V98" s="507"/>
      <c r="W98" s="507"/>
      <c r="X98" s="441" t="e">
        <f t="shared" si="79"/>
        <v>#N/A</v>
      </c>
      <c r="Y98" s="668"/>
      <c r="Z98" s="506"/>
      <c r="AA98" s="507"/>
      <c r="AB98" s="507"/>
      <c r="AC98" s="441" t="e">
        <f t="shared" si="81"/>
        <v>#N/A</v>
      </c>
      <c r="AD98" s="668"/>
      <c r="AE98" s="506"/>
      <c r="AF98" s="507"/>
      <c r="AG98" s="507"/>
      <c r="AH98" s="441" t="e">
        <f t="shared" si="83"/>
        <v>#N/A</v>
      </c>
      <c r="AI98" s="668"/>
      <c r="AJ98" s="506"/>
      <c r="AK98" s="507"/>
      <c r="AL98" s="507"/>
      <c r="AM98" s="441" t="e">
        <f t="shared" si="85"/>
        <v>#N/A</v>
      </c>
      <c r="AN98" s="668"/>
      <c r="AO98" s="506"/>
      <c r="AP98" s="507"/>
      <c r="AQ98" s="507"/>
      <c r="AR98" s="441" t="e">
        <f t="shared" si="87"/>
        <v>#N/A</v>
      </c>
      <c r="AS98" s="668"/>
      <c r="AT98" s="506"/>
      <c r="AU98" s="507"/>
      <c r="AV98" s="507"/>
      <c r="AW98" s="441" t="e">
        <f t="shared" si="89"/>
        <v>#N/A</v>
      </c>
      <c r="AX98" s="605"/>
      <c r="AZ98" s="521" t="e">
        <f t="shared" si="91"/>
        <v>#N/A</v>
      </c>
      <c r="BA98" s="605"/>
    </row>
    <row r="99" spans="2:53">
      <c r="B99" s="610"/>
      <c r="C99" s="300">
        <v>13</v>
      </c>
      <c r="D99" s="226"/>
      <c r="E99" s="182"/>
      <c r="F99" s="465"/>
      <c r="G99" s="466"/>
      <c r="H99" s="668"/>
      <c r="I99" s="513" t="str">
        <f t="shared" si="76"/>
        <v>-</v>
      </c>
      <c r="J99" s="513" t="str">
        <f t="shared" si="77"/>
        <v>-</v>
      </c>
      <c r="K99" s="200" t="str">
        <f t="shared" si="78"/>
        <v>-</v>
      </c>
      <c r="L99" s="621"/>
      <c r="M99" s="201" t="e">
        <f>RANK(K99, K$87:$K$101)</f>
        <v>#VALUE!</v>
      </c>
      <c r="N99" s="604"/>
      <c r="O99" s="604"/>
      <c r="P99" s="506"/>
      <c r="Q99" s="507"/>
      <c r="R99" s="507"/>
      <c r="S99" s="300" t="e">
        <f t="shared" si="93"/>
        <v>#N/A</v>
      </c>
      <c r="T99" s="668"/>
      <c r="U99" s="506"/>
      <c r="V99" s="507"/>
      <c r="W99" s="507"/>
      <c r="X99" s="441" t="e">
        <f t="shared" si="79"/>
        <v>#N/A</v>
      </c>
      <c r="Y99" s="668"/>
      <c r="Z99" s="506"/>
      <c r="AA99" s="507"/>
      <c r="AB99" s="507"/>
      <c r="AC99" s="441" t="e">
        <f t="shared" si="81"/>
        <v>#N/A</v>
      </c>
      <c r="AD99" s="668"/>
      <c r="AE99" s="506"/>
      <c r="AF99" s="507"/>
      <c r="AG99" s="507"/>
      <c r="AH99" s="441" t="e">
        <f t="shared" si="83"/>
        <v>#N/A</v>
      </c>
      <c r="AI99" s="668"/>
      <c r="AJ99" s="506"/>
      <c r="AK99" s="507"/>
      <c r="AL99" s="507"/>
      <c r="AM99" s="441" t="e">
        <f t="shared" si="85"/>
        <v>#N/A</v>
      </c>
      <c r="AN99" s="668"/>
      <c r="AO99" s="506"/>
      <c r="AP99" s="507"/>
      <c r="AQ99" s="507"/>
      <c r="AR99" s="441" t="e">
        <f t="shared" si="87"/>
        <v>#N/A</v>
      </c>
      <c r="AS99" s="668"/>
      <c r="AT99" s="506"/>
      <c r="AU99" s="507"/>
      <c r="AV99" s="507"/>
      <c r="AW99" s="441" t="e">
        <f t="shared" si="89"/>
        <v>#N/A</v>
      </c>
      <c r="AX99" s="605"/>
      <c r="AZ99" s="521" t="e">
        <f t="shared" si="91"/>
        <v>#N/A</v>
      </c>
      <c r="BA99" s="605"/>
    </row>
    <row r="100" spans="2:53">
      <c r="B100" s="610"/>
      <c r="C100" s="300">
        <v>14</v>
      </c>
      <c r="D100" s="226"/>
      <c r="E100" s="182"/>
      <c r="F100" s="465"/>
      <c r="G100" s="466"/>
      <c r="H100" s="668"/>
      <c r="I100" s="513" t="str">
        <f t="shared" si="76"/>
        <v>-</v>
      </c>
      <c r="J100" s="513" t="str">
        <f t="shared" si="77"/>
        <v>-</v>
      </c>
      <c r="K100" s="200" t="str">
        <f t="shared" si="78"/>
        <v>-</v>
      </c>
      <c r="L100" s="621"/>
      <c r="M100" s="201" t="e">
        <f>RANK(K100, K$87:$K$101)</f>
        <v>#VALUE!</v>
      </c>
      <c r="N100" s="604"/>
      <c r="O100" s="604"/>
      <c r="P100" s="506"/>
      <c r="Q100" s="507"/>
      <c r="R100" s="507"/>
      <c r="S100" s="300" t="e">
        <f t="shared" si="93"/>
        <v>#N/A</v>
      </c>
      <c r="T100" s="668"/>
      <c r="U100" s="506"/>
      <c r="V100" s="507"/>
      <c r="W100" s="507"/>
      <c r="X100" s="441" t="e">
        <f t="shared" si="79"/>
        <v>#N/A</v>
      </c>
      <c r="Y100" s="668"/>
      <c r="Z100" s="506"/>
      <c r="AA100" s="507"/>
      <c r="AB100" s="507"/>
      <c r="AC100" s="441" t="e">
        <f t="shared" si="81"/>
        <v>#N/A</v>
      </c>
      <c r="AD100" s="668"/>
      <c r="AE100" s="506"/>
      <c r="AF100" s="507"/>
      <c r="AG100" s="507"/>
      <c r="AH100" s="441" t="e">
        <f t="shared" si="83"/>
        <v>#N/A</v>
      </c>
      <c r="AI100" s="668"/>
      <c r="AJ100" s="506"/>
      <c r="AK100" s="507"/>
      <c r="AL100" s="507"/>
      <c r="AM100" s="441" t="e">
        <f t="shared" si="85"/>
        <v>#N/A</v>
      </c>
      <c r="AN100" s="668"/>
      <c r="AO100" s="506"/>
      <c r="AP100" s="507"/>
      <c r="AQ100" s="507"/>
      <c r="AR100" s="441" t="e">
        <f t="shared" si="87"/>
        <v>#N/A</v>
      </c>
      <c r="AS100" s="668"/>
      <c r="AT100" s="506"/>
      <c r="AU100" s="507"/>
      <c r="AV100" s="507"/>
      <c r="AW100" s="441" t="e">
        <f t="shared" si="89"/>
        <v>#N/A</v>
      </c>
      <c r="AX100" s="605"/>
      <c r="AZ100" s="521" t="e">
        <f t="shared" si="91"/>
        <v>#N/A</v>
      </c>
      <c r="BA100" s="605"/>
    </row>
    <row r="101" spans="2:53">
      <c r="B101" s="610"/>
      <c r="C101" s="300">
        <v>15</v>
      </c>
      <c r="D101" s="226"/>
      <c r="E101" s="182"/>
      <c r="F101" s="465"/>
      <c r="G101" s="466"/>
      <c r="H101" s="669"/>
      <c r="I101" s="517"/>
      <c r="J101" s="517"/>
      <c r="K101" s="517"/>
      <c r="L101" s="622"/>
      <c r="M101" s="199" t="e">
        <f>RANK(K101, K$87:$K$101)</f>
        <v>#N/A</v>
      </c>
      <c r="N101" s="604"/>
      <c r="O101" s="604"/>
      <c r="P101" s="506"/>
      <c r="Q101" s="507"/>
      <c r="R101" s="507"/>
      <c r="S101" s="300" t="e">
        <f t="shared" si="93"/>
        <v>#N/A</v>
      </c>
      <c r="T101" s="669"/>
      <c r="U101" s="506"/>
      <c r="V101" s="507"/>
      <c r="W101" s="507"/>
      <c r="X101" s="441" t="e">
        <f t="shared" si="79"/>
        <v>#N/A</v>
      </c>
      <c r="Y101" s="669"/>
      <c r="Z101" s="506"/>
      <c r="AA101" s="507"/>
      <c r="AB101" s="507"/>
      <c r="AC101" s="441" t="e">
        <f t="shared" si="81"/>
        <v>#N/A</v>
      </c>
      <c r="AD101" s="669"/>
      <c r="AE101" s="506"/>
      <c r="AF101" s="507"/>
      <c r="AG101" s="507"/>
      <c r="AH101" s="441" t="e">
        <f t="shared" si="83"/>
        <v>#N/A</v>
      </c>
      <c r="AI101" s="669"/>
      <c r="AJ101" s="506"/>
      <c r="AK101" s="507"/>
      <c r="AL101" s="507"/>
      <c r="AM101" s="441" t="e">
        <f t="shared" si="85"/>
        <v>#N/A</v>
      </c>
      <c r="AN101" s="669"/>
      <c r="AO101" s="506"/>
      <c r="AP101" s="507"/>
      <c r="AQ101" s="507"/>
      <c r="AR101" s="441" t="e">
        <f t="shared" si="87"/>
        <v>#N/A</v>
      </c>
      <c r="AS101" s="669"/>
      <c r="AT101" s="506"/>
      <c r="AU101" s="507"/>
      <c r="AV101" s="507"/>
      <c r="AW101" s="441" t="e">
        <f t="shared" si="89"/>
        <v>#N/A</v>
      </c>
      <c r="AX101" s="605"/>
      <c r="AZ101" s="521" t="e">
        <f t="shared" si="91"/>
        <v>#N/A</v>
      </c>
      <c r="BA101" s="605"/>
    </row>
    <row r="102" spans="2:53" ht="15.75">
      <c r="B102" s="633" t="s">
        <v>163</v>
      </c>
      <c r="C102" s="634"/>
      <c r="D102" s="634"/>
      <c r="E102" s="634"/>
      <c r="F102" s="634"/>
      <c r="G102" s="634"/>
      <c r="H102" s="635"/>
      <c r="I102" s="208"/>
      <c r="J102" s="208"/>
      <c r="K102" s="208"/>
      <c r="L102" s="208"/>
      <c r="M102" s="207"/>
      <c r="N102" s="606" t="s">
        <v>156</v>
      </c>
      <c r="O102" s="606" t="s">
        <v>105</v>
      </c>
      <c r="P102" s="632">
        <f>P82+7</f>
        <v>46147</v>
      </c>
      <c r="Q102" s="610"/>
      <c r="R102" s="610"/>
      <c r="S102" s="610"/>
      <c r="T102" s="610"/>
      <c r="U102" s="629">
        <f>P102+1</f>
        <v>46148</v>
      </c>
      <c r="V102" s="630"/>
      <c r="W102" s="630"/>
      <c r="X102" s="630"/>
      <c r="Y102" s="631"/>
      <c r="Z102" s="629">
        <f>U102+1</f>
        <v>46149</v>
      </c>
      <c r="AA102" s="630"/>
      <c r="AB102" s="630"/>
      <c r="AC102" s="630"/>
      <c r="AD102" s="631"/>
      <c r="AE102" s="629">
        <f>Z102+1</f>
        <v>46150</v>
      </c>
      <c r="AF102" s="630"/>
      <c r="AG102" s="630"/>
      <c r="AH102" s="630"/>
      <c r="AI102" s="631"/>
      <c r="AJ102" s="629">
        <f>AE102+1</f>
        <v>46151</v>
      </c>
      <c r="AK102" s="630"/>
      <c r="AL102" s="630"/>
      <c r="AM102" s="630"/>
      <c r="AN102" s="631"/>
      <c r="AO102" s="629">
        <f>AJ102+1</f>
        <v>46152</v>
      </c>
      <c r="AP102" s="630"/>
      <c r="AQ102" s="630"/>
      <c r="AR102" s="630"/>
      <c r="AS102" s="631"/>
      <c r="AT102" s="629">
        <f>AO102+1</f>
        <v>46153</v>
      </c>
      <c r="AU102" s="630"/>
      <c r="AV102" s="630"/>
      <c r="AW102" s="630"/>
      <c r="AX102" s="631"/>
    </row>
    <row r="103" spans="2:53" ht="15.75">
      <c r="B103" s="636"/>
      <c r="C103" s="636"/>
      <c r="D103" s="636"/>
      <c r="E103" s="636"/>
      <c r="F103" s="636"/>
      <c r="G103" s="636"/>
      <c r="H103" s="636"/>
      <c r="I103" s="205"/>
      <c r="J103" s="205"/>
      <c r="K103" s="205"/>
      <c r="L103" s="205"/>
      <c r="M103" s="206"/>
      <c r="N103" s="608"/>
      <c r="O103" s="608"/>
      <c r="P103" s="632" t="s">
        <v>158</v>
      </c>
      <c r="Q103" s="610"/>
      <c r="R103" s="610"/>
      <c r="S103" s="610"/>
      <c r="T103" s="610"/>
      <c r="U103" s="632" t="s">
        <v>114</v>
      </c>
      <c r="V103" s="610"/>
      <c r="W103" s="610"/>
      <c r="X103" s="610"/>
      <c r="Y103" s="610"/>
      <c r="Z103" s="632" t="s">
        <v>159</v>
      </c>
      <c r="AA103" s="610"/>
      <c r="AB103" s="610"/>
      <c r="AC103" s="610"/>
      <c r="AD103" s="610"/>
      <c r="AE103" s="632" t="s">
        <v>157</v>
      </c>
      <c r="AF103" s="610"/>
      <c r="AG103" s="610"/>
      <c r="AH103" s="610"/>
      <c r="AI103" s="610"/>
      <c r="AJ103" s="632" t="s">
        <v>160</v>
      </c>
      <c r="AK103" s="610"/>
      <c r="AL103" s="610"/>
      <c r="AM103" s="610"/>
      <c r="AN103" s="610"/>
      <c r="AO103" s="632" t="s">
        <v>115</v>
      </c>
      <c r="AP103" s="610"/>
      <c r="AQ103" s="610"/>
      <c r="AR103" s="610"/>
      <c r="AS103" s="610"/>
      <c r="AT103" s="632" t="s">
        <v>162</v>
      </c>
      <c r="AU103" s="610"/>
      <c r="AV103" s="610"/>
      <c r="AW103" s="610"/>
      <c r="AX103" s="610"/>
    </row>
    <row r="104" spans="2:53">
      <c r="B104" s="604" t="s">
        <v>693</v>
      </c>
      <c r="C104" s="604" t="s">
        <v>694</v>
      </c>
      <c r="D104" s="604"/>
      <c r="E104" s="604" t="s">
        <v>695</v>
      </c>
      <c r="F104" s="604"/>
      <c r="G104" s="604"/>
      <c r="H104" s="637" t="s">
        <v>696</v>
      </c>
      <c r="I104" s="604" t="s">
        <v>697</v>
      </c>
      <c r="J104" s="604"/>
      <c r="K104" s="604"/>
      <c r="L104" s="637" t="s">
        <v>395</v>
      </c>
      <c r="M104" s="606" t="s">
        <v>698</v>
      </c>
      <c r="N104" s="604"/>
      <c r="O104" s="604" t="s">
        <v>684</v>
      </c>
      <c r="P104" s="623" t="s">
        <v>685</v>
      </c>
      <c r="Q104" s="624"/>
      <c r="R104" s="624"/>
      <c r="S104" s="625"/>
      <c r="T104" s="604" t="s">
        <v>681</v>
      </c>
      <c r="U104" s="623" t="s">
        <v>685</v>
      </c>
      <c r="V104" s="624"/>
      <c r="W104" s="624"/>
      <c r="X104" s="625"/>
      <c r="Y104" s="604" t="s">
        <v>681</v>
      </c>
      <c r="Z104" s="623" t="s">
        <v>685</v>
      </c>
      <c r="AA104" s="624"/>
      <c r="AB104" s="624"/>
      <c r="AC104" s="625"/>
      <c r="AD104" s="604" t="s">
        <v>681</v>
      </c>
      <c r="AE104" s="623" t="s">
        <v>685</v>
      </c>
      <c r="AF104" s="624"/>
      <c r="AG104" s="624"/>
      <c r="AH104" s="625"/>
      <c r="AI104" s="604" t="s">
        <v>681</v>
      </c>
      <c r="AJ104" s="623" t="s">
        <v>685</v>
      </c>
      <c r="AK104" s="624"/>
      <c r="AL104" s="624"/>
      <c r="AM104" s="625"/>
      <c r="AN104" s="604" t="s">
        <v>681</v>
      </c>
      <c r="AO104" s="623" t="s">
        <v>685</v>
      </c>
      <c r="AP104" s="624"/>
      <c r="AQ104" s="624"/>
      <c r="AR104" s="625"/>
      <c r="AS104" s="604" t="s">
        <v>681</v>
      </c>
      <c r="AT104" s="623" t="s">
        <v>685</v>
      </c>
      <c r="AU104" s="624"/>
      <c r="AV104" s="624"/>
      <c r="AW104" s="625"/>
      <c r="AX104" s="604" t="s">
        <v>681</v>
      </c>
      <c r="BA104" s="604" t="s">
        <v>395</v>
      </c>
    </row>
    <row r="105" spans="2:53">
      <c r="B105" s="604"/>
      <c r="C105" s="604"/>
      <c r="D105" s="604"/>
      <c r="E105" s="604" t="s">
        <v>700</v>
      </c>
      <c r="F105" s="604"/>
      <c r="G105" s="604"/>
      <c r="H105" s="638"/>
      <c r="I105" s="604" t="s">
        <v>700</v>
      </c>
      <c r="J105" s="604"/>
      <c r="K105" s="604"/>
      <c r="L105" s="638"/>
      <c r="M105" s="607"/>
      <c r="N105" s="604"/>
      <c r="O105" s="604"/>
      <c r="P105" s="623" t="s">
        <v>687</v>
      </c>
      <c r="Q105" s="624"/>
      <c r="R105" s="624"/>
      <c r="S105" s="625"/>
      <c r="T105" s="604"/>
      <c r="U105" s="623" t="s">
        <v>687</v>
      </c>
      <c r="V105" s="624"/>
      <c r="W105" s="624"/>
      <c r="X105" s="625"/>
      <c r="Y105" s="604"/>
      <c r="Z105" s="623" t="s">
        <v>687</v>
      </c>
      <c r="AA105" s="624"/>
      <c r="AB105" s="624"/>
      <c r="AC105" s="625"/>
      <c r="AD105" s="604"/>
      <c r="AE105" s="623" t="s">
        <v>687</v>
      </c>
      <c r="AF105" s="624"/>
      <c r="AG105" s="624"/>
      <c r="AH105" s="625"/>
      <c r="AI105" s="604"/>
      <c r="AJ105" s="623" t="s">
        <v>687</v>
      </c>
      <c r="AK105" s="624"/>
      <c r="AL105" s="624"/>
      <c r="AM105" s="625"/>
      <c r="AN105" s="604"/>
      <c r="AO105" s="623" t="s">
        <v>687</v>
      </c>
      <c r="AP105" s="624"/>
      <c r="AQ105" s="624"/>
      <c r="AR105" s="625"/>
      <c r="AS105" s="604"/>
      <c r="AT105" s="623" t="s">
        <v>687</v>
      </c>
      <c r="AU105" s="624"/>
      <c r="AV105" s="624"/>
      <c r="AW105" s="625"/>
      <c r="AX105" s="604"/>
      <c r="BA105" s="604"/>
    </row>
    <row r="106" spans="2:53">
      <c r="B106" s="604"/>
      <c r="C106" s="604"/>
      <c r="D106" s="604"/>
      <c r="E106" s="446" t="s">
        <v>701</v>
      </c>
      <c r="F106" s="446" t="s">
        <v>702</v>
      </c>
      <c r="G106" s="446" t="s">
        <v>703</v>
      </c>
      <c r="H106" s="639"/>
      <c r="I106" s="446" t="s">
        <v>701</v>
      </c>
      <c r="J106" s="446" t="s">
        <v>702</v>
      </c>
      <c r="K106" s="446" t="s">
        <v>703</v>
      </c>
      <c r="L106" s="639"/>
      <c r="M106" s="608"/>
      <c r="N106" s="604"/>
      <c r="O106" s="604"/>
      <c r="P106" s="446" t="s">
        <v>688</v>
      </c>
      <c r="Q106" s="446" t="s">
        <v>689</v>
      </c>
      <c r="R106" s="446" t="s">
        <v>690</v>
      </c>
      <c r="S106" s="446" t="s">
        <v>683</v>
      </c>
      <c r="T106" s="604"/>
      <c r="U106" s="446" t="s">
        <v>688</v>
      </c>
      <c r="V106" s="446" t="s">
        <v>689</v>
      </c>
      <c r="W106" s="446" t="s">
        <v>690</v>
      </c>
      <c r="X106" s="446" t="s">
        <v>683</v>
      </c>
      <c r="Y106" s="604"/>
      <c r="Z106" s="446" t="s">
        <v>688</v>
      </c>
      <c r="AA106" s="446" t="s">
        <v>689</v>
      </c>
      <c r="AB106" s="446" t="s">
        <v>690</v>
      </c>
      <c r="AC106" s="446" t="s">
        <v>683</v>
      </c>
      <c r="AD106" s="604"/>
      <c r="AE106" s="446" t="s">
        <v>688</v>
      </c>
      <c r="AF106" s="446" t="s">
        <v>689</v>
      </c>
      <c r="AG106" s="446" t="s">
        <v>690</v>
      </c>
      <c r="AH106" s="446" t="s">
        <v>683</v>
      </c>
      <c r="AI106" s="604"/>
      <c r="AJ106" s="446" t="s">
        <v>688</v>
      </c>
      <c r="AK106" s="446" t="s">
        <v>689</v>
      </c>
      <c r="AL106" s="446" t="s">
        <v>690</v>
      </c>
      <c r="AM106" s="446" t="s">
        <v>683</v>
      </c>
      <c r="AN106" s="604"/>
      <c r="AO106" s="446" t="s">
        <v>688</v>
      </c>
      <c r="AP106" s="446" t="s">
        <v>689</v>
      </c>
      <c r="AQ106" s="446" t="s">
        <v>690</v>
      </c>
      <c r="AR106" s="446" t="s">
        <v>683</v>
      </c>
      <c r="AS106" s="604"/>
      <c r="AT106" s="446" t="s">
        <v>688</v>
      </c>
      <c r="AU106" s="446" t="s">
        <v>689</v>
      </c>
      <c r="AV106" s="446" t="s">
        <v>690</v>
      </c>
      <c r="AW106" s="446" t="s">
        <v>683</v>
      </c>
      <c r="AX106" s="604"/>
      <c r="AZ106" s="520" t="s">
        <v>683</v>
      </c>
      <c r="BA106" s="604"/>
    </row>
    <row r="107" spans="2:53">
      <c r="B107" s="604" t="s">
        <v>136</v>
      </c>
      <c r="C107" s="451">
        <v>1</v>
      </c>
      <c r="D107" s="226"/>
      <c r="E107" s="182"/>
      <c r="F107" s="465"/>
      <c r="G107" s="466"/>
      <c r="H107" s="692" t="e">
        <f>AVERAGE(G107:G121)</f>
        <v>#DIV/0!</v>
      </c>
      <c r="I107" s="513" t="str">
        <f t="shared" ref="I107:I120" si="94">IFERROR(AVERAGE(P107,U107,Z107,AE107,AJ107,AO107,AT107),"-")</f>
        <v>-</v>
      </c>
      <c r="J107" s="513" t="str">
        <f t="shared" ref="J107:J120" si="95">IFERROR(AVERAGE(Q107,V107,AA107,AF107,AK107,AP107,AU107),"-")</f>
        <v>-</v>
      </c>
      <c r="K107" s="200" t="str">
        <f t="shared" ref="K107:K120" si="96">IFERROR(AVERAGE(R107,W107,AB107,AG107,AL107,AQ107,AV107),"-")</f>
        <v>-</v>
      </c>
      <c r="L107" s="620" t="str">
        <f>IFERROR(AVERAGE(K107:K121),"-")</f>
        <v>-</v>
      </c>
      <c r="M107" s="452" t="e">
        <f>RANK(K107, K$67:$K$81)</f>
        <v>#VALUE!</v>
      </c>
      <c r="N107" s="604"/>
      <c r="O107" s="604"/>
      <c r="P107" s="451"/>
      <c r="Q107" s="452"/>
      <c r="R107" s="452"/>
      <c r="S107" s="451" t="e">
        <f>RANK(R107, R$67:R$81)</f>
        <v>#N/A</v>
      </c>
      <c r="T107" s="612" t="e">
        <f>AVERAGE(R107:R121)</f>
        <v>#DIV/0!</v>
      </c>
      <c r="U107" s="469"/>
      <c r="V107" s="472"/>
      <c r="W107" s="472"/>
      <c r="X107" s="451" t="e">
        <f>RANK(W107, W$67:W$81)</f>
        <v>#N/A</v>
      </c>
      <c r="Y107" s="612" t="e">
        <f>AVERAGE(W107:W121)</f>
        <v>#DIV/0!</v>
      </c>
      <c r="Z107" s="469"/>
      <c r="AA107" s="472"/>
      <c r="AB107" s="472"/>
      <c r="AC107" s="451" t="e">
        <f>RANK(AB107, AB$67:AB$81)</f>
        <v>#N/A</v>
      </c>
      <c r="AD107" s="612" t="e">
        <f>AVERAGE(AB107:AB121)</f>
        <v>#DIV/0!</v>
      </c>
      <c r="AE107" s="469"/>
      <c r="AF107" s="472"/>
      <c r="AG107" s="472"/>
      <c r="AH107" s="451" t="e">
        <f>RANK(AG107, AG$67:AG$81)</f>
        <v>#N/A</v>
      </c>
      <c r="AI107" s="612" t="e">
        <f>AVERAGE(AG107:AG121)</f>
        <v>#DIV/0!</v>
      </c>
      <c r="AJ107" s="469"/>
      <c r="AK107" s="472"/>
      <c r="AL107" s="472"/>
      <c r="AM107" s="451" t="e">
        <f>RANK(AL107, AL$67:AL$81)</f>
        <v>#N/A</v>
      </c>
      <c r="AN107" s="612" t="e">
        <f>AVERAGE(AL107:AL121)</f>
        <v>#DIV/0!</v>
      </c>
      <c r="AO107" s="469"/>
      <c r="AP107" s="472"/>
      <c r="AQ107" s="472"/>
      <c r="AR107" s="451" t="e">
        <f>RANK(AQ107, AQ$67:AQ$81)</f>
        <v>#N/A</v>
      </c>
      <c r="AS107" s="612" t="e">
        <f>AVERAGE(AQ107:AQ121)</f>
        <v>#DIV/0!</v>
      </c>
      <c r="AT107" s="182"/>
      <c r="AU107" s="466"/>
      <c r="AV107" s="466"/>
      <c r="AW107" s="451" t="e">
        <f>RANK(AV107, AV$67:AV$81)</f>
        <v>#N/A</v>
      </c>
      <c r="AX107" s="612" t="e">
        <f>AVERAGE(AV107:AV121)</f>
        <v>#DIV/0!</v>
      </c>
      <c r="AZ107" s="522" t="e">
        <f>RANK(AY107, AY$67:AY$81)</f>
        <v>#N/A</v>
      </c>
      <c r="BA107" s="612" t="e">
        <f>AVERAGE(AY107:AY121)</f>
        <v>#DIV/0!</v>
      </c>
    </row>
    <row r="108" spans="2:53">
      <c r="B108" s="640"/>
      <c r="C108" s="451">
        <v>2</v>
      </c>
      <c r="D108" s="226"/>
      <c r="E108" s="182"/>
      <c r="F108" s="465"/>
      <c r="G108" s="466"/>
      <c r="H108" s="693"/>
      <c r="I108" s="513" t="str">
        <f t="shared" si="94"/>
        <v>-</v>
      </c>
      <c r="J108" s="513" t="str">
        <f t="shared" si="95"/>
        <v>-</v>
      </c>
      <c r="K108" s="200" t="str">
        <f t="shared" si="96"/>
        <v>-</v>
      </c>
      <c r="L108" s="621"/>
      <c r="M108" s="452" t="e">
        <f>RANK(K108, K$67:$K$81)</f>
        <v>#VALUE!</v>
      </c>
      <c r="N108" s="604"/>
      <c r="O108" s="604"/>
      <c r="P108" s="451"/>
      <c r="Q108" s="452"/>
      <c r="R108" s="452"/>
      <c r="S108" s="451" t="e">
        <f t="shared" ref="S108:S121" si="97">RANK(R108, R$67:R$81)</f>
        <v>#N/A</v>
      </c>
      <c r="T108" s="612"/>
      <c r="U108" s="469"/>
      <c r="V108" s="472"/>
      <c r="W108" s="472"/>
      <c r="X108" s="451" t="e">
        <f t="shared" ref="X108:X121" si="98">RANK(W108, W$67:W$81)</f>
        <v>#N/A</v>
      </c>
      <c r="Y108" s="612"/>
      <c r="Z108" s="469"/>
      <c r="AA108" s="472"/>
      <c r="AB108" s="472"/>
      <c r="AC108" s="451" t="e">
        <f t="shared" ref="AC108:AC121" si="99">RANK(AB108, AB$67:AB$81)</f>
        <v>#N/A</v>
      </c>
      <c r="AD108" s="612"/>
      <c r="AE108" s="469"/>
      <c r="AF108" s="472"/>
      <c r="AG108" s="472"/>
      <c r="AH108" s="451" t="e">
        <f t="shared" ref="AH108:AH121" si="100">RANK(AG108, AG$67:AG$81)</f>
        <v>#N/A</v>
      </c>
      <c r="AI108" s="612"/>
      <c r="AJ108" s="469"/>
      <c r="AK108" s="472"/>
      <c r="AL108" s="472"/>
      <c r="AM108" s="451" t="e">
        <f t="shared" ref="AM108:AM121" si="101">RANK(AL108, AL$67:AL$81)</f>
        <v>#N/A</v>
      </c>
      <c r="AN108" s="612"/>
      <c r="AO108" s="469"/>
      <c r="AP108" s="472"/>
      <c r="AQ108" s="472"/>
      <c r="AR108" s="451" t="e">
        <f t="shared" ref="AR108:AR121" si="102">RANK(AQ108, AQ$67:AQ$81)</f>
        <v>#N/A</v>
      </c>
      <c r="AS108" s="612"/>
      <c r="AT108" s="465"/>
      <c r="AU108" s="466"/>
      <c r="AV108" s="466"/>
      <c r="AW108" s="451" t="e">
        <f t="shared" ref="AW108:AW121" si="103">RANK(AV108, AV$67:AV$81)</f>
        <v>#N/A</v>
      </c>
      <c r="AX108" s="612"/>
      <c r="AZ108" s="522" t="e">
        <f t="shared" ref="AZ108:AZ121" si="104">RANK(AY108, AY$67:AY$81)</f>
        <v>#N/A</v>
      </c>
      <c r="BA108" s="612"/>
    </row>
    <row r="109" spans="2:53">
      <c r="B109" s="640"/>
      <c r="C109" s="451">
        <v>3</v>
      </c>
      <c r="D109" s="226"/>
      <c r="E109" s="182"/>
      <c r="F109" s="465"/>
      <c r="G109" s="466"/>
      <c r="H109" s="693"/>
      <c r="I109" s="513" t="str">
        <f t="shared" si="94"/>
        <v>-</v>
      </c>
      <c r="J109" s="513" t="str">
        <f t="shared" si="95"/>
        <v>-</v>
      </c>
      <c r="K109" s="200" t="str">
        <f t="shared" si="96"/>
        <v>-</v>
      </c>
      <c r="L109" s="621"/>
      <c r="M109" s="452" t="e">
        <f>RANK(K109, K$67:$K$81)</f>
        <v>#VALUE!</v>
      </c>
      <c r="N109" s="604"/>
      <c r="O109" s="604"/>
      <c r="P109" s="451"/>
      <c r="Q109" s="452"/>
      <c r="R109" s="452"/>
      <c r="S109" s="451" t="e">
        <f t="shared" si="97"/>
        <v>#N/A</v>
      </c>
      <c r="T109" s="612"/>
      <c r="U109" s="469"/>
      <c r="V109" s="472"/>
      <c r="W109" s="472"/>
      <c r="X109" s="451" t="e">
        <f t="shared" si="98"/>
        <v>#N/A</v>
      </c>
      <c r="Y109" s="612"/>
      <c r="Z109" s="469"/>
      <c r="AA109" s="472"/>
      <c r="AB109" s="472"/>
      <c r="AC109" s="451" t="e">
        <f t="shared" si="99"/>
        <v>#N/A</v>
      </c>
      <c r="AD109" s="612"/>
      <c r="AE109" s="469"/>
      <c r="AF109" s="472"/>
      <c r="AG109" s="472"/>
      <c r="AH109" s="451" t="e">
        <f t="shared" si="100"/>
        <v>#N/A</v>
      </c>
      <c r="AI109" s="612"/>
      <c r="AJ109" s="469"/>
      <c r="AK109" s="472"/>
      <c r="AL109" s="472"/>
      <c r="AM109" s="451" t="e">
        <f t="shared" si="101"/>
        <v>#N/A</v>
      </c>
      <c r="AN109" s="612"/>
      <c r="AO109" s="469"/>
      <c r="AP109" s="472"/>
      <c r="AQ109" s="472"/>
      <c r="AR109" s="451" t="e">
        <f t="shared" si="102"/>
        <v>#N/A</v>
      </c>
      <c r="AS109" s="612"/>
      <c r="AT109" s="465"/>
      <c r="AU109" s="466"/>
      <c r="AV109" s="466"/>
      <c r="AW109" s="451" t="e">
        <f t="shared" si="103"/>
        <v>#N/A</v>
      </c>
      <c r="AX109" s="612"/>
      <c r="AZ109" s="522" t="e">
        <f t="shared" si="104"/>
        <v>#N/A</v>
      </c>
      <c r="BA109" s="612"/>
    </row>
    <row r="110" spans="2:53">
      <c r="B110" s="640"/>
      <c r="C110" s="451">
        <v>4</v>
      </c>
      <c r="D110" s="226"/>
      <c r="E110" s="182"/>
      <c r="F110" s="465"/>
      <c r="G110" s="466"/>
      <c r="H110" s="693"/>
      <c r="I110" s="513" t="str">
        <f t="shared" si="94"/>
        <v>-</v>
      </c>
      <c r="J110" s="513" t="str">
        <f t="shared" si="95"/>
        <v>-</v>
      </c>
      <c r="K110" s="200" t="str">
        <f t="shared" si="96"/>
        <v>-</v>
      </c>
      <c r="L110" s="621"/>
      <c r="M110" s="452" t="e">
        <f>RANK(K110, K$67:$K$81)</f>
        <v>#VALUE!</v>
      </c>
      <c r="N110" s="604"/>
      <c r="O110" s="604"/>
      <c r="P110" s="451"/>
      <c r="Q110" s="452"/>
      <c r="R110" s="452"/>
      <c r="S110" s="451" t="e">
        <f t="shared" si="97"/>
        <v>#N/A</v>
      </c>
      <c r="T110" s="612"/>
      <c r="U110" s="469"/>
      <c r="V110" s="472"/>
      <c r="W110" s="472"/>
      <c r="X110" s="451" t="e">
        <f t="shared" si="98"/>
        <v>#N/A</v>
      </c>
      <c r="Y110" s="612"/>
      <c r="Z110" s="469"/>
      <c r="AA110" s="472"/>
      <c r="AB110" s="472"/>
      <c r="AC110" s="451" t="e">
        <f t="shared" si="99"/>
        <v>#N/A</v>
      </c>
      <c r="AD110" s="612"/>
      <c r="AE110" s="469"/>
      <c r="AF110" s="472"/>
      <c r="AG110" s="472"/>
      <c r="AH110" s="451" t="e">
        <f t="shared" si="100"/>
        <v>#N/A</v>
      </c>
      <c r="AI110" s="612"/>
      <c r="AJ110" s="469"/>
      <c r="AK110" s="472"/>
      <c r="AL110" s="472"/>
      <c r="AM110" s="451" t="e">
        <f t="shared" si="101"/>
        <v>#N/A</v>
      </c>
      <c r="AN110" s="612"/>
      <c r="AO110" s="469"/>
      <c r="AP110" s="472"/>
      <c r="AQ110" s="472"/>
      <c r="AR110" s="451" t="e">
        <f t="shared" si="102"/>
        <v>#N/A</v>
      </c>
      <c r="AS110" s="612"/>
      <c r="AT110" s="465"/>
      <c r="AU110" s="466"/>
      <c r="AV110" s="466"/>
      <c r="AW110" s="451" t="e">
        <f t="shared" si="103"/>
        <v>#N/A</v>
      </c>
      <c r="AX110" s="612"/>
      <c r="AZ110" s="522" t="e">
        <f t="shared" si="104"/>
        <v>#N/A</v>
      </c>
      <c r="BA110" s="612"/>
    </row>
    <row r="111" spans="2:53">
      <c r="B111" s="640"/>
      <c r="C111" s="451">
        <v>5</v>
      </c>
      <c r="D111" s="226"/>
      <c r="E111" s="182"/>
      <c r="F111" s="465"/>
      <c r="G111" s="466"/>
      <c r="H111" s="693"/>
      <c r="I111" s="513" t="str">
        <f t="shared" si="94"/>
        <v>-</v>
      </c>
      <c r="J111" s="513" t="str">
        <f t="shared" si="95"/>
        <v>-</v>
      </c>
      <c r="K111" s="200" t="str">
        <f t="shared" si="96"/>
        <v>-</v>
      </c>
      <c r="L111" s="621"/>
      <c r="M111" s="452" t="e">
        <f>RANK(K111, K$67:$K$81)</f>
        <v>#VALUE!</v>
      </c>
      <c r="N111" s="604"/>
      <c r="O111" s="604"/>
      <c r="P111" s="451"/>
      <c r="Q111" s="452"/>
      <c r="R111" s="452"/>
      <c r="S111" s="451" t="e">
        <f t="shared" si="97"/>
        <v>#N/A</v>
      </c>
      <c r="T111" s="612"/>
      <c r="U111" s="469"/>
      <c r="V111" s="472"/>
      <c r="W111" s="472"/>
      <c r="X111" s="451" t="e">
        <f t="shared" si="98"/>
        <v>#N/A</v>
      </c>
      <c r="Y111" s="612"/>
      <c r="Z111" s="469"/>
      <c r="AA111" s="472"/>
      <c r="AB111" s="472"/>
      <c r="AC111" s="451" t="e">
        <f t="shared" si="99"/>
        <v>#N/A</v>
      </c>
      <c r="AD111" s="612"/>
      <c r="AE111" s="469"/>
      <c r="AF111" s="472"/>
      <c r="AG111" s="472"/>
      <c r="AH111" s="451" t="e">
        <f t="shared" si="100"/>
        <v>#N/A</v>
      </c>
      <c r="AI111" s="612"/>
      <c r="AJ111" s="469"/>
      <c r="AK111" s="472"/>
      <c r="AL111" s="472"/>
      <c r="AM111" s="451" t="e">
        <f t="shared" si="101"/>
        <v>#N/A</v>
      </c>
      <c r="AN111" s="612"/>
      <c r="AO111" s="469"/>
      <c r="AP111" s="472"/>
      <c r="AQ111" s="472"/>
      <c r="AR111" s="451" t="e">
        <f t="shared" si="102"/>
        <v>#N/A</v>
      </c>
      <c r="AS111" s="612"/>
      <c r="AT111" s="465"/>
      <c r="AU111" s="466"/>
      <c r="AV111" s="466"/>
      <c r="AW111" s="451" t="e">
        <f t="shared" si="103"/>
        <v>#N/A</v>
      </c>
      <c r="AX111" s="612"/>
      <c r="AZ111" s="522" t="e">
        <f t="shared" si="104"/>
        <v>#N/A</v>
      </c>
      <c r="BA111" s="612"/>
    </row>
    <row r="112" spans="2:53">
      <c r="B112" s="640"/>
      <c r="C112" s="451">
        <v>6</v>
      </c>
      <c r="D112" s="226"/>
      <c r="E112" s="182"/>
      <c r="F112" s="465"/>
      <c r="G112" s="466"/>
      <c r="H112" s="693"/>
      <c r="I112" s="513" t="str">
        <f t="shared" si="94"/>
        <v>-</v>
      </c>
      <c r="J112" s="513" t="str">
        <f t="shared" si="95"/>
        <v>-</v>
      </c>
      <c r="K112" s="200" t="str">
        <f t="shared" si="96"/>
        <v>-</v>
      </c>
      <c r="L112" s="621"/>
      <c r="M112" s="452" t="e">
        <f>RANK(K112, K$67:$K$81)</f>
        <v>#VALUE!</v>
      </c>
      <c r="N112" s="604"/>
      <c r="O112" s="604"/>
      <c r="P112" s="451"/>
      <c r="Q112" s="452"/>
      <c r="R112" s="452"/>
      <c r="S112" s="451" t="e">
        <f t="shared" si="97"/>
        <v>#N/A</v>
      </c>
      <c r="T112" s="612"/>
      <c r="U112" s="469"/>
      <c r="V112" s="472"/>
      <c r="W112" s="472"/>
      <c r="X112" s="451" t="e">
        <f t="shared" si="98"/>
        <v>#N/A</v>
      </c>
      <c r="Y112" s="612"/>
      <c r="Z112" s="469"/>
      <c r="AA112" s="472"/>
      <c r="AB112" s="472"/>
      <c r="AC112" s="451" t="e">
        <f t="shared" si="99"/>
        <v>#N/A</v>
      </c>
      <c r="AD112" s="612"/>
      <c r="AE112" s="469"/>
      <c r="AF112" s="472"/>
      <c r="AG112" s="472"/>
      <c r="AH112" s="451" t="e">
        <f t="shared" si="100"/>
        <v>#N/A</v>
      </c>
      <c r="AI112" s="612"/>
      <c r="AJ112" s="469"/>
      <c r="AK112" s="472"/>
      <c r="AL112" s="472"/>
      <c r="AM112" s="451" t="e">
        <f t="shared" si="101"/>
        <v>#N/A</v>
      </c>
      <c r="AN112" s="612"/>
      <c r="AO112" s="469"/>
      <c r="AP112" s="472"/>
      <c r="AQ112" s="472"/>
      <c r="AR112" s="451" t="e">
        <f t="shared" si="102"/>
        <v>#N/A</v>
      </c>
      <c r="AS112" s="612"/>
      <c r="AT112" s="465"/>
      <c r="AU112" s="466"/>
      <c r="AV112" s="466"/>
      <c r="AW112" s="451" t="e">
        <f t="shared" si="103"/>
        <v>#N/A</v>
      </c>
      <c r="AX112" s="612"/>
      <c r="AZ112" s="522" t="e">
        <f t="shared" si="104"/>
        <v>#N/A</v>
      </c>
      <c r="BA112" s="612"/>
    </row>
    <row r="113" spans="2:53">
      <c r="B113" s="640"/>
      <c r="C113" s="451">
        <v>7</v>
      </c>
      <c r="D113" s="226"/>
      <c r="E113" s="182"/>
      <c r="F113" s="465"/>
      <c r="G113" s="466"/>
      <c r="H113" s="693"/>
      <c r="I113" s="513" t="str">
        <f t="shared" si="94"/>
        <v>-</v>
      </c>
      <c r="J113" s="513" t="str">
        <f t="shared" si="95"/>
        <v>-</v>
      </c>
      <c r="K113" s="200" t="str">
        <f t="shared" si="96"/>
        <v>-</v>
      </c>
      <c r="L113" s="621"/>
      <c r="M113" s="452" t="e">
        <f>RANK(K113, K$67:$K$81)</f>
        <v>#VALUE!</v>
      </c>
      <c r="N113" s="604"/>
      <c r="O113" s="604"/>
      <c r="P113" s="451"/>
      <c r="Q113" s="452"/>
      <c r="R113" s="452"/>
      <c r="S113" s="451" t="e">
        <f t="shared" si="97"/>
        <v>#N/A</v>
      </c>
      <c r="T113" s="612"/>
      <c r="U113" s="469"/>
      <c r="V113" s="472"/>
      <c r="W113" s="472"/>
      <c r="X113" s="451" t="e">
        <f t="shared" si="98"/>
        <v>#N/A</v>
      </c>
      <c r="Y113" s="612"/>
      <c r="Z113" s="469"/>
      <c r="AA113" s="472"/>
      <c r="AB113" s="472"/>
      <c r="AC113" s="451" t="e">
        <f t="shared" si="99"/>
        <v>#N/A</v>
      </c>
      <c r="AD113" s="612"/>
      <c r="AE113" s="469"/>
      <c r="AF113" s="472"/>
      <c r="AG113" s="472"/>
      <c r="AH113" s="451" t="e">
        <f t="shared" si="100"/>
        <v>#N/A</v>
      </c>
      <c r="AI113" s="612"/>
      <c r="AJ113" s="469"/>
      <c r="AK113" s="472"/>
      <c r="AL113" s="472"/>
      <c r="AM113" s="451" t="e">
        <f t="shared" si="101"/>
        <v>#N/A</v>
      </c>
      <c r="AN113" s="612"/>
      <c r="AO113" s="469"/>
      <c r="AP113" s="472"/>
      <c r="AQ113" s="472"/>
      <c r="AR113" s="451" t="e">
        <f t="shared" si="102"/>
        <v>#N/A</v>
      </c>
      <c r="AS113" s="612"/>
      <c r="AT113" s="465"/>
      <c r="AU113" s="466"/>
      <c r="AV113" s="466"/>
      <c r="AW113" s="451" t="e">
        <f t="shared" si="103"/>
        <v>#N/A</v>
      </c>
      <c r="AX113" s="612"/>
      <c r="AZ113" s="522" t="e">
        <f t="shared" si="104"/>
        <v>#N/A</v>
      </c>
      <c r="BA113" s="612"/>
    </row>
    <row r="114" spans="2:53">
      <c r="B114" s="640"/>
      <c r="C114" s="451">
        <v>8</v>
      </c>
      <c r="D114" s="226"/>
      <c r="E114" s="182"/>
      <c r="F114" s="465"/>
      <c r="G114" s="466"/>
      <c r="H114" s="693"/>
      <c r="I114" s="513" t="str">
        <f t="shared" si="94"/>
        <v>-</v>
      </c>
      <c r="J114" s="513" t="str">
        <f t="shared" si="95"/>
        <v>-</v>
      </c>
      <c r="K114" s="200" t="str">
        <f t="shared" si="96"/>
        <v>-</v>
      </c>
      <c r="L114" s="621"/>
      <c r="M114" s="452" t="e">
        <f>RANK(K114, K$67:$K$81)</f>
        <v>#VALUE!</v>
      </c>
      <c r="N114" s="604"/>
      <c r="O114" s="604"/>
      <c r="P114" s="451"/>
      <c r="Q114" s="452"/>
      <c r="R114" s="452"/>
      <c r="S114" s="451" t="e">
        <f t="shared" si="97"/>
        <v>#N/A</v>
      </c>
      <c r="T114" s="612"/>
      <c r="U114" s="469"/>
      <c r="V114" s="472"/>
      <c r="W114" s="472"/>
      <c r="X114" s="451" t="e">
        <f t="shared" si="98"/>
        <v>#N/A</v>
      </c>
      <c r="Y114" s="612"/>
      <c r="Z114" s="469"/>
      <c r="AA114" s="472"/>
      <c r="AB114" s="472"/>
      <c r="AC114" s="451" t="e">
        <f t="shared" si="99"/>
        <v>#N/A</v>
      </c>
      <c r="AD114" s="612"/>
      <c r="AE114" s="469"/>
      <c r="AF114" s="472"/>
      <c r="AG114" s="472"/>
      <c r="AH114" s="451" t="e">
        <f t="shared" si="100"/>
        <v>#N/A</v>
      </c>
      <c r="AI114" s="612"/>
      <c r="AJ114" s="469"/>
      <c r="AK114" s="472"/>
      <c r="AL114" s="472"/>
      <c r="AM114" s="451" t="e">
        <f t="shared" si="101"/>
        <v>#N/A</v>
      </c>
      <c r="AN114" s="612"/>
      <c r="AO114" s="469"/>
      <c r="AP114" s="472"/>
      <c r="AQ114" s="472"/>
      <c r="AR114" s="451" t="e">
        <f t="shared" si="102"/>
        <v>#N/A</v>
      </c>
      <c r="AS114" s="612"/>
      <c r="AT114" s="465"/>
      <c r="AU114" s="466"/>
      <c r="AV114" s="466"/>
      <c r="AW114" s="451" t="e">
        <f t="shared" si="103"/>
        <v>#N/A</v>
      </c>
      <c r="AX114" s="612"/>
      <c r="AZ114" s="522" t="e">
        <f t="shared" si="104"/>
        <v>#N/A</v>
      </c>
      <c r="BA114" s="612"/>
    </row>
    <row r="115" spans="2:53">
      <c r="B115" s="640"/>
      <c r="C115" s="451">
        <v>9</v>
      </c>
      <c r="D115" s="226"/>
      <c r="E115" s="182"/>
      <c r="F115" s="465"/>
      <c r="G115" s="466"/>
      <c r="H115" s="693"/>
      <c r="I115" s="513" t="str">
        <f t="shared" si="94"/>
        <v>-</v>
      </c>
      <c r="J115" s="513" t="str">
        <f t="shared" si="95"/>
        <v>-</v>
      </c>
      <c r="K115" s="200" t="str">
        <f t="shared" si="96"/>
        <v>-</v>
      </c>
      <c r="L115" s="621"/>
      <c r="M115" s="452" t="e">
        <f>RANK(K115, K$67:$K$81)</f>
        <v>#VALUE!</v>
      </c>
      <c r="N115" s="604"/>
      <c r="O115" s="604"/>
      <c r="P115" s="451"/>
      <c r="Q115" s="452"/>
      <c r="R115" s="452"/>
      <c r="S115" s="451" t="e">
        <f t="shared" si="97"/>
        <v>#N/A</v>
      </c>
      <c r="T115" s="612"/>
      <c r="U115" s="469"/>
      <c r="V115" s="472"/>
      <c r="W115" s="472"/>
      <c r="X115" s="451" t="e">
        <f t="shared" si="98"/>
        <v>#N/A</v>
      </c>
      <c r="Y115" s="612"/>
      <c r="Z115" s="469"/>
      <c r="AA115" s="472"/>
      <c r="AB115" s="472"/>
      <c r="AC115" s="451" t="e">
        <f t="shared" si="99"/>
        <v>#N/A</v>
      </c>
      <c r="AD115" s="612"/>
      <c r="AE115" s="469"/>
      <c r="AF115" s="472"/>
      <c r="AG115" s="472"/>
      <c r="AH115" s="451" t="e">
        <f t="shared" si="100"/>
        <v>#N/A</v>
      </c>
      <c r="AI115" s="612"/>
      <c r="AJ115" s="469"/>
      <c r="AK115" s="472"/>
      <c r="AL115" s="472"/>
      <c r="AM115" s="451" t="e">
        <f t="shared" si="101"/>
        <v>#N/A</v>
      </c>
      <c r="AN115" s="612"/>
      <c r="AO115" s="469"/>
      <c r="AP115" s="472"/>
      <c r="AQ115" s="472"/>
      <c r="AR115" s="451" t="e">
        <f t="shared" si="102"/>
        <v>#N/A</v>
      </c>
      <c r="AS115" s="612"/>
      <c r="AT115" s="465"/>
      <c r="AU115" s="466"/>
      <c r="AV115" s="466"/>
      <c r="AW115" s="451" t="e">
        <f t="shared" si="103"/>
        <v>#N/A</v>
      </c>
      <c r="AX115" s="612"/>
      <c r="AZ115" s="522" t="e">
        <f t="shared" si="104"/>
        <v>#N/A</v>
      </c>
      <c r="BA115" s="612"/>
    </row>
    <row r="116" spans="2:53">
      <c r="B116" s="640"/>
      <c r="C116" s="451">
        <v>10</v>
      </c>
      <c r="D116" s="226"/>
      <c r="E116" s="182"/>
      <c r="F116" s="465"/>
      <c r="G116" s="466"/>
      <c r="H116" s="693"/>
      <c r="I116" s="513" t="str">
        <f t="shared" si="94"/>
        <v>-</v>
      </c>
      <c r="J116" s="513" t="str">
        <f t="shared" si="95"/>
        <v>-</v>
      </c>
      <c r="K116" s="200" t="str">
        <f t="shared" si="96"/>
        <v>-</v>
      </c>
      <c r="L116" s="621"/>
      <c r="M116" s="452" t="e">
        <f>RANK(K116, K$67:$K$81)</f>
        <v>#VALUE!</v>
      </c>
      <c r="N116" s="604"/>
      <c r="O116" s="604"/>
      <c r="P116" s="451"/>
      <c r="Q116" s="452"/>
      <c r="R116" s="452"/>
      <c r="S116" s="451" t="e">
        <f t="shared" si="97"/>
        <v>#N/A</v>
      </c>
      <c r="T116" s="612"/>
      <c r="U116" s="469"/>
      <c r="V116" s="472"/>
      <c r="W116" s="472"/>
      <c r="X116" s="451" t="e">
        <f t="shared" si="98"/>
        <v>#N/A</v>
      </c>
      <c r="Y116" s="612"/>
      <c r="Z116" s="469"/>
      <c r="AA116" s="472"/>
      <c r="AB116" s="472"/>
      <c r="AC116" s="451" t="e">
        <f t="shared" si="99"/>
        <v>#N/A</v>
      </c>
      <c r="AD116" s="612"/>
      <c r="AE116" s="469"/>
      <c r="AF116" s="472"/>
      <c r="AG116" s="472"/>
      <c r="AH116" s="451" t="e">
        <f t="shared" si="100"/>
        <v>#N/A</v>
      </c>
      <c r="AI116" s="612"/>
      <c r="AJ116" s="469"/>
      <c r="AK116" s="472"/>
      <c r="AL116" s="472"/>
      <c r="AM116" s="451" t="e">
        <f t="shared" si="101"/>
        <v>#N/A</v>
      </c>
      <c r="AN116" s="612"/>
      <c r="AO116" s="469"/>
      <c r="AP116" s="472"/>
      <c r="AQ116" s="472"/>
      <c r="AR116" s="451" t="e">
        <f t="shared" si="102"/>
        <v>#N/A</v>
      </c>
      <c r="AS116" s="612"/>
      <c r="AT116" s="465"/>
      <c r="AU116" s="465"/>
      <c r="AV116" s="466"/>
      <c r="AW116" s="451" t="e">
        <f t="shared" si="103"/>
        <v>#N/A</v>
      </c>
      <c r="AX116" s="612"/>
      <c r="AZ116" s="522" t="e">
        <f t="shared" si="104"/>
        <v>#N/A</v>
      </c>
      <c r="BA116" s="612"/>
    </row>
    <row r="117" spans="2:53">
      <c r="B117" s="640"/>
      <c r="C117" s="451">
        <v>11</v>
      </c>
      <c r="D117" s="226"/>
      <c r="E117" s="182"/>
      <c r="F117" s="465"/>
      <c r="G117" s="466"/>
      <c r="H117" s="693"/>
      <c r="I117" s="513" t="str">
        <f t="shared" si="94"/>
        <v>-</v>
      </c>
      <c r="J117" s="513" t="str">
        <f t="shared" si="95"/>
        <v>-</v>
      </c>
      <c r="K117" s="200" t="str">
        <f t="shared" si="96"/>
        <v>-</v>
      </c>
      <c r="L117" s="621"/>
      <c r="M117" s="452" t="e">
        <f>RANK(K117, K$67:$K$81)</f>
        <v>#VALUE!</v>
      </c>
      <c r="N117" s="604"/>
      <c r="O117" s="604"/>
      <c r="P117" s="451"/>
      <c r="Q117" s="452"/>
      <c r="R117" s="452"/>
      <c r="S117" s="451" t="e">
        <f t="shared" si="97"/>
        <v>#N/A</v>
      </c>
      <c r="T117" s="612"/>
      <c r="U117" s="469"/>
      <c r="V117" s="472"/>
      <c r="W117" s="472"/>
      <c r="X117" s="451" t="e">
        <f t="shared" si="98"/>
        <v>#N/A</v>
      </c>
      <c r="Y117" s="612"/>
      <c r="Z117" s="469"/>
      <c r="AA117" s="472"/>
      <c r="AB117" s="472"/>
      <c r="AC117" s="451" t="e">
        <f t="shared" si="99"/>
        <v>#N/A</v>
      </c>
      <c r="AD117" s="612"/>
      <c r="AE117" s="469"/>
      <c r="AF117" s="472"/>
      <c r="AG117" s="472"/>
      <c r="AH117" s="451" t="e">
        <f t="shared" si="100"/>
        <v>#N/A</v>
      </c>
      <c r="AI117" s="612"/>
      <c r="AJ117" s="469"/>
      <c r="AK117" s="472"/>
      <c r="AL117" s="472"/>
      <c r="AM117" s="451" t="e">
        <f t="shared" si="101"/>
        <v>#N/A</v>
      </c>
      <c r="AN117" s="612"/>
      <c r="AO117" s="469"/>
      <c r="AP117" s="472"/>
      <c r="AQ117" s="472"/>
      <c r="AR117" s="451" t="e">
        <f t="shared" si="102"/>
        <v>#N/A</v>
      </c>
      <c r="AS117" s="612"/>
      <c r="AT117" s="465"/>
      <c r="AU117" s="465"/>
      <c r="AV117" s="465"/>
      <c r="AW117" s="451" t="e">
        <f t="shared" si="103"/>
        <v>#N/A</v>
      </c>
      <c r="AX117" s="612"/>
      <c r="AZ117" s="522" t="e">
        <f t="shared" si="104"/>
        <v>#N/A</v>
      </c>
      <c r="BA117" s="612"/>
    </row>
    <row r="118" spans="2:53">
      <c r="B118" s="640"/>
      <c r="C118" s="451">
        <v>12</v>
      </c>
      <c r="D118" s="226"/>
      <c r="E118" s="182"/>
      <c r="F118" s="465"/>
      <c r="G118" s="466"/>
      <c r="H118" s="693"/>
      <c r="I118" s="513" t="str">
        <f t="shared" si="94"/>
        <v>-</v>
      </c>
      <c r="J118" s="513" t="str">
        <f t="shared" si="95"/>
        <v>-</v>
      </c>
      <c r="K118" s="200" t="str">
        <f t="shared" si="96"/>
        <v>-</v>
      </c>
      <c r="L118" s="621"/>
      <c r="M118" s="452" t="e">
        <f>RANK(K118, K$67:$K$81)</f>
        <v>#VALUE!</v>
      </c>
      <c r="N118" s="604"/>
      <c r="O118" s="604"/>
      <c r="P118" s="451"/>
      <c r="Q118" s="452"/>
      <c r="R118" s="452"/>
      <c r="S118" s="451" t="e">
        <f t="shared" si="97"/>
        <v>#N/A</v>
      </c>
      <c r="T118" s="612"/>
      <c r="U118" s="469"/>
      <c r="V118" s="472"/>
      <c r="W118" s="472"/>
      <c r="X118" s="451" t="e">
        <f t="shared" si="98"/>
        <v>#N/A</v>
      </c>
      <c r="Y118" s="612"/>
      <c r="Z118" s="469"/>
      <c r="AA118" s="472"/>
      <c r="AB118" s="472"/>
      <c r="AC118" s="451" t="e">
        <f t="shared" si="99"/>
        <v>#N/A</v>
      </c>
      <c r="AD118" s="612"/>
      <c r="AE118" s="469"/>
      <c r="AF118" s="472"/>
      <c r="AG118" s="472"/>
      <c r="AH118" s="451" t="e">
        <f t="shared" si="100"/>
        <v>#N/A</v>
      </c>
      <c r="AI118" s="612"/>
      <c r="AJ118" s="469"/>
      <c r="AK118" s="472"/>
      <c r="AL118" s="472"/>
      <c r="AM118" s="451" t="e">
        <f t="shared" si="101"/>
        <v>#N/A</v>
      </c>
      <c r="AN118" s="612"/>
      <c r="AO118" s="469"/>
      <c r="AP118" s="472"/>
      <c r="AQ118" s="472"/>
      <c r="AR118" s="451" t="e">
        <f t="shared" si="102"/>
        <v>#N/A</v>
      </c>
      <c r="AS118" s="612"/>
      <c r="AT118" s="465"/>
      <c r="AU118" s="465"/>
      <c r="AV118" s="465"/>
      <c r="AW118" s="451" t="e">
        <f t="shared" si="103"/>
        <v>#N/A</v>
      </c>
      <c r="AX118" s="612"/>
      <c r="AZ118" s="522" t="e">
        <f t="shared" si="104"/>
        <v>#N/A</v>
      </c>
      <c r="BA118" s="612"/>
    </row>
    <row r="119" spans="2:53">
      <c r="B119" s="640"/>
      <c r="C119" s="451">
        <v>13</v>
      </c>
      <c r="D119" s="226"/>
      <c r="E119" s="182"/>
      <c r="F119" s="465"/>
      <c r="G119" s="466"/>
      <c r="H119" s="693"/>
      <c r="I119" s="513" t="str">
        <f t="shared" si="94"/>
        <v>-</v>
      </c>
      <c r="J119" s="513" t="str">
        <f t="shared" si="95"/>
        <v>-</v>
      </c>
      <c r="K119" s="200" t="str">
        <f t="shared" si="96"/>
        <v>-</v>
      </c>
      <c r="L119" s="621"/>
      <c r="M119" s="452" t="e">
        <f>RANK(K119, K$67:$K$81)</f>
        <v>#VALUE!</v>
      </c>
      <c r="N119" s="604"/>
      <c r="O119" s="604"/>
      <c r="P119" s="451"/>
      <c r="Q119" s="452"/>
      <c r="R119" s="452"/>
      <c r="S119" s="451" t="e">
        <f t="shared" si="97"/>
        <v>#N/A</v>
      </c>
      <c r="T119" s="612"/>
      <c r="U119" s="469"/>
      <c r="V119" s="472"/>
      <c r="W119" s="472"/>
      <c r="X119" s="451" t="e">
        <f t="shared" si="98"/>
        <v>#N/A</v>
      </c>
      <c r="Y119" s="612"/>
      <c r="Z119" s="469"/>
      <c r="AA119" s="472"/>
      <c r="AB119" s="472"/>
      <c r="AC119" s="451" t="e">
        <f t="shared" si="99"/>
        <v>#N/A</v>
      </c>
      <c r="AD119" s="612"/>
      <c r="AE119" s="469"/>
      <c r="AF119" s="472"/>
      <c r="AG119" s="472"/>
      <c r="AH119" s="451" t="e">
        <f t="shared" si="100"/>
        <v>#N/A</v>
      </c>
      <c r="AI119" s="612"/>
      <c r="AJ119" s="469"/>
      <c r="AK119" s="472"/>
      <c r="AL119" s="472"/>
      <c r="AM119" s="451" t="e">
        <f t="shared" si="101"/>
        <v>#N/A</v>
      </c>
      <c r="AN119" s="612"/>
      <c r="AO119" s="469"/>
      <c r="AP119" s="472"/>
      <c r="AQ119" s="472"/>
      <c r="AR119" s="451" t="e">
        <f t="shared" si="102"/>
        <v>#N/A</v>
      </c>
      <c r="AS119" s="612"/>
      <c r="AT119" s="465"/>
      <c r="AU119" s="465"/>
      <c r="AV119" s="465"/>
      <c r="AW119" s="451" t="e">
        <f t="shared" si="103"/>
        <v>#N/A</v>
      </c>
      <c r="AX119" s="612"/>
      <c r="AZ119" s="522" t="e">
        <f t="shared" si="104"/>
        <v>#N/A</v>
      </c>
      <c r="BA119" s="612"/>
    </row>
    <row r="120" spans="2:53">
      <c r="B120" s="640"/>
      <c r="C120" s="451">
        <v>14</v>
      </c>
      <c r="D120" s="226"/>
      <c r="E120" s="182"/>
      <c r="F120" s="465"/>
      <c r="G120" s="466"/>
      <c r="H120" s="693"/>
      <c r="I120" s="513" t="str">
        <f t="shared" si="94"/>
        <v>-</v>
      </c>
      <c r="J120" s="513" t="str">
        <f t="shared" si="95"/>
        <v>-</v>
      </c>
      <c r="K120" s="200" t="str">
        <f t="shared" si="96"/>
        <v>-</v>
      </c>
      <c r="L120" s="621"/>
      <c r="M120" s="452" t="e">
        <f>RANK(K120, K$67:$K$81)</f>
        <v>#VALUE!</v>
      </c>
      <c r="N120" s="604"/>
      <c r="O120" s="604"/>
      <c r="P120" s="451"/>
      <c r="Q120" s="452"/>
      <c r="R120" s="452"/>
      <c r="S120" s="451" t="e">
        <f t="shared" si="97"/>
        <v>#N/A</v>
      </c>
      <c r="T120" s="612"/>
      <c r="U120" s="469"/>
      <c r="V120" s="472"/>
      <c r="W120" s="472"/>
      <c r="X120" s="451" t="e">
        <f t="shared" si="98"/>
        <v>#N/A</v>
      </c>
      <c r="Y120" s="612"/>
      <c r="Z120" s="469"/>
      <c r="AA120" s="472"/>
      <c r="AB120" s="472"/>
      <c r="AC120" s="451" t="e">
        <f t="shared" si="99"/>
        <v>#N/A</v>
      </c>
      <c r="AD120" s="612"/>
      <c r="AE120" s="469"/>
      <c r="AF120" s="472"/>
      <c r="AG120" s="472"/>
      <c r="AH120" s="451" t="e">
        <f t="shared" si="100"/>
        <v>#N/A</v>
      </c>
      <c r="AI120" s="612"/>
      <c r="AJ120" s="469"/>
      <c r="AK120" s="472"/>
      <c r="AL120" s="472"/>
      <c r="AM120" s="451" t="e">
        <f t="shared" si="101"/>
        <v>#N/A</v>
      </c>
      <c r="AN120" s="612"/>
      <c r="AO120" s="469"/>
      <c r="AP120" s="472"/>
      <c r="AQ120" s="472"/>
      <c r="AR120" s="451" t="e">
        <f t="shared" si="102"/>
        <v>#N/A</v>
      </c>
      <c r="AS120" s="612"/>
      <c r="AT120" s="465"/>
      <c r="AU120" s="465"/>
      <c r="AV120" s="465"/>
      <c r="AW120" s="451" t="e">
        <f t="shared" si="103"/>
        <v>#N/A</v>
      </c>
      <c r="AX120" s="612"/>
      <c r="AZ120" s="522" t="e">
        <f t="shared" si="104"/>
        <v>#N/A</v>
      </c>
      <c r="BA120" s="612"/>
    </row>
    <row r="121" spans="2:53">
      <c r="B121" s="640"/>
      <c r="C121" s="451">
        <v>15</v>
      </c>
      <c r="D121" s="226"/>
      <c r="E121" s="182"/>
      <c r="F121" s="465"/>
      <c r="G121" s="466"/>
      <c r="H121" s="694"/>
      <c r="I121" s="517"/>
      <c r="J121" s="517"/>
      <c r="K121" s="517"/>
      <c r="L121" s="622"/>
      <c r="M121" s="452" t="e">
        <f>RANK(K121, K$47:$K$61)</f>
        <v>#N/A</v>
      </c>
      <c r="N121" s="604"/>
      <c r="O121" s="604"/>
      <c r="P121" s="451"/>
      <c r="Q121" s="452"/>
      <c r="R121" s="452"/>
      <c r="S121" s="451" t="e">
        <f t="shared" si="97"/>
        <v>#N/A</v>
      </c>
      <c r="T121" s="612"/>
      <c r="U121" s="469"/>
      <c r="V121" s="472"/>
      <c r="W121" s="472"/>
      <c r="X121" s="451" t="e">
        <f t="shared" si="98"/>
        <v>#N/A</v>
      </c>
      <c r="Y121" s="612"/>
      <c r="Z121" s="469"/>
      <c r="AA121" s="472"/>
      <c r="AB121" s="472"/>
      <c r="AC121" s="451" t="e">
        <f t="shared" si="99"/>
        <v>#N/A</v>
      </c>
      <c r="AD121" s="612"/>
      <c r="AE121" s="469"/>
      <c r="AF121" s="472"/>
      <c r="AG121" s="472"/>
      <c r="AH121" s="451" t="e">
        <f t="shared" si="100"/>
        <v>#N/A</v>
      </c>
      <c r="AI121" s="612"/>
      <c r="AJ121" s="469"/>
      <c r="AK121" s="472"/>
      <c r="AL121" s="472"/>
      <c r="AM121" s="451" t="e">
        <f t="shared" si="101"/>
        <v>#N/A</v>
      </c>
      <c r="AN121" s="612"/>
      <c r="AO121" s="469"/>
      <c r="AP121" s="472"/>
      <c r="AQ121" s="472"/>
      <c r="AR121" s="451" t="e">
        <f t="shared" si="102"/>
        <v>#N/A</v>
      </c>
      <c r="AS121" s="612"/>
      <c r="AT121" s="465"/>
      <c r="AU121" s="465"/>
      <c r="AV121" s="465"/>
      <c r="AW121" s="451" t="e">
        <f t="shared" si="103"/>
        <v>#N/A</v>
      </c>
      <c r="AX121" s="612"/>
      <c r="AZ121" s="522" t="e">
        <f t="shared" si="104"/>
        <v>#N/A</v>
      </c>
      <c r="BA121" s="612"/>
    </row>
    <row r="123" spans="2:53" ht="15.75">
      <c r="B123" s="613" t="s">
        <v>559</v>
      </c>
      <c r="C123" s="614"/>
      <c r="D123" s="614"/>
      <c r="E123" s="614"/>
      <c r="F123" s="614"/>
      <c r="G123" s="614"/>
      <c r="H123" s="615"/>
      <c r="I123" s="337"/>
      <c r="J123" s="337"/>
      <c r="K123" s="337"/>
      <c r="L123" s="337"/>
      <c r="M123" s="338"/>
    </row>
    <row r="124" spans="2:53" ht="15.75">
      <c r="B124" s="616"/>
      <c r="C124" s="616"/>
      <c r="D124" s="616"/>
      <c r="E124" s="616"/>
      <c r="F124" s="616"/>
      <c r="G124" s="616"/>
      <c r="H124" s="616"/>
      <c r="I124" s="339"/>
      <c r="J124" s="339"/>
      <c r="K124" s="339"/>
      <c r="L124" s="339"/>
      <c r="M124" s="340"/>
    </row>
    <row r="125" spans="2:53">
      <c r="B125" s="604" t="s">
        <v>560</v>
      </c>
      <c r="C125" s="604" t="s">
        <v>561</v>
      </c>
      <c r="D125" s="604"/>
      <c r="E125" s="604" t="s">
        <v>562</v>
      </c>
      <c r="F125" s="604"/>
      <c r="G125" s="604"/>
      <c r="H125" s="637" t="s">
        <v>563</v>
      </c>
      <c r="I125" s="617" t="s">
        <v>564</v>
      </c>
      <c r="J125" s="617"/>
      <c r="K125" s="617"/>
      <c r="L125" s="673" t="s">
        <v>563</v>
      </c>
      <c r="M125" s="676" t="s">
        <v>565</v>
      </c>
    </row>
    <row r="126" spans="2:53">
      <c r="B126" s="604"/>
      <c r="C126" s="604"/>
      <c r="D126" s="604"/>
      <c r="E126" s="604" t="s">
        <v>566</v>
      </c>
      <c r="F126" s="604"/>
      <c r="G126" s="604"/>
      <c r="H126" s="638"/>
      <c r="I126" s="617" t="s">
        <v>566</v>
      </c>
      <c r="J126" s="617"/>
      <c r="K126" s="617"/>
      <c r="L126" s="674"/>
      <c r="M126" s="677"/>
    </row>
    <row r="127" spans="2:53">
      <c r="B127" s="604"/>
      <c r="C127" s="604"/>
      <c r="D127" s="604"/>
      <c r="E127" s="334" t="s">
        <v>567</v>
      </c>
      <c r="F127" s="334" t="s">
        <v>568</v>
      </c>
      <c r="G127" s="334" t="s">
        <v>569</v>
      </c>
      <c r="H127" s="639"/>
      <c r="I127" s="341" t="s">
        <v>567</v>
      </c>
      <c r="J127" s="341" t="s">
        <v>568</v>
      </c>
      <c r="K127" s="341" t="s">
        <v>569</v>
      </c>
      <c r="L127" s="675"/>
      <c r="M127" s="678"/>
    </row>
    <row r="128" spans="2:53">
      <c r="B128" s="604" t="s">
        <v>576</v>
      </c>
      <c r="C128" s="333">
        <v>1</v>
      </c>
      <c r="D128" s="226"/>
      <c r="E128" s="182"/>
      <c r="F128" s="333"/>
      <c r="G128" s="336"/>
      <c r="H128" s="667" t="e">
        <f>AVERAGE(G128:G142)</f>
        <v>#DIV/0!</v>
      </c>
      <c r="I128" s="199" t="e">
        <f t="shared" ref="I128:J132" si="105">AVERAGEIF($D$7:$D$121,$D128,I$7:I$121)</f>
        <v>#DIV/0!</v>
      </c>
      <c r="J128" s="199" t="e">
        <f t="shared" si="105"/>
        <v>#DIV/0!</v>
      </c>
      <c r="K128" s="199" t="e">
        <f>AVERAGEIF($D$7:$D$121,$D128,K$7:K$121)</f>
        <v>#DIV/0!</v>
      </c>
      <c r="L128" s="670" t="e">
        <f>AVERAGE(K128:K142)</f>
        <v>#DIV/0!</v>
      </c>
      <c r="M128" s="199" t="e">
        <f>RANK(K128, K$128:$K$142)</f>
        <v>#DIV/0!</v>
      </c>
    </row>
    <row r="129" spans="2:39">
      <c r="B129" s="610"/>
      <c r="C129" s="333">
        <v>2</v>
      </c>
      <c r="D129" s="226"/>
      <c r="E129" s="182"/>
      <c r="F129" s="333"/>
      <c r="G129" s="336"/>
      <c r="H129" s="668"/>
      <c r="I129" s="199" t="e">
        <f t="shared" si="105"/>
        <v>#DIV/0!</v>
      </c>
      <c r="J129" s="199" t="e">
        <f t="shared" si="105"/>
        <v>#DIV/0!</v>
      </c>
      <c r="K129" s="199" t="e">
        <f>AVERAGEIF($D$7:$D$121,$D129,K$7:K$121)</f>
        <v>#DIV/0!</v>
      </c>
      <c r="L129" s="671"/>
      <c r="M129" s="199" t="e">
        <f>RANK(K129, K$128:$K$142)</f>
        <v>#DIV/0!</v>
      </c>
      <c r="N129" s="108"/>
      <c r="O129" s="108"/>
      <c r="P129" s="108"/>
      <c r="Q129" s="108"/>
      <c r="R129" s="108"/>
      <c r="S129" s="108"/>
      <c r="T129" s="108"/>
      <c r="X129" s="108"/>
      <c r="AC129" s="108"/>
      <c r="AH129" s="108"/>
      <c r="AM129" s="108"/>
    </row>
    <row r="130" spans="2:39">
      <c r="B130" s="610"/>
      <c r="C130" s="333">
        <v>3</v>
      </c>
      <c r="D130" s="226"/>
      <c r="E130" s="182"/>
      <c r="F130" s="333"/>
      <c r="G130" s="336"/>
      <c r="H130" s="668"/>
      <c r="I130" s="199" t="e">
        <f t="shared" si="105"/>
        <v>#DIV/0!</v>
      </c>
      <c r="J130" s="199" t="e">
        <f t="shared" si="105"/>
        <v>#DIV/0!</v>
      </c>
      <c r="K130" s="199" t="e">
        <f>AVERAGEIF($D$7:$D$121,$D130,K$7:K$121)</f>
        <v>#DIV/0!</v>
      </c>
      <c r="L130" s="671"/>
      <c r="M130" s="199" t="e">
        <f>RANK(K130, K$128:$K$142)</f>
        <v>#DIV/0!</v>
      </c>
      <c r="N130" s="108"/>
      <c r="O130" s="108"/>
      <c r="P130" s="108"/>
      <c r="Q130" s="108"/>
      <c r="R130" s="108"/>
      <c r="S130" s="108"/>
      <c r="T130" s="108"/>
      <c r="X130" s="108"/>
      <c r="AC130" s="108"/>
      <c r="AH130" s="108"/>
      <c r="AM130" s="108"/>
    </row>
    <row r="131" spans="2:39">
      <c r="B131" s="610"/>
      <c r="C131" s="333">
        <v>4</v>
      </c>
      <c r="D131" s="226"/>
      <c r="E131" s="182"/>
      <c r="F131" s="333"/>
      <c r="G131" s="336"/>
      <c r="H131" s="668"/>
      <c r="I131" s="199" t="e">
        <f t="shared" si="105"/>
        <v>#DIV/0!</v>
      </c>
      <c r="J131" s="199" t="e">
        <f t="shared" si="105"/>
        <v>#DIV/0!</v>
      </c>
      <c r="K131" s="199" t="e">
        <f>AVERAGEIF($D$7:$D$121,$D131,K$7:K$121)</f>
        <v>#DIV/0!</v>
      </c>
      <c r="L131" s="671"/>
      <c r="M131" s="199" t="e">
        <f>RANK(K131, K$128:$K$142)</f>
        <v>#DIV/0!</v>
      </c>
      <c r="N131" s="108"/>
      <c r="O131" s="108"/>
      <c r="P131" s="108"/>
      <c r="Q131" s="108"/>
      <c r="R131" s="108"/>
      <c r="S131" s="108"/>
      <c r="T131" s="108"/>
      <c r="X131" s="108"/>
      <c r="AC131" s="108"/>
      <c r="AH131" s="108"/>
      <c r="AM131" s="108"/>
    </row>
    <row r="132" spans="2:39">
      <c r="B132" s="610"/>
      <c r="C132" s="333">
        <v>5</v>
      </c>
      <c r="D132" s="226"/>
      <c r="E132" s="182"/>
      <c r="F132" s="333"/>
      <c r="G132" s="336"/>
      <c r="H132" s="668"/>
      <c r="I132" s="199" t="e">
        <f t="shared" si="105"/>
        <v>#DIV/0!</v>
      </c>
      <c r="J132" s="199" t="e">
        <f t="shared" si="105"/>
        <v>#DIV/0!</v>
      </c>
      <c r="K132" s="199" t="e">
        <f>AVERAGEIF($D$7:$D$121,$D132,K$7:K$121)</f>
        <v>#DIV/0!</v>
      </c>
      <c r="L132" s="671"/>
      <c r="M132" s="199" t="e">
        <f>RANK(K132, K$128:$K$142)</f>
        <v>#DIV/0!</v>
      </c>
      <c r="N132" s="108"/>
      <c r="O132" s="108"/>
      <c r="P132" s="108"/>
      <c r="Q132" s="108"/>
      <c r="R132" s="108"/>
      <c r="S132" s="108"/>
      <c r="T132" s="108"/>
      <c r="X132" s="108"/>
      <c r="AC132" s="108"/>
      <c r="AH132" s="108"/>
      <c r="AM132" s="108"/>
    </row>
    <row r="133" spans="2:39">
      <c r="B133" s="610"/>
      <c r="C133" s="333">
        <v>6</v>
      </c>
      <c r="D133" s="342"/>
      <c r="E133" s="182"/>
      <c r="F133" s="333"/>
      <c r="G133" s="336"/>
      <c r="H133" s="668"/>
      <c r="I133" s="199"/>
      <c r="J133" s="199"/>
      <c r="K133" s="199"/>
      <c r="L133" s="671"/>
      <c r="M133" s="199" t="e">
        <f>RANK(K133, K$128:$K$142)</f>
        <v>#DIV/0!</v>
      </c>
      <c r="N133" s="108"/>
      <c r="O133" s="108"/>
      <c r="P133" s="108"/>
      <c r="Q133" s="108"/>
      <c r="R133" s="108"/>
      <c r="S133" s="108"/>
      <c r="T133" s="108"/>
      <c r="X133" s="108"/>
      <c r="AC133" s="108"/>
      <c r="AH133" s="108"/>
      <c r="AM133" s="108"/>
    </row>
    <row r="134" spans="2:39">
      <c r="B134" s="610"/>
      <c r="C134" s="333">
        <v>7</v>
      </c>
      <c r="D134" s="226"/>
      <c r="E134" s="182"/>
      <c r="F134" s="333"/>
      <c r="G134" s="336"/>
      <c r="H134" s="668"/>
      <c r="I134" s="199"/>
      <c r="J134" s="199"/>
      <c r="K134" s="199"/>
      <c r="L134" s="671"/>
      <c r="M134" s="199" t="e">
        <f>RANK(K134, K$128:$K$142)</f>
        <v>#DIV/0!</v>
      </c>
      <c r="N134" s="108"/>
      <c r="O134" s="108"/>
      <c r="P134" s="108"/>
      <c r="Q134" s="108"/>
      <c r="R134" s="108"/>
      <c r="S134" s="108"/>
      <c r="T134" s="108"/>
      <c r="X134" s="108"/>
      <c r="AC134" s="108"/>
      <c r="AH134" s="108"/>
      <c r="AM134" s="108"/>
    </row>
    <row r="135" spans="2:39">
      <c r="B135" s="610"/>
      <c r="C135" s="333">
        <v>8</v>
      </c>
      <c r="D135" s="226"/>
      <c r="E135" s="182"/>
      <c r="F135" s="333"/>
      <c r="G135" s="336"/>
      <c r="H135" s="668"/>
      <c r="I135" s="199"/>
      <c r="J135" s="199"/>
      <c r="K135" s="199"/>
      <c r="L135" s="671"/>
      <c r="M135" s="199" t="e">
        <f>RANK(K135, K$128:$K$142)</f>
        <v>#DIV/0!</v>
      </c>
      <c r="N135" s="108"/>
      <c r="O135" s="108"/>
      <c r="P135" s="108"/>
      <c r="Q135" s="108"/>
      <c r="R135" s="108"/>
      <c r="S135" s="108"/>
      <c r="T135" s="108"/>
      <c r="X135" s="108"/>
      <c r="AC135" s="108"/>
      <c r="AH135" s="108"/>
      <c r="AM135" s="108"/>
    </row>
    <row r="136" spans="2:39">
      <c r="B136" s="610"/>
      <c r="C136" s="333">
        <v>9</v>
      </c>
      <c r="D136" s="226"/>
      <c r="E136" s="333"/>
      <c r="F136" s="333"/>
      <c r="G136" s="333"/>
      <c r="H136" s="668"/>
      <c r="I136" s="199"/>
      <c r="J136" s="199"/>
      <c r="K136" s="199"/>
      <c r="L136" s="671"/>
      <c r="M136" s="199" t="e">
        <f>RANK(K136, K$128:$K$142)</f>
        <v>#DIV/0!</v>
      </c>
      <c r="N136" s="108"/>
      <c r="O136" s="108"/>
      <c r="P136" s="108"/>
      <c r="Q136" s="108"/>
      <c r="R136" s="108"/>
      <c r="S136" s="108"/>
      <c r="T136" s="108"/>
      <c r="X136" s="108"/>
      <c r="AC136" s="108"/>
      <c r="AH136" s="108"/>
      <c r="AM136" s="108"/>
    </row>
    <row r="137" spans="2:39">
      <c r="B137" s="610"/>
      <c r="C137" s="333">
        <v>10</v>
      </c>
      <c r="D137" s="226"/>
      <c r="E137" s="333"/>
      <c r="F137" s="333"/>
      <c r="G137" s="333"/>
      <c r="H137" s="668"/>
      <c r="I137" s="199"/>
      <c r="J137" s="199"/>
      <c r="K137" s="199"/>
      <c r="L137" s="671"/>
      <c r="M137" s="199" t="e">
        <f>RANK(K137, K$128:$K$142)</f>
        <v>#DIV/0!</v>
      </c>
      <c r="N137" s="108"/>
      <c r="O137" s="108"/>
      <c r="P137" s="108"/>
      <c r="Q137" s="108"/>
      <c r="R137" s="108"/>
      <c r="S137" s="108"/>
      <c r="T137" s="108"/>
      <c r="X137" s="108"/>
      <c r="AC137" s="108"/>
      <c r="AH137" s="108"/>
      <c r="AM137" s="108"/>
    </row>
    <row r="138" spans="2:39">
      <c r="B138" s="610"/>
      <c r="C138" s="333">
        <v>11</v>
      </c>
      <c r="D138" s="226"/>
      <c r="E138" s="333"/>
      <c r="F138" s="333"/>
      <c r="G138" s="333"/>
      <c r="H138" s="668"/>
      <c r="I138" s="199"/>
      <c r="J138" s="199"/>
      <c r="K138" s="199"/>
      <c r="L138" s="671"/>
      <c r="M138" s="199" t="e">
        <f>RANK(K138, K$128:$K$142)</f>
        <v>#DIV/0!</v>
      </c>
      <c r="N138" s="108"/>
      <c r="O138" s="108"/>
      <c r="P138" s="108"/>
      <c r="Q138" s="108"/>
      <c r="R138" s="108"/>
      <c r="S138" s="108"/>
      <c r="T138" s="108"/>
      <c r="X138" s="108"/>
      <c r="AC138" s="108"/>
      <c r="AH138" s="108"/>
      <c r="AM138" s="108"/>
    </row>
    <row r="139" spans="2:39">
      <c r="B139" s="610"/>
      <c r="C139" s="333">
        <v>12</v>
      </c>
      <c r="D139" s="226"/>
      <c r="E139" s="333"/>
      <c r="F139" s="333"/>
      <c r="G139" s="333"/>
      <c r="H139" s="668"/>
      <c r="I139" s="199"/>
      <c r="J139" s="199"/>
      <c r="K139" s="199"/>
      <c r="L139" s="671"/>
      <c r="M139" s="199" t="e">
        <f>RANK(K139, K$128:$K$142)</f>
        <v>#DIV/0!</v>
      </c>
      <c r="N139" s="108"/>
      <c r="O139" s="108"/>
      <c r="P139" s="108"/>
      <c r="Q139" s="108"/>
      <c r="R139" s="108"/>
      <c r="S139" s="108"/>
      <c r="T139" s="108"/>
      <c r="X139" s="108"/>
      <c r="AC139" s="108"/>
      <c r="AH139" s="108"/>
      <c r="AM139" s="108"/>
    </row>
    <row r="140" spans="2:39">
      <c r="B140" s="610"/>
      <c r="C140" s="333">
        <v>13</v>
      </c>
      <c r="D140" s="226"/>
      <c r="E140" s="333"/>
      <c r="F140" s="333"/>
      <c r="G140" s="333"/>
      <c r="H140" s="668"/>
      <c r="I140" s="199"/>
      <c r="J140" s="199"/>
      <c r="K140" s="199"/>
      <c r="L140" s="671"/>
      <c r="M140" s="199" t="e">
        <f>RANK(K140, K$128:$K$142)</f>
        <v>#DIV/0!</v>
      </c>
      <c r="N140" s="108"/>
      <c r="O140" s="108"/>
      <c r="P140" s="108"/>
      <c r="Q140" s="108"/>
      <c r="R140" s="108"/>
      <c r="S140" s="108"/>
      <c r="T140" s="108"/>
      <c r="X140" s="108"/>
      <c r="AC140" s="108"/>
      <c r="AH140" s="108"/>
      <c r="AM140" s="108"/>
    </row>
    <row r="141" spans="2:39">
      <c r="B141" s="610"/>
      <c r="C141" s="333">
        <v>14</v>
      </c>
      <c r="D141" s="226"/>
      <c r="E141" s="333"/>
      <c r="F141" s="333"/>
      <c r="G141" s="333"/>
      <c r="H141" s="668"/>
      <c r="I141" s="199"/>
      <c r="J141" s="199"/>
      <c r="K141" s="199"/>
      <c r="L141" s="671"/>
      <c r="M141" s="199" t="e">
        <f>RANK(K141, K$128:$K$142)</f>
        <v>#DIV/0!</v>
      </c>
      <c r="N141" s="108"/>
      <c r="O141" s="108"/>
      <c r="P141" s="108"/>
      <c r="Q141" s="108"/>
      <c r="R141" s="108"/>
      <c r="S141" s="108"/>
      <c r="T141" s="108"/>
      <c r="X141" s="108"/>
      <c r="AC141" s="108"/>
      <c r="AH141" s="108"/>
      <c r="AM141" s="108"/>
    </row>
    <row r="142" spans="2:39">
      <c r="B142" s="610"/>
      <c r="C142" s="333">
        <v>15</v>
      </c>
      <c r="D142" s="226"/>
      <c r="E142" s="333"/>
      <c r="F142" s="333"/>
      <c r="G142" s="333"/>
      <c r="H142" s="669"/>
      <c r="I142" s="199"/>
      <c r="J142" s="199"/>
      <c r="K142" s="199"/>
      <c r="L142" s="672"/>
      <c r="M142" s="199" t="e">
        <f>RANK(K142, K$128:$K$142)</f>
        <v>#DIV/0!</v>
      </c>
      <c r="N142" s="108"/>
      <c r="O142" s="108"/>
      <c r="P142" s="108"/>
      <c r="Q142" s="108"/>
      <c r="R142" s="108"/>
      <c r="S142" s="108"/>
      <c r="T142" s="108"/>
      <c r="X142" s="108"/>
      <c r="AC142" s="108"/>
      <c r="AH142" s="108"/>
      <c r="AM142" s="108"/>
    </row>
  </sheetData>
  <mergeCells count="379">
    <mergeCell ref="BA87:BA101"/>
    <mergeCell ref="BA104:BA106"/>
    <mergeCell ref="BA107:BA121"/>
    <mergeCell ref="BA4:BA6"/>
    <mergeCell ref="BA7:BA21"/>
    <mergeCell ref="BA24:BA26"/>
    <mergeCell ref="BA27:BA41"/>
    <mergeCell ref="BA44:BA46"/>
    <mergeCell ref="BA47:BA61"/>
    <mergeCell ref="BA64:BA66"/>
    <mergeCell ref="BA67:BA81"/>
    <mergeCell ref="BA84:BA86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B128:B142"/>
    <mergeCell ref="H128:H142"/>
    <mergeCell ref="L128:L142"/>
    <mergeCell ref="AX107:AX121"/>
    <mergeCell ref="E125:G125"/>
    <mergeCell ref="I125:K125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B123:H124"/>
    <mergeCell ref="B125:B127"/>
    <mergeCell ref="C125:D127"/>
    <mergeCell ref="H125:H127"/>
    <mergeCell ref="L125:L127"/>
    <mergeCell ref="M125:M127"/>
    <mergeCell ref="E126:G126"/>
    <mergeCell ref="I126:K12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A142"/>
  <sheetViews>
    <sheetView zoomScale="40" zoomScaleNormal="40" workbookViewId="0">
      <pane xSplit="15" topLeftCell="P1" activePane="topRight" state="frozen"/>
      <selection activeCell="I107" sqref="I107:K120"/>
      <selection pane="topRight" activeCell="T67" sqref="S67:T81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51" width="8.85546875" style="108"/>
    <col min="52" max="52" width="5.42578125" style="108" customWidth="1"/>
    <col min="53" max="53" width="13.140625" style="108" customWidth="1"/>
    <col min="54" max="16384" width="8.85546875" style="108"/>
  </cols>
  <sheetData>
    <row r="1" spans="1:53" ht="24">
      <c r="A1" s="75"/>
      <c r="B1" s="221" t="s">
        <v>332</v>
      </c>
      <c r="C1" s="220">
        <f>AVERAGE(L7,L27,L47,L67,L87,L107)</f>
        <v>176.53051814704241</v>
      </c>
    </row>
    <row r="2" spans="1:53" ht="15.75">
      <c r="A2" s="81"/>
      <c r="B2" s="633" t="s">
        <v>163</v>
      </c>
      <c r="C2" s="633"/>
      <c r="D2" s="633"/>
      <c r="E2" s="633"/>
      <c r="F2" s="633"/>
      <c r="G2" s="633"/>
      <c r="H2" s="633"/>
      <c r="I2" s="306"/>
      <c r="J2" s="306"/>
      <c r="K2" s="306"/>
      <c r="L2" s="306"/>
      <c r="M2" s="197"/>
      <c r="N2" s="606" t="s">
        <v>156</v>
      </c>
      <c r="O2" s="606" t="s">
        <v>155</v>
      </c>
      <c r="P2" s="645">
        <v>46112</v>
      </c>
      <c r="Q2" s="646"/>
      <c r="R2" s="646"/>
      <c r="S2" s="646"/>
      <c r="T2" s="647"/>
      <c r="U2" s="632">
        <f>P2+1</f>
        <v>46113</v>
      </c>
      <c r="V2" s="610"/>
      <c r="W2" s="610"/>
      <c r="X2" s="610"/>
      <c r="Y2" s="610"/>
      <c r="Z2" s="632">
        <f>U2+1</f>
        <v>46114</v>
      </c>
      <c r="AA2" s="610"/>
      <c r="AB2" s="610"/>
      <c r="AC2" s="610"/>
      <c r="AD2" s="610"/>
      <c r="AE2" s="632">
        <f>Z2+1</f>
        <v>46115</v>
      </c>
      <c r="AF2" s="610"/>
      <c r="AG2" s="610"/>
      <c r="AH2" s="610"/>
      <c r="AI2" s="610"/>
      <c r="AJ2" s="632">
        <f>AE2+1</f>
        <v>46116</v>
      </c>
      <c r="AK2" s="610"/>
      <c r="AL2" s="610"/>
      <c r="AM2" s="610"/>
      <c r="AN2" s="610"/>
      <c r="AO2" s="632">
        <f>AJ2+1</f>
        <v>46117</v>
      </c>
      <c r="AP2" s="610"/>
      <c r="AQ2" s="610"/>
      <c r="AR2" s="610"/>
      <c r="AS2" s="610"/>
      <c r="AT2" s="629">
        <f>AO2+1</f>
        <v>46118</v>
      </c>
      <c r="AU2" s="630"/>
      <c r="AV2" s="630"/>
      <c r="AW2" s="630"/>
      <c r="AX2" s="631"/>
    </row>
    <row r="3" spans="1:53" ht="15.75">
      <c r="A3" s="81"/>
      <c r="B3" s="641"/>
      <c r="C3" s="641"/>
      <c r="D3" s="641"/>
      <c r="E3" s="641"/>
      <c r="F3" s="641"/>
      <c r="G3" s="641"/>
      <c r="H3" s="641"/>
      <c r="I3" s="307"/>
      <c r="J3" s="307"/>
      <c r="K3" s="307"/>
      <c r="L3" s="307"/>
      <c r="M3" s="198"/>
      <c r="N3" s="608"/>
      <c r="O3" s="608"/>
      <c r="P3" s="629" t="s">
        <v>158</v>
      </c>
      <c r="Q3" s="630"/>
      <c r="R3" s="630"/>
      <c r="S3" s="630"/>
      <c r="T3" s="631"/>
      <c r="U3" s="629" t="s">
        <v>114</v>
      </c>
      <c r="V3" s="630"/>
      <c r="W3" s="630"/>
      <c r="X3" s="630"/>
      <c r="Y3" s="631"/>
      <c r="Z3" s="629" t="s">
        <v>159</v>
      </c>
      <c r="AA3" s="630"/>
      <c r="AB3" s="630"/>
      <c r="AC3" s="630"/>
      <c r="AD3" s="631"/>
      <c r="AE3" s="629" t="s">
        <v>157</v>
      </c>
      <c r="AF3" s="630"/>
      <c r="AG3" s="630"/>
      <c r="AH3" s="630"/>
      <c r="AI3" s="631"/>
      <c r="AJ3" s="629" t="s">
        <v>160</v>
      </c>
      <c r="AK3" s="630"/>
      <c r="AL3" s="630"/>
      <c r="AM3" s="630"/>
      <c r="AN3" s="631"/>
      <c r="AO3" s="629" t="s">
        <v>161</v>
      </c>
      <c r="AP3" s="630"/>
      <c r="AQ3" s="630"/>
      <c r="AR3" s="630"/>
      <c r="AS3" s="631"/>
      <c r="AT3" s="629" t="s">
        <v>162</v>
      </c>
      <c r="AU3" s="630"/>
      <c r="AV3" s="630"/>
      <c r="AW3" s="630"/>
      <c r="AX3" s="631"/>
    </row>
    <row r="4" spans="1:53" ht="14.25">
      <c r="A4" s="81"/>
      <c r="B4" s="604" t="s">
        <v>693</v>
      </c>
      <c r="C4" s="604" t="s">
        <v>694</v>
      </c>
      <c r="D4" s="604"/>
      <c r="E4" s="604" t="s">
        <v>695</v>
      </c>
      <c r="F4" s="604"/>
      <c r="G4" s="604"/>
      <c r="H4" s="637" t="s">
        <v>696</v>
      </c>
      <c r="I4" s="604" t="s">
        <v>697</v>
      </c>
      <c r="J4" s="604"/>
      <c r="K4" s="604"/>
      <c r="L4" s="637" t="s">
        <v>395</v>
      </c>
      <c r="M4" s="606" t="s">
        <v>698</v>
      </c>
      <c r="N4" s="604"/>
      <c r="O4" s="604" t="s">
        <v>429</v>
      </c>
      <c r="P4" s="623" t="s">
        <v>397</v>
      </c>
      <c r="Q4" s="624"/>
      <c r="R4" s="624"/>
      <c r="S4" s="625"/>
      <c r="T4" s="604" t="s">
        <v>395</v>
      </c>
      <c r="U4" s="623" t="s">
        <v>397</v>
      </c>
      <c r="V4" s="624"/>
      <c r="W4" s="624"/>
      <c r="X4" s="625"/>
      <c r="Y4" s="604" t="s">
        <v>395</v>
      </c>
      <c r="Z4" s="623" t="s">
        <v>397</v>
      </c>
      <c r="AA4" s="624"/>
      <c r="AB4" s="624"/>
      <c r="AC4" s="625"/>
      <c r="AD4" s="604" t="s">
        <v>395</v>
      </c>
      <c r="AE4" s="623" t="s">
        <v>397</v>
      </c>
      <c r="AF4" s="624"/>
      <c r="AG4" s="624"/>
      <c r="AH4" s="625"/>
      <c r="AI4" s="604" t="s">
        <v>395</v>
      </c>
      <c r="AJ4" s="623" t="s">
        <v>397</v>
      </c>
      <c r="AK4" s="624"/>
      <c r="AL4" s="624"/>
      <c r="AM4" s="625"/>
      <c r="AN4" s="604" t="s">
        <v>395</v>
      </c>
      <c r="AO4" s="623" t="s">
        <v>397</v>
      </c>
      <c r="AP4" s="624"/>
      <c r="AQ4" s="624"/>
      <c r="AR4" s="625"/>
      <c r="AS4" s="604" t="s">
        <v>395</v>
      </c>
      <c r="AT4" s="623" t="s">
        <v>397</v>
      </c>
      <c r="AU4" s="624"/>
      <c r="AV4" s="624"/>
      <c r="AW4" s="625"/>
      <c r="AX4" s="604" t="s">
        <v>395</v>
      </c>
      <c r="BA4" s="604" t="s">
        <v>395</v>
      </c>
    </row>
    <row r="5" spans="1:53" ht="14.25">
      <c r="A5" s="81"/>
      <c r="B5" s="604"/>
      <c r="C5" s="604"/>
      <c r="D5" s="604"/>
      <c r="E5" s="604" t="s">
        <v>700</v>
      </c>
      <c r="F5" s="604"/>
      <c r="G5" s="604"/>
      <c r="H5" s="638"/>
      <c r="I5" s="604" t="s">
        <v>700</v>
      </c>
      <c r="J5" s="604"/>
      <c r="K5" s="604"/>
      <c r="L5" s="638"/>
      <c r="M5" s="607"/>
      <c r="N5" s="604"/>
      <c r="O5" s="604"/>
      <c r="P5" s="623" t="s">
        <v>687</v>
      </c>
      <c r="Q5" s="624"/>
      <c r="R5" s="624"/>
      <c r="S5" s="625"/>
      <c r="T5" s="604"/>
      <c r="U5" s="623" t="s">
        <v>687</v>
      </c>
      <c r="V5" s="624"/>
      <c r="W5" s="624"/>
      <c r="X5" s="625"/>
      <c r="Y5" s="604"/>
      <c r="Z5" s="623" t="s">
        <v>687</v>
      </c>
      <c r="AA5" s="624"/>
      <c r="AB5" s="624"/>
      <c r="AC5" s="625"/>
      <c r="AD5" s="604"/>
      <c r="AE5" s="623" t="s">
        <v>687</v>
      </c>
      <c r="AF5" s="624"/>
      <c r="AG5" s="624"/>
      <c r="AH5" s="625"/>
      <c r="AI5" s="604"/>
      <c r="AJ5" s="623" t="s">
        <v>687</v>
      </c>
      <c r="AK5" s="624"/>
      <c r="AL5" s="624"/>
      <c r="AM5" s="625"/>
      <c r="AN5" s="604"/>
      <c r="AO5" s="623" t="s">
        <v>687</v>
      </c>
      <c r="AP5" s="624"/>
      <c r="AQ5" s="624"/>
      <c r="AR5" s="625"/>
      <c r="AS5" s="604"/>
      <c r="AT5" s="623" t="s">
        <v>687</v>
      </c>
      <c r="AU5" s="624"/>
      <c r="AV5" s="624"/>
      <c r="AW5" s="625"/>
      <c r="AX5" s="604"/>
      <c r="BA5" s="604"/>
    </row>
    <row r="6" spans="1:53" ht="14.25">
      <c r="A6" s="79"/>
      <c r="B6" s="604"/>
      <c r="C6" s="604"/>
      <c r="D6" s="604"/>
      <c r="E6" s="468" t="s">
        <v>701</v>
      </c>
      <c r="F6" s="468" t="s">
        <v>702</v>
      </c>
      <c r="G6" s="468" t="s">
        <v>703</v>
      </c>
      <c r="H6" s="639"/>
      <c r="I6" s="468" t="s">
        <v>701</v>
      </c>
      <c r="J6" s="468" t="s">
        <v>702</v>
      </c>
      <c r="K6" s="468" t="s">
        <v>703</v>
      </c>
      <c r="L6" s="639"/>
      <c r="M6" s="608"/>
      <c r="N6" s="604"/>
      <c r="O6" s="604"/>
      <c r="P6" s="468" t="s">
        <v>404</v>
      </c>
      <c r="Q6" s="468" t="s">
        <v>689</v>
      </c>
      <c r="R6" s="468" t="s">
        <v>690</v>
      </c>
      <c r="S6" s="468" t="s">
        <v>396</v>
      </c>
      <c r="T6" s="604"/>
      <c r="U6" s="468" t="s">
        <v>404</v>
      </c>
      <c r="V6" s="468" t="s">
        <v>689</v>
      </c>
      <c r="W6" s="468" t="s">
        <v>690</v>
      </c>
      <c r="X6" s="468" t="s">
        <v>396</v>
      </c>
      <c r="Y6" s="604"/>
      <c r="Z6" s="468" t="s">
        <v>404</v>
      </c>
      <c r="AA6" s="468" t="s">
        <v>689</v>
      </c>
      <c r="AB6" s="468" t="s">
        <v>690</v>
      </c>
      <c r="AC6" s="468" t="s">
        <v>396</v>
      </c>
      <c r="AD6" s="604"/>
      <c r="AE6" s="468" t="s">
        <v>404</v>
      </c>
      <c r="AF6" s="468" t="s">
        <v>689</v>
      </c>
      <c r="AG6" s="468" t="s">
        <v>690</v>
      </c>
      <c r="AH6" s="468" t="s">
        <v>396</v>
      </c>
      <c r="AI6" s="604"/>
      <c r="AJ6" s="468" t="s">
        <v>404</v>
      </c>
      <c r="AK6" s="468" t="s">
        <v>689</v>
      </c>
      <c r="AL6" s="468" t="s">
        <v>690</v>
      </c>
      <c r="AM6" s="468" t="s">
        <v>396</v>
      </c>
      <c r="AN6" s="604"/>
      <c r="AO6" s="468" t="s">
        <v>404</v>
      </c>
      <c r="AP6" s="468" t="s">
        <v>689</v>
      </c>
      <c r="AQ6" s="468" t="s">
        <v>690</v>
      </c>
      <c r="AR6" s="468" t="s">
        <v>396</v>
      </c>
      <c r="AS6" s="604"/>
      <c r="AT6" s="468" t="s">
        <v>404</v>
      </c>
      <c r="AU6" s="468" t="s">
        <v>689</v>
      </c>
      <c r="AV6" s="468" t="s">
        <v>690</v>
      </c>
      <c r="AW6" s="468" t="s">
        <v>396</v>
      </c>
      <c r="AX6" s="604"/>
      <c r="AZ6" s="520" t="s">
        <v>396</v>
      </c>
      <c r="BA6" s="604"/>
    </row>
    <row r="7" spans="1:53" ht="14.25">
      <c r="A7" s="81"/>
      <c r="B7" s="604" t="s">
        <v>136</v>
      </c>
      <c r="C7" s="469">
        <v>1</v>
      </c>
      <c r="D7" s="226" t="s">
        <v>381</v>
      </c>
      <c r="E7" s="182">
        <v>7</v>
      </c>
      <c r="F7" s="488">
        <v>1500</v>
      </c>
      <c r="G7" s="489">
        <v>214.3</v>
      </c>
      <c r="H7" s="618">
        <f>AVERAGE(G7:G21)</f>
        <v>184.21428571428575</v>
      </c>
      <c r="I7" s="513">
        <f t="shared" ref="I7:I20" si="0">IFERROR(AVERAGE(P7,U7,Z7,AE7,AJ7,AO7,AT7),"-")</f>
        <v>7</v>
      </c>
      <c r="J7" s="513">
        <f t="shared" ref="J7:J20" si="1">IFERROR(AVERAGE(Q7,V7,AA7,AF7,AK7,AP7,AU7),"-")</f>
        <v>1486.5310820327213</v>
      </c>
      <c r="K7" s="200">
        <f t="shared" ref="K7:K20" si="2">IFERROR(AVERAGE(R7,W7,AB7,AG7,AL7,AQ7,AV7),"-")</f>
        <v>212.3615831475316</v>
      </c>
      <c r="L7" s="618">
        <f>IFERROR(AVERAGE(K7:K21),"-")</f>
        <v>178.48613962015105</v>
      </c>
      <c r="M7" s="471">
        <f>RANK(K7, K$7:$K$21)</f>
        <v>2</v>
      </c>
      <c r="N7" s="604"/>
      <c r="O7" s="604"/>
      <c r="P7" s="521">
        <v>7</v>
      </c>
      <c r="Q7" s="182">
        <v>1500.7999999999997</v>
      </c>
      <c r="R7" s="182">
        <v>214.39999999999995</v>
      </c>
      <c r="S7" s="522">
        <f t="shared" ref="S7:S21" si="3">RANK(R7, R$7:R$21)</f>
        <v>2</v>
      </c>
      <c r="T7" s="612">
        <f t="shared" ref="T7" si="4">AVERAGE(R7:R21)</f>
        <v>180.09645460854637</v>
      </c>
      <c r="U7" s="521">
        <v>7</v>
      </c>
      <c r="V7" s="182">
        <v>1504.6153846153843</v>
      </c>
      <c r="W7" s="182">
        <v>214.94505494505489</v>
      </c>
      <c r="X7" s="522">
        <f t="shared" ref="X7:X21" si="5">RANK(W7, W$7:W$21)</f>
        <v>2</v>
      </c>
      <c r="Y7" s="612">
        <f t="shared" ref="Y7" si="6">AVERAGE(W7:W21)</f>
        <v>179.49686487871173</v>
      </c>
      <c r="Z7" s="521">
        <v>7</v>
      </c>
      <c r="AA7" s="182">
        <v>1484.5454545454545</v>
      </c>
      <c r="AB7" s="182">
        <v>212.07792207792207</v>
      </c>
      <c r="AC7" s="522">
        <f t="shared" ref="AC7:AC21" si="7">RANK(AB7, AB$7:AB$21)</f>
        <v>3</v>
      </c>
      <c r="AD7" s="612">
        <f t="shared" ref="AD7" si="8">AVERAGE(AB7:AB21)</f>
        <v>177.88860096507273</v>
      </c>
      <c r="AE7" s="521">
        <v>7</v>
      </c>
      <c r="AF7" s="182">
        <v>1450.8196721311479</v>
      </c>
      <c r="AG7" s="182">
        <v>207.25995316159256</v>
      </c>
      <c r="AH7" s="522">
        <f t="shared" ref="AH7:AH21" si="9">RANK(AG7, AG$7:AG$21)</f>
        <v>4</v>
      </c>
      <c r="AI7" s="612">
        <f t="shared" ref="AI7" si="10">AVERAGE(AG7:AG21)</f>
        <v>177.44054114489933</v>
      </c>
      <c r="AJ7" s="521">
        <v>7</v>
      </c>
      <c r="AK7" s="182">
        <v>1489.8461538461534</v>
      </c>
      <c r="AL7" s="182">
        <v>212.83516483516476</v>
      </c>
      <c r="AM7" s="522">
        <f t="shared" ref="AM7:AM21" si="11">RANK(AL7, AL$7:AL$21)</f>
        <v>3</v>
      </c>
      <c r="AN7" s="612">
        <f t="shared" ref="AN7" si="12">AVERAGE(AL7:AL21)</f>
        <v>179.28626096861564</v>
      </c>
      <c r="AO7" s="521">
        <v>7</v>
      </c>
      <c r="AP7" s="182">
        <v>1486.0000000000005</v>
      </c>
      <c r="AQ7" s="182">
        <v>212.28571428571436</v>
      </c>
      <c r="AR7" s="522">
        <f t="shared" ref="AR7:AR21" si="13">RANK(AQ7, AQ$7:AQ$21)</f>
        <v>2</v>
      </c>
      <c r="AS7" s="612">
        <f t="shared" ref="AS7" si="14">AVERAGE(AQ7:AQ21)</f>
        <v>176.83846369358656</v>
      </c>
      <c r="AT7" s="521">
        <v>7</v>
      </c>
      <c r="AU7" s="182">
        <v>1489.090909090909</v>
      </c>
      <c r="AV7" s="182">
        <v>212.72727272727272</v>
      </c>
      <c r="AW7" s="522">
        <f t="shared" ref="AW7:AW21" si="15">RANK(AV7, AV$7:AV$21)</f>
        <v>3</v>
      </c>
      <c r="AX7" s="612">
        <f t="shared" ref="AX7" si="16">AVERAGE(AV7:AV21)</f>
        <v>178.3557910816248</v>
      </c>
      <c r="AZ7" s="522" t="e">
        <f t="shared" ref="AZ7:AZ21" si="17">RANK(AY7, AY$7:AY$21)</f>
        <v>#N/A</v>
      </c>
      <c r="BA7" s="612" t="e">
        <f t="shared" ref="BA7" si="18">AVERAGE(AY7:AY21)</f>
        <v>#DIV/0!</v>
      </c>
    </row>
    <row r="8" spans="1:53" ht="15" customHeight="1">
      <c r="A8" s="81"/>
      <c r="B8" s="640"/>
      <c r="C8" s="469">
        <v>2</v>
      </c>
      <c r="D8" s="226" t="s">
        <v>382</v>
      </c>
      <c r="E8" s="182">
        <v>7</v>
      </c>
      <c r="F8" s="488">
        <v>1500</v>
      </c>
      <c r="G8" s="489">
        <v>214.3</v>
      </c>
      <c r="H8" s="619"/>
      <c r="I8" s="513">
        <f t="shared" si="0"/>
        <v>7</v>
      </c>
      <c r="J8" s="513">
        <f t="shared" si="1"/>
        <v>1484.5718222325618</v>
      </c>
      <c r="K8" s="200">
        <f t="shared" si="2"/>
        <v>212.08168889036597</v>
      </c>
      <c r="L8" s="619"/>
      <c r="M8" s="471">
        <f>RANK(K8, K$7:$K$21)</f>
        <v>3</v>
      </c>
      <c r="N8" s="604"/>
      <c r="O8" s="604"/>
      <c r="P8" s="521">
        <v>7</v>
      </c>
      <c r="Q8" s="182">
        <v>1472.4507042253522</v>
      </c>
      <c r="R8" s="182">
        <v>210.35010060362174</v>
      </c>
      <c r="S8" s="522">
        <f t="shared" si="3"/>
        <v>4</v>
      </c>
      <c r="T8" s="612"/>
      <c r="U8" s="521">
        <v>7</v>
      </c>
      <c r="V8" s="182">
        <v>1476.6371681415928</v>
      </c>
      <c r="W8" s="182">
        <v>210.9481668773704</v>
      </c>
      <c r="X8" s="522">
        <f t="shared" si="5"/>
        <v>4</v>
      </c>
      <c r="Y8" s="612"/>
      <c r="Z8" s="521">
        <v>7</v>
      </c>
      <c r="AA8" s="182">
        <v>1501.008403361345</v>
      </c>
      <c r="AB8" s="182">
        <v>214.42977190876357</v>
      </c>
      <c r="AC8" s="522">
        <f t="shared" si="7"/>
        <v>2</v>
      </c>
      <c r="AD8" s="612"/>
      <c r="AE8" s="521">
        <v>7</v>
      </c>
      <c r="AF8" s="182">
        <v>1497.4789915966392</v>
      </c>
      <c r="AG8" s="182">
        <v>213.92557022809132</v>
      </c>
      <c r="AH8" s="522">
        <f t="shared" si="9"/>
        <v>2</v>
      </c>
      <c r="AI8" s="612"/>
      <c r="AJ8" s="521">
        <v>7</v>
      </c>
      <c r="AK8" s="182">
        <v>1504.0677966101698</v>
      </c>
      <c r="AL8" s="182">
        <v>214.86682808716711</v>
      </c>
      <c r="AM8" s="522">
        <f t="shared" si="11"/>
        <v>2</v>
      </c>
      <c r="AN8" s="612"/>
      <c r="AO8" s="521">
        <v>7</v>
      </c>
      <c r="AP8" s="182">
        <v>1471.3274336283187</v>
      </c>
      <c r="AQ8" s="182">
        <v>210.1896333754741</v>
      </c>
      <c r="AR8" s="522">
        <f t="shared" si="13"/>
        <v>4</v>
      </c>
      <c r="AS8" s="612"/>
      <c r="AT8" s="521">
        <v>7</v>
      </c>
      <c r="AU8" s="182">
        <v>1469.0322580645156</v>
      </c>
      <c r="AV8" s="182">
        <v>209.86175115207365</v>
      </c>
      <c r="AW8" s="522">
        <f t="shared" si="15"/>
        <v>4</v>
      </c>
      <c r="AX8" s="612"/>
      <c r="AZ8" s="522" t="e">
        <f t="shared" si="17"/>
        <v>#N/A</v>
      </c>
      <c r="BA8" s="612"/>
    </row>
    <row r="9" spans="1:53" ht="14.25">
      <c r="A9" s="81"/>
      <c r="B9" s="640"/>
      <c r="C9" s="469">
        <v>3</v>
      </c>
      <c r="D9" s="226" t="s">
        <v>349</v>
      </c>
      <c r="E9" s="182">
        <v>20</v>
      </c>
      <c r="F9" s="488">
        <v>1500</v>
      </c>
      <c r="G9" s="489">
        <v>75</v>
      </c>
      <c r="H9" s="619"/>
      <c r="I9" s="513">
        <f t="shared" si="0"/>
        <v>20</v>
      </c>
      <c r="J9" s="513">
        <f t="shared" si="1"/>
        <v>1417.2040201345376</v>
      </c>
      <c r="K9" s="200">
        <f t="shared" si="2"/>
        <v>70.860201006726896</v>
      </c>
      <c r="L9" s="619"/>
      <c r="M9" s="471">
        <f>RANK(K9, K$7:$K$21)</f>
        <v>7</v>
      </c>
      <c r="N9" s="604"/>
      <c r="O9" s="604"/>
      <c r="P9" s="521">
        <v>20</v>
      </c>
      <c r="Q9" s="182">
        <v>1406.0869565217395</v>
      </c>
      <c r="R9" s="182">
        <v>70.304347826086968</v>
      </c>
      <c r="S9" s="522">
        <f t="shared" si="3"/>
        <v>7</v>
      </c>
      <c r="T9" s="612"/>
      <c r="U9" s="521">
        <v>20</v>
      </c>
      <c r="V9" s="182">
        <v>1428.9557522123894</v>
      </c>
      <c r="W9" s="182">
        <v>71.447787610619471</v>
      </c>
      <c r="X9" s="522">
        <f t="shared" si="5"/>
        <v>7</v>
      </c>
      <c r="Y9" s="612"/>
      <c r="Z9" s="521">
        <v>20</v>
      </c>
      <c r="AA9" s="182">
        <v>1408.5000000000002</v>
      </c>
      <c r="AB9" s="182">
        <v>70.425000000000011</v>
      </c>
      <c r="AC9" s="522">
        <f t="shared" si="7"/>
        <v>7</v>
      </c>
      <c r="AD9" s="612"/>
      <c r="AE9" s="521">
        <v>20</v>
      </c>
      <c r="AF9" s="182">
        <v>1436.3114754098365</v>
      </c>
      <c r="AG9" s="182">
        <v>71.815573770491824</v>
      </c>
      <c r="AH9" s="522">
        <f t="shared" si="9"/>
        <v>7</v>
      </c>
      <c r="AI9" s="612"/>
      <c r="AJ9" s="521">
        <v>20</v>
      </c>
      <c r="AK9" s="182">
        <v>1416.8181818181818</v>
      </c>
      <c r="AL9" s="182">
        <v>70.840909090909093</v>
      </c>
      <c r="AM9" s="522">
        <f t="shared" si="11"/>
        <v>7</v>
      </c>
      <c r="AN9" s="612"/>
      <c r="AO9" s="521">
        <v>20</v>
      </c>
      <c r="AP9" s="182">
        <v>1406.1654135338345</v>
      </c>
      <c r="AQ9" s="182">
        <v>70.30827067669172</v>
      </c>
      <c r="AR9" s="522">
        <f t="shared" si="13"/>
        <v>7</v>
      </c>
      <c r="AS9" s="612"/>
      <c r="AT9" s="521">
        <v>20</v>
      </c>
      <c r="AU9" s="182">
        <v>1417.5903614457827</v>
      </c>
      <c r="AV9" s="182">
        <v>70.87951807228913</v>
      </c>
      <c r="AW9" s="522">
        <f t="shared" si="15"/>
        <v>7</v>
      </c>
      <c r="AX9" s="612"/>
      <c r="AZ9" s="522" t="e">
        <f t="shared" si="17"/>
        <v>#N/A</v>
      </c>
      <c r="BA9" s="612"/>
    </row>
    <row r="10" spans="1:53" ht="14.25">
      <c r="A10" s="81"/>
      <c r="B10" s="640"/>
      <c r="C10" s="469">
        <v>4</v>
      </c>
      <c r="D10" s="226" t="s">
        <v>383</v>
      </c>
      <c r="E10" s="182">
        <v>16</v>
      </c>
      <c r="F10" s="488">
        <v>1440</v>
      </c>
      <c r="G10" s="489">
        <v>84.7</v>
      </c>
      <c r="H10" s="619"/>
      <c r="I10" s="513">
        <f t="shared" si="0"/>
        <v>16</v>
      </c>
      <c r="J10" s="513">
        <f t="shared" si="1"/>
        <v>1392.7233216106138</v>
      </c>
      <c r="K10" s="200">
        <f t="shared" si="2"/>
        <v>87.04520760066336</v>
      </c>
      <c r="L10" s="619"/>
      <c r="M10" s="471">
        <f>RANK(K10, K$7:$K$21)</f>
        <v>6</v>
      </c>
      <c r="N10" s="604"/>
      <c r="O10" s="604"/>
      <c r="P10" s="521">
        <v>16</v>
      </c>
      <c r="Q10" s="182">
        <v>1445.2173913043478</v>
      </c>
      <c r="R10" s="182">
        <v>90.326086956521735</v>
      </c>
      <c r="S10" s="522">
        <f t="shared" si="3"/>
        <v>6</v>
      </c>
      <c r="T10" s="612"/>
      <c r="U10" s="521">
        <v>16</v>
      </c>
      <c r="V10" s="182">
        <v>1406.5822784810118</v>
      </c>
      <c r="W10" s="182">
        <v>87.911392405063239</v>
      </c>
      <c r="X10" s="522">
        <f t="shared" si="5"/>
        <v>6</v>
      </c>
      <c r="Y10" s="612"/>
      <c r="Z10" s="521">
        <v>16</v>
      </c>
      <c r="AA10" s="182">
        <v>1369.0140845070425</v>
      </c>
      <c r="AB10" s="182">
        <v>85.563380281690158</v>
      </c>
      <c r="AC10" s="522">
        <f t="shared" si="7"/>
        <v>6</v>
      </c>
      <c r="AD10" s="612"/>
      <c r="AE10" s="521">
        <v>16</v>
      </c>
      <c r="AF10" s="182">
        <v>1371.4285714285716</v>
      </c>
      <c r="AG10" s="182">
        <v>85.714285714285722</v>
      </c>
      <c r="AH10" s="522">
        <f t="shared" si="9"/>
        <v>6</v>
      </c>
      <c r="AI10" s="612"/>
      <c r="AJ10" s="521">
        <v>16</v>
      </c>
      <c r="AK10" s="182">
        <v>1387.0129870129877</v>
      </c>
      <c r="AL10" s="182">
        <v>86.688311688311728</v>
      </c>
      <c r="AM10" s="522">
        <f t="shared" si="11"/>
        <v>6</v>
      </c>
      <c r="AN10" s="612"/>
      <c r="AO10" s="521">
        <v>16</v>
      </c>
      <c r="AP10" s="182">
        <v>1382.5352112676057</v>
      </c>
      <c r="AQ10" s="182">
        <v>86.408450704225359</v>
      </c>
      <c r="AR10" s="522">
        <f t="shared" si="13"/>
        <v>6</v>
      </c>
      <c r="AS10" s="612"/>
      <c r="AT10" s="521">
        <v>16</v>
      </c>
      <c r="AU10" s="182">
        <v>1387.2727272727277</v>
      </c>
      <c r="AV10" s="182">
        <v>86.704545454545482</v>
      </c>
      <c r="AW10" s="522">
        <f t="shared" si="15"/>
        <v>6</v>
      </c>
      <c r="AX10" s="612"/>
      <c r="AZ10" s="522" t="e">
        <f t="shared" si="17"/>
        <v>#N/A</v>
      </c>
      <c r="BA10" s="612"/>
    </row>
    <row r="11" spans="1:53" ht="14.25">
      <c r="A11" s="81"/>
      <c r="B11" s="640"/>
      <c r="C11" s="469">
        <v>5</v>
      </c>
      <c r="D11" s="226" t="s">
        <v>422</v>
      </c>
      <c r="E11" s="182">
        <v>7</v>
      </c>
      <c r="F11" s="488">
        <v>1500</v>
      </c>
      <c r="G11" s="489">
        <v>214.3</v>
      </c>
      <c r="H11" s="619"/>
      <c r="I11" s="513">
        <f t="shared" si="0"/>
        <v>7</v>
      </c>
      <c r="J11" s="513">
        <f t="shared" si="1"/>
        <v>1478.1587869274558</v>
      </c>
      <c r="K11" s="200">
        <f t="shared" si="2"/>
        <v>211.16554098963658</v>
      </c>
      <c r="L11" s="619"/>
      <c r="M11" s="471">
        <f>RANK(K11, K$7:$K$21)</f>
        <v>4</v>
      </c>
      <c r="N11" s="604"/>
      <c r="O11" s="604"/>
      <c r="P11" s="521">
        <v>7</v>
      </c>
      <c r="Q11" s="182">
        <v>1462.1052631578948</v>
      </c>
      <c r="R11" s="182">
        <v>208.87218045112783</v>
      </c>
      <c r="S11" s="522">
        <f t="shared" si="3"/>
        <v>5</v>
      </c>
      <c r="T11" s="612"/>
      <c r="U11" s="521">
        <v>7</v>
      </c>
      <c r="V11" s="182">
        <v>1488.9473684210523</v>
      </c>
      <c r="W11" s="182">
        <v>212.70676691729318</v>
      </c>
      <c r="X11" s="522">
        <f t="shared" si="5"/>
        <v>3</v>
      </c>
      <c r="Y11" s="612"/>
      <c r="Z11" s="521">
        <v>7</v>
      </c>
      <c r="AA11" s="182">
        <v>1468.6956521739137</v>
      </c>
      <c r="AB11" s="182">
        <v>209.81366459627338</v>
      </c>
      <c r="AC11" s="522">
        <f t="shared" si="7"/>
        <v>4</v>
      </c>
      <c r="AD11" s="612"/>
      <c r="AE11" s="521">
        <v>7</v>
      </c>
      <c r="AF11" s="182">
        <v>1478.5714285714282</v>
      </c>
      <c r="AG11" s="182">
        <v>211.22448979591832</v>
      </c>
      <c r="AH11" s="522">
        <f t="shared" si="9"/>
        <v>3</v>
      </c>
      <c r="AI11" s="612"/>
      <c r="AJ11" s="521">
        <v>7</v>
      </c>
      <c r="AK11" s="182">
        <v>1475.8695652173919</v>
      </c>
      <c r="AL11" s="182">
        <v>210.83850931677028</v>
      </c>
      <c r="AM11" s="522">
        <f t="shared" si="11"/>
        <v>4</v>
      </c>
      <c r="AN11" s="612"/>
      <c r="AO11" s="521">
        <v>7</v>
      </c>
      <c r="AP11" s="182">
        <v>1471.5789473684213</v>
      </c>
      <c r="AQ11" s="182">
        <v>210.22556390977448</v>
      </c>
      <c r="AR11" s="522">
        <f t="shared" si="13"/>
        <v>3</v>
      </c>
      <c r="AS11" s="612"/>
      <c r="AT11" s="521">
        <v>7</v>
      </c>
      <c r="AU11" s="182">
        <v>1501.3432835820895</v>
      </c>
      <c r="AV11" s="182">
        <v>214.47761194029849</v>
      </c>
      <c r="AW11" s="522">
        <f t="shared" si="15"/>
        <v>2</v>
      </c>
      <c r="AX11" s="612"/>
      <c r="AZ11" s="522" t="e">
        <f t="shared" si="17"/>
        <v>#N/A</v>
      </c>
      <c r="BA11" s="612"/>
    </row>
    <row r="12" spans="1:53" ht="14.25">
      <c r="A12" s="81"/>
      <c r="B12" s="640"/>
      <c r="C12" s="469">
        <v>6</v>
      </c>
      <c r="D12" s="226" t="s">
        <v>794</v>
      </c>
      <c r="E12" s="182">
        <v>6</v>
      </c>
      <c r="F12" s="488">
        <v>1636</v>
      </c>
      <c r="G12" s="489">
        <v>272.60000000000002</v>
      </c>
      <c r="H12" s="619"/>
      <c r="I12" s="513">
        <f t="shared" si="0"/>
        <v>6</v>
      </c>
      <c r="J12" s="513">
        <f t="shared" si="1"/>
        <v>1539.0921342517654</v>
      </c>
      <c r="K12" s="200">
        <f t="shared" si="2"/>
        <v>256.51535570862762</v>
      </c>
      <c r="L12" s="619"/>
      <c r="M12" s="471">
        <f>RANK(K12, K$7:$K$21)</f>
        <v>1</v>
      </c>
      <c r="N12" s="604"/>
      <c r="O12" s="604"/>
      <c r="P12" s="521">
        <v>6</v>
      </c>
      <c r="Q12" s="182">
        <v>1512.8205128205129</v>
      </c>
      <c r="R12" s="182">
        <v>252.13675213675216</v>
      </c>
      <c r="S12" s="522">
        <f t="shared" si="3"/>
        <v>1</v>
      </c>
      <c r="T12" s="612"/>
      <c r="U12" s="521">
        <v>6</v>
      </c>
      <c r="V12" s="182">
        <v>1557.1962616822429</v>
      </c>
      <c r="W12" s="182">
        <v>259.53271028037381</v>
      </c>
      <c r="X12" s="522">
        <f t="shared" si="5"/>
        <v>1</v>
      </c>
      <c r="Y12" s="612"/>
      <c r="Z12" s="521">
        <v>6</v>
      </c>
      <c r="AA12" s="182">
        <v>1530.3703703703698</v>
      </c>
      <c r="AB12" s="182">
        <v>255.06172839506164</v>
      </c>
      <c r="AC12" s="522">
        <f t="shared" si="7"/>
        <v>1</v>
      </c>
      <c r="AD12" s="612"/>
      <c r="AE12" s="521">
        <v>6</v>
      </c>
      <c r="AF12" s="182">
        <v>1540.8000000000006</v>
      </c>
      <c r="AG12" s="182">
        <v>256.80000000000013</v>
      </c>
      <c r="AH12" s="522">
        <f t="shared" si="9"/>
        <v>1</v>
      </c>
      <c r="AI12" s="612"/>
      <c r="AJ12" s="521">
        <v>6</v>
      </c>
      <c r="AK12" s="182">
        <v>1554.2168674698789</v>
      </c>
      <c r="AL12" s="182">
        <v>259.03614457831316</v>
      </c>
      <c r="AM12" s="522">
        <f t="shared" si="11"/>
        <v>1</v>
      </c>
      <c r="AN12" s="612"/>
      <c r="AO12" s="521">
        <v>6</v>
      </c>
      <c r="AP12" s="182">
        <v>1518.7096774193551</v>
      </c>
      <c r="AQ12" s="182">
        <v>253.11827956989251</v>
      </c>
      <c r="AR12" s="522">
        <f t="shared" si="13"/>
        <v>1</v>
      </c>
      <c r="AS12" s="612"/>
      <c r="AT12" s="521">
        <v>6</v>
      </c>
      <c r="AU12" s="182">
        <v>1559.5312499999995</v>
      </c>
      <c r="AV12" s="182">
        <v>259.92187499999994</v>
      </c>
      <c r="AW12" s="522">
        <f t="shared" si="15"/>
        <v>1</v>
      </c>
      <c r="AX12" s="612"/>
      <c r="AZ12" s="522" t="e">
        <f t="shared" si="17"/>
        <v>#N/A</v>
      </c>
      <c r="BA12" s="612"/>
    </row>
    <row r="13" spans="1:53" ht="14.25">
      <c r="A13" s="81"/>
      <c r="B13" s="640"/>
      <c r="C13" s="469">
        <v>7</v>
      </c>
      <c r="D13" s="226" t="s">
        <v>765</v>
      </c>
      <c r="E13" s="182">
        <v>7</v>
      </c>
      <c r="F13" s="488">
        <v>1500</v>
      </c>
      <c r="G13" s="489">
        <v>214.3</v>
      </c>
      <c r="H13" s="619"/>
      <c r="I13" s="513">
        <f t="shared" si="0"/>
        <v>7</v>
      </c>
      <c r="J13" s="513">
        <f t="shared" si="1"/>
        <v>1395.6137999825362</v>
      </c>
      <c r="K13" s="200">
        <f t="shared" si="2"/>
        <v>199.37339999750515</v>
      </c>
      <c r="L13" s="619"/>
      <c r="M13" s="471">
        <f>RANK(K13, K$7:$K$21)</f>
        <v>5</v>
      </c>
      <c r="N13" s="604"/>
      <c r="O13" s="604"/>
      <c r="P13" s="521">
        <v>7</v>
      </c>
      <c r="Q13" s="182">
        <v>1499.9999999999998</v>
      </c>
      <c r="R13" s="182">
        <v>214.28571428571425</v>
      </c>
      <c r="S13" s="522">
        <f t="shared" si="3"/>
        <v>3</v>
      </c>
      <c r="T13" s="612"/>
      <c r="U13" s="521">
        <v>7</v>
      </c>
      <c r="V13" s="182">
        <v>1392.9032258064517</v>
      </c>
      <c r="W13" s="182">
        <v>198.98617511520737</v>
      </c>
      <c r="X13" s="522">
        <f t="shared" si="5"/>
        <v>5</v>
      </c>
      <c r="Y13" s="612"/>
      <c r="Z13" s="521">
        <v>7</v>
      </c>
      <c r="AA13" s="182">
        <v>1384.9411764705881</v>
      </c>
      <c r="AB13" s="182">
        <v>197.8487394957983</v>
      </c>
      <c r="AC13" s="522">
        <f t="shared" si="7"/>
        <v>5</v>
      </c>
      <c r="AD13" s="612"/>
      <c r="AE13" s="521">
        <v>7</v>
      </c>
      <c r="AF13" s="182">
        <v>1367.4074074074069</v>
      </c>
      <c r="AG13" s="182">
        <v>195.34391534391528</v>
      </c>
      <c r="AH13" s="522">
        <f t="shared" si="9"/>
        <v>5</v>
      </c>
      <c r="AI13" s="612"/>
      <c r="AJ13" s="521">
        <v>7</v>
      </c>
      <c r="AK13" s="182">
        <v>1399.2857142857138</v>
      </c>
      <c r="AL13" s="182">
        <v>199.89795918367341</v>
      </c>
      <c r="AM13" s="522">
        <f t="shared" si="11"/>
        <v>5</v>
      </c>
      <c r="AN13" s="612"/>
      <c r="AO13" s="521">
        <v>7</v>
      </c>
      <c r="AP13" s="182">
        <v>1367.3333333333333</v>
      </c>
      <c r="AQ13" s="182">
        <v>195.33333333333331</v>
      </c>
      <c r="AR13" s="522">
        <f t="shared" si="13"/>
        <v>5</v>
      </c>
      <c r="AS13" s="612"/>
      <c r="AT13" s="521">
        <v>7</v>
      </c>
      <c r="AU13" s="182">
        <v>1357.425742574258</v>
      </c>
      <c r="AV13" s="182">
        <v>193.91796322489401</v>
      </c>
      <c r="AW13" s="522">
        <f t="shared" si="15"/>
        <v>5</v>
      </c>
      <c r="AX13" s="612"/>
      <c r="AZ13" s="522" t="e">
        <f t="shared" si="17"/>
        <v>#N/A</v>
      </c>
      <c r="BA13" s="612"/>
    </row>
    <row r="14" spans="1:53" ht="14.25">
      <c r="A14" s="81"/>
      <c r="B14" s="640"/>
      <c r="C14" s="469">
        <v>8</v>
      </c>
      <c r="D14" s="342"/>
      <c r="E14" s="472"/>
      <c r="F14" s="472"/>
      <c r="G14" s="472"/>
      <c r="H14" s="619"/>
      <c r="I14" s="513" t="str">
        <f t="shared" si="0"/>
        <v>-</v>
      </c>
      <c r="J14" s="513" t="str">
        <f t="shared" si="1"/>
        <v>-</v>
      </c>
      <c r="K14" s="200" t="str">
        <f t="shared" si="2"/>
        <v>-</v>
      </c>
      <c r="L14" s="619"/>
      <c r="M14" s="471" t="e">
        <f>RANK(K14, K$7:$K$21)</f>
        <v>#VALUE!</v>
      </c>
      <c r="N14" s="604"/>
      <c r="O14" s="604"/>
      <c r="P14" s="521" t="s">
        <v>822</v>
      </c>
      <c r="Q14" s="182" t="s">
        <v>822</v>
      </c>
      <c r="R14" s="182" t="s">
        <v>822</v>
      </c>
      <c r="S14" s="522" t="e">
        <f t="shared" si="3"/>
        <v>#VALUE!</v>
      </c>
      <c r="T14" s="612"/>
      <c r="U14" s="521" t="s">
        <v>822</v>
      </c>
      <c r="V14" s="182" t="s">
        <v>822</v>
      </c>
      <c r="W14" s="182" t="s">
        <v>822</v>
      </c>
      <c r="X14" s="522" t="e">
        <f t="shared" si="5"/>
        <v>#VALUE!</v>
      </c>
      <c r="Y14" s="612"/>
      <c r="Z14" s="521" t="s">
        <v>822</v>
      </c>
      <c r="AA14" s="182" t="s">
        <v>822</v>
      </c>
      <c r="AB14" s="182" t="s">
        <v>822</v>
      </c>
      <c r="AC14" s="522" t="e">
        <f t="shared" si="7"/>
        <v>#VALUE!</v>
      </c>
      <c r="AD14" s="612"/>
      <c r="AE14" s="521" t="s">
        <v>822</v>
      </c>
      <c r="AF14" s="182" t="s">
        <v>822</v>
      </c>
      <c r="AG14" s="182" t="s">
        <v>822</v>
      </c>
      <c r="AH14" s="522" t="e">
        <f t="shared" si="9"/>
        <v>#VALUE!</v>
      </c>
      <c r="AI14" s="612"/>
      <c r="AJ14" s="521" t="s">
        <v>822</v>
      </c>
      <c r="AK14" s="182" t="s">
        <v>822</v>
      </c>
      <c r="AL14" s="182" t="s">
        <v>822</v>
      </c>
      <c r="AM14" s="522" t="e">
        <f t="shared" si="11"/>
        <v>#VALUE!</v>
      </c>
      <c r="AN14" s="612"/>
      <c r="AO14" s="521" t="s">
        <v>822</v>
      </c>
      <c r="AP14" s="182" t="s">
        <v>822</v>
      </c>
      <c r="AQ14" s="182" t="s">
        <v>822</v>
      </c>
      <c r="AR14" s="522" t="e">
        <f t="shared" si="13"/>
        <v>#VALUE!</v>
      </c>
      <c r="AS14" s="612"/>
      <c r="AT14" s="521" t="s">
        <v>822</v>
      </c>
      <c r="AU14" s="182" t="s">
        <v>822</v>
      </c>
      <c r="AV14" s="182" t="s">
        <v>822</v>
      </c>
      <c r="AW14" s="522" t="e">
        <f t="shared" si="15"/>
        <v>#VALUE!</v>
      </c>
      <c r="AX14" s="612"/>
      <c r="AZ14" s="522" t="e">
        <f t="shared" si="17"/>
        <v>#N/A</v>
      </c>
      <c r="BA14" s="612"/>
    </row>
    <row r="15" spans="1:53" ht="14.25">
      <c r="A15" s="81"/>
      <c r="B15" s="640"/>
      <c r="C15" s="469">
        <v>9</v>
      </c>
      <c r="D15" s="455"/>
      <c r="E15" s="472"/>
      <c r="F15" s="472"/>
      <c r="G15" s="472"/>
      <c r="H15" s="619"/>
      <c r="I15" s="513" t="str">
        <f t="shared" si="0"/>
        <v>-</v>
      </c>
      <c r="J15" s="513" t="str">
        <f t="shared" si="1"/>
        <v>-</v>
      </c>
      <c r="K15" s="200" t="str">
        <f t="shared" si="2"/>
        <v>-</v>
      </c>
      <c r="L15" s="619"/>
      <c r="M15" s="471" t="e">
        <f>RANK(K15, K$7:$K$21)</f>
        <v>#VALUE!</v>
      </c>
      <c r="N15" s="604"/>
      <c r="O15" s="604"/>
      <c r="P15" s="521" t="s">
        <v>822</v>
      </c>
      <c r="Q15" s="182" t="s">
        <v>822</v>
      </c>
      <c r="R15" s="182" t="s">
        <v>822</v>
      </c>
      <c r="S15" s="522" t="e">
        <f t="shared" si="3"/>
        <v>#VALUE!</v>
      </c>
      <c r="T15" s="612"/>
      <c r="U15" s="521" t="s">
        <v>822</v>
      </c>
      <c r="V15" s="182" t="s">
        <v>822</v>
      </c>
      <c r="W15" s="182" t="s">
        <v>822</v>
      </c>
      <c r="X15" s="522" t="e">
        <f t="shared" si="5"/>
        <v>#VALUE!</v>
      </c>
      <c r="Y15" s="612"/>
      <c r="Z15" s="521" t="s">
        <v>822</v>
      </c>
      <c r="AA15" s="182" t="s">
        <v>822</v>
      </c>
      <c r="AB15" s="182" t="s">
        <v>822</v>
      </c>
      <c r="AC15" s="522" t="e">
        <f t="shared" si="7"/>
        <v>#VALUE!</v>
      </c>
      <c r="AD15" s="612"/>
      <c r="AE15" s="521" t="s">
        <v>822</v>
      </c>
      <c r="AF15" s="182" t="s">
        <v>822</v>
      </c>
      <c r="AG15" s="182" t="s">
        <v>822</v>
      </c>
      <c r="AH15" s="522" t="e">
        <f t="shared" si="9"/>
        <v>#VALUE!</v>
      </c>
      <c r="AI15" s="612"/>
      <c r="AJ15" s="521" t="s">
        <v>822</v>
      </c>
      <c r="AK15" s="182" t="s">
        <v>822</v>
      </c>
      <c r="AL15" s="182" t="s">
        <v>822</v>
      </c>
      <c r="AM15" s="522" t="e">
        <f t="shared" si="11"/>
        <v>#VALUE!</v>
      </c>
      <c r="AN15" s="612"/>
      <c r="AO15" s="521" t="s">
        <v>822</v>
      </c>
      <c r="AP15" s="182" t="s">
        <v>822</v>
      </c>
      <c r="AQ15" s="182" t="s">
        <v>822</v>
      </c>
      <c r="AR15" s="522" t="e">
        <f t="shared" si="13"/>
        <v>#VALUE!</v>
      </c>
      <c r="AS15" s="612"/>
      <c r="AT15" s="521" t="s">
        <v>822</v>
      </c>
      <c r="AU15" s="182" t="s">
        <v>822</v>
      </c>
      <c r="AV15" s="182" t="s">
        <v>822</v>
      </c>
      <c r="AW15" s="522" t="e">
        <f t="shared" si="15"/>
        <v>#VALUE!</v>
      </c>
      <c r="AX15" s="612"/>
      <c r="AZ15" s="522" t="e">
        <f t="shared" si="17"/>
        <v>#N/A</v>
      </c>
      <c r="BA15" s="612"/>
    </row>
    <row r="16" spans="1:53" ht="14.25">
      <c r="A16" s="81"/>
      <c r="B16" s="640"/>
      <c r="C16" s="469">
        <v>10</v>
      </c>
      <c r="D16" s="455"/>
      <c r="E16" s="472"/>
      <c r="F16" s="472"/>
      <c r="G16" s="472"/>
      <c r="H16" s="619"/>
      <c r="I16" s="513" t="str">
        <f t="shared" si="0"/>
        <v>-</v>
      </c>
      <c r="J16" s="513" t="str">
        <f t="shared" si="1"/>
        <v>-</v>
      </c>
      <c r="K16" s="200" t="str">
        <f t="shared" si="2"/>
        <v>-</v>
      </c>
      <c r="L16" s="619"/>
      <c r="M16" s="471" t="e">
        <f>RANK(K16, K$7:$K$21)</f>
        <v>#VALUE!</v>
      </c>
      <c r="N16" s="604"/>
      <c r="O16" s="604"/>
      <c r="P16" s="521" t="s">
        <v>822</v>
      </c>
      <c r="Q16" s="182" t="s">
        <v>822</v>
      </c>
      <c r="R16" s="182" t="s">
        <v>822</v>
      </c>
      <c r="S16" s="522" t="e">
        <f t="shared" si="3"/>
        <v>#VALUE!</v>
      </c>
      <c r="T16" s="612"/>
      <c r="U16" s="521" t="s">
        <v>822</v>
      </c>
      <c r="V16" s="182" t="s">
        <v>822</v>
      </c>
      <c r="W16" s="182" t="s">
        <v>822</v>
      </c>
      <c r="X16" s="522" t="e">
        <f t="shared" si="5"/>
        <v>#VALUE!</v>
      </c>
      <c r="Y16" s="612"/>
      <c r="Z16" s="521" t="s">
        <v>822</v>
      </c>
      <c r="AA16" s="182" t="s">
        <v>822</v>
      </c>
      <c r="AB16" s="182" t="s">
        <v>822</v>
      </c>
      <c r="AC16" s="522" t="e">
        <f t="shared" si="7"/>
        <v>#VALUE!</v>
      </c>
      <c r="AD16" s="612"/>
      <c r="AE16" s="521" t="s">
        <v>822</v>
      </c>
      <c r="AF16" s="182" t="s">
        <v>822</v>
      </c>
      <c r="AG16" s="182" t="s">
        <v>822</v>
      </c>
      <c r="AH16" s="522" t="e">
        <f t="shared" si="9"/>
        <v>#VALUE!</v>
      </c>
      <c r="AI16" s="612"/>
      <c r="AJ16" s="521" t="s">
        <v>822</v>
      </c>
      <c r="AK16" s="182" t="s">
        <v>822</v>
      </c>
      <c r="AL16" s="182" t="s">
        <v>822</v>
      </c>
      <c r="AM16" s="522" t="e">
        <f t="shared" si="11"/>
        <v>#VALUE!</v>
      </c>
      <c r="AN16" s="612"/>
      <c r="AO16" s="521" t="s">
        <v>822</v>
      </c>
      <c r="AP16" s="182" t="s">
        <v>822</v>
      </c>
      <c r="AQ16" s="182" t="s">
        <v>822</v>
      </c>
      <c r="AR16" s="522" t="e">
        <f t="shared" si="13"/>
        <v>#VALUE!</v>
      </c>
      <c r="AS16" s="612"/>
      <c r="AT16" s="521" t="s">
        <v>822</v>
      </c>
      <c r="AU16" s="182" t="s">
        <v>822</v>
      </c>
      <c r="AV16" s="182" t="s">
        <v>822</v>
      </c>
      <c r="AW16" s="522" t="e">
        <f t="shared" si="15"/>
        <v>#VALUE!</v>
      </c>
      <c r="AX16" s="612"/>
      <c r="AZ16" s="522" t="e">
        <f t="shared" si="17"/>
        <v>#N/A</v>
      </c>
      <c r="BA16" s="612"/>
    </row>
    <row r="17" spans="2:53">
      <c r="B17" s="640"/>
      <c r="C17" s="469">
        <v>11</v>
      </c>
      <c r="D17" s="455"/>
      <c r="E17" s="472"/>
      <c r="F17" s="472"/>
      <c r="G17" s="472"/>
      <c r="H17" s="619"/>
      <c r="I17" s="513" t="str">
        <f t="shared" si="0"/>
        <v>-</v>
      </c>
      <c r="J17" s="513" t="str">
        <f t="shared" si="1"/>
        <v>-</v>
      </c>
      <c r="K17" s="200" t="str">
        <f t="shared" si="2"/>
        <v>-</v>
      </c>
      <c r="L17" s="619"/>
      <c r="M17" s="471" t="e">
        <f>RANK(K17, K$7:$K$21)</f>
        <v>#VALUE!</v>
      </c>
      <c r="N17" s="604"/>
      <c r="O17" s="604"/>
      <c r="P17" s="521" t="s">
        <v>822</v>
      </c>
      <c r="Q17" s="182" t="s">
        <v>822</v>
      </c>
      <c r="R17" s="182" t="s">
        <v>822</v>
      </c>
      <c r="S17" s="522" t="e">
        <f t="shared" si="3"/>
        <v>#VALUE!</v>
      </c>
      <c r="T17" s="612"/>
      <c r="U17" s="521" t="s">
        <v>822</v>
      </c>
      <c r="V17" s="182" t="s">
        <v>822</v>
      </c>
      <c r="W17" s="182" t="s">
        <v>822</v>
      </c>
      <c r="X17" s="522" t="e">
        <f t="shared" si="5"/>
        <v>#VALUE!</v>
      </c>
      <c r="Y17" s="612"/>
      <c r="Z17" s="521" t="s">
        <v>822</v>
      </c>
      <c r="AA17" s="182" t="s">
        <v>822</v>
      </c>
      <c r="AB17" s="182" t="s">
        <v>822</v>
      </c>
      <c r="AC17" s="522" t="e">
        <f t="shared" si="7"/>
        <v>#VALUE!</v>
      </c>
      <c r="AD17" s="612"/>
      <c r="AE17" s="521" t="s">
        <v>822</v>
      </c>
      <c r="AF17" s="182" t="s">
        <v>822</v>
      </c>
      <c r="AG17" s="182" t="s">
        <v>822</v>
      </c>
      <c r="AH17" s="522" t="e">
        <f t="shared" si="9"/>
        <v>#VALUE!</v>
      </c>
      <c r="AI17" s="612"/>
      <c r="AJ17" s="521" t="s">
        <v>822</v>
      </c>
      <c r="AK17" s="182" t="s">
        <v>822</v>
      </c>
      <c r="AL17" s="182" t="s">
        <v>822</v>
      </c>
      <c r="AM17" s="522" t="e">
        <f t="shared" si="11"/>
        <v>#VALUE!</v>
      </c>
      <c r="AN17" s="612"/>
      <c r="AO17" s="521" t="s">
        <v>822</v>
      </c>
      <c r="AP17" s="182" t="s">
        <v>822</v>
      </c>
      <c r="AQ17" s="182" t="s">
        <v>822</v>
      </c>
      <c r="AR17" s="522" t="e">
        <f t="shared" si="13"/>
        <v>#VALUE!</v>
      </c>
      <c r="AS17" s="612"/>
      <c r="AT17" s="521" t="s">
        <v>822</v>
      </c>
      <c r="AU17" s="182" t="s">
        <v>822</v>
      </c>
      <c r="AV17" s="182" t="s">
        <v>822</v>
      </c>
      <c r="AW17" s="522" t="e">
        <f t="shared" si="15"/>
        <v>#VALUE!</v>
      </c>
      <c r="AX17" s="612"/>
      <c r="AZ17" s="522" t="e">
        <f t="shared" si="17"/>
        <v>#N/A</v>
      </c>
      <c r="BA17" s="612"/>
    </row>
    <row r="18" spans="2:53">
      <c r="B18" s="640"/>
      <c r="C18" s="469">
        <v>12</v>
      </c>
      <c r="D18" s="455"/>
      <c r="E18" s="472"/>
      <c r="F18" s="472"/>
      <c r="G18" s="472"/>
      <c r="H18" s="619"/>
      <c r="I18" s="513" t="str">
        <f t="shared" si="0"/>
        <v>-</v>
      </c>
      <c r="J18" s="513" t="str">
        <f t="shared" si="1"/>
        <v>-</v>
      </c>
      <c r="K18" s="200" t="str">
        <f t="shared" si="2"/>
        <v>-</v>
      </c>
      <c r="L18" s="619"/>
      <c r="M18" s="471" t="e">
        <f>RANK(K18, K$7:$K$21)</f>
        <v>#VALUE!</v>
      </c>
      <c r="N18" s="604"/>
      <c r="O18" s="604"/>
      <c r="P18" s="521" t="s">
        <v>822</v>
      </c>
      <c r="Q18" s="182" t="s">
        <v>822</v>
      </c>
      <c r="R18" s="182" t="s">
        <v>822</v>
      </c>
      <c r="S18" s="522" t="e">
        <f t="shared" si="3"/>
        <v>#VALUE!</v>
      </c>
      <c r="T18" s="612"/>
      <c r="U18" s="521" t="s">
        <v>822</v>
      </c>
      <c r="V18" s="182" t="s">
        <v>822</v>
      </c>
      <c r="W18" s="182" t="s">
        <v>822</v>
      </c>
      <c r="X18" s="522" t="e">
        <f t="shared" si="5"/>
        <v>#VALUE!</v>
      </c>
      <c r="Y18" s="612"/>
      <c r="Z18" s="521" t="s">
        <v>822</v>
      </c>
      <c r="AA18" s="182" t="s">
        <v>822</v>
      </c>
      <c r="AB18" s="182" t="s">
        <v>822</v>
      </c>
      <c r="AC18" s="522" t="e">
        <f t="shared" si="7"/>
        <v>#VALUE!</v>
      </c>
      <c r="AD18" s="612"/>
      <c r="AE18" s="521" t="s">
        <v>822</v>
      </c>
      <c r="AF18" s="182" t="s">
        <v>822</v>
      </c>
      <c r="AG18" s="182" t="s">
        <v>822</v>
      </c>
      <c r="AH18" s="522" t="e">
        <f t="shared" si="9"/>
        <v>#VALUE!</v>
      </c>
      <c r="AI18" s="612"/>
      <c r="AJ18" s="521" t="s">
        <v>822</v>
      </c>
      <c r="AK18" s="182" t="s">
        <v>822</v>
      </c>
      <c r="AL18" s="182" t="s">
        <v>822</v>
      </c>
      <c r="AM18" s="522" t="e">
        <f t="shared" si="11"/>
        <v>#VALUE!</v>
      </c>
      <c r="AN18" s="612"/>
      <c r="AO18" s="521" t="s">
        <v>822</v>
      </c>
      <c r="AP18" s="182" t="s">
        <v>822</v>
      </c>
      <c r="AQ18" s="182" t="s">
        <v>822</v>
      </c>
      <c r="AR18" s="522" t="e">
        <f t="shared" si="13"/>
        <v>#VALUE!</v>
      </c>
      <c r="AS18" s="612"/>
      <c r="AT18" s="521" t="s">
        <v>822</v>
      </c>
      <c r="AU18" s="182" t="s">
        <v>822</v>
      </c>
      <c r="AV18" s="182" t="s">
        <v>822</v>
      </c>
      <c r="AW18" s="522" t="e">
        <f t="shared" si="15"/>
        <v>#VALUE!</v>
      </c>
      <c r="AX18" s="612"/>
      <c r="AZ18" s="522" t="e">
        <f t="shared" si="17"/>
        <v>#N/A</v>
      </c>
      <c r="BA18" s="612"/>
    </row>
    <row r="19" spans="2:53">
      <c r="B19" s="640"/>
      <c r="C19" s="469">
        <v>13</v>
      </c>
      <c r="D19" s="455"/>
      <c r="E19" s="472"/>
      <c r="F19" s="472"/>
      <c r="G19" s="472"/>
      <c r="H19" s="619"/>
      <c r="I19" s="513" t="str">
        <f t="shared" si="0"/>
        <v>-</v>
      </c>
      <c r="J19" s="513" t="str">
        <f t="shared" si="1"/>
        <v>-</v>
      </c>
      <c r="K19" s="200" t="str">
        <f t="shared" si="2"/>
        <v>-</v>
      </c>
      <c r="L19" s="619"/>
      <c r="M19" s="471" t="e">
        <f>RANK(K19, K$7:$K$21)</f>
        <v>#VALUE!</v>
      </c>
      <c r="N19" s="604"/>
      <c r="O19" s="604"/>
      <c r="P19" s="521" t="s">
        <v>822</v>
      </c>
      <c r="Q19" s="182" t="s">
        <v>822</v>
      </c>
      <c r="R19" s="182" t="s">
        <v>822</v>
      </c>
      <c r="S19" s="522" t="e">
        <f t="shared" si="3"/>
        <v>#VALUE!</v>
      </c>
      <c r="T19" s="612"/>
      <c r="U19" s="521" t="s">
        <v>822</v>
      </c>
      <c r="V19" s="182" t="s">
        <v>822</v>
      </c>
      <c r="W19" s="182" t="s">
        <v>822</v>
      </c>
      <c r="X19" s="522" t="e">
        <f t="shared" si="5"/>
        <v>#VALUE!</v>
      </c>
      <c r="Y19" s="612"/>
      <c r="Z19" s="521" t="s">
        <v>822</v>
      </c>
      <c r="AA19" s="182" t="s">
        <v>822</v>
      </c>
      <c r="AB19" s="182" t="s">
        <v>822</v>
      </c>
      <c r="AC19" s="522" t="e">
        <f t="shared" si="7"/>
        <v>#VALUE!</v>
      </c>
      <c r="AD19" s="612"/>
      <c r="AE19" s="521" t="s">
        <v>822</v>
      </c>
      <c r="AF19" s="182" t="s">
        <v>822</v>
      </c>
      <c r="AG19" s="182" t="s">
        <v>822</v>
      </c>
      <c r="AH19" s="522" t="e">
        <f t="shared" si="9"/>
        <v>#VALUE!</v>
      </c>
      <c r="AI19" s="612"/>
      <c r="AJ19" s="521" t="s">
        <v>822</v>
      </c>
      <c r="AK19" s="182" t="s">
        <v>822</v>
      </c>
      <c r="AL19" s="182" t="s">
        <v>822</v>
      </c>
      <c r="AM19" s="522" t="e">
        <f t="shared" si="11"/>
        <v>#VALUE!</v>
      </c>
      <c r="AN19" s="612"/>
      <c r="AO19" s="521" t="s">
        <v>822</v>
      </c>
      <c r="AP19" s="182" t="s">
        <v>822</v>
      </c>
      <c r="AQ19" s="182" t="s">
        <v>822</v>
      </c>
      <c r="AR19" s="522" t="e">
        <f t="shared" si="13"/>
        <v>#VALUE!</v>
      </c>
      <c r="AS19" s="612"/>
      <c r="AT19" s="521" t="s">
        <v>822</v>
      </c>
      <c r="AU19" s="182" t="s">
        <v>822</v>
      </c>
      <c r="AV19" s="182" t="s">
        <v>822</v>
      </c>
      <c r="AW19" s="522" t="e">
        <f t="shared" si="15"/>
        <v>#VALUE!</v>
      </c>
      <c r="AX19" s="612"/>
      <c r="AZ19" s="522" t="e">
        <f t="shared" si="17"/>
        <v>#N/A</v>
      </c>
      <c r="BA19" s="612"/>
    </row>
    <row r="20" spans="2:53">
      <c r="B20" s="640"/>
      <c r="C20" s="469">
        <v>14</v>
      </c>
      <c r="D20" s="455"/>
      <c r="E20" s="472"/>
      <c r="F20" s="472"/>
      <c r="G20" s="472"/>
      <c r="H20" s="619"/>
      <c r="I20" s="513" t="str">
        <f t="shared" si="0"/>
        <v>-</v>
      </c>
      <c r="J20" s="513" t="str">
        <f t="shared" si="1"/>
        <v>-</v>
      </c>
      <c r="K20" s="200" t="str">
        <f t="shared" si="2"/>
        <v>-</v>
      </c>
      <c r="L20" s="619"/>
      <c r="M20" s="471" t="e">
        <f>RANK(K20, K$7:$K$21)</f>
        <v>#VALUE!</v>
      </c>
      <c r="N20" s="604"/>
      <c r="O20" s="604"/>
      <c r="P20" s="521" t="s">
        <v>822</v>
      </c>
      <c r="Q20" s="182" t="s">
        <v>822</v>
      </c>
      <c r="R20" s="182" t="s">
        <v>822</v>
      </c>
      <c r="S20" s="522" t="e">
        <f t="shared" si="3"/>
        <v>#VALUE!</v>
      </c>
      <c r="T20" s="612"/>
      <c r="U20" s="521" t="s">
        <v>822</v>
      </c>
      <c r="V20" s="182" t="s">
        <v>822</v>
      </c>
      <c r="W20" s="182" t="s">
        <v>822</v>
      </c>
      <c r="X20" s="522" t="e">
        <f t="shared" si="5"/>
        <v>#VALUE!</v>
      </c>
      <c r="Y20" s="612"/>
      <c r="Z20" s="521" t="s">
        <v>822</v>
      </c>
      <c r="AA20" s="182" t="s">
        <v>822</v>
      </c>
      <c r="AB20" s="182" t="s">
        <v>822</v>
      </c>
      <c r="AC20" s="522" t="e">
        <f t="shared" si="7"/>
        <v>#VALUE!</v>
      </c>
      <c r="AD20" s="612"/>
      <c r="AE20" s="521" t="s">
        <v>822</v>
      </c>
      <c r="AF20" s="182" t="s">
        <v>822</v>
      </c>
      <c r="AG20" s="182" t="s">
        <v>822</v>
      </c>
      <c r="AH20" s="522" t="e">
        <f t="shared" si="9"/>
        <v>#VALUE!</v>
      </c>
      <c r="AI20" s="612"/>
      <c r="AJ20" s="521" t="s">
        <v>822</v>
      </c>
      <c r="AK20" s="182" t="s">
        <v>822</v>
      </c>
      <c r="AL20" s="182" t="s">
        <v>822</v>
      </c>
      <c r="AM20" s="522" t="e">
        <f t="shared" si="11"/>
        <v>#VALUE!</v>
      </c>
      <c r="AN20" s="612"/>
      <c r="AO20" s="521" t="s">
        <v>822</v>
      </c>
      <c r="AP20" s="182" t="s">
        <v>822</v>
      </c>
      <c r="AQ20" s="182" t="s">
        <v>822</v>
      </c>
      <c r="AR20" s="522" t="e">
        <f t="shared" si="13"/>
        <v>#VALUE!</v>
      </c>
      <c r="AS20" s="612"/>
      <c r="AT20" s="521" t="s">
        <v>822</v>
      </c>
      <c r="AU20" s="182" t="s">
        <v>822</v>
      </c>
      <c r="AV20" s="182" t="s">
        <v>822</v>
      </c>
      <c r="AW20" s="522" t="e">
        <f t="shared" si="15"/>
        <v>#VALUE!</v>
      </c>
      <c r="AX20" s="612"/>
      <c r="AZ20" s="522" t="e">
        <f t="shared" si="17"/>
        <v>#N/A</v>
      </c>
      <c r="BA20" s="612"/>
    </row>
    <row r="21" spans="2:53">
      <c r="B21" s="640"/>
      <c r="C21" s="469">
        <v>15</v>
      </c>
      <c r="D21" s="455"/>
      <c r="E21" s="472"/>
      <c r="F21" s="472"/>
      <c r="G21" s="472"/>
      <c r="H21" s="679"/>
      <c r="I21" s="469"/>
      <c r="J21" s="469"/>
      <c r="K21" s="469"/>
      <c r="L21" s="679"/>
      <c r="M21" s="471" t="e">
        <f>RANK(K21, K$7:$K$21)</f>
        <v>#N/A</v>
      </c>
      <c r="N21" s="604"/>
      <c r="O21" s="604"/>
      <c r="P21" s="521" t="s">
        <v>822</v>
      </c>
      <c r="Q21" s="182" t="s">
        <v>822</v>
      </c>
      <c r="R21" s="182" t="s">
        <v>822</v>
      </c>
      <c r="S21" s="522" t="e">
        <f t="shared" si="3"/>
        <v>#VALUE!</v>
      </c>
      <c r="T21" s="612"/>
      <c r="U21" s="521" t="s">
        <v>822</v>
      </c>
      <c r="V21" s="182" t="s">
        <v>822</v>
      </c>
      <c r="W21" s="182" t="s">
        <v>822</v>
      </c>
      <c r="X21" s="522" t="e">
        <f t="shared" si="5"/>
        <v>#VALUE!</v>
      </c>
      <c r="Y21" s="612"/>
      <c r="Z21" s="521" t="s">
        <v>822</v>
      </c>
      <c r="AA21" s="182" t="s">
        <v>822</v>
      </c>
      <c r="AB21" s="182" t="s">
        <v>822</v>
      </c>
      <c r="AC21" s="522" t="e">
        <f t="shared" si="7"/>
        <v>#VALUE!</v>
      </c>
      <c r="AD21" s="612"/>
      <c r="AE21" s="521" t="s">
        <v>822</v>
      </c>
      <c r="AF21" s="182" t="s">
        <v>822</v>
      </c>
      <c r="AG21" s="182" t="s">
        <v>822</v>
      </c>
      <c r="AH21" s="522" t="e">
        <f t="shared" si="9"/>
        <v>#VALUE!</v>
      </c>
      <c r="AI21" s="612"/>
      <c r="AJ21" s="521" t="s">
        <v>822</v>
      </c>
      <c r="AK21" s="182" t="s">
        <v>822</v>
      </c>
      <c r="AL21" s="182" t="s">
        <v>822</v>
      </c>
      <c r="AM21" s="522" t="e">
        <f t="shared" si="11"/>
        <v>#VALUE!</v>
      </c>
      <c r="AN21" s="612"/>
      <c r="AO21" s="521" t="s">
        <v>822</v>
      </c>
      <c r="AP21" s="182" t="s">
        <v>822</v>
      </c>
      <c r="AQ21" s="182" t="s">
        <v>822</v>
      </c>
      <c r="AR21" s="522" t="e">
        <f t="shared" si="13"/>
        <v>#VALUE!</v>
      </c>
      <c r="AS21" s="612"/>
      <c r="AT21" s="521" t="s">
        <v>822</v>
      </c>
      <c r="AU21" s="182" t="s">
        <v>822</v>
      </c>
      <c r="AV21" s="182" t="s">
        <v>822</v>
      </c>
      <c r="AW21" s="522" t="e">
        <f t="shared" si="15"/>
        <v>#VALUE!</v>
      </c>
      <c r="AX21" s="612"/>
      <c r="AZ21" s="522" t="e">
        <f t="shared" si="17"/>
        <v>#N/A</v>
      </c>
      <c r="BA21" s="612"/>
    </row>
    <row r="22" spans="2:53" ht="15.75">
      <c r="B22" s="648" t="s">
        <v>163</v>
      </c>
      <c r="C22" s="649"/>
      <c r="D22" s="649"/>
      <c r="E22" s="649"/>
      <c r="F22" s="649"/>
      <c r="G22" s="649"/>
      <c r="H22" s="649"/>
      <c r="I22" s="203"/>
      <c r="J22" s="203"/>
      <c r="K22" s="203"/>
      <c r="L22" s="203"/>
      <c r="M22" s="204"/>
      <c r="N22" s="606" t="s">
        <v>156</v>
      </c>
      <c r="O22" s="606" t="s">
        <v>105</v>
      </c>
      <c r="P22" s="632">
        <f>P2+7</f>
        <v>46119</v>
      </c>
      <c r="Q22" s="610"/>
      <c r="R22" s="610"/>
      <c r="S22" s="610"/>
      <c r="T22" s="610"/>
      <c r="U22" s="629">
        <f>P22+1</f>
        <v>46120</v>
      </c>
      <c r="V22" s="630"/>
      <c r="W22" s="630"/>
      <c r="X22" s="630"/>
      <c r="Y22" s="631"/>
      <c r="Z22" s="629">
        <f>U22+1</f>
        <v>46121</v>
      </c>
      <c r="AA22" s="630"/>
      <c r="AB22" s="630"/>
      <c r="AC22" s="630"/>
      <c r="AD22" s="631"/>
      <c r="AE22" s="629">
        <f>Z22+1</f>
        <v>46122</v>
      </c>
      <c r="AF22" s="630"/>
      <c r="AG22" s="630"/>
      <c r="AH22" s="630"/>
      <c r="AI22" s="631"/>
      <c r="AJ22" s="629">
        <f>AE22+1</f>
        <v>46123</v>
      </c>
      <c r="AK22" s="630"/>
      <c r="AL22" s="630"/>
      <c r="AM22" s="630"/>
      <c r="AN22" s="631"/>
      <c r="AO22" s="629">
        <f>AJ22+1</f>
        <v>46124</v>
      </c>
      <c r="AP22" s="630"/>
      <c r="AQ22" s="630"/>
      <c r="AR22" s="630"/>
      <c r="AS22" s="631"/>
      <c r="AT22" s="629">
        <f>AO22+1</f>
        <v>46125</v>
      </c>
      <c r="AU22" s="630"/>
      <c r="AV22" s="630"/>
      <c r="AW22" s="630"/>
      <c r="AX22" s="631"/>
    </row>
    <row r="23" spans="2:53" ht="15.75">
      <c r="B23" s="636"/>
      <c r="C23" s="636"/>
      <c r="D23" s="636"/>
      <c r="E23" s="636"/>
      <c r="F23" s="636"/>
      <c r="G23" s="636"/>
      <c r="H23" s="636"/>
      <c r="I23" s="205"/>
      <c r="J23" s="205"/>
      <c r="K23" s="205"/>
      <c r="L23" s="205"/>
      <c r="M23" s="206"/>
      <c r="N23" s="608"/>
      <c r="O23" s="608"/>
      <c r="P23" s="632" t="s">
        <v>336</v>
      </c>
      <c r="Q23" s="610"/>
      <c r="R23" s="610"/>
      <c r="S23" s="610"/>
      <c r="T23" s="610"/>
      <c r="U23" s="632" t="s">
        <v>337</v>
      </c>
      <c r="V23" s="610"/>
      <c r="W23" s="610"/>
      <c r="X23" s="610"/>
      <c r="Y23" s="610"/>
      <c r="Z23" s="632" t="s">
        <v>338</v>
      </c>
      <c r="AA23" s="610"/>
      <c r="AB23" s="610"/>
      <c r="AC23" s="610"/>
      <c r="AD23" s="610"/>
      <c r="AE23" s="632" t="s">
        <v>339</v>
      </c>
      <c r="AF23" s="610"/>
      <c r="AG23" s="610"/>
      <c r="AH23" s="610"/>
      <c r="AI23" s="610"/>
      <c r="AJ23" s="632" t="s">
        <v>340</v>
      </c>
      <c r="AK23" s="610"/>
      <c r="AL23" s="610"/>
      <c r="AM23" s="610"/>
      <c r="AN23" s="610"/>
      <c r="AO23" s="632" t="s">
        <v>341</v>
      </c>
      <c r="AP23" s="610"/>
      <c r="AQ23" s="610"/>
      <c r="AR23" s="610"/>
      <c r="AS23" s="610"/>
      <c r="AT23" s="632" t="s">
        <v>342</v>
      </c>
      <c r="AU23" s="610"/>
      <c r="AV23" s="610"/>
      <c r="AW23" s="610"/>
      <c r="AX23" s="610"/>
    </row>
    <row r="24" spans="2:53">
      <c r="B24" s="604" t="s">
        <v>513</v>
      </c>
      <c r="C24" s="604" t="s">
        <v>514</v>
      </c>
      <c r="D24" s="604"/>
      <c r="E24" s="604" t="s">
        <v>515</v>
      </c>
      <c r="F24" s="604"/>
      <c r="G24" s="604"/>
      <c r="H24" s="637" t="s">
        <v>486</v>
      </c>
      <c r="I24" s="656" t="s">
        <v>482</v>
      </c>
      <c r="J24" s="656"/>
      <c r="K24" s="656"/>
      <c r="L24" s="657" t="s">
        <v>395</v>
      </c>
      <c r="M24" s="642" t="s">
        <v>516</v>
      </c>
      <c r="N24" s="604"/>
      <c r="O24" s="604" t="s">
        <v>517</v>
      </c>
      <c r="P24" s="623" t="s">
        <v>484</v>
      </c>
      <c r="Q24" s="624"/>
      <c r="R24" s="624"/>
      <c r="S24" s="625"/>
      <c r="T24" s="604" t="s">
        <v>486</v>
      </c>
      <c r="U24" s="623" t="s">
        <v>484</v>
      </c>
      <c r="V24" s="624"/>
      <c r="W24" s="624"/>
      <c r="X24" s="625"/>
      <c r="Y24" s="604" t="s">
        <v>486</v>
      </c>
      <c r="Z24" s="623" t="s">
        <v>484</v>
      </c>
      <c r="AA24" s="624"/>
      <c r="AB24" s="624"/>
      <c r="AC24" s="625"/>
      <c r="AD24" s="604" t="s">
        <v>486</v>
      </c>
      <c r="AE24" s="623" t="s">
        <v>484</v>
      </c>
      <c r="AF24" s="624"/>
      <c r="AG24" s="624"/>
      <c r="AH24" s="625"/>
      <c r="AI24" s="604" t="s">
        <v>486</v>
      </c>
      <c r="AJ24" s="623" t="s">
        <v>484</v>
      </c>
      <c r="AK24" s="624"/>
      <c r="AL24" s="624"/>
      <c r="AM24" s="625"/>
      <c r="AN24" s="604" t="s">
        <v>486</v>
      </c>
      <c r="AO24" s="623" t="s">
        <v>484</v>
      </c>
      <c r="AP24" s="624"/>
      <c r="AQ24" s="624"/>
      <c r="AR24" s="625"/>
      <c r="AS24" s="604" t="s">
        <v>486</v>
      </c>
      <c r="AT24" s="623" t="s">
        <v>484</v>
      </c>
      <c r="AU24" s="624"/>
      <c r="AV24" s="624"/>
      <c r="AW24" s="625"/>
      <c r="AX24" s="604" t="s">
        <v>486</v>
      </c>
      <c r="BA24" s="604" t="s">
        <v>395</v>
      </c>
    </row>
    <row r="25" spans="2:53">
      <c r="B25" s="604"/>
      <c r="C25" s="604"/>
      <c r="D25" s="604"/>
      <c r="E25" s="604" t="s">
        <v>489</v>
      </c>
      <c r="F25" s="604"/>
      <c r="G25" s="604"/>
      <c r="H25" s="638"/>
      <c r="I25" s="656" t="s">
        <v>489</v>
      </c>
      <c r="J25" s="656"/>
      <c r="K25" s="656"/>
      <c r="L25" s="658"/>
      <c r="M25" s="643"/>
      <c r="N25" s="604"/>
      <c r="O25" s="604"/>
      <c r="P25" s="623" t="s">
        <v>490</v>
      </c>
      <c r="Q25" s="624"/>
      <c r="R25" s="624"/>
      <c r="S25" s="625"/>
      <c r="T25" s="604"/>
      <c r="U25" s="623" t="s">
        <v>490</v>
      </c>
      <c r="V25" s="624"/>
      <c r="W25" s="624"/>
      <c r="X25" s="625"/>
      <c r="Y25" s="604"/>
      <c r="Z25" s="623" t="s">
        <v>490</v>
      </c>
      <c r="AA25" s="624"/>
      <c r="AB25" s="624"/>
      <c r="AC25" s="625"/>
      <c r="AD25" s="604"/>
      <c r="AE25" s="623" t="s">
        <v>490</v>
      </c>
      <c r="AF25" s="624"/>
      <c r="AG25" s="624"/>
      <c r="AH25" s="625"/>
      <c r="AI25" s="604"/>
      <c r="AJ25" s="623" t="s">
        <v>490</v>
      </c>
      <c r="AK25" s="624"/>
      <c r="AL25" s="624"/>
      <c r="AM25" s="625"/>
      <c r="AN25" s="604"/>
      <c r="AO25" s="623" t="s">
        <v>490</v>
      </c>
      <c r="AP25" s="624"/>
      <c r="AQ25" s="624"/>
      <c r="AR25" s="625"/>
      <c r="AS25" s="604"/>
      <c r="AT25" s="623" t="s">
        <v>490</v>
      </c>
      <c r="AU25" s="624"/>
      <c r="AV25" s="624"/>
      <c r="AW25" s="625"/>
      <c r="AX25" s="604"/>
      <c r="BA25" s="604"/>
    </row>
    <row r="26" spans="2:53">
      <c r="B26" s="604"/>
      <c r="C26" s="604"/>
      <c r="D26" s="604"/>
      <c r="E26" s="316" t="s">
        <v>494</v>
      </c>
      <c r="F26" s="316" t="s">
        <v>518</v>
      </c>
      <c r="G26" s="316" t="s">
        <v>493</v>
      </c>
      <c r="H26" s="639"/>
      <c r="I26" s="315" t="s">
        <v>494</v>
      </c>
      <c r="J26" s="315" t="s">
        <v>518</v>
      </c>
      <c r="K26" s="315" t="s">
        <v>493</v>
      </c>
      <c r="L26" s="659"/>
      <c r="M26" s="644"/>
      <c r="N26" s="604"/>
      <c r="O26" s="604"/>
      <c r="P26" s="316" t="s">
        <v>494</v>
      </c>
      <c r="Q26" s="316" t="s">
        <v>518</v>
      </c>
      <c r="R26" s="316" t="s">
        <v>493</v>
      </c>
      <c r="S26" s="316" t="s">
        <v>516</v>
      </c>
      <c r="T26" s="604"/>
      <c r="U26" s="316" t="s">
        <v>494</v>
      </c>
      <c r="V26" s="316" t="s">
        <v>405</v>
      </c>
      <c r="W26" s="316" t="s">
        <v>493</v>
      </c>
      <c r="X26" s="316" t="s">
        <v>516</v>
      </c>
      <c r="Y26" s="604"/>
      <c r="Z26" s="316" t="s">
        <v>494</v>
      </c>
      <c r="AA26" s="316" t="s">
        <v>405</v>
      </c>
      <c r="AB26" s="316" t="s">
        <v>493</v>
      </c>
      <c r="AC26" s="316" t="s">
        <v>516</v>
      </c>
      <c r="AD26" s="604"/>
      <c r="AE26" s="316" t="s">
        <v>494</v>
      </c>
      <c r="AF26" s="316" t="s">
        <v>518</v>
      </c>
      <c r="AG26" s="316" t="s">
        <v>493</v>
      </c>
      <c r="AH26" s="316" t="s">
        <v>516</v>
      </c>
      <c r="AI26" s="604"/>
      <c r="AJ26" s="316" t="s">
        <v>494</v>
      </c>
      <c r="AK26" s="316" t="s">
        <v>518</v>
      </c>
      <c r="AL26" s="316" t="s">
        <v>493</v>
      </c>
      <c r="AM26" s="316" t="s">
        <v>516</v>
      </c>
      <c r="AN26" s="604"/>
      <c r="AO26" s="316" t="s">
        <v>494</v>
      </c>
      <c r="AP26" s="316" t="s">
        <v>518</v>
      </c>
      <c r="AQ26" s="316" t="s">
        <v>493</v>
      </c>
      <c r="AR26" s="316" t="s">
        <v>516</v>
      </c>
      <c r="AS26" s="604"/>
      <c r="AT26" s="316" t="s">
        <v>494</v>
      </c>
      <c r="AU26" s="316" t="s">
        <v>518</v>
      </c>
      <c r="AV26" s="316" t="s">
        <v>493</v>
      </c>
      <c r="AW26" s="316" t="s">
        <v>516</v>
      </c>
      <c r="AX26" s="604"/>
      <c r="AZ26" s="520" t="s">
        <v>396</v>
      </c>
      <c r="BA26" s="604"/>
    </row>
    <row r="27" spans="2:53">
      <c r="B27" s="604" t="s">
        <v>519</v>
      </c>
      <c r="C27" s="317">
        <v>1</v>
      </c>
      <c r="D27" s="226" t="s">
        <v>381</v>
      </c>
      <c r="E27" s="182">
        <v>7</v>
      </c>
      <c r="F27" s="511">
        <v>1500</v>
      </c>
      <c r="G27" s="512">
        <v>214.3</v>
      </c>
      <c r="H27" s="667">
        <f>AVERAGE(G27:G41)</f>
        <v>184.21428571428575</v>
      </c>
      <c r="I27" s="513">
        <f t="shared" ref="I27:I40" si="19">IFERROR(AVERAGE(P27,U27,Z27,AE27,AJ27,AO27,AT27),"-")</f>
        <v>7</v>
      </c>
      <c r="J27" s="513">
        <f t="shared" ref="J27:J40" si="20">IFERROR(AVERAGE(Q27,V27,AA27,AF27,AK27,AP27,AU27),"-")</f>
        <v>1444.1347755388135</v>
      </c>
      <c r="K27" s="200">
        <f t="shared" ref="K27:K40" si="21">IFERROR(AVERAGE(R27,W27,AB27,AG27,AL27,AQ27,AV27),"-")</f>
        <v>206.30496793411618</v>
      </c>
      <c r="L27" s="620">
        <f>IFERROR(AVERAGE(K27:K41),"-")</f>
        <v>177.45557646161072</v>
      </c>
      <c r="M27" s="201">
        <f>RANK(K27, K$27:$K$41)</f>
        <v>5</v>
      </c>
      <c r="N27" s="604"/>
      <c r="O27" s="604"/>
      <c r="P27" s="526">
        <v>7</v>
      </c>
      <c r="Q27" s="530">
        <v>1442.3999999999996</v>
      </c>
      <c r="R27" s="530">
        <v>206.05714285714279</v>
      </c>
      <c r="S27" s="526">
        <f t="shared" ref="S27:S41" si="22">RANK(R27, R$27:R$41)</f>
        <v>5</v>
      </c>
      <c r="T27" s="599">
        <f t="shared" ref="T27" si="23">AVERAGE(R27:R41)</f>
        <v>178.22385200867345</v>
      </c>
      <c r="U27" s="526">
        <v>7</v>
      </c>
      <c r="V27" s="530">
        <v>1444.1095890410957</v>
      </c>
      <c r="W27" s="530">
        <v>206.30136986301366</v>
      </c>
      <c r="X27" s="526">
        <f t="shared" ref="X27:X41" si="24">RANK(W27, W$27:W$41)</f>
        <v>3</v>
      </c>
      <c r="Y27" s="599">
        <f t="shared" ref="Y27" si="25">AVERAGE(W27:W41)</f>
        <v>177.73363800285011</v>
      </c>
      <c r="Z27" s="526">
        <v>7</v>
      </c>
      <c r="AA27" s="530">
        <v>1442.3999999999996</v>
      </c>
      <c r="AB27" s="530">
        <v>206.05714285714279</v>
      </c>
      <c r="AC27" s="526">
        <f t="shared" ref="AC27:AC41" si="26">RANK(AB27, AB$27:AB$41)</f>
        <v>5</v>
      </c>
      <c r="AD27" s="599">
        <f t="shared" ref="AD27" si="27">AVERAGE(AB27:AB41)</f>
        <v>178.22385200867345</v>
      </c>
      <c r="AE27" s="526">
        <v>7</v>
      </c>
      <c r="AF27" s="530">
        <v>1443.8709677419361</v>
      </c>
      <c r="AG27" s="530">
        <v>206.26728110599086</v>
      </c>
      <c r="AH27" s="526">
        <f t="shared" ref="AH27:AH41" si="28">RANK(AG27, AG$27:AG$41)</f>
        <v>5</v>
      </c>
      <c r="AI27" s="599">
        <f t="shared" ref="AI27" si="29">AVERAGE(AG27:AG41)</f>
        <v>178.82550634421858</v>
      </c>
      <c r="AJ27" s="526">
        <v>7</v>
      </c>
      <c r="AK27" s="530">
        <v>1424.3835616438355</v>
      </c>
      <c r="AL27" s="530">
        <v>203.48336594911936</v>
      </c>
      <c r="AM27" s="526">
        <f t="shared" ref="AM27:AM41" si="30">RANK(AL27, AL$27:AL$41)</f>
        <v>5</v>
      </c>
      <c r="AN27" s="599">
        <f t="shared" ref="AN27" si="31">AVERAGE(AL27:AL41)</f>
        <v>177.99759072244711</v>
      </c>
      <c r="AO27" s="526">
        <v>7</v>
      </c>
      <c r="AP27" s="530">
        <v>1470.3999999999996</v>
      </c>
      <c r="AQ27" s="530">
        <v>210.05714285714279</v>
      </c>
      <c r="AR27" s="526">
        <f t="shared" ref="AR27:AR41" si="32">RANK(AQ27, AQ$27:AQ$41)</f>
        <v>3</v>
      </c>
      <c r="AS27" s="599">
        <f t="shared" ref="AS27" si="33">AVERAGE(AQ27:AQ41)</f>
        <v>174.76512207679258</v>
      </c>
      <c r="AT27" s="526">
        <v>7</v>
      </c>
      <c r="AU27" s="530">
        <v>1441.3793103448274</v>
      </c>
      <c r="AV27" s="530">
        <v>205.91133004926107</v>
      </c>
      <c r="AW27" s="526">
        <f t="shared" ref="AW27:AW41" si="34">RANK(AV27, AV$27:AV$41)</f>
        <v>5</v>
      </c>
      <c r="AX27" s="599">
        <f t="shared" ref="AX27" si="35">AVERAGE(AV27:AV41)</f>
        <v>176.41947406761975</v>
      </c>
      <c r="AZ27" s="521" t="e">
        <f t="shared" ref="AZ27:AZ41" si="36">RANK(AY27, AY$27:AY$41)</f>
        <v>#N/A</v>
      </c>
      <c r="BA27" s="599" t="e">
        <f t="shared" ref="BA27" si="37">AVERAGE(AY27:AY41)</f>
        <v>#DIV/0!</v>
      </c>
    </row>
    <row r="28" spans="2:53">
      <c r="B28" s="610"/>
      <c r="C28" s="317">
        <v>2</v>
      </c>
      <c r="D28" s="226" t="s">
        <v>382</v>
      </c>
      <c r="E28" s="182">
        <v>7</v>
      </c>
      <c r="F28" s="511">
        <v>1500</v>
      </c>
      <c r="G28" s="512">
        <v>214.3</v>
      </c>
      <c r="H28" s="668"/>
      <c r="I28" s="513">
        <f t="shared" si="19"/>
        <v>7</v>
      </c>
      <c r="J28" s="513">
        <f t="shared" si="20"/>
        <v>1451.3843670634001</v>
      </c>
      <c r="K28" s="200">
        <f t="shared" si="21"/>
        <v>207.34062386620005</v>
      </c>
      <c r="L28" s="621"/>
      <c r="M28" s="201">
        <f>RANK(K28, K$27:$K$41)</f>
        <v>4</v>
      </c>
      <c r="N28" s="604"/>
      <c r="O28" s="604"/>
      <c r="P28" s="526">
        <v>7</v>
      </c>
      <c r="Q28" s="530">
        <v>1456.4102564102566</v>
      </c>
      <c r="R28" s="530">
        <v>208.05860805860809</v>
      </c>
      <c r="S28" s="526">
        <f t="shared" si="22"/>
        <v>3</v>
      </c>
      <c r="T28" s="600"/>
      <c r="U28" s="526">
        <v>7</v>
      </c>
      <c r="V28" s="530">
        <v>1442.5000000000002</v>
      </c>
      <c r="W28" s="530">
        <v>206.07142857142861</v>
      </c>
      <c r="X28" s="526">
        <f t="shared" si="24"/>
        <v>4</v>
      </c>
      <c r="Y28" s="600"/>
      <c r="Z28" s="526">
        <v>7</v>
      </c>
      <c r="AA28" s="530">
        <v>1456.4102564102566</v>
      </c>
      <c r="AB28" s="530">
        <v>208.05860805860809</v>
      </c>
      <c r="AC28" s="526">
        <f t="shared" si="26"/>
        <v>3</v>
      </c>
      <c r="AD28" s="600"/>
      <c r="AE28" s="526">
        <v>7</v>
      </c>
      <c r="AF28" s="530">
        <v>1467.5229357798164</v>
      </c>
      <c r="AG28" s="530">
        <v>209.64613368283091</v>
      </c>
      <c r="AH28" s="526">
        <f t="shared" si="28"/>
        <v>4</v>
      </c>
      <c r="AI28" s="600"/>
      <c r="AJ28" s="526">
        <v>7</v>
      </c>
      <c r="AK28" s="530">
        <v>1448.5000000000005</v>
      </c>
      <c r="AL28" s="530">
        <v>206.9285714285715</v>
      </c>
      <c r="AM28" s="526">
        <f t="shared" si="30"/>
        <v>4</v>
      </c>
      <c r="AN28" s="600"/>
      <c r="AO28" s="526">
        <v>7</v>
      </c>
      <c r="AP28" s="530">
        <v>1446.5693430656934</v>
      </c>
      <c r="AQ28" s="530">
        <v>206.65276329509905</v>
      </c>
      <c r="AR28" s="526">
        <f t="shared" si="32"/>
        <v>4</v>
      </c>
      <c r="AS28" s="600"/>
      <c r="AT28" s="526">
        <v>7</v>
      </c>
      <c r="AU28" s="530">
        <v>1441.7777777777776</v>
      </c>
      <c r="AV28" s="530">
        <v>205.96825396825395</v>
      </c>
      <c r="AW28" s="526">
        <f t="shared" si="34"/>
        <v>4</v>
      </c>
      <c r="AX28" s="600"/>
      <c r="AZ28" s="521" t="e">
        <f t="shared" si="36"/>
        <v>#N/A</v>
      </c>
      <c r="BA28" s="600"/>
    </row>
    <row r="29" spans="2:53">
      <c r="B29" s="610"/>
      <c r="C29" s="317">
        <v>3</v>
      </c>
      <c r="D29" s="226" t="s">
        <v>349</v>
      </c>
      <c r="E29" s="182">
        <v>20</v>
      </c>
      <c r="F29" s="511">
        <v>1500</v>
      </c>
      <c r="G29" s="512">
        <v>75</v>
      </c>
      <c r="H29" s="668"/>
      <c r="I29" s="513">
        <f t="shared" si="19"/>
        <v>20</v>
      </c>
      <c r="J29" s="513">
        <f t="shared" si="20"/>
        <v>1389.2054192839237</v>
      </c>
      <c r="K29" s="200">
        <f t="shared" si="21"/>
        <v>69.460270964196184</v>
      </c>
      <c r="L29" s="621"/>
      <c r="M29" s="201">
        <f>RANK(K29, K$27:$K$41)</f>
        <v>7</v>
      </c>
      <c r="N29" s="604"/>
      <c r="O29" s="604"/>
      <c r="P29" s="526">
        <v>20</v>
      </c>
      <c r="Q29" s="530">
        <v>1409.081081081081</v>
      </c>
      <c r="R29" s="530">
        <v>70.454054054054055</v>
      </c>
      <c r="S29" s="526">
        <f t="shared" si="22"/>
        <v>7</v>
      </c>
      <c r="T29" s="600"/>
      <c r="U29" s="526">
        <v>20</v>
      </c>
      <c r="V29" s="530">
        <v>1411.9065420560744</v>
      </c>
      <c r="W29" s="530">
        <v>70.595327102803722</v>
      </c>
      <c r="X29" s="526">
        <f t="shared" si="24"/>
        <v>7</v>
      </c>
      <c r="Y29" s="600"/>
      <c r="Z29" s="526">
        <v>20</v>
      </c>
      <c r="AA29" s="530">
        <v>1409.081081081081</v>
      </c>
      <c r="AB29" s="530">
        <v>70.454054054054055</v>
      </c>
      <c r="AC29" s="526">
        <f t="shared" si="26"/>
        <v>7</v>
      </c>
      <c r="AD29" s="600"/>
      <c r="AE29" s="526">
        <v>20</v>
      </c>
      <c r="AF29" s="530">
        <v>1404.0000000000005</v>
      </c>
      <c r="AG29" s="530">
        <v>70.200000000000017</v>
      </c>
      <c r="AH29" s="526">
        <f t="shared" si="28"/>
        <v>7</v>
      </c>
      <c r="AI29" s="600"/>
      <c r="AJ29" s="526">
        <v>20</v>
      </c>
      <c r="AK29" s="530">
        <v>1395.5999999999995</v>
      </c>
      <c r="AL29" s="530">
        <v>69.779999999999973</v>
      </c>
      <c r="AM29" s="526">
        <f t="shared" si="30"/>
        <v>7</v>
      </c>
      <c r="AN29" s="600"/>
      <c r="AO29" s="526">
        <v>20</v>
      </c>
      <c r="AP29" s="530">
        <v>1345.9999999999995</v>
      </c>
      <c r="AQ29" s="530">
        <v>67.299999999999983</v>
      </c>
      <c r="AR29" s="526">
        <f t="shared" si="32"/>
        <v>7</v>
      </c>
      <c r="AS29" s="600"/>
      <c r="AT29" s="526">
        <v>20</v>
      </c>
      <c r="AU29" s="530">
        <v>1348.7692307692309</v>
      </c>
      <c r="AV29" s="530">
        <v>67.438461538461553</v>
      </c>
      <c r="AW29" s="526">
        <f t="shared" si="34"/>
        <v>7</v>
      </c>
      <c r="AX29" s="600"/>
      <c r="AZ29" s="521" t="e">
        <f t="shared" si="36"/>
        <v>#N/A</v>
      </c>
      <c r="BA29" s="600"/>
    </row>
    <row r="30" spans="2:53">
      <c r="B30" s="610"/>
      <c r="C30" s="317">
        <v>4</v>
      </c>
      <c r="D30" s="226" t="s">
        <v>383</v>
      </c>
      <c r="E30" s="182">
        <v>16</v>
      </c>
      <c r="F30" s="511">
        <v>1440</v>
      </c>
      <c r="G30" s="512">
        <v>84.7</v>
      </c>
      <c r="H30" s="668"/>
      <c r="I30" s="513">
        <f t="shared" si="19"/>
        <v>16.142857142857142</v>
      </c>
      <c r="J30" s="513">
        <f t="shared" si="20"/>
        <v>1393.2153192150829</v>
      </c>
      <c r="K30" s="200">
        <f t="shared" si="21"/>
        <v>86.361990045798805</v>
      </c>
      <c r="L30" s="621"/>
      <c r="M30" s="201">
        <f>RANK(K30, K$27:$K$41)</f>
        <v>6</v>
      </c>
      <c r="N30" s="604"/>
      <c r="O30" s="604"/>
      <c r="P30" s="526">
        <v>16</v>
      </c>
      <c r="Q30" s="530">
        <v>1402.5000000000009</v>
      </c>
      <c r="R30" s="530">
        <v>87.656250000000057</v>
      </c>
      <c r="S30" s="526">
        <f t="shared" si="22"/>
        <v>6</v>
      </c>
      <c r="T30" s="600"/>
      <c r="U30" s="526">
        <v>16</v>
      </c>
      <c r="V30" s="530">
        <v>1413.4883720930231</v>
      </c>
      <c r="W30" s="530">
        <v>88.343023255813947</v>
      </c>
      <c r="X30" s="526">
        <f t="shared" si="24"/>
        <v>6</v>
      </c>
      <c r="Y30" s="600"/>
      <c r="Z30" s="526">
        <v>16</v>
      </c>
      <c r="AA30" s="530">
        <v>1402.5000000000009</v>
      </c>
      <c r="AB30" s="530">
        <v>87.656250000000057</v>
      </c>
      <c r="AC30" s="526">
        <f t="shared" si="26"/>
        <v>6</v>
      </c>
      <c r="AD30" s="600"/>
      <c r="AE30" s="526">
        <v>16</v>
      </c>
      <c r="AF30" s="530">
        <v>1423.4210526315796</v>
      </c>
      <c r="AG30" s="530">
        <v>88.963815789473728</v>
      </c>
      <c r="AH30" s="526">
        <f t="shared" si="28"/>
        <v>6</v>
      </c>
      <c r="AI30" s="600"/>
      <c r="AJ30" s="526">
        <v>16</v>
      </c>
      <c r="AK30" s="530">
        <v>1427.0454545454545</v>
      </c>
      <c r="AL30" s="530">
        <v>89.190340909090907</v>
      </c>
      <c r="AM30" s="526">
        <f t="shared" si="30"/>
        <v>6</v>
      </c>
      <c r="AN30" s="600"/>
      <c r="AO30" s="526">
        <v>16</v>
      </c>
      <c r="AP30" s="530">
        <v>1324.1584158415835</v>
      </c>
      <c r="AQ30" s="530">
        <v>82.75990099009897</v>
      </c>
      <c r="AR30" s="526">
        <f t="shared" si="32"/>
        <v>6</v>
      </c>
      <c r="AS30" s="600"/>
      <c r="AT30" s="526">
        <v>17</v>
      </c>
      <c r="AU30" s="530">
        <v>1359.3939393939388</v>
      </c>
      <c r="AV30" s="530">
        <v>79.964349376114043</v>
      </c>
      <c r="AW30" s="526">
        <f t="shared" si="34"/>
        <v>6</v>
      </c>
      <c r="AX30" s="600"/>
      <c r="AZ30" s="521" t="e">
        <f t="shared" si="36"/>
        <v>#N/A</v>
      </c>
      <c r="BA30" s="600"/>
    </row>
    <row r="31" spans="2:53">
      <c r="B31" s="610"/>
      <c r="C31" s="317">
        <v>5</v>
      </c>
      <c r="D31" s="226" t="s">
        <v>422</v>
      </c>
      <c r="E31" s="182">
        <v>7</v>
      </c>
      <c r="F31" s="511">
        <v>1500</v>
      </c>
      <c r="G31" s="512">
        <v>214.3</v>
      </c>
      <c r="H31" s="668"/>
      <c r="I31" s="513">
        <f t="shared" si="19"/>
        <v>7</v>
      </c>
      <c r="J31" s="513">
        <f t="shared" si="20"/>
        <v>1455.1310726178745</v>
      </c>
      <c r="K31" s="200">
        <f t="shared" si="21"/>
        <v>207.87586751683921</v>
      </c>
      <c r="L31" s="621"/>
      <c r="M31" s="201">
        <f>RANK(K31, K$27:$K$41)</f>
        <v>3</v>
      </c>
      <c r="N31" s="604"/>
      <c r="O31" s="604"/>
      <c r="P31" s="526">
        <v>7</v>
      </c>
      <c r="Q31" s="530">
        <v>1453.3333333333339</v>
      </c>
      <c r="R31" s="530">
        <v>207.61904761904771</v>
      </c>
      <c r="S31" s="526">
        <f t="shared" si="22"/>
        <v>4</v>
      </c>
      <c r="T31" s="600"/>
      <c r="U31" s="526">
        <v>7</v>
      </c>
      <c r="V31" s="530">
        <v>1438.5937500000002</v>
      </c>
      <c r="W31" s="530">
        <v>205.51339285714289</v>
      </c>
      <c r="X31" s="526">
        <f t="shared" si="24"/>
        <v>5</v>
      </c>
      <c r="Y31" s="600"/>
      <c r="Z31" s="526">
        <v>7</v>
      </c>
      <c r="AA31" s="530">
        <v>1453.3333333333339</v>
      </c>
      <c r="AB31" s="530">
        <v>207.61904761904771</v>
      </c>
      <c r="AC31" s="526">
        <f t="shared" si="26"/>
        <v>4</v>
      </c>
      <c r="AD31" s="600"/>
      <c r="AE31" s="526">
        <v>7</v>
      </c>
      <c r="AF31" s="530">
        <v>1469.7345132743369</v>
      </c>
      <c r="AG31" s="530">
        <v>209.96207332490528</v>
      </c>
      <c r="AH31" s="526">
        <f t="shared" si="28"/>
        <v>3</v>
      </c>
      <c r="AI31" s="600"/>
      <c r="AJ31" s="526">
        <v>7</v>
      </c>
      <c r="AK31" s="530">
        <v>1463.8983050847457</v>
      </c>
      <c r="AL31" s="530">
        <v>209.12832929782081</v>
      </c>
      <c r="AM31" s="526">
        <f t="shared" si="30"/>
        <v>2</v>
      </c>
      <c r="AN31" s="600"/>
      <c r="AO31" s="526">
        <v>7</v>
      </c>
      <c r="AP31" s="530">
        <v>1437.446808510638</v>
      </c>
      <c r="AQ31" s="530">
        <v>205.34954407294828</v>
      </c>
      <c r="AR31" s="526">
        <f t="shared" si="32"/>
        <v>5</v>
      </c>
      <c r="AS31" s="600"/>
      <c r="AT31" s="526">
        <v>7</v>
      </c>
      <c r="AU31" s="530">
        <v>1469.5774647887329</v>
      </c>
      <c r="AV31" s="530">
        <v>209.93963782696184</v>
      </c>
      <c r="AW31" s="526">
        <f t="shared" si="34"/>
        <v>3</v>
      </c>
      <c r="AX31" s="600"/>
      <c r="AZ31" s="521" t="e">
        <f t="shared" si="36"/>
        <v>#N/A</v>
      </c>
      <c r="BA31" s="600"/>
    </row>
    <row r="32" spans="2:53">
      <c r="B32" s="610"/>
      <c r="C32" s="317">
        <v>6</v>
      </c>
      <c r="D32" s="226" t="s">
        <v>794</v>
      </c>
      <c r="E32" s="182">
        <v>6</v>
      </c>
      <c r="F32" s="511">
        <v>1636</v>
      </c>
      <c r="G32" s="512">
        <v>272.60000000000002</v>
      </c>
      <c r="H32" s="668"/>
      <c r="I32" s="513">
        <f t="shared" si="19"/>
        <v>6</v>
      </c>
      <c r="J32" s="513">
        <f t="shared" si="20"/>
        <v>1529.6832648443992</v>
      </c>
      <c r="K32" s="200">
        <f t="shared" si="21"/>
        <v>254.9472108073999</v>
      </c>
      <c r="L32" s="621"/>
      <c r="M32" s="201">
        <f>RANK(K32, K$27:$K$41)</f>
        <v>1</v>
      </c>
      <c r="N32" s="604"/>
      <c r="O32" s="604"/>
      <c r="P32" s="526">
        <v>6</v>
      </c>
      <c r="Q32" s="530">
        <v>1547.5000000000002</v>
      </c>
      <c r="R32" s="530">
        <v>257.91666666666669</v>
      </c>
      <c r="S32" s="526">
        <f t="shared" si="22"/>
        <v>1</v>
      </c>
      <c r="T32" s="600"/>
      <c r="U32" s="526">
        <v>6</v>
      </c>
      <c r="V32" s="530">
        <v>1543.8655462184877</v>
      </c>
      <c r="W32" s="530">
        <v>257.31092436974797</v>
      </c>
      <c r="X32" s="526">
        <f t="shared" si="24"/>
        <v>1</v>
      </c>
      <c r="Y32" s="600"/>
      <c r="Z32" s="526">
        <v>6</v>
      </c>
      <c r="AA32" s="530">
        <v>1547.5000000000002</v>
      </c>
      <c r="AB32" s="530">
        <v>257.91666666666669</v>
      </c>
      <c r="AC32" s="526">
        <f t="shared" si="26"/>
        <v>1</v>
      </c>
      <c r="AD32" s="600"/>
      <c r="AE32" s="526">
        <v>6</v>
      </c>
      <c r="AF32" s="530">
        <v>1533.5999999999992</v>
      </c>
      <c r="AG32" s="530">
        <v>255.59999999999988</v>
      </c>
      <c r="AH32" s="526">
        <f t="shared" si="28"/>
        <v>1</v>
      </c>
      <c r="AI32" s="600"/>
      <c r="AJ32" s="526">
        <v>6</v>
      </c>
      <c r="AK32" s="530">
        <v>1557.6923076923072</v>
      </c>
      <c r="AL32" s="530">
        <v>259.61538461538453</v>
      </c>
      <c r="AM32" s="526">
        <f t="shared" si="30"/>
        <v>1</v>
      </c>
      <c r="AN32" s="600"/>
      <c r="AO32" s="526">
        <v>6</v>
      </c>
      <c r="AP32" s="530">
        <v>1445.6249999999995</v>
      </c>
      <c r="AQ32" s="530">
        <v>240.93749999999991</v>
      </c>
      <c r="AR32" s="526">
        <f t="shared" si="32"/>
        <v>1</v>
      </c>
      <c r="AS32" s="600"/>
      <c r="AT32" s="526">
        <v>6</v>
      </c>
      <c r="AU32" s="530">
        <v>1532.0000000000002</v>
      </c>
      <c r="AV32" s="530">
        <v>255.33333333333337</v>
      </c>
      <c r="AW32" s="526">
        <f t="shared" si="34"/>
        <v>1</v>
      </c>
      <c r="AX32" s="600"/>
      <c r="AZ32" s="521" t="e">
        <f t="shared" si="36"/>
        <v>#N/A</v>
      </c>
      <c r="BA32" s="600"/>
    </row>
    <row r="33" spans="2:53">
      <c r="B33" s="610"/>
      <c r="C33" s="317">
        <v>7</v>
      </c>
      <c r="D33" s="226" t="s">
        <v>765</v>
      </c>
      <c r="E33" s="182">
        <v>7</v>
      </c>
      <c r="F33" s="511">
        <v>1500</v>
      </c>
      <c r="G33" s="512">
        <v>214.3</v>
      </c>
      <c r="H33" s="668"/>
      <c r="I33" s="513">
        <f t="shared" si="19"/>
        <v>7</v>
      </c>
      <c r="J33" s="513">
        <f t="shared" si="20"/>
        <v>1469.2867286770729</v>
      </c>
      <c r="K33" s="200">
        <f t="shared" si="21"/>
        <v>209.89810409672472</v>
      </c>
      <c r="L33" s="621"/>
      <c r="M33" s="201">
        <f>RANK(K33, K$27:$K$41)</f>
        <v>2</v>
      </c>
      <c r="N33" s="604"/>
      <c r="O33" s="604"/>
      <c r="P33" s="526">
        <v>7</v>
      </c>
      <c r="Q33" s="530">
        <v>1468.6363636363635</v>
      </c>
      <c r="R33" s="530">
        <v>209.80519480519479</v>
      </c>
      <c r="S33" s="526">
        <f t="shared" si="22"/>
        <v>2</v>
      </c>
      <c r="T33" s="600"/>
      <c r="U33" s="526">
        <v>7</v>
      </c>
      <c r="V33" s="530">
        <v>1470</v>
      </c>
      <c r="W33" s="530">
        <v>210</v>
      </c>
      <c r="X33" s="526">
        <f t="shared" si="24"/>
        <v>2</v>
      </c>
      <c r="Y33" s="600"/>
      <c r="Z33" s="526">
        <v>7</v>
      </c>
      <c r="AA33" s="530">
        <v>1468.6363636363635</v>
      </c>
      <c r="AB33" s="530">
        <v>209.80519480519479</v>
      </c>
      <c r="AC33" s="526">
        <f t="shared" si="26"/>
        <v>2</v>
      </c>
      <c r="AD33" s="600"/>
      <c r="AE33" s="526">
        <v>7</v>
      </c>
      <c r="AF33" s="530">
        <v>1477.9746835443048</v>
      </c>
      <c r="AG33" s="530">
        <v>211.13924050632926</v>
      </c>
      <c r="AH33" s="526">
        <f t="shared" si="28"/>
        <v>2</v>
      </c>
      <c r="AI33" s="600"/>
      <c r="AJ33" s="526">
        <v>7</v>
      </c>
      <c r="AK33" s="530">
        <v>1454.9999999999995</v>
      </c>
      <c r="AL33" s="530">
        <v>207.8571428571428</v>
      </c>
      <c r="AM33" s="526">
        <f t="shared" si="30"/>
        <v>3</v>
      </c>
      <c r="AN33" s="600"/>
      <c r="AO33" s="526">
        <v>7</v>
      </c>
      <c r="AP33" s="530">
        <v>1472.0930232558137</v>
      </c>
      <c r="AQ33" s="530">
        <v>210.2990033222591</v>
      </c>
      <c r="AR33" s="526">
        <f t="shared" si="32"/>
        <v>2</v>
      </c>
      <c r="AS33" s="600"/>
      <c r="AT33" s="526">
        <v>7</v>
      </c>
      <c r="AU33" s="530">
        <v>1472.6666666666667</v>
      </c>
      <c r="AV33" s="530">
        <v>210.38095238095238</v>
      </c>
      <c r="AW33" s="526">
        <f t="shared" si="34"/>
        <v>2</v>
      </c>
      <c r="AX33" s="600"/>
      <c r="AZ33" s="521" t="e">
        <f t="shared" si="36"/>
        <v>#N/A</v>
      </c>
      <c r="BA33" s="600"/>
    </row>
    <row r="34" spans="2:53">
      <c r="B34" s="610"/>
      <c r="C34" s="317">
        <v>8</v>
      </c>
      <c r="D34" s="342"/>
      <c r="E34" s="518"/>
      <c r="F34" s="518"/>
      <c r="G34" s="518"/>
      <c r="H34" s="668"/>
      <c r="I34" s="513" t="str">
        <f t="shared" si="19"/>
        <v>-</v>
      </c>
      <c r="J34" s="513" t="str">
        <f t="shared" si="20"/>
        <v>-</v>
      </c>
      <c r="K34" s="200" t="str">
        <f t="shared" si="21"/>
        <v>-</v>
      </c>
      <c r="L34" s="621"/>
      <c r="M34" s="201" t="e">
        <f>RANK(K34, K$27:$K$41)</f>
        <v>#VALUE!</v>
      </c>
      <c r="N34" s="604"/>
      <c r="O34" s="604"/>
      <c r="P34" s="526" t="s">
        <v>822</v>
      </c>
      <c r="Q34" s="530" t="s">
        <v>822</v>
      </c>
      <c r="R34" s="530" t="s">
        <v>822</v>
      </c>
      <c r="S34" s="526" t="e">
        <f t="shared" si="22"/>
        <v>#VALUE!</v>
      </c>
      <c r="T34" s="600"/>
      <c r="U34" s="526" t="s">
        <v>822</v>
      </c>
      <c r="V34" s="530" t="s">
        <v>822</v>
      </c>
      <c r="W34" s="530" t="s">
        <v>822</v>
      </c>
      <c r="X34" s="526" t="e">
        <f t="shared" si="24"/>
        <v>#VALUE!</v>
      </c>
      <c r="Y34" s="600"/>
      <c r="Z34" s="526" t="s">
        <v>822</v>
      </c>
      <c r="AA34" s="530" t="s">
        <v>822</v>
      </c>
      <c r="AB34" s="530" t="s">
        <v>822</v>
      </c>
      <c r="AC34" s="526" t="e">
        <f t="shared" si="26"/>
        <v>#VALUE!</v>
      </c>
      <c r="AD34" s="600"/>
      <c r="AE34" s="526" t="s">
        <v>822</v>
      </c>
      <c r="AF34" s="530" t="s">
        <v>822</v>
      </c>
      <c r="AG34" s="530" t="s">
        <v>822</v>
      </c>
      <c r="AH34" s="526" t="e">
        <f t="shared" si="28"/>
        <v>#VALUE!</v>
      </c>
      <c r="AI34" s="600"/>
      <c r="AJ34" s="526" t="s">
        <v>822</v>
      </c>
      <c r="AK34" s="530" t="s">
        <v>822</v>
      </c>
      <c r="AL34" s="530" t="s">
        <v>822</v>
      </c>
      <c r="AM34" s="526" t="e">
        <f t="shared" si="30"/>
        <v>#VALUE!</v>
      </c>
      <c r="AN34" s="600"/>
      <c r="AO34" s="526" t="s">
        <v>822</v>
      </c>
      <c r="AP34" s="530" t="s">
        <v>822</v>
      </c>
      <c r="AQ34" s="530" t="s">
        <v>822</v>
      </c>
      <c r="AR34" s="526" t="e">
        <f t="shared" si="32"/>
        <v>#VALUE!</v>
      </c>
      <c r="AS34" s="600"/>
      <c r="AT34" s="526" t="s">
        <v>822</v>
      </c>
      <c r="AU34" s="530" t="s">
        <v>822</v>
      </c>
      <c r="AV34" s="530" t="s">
        <v>822</v>
      </c>
      <c r="AW34" s="526" t="e">
        <f t="shared" si="34"/>
        <v>#VALUE!</v>
      </c>
      <c r="AX34" s="600"/>
      <c r="AZ34" s="521" t="e">
        <f t="shared" si="36"/>
        <v>#N/A</v>
      </c>
      <c r="BA34" s="600"/>
    </row>
    <row r="35" spans="2:53">
      <c r="B35" s="610"/>
      <c r="C35" s="317">
        <v>9</v>
      </c>
      <c r="D35" s="455"/>
      <c r="E35" s="518"/>
      <c r="F35" s="518"/>
      <c r="G35" s="518"/>
      <c r="H35" s="668"/>
      <c r="I35" s="513" t="str">
        <f t="shared" si="19"/>
        <v>-</v>
      </c>
      <c r="J35" s="513" t="str">
        <f t="shared" si="20"/>
        <v>-</v>
      </c>
      <c r="K35" s="200" t="str">
        <f t="shared" si="21"/>
        <v>-</v>
      </c>
      <c r="L35" s="621"/>
      <c r="M35" s="201" t="e">
        <f>RANK(K35, K$27:$K$41)</f>
        <v>#VALUE!</v>
      </c>
      <c r="N35" s="604"/>
      <c r="O35" s="604"/>
      <c r="P35" s="526" t="s">
        <v>822</v>
      </c>
      <c r="Q35" s="530" t="s">
        <v>822</v>
      </c>
      <c r="R35" s="530" t="s">
        <v>822</v>
      </c>
      <c r="S35" s="526" t="e">
        <f t="shared" si="22"/>
        <v>#VALUE!</v>
      </c>
      <c r="T35" s="600"/>
      <c r="U35" s="526" t="s">
        <v>822</v>
      </c>
      <c r="V35" s="530" t="s">
        <v>822</v>
      </c>
      <c r="W35" s="530" t="s">
        <v>822</v>
      </c>
      <c r="X35" s="526" t="e">
        <f t="shared" si="24"/>
        <v>#VALUE!</v>
      </c>
      <c r="Y35" s="600"/>
      <c r="Z35" s="526" t="s">
        <v>822</v>
      </c>
      <c r="AA35" s="530" t="s">
        <v>822</v>
      </c>
      <c r="AB35" s="530" t="s">
        <v>822</v>
      </c>
      <c r="AC35" s="526" t="e">
        <f t="shared" si="26"/>
        <v>#VALUE!</v>
      </c>
      <c r="AD35" s="600"/>
      <c r="AE35" s="526" t="s">
        <v>822</v>
      </c>
      <c r="AF35" s="530" t="s">
        <v>822</v>
      </c>
      <c r="AG35" s="530" t="s">
        <v>822</v>
      </c>
      <c r="AH35" s="526" t="e">
        <f t="shared" si="28"/>
        <v>#VALUE!</v>
      </c>
      <c r="AI35" s="600"/>
      <c r="AJ35" s="526" t="s">
        <v>822</v>
      </c>
      <c r="AK35" s="530" t="s">
        <v>822</v>
      </c>
      <c r="AL35" s="530" t="s">
        <v>822</v>
      </c>
      <c r="AM35" s="526" t="e">
        <f t="shared" si="30"/>
        <v>#VALUE!</v>
      </c>
      <c r="AN35" s="600"/>
      <c r="AO35" s="526" t="s">
        <v>822</v>
      </c>
      <c r="AP35" s="530" t="s">
        <v>822</v>
      </c>
      <c r="AQ35" s="530" t="s">
        <v>822</v>
      </c>
      <c r="AR35" s="526" t="e">
        <f t="shared" si="32"/>
        <v>#VALUE!</v>
      </c>
      <c r="AS35" s="600"/>
      <c r="AT35" s="526" t="s">
        <v>822</v>
      </c>
      <c r="AU35" s="530" t="s">
        <v>822</v>
      </c>
      <c r="AV35" s="530" t="s">
        <v>822</v>
      </c>
      <c r="AW35" s="526" t="e">
        <f t="shared" si="34"/>
        <v>#VALUE!</v>
      </c>
      <c r="AX35" s="600"/>
      <c r="AZ35" s="521" t="e">
        <f t="shared" si="36"/>
        <v>#N/A</v>
      </c>
      <c r="BA35" s="600"/>
    </row>
    <row r="36" spans="2:53">
      <c r="B36" s="610"/>
      <c r="C36" s="317">
        <v>10</v>
      </c>
      <c r="D36" s="455"/>
      <c r="E36" s="518"/>
      <c r="F36" s="518"/>
      <c r="G36" s="518"/>
      <c r="H36" s="668"/>
      <c r="I36" s="513" t="str">
        <f t="shared" si="19"/>
        <v>-</v>
      </c>
      <c r="J36" s="513" t="str">
        <f t="shared" si="20"/>
        <v>-</v>
      </c>
      <c r="K36" s="200" t="str">
        <f t="shared" si="21"/>
        <v>-</v>
      </c>
      <c r="L36" s="621"/>
      <c r="M36" s="201" t="e">
        <f>RANK(K36, K$27:$K$41)</f>
        <v>#VALUE!</v>
      </c>
      <c r="N36" s="604"/>
      <c r="O36" s="604"/>
      <c r="P36" s="526" t="s">
        <v>822</v>
      </c>
      <c r="Q36" s="530" t="s">
        <v>822</v>
      </c>
      <c r="R36" s="530" t="s">
        <v>822</v>
      </c>
      <c r="S36" s="526" t="e">
        <f t="shared" si="22"/>
        <v>#VALUE!</v>
      </c>
      <c r="T36" s="600"/>
      <c r="U36" s="526" t="s">
        <v>822</v>
      </c>
      <c r="V36" s="530" t="s">
        <v>822</v>
      </c>
      <c r="W36" s="530" t="s">
        <v>822</v>
      </c>
      <c r="X36" s="526" t="e">
        <f t="shared" si="24"/>
        <v>#VALUE!</v>
      </c>
      <c r="Y36" s="600"/>
      <c r="Z36" s="526" t="s">
        <v>822</v>
      </c>
      <c r="AA36" s="530" t="s">
        <v>822</v>
      </c>
      <c r="AB36" s="530" t="s">
        <v>822</v>
      </c>
      <c r="AC36" s="526" t="e">
        <f t="shared" si="26"/>
        <v>#VALUE!</v>
      </c>
      <c r="AD36" s="600"/>
      <c r="AE36" s="526" t="s">
        <v>822</v>
      </c>
      <c r="AF36" s="530" t="s">
        <v>822</v>
      </c>
      <c r="AG36" s="530" t="s">
        <v>822</v>
      </c>
      <c r="AH36" s="526" t="e">
        <f t="shared" si="28"/>
        <v>#VALUE!</v>
      </c>
      <c r="AI36" s="600"/>
      <c r="AJ36" s="526" t="s">
        <v>822</v>
      </c>
      <c r="AK36" s="530" t="s">
        <v>822</v>
      </c>
      <c r="AL36" s="530" t="s">
        <v>822</v>
      </c>
      <c r="AM36" s="526" t="e">
        <f t="shared" si="30"/>
        <v>#VALUE!</v>
      </c>
      <c r="AN36" s="600"/>
      <c r="AO36" s="526" t="s">
        <v>822</v>
      </c>
      <c r="AP36" s="530" t="s">
        <v>822</v>
      </c>
      <c r="AQ36" s="530" t="s">
        <v>822</v>
      </c>
      <c r="AR36" s="526" t="e">
        <f t="shared" si="32"/>
        <v>#VALUE!</v>
      </c>
      <c r="AS36" s="600"/>
      <c r="AT36" s="526" t="s">
        <v>822</v>
      </c>
      <c r="AU36" s="530" t="s">
        <v>822</v>
      </c>
      <c r="AV36" s="530" t="s">
        <v>822</v>
      </c>
      <c r="AW36" s="526" t="e">
        <f t="shared" si="34"/>
        <v>#VALUE!</v>
      </c>
      <c r="AX36" s="600"/>
      <c r="AZ36" s="521" t="e">
        <f t="shared" si="36"/>
        <v>#N/A</v>
      </c>
      <c r="BA36" s="600"/>
    </row>
    <row r="37" spans="2:53">
      <c r="B37" s="610"/>
      <c r="C37" s="317">
        <v>11</v>
      </c>
      <c r="D37" s="455"/>
      <c r="E37" s="518"/>
      <c r="F37" s="518"/>
      <c r="G37" s="518"/>
      <c r="H37" s="668"/>
      <c r="I37" s="513" t="str">
        <f t="shared" si="19"/>
        <v>-</v>
      </c>
      <c r="J37" s="513" t="str">
        <f t="shared" si="20"/>
        <v>-</v>
      </c>
      <c r="K37" s="200" t="str">
        <f t="shared" si="21"/>
        <v>-</v>
      </c>
      <c r="L37" s="621"/>
      <c r="M37" s="201" t="e">
        <f>RANK(K37, K$27:$K$41)</f>
        <v>#VALUE!</v>
      </c>
      <c r="N37" s="604"/>
      <c r="O37" s="604"/>
      <c r="P37" s="526" t="s">
        <v>822</v>
      </c>
      <c r="Q37" s="530" t="s">
        <v>822</v>
      </c>
      <c r="R37" s="530" t="s">
        <v>822</v>
      </c>
      <c r="S37" s="526" t="e">
        <f t="shared" si="22"/>
        <v>#VALUE!</v>
      </c>
      <c r="T37" s="600"/>
      <c r="U37" s="526" t="s">
        <v>822</v>
      </c>
      <c r="V37" s="530" t="s">
        <v>822</v>
      </c>
      <c r="W37" s="530" t="s">
        <v>822</v>
      </c>
      <c r="X37" s="526" t="e">
        <f t="shared" si="24"/>
        <v>#VALUE!</v>
      </c>
      <c r="Y37" s="600"/>
      <c r="Z37" s="526" t="s">
        <v>822</v>
      </c>
      <c r="AA37" s="530" t="s">
        <v>822</v>
      </c>
      <c r="AB37" s="530" t="s">
        <v>822</v>
      </c>
      <c r="AC37" s="526" t="e">
        <f t="shared" si="26"/>
        <v>#VALUE!</v>
      </c>
      <c r="AD37" s="600"/>
      <c r="AE37" s="526" t="s">
        <v>822</v>
      </c>
      <c r="AF37" s="530" t="s">
        <v>822</v>
      </c>
      <c r="AG37" s="530" t="s">
        <v>822</v>
      </c>
      <c r="AH37" s="526" t="e">
        <f t="shared" si="28"/>
        <v>#VALUE!</v>
      </c>
      <c r="AI37" s="600"/>
      <c r="AJ37" s="526" t="s">
        <v>822</v>
      </c>
      <c r="AK37" s="530" t="s">
        <v>822</v>
      </c>
      <c r="AL37" s="530" t="s">
        <v>822</v>
      </c>
      <c r="AM37" s="526" t="e">
        <f t="shared" si="30"/>
        <v>#VALUE!</v>
      </c>
      <c r="AN37" s="600"/>
      <c r="AO37" s="526" t="s">
        <v>822</v>
      </c>
      <c r="AP37" s="530" t="s">
        <v>822</v>
      </c>
      <c r="AQ37" s="530" t="s">
        <v>822</v>
      </c>
      <c r="AR37" s="526" t="e">
        <f t="shared" si="32"/>
        <v>#VALUE!</v>
      </c>
      <c r="AS37" s="600"/>
      <c r="AT37" s="526" t="s">
        <v>822</v>
      </c>
      <c r="AU37" s="530" t="s">
        <v>822</v>
      </c>
      <c r="AV37" s="530" t="s">
        <v>822</v>
      </c>
      <c r="AW37" s="526" t="e">
        <f t="shared" si="34"/>
        <v>#VALUE!</v>
      </c>
      <c r="AX37" s="600"/>
      <c r="AZ37" s="521" t="e">
        <f t="shared" si="36"/>
        <v>#N/A</v>
      </c>
      <c r="BA37" s="600"/>
    </row>
    <row r="38" spans="2:53">
      <c r="B38" s="610"/>
      <c r="C38" s="317">
        <v>12</v>
      </c>
      <c r="D38" s="455"/>
      <c r="E38" s="518"/>
      <c r="F38" s="518"/>
      <c r="G38" s="518"/>
      <c r="H38" s="668"/>
      <c r="I38" s="513" t="str">
        <f t="shared" si="19"/>
        <v>-</v>
      </c>
      <c r="J38" s="513" t="str">
        <f t="shared" si="20"/>
        <v>-</v>
      </c>
      <c r="K38" s="200" t="str">
        <f t="shared" si="21"/>
        <v>-</v>
      </c>
      <c r="L38" s="621"/>
      <c r="M38" s="201" t="e">
        <f>RANK(K38, K$27:$K$41)</f>
        <v>#VALUE!</v>
      </c>
      <c r="N38" s="604"/>
      <c r="O38" s="604"/>
      <c r="P38" s="526" t="s">
        <v>822</v>
      </c>
      <c r="Q38" s="530" t="s">
        <v>822</v>
      </c>
      <c r="R38" s="530" t="s">
        <v>822</v>
      </c>
      <c r="S38" s="526" t="e">
        <f t="shared" si="22"/>
        <v>#VALUE!</v>
      </c>
      <c r="T38" s="600"/>
      <c r="U38" s="526" t="s">
        <v>822</v>
      </c>
      <c r="V38" s="530" t="s">
        <v>822</v>
      </c>
      <c r="W38" s="530" t="s">
        <v>822</v>
      </c>
      <c r="X38" s="526" t="e">
        <f t="shared" si="24"/>
        <v>#VALUE!</v>
      </c>
      <c r="Y38" s="600"/>
      <c r="Z38" s="526" t="s">
        <v>822</v>
      </c>
      <c r="AA38" s="530" t="s">
        <v>822</v>
      </c>
      <c r="AB38" s="530" t="s">
        <v>822</v>
      </c>
      <c r="AC38" s="526" t="e">
        <f t="shared" si="26"/>
        <v>#VALUE!</v>
      </c>
      <c r="AD38" s="600"/>
      <c r="AE38" s="526" t="s">
        <v>822</v>
      </c>
      <c r="AF38" s="530" t="s">
        <v>822</v>
      </c>
      <c r="AG38" s="530" t="s">
        <v>822</v>
      </c>
      <c r="AH38" s="526" t="e">
        <f t="shared" si="28"/>
        <v>#VALUE!</v>
      </c>
      <c r="AI38" s="600"/>
      <c r="AJ38" s="526" t="s">
        <v>822</v>
      </c>
      <c r="AK38" s="530" t="s">
        <v>822</v>
      </c>
      <c r="AL38" s="530" t="s">
        <v>822</v>
      </c>
      <c r="AM38" s="526" t="e">
        <f t="shared" si="30"/>
        <v>#VALUE!</v>
      </c>
      <c r="AN38" s="600"/>
      <c r="AO38" s="526" t="s">
        <v>822</v>
      </c>
      <c r="AP38" s="530" t="s">
        <v>822</v>
      </c>
      <c r="AQ38" s="530" t="s">
        <v>822</v>
      </c>
      <c r="AR38" s="526" t="e">
        <f t="shared" si="32"/>
        <v>#VALUE!</v>
      </c>
      <c r="AS38" s="600"/>
      <c r="AT38" s="526" t="s">
        <v>822</v>
      </c>
      <c r="AU38" s="530" t="s">
        <v>822</v>
      </c>
      <c r="AV38" s="530" t="s">
        <v>822</v>
      </c>
      <c r="AW38" s="526" t="e">
        <f t="shared" si="34"/>
        <v>#VALUE!</v>
      </c>
      <c r="AX38" s="600"/>
      <c r="AZ38" s="521" t="e">
        <f t="shared" si="36"/>
        <v>#N/A</v>
      </c>
      <c r="BA38" s="600"/>
    </row>
    <row r="39" spans="2:53">
      <c r="B39" s="610"/>
      <c r="C39" s="317">
        <v>13</v>
      </c>
      <c r="D39" s="455"/>
      <c r="E39" s="518"/>
      <c r="F39" s="518"/>
      <c r="G39" s="518"/>
      <c r="H39" s="668"/>
      <c r="I39" s="513" t="str">
        <f t="shared" si="19"/>
        <v>-</v>
      </c>
      <c r="J39" s="513" t="str">
        <f t="shared" si="20"/>
        <v>-</v>
      </c>
      <c r="K39" s="200" t="str">
        <f t="shared" si="21"/>
        <v>-</v>
      </c>
      <c r="L39" s="621"/>
      <c r="M39" s="201" t="e">
        <f>RANK(K39, K$27:$K$41)</f>
        <v>#VALUE!</v>
      </c>
      <c r="N39" s="604"/>
      <c r="O39" s="604"/>
      <c r="P39" s="526" t="s">
        <v>822</v>
      </c>
      <c r="Q39" s="530" t="s">
        <v>822</v>
      </c>
      <c r="R39" s="530" t="s">
        <v>822</v>
      </c>
      <c r="S39" s="526" t="e">
        <f t="shared" si="22"/>
        <v>#VALUE!</v>
      </c>
      <c r="T39" s="600"/>
      <c r="U39" s="526" t="s">
        <v>822</v>
      </c>
      <c r="V39" s="530" t="s">
        <v>822</v>
      </c>
      <c r="W39" s="530" t="s">
        <v>822</v>
      </c>
      <c r="X39" s="526" t="e">
        <f t="shared" si="24"/>
        <v>#VALUE!</v>
      </c>
      <c r="Y39" s="600"/>
      <c r="Z39" s="526" t="s">
        <v>822</v>
      </c>
      <c r="AA39" s="530" t="s">
        <v>822</v>
      </c>
      <c r="AB39" s="530" t="s">
        <v>822</v>
      </c>
      <c r="AC39" s="526" t="e">
        <f t="shared" si="26"/>
        <v>#VALUE!</v>
      </c>
      <c r="AD39" s="600"/>
      <c r="AE39" s="526" t="s">
        <v>822</v>
      </c>
      <c r="AF39" s="530" t="s">
        <v>822</v>
      </c>
      <c r="AG39" s="530" t="s">
        <v>822</v>
      </c>
      <c r="AH39" s="526" t="e">
        <f t="shared" si="28"/>
        <v>#VALUE!</v>
      </c>
      <c r="AI39" s="600"/>
      <c r="AJ39" s="526" t="s">
        <v>822</v>
      </c>
      <c r="AK39" s="530" t="s">
        <v>822</v>
      </c>
      <c r="AL39" s="530" t="s">
        <v>822</v>
      </c>
      <c r="AM39" s="526" t="e">
        <f t="shared" si="30"/>
        <v>#VALUE!</v>
      </c>
      <c r="AN39" s="600"/>
      <c r="AO39" s="526" t="s">
        <v>822</v>
      </c>
      <c r="AP39" s="530" t="s">
        <v>822</v>
      </c>
      <c r="AQ39" s="530" t="s">
        <v>822</v>
      </c>
      <c r="AR39" s="526" t="e">
        <f t="shared" si="32"/>
        <v>#VALUE!</v>
      </c>
      <c r="AS39" s="600"/>
      <c r="AT39" s="526" t="s">
        <v>822</v>
      </c>
      <c r="AU39" s="530" t="s">
        <v>822</v>
      </c>
      <c r="AV39" s="530" t="s">
        <v>822</v>
      </c>
      <c r="AW39" s="526" t="e">
        <f t="shared" si="34"/>
        <v>#VALUE!</v>
      </c>
      <c r="AX39" s="600"/>
      <c r="AZ39" s="521" t="e">
        <f t="shared" si="36"/>
        <v>#N/A</v>
      </c>
      <c r="BA39" s="600"/>
    </row>
    <row r="40" spans="2:53">
      <c r="B40" s="610"/>
      <c r="C40" s="317">
        <v>14</v>
      </c>
      <c r="D40" s="455"/>
      <c r="E40" s="518"/>
      <c r="F40" s="518"/>
      <c r="G40" s="518"/>
      <c r="H40" s="668"/>
      <c r="I40" s="513" t="str">
        <f t="shared" si="19"/>
        <v>-</v>
      </c>
      <c r="J40" s="513" t="str">
        <f t="shared" si="20"/>
        <v>-</v>
      </c>
      <c r="K40" s="200" t="str">
        <f t="shared" si="21"/>
        <v>-</v>
      </c>
      <c r="L40" s="621"/>
      <c r="M40" s="201" t="e">
        <f>RANK(K40, K$27:$K$41)</f>
        <v>#VALUE!</v>
      </c>
      <c r="N40" s="604"/>
      <c r="O40" s="604"/>
      <c r="P40" s="526" t="s">
        <v>822</v>
      </c>
      <c r="Q40" s="530" t="s">
        <v>822</v>
      </c>
      <c r="R40" s="530" t="s">
        <v>822</v>
      </c>
      <c r="S40" s="526" t="e">
        <f t="shared" si="22"/>
        <v>#VALUE!</v>
      </c>
      <c r="T40" s="600"/>
      <c r="U40" s="526" t="s">
        <v>822</v>
      </c>
      <c r="V40" s="530" t="s">
        <v>822</v>
      </c>
      <c r="W40" s="530" t="s">
        <v>822</v>
      </c>
      <c r="X40" s="526" t="e">
        <f t="shared" si="24"/>
        <v>#VALUE!</v>
      </c>
      <c r="Y40" s="600"/>
      <c r="Z40" s="526" t="s">
        <v>822</v>
      </c>
      <c r="AA40" s="530" t="s">
        <v>822</v>
      </c>
      <c r="AB40" s="530" t="s">
        <v>822</v>
      </c>
      <c r="AC40" s="526" t="e">
        <f t="shared" si="26"/>
        <v>#VALUE!</v>
      </c>
      <c r="AD40" s="600"/>
      <c r="AE40" s="526" t="s">
        <v>822</v>
      </c>
      <c r="AF40" s="530" t="s">
        <v>822</v>
      </c>
      <c r="AG40" s="530" t="s">
        <v>822</v>
      </c>
      <c r="AH40" s="526" t="e">
        <f t="shared" si="28"/>
        <v>#VALUE!</v>
      </c>
      <c r="AI40" s="600"/>
      <c r="AJ40" s="526" t="s">
        <v>822</v>
      </c>
      <c r="AK40" s="530" t="s">
        <v>822</v>
      </c>
      <c r="AL40" s="530" t="s">
        <v>822</v>
      </c>
      <c r="AM40" s="526" t="e">
        <f t="shared" si="30"/>
        <v>#VALUE!</v>
      </c>
      <c r="AN40" s="600"/>
      <c r="AO40" s="526" t="s">
        <v>822</v>
      </c>
      <c r="AP40" s="530" t="s">
        <v>822</v>
      </c>
      <c r="AQ40" s="530" t="s">
        <v>822</v>
      </c>
      <c r="AR40" s="526" t="e">
        <f t="shared" si="32"/>
        <v>#VALUE!</v>
      </c>
      <c r="AS40" s="600"/>
      <c r="AT40" s="526" t="s">
        <v>822</v>
      </c>
      <c r="AU40" s="530" t="s">
        <v>822</v>
      </c>
      <c r="AV40" s="530" t="s">
        <v>822</v>
      </c>
      <c r="AW40" s="526" t="e">
        <f t="shared" si="34"/>
        <v>#VALUE!</v>
      </c>
      <c r="AX40" s="600"/>
      <c r="AZ40" s="521" t="e">
        <f t="shared" si="36"/>
        <v>#N/A</v>
      </c>
      <c r="BA40" s="600"/>
    </row>
    <row r="41" spans="2:53">
      <c r="B41" s="610"/>
      <c r="C41" s="317">
        <v>15</v>
      </c>
      <c r="D41" s="455"/>
      <c r="E41" s="518"/>
      <c r="F41" s="518"/>
      <c r="G41" s="518"/>
      <c r="H41" s="669"/>
      <c r="I41" s="517"/>
      <c r="J41" s="517"/>
      <c r="K41" s="517"/>
      <c r="L41" s="622"/>
      <c r="M41" s="199" t="e">
        <f>RANK(K41, K$27:$K$41)</f>
        <v>#N/A</v>
      </c>
      <c r="N41" s="604"/>
      <c r="O41" s="604"/>
      <c r="P41" s="526" t="s">
        <v>822</v>
      </c>
      <c r="Q41" s="530" t="s">
        <v>822</v>
      </c>
      <c r="R41" s="530" t="s">
        <v>822</v>
      </c>
      <c r="S41" s="526" t="e">
        <f t="shared" si="22"/>
        <v>#VALUE!</v>
      </c>
      <c r="T41" s="601"/>
      <c r="U41" s="526" t="s">
        <v>822</v>
      </c>
      <c r="V41" s="530" t="s">
        <v>822</v>
      </c>
      <c r="W41" s="530" t="s">
        <v>822</v>
      </c>
      <c r="X41" s="526" t="e">
        <f t="shared" si="24"/>
        <v>#VALUE!</v>
      </c>
      <c r="Y41" s="601"/>
      <c r="Z41" s="526" t="s">
        <v>822</v>
      </c>
      <c r="AA41" s="530" t="s">
        <v>822</v>
      </c>
      <c r="AB41" s="530" t="s">
        <v>822</v>
      </c>
      <c r="AC41" s="526" t="e">
        <f t="shared" si="26"/>
        <v>#VALUE!</v>
      </c>
      <c r="AD41" s="601"/>
      <c r="AE41" s="526" t="s">
        <v>822</v>
      </c>
      <c r="AF41" s="530" t="s">
        <v>822</v>
      </c>
      <c r="AG41" s="530" t="s">
        <v>822</v>
      </c>
      <c r="AH41" s="526" t="e">
        <f t="shared" si="28"/>
        <v>#VALUE!</v>
      </c>
      <c r="AI41" s="601"/>
      <c r="AJ41" s="526" t="s">
        <v>822</v>
      </c>
      <c r="AK41" s="530" t="s">
        <v>822</v>
      </c>
      <c r="AL41" s="530" t="s">
        <v>822</v>
      </c>
      <c r="AM41" s="526" t="e">
        <f t="shared" si="30"/>
        <v>#VALUE!</v>
      </c>
      <c r="AN41" s="601"/>
      <c r="AO41" s="526" t="s">
        <v>822</v>
      </c>
      <c r="AP41" s="530" t="s">
        <v>822</v>
      </c>
      <c r="AQ41" s="530" t="s">
        <v>822</v>
      </c>
      <c r="AR41" s="526" t="e">
        <f t="shared" si="32"/>
        <v>#VALUE!</v>
      </c>
      <c r="AS41" s="601"/>
      <c r="AT41" s="526" t="s">
        <v>822</v>
      </c>
      <c r="AU41" s="530" t="s">
        <v>822</v>
      </c>
      <c r="AV41" s="530" t="s">
        <v>822</v>
      </c>
      <c r="AW41" s="526" t="e">
        <f t="shared" si="34"/>
        <v>#VALUE!</v>
      </c>
      <c r="AX41" s="601"/>
      <c r="AZ41" s="521" t="e">
        <f t="shared" si="36"/>
        <v>#N/A</v>
      </c>
      <c r="BA41" s="601"/>
    </row>
    <row r="42" spans="2:53" ht="15.75">
      <c r="B42" s="648" t="s">
        <v>163</v>
      </c>
      <c r="C42" s="649"/>
      <c r="D42" s="649"/>
      <c r="E42" s="649"/>
      <c r="F42" s="649"/>
      <c r="G42" s="649"/>
      <c r="H42" s="649"/>
      <c r="I42" s="208"/>
      <c r="J42" s="203"/>
      <c r="K42" s="208"/>
      <c r="L42" s="208"/>
      <c r="M42" s="204"/>
      <c r="N42" s="606" t="s">
        <v>156</v>
      </c>
      <c r="O42" s="606" t="s">
        <v>105</v>
      </c>
      <c r="P42" s="632">
        <f>P22+7</f>
        <v>46126</v>
      </c>
      <c r="Q42" s="610"/>
      <c r="R42" s="610"/>
      <c r="S42" s="610"/>
      <c r="T42" s="610"/>
      <c r="U42" s="629">
        <f>P42+1</f>
        <v>46127</v>
      </c>
      <c r="V42" s="630"/>
      <c r="W42" s="630"/>
      <c r="X42" s="630"/>
      <c r="Y42" s="631"/>
      <c r="Z42" s="629">
        <f>U42+1</f>
        <v>46128</v>
      </c>
      <c r="AA42" s="630"/>
      <c r="AB42" s="630"/>
      <c r="AC42" s="630"/>
      <c r="AD42" s="631"/>
      <c r="AE42" s="629">
        <f>Z42+1</f>
        <v>46129</v>
      </c>
      <c r="AF42" s="630"/>
      <c r="AG42" s="630"/>
      <c r="AH42" s="630"/>
      <c r="AI42" s="631"/>
      <c r="AJ42" s="629">
        <f>AE42+1</f>
        <v>46130</v>
      </c>
      <c r="AK42" s="630"/>
      <c r="AL42" s="630"/>
      <c r="AM42" s="630"/>
      <c r="AN42" s="631"/>
      <c r="AO42" s="629">
        <f>AJ42+1</f>
        <v>46131</v>
      </c>
      <c r="AP42" s="630"/>
      <c r="AQ42" s="630"/>
      <c r="AR42" s="630"/>
      <c r="AS42" s="631"/>
      <c r="AT42" s="629">
        <f>AO42+1</f>
        <v>46132</v>
      </c>
      <c r="AU42" s="630"/>
      <c r="AV42" s="630"/>
      <c r="AW42" s="630"/>
      <c r="AX42" s="631"/>
    </row>
    <row r="43" spans="2:53" ht="15.75">
      <c r="B43" s="636"/>
      <c r="C43" s="636"/>
      <c r="D43" s="636"/>
      <c r="E43" s="636"/>
      <c r="F43" s="636"/>
      <c r="G43" s="636"/>
      <c r="H43" s="636"/>
      <c r="I43" s="205"/>
      <c r="J43" s="205"/>
      <c r="K43" s="205"/>
      <c r="L43" s="205"/>
      <c r="M43" s="206"/>
      <c r="N43" s="608"/>
      <c r="O43" s="608"/>
      <c r="P43" s="632" t="s">
        <v>336</v>
      </c>
      <c r="Q43" s="610"/>
      <c r="R43" s="610"/>
      <c r="S43" s="610"/>
      <c r="T43" s="610"/>
      <c r="U43" s="632" t="s">
        <v>337</v>
      </c>
      <c r="V43" s="610"/>
      <c r="W43" s="610"/>
      <c r="X43" s="610"/>
      <c r="Y43" s="610"/>
      <c r="Z43" s="632" t="s">
        <v>338</v>
      </c>
      <c r="AA43" s="610"/>
      <c r="AB43" s="610"/>
      <c r="AC43" s="610"/>
      <c r="AD43" s="610"/>
      <c r="AE43" s="632" t="s">
        <v>339</v>
      </c>
      <c r="AF43" s="610"/>
      <c r="AG43" s="610"/>
      <c r="AH43" s="610"/>
      <c r="AI43" s="610"/>
      <c r="AJ43" s="632" t="s">
        <v>340</v>
      </c>
      <c r="AK43" s="610"/>
      <c r="AL43" s="610"/>
      <c r="AM43" s="610"/>
      <c r="AN43" s="610"/>
      <c r="AO43" s="632" t="s">
        <v>341</v>
      </c>
      <c r="AP43" s="610"/>
      <c r="AQ43" s="610"/>
      <c r="AR43" s="610"/>
      <c r="AS43" s="610"/>
      <c r="AT43" s="632" t="s">
        <v>342</v>
      </c>
      <c r="AU43" s="610"/>
      <c r="AV43" s="610"/>
      <c r="AW43" s="610"/>
      <c r="AX43" s="610"/>
    </row>
    <row r="44" spans="2:53">
      <c r="B44" s="604" t="s">
        <v>530</v>
      </c>
      <c r="C44" s="604" t="s">
        <v>531</v>
      </c>
      <c r="D44" s="604"/>
      <c r="E44" s="604" t="s">
        <v>532</v>
      </c>
      <c r="F44" s="604"/>
      <c r="G44" s="604"/>
      <c r="H44" s="637" t="s">
        <v>533</v>
      </c>
      <c r="I44" s="656" t="s">
        <v>534</v>
      </c>
      <c r="J44" s="656"/>
      <c r="K44" s="656"/>
      <c r="L44" s="657" t="s">
        <v>395</v>
      </c>
      <c r="M44" s="642" t="s">
        <v>535</v>
      </c>
      <c r="N44" s="604"/>
      <c r="O44" s="604" t="s">
        <v>536</v>
      </c>
      <c r="P44" s="623" t="s">
        <v>755</v>
      </c>
      <c r="Q44" s="624"/>
      <c r="R44" s="624"/>
      <c r="S44" s="625"/>
      <c r="T44" s="604" t="s">
        <v>756</v>
      </c>
      <c r="U44" s="623" t="s">
        <v>755</v>
      </c>
      <c r="V44" s="624"/>
      <c r="W44" s="624"/>
      <c r="X44" s="625"/>
      <c r="Y44" s="604" t="s">
        <v>756</v>
      </c>
      <c r="Z44" s="623" t="s">
        <v>755</v>
      </c>
      <c r="AA44" s="624"/>
      <c r="AB44" s="624"/>
      <c r="AC44" s="625"/>
      <c r="AD44" s="604" t="s">
        <v>756</v>
      </c>
      <c r="AE44" s="623" t="s">
        <v>755</v>
      </c>
      <c r="AF44" s="624"/>
      <c r="AG44" s="624"/>
      <c r="AH44" s="625"/>
      <c r="AI44" s="604" t="s">
        <v>756</v>
      </c>
      <c r="AJ44" s="623" t="s">
        <v>755</v>
      </c>
      <c r="AK44" s="624"/>
      <c r="AL44" s="624"/>
      <c r="AM44" s="625"/>
      <c r="AN44" s="604" t="s">
        <v>756</v>
      </c>
      <c r="AO44" s="623" t="s">
        <v>755</v>
      </c>
      <c r="AP44" s="624"/>
      <c r="AQ44" s="624"/>
      <c r="AR44" s="625"/>
      <c r="AS44" s="604" t="s">
        <v>756</v>
      </c>
      <c r="AT44" s="623" t="s">
        <v>755</v>
      </c>
      <c r="AU44" s="624"/>
      <c r="AV44" s="624"/>
      <c r="AW44" s="625"/>
      <c r="AX44" s="604" t="s">
        <v>756</v>
      </c>
      <c r="BA44" s="604" t="s">
        <v>395</v>
      </c>
    </row>
    <row r="45" spans="2:53">
      <c r="B45" s="604"/>
      <c r="C45" s="604"/>
      <c r="D45" s="604"/>
      <c r="E45" s="604" t="s">
        <v>538</v>
      </c>
      <c r="F45" s="604"/>
      <c r="G45" s="604"/>
      <c r="H45" s="638"/>
      <c r="I45" s="656" t="s">
        <v>538</v>
      </c>
      <c r="J45" s="656"/>
      <c r="K45" s="656"/>
      <c r="L45" s="658"/>
      <c r="M45" s="643"/>
      <c r="N45" s="604"/>
      <c r="O45" s="604"/>
      <c r="P45" s="623" t="s">
        <v>757</v>
      </c>
      <c r="Q45" s="624"/>
      <c r="R45" s="624"/>
      <c r="S45" s="625"/>
      <c r="T45" s="604"/>
      <c r="U45" s="623" t="s">
        <v>757</v>
      </c>
      <c r="V45" s="624"/>
      <c r="W45" s="624"/>
      <c r="X45" s="625"/>
      <c r="Y45" s="604"/>
      <c r="Z45" s="623" t="s">
        <v>757</v>
      </c>
      <c r="AA45" s="624"/>
      <c r="AB45" s="624"/>
      <c r="AC45" s="625"/>
      <c r="AD45" s="604"/>
      <c r="AE45" s="623" t="s">
        <v>757</v>
      </c>
      <c r="AF45" s="624"/>
      <c r="AG45" s="624"/>
      <c r="AH45" s="625"/>
      <c r="AI45" s="604"/>
      <c r="AJ45" s="623" t="s">
        <v>757</v>
      </c>
      <c r="AK45" s="624"/>
      <c r="AL45" s="624"/>
      <c r="AM45" s="625"/>
      <c r="AN45" s="604"/>
      <c r="AO45" s="623" t="s">
        <v>757</v>
      </c>
      <c r="AP45" s="624"/>
      <c r="AQ45" s="624"/>
      <c r="AR45" s="625"/>
      <c r="AS45" s="604"/>
      <c r="AT45" s="623" t="s">
        <v>757</v>
      </c>
      <c r="AU45" s="624"/>
      <c r="AV45" s="624"/>
      <c r="AW45" s="625"/>
      <c r="AX45" s="604"/>
      <c r="BA45" s="604"/>
    </row>
    <row r="46" spans="2:53">
      <c r="B46" s="604"/>
      <c r="C46" s="604"/>
      <c r="D46" s="604"/>
      <c r="E46" s="319" t="s">
        <v>540</v>
      </c>
      <c r="F46" s="319" t="s">
        <v>541</v>
      </c>
      <c r="G46" s="319" t="s">
        <v>542</v>
      </c>
      <c r="H46" s="639"/>
      <c r="I46" s="318" t="s">
        <v>540</v>
      </c>
      <c r="J46" s="318" t="s">
        <v>541</v>
      </c>
      <c r="K46" s="318" t="s">
        <v>542</v>
      </c>
      <c r="L46" s="659"/>
      <c r="M46" s="644"/>
      <c r="N46" s="604"/>
      <c r="O46" s="604"/>
      <c r="P46" s="484" t="s">
        <v>758</v>
      </c>
      <c r="Q46" s="484" t="s">
        <v>759</v>
      </c>
      <c r="R46" s="484" t="s">
        <v>760</v>
      </c>
      <c r="S46" s="484" t="s">
        <v>761</v>
      </c>
      <c r="T46" s="604"/>
      <c r="U46" s="484" t="s">
        <v>758</v>
      </c>
      <c r="V46" s="484" t="s">
        <v>759</v>
      </c>
      <c r="W46" s="484" t="s">
        <v>760</v>
      </c>
      <c r="X46" s="484" t="s">
        <v>761</v>
      </c>
      <c r="Y46" s="604"/>
      <c r="Z46" s="484" t="s">
        <v>758</v>
      </c>
      <c r="AA46" s="484" t="s">
        <v>759</v>
      </c>
      <c r="AB46" s="484" t="s">
        <v>760</v>
      </c>
      <c r="AC46" s="484" t="s">
        <v>761</v>
      </c>
      <c r="AD46" s="604"/>
      <c r="AE46" s="484" t="s">
        <v>758</v>
      </c>
      <c r="AF46" s="484" t="s">
        <v>759</v>
      </c>
      <c r="AG46" s="484" t="s">
        <v>760</v>
      </c>
      <c r="AH46" s="484" t="s">
        <v>761</v>
      </c>
      <c r="AI46" s="604"/>
      <c r="AJ46" s="484" t="s">
        <v>758</v>
      </c>
      <c r="AK46" s="484" t="s">
        <v>759</v>
      </c>
      <c r="AL46" s="484" t="s">
        <v>760</v>
      </c>
      <c r="AM46" s="484" t="s">
        <v>761</v>
      </c>
      <c r="AN46" s="604"/>
      <c r="AO46" s="484" t="s">
        <v>758</v>
      </c>
      <c r="AP46" s="484" t="s">
        <v>759</v>
      </c>
      <c r="AQ46" s="484" t="s">
        <v>760</v>
      </c>
      <c r="AR46" s="484" t="s">
        <v>761</v>
      </c>
      <c r="AS46" s="604"/>
      <c r="AT46" s="484" t="s">
        <v>758</v>
      </c>
      <c r="AU46" s="484" t="s">
        <v>759</v>
      </c>
      <c r="AV46" s="484" t="s">
        <v>760</v>
      </c>
      <c r="AW46" s="484" t="s">
        <v>761</v>
      </c>
      <c r="AX46" s="604"/>
      <c r="AZ46" s="520" t="s">
        <v>761</v>
      </c>
      <c r="BA46" s="604"/>
    </row>
    <row r="47" spans="2:53">
      <c r="B47" s="604" t="s">
        <v>546</v>
      </c>
      <c r="C47" s="320">
        <v>1</v>
      </c>
      <c r="D47" s="226" t="s">
        <v>381</v>
      </c>
      <c r="E47" s="182">
        <v>7</v>
      </c>
      <c r="F47" s="511">
        <v>1500</v>
      </c>
      <c r="G47" s="512">
        <v>214.3</v>
      </c>
      <c r="H47" s="667">
        <f>AVERAGE(G47:G61)</f>
        <v>184.21428571428575</v>
      </c>
      <c r="I47" s="513">
        <f t="shared" ref="I47:I60" si="38">IFERROR(AVERAGE(P47,U47,Z47,AE47,AJ47,AO47,AT47),"-")</f>
        <v>7</v>
      </c>
      <c r="J47" s="513">
        <f t="shared" ref="J47:J60" si="39">IFERROR(AVERAGE(Q47,V47,AA47,AF47,AK47,AP47,AU47),"-")</f>
        <v>1463.0516295013351</v>
      </c>
      <c r="K47" s="200">
        <f t="shared" ref="K47:K60" si="40">IFERROR(AVERAGE(R47,W47,AB47,AG47,AL47,AQ47,AV47),"-")</f>
        <v>209.00737564304788</v>
      </c>
      <c r="L47" s="620">
        <f>IFERROR(AVERAGE(K47:K61),"-")</f>
        <v>177.68485558211108</v>
      </c>
      <c r="M47" s="201">
        <f>RANK(K47, K$47:$K$61)</f>
        <v>5</v>
      </c>
      <c r="N47" s="604"/>
      <c r="O47" s="604"/>
      <c r="P47" s="531">
        <v>7</v>
      </c>
      <c r="Q47" s="533">
        <v>1460</v>
      </c>
      <c r="R47" s="533">
        <v>208.57142857142858</v>
      </c>
      <c r="S47" s="531">
        <f t="shared" ref="S47:S54" si="41">RANK(R47, R$47:R$61)</f>
        <v>4</v>
      </c>
      <c r="T47" s="599">
        <f t="shared" ref="T47" si="42">AVERAGE(R47:R61)</f>
        <v>176.75418535262844</v>
      </c>
      <c r="U47" s="531">
        <v>7</v>
      </c>
      <c r="V47" s="533">
        <v>1462.1052631578946</v>
      </c>
      <c r="W47" s="533">
        <v>208.8721804511278</v>
      </c>
      <c r="X47" s="531">
        <f t="shared" ref="X47:X54" si="43">RANK(W47, W$47:W$61)</f>
        <v>5</v>
      </c>
      <c r="Y47" s="599">
        <f t="shared" ref="Y47" si="44">AVERAGE(W47:W61)</f>
        <v>178.38961516241102</v>
      </c>
      <c r="Z47" s="531">
        <v>7</v>
      </c>
      <c r="AA47" s="533">
        <v>1458.6486486486483</v>
      </c>
      <c r="AB47" s="533">
        <v>208.37837837837833</v>
      </c>
      <c r="AC47" s="531">
        <f t="shared" ref="AC47:AC54" si="45">RANK(AB47, AB$47:AB$61)</f>
        <v>4</v>
      </c>
      <c r="AD47" s="599">
        <f t="shared" ref="AD47" si="46">AVERAGE(AB47:AB61)</f>
        <v>177.11762662489073</v>
      </c>
      <c r="AE47" s="531">
        <v>7</v>
      </c>
      <c r="AF47" s="533">
        <v>1448.7096774193553</v>
      </c>
      <c r="AG47" s="533">
        <v>206.95852534562218</v>
      </c>
      <c r="AH47" s="531">
        <f t="shared" ref="AH47:AH54" si="47">RANK(AG47, AG$47:AG$61)</f>
        <v>5</v>
      </c>
      <c r="AI47" s="599">
        <f t="shared" ref="AI47" si="48">AVERAGE(AG47:AG61)</f>
        <v>177.80807752074</v>
      </c>
      <c r="AJ47" s="531">
        <v>7</v>
      </c>
      <c r="AK47" s="533">
        <v>1479.4285714285718</v>
      </c>
      <c r="AL47" s="533">
        <v>211.34693877551027</v>
      </c>
      <c r="AM47" s="531">
        <f t="shared" ref="AM47:AM54" si="49">RANK(AL47, AL$47:AL$61)</f>
        <v>3</v>
      </c>
      <c r="AN47" s="599">
        <f t="shared" ref="AN47" si="50">AVERAGE(AL47:AL61)</f>
        <v>178.0769003219944</v>
      </c>
      <c r="AO47" s="531">
        <v>7</v>
      </c>
      <c r="AP47" s="533">
        <v>1485.6338028169016</v>
      </c>
      <c r="AQ47" s="533">
        <v>212.2334004024145</v>
      </c>
      <c r="AR47" s="531">
        <f t="shared" ref="AR47:AR54" si="51">RANK(AQ47, AQ$47:AQ$61)</f>
        <v>2</v>
      </c>
      <c r="AS47" s="599">
        <f t="shared" ref="AS47" si="52">AVERAGE(AQ47:AQ61)</f>
        <v>178.60936710772694</v>
      </c>
      <c r="AT47" s="531">
        <v>7</v>
      </c>
      <c r="AU47" s="533">
        <v>1446.8354430379745</v>
      </c>
      <c r="AV47" s="533">
        <v>206.69077757685349</v>
      </c>
      <c r="AW47" s="531">
        <f t="shared" ref="AW47:AW54" si="53">RANK(AV47, AV$47:AV$61)</f>
        <v>5</v>
      </c>
      <c r="AX47" s="599">
        <f t="shared" ref="AX47" si="54">AVERAGE(AV47:AV61)</f>
        <v>177.03821698438588</v>
      </c>
      <c r="AZ47" s="521" t="e">
        <f t="shared" ref="AZ47:AZ54" si="55">RANK(AY47, AY$47:AY$61)</f>
        <v>#N/A</v>
      </c>
      <c r="BA47" s="599" t="e">
        <f t="shared" ref="BA47" si="56">AVERAGE(AY47:AY61)</f>
        <v>#DIV/0!</v>
      </c>
    </row>
    <row r="48" spans="2:53">
      <c r="B48" s="610"/>
      <c r="C48" s="320">
        <v>2</v>
      </c>
      <c r="D48" s="226" t="s">
        <v>382</v>
      </c>
      <c r="E48" s="182">
        <v>7</v>
      </c>
      <c r="F48" s="511">
        <v>1500</v>
      </c>
      <c r="G48" s="512">
        <v>214.3</v>
      </c>
      <c r="H48" s="668"/>
      <c r="I48" s="513">
        <f t="shared" si="38"/>
        <v>7</v>
      </c>
      <c r="J48" s="513">
        <f t="shared" si="39"/>
        <v>1464.7293367099987</v>
      </c>
      <c r="K48" s="200">
        <f t="shared" si="40"/>
        <v>209.24704810142839</v>
      </c>
      <c r="L48" s="621"/>
      <c r="M48" s="201">
        <f>RANK(K48, K$47:$K$61)</f>
        <v>4</v>
      </c>
      <c r="N48" s="604"/>
      <c r="O48" s="604"/>
      <c r="P48" s="531">
        <v>7</v>
      </c>
      <c r="Q48" s="533">
        <v>1450.9923664122139</v>
      </c>
      <c r="R48" s="533">
        <v>207.28462377317342</v>
      </c>
      <c r="S48" s="531">
        <f t="shared" si="41"/>
        <v>5</v>
      </c>
      <c r="T48" s="600"/>
      <c r="U48" s="531">
        <v>7</v>
      </c>
      <c r="V48" s="533">
        <v>1471.7355371900831</v>
      </c>
      <c r="W48" s="533">
        <v>210.24793388429757</v>
      </c>
      <c r="X48" s="531">
        <f t="shared" si="43"/>
        <v>4</v>
      </c>
      <c r="Y48" s="600"/>
      <c r="Z48" s="531">
        <v>7</v>
      </c>
      <c r="AA48" s="533">
        <v>1459.6721311475414</v>
      </c>
      <c r="AB48" s="533">
        <v>208.5245901639345</v>
      </c>
      <c r="AC48" s="531">
        <f t="shared" si="45"/>
        <v>3</v>
      </c>
      <c r="AD48" s="600"/>
      <c r="AE48" s="531">
        <v>7</v>
      </c>
      <c r="AF48" s="533">
        <v>1480.7142857142856</v>
      </c>
      <c r="AG48" s="533">
        <v>211.53061224489792</v>
      </c>
      <c r="AH48" s="531">
        <f t="shared" si="47"/>
        <v>2</v>
      </c>
      <c r="AI48" s="600"/>
      <c r="AJ48" s="531">
        <v>7</v>
      </c>
      <c r="AK48" s="533">
        <v>1465.4237288135596</v>
      </c>
      <c r="AL48" s="533">
        <v>209.34624697336565</v>
      </c>
      <c r="AM48" s="531">
        <f t="shared" si="49"/>
        <v>5</v>
      </c>
      <c r="AN48" s="600"/>
      <c r="AO48" s="531">
        <v>7</v>
      </c>
      <c r="AP48" s="533">
        <v>1467.6923076923074</v>
      </c>
      <c r="AQ48" s="533">
        <v>209.67032967032964</v>
      </c>
      <c r="AR48" s="531">
        <f t="shared" si="51"/>
        <v>5</v>
      </c>
      <c r="AS48" s="600"/>
      <c r="AT48" s="531">
        <v>7</v>
      </c>
      <c r="AU48" s="533">
        <v>1456.8749999999995</v>
      </c>
      <c r="AV48" s="533">
        <v>208.12499999999994</v>
      </c>
      <c r="AW48" s="531">
        <f t="shared" si="53"/>
        <v>4</v>
      </c>
      <c r="AX48" s="600"/>
      <c r="AZ48" s="521" t="e">
        <f t="shared" si="55"/>
        <v>#N/A</v>
      </c>
      <c r="BA48" s="600"/>
    </row>
    <row r="49" spans="2:53">
      <c r="B49" s="610"/>
      <c r="C49" s="320">
        <v>3</v>
      </c>
      <c r="D49" s="226" t="s">
        <v>349</v>
      </c>
      <c r="E49" s="182">
        <v>20</v>
      </c>
      <c r="F49" s="511">
        <v>1500</v>
      </c>
      <c r="G49" s="512">
        <v>75</v>
      </c>
      <c r="H49" s="668"/>
      <c r="I49" s="513">
        <f t="shared" si="38"/>
        <v>18</v>
      </c>
      <c r="J49" s="513">
        <f t="shared" si="39"/>
        <v>1305.2269152058579</v>
      </c>
      <c r="K49" s="200">
        <f t="shared" si="40"/>
        <v>72.512606400325438</v>
      </c>
      <c r="L49" s="621"/>
      <c r="M49" s="201">
        <f>RANK(K49, K$47:$K$61)</f>
        <v>7</v>
      </c>
      <c r="N49" s="604"/>
      <c r="O49" s="604"/>
      <c r="P49" s="531">
        <v>18</v>
      </c>
      <c r="Q49" s="533">
        <v>1313.0212765957442</v>
      </c>
      <c r="R49" s="533">
        <v>72.945626477541339</v>
      </c>
      <c r="S49" s="531">
        <f t="shared" si="41"/>
        <v>7</v>
      </c>
      <c r="T49" s="600"/>
      <c r="U49" s="531">
        <v>18</v>
      </c>
      <c r="V49" s="533">
        <v>1300.2499999999986</v>
      </c>
      <c r="W49" s="533">
        <v>72.236111111111029</v>
      </c>
      <c r="X49" s="531">
        <f t="shared" si="43"/>
        <v>7</v>
      </c>
      <c r="Y49" s="600"/>
      <c r="Z49" s="531">
        <v>18</v>
      </c>
      <c r="AA49" s="533">
        <v>1288.6194690265486</v>
      </c>
      <c r="AB49" s="533">
        <v>71.589970501474923</v>
      </c>
      <c r="AC49" s="531">
        <f t="shared" si="45"/>
        <v>7</v>
      </c>
      <c r="AD49" s="600"/>
      <c r="AE49" s="531">
        <v>18</v>
      </c>
      <c r="AF49" s="533">
        <v>1300.0555555555552</v>
      </c>
      <c r="AG49" s="533">
        <v>72.225308641975289</v>
      </c>
      <c r="AH49" s="531">
        <f t="shared" si="47"/>
        <v>7</v>
      </c>
      <c r="AI49" s="600"/>
      <c r="AJ49" s="531">
        <v>18</v>
      </c>
      <c r="AK49" s="533">
        <v>1289.8421052631579</v>
      </c>
      <c r="AL49" s="533">
        <v>71.65789473684211</v>
      </c>
      <c r="AM49" s="531">
        <f t="shared" si="49"/>
        <v>7</v>
      </c>
      <c r="AN49" s="600"/>
      <c r="AO49" s="531">
        <v>18</v>
      </c>
      <c r="AP49" s="533">
        <v>1318.8000000000004</v>
      </c>
      <c r="AQ49" s="533">
        <v>73.266666666666694</v>
      </c>
      <c r="AR49" s="531">
        <f t="shared" si="51"/>
        <v>7</v>
      </c>
      <c r="AS49" s="600"/>
      <c r="AT49" s="531">
        <v>18</v>
      </c>
      <c r="AU49" s="533">
        <v>1326.0000000000002</v>
      </c>
      <c r="AV49" s="533">
        <v>73.666666666666686</v>
      </c>
      <c r="AW49" s="531">
        <f t="shared" si="53"/>
        <v>7</v>
      </c>
      <c r="AX49" s="600"/>
      <c r="AZ49" s="521" t="e">
        <f t="shared" si="55"/>
        <v>#N/A</v>
      </c>
      <c r="BA49" s="600"/>
    </row>
    <row r="50" spans="2:53">
      <c r="B50" s="610"/>
      <c r="C50" s="320">
        <v>4</v>
      </c>
      <c r="D50" s="226" t="s">
        <v>383</v>
      </c>
      <c r="E50" s="182">
        <v>16</v>
      </c>
      <c r="F50" s="511">
        <v>1440</v>
      </c>
      <c r="G50" s="512">
        <v>84.7</v>
      </c>
      <c r="H50" s="668"/>
      <c r="I50" s="513">
        <f t="shared" si="38"/>
        <v>17</v>
      </c>
      <c r="J50" s="513">
        <f t="shared" si="39"/>
        <v>1348.7518986695557</v>
      </c>
      <c r="K50" s="200">
        <f t="shared" si="40"/>
        <v>79.338346980562093</v>
      </c>
      <c r="L50" s="621"/>
      <c r="M50" s="201">
        <f>RANK(K50, K$47:$K$61)</f>
        <v>6</v>
      </c>
      <c r="N50" s="604"/>
      <c r="O50" s="604"/>
      <c r="P50" s="531">
        <v>17</v>
      </c>
      <c r="Q50" s="533">
        <v>1342.105263157895</v>
      </c>
      <c r="R50" s="533">
        <v>78.947368421052644</v>
      </c>
      <c r="S50" s="531">
        <f t="shared" si="41"/>
        <v>6</v>
      </c>
      <c r="T50" s="600"/>
      <c r="U50" s="531">
        <v>17</v>
      </c>
      <c r="V50" s="533">
        <v>1349.677419354839</v>
      </c>
      <c r="W50" s="533">
        <v>79.392789373814054</v>
      </c>
      <c r="X50" s="531">
        <f t="shared" si="43"/>
        <v>6</v>
      </c>
      <c r="Y50" s="600"/>
      <c r="Z50" s="531">
        <v>17</v>
      </c>
      <c r="AA50" s="533">
        <v>1336.3636363636365</v>
      </c>
      <c r="AB50" s="533">
        <v>78.609625668449212</v>
      </c>
      <c r="AC50" s="531">
        <f t="shared" si="45"/>
        <v>6</v>
      </c>
      <c r="AD50" s="600"/>
      <c r="AE50" s="531">
        <v>17</v>
      </c>
      <c r="AF50" s="533">
        <v>1346.7567567567573</v>
      </c>
      <c r="AG50" s="533">
        <v>79.220985691573958</v>
      </c>
      <c r="AH50" s="531">
        <f t="shared" si="47"/>
        <v>6</v>
      </c>
      <c r="AI50" s="600"/>
      <c r="AJ50" s="531">
        <v>17</v>
      </c>
      <c r="AK50" s="533">
        <v>1354.9999999999995</v>
      </c>
      <c r="AL50" s="533">
        <v>79.705882352941146</v>
      </c>
      <c r="AM50" s="531">
        <f t="shared" si="49"/>
        <v>6</v>
      </c>
      <c r="AN50" s="600"/>
      <c r="AO50" s="531">
        <v>17</v>
      </c>
      <c r="AP50" s="533">
        <v>1374.6666666666667</v>
      </c>
      <c r="AQ50" s="533">
        <v>80.862745098039227</v>
      </c>
      <c r="AR50" s="531">
        <f t="shared" si="51"/>
        <v>6</v>
      </c>
      <c r="AS50" s="600"/>
      <c r="AT50" s="531">
        <v>17</v>
      </c>
      <c r="AU50" s="533">
        <v>1336.6935483870964</v>
      </c>
      <c r="AV50" s="533">
        <v>78.629032258064498</v>
      </c>
      <c r="AW50" s="531">
        <f t="shared" si="53"/>
        <v>6</v>
      </c>
      <c r="AX50" s="600"/>
      <c r="AZ50" s="521" t="e">
        <f t="shared" si="55"/>
        <v>#N/A</v>
      </c>
      <c r="BA50" s="600"/>
    </row>
    <row r="51" spans="2:53">
      <c r="B51" s="610"/>
      <c r="C51" s="320">
        <v>5</v>
      </c>
      <c r="D51" s="226" t="s">
        <v>422</v>
      </c>
      <c r="E51" s="182">
        <v>7</v>
      </c>
      <c r="F51" s="511">
        <v>1500</v>
      </c>
      <c r="G51" s="512">
        <v>214.3</v>
      </c>
      <c r="H51" s="668"/>
      <c r="I51" s="513">
        <f t="shared" si="38"/>
        <v>7</v>
      </c>
      <c r="J51" s="513">
        <f t="shared" si="39"/>
        <v>1473.1326681917067</v>
      </c>
      <c r="K51" s="200">
        <f t="shared" si="40"/>
        <v>210.44752402738666</v>
      </c>
      <c r="L51" s="621"/>
      <c r="M51" s="201">
        <f>RANK(K51, K$47:$K$61)</f>
        <v>3</v>
      </c>
      <c r="N51" s="604"/>
      <c r="O51" s="604"/>
      <c r="P51" s="531">
        <v>7</v>
      </c>
      <c r="Q51" s="533">
        <v>1475.0364963503657</v>
      </c>
      <c r="R51" s="533">
        <v>210.71949947862367</v>
      </c>
      <c r="S51" s="531">
        <f t="shared" si="41"/>
        <v>2</v>
      </c>
      <c r="T51" s="600"/>
      <c r="U51" s="531">
        <v>7</v>
      </c>
      <c r="V51" s="533">
        <v>1486.7647058823534</v>
      </c>
      <c r="W51" s="533">
        <v>212.39495798319334</v>
      </c>
      <c r="X51" s="531">
        <f t="shared" si="43"/>
        <v>2</v>
      </c>
      <c r="Y51" s="600"/>
      <c r="Z51" s="531">
        <v>7</v>
      </c>
      <c r="AA51" s="533">
        <v>1455.6923076923081</v>
      </c>
      <c r="AB51" s="533">
        <v>207.956043956044</v>
      </c>
      <c r="AC51" s="531">
        <f t="shared" si="45"/>
        <v>5</v>
      </c>
      <c r="AD51" s="600"/>
      <c r="AE51" s="531">
        <v>7</v>
      </c>
      <c r="AF51" s="533">
        <v>1479.8181818181822</v>
      </c>
      <c r="AG51" s="533">
        <v>211.40259740259745</v>
      </c>
      <c r="AH51" s="531">
        <f t="shared" si="47"/>
        <v>3</v>
      </c>
      <c r="AI51" s="600"/>
      <c r="AJ51" s="531">
        <v>7</v>
      </c>
      <c r="AK51" s="533">
        <v>1466.5000000000005</v>
      </c>
      <c r="AL51" s="533">
        <v>209.50000000000006</v>
      </c>
      <c r="AM51" s="531">
        <f t="shared" si="49"/>
        <v>4</v>
      </c>
      <c r="AN51" s="600"/>
      <c r="AO51" s="531">
        <v>7</v>
      </c>
      <c r="AP51" s="533">
        <v>1475.2702702702707</v>
      </c>
      <c r="AQ51" s="533">
        <v>210.7528957528958</v>
      </c>
      <c r="AR51" s="531">
        <f t="shared" si="51"/>
        <v>4</v>
      </c>
      <c r="AS51" s="600"/>
      <c r="AT51" s="531">
        <v>7</v>
      </c>
      <c r="AU51" s="533">
        <v>1472.8467153284678</v>
      </c>
      <c r="AV51" s="533">
        <v>210.40667361835253</v>
      </c>
      <c r="AW51" s="531">
        <f t="shared" si="53"/>
        <v>3</v>
      </c>
      <c r="AX51" s="600"/>
      <c r="AZ51" s="521" t="e">
        <f t="shared" si="55"/>
        <v>#N/A</v>
      </c>
      <c r="BA51" s="600"/>
    </row>
    <row r="52" spans="2:53">
      <c r="B52" s="610"/>
      <c r="C52" s="320">
        <v>6</v>
      </c>
      <c r="D52" s="226" t="s">
        <v>794</v>
      </c>
      <c r="E52" s="182">
        <v>6</v>
      </c>
      <c r="F52" s="511">
        <v>1636</v>
      </c>
      <c r="G52" s="512">
        <v>272.60000000000002</v>
      </c>
      <c r="H52" s="668"/>
      <c r="I52" s="513">
        <f t="shared" si="38"/>
        <v>6</v>
      </c>
      <c r="J52" s="513">
        <f t="shared" si="39"/>
        <v>1511.9919223859408</v>
      </c>
      <c r="K52" s="200">
        <f t="shared" si="40"/>
        <v>251.99865373099013</v>
      </c>
      <c r="L52" s="621"/>
      <c r="M52" s="201">
        <f>RANK(K52, K$47:$K$61)</f>
        <v>1</v>
      </c>
      <c r="N52" s="604"/>
      <c r="O52" s="604"/>
      <c r="P52" s="531">
        <v>6</v>
      </c>
      <c r="Q52" s="533">
        <v>1492.5619834710747</v>
      </c>
      <c r="R52" s="533">
        <v>248.76033057851245</v>
      </c>
      <c r="S52" s="531">
        <f t="shared" si="41"/>
        <v>1</v>
      </c>
      <c r="T52" s="600"/>
      <c r="U52" s="531">
        <v>6</v>
      </c>
      <c r="V52" s="533">
        <v>1525.5000000000002</v>
      </c>
      <c r="W52" s="533">
        <v>254.25000000000003</v>
      </c>
      <c r="X52" s="531">
        <f t="shared" si="43"/>
        <v>1</v>
      </c>
      <c r="Y52" s="600"/>
      <c r="Z52" s="531">
        <v>6</v>
      </c>
      <c r="AA52" s="533">
        <v>1521.0256410256411</v>
      </c>
      <c r="AB52" s="533">
        <v>253.50427350427353</v>
      </c>
      <c r="AC52" s="531">
        <f t="shared" si="45"/>
        <v>1</v>
      </c>
      <c r="AD52" s="600"/>
      <c r="AE52" s="531">
        <v>6</v>
      </c>
      <c r="AF52" s="533">
        <v>1520.6060606060598</v>
      </c>
      <c r="AG52" s="533">
        <v>253.4343434343433</v>
      </c>
      <c r="AH52" s="531">
        <f t="shared" si="47"/>
        <v>1</v>
      </c>
      <c r="AI52" s="600"/>
      <c r="AJ52" s="531">
        <v>6</v>
      </c>
      <c r="AK52" s="533">
        <v>1518.6792452830184</v>
      </c>
      <c r="AL52" s="533">
        <v>253.11320754716974</v>
      </c>
      <c r="AM52" s="531">
        <f t="shared" si="49"/>
        <v>1</v>
      </c>
      <c r="AN52" s="600"/>
      <c r="AO52" s="531">
        <v>6</v>
      </c>
      <c r="AP52" s="533">
        <v>1514.2105263157894</v>
      </c>
      <c r="AQ52" s="533">
        <v>252.36842105263156</v>
      </c>
      <c r="AR52" s="531">
        <f t="shared" si="51"/>
        <v>1</v>
      </c>
      <c r="AS52" s="600"/>
      <c r="AT52" s="531">
        <v>6</v>
      </c>
      <c r="AU52" s="533">
        <v>1491.3600000000006</v>
      </c>
      <c r="AV52" s="533">
        <v>248.56000000000009</v>
      </c>
      <c r="AW52" s="531">
        <f t="shared" si="53"/>
        <v>1</v>
      </c>
      <c r="AX52" s="600"/>
      <c r="AZ52" s="521" t="e">
        <f t="shared" si="55"/>
        <v>#N/A</v>
      </c>
      <c r="BA52" s="600"/>
    </row>
    <row r="53" spans="2:53">
      <c r="B53" s="610"/>
      <c r="C53" s="320">
        <v>7</v>
      </c>
      <c r="D53" s="226" t="s">
        <v>765</v>
      </c>
      <c r="E53" s="182">
        <v>7</v>
      </c>
      <c r="F53" s="511">
        <v>1500</v>
      </c>
      <c r="G53" s="512">
        <v>214.3</v>
      </c>
      <c r="H53" s="668"/>
      <c r="I53" s="513">
        <f t="shared" si="38"/>
        <v>7</v>
      </c>
      <c r="J53" s="513">
        <f t="shared" si="39"/>
        <v>1478.6970393372583</v>
      </c>
      <c r="K53" s="200">
        <f t="shared" si="40"/>
        <v>211.24243419103689</v>
      </c>
      <c r="L53" s="621"/>
      <c r="M53" s="201">
        <f>RANK(K53, K$47:$K$61)</f>
        <v>2</v>
      </c>
      <c r="N53" s="604"/>
      <c r="O53" s="604"/>
      <c r="P53" s="531">
        <v>7</v>
      </c>
      <c r="Q53" s="533">
        <v>1470.3529411764703</v>
      </c>
      <c r="R53" s="533">
        <v>210.05042016806718</v>
      </c>
      <c r="S53" s="531">
        <f t="shared" si="41"/>
        <v>3</v>
      </c>
      <c r="T53" s="600"/>
      <c r="U53" s="531">
        <v>7</v>
      </c>
      <c r="V53" s="533">
        <v>1479.3333333333333</v>
      </c>
      <c r="W53" s="533">
        <v>211.33333333333331</v>
      </c>
      <c r="X53" s="531">
        <f t="shared" si="43"/>
        <v>3</v>
      </c>
      <c r="Y53" s="600"/>
      <c r="Z53" s="531">
        <v>7</v>
      </c>
      <c r="AA53" s="533">
        <v>1478.8235294117644</v>
      </c>
      <c r="AB53" s="533">
        <v>211.26050420168062</v>
      </c>
      <c r="AC53" s="531">
        <f t="shared" si="45"/>
        <v>2</v>
      </c>
      <c r="AD53" s="600"/>
      <c r="AE53" s="531">
        <v>7</v>
      </c>
      <c r="AF53" s="533">
        <v>1469.1891891891896</v>
      </c>
      <c r="AG53" s="533">
        <v>209.88416988416995</v>
      </c>
      <c r="AH53" s="531">
        <f t="shared" si="47"/>
        <v>4</v>
      </c>
      <c r="AI53" s="600"/>
      <c r="AJ53" s="531">
        <v>7</v>
      </c>
      <c r="AK53" s="533">
        <v>1483.076923076924</v>
      </c>
      <c r="AL53" s="533">
        <v>211.868131868132</v>
      </c>
      <c r="AM53" s="531">
        <f t="shared" si="49"/>
        <v>2</v>
      </c>
      <c r="AN53" s="600"/>
      <c r="AO53" s="531">
        <v>7</v>
      </c>
      <c r="AP53" s="533">
        <v>1477.7777777777774</v>
      </c>
      <c r="AQ53" s="533">
        <v>211.11111111111106</v>
      </c>
      <c r="AR53" s="531">
        <f t="shared" si="51"/>
        <v>3</v>
      </c>
      <c r="AS53" s="600"/>
      <c r="AT53" s="531">
        <v>7</v>
      </c>
      <c r="AU53" s="533">
        <v>1492.3255813953488</v>
      </c>
      <c r="AV53" s="533">
        <v>213.1893687707641</v>
      </c>
      <c r="AW53" s="531">
        <f t="shared" si="53"/>
        <v>2</v>
      </c>
      <c r="AX53" s="600"/>
      <c r="AZ53" s="521" t="e">
        <f t="shared" si="55"/>
        <v>#N/A</v>
      </c>
      <c r="BA53" s="600"/>
    </row>
    <row r="54" spans="2:53">
      <c r="B54" s="610"/>
      <c r="C54" s="320">
        <v>8</v>
      </c>
      <c r="D54" s="342"/>
      <c r="E54" s="518"/>
      <c r="F54" s="518"/>
      <c r="G54" s="518"/>
      <c r="H54" s="668"/>
      <c r="I54" s="513" t="str">
        <f t="shared" si="38"/>
        <v>-</v>
      </c>
      <c r="J54" s="513" t="str">
        <f t="shared" si="39"/>
        <v>-</v>
      </c>
      <c r="K54" s="200" t="str">
        <f t="shared" si="40"/>
        <v>-</v>
      </c>
      <c r="L54" s="621"/>
      <c r="M54" s="201" t="e">
        <f>RANK(K54, K$47:$K$61)</f>
        <v>#VALUE!</v>
      </c>
      <c r="N54" s="604"/>
      <c r="O54" s="604"/>
      <c r="P54" s="531" t="s">
        <v>822</v>
      </c>
      <c r="Q54" s="533" t="s">
        <v>822</v>
      </c>
      <c r="R54" s="533" t="s">
        <v>822</v>
      </c>
      <c r="S54" s="531" t="e">
        <f t="shared" si="41"/>
        <v>#VALUE!</v>
      </c>
      <c r="T54" s="600"/>
      <c r="U54" s="531" t="s">
        <v>822</v>
      </c>
      <c r="V54" s="533" t="s">
        <v>822</v>
      </c>
      <c r="W54" s="533" t="s">
        <v>822</v>
      </c>
      <c r="X54" s="531" t="e">
        <f t="shared" si="43"/>
        <v>#VALUE!</v>
      </c>
      <c r="Y54" s="600"/>
      <c r="Z54" s="531" t="s">
        <v>822</v>
      </c>
      <c r="AA54" s="533" t="s">
        <v>822</v>
      </c>
      <c r="AB54" s="533" t="s">
        <v>822</v>
      </c>
      <c r="AC54" s="531" t="e">
        <f t="shared" si="45"/>
        <v>#VALUE!</v>
      </c>
      <c r="AD54" s="600"/>
      <c r="AE54" s="531" t="s">
        <v>822</v>
      </c>
      <c r="AF54" s="533" t="s">
        <v>822</v>
      </c>
      <c r="AG54" s="533" t="s">
        <v>822</v>
      </c>
      <c r="AH54" s="531" t="e">
        <f t="shared" si="47"/>
        <v>#VALUE!</v>
      </c>
      <c r="AI54" s="600"/>
      <c r="AJ54" s="531" t="s">
        <v>822</v>
      </c>
      <c r="AK54" s="533" t="s">
        <v>822</v>
      </c>
      <c r="AL54" s="533" t="s">
        <v>822</v>
      </c>
      <c r="AM54" s="531" t="e">
        <f t="shared" si="49"/>
        <v>#VALUE!</v>
      </c>
      <c r="AN54" s="600"/>
      <c r="AO54" s="531" t="s">
        <v>822</v>
      </c>
      <c r="AP54" s="533" t="s">
        <v>822</v>
      </c>
      <c r="AQ54" s="533" t="s">
        <v>822</v>
      </c>
      <c r="AR54" s="531" t="e">
        <f t="shared" si="51"/>
        <v>#VALUE!</v>
      </c>
      <c r="AS54" s="600"/>
      <c r="AT54" s="531" t="s">
        <v>822</v>
      </c>
      <c r="AU54" s="533" t="s">
        <v>822</v>
      </c>
      <c r="AV54" s="533" t="s">
        <v>822</v>
      </c>
      <c r="AW54" s="531" t="e">
        <f t="shared" si="53"/>
        <v>#VALUE!</v>
      </c>
      <c r="AX54" s="600"/>
      <c r="AZ54" s="521" t="e">
        <f t="shared" si="55"/>
        <v>#N/A</v>
      </c>
      <c r="BA54" s="600"/>
    </row>
    <row r="55" spans="2:53">
      <c r="B55" s="610"/>
      <c r="C55" s="320">
        <v>9</v>
      </c>
      <c r="D55" s="455"/>
      <c r="E55" s="518"/>
      <c r="F55" s="518"/>
      <c r="G55" s="518"/>
      <c r="H55" s="668"/>
      <c r="I55" s="513" t="str">
        <f t="shared" si="38"/>
        <v>-</v>
      </c>
      <c r="J55" s="513" t="str">
        <f t="shared" si="39"/>
        <v>-</v>
      </c>
      <c r="K55" s="200" t="str">
        <f t="shared" si="40"/>
        <v>-</v>
      </c>
      <c r="L55" s="621"/>
      <c r="M55" s="201" t="e">
        <f>RANK(K55, K$47:$K$61)</f>
        <v>#VALUE!</v>
      </c>
      <c r="N55" s="604"/>
      <c r="O55" s="604"/>
      <c r="P55" s="531" t="s">
        <v>822</v>
      </c>
      <c r="Q55" s="533" t="s">
        <v>822</v>
      </c>
      <c r="R55" s="533" t="s">
        <v>822</v>
      </c>
      <c r="S55" s="531"/>
      <c r="T55" s="600"/>
      <c r="U55" s="531" t="s">
        <v>822</v>
      </c>
      <c r="V55" s="533" t="s">
        <v>822</v>
      </c>
      <c r="W55" s="533" t="s">
        <v>822</v>
      </c>
      <c r="X55" s="531"/>
      <c r="Y55" s="600"/>
      <c r="Z55" s="531" t="s">
        <v>822</v>
      </c>
      <c r="AA55" s="533" t="s">
        <v>822</v>
      </c>
      <c r="AB55" s="533" t="s">
        <v>822</v>
      </c>
      <c r="AC55" s="531"/>
      <c r="AD55" s="600"/>
      <c r="AE55" s="531" t="s">
        <v>822</v>
      </c>
      <c r="AF55" s="533" t="s">
        <v>822</v>
      </c>
      <c r="AG55" s="533" t="s">
        <v>822</v>
      </c>
      <c r="AH55" s="531"/>
      <c r="AI55" s="600"/>
      <c r="AJ55" s="531" t="s">
        <v>822</v>
      </c>
      <c r="AK55" s="533" t="s">
        <v>822</v>
      </c>
      <c r="AL55" s="533" t="s">
        <v>822</v>
      </c>
      <c r="AM55" s="531"/>
      <c r="AN55" s="600"/>
      <c r="AO55" s="531" t="s">
        <v>822</v>
      </c>
      <c r="AP55" s="533" t="s">
        <v>822</v>
      </c>
      <c r="AQ55" s="533" t="s">
        <v>822</v>
      </c>
      <c r="AR55" s="531"/>
      <c r="AS55" s="600"/>
      <c r="AT55" s="531" t="s">
        <v>822</v>
      </c>
      <c r="AU55" s="533" t="s">
        <v>822</v>
      </c>
      <c r="AV55" s="533" t="s">
        <v>822</v>
      </c>
      <c r="AW55" s="531"/>
      <c r="AX55" s="600"/>
      <c r="AZ55" s="521"/>
      <c r="BA55" s="600"/>
    </row>
    <row r="56" spans="2:53">
      <c r="B56" s="610"/>
      <c r="C56" s="320">
        <v>10</v>
      </c>
      <c r="D56" s="455"/>
      <c r="E56" s="518"/>
      <c r="F56" s="518"/>
      <c r="G56" s="518"/>
      <c r="H56" s="668"/>
      <c r="I56" s="513" t="str">
        <f t="shared" si="38"/>
        <v>-</v>
      </c>
      <c r="J56" s="513" t="str">
        <f t="shared" si="39"/>
        <v>-</v>
      </c>
      <c r="K56" s="200" t="str">
        <f t="shared" si="40"/>
        <v>-</v>
      </c>
      <c r="L56" s="621"/>
      <c r="M56" s="201" t="e">
        <f>RANK(K56, K$47:$K$61)</f>
        <v>#VALUE!</v>
      </c>
      <c r="N56" s="604"/>
      <c r="O56" s="604"/>
      <c r="P56" s="531" t="s">
        <v>822</v>
      </c>
      <c r="Q56" s="533" t="s">
        <v>822</v>
      </c>
      <c r="R56" s="533" t="s">
        <v>822</v>
      </c>
      <c r="S56" s="531"/>
      <c r="T56" s="600"/>
      <c r="U56" s="531" t="s">
        <v>822</v>
      </c>
      <c r="V56" s="533" t="s">
        <v>822</v>
      </c>
      <c r="W56" s="533" t="s">
        <v>822</v>
      </c>
      <c r="X56" s="531"/>
      <c r="Y56" s="600"/>
      <c r="Z56" s="531" t="s">
        <v>822</v>
      </c>
      <c r="AA56" s="533" t="s">
        <v>822</v>
      </c>
      <c r="AB56" s="533" t="s">
        <v>822</v>
      </c>
      <c r="AC56" s="531"/>
      <c r="AD56" s="600"/>
      <c r="AE56" s="531" t="s">
        <v>822</v>
      </c>
      <c r="AF56" s="533" t="s">
        <v>822</v>
      </c>
      <c r="AG56" s="533" t="s">
        <v>822</v>
      </c>
      <c r="AH56" s="531"/>
      <c r="AI56" s="600"/>
      <c r="AJ56" s="531" t="s">
        <v>822</v>
      </c>
      <c r="AK56" s="533" t="s">
        <v>822</v>
      </c>
      <c r="AL56" s="533" t="s">
        <v>822</v>
      </c>
      <c r="AM56" s="531"/>
      <c r="AN56" s="600"/>
      <c r="AO56" s="531" t="s">
        <v>822</v>
      </c>
      <c r="AP56" s="533" t="s">
        <v>822</v>
      </c>
      <c r="AQ56" s="533" t="s">
        <v>822</v>
      </c>
      <c r="AR56" s="531"/>
      <c r="AS56" s="600"/>
      <c r="AT56" s="531" t="s">
        <v>822</v>
      </c>
      <c r="AU56" s="533" t="s">
        <v>822</v>
      </c>
      <c r="AV56" s="533" t="s">
        <v>822</v>
      </c>
      <c r="AW56" s="531"/>
      <c r="AX56" s="600"/>
      <c r="AZ56" s="521"/>
      <c r="BA56" s="600"/>
    </row>
    <row r="57" spans="2:53">
      <c r="B57" s="610"/>
      <c r="C57" s="320">
        <v>11</v>
      </c>
      <c r="D57" s="455"/>
      <c r="E57" s="518"/>
      <c r="F57" s="518"/>
      <c r="G57" s="518"/>
      <c r="H57" s="668"/>
      <c r="I57" s="513" t="str">
        <f t="shared" si="38"/>
        <v>-</v>
      </c>
      <c r="J57" s="513" t="str">
        <f t="shared" si="39"/>
        <v>-</v>
      </c>
      <c r="K57" s="200" t="str">
        <f t="shared" si="40"/>
        <v>-</v>
      </c>
      <c r="L57" s="621"/>
      <c r="M57" s="201" t="e">
        <f>RANK(K57, K$47:$K$61)</f>
        <v>#VALUE!</v>
      </c>
      <c r="N57" s="604"/>
      <c r="O57" s="604"/>
      <c r="P57" s="531" t="s">
        <v>822</v>
      </c>
      <c r="Q57" s="533" t="s">
        <v>822</v>
      </c>
      <c r="R57" s="533" t="s">
        <v>822</v>
      </c>
      <c r="S57" s="531"/>
      <c r="T57" s="600"/>
      <c r="U57" s="531" t="s">
        <v>822</v>
      </c>
      <c r="V57" s="533" t="s">
        <v>822</v>
      </c>
      <c r="W57" s="533" t="s">
        <v>822</v>
      </c>
      <c r="X57" s="531"/>
      <c r="Y57" s="600"/>
      <c r="Z57" s="531" t="s">
        <v>822</v>
      </c>
      <c r="AA57" s="533" t="s">
        <v>822</v>
      </c>
      <c r="AB57" s="533" t="s">
        <v>822</v>
      </c>
      <c r="AC57" s="531"/>
      <c r="AD57" s="600"/>
      <c r="AE57" s="531" t="s">
        <v>822</v>
      </c>
      <c r="AF57" s="533" t="s">
        <v>822</v>
      </c>
      <c r="AG57" s="533" t="s">
        <v>822</v>
      </c>
      <c r="AH57" s="531"/>
      <c r="AI57" s="600"/>
      <c r="AJ57" s="531" t="s">
        <v>822</v>
      </c>
      <c r="AK57" s="533" t="s">
        <v>822</v>
      </c>
      <c r="AL57" s="533" t="s">
        <v>822</v>
      </c>
      <c r="AM57" s="531"/>
      <c r="AN57" s="600"/>
      <c r="AO57" s="531" t="s">
        <v>822</v>
      </c>
      <c r="AP57" s="533" t="s">
        <v>822</v>
      </c>
      <c r="AQ57" s="533" t="s">
        <v>822</v>
      </c>
      <c r="AR57" s="531"/>
      <c r="AS57" s="600"/>
      <c r="AT57" s="531" t="s">
        <v>822</v>
      </c>
      <c r="AU57" s="533" t="s">
        <v>822</v>
      </c>
      <c r="AV57" s="533" t="s">
        <v>822</v>
      </c>
      <c r="AW57" s="531"/>
      <c r="AX57" s="600"/>
      <c r="AZ57" s="521"/>
      <c r="BA57" s="600"/>
    </row>
    <row r="58" spans="2:53">
      <c r="B58" s="610"/>
      <c r="C58" s="320">
        <v>12</v>
      </c>
      <c r="D58" s="455"/>
      <c r="E58" s="518"/>
      <c r="F58" s="518"/>
      <c r="G58" s="518"/>
      <c r="H58" s="668"/>
      <c r="I58" s="513" t="str">
        <f t="shared" si="38"/>
        <v>-</v>
      </c>
      <c r="J58" s="513" t="str">
        <f t="shared" si="39"/>
        <v>-</v>
      </c>
      <c r="K58" s="200" t="str">
        <f t="shared" si="40"/>
        <v>-</v>
      </c>
      <c r="L58" s="621"/>
      <c r="M58" s="201" t="e">
        <f>RANK(K58, K$47:$K$61)</f>
        <v>#VALUE!</v>
      </c>
      <c r="N58" s="604"/>
      <c r="O58" s="604"/>
      <c r="P58" s="531" t="s">
        <v>822</v>
      </c>
      <c r="Q58" s="533" t="s">
        <v>822</v>
      </c>
      <c r="R58" s="533" t="s">
        <v>822</v>
      </c>
      <c r="S58" s="531"/>
      <c r="T58" s="600"/>
      <c r="U58" s="531" t="s">
        <v>822</v>
      </c>
      <c r="V58" s="533" t="s">
        <v>822</v>
      </c>
      <c r="W58" s="533" t="s">
        <v>822</v>
      </c>
      <c r="X58" s="531"/>
      <c r="Y58" s="600"/>
      <c r="Z58" s="531" t="s">
        <v>822</v>
      </c>
      <c r="AA58" s="533" t="s">
        <v>822</v>
      </c>
      <c r="AB58" s="533" t="s">
        <v>822</v>
      </c>
      <c r="AC58" s="531"/>
      <c r="AD58" s="600"/>
      <c r="AE58" s="531" t="s">
        <v>822</v>
      </c>
      <c r="AF58" s="533" t="s">
        <v>822</v>
      </c>
      <c r="AG58" s="533" t="s">
        <v>822</v>
      </c>
      <c r="AH58" s="531"/>
      <c r="AI58" s="600"/>
      <c r="AJ58" s="531" t="s">
        <v>822</v>
      </c>
      <c r="AK58" s="533" t="s">
        <v>822</v>
      </c>
      <c r="AL58" s="533" t="s">
        <v>822</v>
      </c>
      <c r="AM58" s="531"/>
      <c r="AN58" s="600"/>
      <c r="AO58" s="531" t="s">
        <v>822</v>
      </c>
      <c r="AP58" s="533" t="s">
        <v>822</v>
      </c>
      <c r="AQ58" s="533" t="s">
        <v>822</v>
      </c>
      <c r="AR58" s="531"/>
      <c r="AS58" s="600"/>
      <c r="AT58" s="531" t="s">
        <v>822</v>
      </c>
      <c r="AU58" s="533" t="s">
        <v>822</v>
      </c>
      <c r="AV58" s="533" t="s">
        <v>822</v>
      </c>
      <c r="AW58" s="531"/>
      <c r="AX58" s="600"/>
      <c r="AZ58" s="521"/>
      <c r="BA58" s="600"/>
    </row>
    <row r="59" spans="2:53">
      <c r="B59" s="610"/>
      <c r="C59" s="320">
        <v>13</v>
      </c>
      <c r="D59" s="455"/>
      <c r="E59" s="518"/>
      <c r="F59" s="518"/>
      <c r="G59" s="518"/>
      <c r="H59" s="668"/>
      <c r="I59" s="513" t="str">
        <f t="shared" si="38"/>
        <v>-</v>
      </c>
      <c r="J59" s="513" t="str">
        <f t="shared" si="39"/>
        <v>-</v>
      </c>
      <c r="K59" s="200" t="str">
        <f t="shared" si="40"/>
        <v>-</v>
      </c>
      <c r="L59" s="621"/>
      <c r="M59" s="201" t="e">
        <f>RANK(K59, K$47:$K$61)</f>
        <v>#VALUE!</v>
      </c>
      <c r="N59" s="604"/>
      <c r="O59" s="604"/>
      <c r="P59" s="531" t="s">
        <v>822</v>
      </c>
      <c r="Q59" s="533" t="s">
        <v>822</v>
      </c>
      <c r="R59" s="533" t="s">
        <v>822</v>
      </c>
      <c r="S59" s="531"/>
      <c r="T59" s="600"/>
      <c r="U59" s="531" t="s">
        <v>822</v>
      </c>
      <c r="V59" s="533" t="s">
        <v>822</v>
      </c>
      <c r="W59" s="533" t="s">
        <v>822</v>
      </c>
      <c r="X59" s="531"/>
      <c r="Y59" s="600"/>
      <c r="Z59" s="531" t="s">
        <v>822</v>
      </c>
      <c r="AA59" s="533" t="s">
        <v>822</v>
      </c>
      <c r="AB59" s="533" t="s">
        <v>822</v>
      </c>
      <c r="AC59" s="531"/>
      <c r="AD59" s="600"/>
      <c r="AE59" s="531" t="s">
        <v>822</v>
      </c>
      <c r="AF59" s="533" t="s">
        <v>822</v>
      </c>
      <c r="AG59" s="533" t="s">
        <v>822</v>
      </c>
      <c r="AH59" s="531"/>
      <c r="AI59" s="600"/>
      <c r="AJ59" s="531" t="s">
        <v>822</v>
      </c>
      <c r="AK59" s="533" t="s">
        <v>822</v>
      </c>
      <c r="AL59" s="533" t="s">
        <v>822</v>
      </c>
      <c r="AM59" s="531"/>
      <c r="AN59" s="600"/>
      <c r="AO59" s="531" t="s">
        <v>822</v>
      </c>
      <c r="AP59" s="533" t="s">
        <v>822</v>
      </c>
      <c r="AQ59" s="533" t="s">
        <v>822</v>
      </c>
      <c r="AR59" s="531"/>
      <c r="AS59" s="600"/>
      <c r="AT59" s="531" t="s">
        <v>822</v>
      </c>
      <c r="AU59" s="533" t="s">
        <v>822</v>
      </c>
      <c r="AV59" s="533" t="s">
        <v>822</v>
      </c>
      <c r="AW59" s="531"/>
      <c r="AX59" s="600"/>
      <c r="AZ59" s="521"/>
      <c r="BA59" s="600"/>
    </row>
    <row r="60" spans="2:53">
      <c r="B60" s="610"/>
      <c r="C60" s="320">
        <v>14</v>
      </c>
      <c r="D60" s="455"/>
      <c r="E60" s="518"/>
      <c r="F60" s="518"/>
      <c r="G60" s="518"/>
      <c r="H60" s="668"/>
      <c r="I60" s="513" t="str">
        <f t="shared" si="38"/>
        <v>-</v>
      </c>
      <c r="J60" s="513" t="str">
        <f t="shared" si="39"/>
        <v>-</v>
      </c>
      <c r="K60" s="200" t="str">
        <f t="shared" si="40"/>
        <v>-</v>
      </c>
      <c r="L60" s="621"/>
      <c r="M60" s="201" t="e">
        <f>RANK(K60, K$47:$K$61)</f>
        <v>#VALUE!</v>
      </c>
      <c r="N60" s="604"/>
      <c r="O60" s="604"/>
      <c r="P60" s="531" t="s">
        <v>822</v>
      </c>
      <c r="Q60" s="533" t="s">
        <v>822</v>
      </c>
      <c r="R60" s="533" t="s">
        <v>822</v>
      </c>
      <c r="S60" s="531"/>
      <c r="T60" s="600"/>
      <c r="U60" s="531" t="s">
        <v>822</v>
      </c>
      <c r="V60" s="533" t="s">
        <v>822</v>
      </c>
      <c r="W60" s="533" t="s">
        <v>822</v>
      </c>
      <c r="X60" s="531"/>
      <c r="Y60" s="600"/>
      <c r="Z60" s="531" t="s">
        <v>822</v>
      </c>
      <c r="AA60" s="533" t="s">
        <v>822</v>
      </c>
      <c r="AB60" s="533" t="s">
        <v>822</v>
      </c>
      <c r="AC60" s="531"/>
      <c r="AD60" s="600"/>
      <c r="AE60" s="531" t="s">
        <v>822</v>
      </c>
      <c r="AF60" s="533" t="s">
        <v>822</v>
      </c>
      <c r="AG60" s="533" t="s">
        <v>822</v>
      </c>
      <c r="AH60" s="531"/>
      <c r="AI60" s="600"/>
      <c r="AJ60" s="531" t="s">
        <v>822</v>
      </c>
      <c r="AK60" s="533" t="s">
        <v>822</v>
      </c>
      <c r="AL60" s="533" t="s">
        <v>822</v>
      </c>
      <c r="AM60" s="531"/>
      <c r="AN60" s="600"/>
      <c r="AO60" s="531" t="s">
        <v>822</v>
      </c>
      <c r="AP60" s="533" t="s">
        <v>822</v>
      </c>
      <c r="AQ60" s="533" t="s">
        <v>822</v>
      </c>
      <c r="AR60" s="531"/>
      <c r="AS60" s="600"/>
      <c r="AT60" s="531" t="s">
        <v>822</v>
      </c>
      <c r="AU60" s="533" t="s">
        <v>822</v>
      </c>
      <c r="AV60" s="533" t="s">
        <v>822</v>
      </c>
      <c r="AW60" s="531"/>
      <c r="AX60" s="600"/>
      <c r="AZ60" s="521"/>
      <c r="BA60" s="600"/>
    </row>
    <row r="61" spans="2:53">
      <c r="B61" s="610"/>
      <c r="C61" s="320">
        <v>15</v>
      </c>
      <c r="D61" s="455"/>
      <c r="E61" s="518"/>
      <c r="F61" s="518"/>
      <c r="G61" s="518"/>
      <c r="H61" s="669"/>
      <c r="I61" s="517"/>
      <c r="J61" s="517"/>
      <c r="K61" s="517"/>
      <c r="L61" s="622"/>
      <c r="M61" s="201" t="e">
        <f>RANK(K61, K$47:$K$61)</f>
        <v>#N/A</v>
      </c>
      <c r="N61" s="604"/>
      <c r="O61" s="604"/>
      <c r="P61" s="531" t="s">
        <v>822</v>
      </c>
      <c r="Q61" s="533" t="s">
        <v>822</v>
      </c>
      <c r="R61" s="533" t="s">
        <v>822</v>
      </c>
      <c r="S61" s="531"/>
      <c r="T61" s="601"/>
      <c r="U61" s="531" t="s">
        <v>822</v>
      </c>
      <c r="V61" s="533" t="s">
        <v>822</v>
      </c>
      <c r="W61" s="533" t="s">
        <v>822</v>
      </c>
      <c r="X61" s="531"/>
      <c r="Y61" s="601"/>
      <c r="Z61" s="531" t="s">
        <v>822</v>
      </c>
      <c r="AA61" s="533" t="s">
        <v>822</v>
      </c>
      <c r="AB61" s="533" t="s">
        <v>822</v>
      </c>
      <c r="AC61" s="531"/>
      <c r="AD61" s="601"/>
      <c r="AE61" s="531" t="s">
        <v>822</v>
      </c>
      <c r="AF61" s="533" t="s">
        <v>822</v>
      </c>
      <c r="AG61" s="533" t="s">
        <v>822</v>
      </c>
      <c r="AH61" s="531"/>
      <c r="AI61" s="601"/>
      <c r="AJ61" s="531" t="s">
        <v>822</v>
      </c>
      <c r="AK61" s="533" t="s">
        <v>822</v>
      </c>
      <c r="AL61" s="533" t="s">
        <v>822</v>
      </c>
      <c r="AM61" s="531"/>
      <c r="AN61" s="601"/>
      <c r="AO61" s="531" t="s">
        <v>822</v>
      </c>
      <c r="AP61" s="533" t="s">
        <v>822</v>
      </c>
      <c r="AQ61" s="533" t="s">
        <v>822</v>
      </c>
      <c r="AR61" s="531"/>
      <c r="AS61" s="601"/>
      <c r="AT61" s="531" t="s">
        <v>822</v>
      </c>
      <c r="AU61" s="533" t="s">
        <v>822</v>
      </c>
      <c r="AV61" s="533" t="s">
        <v>822</v>
      </c>
      <c r="AW61" s="531"/>
      <c r="AX61" s="601"/>
      <c r="AZ61" s="521"/>
      <c r="BA61" s="601"/>
    </row>
    <row r="62" spans="2:53" ht="15.75">
      <c r="B62" s="633" t="s">
        <v>163</v>
      </c>
      <c r="C62" s="634"/>
      <c r="D62" s="634"/>
      <c r="E62" s="634"/>
      <c r="F62" s="634"/>
      <c r="G62" s="634"/>
      <c r="H62" s="635"/>
      <c r="I62" s="208"/>
      <c r="J62" s="208"/>
      <c r="K62" s="208"/>
      <c r="L62" s="208"/>
      <c r="M62" s="207"/>
      <c r="N62" s="606" t="s">
        <v>156</v>
      </c>
      <c r="O62" s="606" t="s">
        <v>105</v>
      </c>
      <c r="P62" s="632">
        <f>P42+7</f>
        <v>46133</v>
      </c>
      <c r="Q62" s="610"/>
      <c r="R62" s="610"/>
      <c r="S62" s="610"/>
      <c r="T62" s="610"/>
      <c r="U62" s="629">
        <f>P62+1</f>
        <v>46134</v>
      </c>
      <c r="V62" s="630"/>
      <c r="W62" s="630"/>
      <c r="X62" s="630"/>
      <c r="Y62" s="631"/>
      <c r="Z62" s="629">
        <f>U62+1</f>
        <v>46135</v>
      </c>
      <c r="AA62" s="630"/>
      <c r="AB62" s="630"/>
      <c r="AC62" s="630"/>
      <c r="AD62" s="631"/>
      <c r="AE62" s="629">
        <f>Z62+1</f>
        <v>46136</v>
      </c>
      <c r="AF62" s="630"/>
      <c r="AG62" s="630"/>
      <c r="AH62" s="630"/>
      <c r="AI62" s="631"/>
      <c r="AJ62" s="629">
        <f>AE62+1</f>
        <v>46137</v>
      </c>
      <c r="AK62" s="630"/>
      <c r="AL62" s="630"/>
      <c r="AM62" s="630"/>
      <c r="AN62" s="631"/>
      <c r="AO62" s="629">
        <f>AJ62+1</f>
        <v>46138</v>
      </c>
      <c r="AP62" s="630"/>
      <c r="AQ62" s="630"/>
      <c r="AR62" s="630"/>
      <c r="AS62" s="631"/>
      <c r="AT62" s="629">
        <f>AO62+1</f>
        <v>46139</v>
      </c>
      <c r="AU62" s="630"/>
      <c r="AV62" s="630"/>
      <c r="AW62" s="630"/>
      <c r="AX62" s="631"/>
    </row>
    <row r="63" spans="2:53" ht="15.75">
      <c r="B63" s="636"/>
      <c r="C63" s="636"/>
      <c r="D63" s="636"/>
      <c r="E63" s="636"/>
      <c r="F63" s="636"/>
      <c r="G63" s="636"/>
      <c r="H63" s="636"/>
      <c r="I63" s="205"/>
      <c r="J63" s="205"/>
      <c r="K63" s="205"/>
      <c r="L63" s="205"/>
      <c r="M63" s="206"/>
      <c r="N63" s="608"/>
      <c r="O63" s="608"/>
      <c r="P63" s="632" t="s">
        <v>336</v>
      </c>
      <c r="Q63" s="610"/>
      <c r="R63" s="610"/>
      <c r="S63" s="610"/>
      <c r="T63" s="610"/>
      <c r="U63" s="632" t="s">
        <v>337</v>
      </c>
      <c r="V63" s="610"/>
      <c r="W63" s="610"/>
      <c r="X63" s="610"/>
      <c r="Y63" s="610"/>
      <c r="Z63" s="632" t="s">
        <v>338</v>
      </c>
      <c r="AA63" s="610"/>
      <c r="AB63" s="610"/>
      <c r="AC63" s="610"/>
      <c r="AD63" s="610"/>
      <c r="AE63" s="632" t="s">
        <v>339</v>
      </c>
      <c r="AF63" s="610"/>
      <c r="AG63" s="610"/>
      <c r="AH63" s="610"/>
      <c r="AI63" s="610"/>
      <c r="AJ63" s="632" t="s">
        <v>340</v>
      </c>
      <c r="AK63" s="610"/>
      <c r="AL63" s="610"/>
      <c r="AM63" s="610"/>
      <c r="AN63" s="610"/>
      <c r="AO63" s="632" t="s">
        <v>341</v>
      </c>
      <c r="AP63" s="610"/>
      <c r="AQ63" s="610"/>
      <c r="AR63" s="610"/>
      <c r="AS63" s="610"/>
      <c r="AT63" s="632" t="s">
        <v>342</v>
      </c>
      <c r="AU63" s="610"/>
      <c r="AV63" s="610"/>
      <c r="AW63" s="610"/>
      <c r="AX63" s="610"/>
    </row>
    <row r="64" spans="2:53">
      <c r="B64" s="604" t="s">
        <v>441</v>
      </c>
      <c r="C64" s="604" t="s">
        <v>442</v>
      </c>
      <c r="D64" s="604"/>
      <c r="E64" s="604" t="s">
        <v>443</v>
      </c>
      <c r="F64" s="604"/>
      <c r="G64" s="604"/>
      <c r="H64" s="637" t="s">
        <v>444</v>
      </c>
      <c r="I64" s="656" t="s">
        <v>445</v>
      </c>
      <c r="J64" s="656"/>
      <c r="K64" s="656"/>
      <c r="L64" s="657" t="s">
        <v>395</v>
      </c>
      <c r="M64" s="642" t="s">
        <v>446</v>
      </c>
      <c r="N64" s="604"/>
      <c r="O64" s="604" t="s">
        <v>447</v>
      </c>
      <c r="P64" s="623" t="s">
        <v>448</v>
      </c>
      <c r="Q64" s="624"/>
      <c r="R64" s="624"/>
      <c r="S64" s="625"/>
      <c r="T64" s="604" t="s">
        <v>444</v>
      </c>
      <c r="U64" s="623" t="s">
        <v>448</v>
      </c>
      <c r="V64" s="624"/>
      <c r="W64" s="624"/>
      <c r="X64" s="625"/>
      <c r="Y64" s="604" t="s">
        <v>444</v>
      </c>
      <c r="Z64" s="623" t="s">
        <v>448</v>
      </c>
      <c r="AA64" s="624"/>
      <c r="AB64" s="624"/>
      <c r="AC64" s="625"/>
      <c r="AD64" s="604" t="s">
        <v>444</v>
      </c>
      <c r="AE64" s="623" t="s">
        <v>448</v>
      </c>
      <c r="AF64" s="624"/>
      <c r="AG64" s="624"/>
      <c r="AH64" s="625"/>
      <c r="AI64" s="604" t="s">
        <v>444</v>
      </c>
      <c r="AJ64" s="623" t="s">
        <v>448</v>
      </c>
      <c r="AK64" s="624"/>
      <c r="AL64" s="624"/>
      <c r="AM64" s="625"/>
      <c r="AN64" s="604" t="s">
        <v>444</v>
      </c>
      <c r="AO64" s="623" t="s">
        <v>448</v>
      </c>
      <c r="AP64" s="624"/>
      <c r="AQ64" s="624"/>
      <c r="AR64" s="625"/>
      <c r="AS64" s="604" t="s">
        <v>444</v>
      </c>
      <c r="AT64" s="623" t="s">
        <v>448</v>
      </c>
      <c r="AU64" s="624"/>
      <c r="AV64" s="624"/>
      <c r="AW64" s="625"/>
      <c r="AX64" s="604" t="s">
        <v>444</v>
      </c>
      <c r="BA64" s="604" t="s">
        <v>395</v>
      </c>
    </row>
    <row r="65" spans="2:53">
      <c r="B65" s="604"/>
      <c r="C65" s="604"/>
      <c r="D65" s="604"/>
      <c r="E65" s="604" t="s">
        <v>449</v>
      </c>
      <c r="F65" s="604"/>
      <c r="G65" s="604"/>
      <c r="H65" s="638"/>
      <c r="I65" s="656" t="s">
        <v>449</v>
      </c>
      <c r="J65" s="656"/>
      <c r="K65" s="656"/>
      <c r="L65" s="658"/>
      <c r="M65" s="643"/>
      <c r="N65" s="604"/>
      <c r="O65" s="604"/>
      <c r="P65" s="623" t="s">
        <v>450</v>
      </c>
      <c r="Q65" s="624"/>
      <c r="R65" s="624"/>
      <c r="S65" s="625"/>
      <c r="T65" s="604"/>
      <c r="U65" s="623" t="s">
        <v>450</v>
      </c>
      <c r="V65" s="624"/>
      <c r="W65" s="624"/>
      <c r="X65" s="625"/>
      <c r="Y65" s="604"/>
      <c r="Z65" s="623" t="s">
        <v>450</v>
      </c>
      <c r="AA65" s="624"/>
      <c r="AB65" s="624"/>
      <c r="AC65" s="625"/>
      <c r="AD65" s="604"/>
      <c r="AE65" s="623" t="s">
        <v>450</v>
      </c>
      <c r="AF65" s="624"/>
      <c r="AG65" s="624"/>
      <c r="AH65" s="625"/>
      <c r="AI65" s="604"/>
      <c r="AJ65" s="623" t="s">
        <v>450</v>
      </c>
      <c r="AK65" s="624"/>
      <c r="AL65" s="624"/>
      <c r="AM65" s="625"/>
      <c r="AN65" s="604"/>
      <c r="AO65" s="623" t="s">
        <v>450</v>
      </c>
      <c r="AP65" s="624"/>
      <c r="AQ65" s="624"/>
      <c r="AR65" s="625"/>
      <c r="AS65" s="604"/>
      <c r="AT65" s="623" t="s">
        <v>450</v>
      </c>
      <c r="AU65" s="624"/>
      <c r="AV65" s="624"/>
      <c r="AW65" s="625"/>
      <c r="AX65" s="604"/>
      <c r="BA65" s="604"/>
    </row>
    <row r="66" spans="2:53">
      <c r="B66" s="604"/>
      <c r="C66" s="604"/>
      <c r="D66" s="604"/>
      <c r="E66" s="304" t="s">
        <v>451</v>
      </c>
      <c r="F66" s="304" t="s">
        <v>452</v>
      </c>
      <c r="G66" s="304" t="s">
        <v>453</v>
      </c>
      <c r="H66" s="639"/>
      <c r="I66" s="303" t="s">
        <v>451</v>
      </c>
      <c r="J66" s="303" t="s">
        <v>452</v>
      </c>
      <c r="K66" s="303" t="s">
        <v>453</v>
      </c>
      <c r="L66" s="659"/>
      <c r="M66" s="644"/>
      <c r="N66" s="604"/>
      <c r="O66" s="604"/>
      <c r="P66" s="304" t="s">
        <v>451</v>
      </c>
      <c r="Q66" s="304" t="s">
        <v>452</v>
      </c>
      <c r="R66" s="304" t="s">
        <v>453</v>
      </c>
      <c r="S66" s="304" t="s">
        <v>446</v>
      </c>
      <c r="T66" s="604"/>
      <c r="U66" s="304" t="s">
        <v>451</v>
      </c>
      <c r="V66" s="304" t="s">
        <v>452</v>
      </c>
      <c r="W66" s="304" t="s">
        <v>453</v>
      </c>
      <c r="X66" s="304" t="s">
        <v>446</v>
      </c>
      <c r="Y66" s="604"/>
      <c r="Z66" s="304" t="s">
        <v>451</v>
      </c>
      <c r="AA66" s="304" t="s">
        <v>452</v>
      </c>
      <c r="AB66" s="304" t="s">
        <v>453</v>
      </c>
      <c r="AC66" s="304" t="s">
        <v>446</v>
      </c>
      <c r="AD66" s="604"/>
      <c r="AE66" s="304" t="s">
        <v>451</v>
      </c>
      <c r="AF66" s="304" t="s">
        <v>452</v>
      </c>
      <c r="AG66" s="304" t="s">
        <v>453</v>
      </c>
      <c r="AH66" s="304" t="s">
        <v>446</v>
      </c>
      <c r="AI66" s="604"/>
      <c r="AJ66" s="304" t="s">
        <v>451</v>
      </c>
      <c r="AK66" s="304" t="s">
        <v>452</v>
      </c>
      <c r="AL66" s="304" t="s">
        <v>453</v>
      </c>
      <c r="AM66" s="304" t="s">
        <v>446</v>
      </c>
      <c r="AN66" s="604"/>
      <c r="AO66" s="304" t="s">
        <v>451</v>
      </c>
      <c r="AP66" s="304" t="s">
        <v>452</v>
      </c>
      <c r="AQ66" s="304" t="s">
        <v>453</v>
      </c>
      <c r="AR66" s="304" t="s">
        <v>446</v>
      </c>
      <c r="AS66" s="604"/>
      <c r="AT66" s="304" t="s">
        <v>451</v>
      </c>
      <c r="AU66" s="304" t="s">
        <v>452</v>
      </c>
      <c r="AV66" s="304" t="s">
        <v>453</v>
      </c>
      <c r="AW66" s="304" t="s">
        <v>446</v>
      </c>
      <c r="AX66" s="604"/>
      <c r="AZ66" s="520" t="s">
        <v>396</v>
      </c>
      <c r="BA66" s="604"/>
    </row>
    <row r="67" spans="2:53">
      <c r="B67" s="604" t="s">
        <v>455</v>
      </c>
      <c r="C67" s="305">
        <v>1</v>
      </c>
      <c r="D67" s="226" t="s">
        <v>381</v>
      </c>
      <c r="E67" s="182">
        <v>7</v>
      </c>
      <c r="F67" s="511">
        <v>1500</v>
      </c>
      <c r="G67" s="512">
        <v>214.3</v>
      </c>
      <c r="H67" s="667">
        <f>AVERAGE(G67:G81)</f>
        <v>184.21428571428575</v>
      </c>
      <c r="I67" s="513">
        <f t="shared" ref="I67:I80" si="57">IFERROR(AVERAGE(P67,U67,Z67,AE67,AJ67,AO67,AT67),"-")</f>
        <v>7</v>
      </c>
      <c r="J67" s="513">
        <f t="shared" ref="J67:J80" si="58">IFERROR(AVERAGE(Q67,V67,AA67,AF67,AK67,AP67,AU67),"-")</f>
        <v>1409.5070641107125</v>
      </c>
      <c r="K67" s="200">
        <f t="shared" ref="K67:K80" si="59">IFERROR(AVERAGE(R67,W67,AB67,AG67,AL67,AQ67,AV67),"-")</f>
        <v>201.3581520158161</v>
      </c>
      <c r="L67" s="620">
        <f>IFERROR(AVERAGE(K67:K81),"-")</f>
        <v>172.49550092429675</v>
      </c>
      <c r="M67" s="201">
        <f>RANK(K67, K$67:$K$81)</f>
        <v>4</v>
      </c>
      <c r="N67" s="604"/>
      <c r="O67" s="604"/>
      <c r="P67" s="536">
        <v>7</v>
      </c>
      <c r="Q67" s="538">
        <v>1410.7894736842104</v>
      </c>
      <c r="R67" s="538">
        <v>201.54135338345864</v>
      </c>
      <c r="S67" s="536">
        <f t="shared" ref="S67:S81" si="60">RANK(R67, R$67:R$81)</f>
        <v>4</v>
      </c>
      <c r="T67" s="599">
        <f t="shared" ref="T67" si="61">AVERAGE(R67:R81)</f>
        <v>173.3084946374625</v>
      </c>
      <c r="U67" s="536">
        <v>7</v>
      </c>
      <c r="V67" s="538">
        <v>1411.9480519480519</v>
      </c>
      <c r="W67" s="538">
        <v>201.70686456400742</v>
      </c>
      <c r="X67" s="536">
        <f t="shared" ref="X67:X81" si="62">RANK(W67, W$67:W$81)</f>
        <v>3</v>
      </c>
      <c r="Y67" s="599">
        <f t="shared" ref="Y67" si="63">AVERAGE(W67:W81)</f>
        <v>171.81868775363029</v>
      </c>
      <c r="Z67" s="536">
        <v>7</v>
      </c>
      <c r="AA67" s="538">
        <v>1387.2289156626509</v>
      </c>
      <c r="AB67" s="538">
        <v>198.1755593803787</v>
      </c>
      <c r="AC67" s="536">
        <f t="shared" ref="AC67:AC81" si="64">RANK(AB67, AB$67:AB$81)</f>
        <v>5</v>
      </c>
      <c r="AD67" s="599">
        <f t="shared" ref="AD67" si="65">AVERAGE(AB67:AB81)</f>
        <v>172.01779771370451</v>
      </c>
      <c r="AE67" s="536">
        <v>7</v>
      </c>
      <c r="AF67" s="538">
        <v>1426.9565217391305</v>
      </c>
      <c r="AG67" s="538">
        <v>203.85093167701865</v>
      </c>
      <c r="AH67" s="536">
        <f t="shared" ref="AH67:AH81" si="66">RANK(AG67, AG$67:AG$81)</f>
        <v>4</v>
      </c>
      <c r="AI67" s="599">
        <f t="shared" ref="AI67" si="67">AVERAGE(AG67:AG81)</f>
        <v>172.81039881535443</v>
      </c>
      <c r="AJ67" s="536">
        <v>7</v>
      </c>
      <c r="AK67" s="538">
        <v>1403.7037037037039</v>
      </c>
      <c r="AL67" s="538">
        <v>200.52910052910056</v>
      </c>
      <c r="AM67" s="536">
        <f t="shared" ref="AM67:AM81" si="68">RANK(AL67, AL$67:AL$81)</f>
        <v>2</v>
      </c>
      <c r="AN67" s="599">
        <f t="shared" ref="AN67" si="69">AVERAGE(AL67:AL81)</f>
        <v>171.9338982130223</v>
      </c>
      <c r="AO67" s="536">
        <v>7</v>
      </c>
      <c r="AP67" s="538">
        <v>1400.240963855422</v>
      </c>
      <c r="AQ67" s="538">
        <v>200.03442340791744</v>
      </c>
      <c r="AR67" s="536">
        <f t="shared" ref="AR67:AR81" si="70">RANK(AQ67, AQ$67:AQ$81)</f>
        <v>5</v>
      </c>
      <c r="AS67" s="599">
        <f t="shared" ref="AS67" si="71">AVERAGE(AQ67:AQ81)</f>
        <v>173.00923539936591</v>
      </c>
      <c r="AT67" s="536">
        <v>7</v>
      </c>
      <c r="AU67" s="538">
        <v>1425.6818181818182</v>
      </c>
      <c r="AV67" s="538">
        <v>203.66883116883119</v>
      </c>
      <c r="AW67" s="536">
        <f t="shared" ref="AW67:AW81" si="72">RANK(AV67, AV$67:AV$81)</f>
        <v>2</v>
      </c>
      <c r="AX67" s="599">
        <f t="shared" ref="AX67" si="73">AVERAGE(AV67:AV81)</f>
        <v>172.5699939375375</v>
      </c>
      <c r="AZ67" s="521" t="e">
        <f t="shared" ref="AZ67:AZ81" si="74">RANK(AY67, AY$67:AY$81)</f>
        <v>#N/A</v>
      </c>
      <c r="BA67" s="599" t="e">
        <f t="shared" ref="BA67" si="75">AVERAGE(AY67:AY81)</f>
        <v>#DIV/0!</v>
      </c>
    </row>
    <row r="68" spans="2:53">
      <c r="B68" s="610"/>
      <c r="C68" s="305">
        <v>2</v>
      </c>
      <c r="D68" s="226" t="s">
        <v>382</v>
      </c>
      <c r="E68" s="182">
        <v>7</v>
      </c>
      <c r="F68" s="511">
        <v>1500</v>
      </c>
      <c r="G68" s="512">
        <v>214.3</v>
      </c>
      <c r="H68" s="668"/>
      <c r="I68" s="513">
        <f t="shared" si="57"/>
        <v>7</v>
      </c>
      <c r="J68" s="513">
        <f t="shared" si="58"/>
        <v>1410.8771641801645</v>
      </c>
      <c r="K68" s="200">
        <f t="shared" si="59"/>
        <v>201.55388059716637</v>
      </c>
      <c r="L68" s="621"/>
      <c r="M68" s="201">
        <f>RANK(K68, K$67:$K$81)</f>
        <v>3</v>
      </c>
      <c r="N68" s="604"/>
      <c r="O68" s="604"/>
      <c r="P68" s="536">
        <v>7</v>
      </c>
      <c r="Q68" s="538">
        <v>1428.3720930232555</v>
      </c>
      <c r="R68" s="538">
        <v>204.05315614617936</v>
      </c>
      <c r="S68" s="536">
        <f t="shared" si="60"/>
        <v>3</v>
      </c>
      <c r="T68" s="600"/>
      <c r="U68" s="536">
        <v>7</v>
      </c>
      <c r="V68" s="538">
        <v>1395.9677419354834</v>
      </c>
      <c r="W68" s="538">
        <v>199.42396313364048</v>
      </c>
      <c r="X68" s="536">
        <f t="shared" si="62"/>
        <v>5</v>
      </c>
      <c r="Y68" s="600"/>
      <c r="Z68" s="536">
        <v>7</v>
      </c>
      <c r="AA68" s="538">
        <v>1403.7209302325577</v>
      </c>
      <c r="AB68" s="538">
        <v>200.53156146179396</v>
      </c>
      <c r="AC68" s="536">
        <f t="shared" si="64"/>
        <v>3</v>
      </c>
      <c r="AD68" s="600"/>
      <c r="AE68" s="536">
        <v>7</v>
      </c>
      <c r="AF68" s="538">
        <v>1395.7627118644068</v>
      </c>
      <c r="AG68" s="538">
        <v>199.39467312348668</v>
      </c>
      <c r="AH68" s="536">
        <f t="shared" si="66"/>
        <v>5</v>
      </c>
      <c r="AI68" s="600"/>
      <c r="AJ68" s="536">
        <v>7</v>
      </c>
      <c r="AK68" s="538">
        <v>1400.9302325581393</v>
      </c>
      <c r="AL68" s="538">
        <v>200.13289036544847</v>
      </c>
      <c r="AM68" s="536">
        <f t="shared" si="68"/>
        <v>3</v>
      </c>
      <c r="AN68" s="600"/>
      <c r="AO68" s="536">
        <v>7</v>
      </c>
      <c r="AP68" s="538">
        <v>1425.734265734266</v>
      </c>
      <c r="AQ68" s="538">
        <v>203.67632367632373</v>
      </c>
      <c r="AR68" s="536">
        <f t="shared" si="70"/>
        <v>2</v>
      </c>
      <c r="AS68" s="600"/>
      <c r="AT68" s="536">
        <v>7</v>
      </c>
      <c r="AU68" s="538">
        <v>1425.6521739130435</v>
      </c>
      <c r="AV68" s="538">
        <v>203.66459627329192</v>
      </c>
      <c r="AW68" s="536">
        <f t="shared" si="72"/>
        <v>3</v>
      </c>
      <c r="AX68" s="600"/>
      <c r="AZ68" s="521" t="e">
        <f t="shared" si="74"/>
        <v>#N/A</v>
      </c>
      <c r="BA68" s="600"/>
    </row>
    <row r="69" spans="2:53">
      <c r="B69" s="610"/>
      <c r="C69" s="305">
        <v>3</v>
      </c>
      <c r="D69" s="226" t="s">
        <v>349</v>
      </c>
      <c r="E69" s="182">
        <v>20</v>
      </c>
      <c r="F69" s="511">
        <v>1500</v>
      </c>
      <c r="G69" s="512">
        <v>75</v>
      </c>
      <c r="H69" s="668"/>
      <c r="I69" s="513">
        <f t="shared" si="57"/>
        <v>19.285714285714285</v>
      </c>
      <c r="J69" s="513">
        <f t="shared" si="58"/>
        <v>1307.6426475837902</v>
      </c>
      <c r="K69" s="200">
        <f t="shared" si="59"/>
        <v>67.752807200286412</v>
      </c>
      <c r="L69" s="621"/>
      <c r="M69" s="201">
        <f>RANK(K69, K$67:$K$81)</f>
        <v>7</v>
      </c>
      <c r="N69" s="604"/>
      <c r="O69" s="604"/>
      <c r="P69" s="536">
        <v>18</v>
      </c>
      <c r="Q69" s="538">
        <v>1135.38461538461</v>
      </c>
      <c r="R69" s="538">
        <v>63.076923076922782</v>
      </c>
      <c r="S69" s="536">
        <f t="shared" si="60"/>
        <v>7</v>
      </c>
      <c r="T69" s="600"/>
      <c r="U69" s="536">
        <v>18</v>
      </c>
      <c r="V69" s="538">
        <v>1207.1999999999905</v>
      </c>
      <c r="W69" s="538">
        <v>67.066666666666137</v>
      </c>
      <c r="X69" s="536">
        <f t="shared" si="62"/>
        <v>7</v>
      </c>
      <c r="Y69" s="600"/>
      <c r="Z69" s="536">
        <v>19</v>
      </c>
      <c r="AA69" s="538">
        <v>1360.5386138613856</v>
      </c>
      <c r="AB69" s="538">
        <v>71.60729546638872</v>
      </c>
      <c r="AC69" s="536">
        <f t="shared" si="64"/>
        <v>7</v>
      </c>
      <c r="AD69" s="600"/>
      <c r="AE69" s="536">
        <v>20</v>
      </c>
      <c r="AF69" s="538">
        <v>1356.2909090909084</v>
      </c>
      <c r="AG69" s="538">
        <v>67.814545454545424</v>
      </c>
      <c r="AH69" s="536">
        <f t="shared" si="66"/>
        <v>7</v>
      </c>
      <c r="AI69" s="600"/>
      <c r="AJ69" s="536">
        <v>20</v>
      </c>
      <c r="AK69" s="538">
        <v>1367.1999999999996</v>
      </c>
      <c r="AL69" s="538">
        <v>68.359999999999985</v>
      </c>
      <c r="AM69" s="536">
        <f t="shared" si="68"/>
        <v>7</v>
      </c>
      <c r="AN69" s="600"/>
      <c r="AO69" s="536">
        <v>20</v>
      </c>
      <c r="AP69" s="538">
        <v>1356.1785123966945</v>
      </c>
      <c r="AQ69" s="538">
        <v>67.808925619834724</v>
      </c>
      <c r="AR69" s="536">
        <f t="shared" si="70"/>
        <v>7</v>
      </c>
      <c r="AS69" s="600"/>
      <c r="AT69" s="536">
        <v>20</v>
      </c>
      <c r="AU69" s="538">
        <v>1370.7058823529405</v>
      </c>
      <c r="AV69" s="538">
        <v>68.535294117647027</v>
      </c>
      <c r="AW69" s="536">
        <f t="shared" si="72"/>
        <v>7</v>
      </c>
      <c r="AX69" s="600"/>
      <c r="AZ69" s="521" t="e">
        <f t="shared" si="74"/>
        <v>#N/A</v>
      </c>
      <c r="BA69" s="600"/>
    </row>
    <row r="70" spans="2:53">
      <c r="B70" s="610"/>
      <c r="C70" s="305">
        <v>4</v>
      </c>
      <c r="D70" s="226" t="s">
        <v>383</v>
      </c>
      <c r="E70" s="182">
        <v>16</v>
      </c>
      <c r="F70" s="511">
        <v>1440</v>
      </c>
      <c r="G70" s="512">
        <v>84.7</v>
      </c>
      <c r="H70" s="668"/>
      <c r="I70" s="513">
        <f t="shared" si="57"/>
        <v>16</v>
      </c>
      <c r="J70" s="513">
        <f t="shared" si="58"/>
        <v>1301.8896400801693</v>
      </c>
      <c r="K70" s="200">
        <f t="shared" si="59"/>
        <v>81.368102505010583</v>
      </c>
      <c r="L70" s="621"/>
      <c r="M70" s="201">
        <f>RANK(K70, K$67:$K$81)</f>
        <v>6</v>
      </c>
      <c r="N70" s="604"/>
      <c r="O70" s="604"/>
      <c r="P70" s="536">
        <v>16</v>
      </c>
      <c r="Q70" s="538">
        <v>1286.6666666666663</v>
      </c>
      <c r="R70" s="538">
        <v>80.416666666666643</v>
      </c>
      <c r="S70" s="536">
        <f t="shared" si="60"/>
        <v>6</v>
      </c>
      <c r="T70" s="600"/>
      <c r="U70" s="536">
        <v>16</v>
      </c>
      <c r="V70" s="538">
        <v>1295.4827586206889</v>
      </c>
      <c r="W70" s="538">
        <v>80.967672413793053</v>
      </c>
      <c r="X70" s="536">
        <f t="shared" si="62"/>
        <v>6</v>
      </c>
      <c r="Y70" s="600"/>
      <c r="Z70" s="536">
        <v>16</v>
      </c>
      <c r="AA70" s="538">
        <v>1303.4482758620682</v>
      </c>
      <c r="AB70" s="538">
        <v>81.46551724137926</v>
      </c>
      <c r="AC70" s="536">
        <f t="shared" si="64"/>
        <v>6</v>
      </c>
      <c r="AD70" s="600"/>
      <c r="AE70" s="536">
        <v>16</v>
      </c>
      <c r="AF70" s="538">
        <v>1302.8235294117651</v>
      </c>
      <c r="AG70" s="538">
        <v>81.426470588235318</v>
      </c>
      <c r="AH70" s="536">
        <f t="shared" si="66"/>
        <v>6</v>
      </c>
      <c r="AI70" s="600"/>
      <c r="AJ70" s="536">
        <v>16</v>
      </c>
      <c r="AK70" s="538">
        <v>1301.9999999999993</v>
      </c>
      <c r="AL70" s="538">
        <v>81.374999999999957</v>
      </c>
      <c r="AM70" s="536">
        <f t="shared" si="68"/>
        <v>6</v>
      </c>
      <c r="AN70" s="600"/>
      <c r="AO70" s="536">
        <v>16</v>
      </c>
      <c r="AP70" s="538">
        <v>1339.4062499999982</v>
      </c>
      <c r="AQ70" s="538">
        <v>83.712890624999886</v>
      </c>
      <c r="AR70" s="536">
        <f t="shared" si="70"/>
        <v>6</v>
      </c>
      <c r="AS70" s="600"/>
      <c r="AT70" s="536">
        <v>16</v>
      </c>
      <c r="AU70" s="538">
        <v>1283.4000000000003</v>
      </c>
      <c r="AV70" s="538">
        <v>80.21250000000002</v>
      </c>
      <c r="AW70" s="536">
        <f t="shared" si="72"/>
        <v>6</v>
      </c>
      <c r="AX70" s="600"/>
      <c r="AZ70" s="521" t="e">
        <f t="shared" si="74"/>
        <v>#N/A</v>
      </c>
      <c r="BA70" s="600"/>
    </row>
    <row r="71" spans="2:53">
      <c r="B71" s="610"/>
      <c r="C71" s="305">
        <v>5</v>
      </c>
      <c r="D71" s="226" t="s">
        <v>422</v>
      </c>
      <c r="E71" s="182">
        <v>7</v>
      </c>
      <c r="F71" s="511">
        <v>1500</v>
      </c>
      <c r="G71" s="512">
        <v>214.3</v>
      </c>
      <c r="H71" s="668"/>
      <c r="I71" s="513">
        <f t="shared" si="57"/>
        <v>7</v>
      </c>
      <c r="J71" s="513">
        <f t="shared" si="58"/>
        <v>1416.4201425039187</v>
      </c>
      <c r="K71" s="200">
        <f t="shared" si="59"/>
        <v>202.34573464341696</v>
      </c>
      <c r="L71" s="621"/>
      <c r="M71" s="201">
        <f>RANK(K71, K$67:$K$81)</f>
        <v>2</v>
      </c>
      <c r="N71" s="604"/>
      <c r="O71" s="604"/>
      <c r="P71" s="536">
        <v>7</v>
      </c>
      <c r="Q71" s="538">
        <v>1429.8529411764707</v>
      </c>
      <c r="R71" s="538">
        <v>204.26470588235296</v>
      </c>
      <c r="S71" s="536">
        <f t="shared" si="60"/>
        <v>2</v>
      </c>
      <c r="T71" s="600"/>
      <c r="U71" s="536">
        <v>7</v>
      </c>
      <c r="V71" s="538">
        <v>1424.7761194029849</v>
      </c>
      <c r="W71" s="538">
        <v>203.53944562899784</v>
      </c>
      <c r="X71" s="536">
        <f t="shared" si="62"/>
        <v>2</v>
      </c>
      <c r="Y71" s="600"/>
      <c r="Z71" s="536">
        <v>7</v>
      </c>
      <c r="AA71" s="538">
        <v>1417.4436090225563</v>
      </c>
      <c r="AB71" s="538">
        <v>202.49194414607948</v>
      </c>
      <c r="AC71" s="536">
        <f t="shared" si="64"/>
        <v>2</v>
      </c>
      <c r="AD71" s="600"/>
      <c r="AE71" s="536">
        <v>7</v>
      </c>
      <c r="AF71" s="538">
        <v>1427.7966101694913</v>
      </c>
      <c r="AG71" s="538">
        <v>203.97094430992732</v>
      </c>
      <c r="AH71" s="536">
        <f t="shared" si="66"/>
        <v>3</v>
      </c>
      <c r="AI71" s="600"/>
      <c r="AJ71" s="536">
        <v>7</v>
      </c>
      <c r="AK71" s="538">
        <v>1399.8461538461534</v>
      </c>
      <c r="AL71" s="538">
        <v>199.9780219780219</v>
      </c>
      <c r="AM71" s="536">
        <f t="shared" si="68"/>
        <v>4</v>
      </c>
      <c r="AN71" s="600"/>
      <c r="AO71" s="536">
        <v>7</v>
      </c>
      <c r="AP71" s="538">
        <v>1412.3684210526312</v>
      </c>
      <c r="AQ71" s="538">
        <v>201.76691729323304</v>
      </c>
      <c r="AR71" s="536">
        <f t="shared" si="70"/>
        <v>4</v>
      </c>
      <c r="AS71" s="600"/>
      <c r="AT71" s="536">
        <v>7</v>
      </c>
      <c r="AU71" s="538">
        <v>1402.8571428571427</v>
      </c>
      <c r="AV71" s="538">
        <v>200.40816326530609</v>
      </c>
      <c r="AW71" s="536">
        <f t="shared" si="72"/>
        <v>4</v>
      </c>
      <c r="AX71" s="600"/>
      <c r="AZ71" s="521" t="e">
        <f t="shared" si="74"/>
        <v>#N/A</v>
      </c>
      <c r="BA71" s="600"/>
    </row>
    <row r="72" spans="2:53">
      <c r="B72" s="610"/>
      <c r="C72" s="305">
        <v>6</v>
      </c>
      <c r="D72" s="226" t="s">
        <v>794</v>
      </c>
      <c r="E72" s="182">
        <v>6</v>
      </c>
      <c r="F72" s="511">
        <v>1636</v>
      </c>
      <c r="G72" s="512">
        <v>272.60000000000002</v>
      </c>
      <c r="H72" s="668"/>
      <c r="I72" s="513">
        <f t="shared" si="57"/>
        <v>6</v>
      </c>
      <c r="J72" s="513">
        <f t="shared" si="58"/>
        <v>1519.0128275780537</v>
      </c>
      <c r="K72" s="200">
        <f t="shared" si="59"/>
        <v>253.16880459634226</v>
      </c>
      <c r="L72" s="621"/>
      <c r="M72" s="201">
        <f>RANK(K72, K$67:$K$81)</f>
        <v>1</v>
      </c>
      <c r="N72" s="604"/>
      <c r="O72" s="604"/>
      <c r="P72" s="536">
        <v>6</v>
      </c>
      <c r="Q72" s="538">
        <v>1571.8918918918919</v>
      </c>
      <c r="R72" s="538">
        <v>261.98198198198196</v>
      </c>
      <c r="S72" s="536">
        <f t="shared" si="60"/>
        <v>1</v>
      </c>
      <c r="T72" s="600"/>
      <c r="U72" s="536">
        <v>6</v>
      </c>
      <c r="V72" s="538">
        <v>1502.1052631578948</v>
      </c>
      <c r="W72" s="538">
        <v>250.35087719298247</v>
      </c>
      <c r="X72" s="536">
        <f t="shared" si="62"/>
        <v>1</v>
      </c>
      <c r="Y72" s="600"/>
      <c r="Z72" s="536">
        <v>6</v>
      </c>
      <c r="AA72" s="538">
        <v>1501.5652173913045</v>
      </c>
      <c r="AB72" s="538">
        <v>250.2608695652174</v>
      </c>
      <c r="AC72" s="536">
        <f t="shared" si="64"/>
        <v>1</v>
      </c>
      <c r="AD72" s="600"/>
      <c r="AE72" s="536">
        <v>6</v>
      </c>
      <c r="AF72" s="538">
        <v>1491.3461538461534</v>
      </c>
      <c r="AG72" s="538">
        <v>248.55769230769224</v>
      </c>
      <c r="AH72" s="536">
        <f t="shared" si="66"/>
        <v>1</v>
      </c>
      <c r="AI72" s="600"/>
      <c r="AJ72" s="536">
        <v>6</v>
      </c>
      <c r="AK72" s="538">
        <v>1536.1165048543685</v>
      </c>
      <c r="AL72" s="538">
        <v>256.01941747572806</v>
      </c>
      <c r="AM72" s="536">
        <f t="shared" si="68"/>
        <v>1</v>
      </c>
      <c r="AN72" s="600"/>
      <c r="AO72" s="536">
        <v>6</v>
      </c>
      <c r="AP72" s="538">
        <v>1508.1600000000005</v>
      </c>
      <c r="AQ72" s="538">
        <v>251.3600000000001</v>
      </c>
      <c r="AR72" s="536">
        <f t="shared" si="70"/>
        <v>1</v>
      </c>
      <c r="AS72" s="600"/>
      <c r="AT72" s="536">
        <v>6</v>
      </c>
      <c r="AU72" s="538">
        <v>1521.9047619047624</v>
      </c>
      <c r="AV72" s="538">
        <v>253.65079365079373</v>
      </c>
      <c r="AW72" s="536">
        <f t="shared" si="72"/>
        <v>1</v>
      </c>
      <c r="AX72" s="600"/>
      <c r="AZ72" s="521" t="e">
        <f t="shared" si="74"/>
        <v>#N/A</v>
      </c>
      <c r="BA72" s="600"/>
    </row>
    <row r="73" spans="2:53">
      <c r="B73" s="610"/>
      <c r="C73" s="305">
        <v>7</v>
      </c>
      <c r="D73" s="226" t="s">
        <v>765</v>
      </c>
      <c r="E73" s="182">
        <v>7</v>
      </c>
      <c r="F73" s="511">
        <v>1500</v>
      </c>
      <c r="G73" s="512">
        <v>214.3</v>
      </c>
      <c r="H73" s="668"/>
      <c r="I73" s="513">
        <f t="shared" si="57"/>
        <v>7</v>
      </c>
      <c r="J73" s="513">
        <f t="shared" si="58"/>
        <v>1399.4471743842712</v>
      </c>
      <c r="K73" s="200">
        <f t="shared" si="59"/>
        <v>199.92102491203875</v>
      </c>
      <c r="L73" s="621"/>
      <c r="M73" s="201">
        <f>RANK(K73, K$67:$K$81)</f>
        <v>5</v>
      </c>
      <c r="N73" s="604"/>
      <c r="O73" s="604"/>
      <c r="P73" s="536">
        <v>7</v>
      </c>
      <c r="Q73" s="538">
        <v>1384.7727272727273</v>
      </c>
      <c r="R73" s="538">
        <v>197.82467532467533</v>
      </c>
      <c r="S73" s="536">
        <f t="shared" si="60"/>
        <v>5</v>
      </c>
      <c r="T73" s="600"/>
      <c r="U73" s="536">
        <v>7</v>
      </c>
      <c r="V73" s="538">
        <v>1397.7272727272727</v>
      </c>
      <c r="W73" s="538">
        <v>199.67532467532467</v>
      </c>
      <c r="X73" s="536">
        <f t="shared" si="62"/>
        <v>4</v>
      </c>
      <c r="Y73" s="600"/>
      <c r="Z73" s="536">
        <v>7</v>
      </c>
      <c r="AA73" s="538">
        <v>1397.1428571428571</v>
      </c>
      <c r="AB73" s="538">
        <v>199.59183673469389</v>
      </c>
      <c r="AC73" s="536">
        <f t="shared" si="64"/>
        <v>4</v>
      </c>
      <c r="AD73" s="600"/>
      <c r="AE73" s="536">
        <v>7</v>
      </c>
      <c r="AF73" s="538">
        <v>1432.6027397260277</v>
      </c>
      <c r="AG73" s="538">
        <v>204.65753424657538</v>
      </c>
      <c r="AH73" s="536">
        <f t="shared" si="66"/>
        <v>2</v>
      </c>
      <c r="AI73" s="600"/>
      <c r="AJ73" s="536">
        <v>7</v>
      </c>
      <c r="AK73" s="538">
        <v>1380</v>
      </c>
      <c r="AL73" s="538">
        <v>197.14285714285714</v>
      </c>
      <c r="AM73" s="536">
        <f t="shared" si="68"/>
        <v>5</v>
      </c>
      <c r="AN73" s="600"/>
      <c r="AO73" s="536">
        <v>7</v>
      </c>
      <c r="AP73" s="538">
        <v>1418.9361702127662</v>
      </c>
      <c r="AQ73" s="538">
        <v>202.70516717325231</v>
      </c>
      <c r="AR73" s="536">
        <f t="shared" si="70"/>
        <v>3</v>
      </c>
      <c r="AS73" s="600"/>
      <c r="AT73" s="536">
        <v>7</v>
      </c>
      <c r="AU73" s="538">
        <v>1384.9484536082477</v>
      </c>
      <c r="AV73" s="538">
        <v>197.84977908689254</v>
      </c>
      <c r="AW73" s="536">
        <f t="shared" si="72"/>
        <v>5</v>
      </c>
      <c r="AX73" s="600"/>
      <c r="AZ73" s="521" t="e">
        <f t="shared" si="74"/>
        <v>#N/A</v>
      </c>
      <c r="BA73" s="600"/>
    </row>
    <row r="74" spans="2:53">
      <c r="B74" s="610"/>
      <c r="C74" s="305">
        <v>8</v>
      </c>
      <c r="D74" s="342"/>
      <c r="E74" s="518"/>
      <c r="F74" s="518"/>
      <c r="G74" s="518"/>
      <c r="H74" s="668"/>
      <c r="I74" s="513" t="str">
        <f t="shared" si="57"/>
        <v>-</v>
      </c>
      <c r="J74" s="513" t="str">
        <f t="shared" si="58"/>
        <v>-</v>
      </c>
      <c r="K74" s="200" t="str">
        <f t="shared" si="59"/>
        <v>-</v>
      </c>
      <c r="L74" s="621"/>
      <c r="M74" s="201" t="e">
        <f>RANK(K74, K$67:$K$81)</f>
        <v>#VALUE!</v>
      </c>
      <c r="N74" s="604"/>
      <c r="O74" s="604"/>
      <c r="P74" s="536" t="s">
        <v>822</v>
      </c>
      <c r="Q74" s="538" t="s">
        <v>822</v>
      </c>
      <c r="R74" s="538" t="s">
        <v>822</v>
      </c>
      <c r="S74" s="536" t="e">
        <f t="shared" si="60"/>
        <v>#VALUE!</v>
      </c>
      <c r="T74" s="600"/>
      <c r="U74" s="536" t="s">
        <v>822</v>
      </c>
      <c r="V74" s="538" t="s">
        <v>822</v>
      </c>
      <c r="W74" s="538" t="s">
        <v>822</v>
      </c>
      <c r="X74" s="536" t="e">
        <f t="shared" si="62"/>
        <v>#VALUE!</v>
      </c>
      <c r="Y74" s="600"/>
      <c r="Z74" s="536" t="s">
        <v>822</v>
      </c>
      <c r="AA74" s="538" t="s">
        <v>822</v>
      </c>
      <c r="AB74" s="538" t="s">
        <v>822</v>
      </c>
      <c r="AC74" s="536" t="e">
        <f t="shared" si="64"/>
        <v>#VALUE!</v>
      </c>
      <c r="AD74" s="600"/>
      <c r="AE74" s="536" t="s">
        <v>822</v>
      </c>
      <c r="AF74" s="538" t="s">
        <v>822</v>
      </c>
      <c r="AG74" s="538" t="s">
        <v>822</v>
      </c>
      <c r="AH74" s="536" t="e">
        <f t="shared" si="66"/>
        <v>#VALUE!</v>
      </c>
      <c r="AI74" s="600"/>
      <c r="AJ74" s="536" t="s">
        <v>822</v>
      </c>
      <c r="AK74" s="538" t="s">
        <v>822</v>
      </c>
      <c r="AL74" s="538" t="s">
        <v>822</v>
      </c>
      <c r="AM74" s="536" t="e">
        <f t="shared" si="68"/>
        <v>#VALUE!</v>
      </c>
      <c r="AN74" s="600"/>
      <c r="AO74" s="536" t="s">
        <v>822</v>
      </c>
      <c r="AP74" s="538" t="s">
        <v>822</v>
      </c>
      <c r="AQ74" s="538" t="s">
        <v>822</v>
      </c>
      <c r="AR74" s="536" t="e">
        <f t="shared" si="70"/>
        <v>#VALUE!</v>
      </c>
      <c r="AS74" s="600"/>
      <c r="AT74" s="536" t="s">
        <v>822</v>
      </c>
      <c r="AU74" s="538" t="s">
        <v>822</v>
      </c>
      <c r="AV74" s="538" t="s">
        <v>822</v>
      </c>
      <c r="AW74" s="536" t="e">
        <f t="shared" si="72"/>
        <v>#VALUE!</v>
      </c>
      <c r="AX74" s="600"/>
      <c r="AZ74" s="521" t="e">
        <f t="shared" si="74"/>
        <v>#N/A</v>
      </c>
      <c r="BA74" s="600"/>
    </row>
    <row r="75" spans="2:53">
      <c r="B75" s="610"/>
      <c r="C75" s="305">
        <v>9</v>
      </c>
      <c r="D75" s="455"/>
      <c r="E75" s="518"/>
      <c r="F75" s="518"/>
      <c r="G75" s="518"/>
      <c r="H75" s="668"/>
      <c r="I75" s="513" t="str">
        <f t="shared" si="57"/>
        <v>-</v>
      </c>
      <c r="J75" s="513" t="str">
        <f t="shared" si="58"/>
        <v>-</v>
      </c>
      <c r="K75" s="200" t="str">
        <f t="shared" si="59"/>
        <v>-</v>
      </c>
      <c r="L75" s="621"/>
      <c r="M75" s="201" t="e">
        <f>RANK(K75, K$67:$K$81)</f>
        <v>#VALUE!</v>
      </c>
      <c r="N75" s="604"/>
      <c r="O75" s="604"/>
      <c r="P75" s="536" t="s">
        <v>822</v>
      </c>
      <c r="Q75" s="538" t="s">
        <v>822</v>
      </c>
      <c r="R75" s="538" t="s">
        <v>822</v>
      </c>
      <c r="S75" s="536" t="e">
        <f t="shared" si="60"/>
        <v>#VALUE!</v>
      </c>
      <c r="T75" s="600"/>
      <c r="U75" s="536" t="s">
        <v>822</v>
      </c>
      <c r="V75" s="538" t="s">
        <v>822</v>
      </c>
      <c r="W75" s="538" t="s">
        <v>822</v>
      </c>
      <c r="X75" s="536" t="e">
        <f t="shared" si="62"/>
        <v>#VALUE!</v>
      </c>
      <c r="Y75" s="600"/>
      <c r="Z75" s="536" t="s">
        <v>822</v>
      </c>
      <c r="AA75" s="538" t="s">
        <v>822</v>
      </c>
      <c r="AB75" s="538" t="s">
        <v>822</v>
      </c>
      <c r="AC75" s="536" t="e">
        <f t="shared" si="64"/>
        <v>#VALUE!</v>
      </c>
      <c r="AD75" s="600"/>
      <c r="AE75" s="536" t="s">
        <v>822</v>
      </c>
      <c r="AF75" s="538" t="s">
        <v>822</v>
      </c>
      <c r="AG75" s="538" t="s">
        <v>822</v>
      </c>
      <c r="AH75" s="536" t="e">
        <f t="shared" si="66"/>
        <v>#VALUE!</v>
      </c>
      <c r="AI75" s="600"/>
      <c r="AJ75" s="536" t="s">
        <v>822</v>
      </c>
      <c r="AK75" s="538" t="s">
        <v>822</v>
      </c>
      <c r="AL75" s="538" t="s">
        <v>822</v>
      </c>
      <c r="AM75" s="536" t="e">
        <f t="shared" si="68"/>
        <v>#VALUE!</v>
      </c>
      <c r="AN75" s="600"/>
      <c r="AO75" s="536" t="s">
        <v>822</v>
      </c>
      <c r="AP75" s="538" t="s">
        <v>822</v>
      </c>
      <c r="AQ75" s="538" t="s">
        <v>822</v>
      </c>
      <c r="AR75" s="536" t="e">
        <f t="shared" si="70"/>
        <v>#VALUE!</v>
      </c>
      <c r="AS75" s="600"/>
      <c r="AT75" s="536" t="s">
        <v>822</v>
      </c>
      <c r="AU75" s="538" t="s">
        <v>822</v>
      </c>
      <c r="AV75" s="538" t="s">
        <v>822</v>
      </c>
      <c r="AW75" s="536" t="e">
        <f t="shared" si="72"/>
        <v>#VALUE!</v>
      </c>
      <c r="AX75" s="600"/>
      <c r="AZ75" s="521" t="e">
        <f t="shared" si="74"/>
        <v>#N/A</v>
      </c>
      <c r="BA75" s="600"/>
    </row>
    <row r="76" spans="2:53">
      <c r="B76" s="610"/>
      <c r="C76" s="305">
        <v>10</v>
      </c>
      <c r="D76" s="455"/>
      <c r="E76" s="518"/>
      <c r="F76" s="518"/>
      <c r="G76" s="518"/>
      <c r="H76" s="668"/>
      <c r="I76" s="513" t="str">
        <f t="shared" si="57"/>
        <v>-</v>
      </c>
      <c r="J76" s="513" t="str">
        <f t="shared" si="58"/>
        <v>-</v>
      </c>
      <c r="K76" s="200" t="str">
        <f t="shared" si="59"/>
        <v>-</v>
      </c>
      <c r="L76" s="621"/>
      <c r="M76" s="201" t="e">
        <f>RANK(K76, K$67:$K$81)</f>
        <v>#VALUE!</v>
      </c>
      <c r="N76" s="604"/>
      <c r="O76" s="604"/>
      <c r="P76" s="536" t="s">
        <v>822</v>
      </c>
      <c r="Q76" s="538" t="s">
        <v>822</v>
      </c>
      <c r="R76" s="538" t="s">
        <v>822</v>
      </c>
      <c r="S76" s="536" t="e">
        <f t="shared" si="60"/>
        <v>#VALUE!</v>
      </c>
      <c r="T76" s="600"/>
      <c r="U76" s="536" t="s">
        <v>822</v>
      </c>
      <c r="V76" s="538" t="s">
        <v>822</v>
      </c>
      <c r="W76" s="538" t="s">
        <v>822</v>
      </c>
      <c r="X76" s="536" t="e">
        <f t="shared" si="62"/>
        <v>#VALUE!</v>
      </c>
      <c r="Y76" s="600"/>
      <c r="Z76" s="536" t="s">
        <v>822</v>
      </c>
      <c r="AA76" s="538" t="s">
        <v>822</v>
      </c>
      <c r="AB76" s="538" t="s">
        <v>822</v>
      </c>
      <c r="AC76" s="536" t="e">
        <f t="shared" si="64"/>
        <v>#VALUE!</v>
      </c>
      <c r="AD76" s="600"/>
      <c r="AE76" s="536" t="s">
        <v>822</v>
      </c>
      <c r="AF76" s="538" t="s">
        <v>822</v>
      </c>
      <c r="AG76" s="538" t="s">
        <v>822</v>
      </c>
      <c r="AH76" s="536" t="e">
        <f t="shared" si="66"/>
        <v>#VALUE!</v>
      </c>
      <c r="AI76" s="600"/>
      <c r="AJ76" s="536" t="s">
        <v>822</v>
      </c>
      <c r="AK76" s="538" t="s">
        <v>822</v>
      </c>
      <c r="AL76" s="538" t="s">
        <v>822</v>
      </c>
      <c r="AM76" s="536" t="e">
        <f t="shared" si="68"/>
        <v>#VALUE!</v>
      </c>
      <c r="AN76" s="600"/>
      <c r="AO76" s="536" t="s">
        <v>822</v>
      </c>
      <c r="AP76" s="538" t="s">
        <v>822</v>
      </c>
      <c r="AQ76" s="538" t="s">
        <v>822</v>
      </c>
      <c r="AR76" s="536" t="e">
        <f t="shared" si="70"/>
        <v>#VALUE!</v>
      </c>
      <c r="AS76" s="600"/>
      <c r="AT76" s="536" t="s">
        <v>822</v>
      </c>
      <c r="AU76" s="538" t="s">
        <v>822</v>
      </c>
      <c r="AV76" s="538" t="s">
        <v>822</v>
      </c>
      <c r="AW76" s="536" t="e">
        <f t="shared" si="72"/>
        <v>#VALUE!</v>
      </c>
      <c r="AX76" s="600"/>
      <c r="AZ76" s="521" t="e">
        <f t="shared" si="74"/>
        <v>#N/A</v>
      </c>
      <c r="BA76" s="600"/>
    </row>
    <row r="77" spans="2:53">
      <c r="B77" s="610"/>
      <c r="C77" s="305">
        <v>11</v>
      </c>
      <c r="D77" s="455"/>
      <c r="E77" s="518"/>
      <c r="F77" s="518"/>
      <c r="G77" s="518"/>
      <c r="H77" s="668"/>
      <c r="I77" s="513" t="str">
        <f t="shared" si="57"/>
        <v>-</v>
      </c>
      <c r="J77" s="513" t="str">
        <f t="shared" si="58"/>
        <v>-</v>
      </c>
      <c r="K77" s="200" t="str">
        <f t="shared" si="59"/>
        <v>-</v>
      </c>
      <c r="L77" s="621"/>
      <c r="M77" s="201" t="e">
        <f>RANK(K77, K$67:$K$81)</f>
        <v>#VALUE!</v>
      </c>
      <c r="N77" s="604"/>
      <c r="O77" s="604"/>
      <c r="P77" s="536" t="s">
        <v>822</v>
      </c>
      <c r="Q77" s="538" t="s">
        <v>822</v>
      </c>
      <c r="R77" s="538" t="s">
        <v>822</v>
      </c>
      <c r="S77" s="536" t="e">
        <f t="shared" si="60"/>
        <v>#VALUE!</v>
      </c>
      <c r="T77" s="600"/>
      <c r="U77" s="536" t="s">
        <v>822</v>
      </c>
      <c r="V77" s="538" t="s">
        <v>822</v>
      </c>
      <c r="W77" s="538" t="s">
        <v>822</v>
      </c>
      <c r="X77" s="536" t="e">
        <f t="shared" si="62"/>
        <v>#VALUE!</v>
      </c>
      <c r="Y77" s="600"/>
      <c r="Z77" s="536" t="s">
        <v>822</v>
      </c>
      <c r="AA77" s="538" t="s">
        <v>822</v>
      </c>
      <c r="AB77" s="538" t="s">
        <v>822</v>
      </c>
      <c r="AC77" s="536" t="e">
        <f t="shared" si="64"/>
        <v>#VALUE!</v>
      </c>
      <c r="AD77" s="600"/>
      <c r="AE77" s="536" t="s">
        <v>822</v>
      </c>
      <c r="AF77" s="538" t="s">
        <v>822</v>
      </c>
      <c r="AG77" s="538" t="s">
        <v>822</v>
      </c>
      <c r="AH77" s="536" t="e">
        <f t="shared" si="66"/>
        <v>#VALUE!</v>
      </c>
      <c r="AI77" s="600"/>
      <c r="AJ77" s="536" t="s">
        <v>822</v>
      </c>
      <c r="AK77" s="538" t="s">
        <v>822</v>
      </c>
      <c r="AL77" s="538" t="s">
        <v>822</v>
      </c>
      <c r="AM77" s="536" t="e">
        <f t="shared" si="68"/>
        <v>#VALUE!</v>
      </c>
      <c r="AN77" s="600"/>
      <c r="AO77" s="536" t="s">
        <v>822</v>
      </c>
      <c r="AP77" s="538" t="s">
        <v>822</v>
      </c>
      <c r="AQ77" s="538" t="s">
        <v>822</v>
      </c>
      <c r="AR77" s="536" t="e">
        <f t="shared" si="70"/>
        <v>#VALUE!</v>
      </c>
      <c r="AS77" s="600"/>
      <c r="AT77" s="536" t="s">
        <v>822</v>
      </c>
      <c r="AU77" s="538" t="s">
        <v>822</v>
      </c>
      <c r="AV77" s="538" t="s">
        <v>822</v>
      </c>
      <c r="AW77" s="536" t="e">
        <f t="shared" si="72"/>
        <v>#VALUE!</v>
      </c>
      <c r="AX77" s="600"/>
      <c r="AZ77" s="521" t="e">
        <f t="shared" si="74"/>
        <v>#N/A</v>
      </c>
      <c r="BA77" s="600"/>
    </row>
    <row r="78" spans="2:53">
      <c r="B78" s="610"/>
      <c r="C78" s="305">
        <v>12</v>
      </c>
      <c r="D78" s="455"/>
      <c r="E78" s="518"/>
      <c r="F78" s="518"/>
      <c r="G78" s="518"/>
      <c r="H78" s="668"/>
      <c r="I78" s="513" t="str">
        <f t="shared" si="57"/>
        <v>-</v>
      </c>
      <c r="J78" s="513" t="str">
        <f t="shared" si="58"/>
        <v>-</v>
      </c>
      <c r="K78" s="200" t="str">
        <f t="shared" si="59"/>
        <v>-</v>
      </c>
      <c r="L78" s="621"/>
      <c r="M78" s="201" t="e">
        <f>RANK(K78, K$67:$K$81)</f>
        <v>#VALUE!</v>
      </c>
      <c r="N78" s="604"/>
      <c r="O78" s="604"/>
      <c r="P78" s="536" t="s">
        <v>822</v>
      </c>
      <c r="Q78" s="538" t="s">
        <v>822</v>
      </c>
      <c r="R78" s="538" t="s">
        <v>822</v>
      </c>
      <c r="S78" s="536" t="e">
        <f t="shared" si="60"/>
        <v>#VALUE!</v>
      </c>
      <c r="T78" s="600"/>
      <c r="U78" s="536" t="s">
        <v>822</v>
      </c>
      <c r="V78" s="538" t="s">
        <v>822</v>
      </c>
      <c r="W78" s="538" t="s">
        <v>822</v>
      </c>
      <c r="X78" s="536" t="e">
        <f t="shared" si="62"/>
        <v>#VALUE!</v>
      </c>
      <c r="Y78" s="600"/>
      <c r="Z78" s="536" t="s">
        <v>822</v>
      </c>
      <c r="AA78" s="538" t="s">
        <v>822</v>
      </c>
      <c r="AB78" s="538" t="s">
        <v>822</v>
      </c>
      <c r="AC78" s="536" t="e">
        <f t="shared" si="64"/>
        <v>#VALUE!</v>
      </c>
      <c r="AD78" s="600"/>
      <c r="AE78" s="536" t="s">
        <v>822</v>
      </c>
      <c r="AF78" s="538" t="s">
        <v>822</v>
      </c>
      <c r="AG78" s="538" t="s">
        <v>822</v>
      </c>
      <c r="AH78" s="536" t="e">
        <f t="shared" si="66"/>
        <v>#VALUE!</v>
      </c>
      <c r="AI78" s="600"/>
      <c r="AJ78" s="536" t="s">
        <v>822</v>
      </c>
      <c r="AK78" s="538" t="s">
        <v>822</v>
      </c>
      <c r="AL78" s="538" t="s">
        <v>822</v>
      </c>
      <c r="AM78" s="536" t="e">
        <f t="shared" si="68"/>
        <v>#VALUE!</v>
      </c>
      <c r="AN78" s="600"/>
      <c r="AO78" s="536" t="s">
        <v>822</v>
      </c>
      <c r="AP78" s="538" t="s">
        <v>822</v>
      </c>
      <c r="AQ78" s="538" t="s">
        <v>822</v>
      </c>
      <c r="AR78" s="536" t="e">
        <f t="shared" si="70"/>
        <v>#VALUE!</v>
      </c>
      <c r="AS78" s="600"/>
      <c r="AT78" s="536" t="s">
        <v>822</v>
      </c>
      <c r="AU78" s="538" t="s">
        <v>822</v>
      </c>
      <c r="AV78" s="538" t="s">
        <v>822</v>
      </c>
      <c r="AW78" s="536" t="e">
        <f t="shared" si="72"/>
        <v>#VALUE!</v>
      </c>
      <c r="AX78" s="600"/>
      <c r="AZ78" s="521" t="e">
        <f t="shared" si="74"/>
        <v>#N/A</v>
      </c>
      <c r="BA78" s="600"/>
    </row>
    <row r="79" spans="2:53">
      <c r="B79" s="610"/>
      <c r="C79" s="305">
        <v>13</v>
      </c>
      <c r="D79" s="455"/>
      <c r="E79" s="518"/>
      <c r="F79" s="518"/>
      <c r="G79" s="518"/>
      <c r="H79" s="668"/>
      <c r="I79" s="513" t="str">
        <f t="shared" si="57"/>
        <v>-</v>
      </c>
      <c r="J79" s="513" t="str">
        <f t="shared" si="58"/>
        <v>-</v>
      </c>
      <c r="K79" s="200" t="str">
        <f t="shared" si="59"/>
        <v>-</v>
      </c>
      <c r="L79" s="621"/>
      <c r="M79" s="201" t="e">
        <f>RANK(K79, K$67:$K$81)</f>
        <v>#VALUE!</v>
      </c>
      <c r="N79" s="604"/>
      <c r="O79" s="604"/>
      <c r="P79" s="536" t="s">
        <v>822</v>
      </c>
      <c r="Q79" s="538" t="s">
        <v>822</v>
      </c>
      <c r="R79" s="538" t="s">
        <v>822</v>
      </c>
      <c r="S79" s="536" t="e">
        <f t="shared" si="60"/>
        <v>#VALUE!</v>
      </c>
      <c r="T79" s="600"/>
      <c r="U79" s="536" t="s">
        <v>822</v>
      </c>
      <c r="V79" s="538" t="s">
        <v>822</v>
      </c>
      <c r="W79" s="538" t="s">
        <v>822</v>
      </c>
      <c r="X79" s="536" t="e">
        <f t="shared" si="62"/>
        <v>#VALUE!</v>
      </c>
      <c r="Y79" s="600"/>
      <c r="Z79" s="536" t="s">
        <v>822</v>
      </c>
      <c r="AA79" s="538" t="s">
        <v>822</v>
      </c>
      <c r="AB79" s="538" t="s">
        <v>822</v>
      </c>
      <c r="AC79" s="536" t="e">
        <f t="shared" si="64"/>
        <v>#VALUE!</v>
      </c>
      <c r="AD79" s="600"/>
      <c r="AE79" s="536" t="s">
        <v>822</v>
      </c>
      <c r="AF79" s="538" t="s">
        <v>822</v>
      </c>
      <c r="AG79" s="538" t="s">
        <v>822</v>
      </c>
      <c r="AH79" s="536" t="e">
        <f t="shared" si="66"/>
        <v>#VALUE!</v>
      </c>
      <c r="AI79" s="600"/>
      <c r="AJ79" s="536" t="s">
        <v>822</v>
      </c>
      <c r="AK79" s="538" t="s">
        <v>822</v>
      </c>
      <c r="AL79" s="538" t="s">
        <v>822</v>
      </c>
      <c r="AM79" s="536" t="e">
        <f t="shared" si="68"/>
        <v>#VALUE!</v>
      </c>
      <c r="AN79" s="600"/>
      <c r="AO79" s="536" t="s">
        <v>822</v>
      </c>
      <c r="AP79" s="538" t="s">
        <v>822</v>
      </c>
      <c r="AQ79" s="538" t="s">
        <v>822</v>
      </c>
      <c r="AR79" s="536" t="e">
        <f t="shared" si="70"/>
        <v>#VALUE!</v>
      </c>
      <c r="AS79" s="600"/>
      <c r="AT79" s="536" t="s">
        <v>822</v>
      </c>
      <c r="AU79" s="538" t="s">
        <v>822</v>
      </c>
      <c r="AV79" s="538" t="s">
        <v>822</v>
      </c>
      <c r="AW79" s="536" t="e">
        <f t="shared" si="72"/>
        <v>#VALUE!</v>
      </c>
      <c r="AX79" s="600"/>
      <c r="AZ79" s="521" t="e">
        <f t="shared" si="74"/>
        <v>#N/A</v>
      </c>
      <c r="BA79" s="600"/>
    </row>
    <row r="80" spans="2:53">
      <c r="B80" s="610"/>
      <c r="C80" s="305">
        <v>14</v>
      </c>
      <c r="D80" s="455"/>
      <c r="E80" s="518"/>
      <c r="F80" s="518"/>
      <c r="G80" s="518"/>
      <c r="H80" s="668"/>
      <c r="I80" s="513" t="str">
        <f t="shared" si="57"/>
        <v>-</v>
      </c>
      <c r="J80" s="513" t="str">
        <f t="shared" si="58"/>
        <v>-</v>
      </c>
      <c r="K80" s="200" t="str">
        <f t="shared" si="59"/>
        <v>-</v>
      </c>
      <c r="L80" s="621"/>
      <c r="M80" s="201" t="e">
        <f>RANK(K80, K$67:$K$81)</f>
        <v>#VALUE!</v>
      </c>
      <c r="N80" s="604"/>
      <c r="O80" s="604"/>
      <c r="P80" s="536" t="s">
        <v>822</v>
      </c>
      <c r="Q80" s="538" t="s">
        <v>822</v>
      </c>
      <c r="R80" s="538" t="s">
        <v>822</v>
      </c>
      <c r="S80" s="536" t="e">
        <f t="shared" si="60"/>
        <v>#VALUE!</v>
      </c>
      <c r="T80" s="600"/>
      <c r="U80" s="536" t="s">
        <v>822</v>
      </c>
      <c r="V80" s="538" t="s">
        <v>822</v>
      </c>
      <c r="W80" s="538" t="s">
        <v>822</v>
      </c>
      <c r="X80" s="536" t="e">
        <f t="shared" si="62"/>
        <v>#VALUE!</v>
      </c>
      <c r="Y80" s="600"/>
      <c r="Z80" s="536" t="s">
        <v>822</v>
      </c>
      <c r="AA80" s="538" t="s">
        <v>822</v>
      </c>
      <c r="AB80" s="538" t="s">
        <v>822</v>
      </c>
      <c r="AC80" s="536" t="e">
        <f t="shared" si="64"/>
        <v>#VALUE!</v>
      </c>
      <c r="AD80" s="600"/>
      <c r="AE80" s="536" t="s">
        <v>822</v>
      </c>
      <c r="AF80" s="538" t="s">
        <v>822</v>
      </c>
      <c r="AG80" s="538" t="s">
        <v>822</v>
      </c>
      <c r="AH80" s="536" t="e">
        <f t="shared" si="66"/>
        <v>#VALUE!</v>
      </c>
      <c r="AI80" s="600"/>
      <c r="AJ80" s="536" t="s">
        <v>822</v>
      </c>
      <c r="AK80" s="538" t="s">
        <v>822</v>
      </c>
      <c r="AL80" s="538" t="s">
        <v>822</v>
      </c>
      <c r="AM80" s="536" t="e">
        <f t="shared" si="68"/>
        <v>#VALUE!</v>
      </c>
      <c r="AN80" s="600"/>
      <c r="AO80" s="536" t="s">
        <v>822</v>
      </c>
      <c r="AP80" s="538" t="s">
        <v>822</v>
      </c>
      <c r="AQ80" s="538" t="s">
        <v>822</v>
      </c>
      <c r="AR80" s="536" t="e">
        <f t="shared" si="70"/>
        <v>#VALUE!</v>
      </c>
      <c r="AS80" s="600"/>
      <c r="AT80" s="536" t="s">
        <v>822</v>
      </c>
      <c r="AU80" s="538" t="s">
        <v>822</v>
      </c>
      <c r="AV80" s="538" t="s">
        <v>822</v>
      </c>
      <c r="AW80" s="536" t="e">
        <f t="shared" si="72"/>
        <v>#VALUE!</v>
      </c>
      <c r="AX80" s="600"/>
      <c r="AZ80" s="521" t="e">
        <f t="shared" si="74"/>
        <v>#N/A</v>
      </c>
      <c r="BA80" s="600"/>
    </row>
    <row r="81" spans="2:53">
      <c r="B81" s="610"/>
      <c r="C81" s="305">
        <v>15</v>
      </c>
      <c r="D81" s="455"/>
      <c r="E81" s="518"/>
      <c r="F81" s="518"/>
      <c r="G81" s="518"/>
      <c r="H81" s="669"/>
      <c r="I81" s="517"/>
      <c r="J81" s="517"/>
      <c r="K81" s="517"/>
      <c r="L81" s="622"/>
      <c r="M81" s="201" t="e">
        <f>RANK(K81, K$67:$K$81)</f>
        <v>#N/A</v>
      </c>
      <c r="N81" s="604"/>
      <c r="O81" s="604"/>
      <c r="P81" s="536" t="s">
        <v>822</v>
      </c>
      <c r="Q81" s="538" t="s">
        <v>822</v>
      </c>
      <c r="R81" s="538" t="s">
        <v>822</v>
      </c>
      <c r="S81" s="536" t="e">
        <f t="shared" si="60"/>
        <v>#VALUE!</v>
      </c>
      <c r="T81" s="601"/>
      <c r="U81" s="536" t="s">
        <v>822</v>
      </c>
      <c r="V81" s="538" t="s">
        <v>822</v>
      </c>
      <c r="W81" s="538" t="s">
        <v>822</v>
      </c>
      <c r="X81" s="536" t="e">
        <f t="shared" si="62"/>
        <v>#VALUE!</v>
      </c>
      <c r="Y81" s="601"/>
      <c r="Z81" s="536" t="s">
        <v>822</v>
      </c>
      <c r="AA81" s="538" t="s">
        <v>822</v>
      </c>
      <c r="AB81" s="538" t="s">
        <v>822</v>
      </c>
      <c r="AC81" s="536" t="e">
        <f t="shared" si="64"/>
        <v>#VALUE!</v>
      </c>
      <c r="AD81" s="601"/>
      <c r="AE81" s="536" t="s">
        <v>822</v>
      </c>
      <c r="AF81" s="538" t="s">
        <v>822</v>
      </c>
      <c r="AG81" s="538" t="s">
        <v>822</v>
      </c>
      <c r="AH81" s="536" t="e">
        <f t="shared" si="66"/>
        <v>#VALUE!</v>
      </c>
      <c r="AI81" s="601"/>
      <c r="AJ81" s="536" t="s">
        <v>822</v>
      </c>
      <c r="AK81" s="538" t="s">
        <v>822</v>
      </c>
      <c r="AL81" s="538" t="s">
        <v>822</v>
      </c>
      <c r="AM81" s="536" t="e">
        <f t="shared" si="68"/>
        <v>#VALUE!</v>
      </c>
      <c r="AN81" s="601"/>
      <c r="AO81" s="536" t="s">
        <v>822</v>
      </c>
      <c r="AP81" s="538" t="s">
        <v>822</v>
      </c>
      <c r="AQ81" s="538" t="s">
        <v>822</v>
      </c>
      <c r="AR81" s="536" t="e">
        <f t="shared" si="70"/>
        <v>#VALUE!</v>
      </c>
      <c r="AS81" s="601"/>
      <c r="AT81" s="536" t="s">
        <v>822</v>
      </c>
      <c r="AU81" s="538" t="s">
        <v>822</v>
      </c>
      <c r="AV81" s="538" t="s">
        <v>822</v>
      </c>
      <c r="AW81" s="536" t="e">
        <f t="shared" si="72"/>
        <v>#VALUE!</v>
      </c>
      <c r="AX81" s="601"/>
      <c r="AZ81" s="521" t="e">
        <f t="shared" si="74"/>
        <v>#N/A</v>
      </c>
      <c r="BA81" s="601"/>
    </row>
    <row r="82" spans="2:53" ht="15.75">
      <c r="B82" s="633" t="s">
        <v>163</v>
      </c>
      <c r="C82" s="634"/>
      <c r="D82" s="634"/>
      <c r="E82" s="634"/>
      <c r="F82" s="634"/>
      <c r="G82" s="634"/>
      <c r="H82" s="635"/>
      <c r="I82" s="208"/>
      <c r="J82" s="208"/>
      <c r="K82" s="208"/>
      <c r="L82" s="208"/>
      <c r="M82" s="207"/>
      <c r="N82" s="606" t="s">
        <v>156</v>
      </c>
      <c r="O82" s="606" t="s">
        <v>105</v>
      </c>
      <c r="P82" s="632">
        <f>P62+7</f>
        <v>46140</v>
      </c>
      <c r="Q82" s="610"/>
      <c r="R82" s="610"/>
      <c r="S82" s="610"/>
      <c r="T82" s="610"/>
      <c r="U82" s="629">
        <f>P82+1</f>
        <v>46141</v>
      </c>
      <c r="V82" s="630"/>
      <c r="W82" s="630"/>
      <c r="X82" s="630"/>
      <c r="Y82" s="631"/>
      <c r="Z82" s="629">
        <f>U82+1</f>
        <v>46142</v>
      </c>
      <c r="AA82" s="630"/>
      <c r="AB82" s="630"/>
      <c r="AC82" s="630"/>
      <c r="AD82" s="631"/>
      <c r="AE82" s="629">
        <f>Z82+1</f>
        <v>46143</v>
      </c>
      <c r="AF82" s="630"/>
      <c r="AG82" s="630"/>
      <c r="AH82" s="630"/>
      <c r="AI82" s="631"/>
      <c r="AJ82" s="629">
        <f>AE82+1</f>
        <v>46144</v>
      </c>
      <c r="AK82" s="630"/>
      <c r="AL82" s="630"/>
      <c r="AM82" s="630"/>
      <c r="AN82" s="631"/>
      <c r="AO82" s="629">
        <f>AJ82+1</f>
        <v>46145</v>
      </c>
      <c r="AP82" s="630"/>
      <c r="AQ82" s="630"/>
      <c r="AR82" s="630"/>
      <c r="AS82" s="631"/>
      <c r="AT82" s="629">
        <f>AO82+1</f>
        <v>46146</v>
      </c>
      <c r="AU82" s="630"/>
      <c r="AV82" s="630"/>
      <c r="AW82" s="630"/>
      <c r="AX82" s="631"/>
    </row>
    <row r="83" spans="2:53" ht="15.75">
      <c r="B83" s="636"/>
      <c r="C83" s="636"/>
      <c r="D83" s="636"/>
      <c r="E83" s="636"/>
      <c r="F83" s="636"/>
      <c r="G83" s="636"/>
      <c r="H83" s="636"/>
      <c r="I83" s="205"/>
      <c r="J83" s="205"/>
      <c r="K83" s="205"/>
      <c r="L83" s="205"/>
      <c r="M83" s="206"/>
      <c r="N83" s="608"/>
      <c r="O83" s="608"/>
      <c r="P83" s="632" t="s">
        <v>336</v>
      </c>
      <c r="Q83" s="610"/>
      <c r="R83" s="610"/>
      <c r="S83" s="610"/>
      <c r="T83" s="610"/>
      <c r="U83" s="632" t="s">
        <v>337</v>
      </c>
      <c r="V83" s="610"/>
      <c r="W83" s="610"/>
      <c r="X83" s="610"/>
      <c r="Y83" s="610"/>
      <c r="Z83" s="632" t="s">
        <v>338</v>
      </c>
      <c r="AA83" s="610"/>
      <c r="AB83" s="610"/>
      <c r="AC83" s="610"/>
      <c r="AD83" s="610"/>
      <c r="AE83" s="632" t="s">
        <v>339</v>
      </c>
      <c r="AF83" s="610"/>
      <c r="AG83" s="610"/>
      <c r="AH83" s="610"/>
      <c r="AI83" s="610"/>
      <c r="AJ83" s="632" t="s">
        <v>340</v>
      </c>
      <c r="AK83" s="610"/>
      <c r="AL83" s="610"/>
      <c r="AM83" s="610"/>
      <c r="AN83" s="610"/>
      <c r="AO83" s="632" t="s">
        <v>341</v>
      </c>
      <c r="AP83" s="610"/>
      <c r="AQ83" s="610"/>
      <c r="AR83" s="610"/>
      <c r="AS83" s="610"/>
      <c r="AT83" s="632" t="s">
        <v>342</v>
      </c>
      <c r="AU83" s="610"/>
      <c r="AV83" s="610"/>
      <c r="AW83" s="610"/>
      <c r="AX83" s="610"/>
    </row>
    <row r="84" spans="2:53">
      <c r="B84" s="604" t="s">
        <v>441</v>
      </c>
      <c r="C84" s="604" t="s">
        <v>442</v>
      </c>
      <c r="D84" s="604"/>
      <c r="E84" s="604" t="s">
        <v>443</v>
      </c>
      <c r="F84" s="604"/>
      <c r="G84" s="604"/>
      <c r="H84" s="637" t="s">
        <v>444</v>
      </c>
      <c r="I84" s="656" t="s">
        <v>445</v>
      </c>
      <c r="J84" s="656"/>
      <c r="K84" s="656"/>
      <c r="L84" s="657" t="s">
        <v>395</v>
      </c>
      <c r="M84" s="642" t="s">
        <v>446</v>
      </c>
      <c r="N84" s="604"/>
      <c r="O84" s="604" t="s">
        <v>447</v>
      </c>
      <c r="P84" s="623" t="s">
        <v>448</v>
      </c>
      <c r="Q84" s="624"/>
      <c r="R84" s="624"/>
      <c r="S84" s="625"/>
      <c r="T84" s="604" t="s">
        <v>444</v>
      </c>
      <c r="U84" s="623" t="s">
        <v>448</v>
      </c>
      <c r="V84" s="624"/>
      <c r="W84" s="624"/>
      <c r="X84" s="625"/>
      <c r="Y84" s="604" t="s">
        <v>444</v>
      </c>
      <c r="Z84" s="623" t="s">
        <v>448</v>
      </c>
      <c r="AA84" s="624"/>
      <c r="AB84" s="624"/>
      <c r="AC84" s="625"/>
      <c r="AD84" s="604" t="s">
        <v>444</v>
      </c>
      <c r="AE84" s="623" t="s">
        <v>448</v>
      </c>
      <c r="AF84" s="624"/>
      <c r="AG84" s="624"/>
      <c r="AH84" s="625"/>
      <c r="AI84" s="604" t="s">
        <v>444</v>
      </c>
      <c r="AJ84" s="623" t="s">
        <v>448</v>
      </c>
      <c r="AK84" s="624"/>
      <c r="AL84" s="624"/>
      <c r="AM84" s="625"/>
      <c r="AN84" s="604" t="s">
        <v>444</v>
      </c>
      <c r="AO84" s="623" t="s">
        <v>448</v>
      </c>
      <c r="AP84" s="624"/>
      <c r="AQ84" s="624"/>
      <c r="AR84" s="625"/>
      <c r="AS84" s="604" t="s">
        <v>444</v>
      </c>
      <c r="AT84" s="623" t="s">
        <v>448</v>
      </c>
      <c r="AU84" s="624"/>
      <c r="AV84" s="624"/>
      <c r="AW84" s="625"/>
      <c r="AX84" s="604" t="s">
        <v>444</v>
      </c>
      <c r="BA84" s="604" t="s">
        <v>395</v>
      </c>
    </row>
    <row r="85" spans="2:53">
      <c r="B85" s="604"/>
      <c r="C85" s="604"/>
      <c r="D85" s="604"/>
      <c r="E85" s="604" t="s">
        <v>449</v>
      </c>
      <c r="F85" s="604"/>
      <c r="G85" s="604"/>
      <c r="H85" s="638"/>
      <c r="I85" s="656" t="s">
        <v>449</v>
      </c>
      <c r="J85" s="656"/>
      <c r="K85" s="656"/>
      <c r="L85" s="658"/>
      <c r="M85" s="643"/>
      <c r="N85" s="604"/>
      <c r="O85" s="604"/>
      <c r="P85" s="623" t="s">
        <v>450</v>
      </c>
      <c r="Q85" s="624"/>
      <c r="R85" s="624"/>
      <c r="S85" s="625"/>
      <c r="T85" s="604"/>
      <c r="U85" s="623" t="s">
        <v>450</v>
      </c>
      <c r="V85" s="624"/>
      <c r="W85" s="624"/>
      <c r="X85" s="625"/>
      <c r="Y85" s="604"/>
      <c r="Z85" s="623" t="s">
        <v>450</v>
      </c>
      <c r="AA85" s="624"/>
      <c r="AB85" s="624"/>
      <c r="AC85" s="625"/>
      <c r="AD85" s="604"/>
      <c r="AE85" s="623" t="s">
        <v>450</v>
      </c>
      <c r="AF85" s="624"/>
      <c r="AG85" s="624"/>
      <c r="AH85" s="625"/>
      <c r="AI85" s="604"/>
      <c r="AJ85" s="623" t="s">
        <v>450</v>
      </c>
      <c r="AK85" s="624"/>
      <c r="AL85" s="624"/>
      <c r="AM85" s="625"/>
      <c r="AN85" s="604"/>
      <c r="AO85" s="623" t="s">
        <v>450</v>
      </c>
      <c r="AP85" s="624"/>
      <c r="AQ85" s="624"/>
      <c r="AR85" s="625"/>
      <c r="AS85" s="604"/>
      <c r="AT85" s="623" t="s">
        <v>450</v>
      </c>
      <c r="AU85" s="624"/>
      <c r="AV85" s="624"/>
      <c r="AW85" s="625"/>
      <c r="AX85" s="604"/>
      <c r="BA85" s="604"/>
    </row>
    <row r="86" spans="2:53">
      <c r="B86" s="604"/>
      <c r="C86" s="604"/>
      <c r="D86" s="604"/>
      <c r="E86" s="301" t="s">
        <v>451</v>
      </c>
      <c r="F86" s="301" t="s">
        <v>452</v>
      </c>
      <c r="G86" s="301" t="s">
        <v>453</v>
      </c>
      <c r="H86" s="639"/>
      <c r="I86" s="302" t="s">
        <v>451</v>
      </c>
      <c r="J86" s="302" t="s">
        <v>452</v>
      </c>
      <c r="K86" s="302" t="s">
        <v>453</v>
      </c>
      <c r="L86" s="659"/>
      <c r="M86" s="644"/>
      <c r="N86" s="604"/>
      <c r="O86" s="604"/>
      <c r="P86" s="301" t="s">
        <v>451</v>
      </c>
      <c r="Q86" s="301" t="s">
        <v>452</v>
      </c>
      <c r="R86" s="301" t="s">
        <v>453</v>
      </c>
      <c r="S86" s="301" t="s">
        <v>446</v>
      </c>
      <c r="T86" s="604"/>
      <c r="U86" s="301" t="s">
        <v>451</v>
      </c>
      <c r="V86" s="301" t="s">
        <v>452</v>
      </c>
      <c r="W86" s="301" t="s">
        <v>453</v>
      </c>
      <c r="X86" s="301" t="s">
        <v>446</v>
      </c>
      <c r="Y86" s="604"/>
      <c r="Z86" s="301" t="s">
        <v>451</v>
      </c>
      <c r="AA86" s="301" t="s">
        <v>452</v>
      </c>
      <c r="AB86" s="301" t="s">
        <v>453</v>
      </c>
      <c r="AC86" s="301" t="s">
        <v>446</v>
      </c>
      <c r="AD86" s="604"/>
      <c r="AE86" s="301" t="s">
        <v>451</v>
      </c>
      <c r="AF86" s="301" t="s">
        <v>452</v>
      </c>
      <c r="AG86" s="301" t="s">
        <v>453</v>
      </c>
      <c r="AH86" s="301" t="s">
        <v>446</v>
      </c>
      <c r="AI86" s="604"/>
      <c r="AJ86" s="301" t="s">
        <v>451</v>
      </c>
      <c r="AK86" s="301" t="s">
        <v>452</v>
      </c>
      <c r="AL86" s="301" t="s">
        <v>453</v>
      </c>
      <c r="AM86" s="301" t="s">
        <v>446</v>
      </c>
      <c r="AN86" s="604"/>
      <c r="AO86" s="301" t="s">
        <v>451</v>
      </c>
      <c r="AP86" s="301" t="s">
        <v>452</v>
      </c>
      <c r="AQ86" s="301" t="s">
        <v>453</v>
      </c>
      <c r="AR86" s="301" t="s">
        <v>446</v>
      </c>
      <c r="AS86" s="604"/>
      <c r="AT86" s="301" t="s">
        <v>451</v>
      </c>
      <c r="AU86" s="301" t="s">
        <v>452</v>
      </c>
      <c r="AV86" s="301" t="s">
        <v>453</v>
      </c>
      <c r="AW86" s="301" t="s">
        <v>446</v>
      </c>
      <c r="AX86" s="604"/>
      <c r="AZ86" s="520" t="s">
        <v>396</v>
      </c>
      <c r="BA86" s="604"/>
    </row>
    <row r="87" spans="2:53">
      <c r="B87" s="604" t="s">
        <v>455</v>
      </c>
      <c r="C87" s="300">
        <v>1</v>
      </c>
      <c r="D87" s="226"/>
      <c r="E87" s="182"/>
      <c r="F87" s="488"/>
      <c r="G87" s="489"/>
      <c r="H87" s="667" t="e">
        <f>AVERAGE(G87:G101)</f>
        <v>#DIV/0!</v>
      </c>
      <c r="I87" s="513" t="str">
        <f t="shared" ref="I87:I100" si="76">IFERROR(AVERAGE(P87,U87,Z87,AE87,AJ87,AO87,AT87),"-")</f>
        <v>-</v>
      </c>
      <c r="J87" s="513" t="str">
        <f t="shared" ref="J87:J100" si="77">IFERROR(AVERAGE(Q87,V87,AA87,AF87,AK87,AP87,AU87),"-")</f>
        <v>-</v>
      </c>
      <c r="K87" s="200" t="str">
        <f t="shared" ref="K87:K100" si="78">IFERROR(AVERAGE(R87,W87,AB87,AG87,AL87,AQ87,AV87),"-")</f>
        <v>-</v>
      </c>
      <c r="L87" s="620" t="str">
        <f>IFERROR(AVERAGE(K87:K101),"-")</f>
        <v>-</v>
      </c>
      <c r="M87" s="201" t="e">
        <f>RANK(K87, K$87:$K$101)</f>
        <v>#VALUE!</v>
      </c>
      <c r="N87" s="604"/>
      <c r="O87" s="604"/>
      <c r="P87" s="506"/>
      <c r="Q87" s="507"/>
      <c r="R87" s="507"/>
      <c r="S87" s="300" t="e">
        <f>RANK(R87, R$87:R$101)</f>
        <v>#N/A</v>
      </c>
      <c r="T87" s="599" t="e">
        <f>AVERAGE(R87:R101)</f>
        <v>#DIV/0!</v>
      </c>
      <c r="U87" s="506"/>
      <c r="V87" s="507"/>
      <c r="W87" s="507"/>
      <c r="X87" s="441" t="e">
        <f t="shared" ref="X87:X101" si="79">RANK(W87, W$87:W$101)</f>
        <v>#N/A</v>
      </c>
      <c r="Y87" s="599" t="e">
        <f t="shared" ref="Y87" si="80">AVERAGE(W87:W101)</f>
        <v>#DIV/0!</v>
      </c>
      <c r="Z87" s="506"/>
      <c r="AA87" s="507"/>
      <c r="AB87" s="507"/>
      <c r="AC87" s="441" t="e">
        <f t="shared" ref="AC87:AC101" si="81">RANK(AB87, AB$87:AB$101)</f>
        <v>#N/A</v>
      </c>
      <c r="AD87" s="599" t="e">
        <f t="shared" ref="AD87" si="82">AVERAGE(AB87:AB101)</f>
        <v>#DIV/0!</v>
      </c>
      <c r="AE87" s="506"/>
      <c r="AF87" s="507"/>
      <c r="AG87" s="507"/>
      <c r="AH87" s="441" t="e">
        <f t="shared" ref="AH87:AH101" si="83">RANK(AG87, AG$87:AG$101)</f>
        <v>#N/A</v>
      </c>
      <c r="AI87" s="599" t="e">
        <f t="shared" ref="AI87" si="84">AVERAGE(AG87:AG101)</f>
        <v>#DIV/0!</v>
      </c>
      <c r="AJ87" s="506"/>
      <c r="AK87" s="507"/>
      <c r="AL87" s="507"/>
      <c r="AM87" s="441" t="e">
        <f t="shared" ref="AM87:AM101" si="85">RANK(AL87, AL$87:AL$101)</f>
        <v>#N/A</v>
      </c>
      <c r="AN87" s="599" t="e">
        <f t="shared" ref="AN87" si="86">AVERAGE(AL87:AL101)</f>
        <v>#DIV/0!</v>
      </c>
      <c r="AO87" s="506"/>
      <c r="AP87" s="507"/>
      <c r="AQ87" s="507"/>
      <c r="AR87" s="441" t="e">
        <f t="shared" ref="AR87:AR101" si="87">RANK(AQ87, AQ$87:AQ$101)</f>
        <v>#N/A</v>
      </c>
      <c r="AS87" s="599" t="e">
        <f t="shared" ref="AS87" si="88">AVERAGE(AQ87:AQ101)</f>
        <v>#DIV/0!</v>
      </c>
      <c r="AT87" s="506"/>
      <c r="AU87" s="507"/>
      <c r="AV87" s="507"/>
      <c r="AW87" s="441" t="e">
        <f t="shared" ref="AW87:AW101" si="89">RANK(AV87, AV$87:AV$101)</f>
        <v>#N/A</v>
      </c>
      <c r="AX87" s="605" t="e">
        <f t="shared" ref="AX87" si="90">AVERAGE(AV87:AV101)</f>
        <v>#DIV/0!</v>
      </c>
      <c r="AZ87" s="521" t="e">
        <f t="shared" ref="AZ87:AZ101" si="91">RANK(AY87, AY$87:AY$101)</f>
        <v>#N/A</v>
      </c>
      <c r="BA87" s="605" t="e">
        <f t="shared" ref="BA87" si="92">AVERAGE(AY87:AY101)</f>
        <v>#DIV/0!</v>
      </c>
    </row>
    <row r="88" spans="2:53">
      <c r="B88" s="610"/>
      <c r="C88" s="300">
        <v>2</v>
      </c>
      <c r="D88" s="226"/>
      <c r="E88" s="182"/>
      <c r="F88" s="488"/>
      <c r="G88" s="489"/>
      <c r="H88" s="668"/>
      <c r="I88" s="513" t="str">
        <f t="shared" si="76"/>
        <v>-</v>
      </c>
      <c r="J88" s="513" t="str">
        <f t="shared" si="77"/>
        <v>-</v>
      </c>
      <c r="K88" s="200" t="str">
        <f t="shared" si="78"/>
        <v>-</v>
      </c>
      <c r="L88" s="621"/>
      <c r="M88" s="201" t="e">
        <f>RANK(K88, K$87:$K$101)</f>
        <v>#VALUE!</v>
      </c>
      <c r="N88" s="604"/>
      <c r="O88" s="604"/>
      <c r="P88" s="506"/>
      <c r="Q88" s="507"/>
      <c r="R88" s="507"/>
      <c r="S88" s="300" t="e">
        <f t="shared" ref="S88:S101" si="93">RANK(R88, R$87:R$101)</f>
        <v>#N/A</v>
      </c>
      <c r="T88" s="600"/>
      <c r="U88" s="506"/>
      <c r="V88" s="507"/>
      <c r="W88" s="507"/>
      <c r="X88" s="441" t="e">
        <f t="shared" si="79"/>
        <v>#N/A</v>
      </c>
      <c r="Y88" s="600"/>
      <c r="Z88" s="506"/>
      <c r="AA88" s="507"/>
      <c r="AB88" s="507"/>
      <c r="AC88" s="441" t="e">
        <f t="shared" si="81"/>
        <v>#N/A</v>
      </c>
      <c r="AD88" s="600"/>
      <c r="AE88" s="506"/>
      <c r="AF88" s="507"/>
      <c r="AG88" s="507"/>
      <c r="AH88" s="441" t="e">
        <f t="shared" si="83"/>
        <v>#N/A</v>
      </c>
      <c r="AI88" s="600"/>
      <c r="AJ88" s="506"/>
      <c r="AK88" s="507"/>
      <c r="AL88" s="507"/>
      <c r="AM88" s="441" t="e">
        <f t="shared" si="85"/>
        <v>#N/A</v>
      </c>
      <c r="AN88" s="600"/>
      <c r="AO88" s="506"/>
      <c r="AP88" s="507"/>
      <c r="AQ88" s="507"/>
      <c r="AR88" s="441" t="e">
        <f t="shared" si="87"/>
        <v>#N/A</v>
      </c>
      <c r="AS88" s="600"/>
      <c r="AT88" s="506"/>
      <c r="AU88" s="507"/>
      <c r="AV88" s="507"/>
      <c r="AW88" s="441" t="e">
        <f t="shared" si="89"/>
        <v>#N/A</v>
      </c>
      <c r="AX88" s="605"/>
      <c r="AZ88" s="521" t="e">
        <f t="shared" si="91"/>
        <v>#N/A</v>
      </c>
      <c r="BA88" s="605"/>
    </row>
    <row r="89" spans="2:53">
      <c r="B89" s="610"/>
      <c r="C89" s="300">
        <v>3</v>
      </c>
      <c r="D89" s="226"/>
      <c r="E89" s="182"/>
      <c r="F89" s="488"/>
      <c r="G89" s="489"/>
      <c r="H89" s="668"/>
      <c r="I89" s="513" t="str">
        <f t="shared" si="76"/>
        <v>-</v>
      </c>
      <c r="J89" s="513" t="str">
        <f t="shared" si="77"/>
        <v>-</v>
      </c>
      <c r="K89" s="200" t="str">
        <f t="shared" si="78"/>
        <v>-</v>
      </c>
      <c r="L89" s="621"/>
      <c r="M89" s="201" t="e">
        <f>RANK(K89, K$87:$K$101)</f>
        <v>#VALUE!</v>
      </c>
      <c r="N89" s="604"/>
      <c r="O89" s="604"/>
      <c r="P89" s="506"/>
      <c r="Q89" s="507"/>
      <c r="R89" s="507"/>
      <c r="S89" s="300" t="e">
        <f t="shared" si="93"/>
        <v>#N/A</v>
      </c>
      <c r="T89" s="600"/>
      <c r="U89" s="506"/>
      <c r="V89" s="507"/>
      <c r="W89" s="507"/>
      <c r="X89" s="441" t="e">
        <f t="shared" si="79"/>
        <v>#N/A</v>
      </c>
      <c r="Y89" s="600"/>
      <c r="Z89" s="506"/>
      <c r="AA89" s="507"/>
      <c r="AB89" s="507"/>
      <c r="AC89" s="441" t="e">
        <f t="shared" si="81"/>
        <v>#N/A</v>
      </c>
      <c r="AD89" s="600"/>
      <c r="AE89" s="506"/>
      <c r="AF89" s="507"/>
      <c r="AG89" s="507"/>
      <c r="AH89" s="441" t="e">
        <f t="shared" si="83"/>
        <v>#N/A</v>
      </c>
      <c r="AI89" s="600"/>
      <c r="AJ89" s="506"/>
      <c r="AK89" s="507"/>
      <c r="AL89" s="507"/>
      <c r="AM89" s="441" t="e">
        <f t="shared" si="85"/>
        <v>#N/A</v>
      </c>
      <c r="AN89" s="600"/>
      <c r="AO89" s="506"/>
      <c r="AP89" s="507"/>
      <c r="AQ89" s="507"/>
      <c r="AR89" s="441" t="e">
        <f t="shared" si="87"/>
        <v>#N/A</v>
      </c>
      <c r="AS89" s="600"/>
      <c r="AT89" s="506"/>
      <c r="AU89" s="507"/>
      <c r="AV89" s="507"/>
      <c r="AW89" s="441" t="e">
        <f t="shared" si="89"/>
        <v>#N/A</v>
      </c>
      <c r="AX89" s="605"/>
      <c r="AZ89" s="521" t="e">
        <f t="shared" si="91"/>
        <v>#N/A</v>
      </c>
      <c r="BA89" s="605"/>
    </row>
    <row r="90" spans="2:53">
      <c r="B90" s="610"/>
      <c r="C90" s="300">
        <v>4</v>
      </c>
      <c r="D90" s="226"/>
      <c r="E90" s="182"/>
      <c r="F90" s="488"/>
      <c r="G90" s="489"/>
      <c r="H90" s="668"/>
      <c r="I90" s="513" t="str">
        <f t="shared" si="76"/>
        <v>-</v>
      </c>
      <c r="J90" s="513" t="str">
        <f t="shared" si="77"/>
        <v>-</v>
      </c>
      <c r="K90" s="200" t="str">
        <f t="shared" si="78"/>
        <v>-</v>
      </c>
      <c r="L90" s="621"/>
      <c r="M90" s="201" t="e">
        <f>RANK(K90, K$87:$K$101)</f>
        <v>#VALUE!</v>
      </c>
      <c r="N90" s="604"/>
      <c r="O90" s="604"/>
      <c r="P90" s="506"/>
      <c r="Q90" s="507"/>
      <c r="R90" s="507"/>
      <c r="S90" s="300" t="e">
        <f t="shared" si="93"/>
        <v>#N/A</v>
      </c>
      <c r="T90" s="600"/>
      <c r="U90" s="506"/>
      <c r="V90" s="507"/>
      <c r="W90" s="507"/>
      <c r="X90" s="441" t="e">
        <f t="shared" si="79"/>
        <v>#N/A</v>
      </c>
      <c r="Y90" s="600"/>
      <c r="Z90" s="506"/>
      <c r="AA90" s="507"/>
      <c r="AB90" s="507"/>
      <c r="AC90" s="441" t="e">
        <f t="shared" si="81"/>
        <v>#N/A</v>
      </c>
      <c r="AD90" s="600"/>
      <c r="AE90" s="506"/>
      <c r="AF90" s="507"/>
      <c r="AG90" s="507"/>
      <c r="AH90" s="441" t="e">
        <f t="shared" si="83"/>
        <v>#N/A</v>
      </c>
      <c r="AI90" s="600"/>
      <c r="AJ90" s="506"/>
      <c r="AK90" s="507"/>
      <c r="AL90" s="507"/>
      <c r="AM90" s="441" t="e">
        <f t="shared" si="85"/>
        <v>#N/A</v>
      </c>
      <c r="AN90" s="600"/>
      <c r="AO90" s="506"/>
      <c r="AP90" s="507"/>
      <c r="AQ90" s="507"/>
      <c r="AR90" s="441" t="e">
        <f t="shared" si="87"/>
        <v>#N/A</v>
      </c>
      <c r="AS90" s="600"/>
      <c r="AT90" s="506"/>
      <c r="AU90" s="507"/>
      <c r="AV90" s="507"/>
      <c r="AW90" s="441" t="e">
        <f t="shared" si="89"/>
        <v>#N/A</v>
      </c>
      <c r="AX90" s="605"/>
      <c r="AZ90" s="521" t="e">
        <f t="shared" si="91"/>
        <v>#N/A</v>
      </c>
      <c r="BA90" s="605"/>
    </row>
    <row r="91" spans="2:53">
      <c r="B91" s="610"/>
      <c r="C91" s="300">
        <v>5</v>
      </c>
      <c r="D91" s="226"/>
      <c r="E91" s="182"/>
      <c r="F91" s="488"/>
      <c r="G91" s="489"/>
      <c r="H91" s="668"/>
      <c r="I91" s="513" t="str">
        <f t="shared" si="76"/>
        <v>-</v>
      </c>
      <c r="J91" s="513" t="str">
        <f t="shared" si="77"/>
        <v>-</v>
      </c>
      <c r="K91" s="200" t="str">
        <f t="shared" si="78"/>
        <v>-</v>
      </c>
      <c r="L91" s="621"/>
      <c r="M91" s="201" t="e">
        <f>RANK(K91, K$87:$K$101)</f>
        <v>#VALUE!</v>
      </c>
      <c r="N91" s="604"/>
      <c r="O91" s="604"/>
      <c r="P91" s="506"/>
      <c r="Q91" s="507"/>
      <c r="R91" s="507"/>
      <c r="S91" s="300" t="e">
        <f t="shared" si="93"/>
        <v>#N/A</v>
      </c>
      <c r="T91" s="600"/>
      <c r="U91" s="506"/>
      <c r="V91" s="507"/>
      <c r="W91" s="507"/>
      <c r="X91" s="441" t="e">
        <f t="shared" si="79"/>
        <v>#N/A</v>
      </c>
      <c r="Y91" s="600"/>
      <c r="Z91" s="506"/>
      <c r="AA91" s="507"/>
      <c r="AB91" s="507"/>
      <c r="AC91" s="441" t="e">
        <f t="shared" si="81"/>
        <v>#N/A</v>
      </c>
      <c r="AD91" s="600"/>
      <c r="AE91" s="506"/>
      <c r="AF91" s="507"/>
      <c r="AG91" s="507"/>
      <c r="AH91" s="441" t="e">
        <f t="shared" si="83"/>
        <v>#N/A</v>
      </c>
      <c r="AI91" s="600"/>
      <c r="AJ91" s="506"/>
      <c r="AK91" s="507"/>
      <c r="AL91" s="507"/>
      <c r="AM91" s="441" t="e">
        <f t="shared" si="85"/>
        <v>#N/A</v>
      </c>
      <c r="AN91" s="600"/>
      <c r="AO91" s="506"/>
      <c r="AP91" s="507"/>
      <c r="AQ91" s="507"/>
      <c r="AR91" s="441" t="e">
        <f t="shared" si="87"/>
        <v>#N/A</v>
      </c>
      <c r="AS91" s="600"/>
      <c r="AT91" s="506"/>
      <c r="AU91" s="507"/>
      <c r="AV91" s="507"/>
      <c r="AW91" s="441" t="e">
        <f t="shared" si="89"/>
        <v>#N/A</v>
      </c>
      <c r="AX91" s="605"/>
      <c r="AZ91" s="521" t="e">
        <f t="shared" si="91"/>
        <v>#N/A</v>
      </c>
      <c r="BA91" s="605"/>
    </row>
    <row r="92" spans="2:53">
      <c r="B92" s="610"/>
      <c r="C92" s="300">
        <v>6</v>
      </c>
      <c r="D92" s="226"/>
      <c r="E92" s="182"/>
      <c r="F92" s="488"/>
      <c r="G92" s="489"/>
      <c r="H92" s="668"/>
      <c r="I92" s="513" t="str">
        <f t="shared" si="76"/>
        <v>-</v>
      </c>
      <c r="J92" s="513" t="str">
        <f t="shared" si="77"/>
        <v>-</v>
      </c>
      <c r="K92" s="200" t="str">
        <f t="shared" si="78"/>
        <v>-</v>
      </c>
      <c r="L92" s="621"/>
      <c r="M92" s="201" t="e">
        <f>RANK(K92, K$87:$K$101)</f>
        <v>#VALUE!</v>
      </c>
      <c r="N92" s="604"/>
      <c r="O92" s="604"/>
      <c r="P92" s="506"/>
      <c r="Q92" s="507"/>
      <c r="R92" s="507"/>
      <c r="S92" s="300" t="e">
        <f t="shared" si="93"/>
        <v>#N/A</v>
      </c>
      <c r="T92" s="600"/>
      <c r="U92" s="506"/>
      <c r="V92" s="507"/>
      <c r="W92" s="507"/>
      <c r="X92" s="441" t="e">
        <f t="shared" si="79"/>
        <v>#N/A</v>
      </c>
      <c r="Y92" s="600"/>
      <c r="Z92" s="506"/>
      <c r="AA92" s="507"/>
      <c r="AB92" s="507"/>
      <c r="AC92" s="441" t="e">
        <f t="shared" si="81"/>
        <v>#N/A</v>
      </c>
      <c r="AD92" s="600"/>
      <c r="AE92" s="506"/>
      <c r="AF92" s="507"/>
      <c r="AG92" s="507"/>
      <c r="AH92" s="441" t="e">
        <f t="shared" si="83"/>
        <v>#N/A</v>
      </c>
      <c r="AI92" s="600"/>
      <c r="AJ92" s="506"/>
      <c r="AK92" s="507"/>
      <c r="AL92" s="507"/>
      <c r="AM92" s="441" t="e">
        <f t="shared" si="85"/>
        <v>#N/A</v>
      </c>
      <c r="AN92" s="600"/>
      <c r="AO92" s="506"/>
      <c r="AP92" s="507"/>
      <c r="AQ92" s="507"/>
      <c r="AR92" s="441" t="e">
        <f t="shared" si="87"/>
        <v>#N/A</v>
      </c>
      <c r="AS92" s="600"/>
      <c r="AT92" s="506"/>
      <c r="AU92" s="507"/>
      <c r="AV92" s="507"/>
      <c r="AW92" s="441" t="e">
        <f t="shared" si="89"/>
        <v>#N/A</v>
      </c>
      <c r="AX92" s="605"/>
      <c r="AZ92" s="521" t="e">
        <f t="shared" si="91"/>
        <v>#N/A</v>
      </c>
      <c r="BA92" s="605"/>
    </row>
    <row r="93" spans="2:53">
      <c r="B93" s="610"/>
      <c r="C93" s="300">
        <v>7</v>
      </c>
      <c r="D93" s="226"/>
      <c r="E93" s="182"/>
      <c r="F93" s="488"/>
      <c r="G93" s="489"/>
      <c r="H93" s="668"/>
      <c r="I93" s="513" t="str">
        <f t="shared" si="76"/>
        <v>-</v>
      </c>
      <c r="J93" s="513" t="str">
        <f t="shared" si="77"/>
        <v>-</v>
      </c>
      <c r="K93" s="200" t="str">
        <f t="shared" si="78"/>
        <v>-</v>
      </c>
      <c r="L93" s="621"/>
      <c r="M93" s="201" t="e">
        <f>RANK(K93, K$87:$K$101)</f>
        <v>#VALUE!</v>
      </c>
      <c r="N93" s="604"/>
      <c r="O93" s="604"/>
      <c r="P93" s="506"/>
      <c r="Q93" s="507"/>
      <c r="R93" s="507"/>
      <c r="S93" s="300" t="e">
        <f t="shared" si="93"/>
        <v>#N/A</v>
      </c>
      <c r="T93" s="600"/>
      <c r="U93" s="506"/>
      <c r="V93" s="507"/>
      <c r="W93" s="507"/>
      <c r="X93" s="441" t="e">
        <f t="shared" si="79"/>
        <v>#N/A</v>
      </c>
      <c r="Y93" s="600"/>
      <c r="Z93" s="506"/>
      <c r="AA93" s="507"/>
      <c r="AB93" s="507"/>
      <c r="AC93" s="441" t="e">
        <f t="shared" si="81"/>
        <v>#N/A</v>
      </c>
      <c r="AD93" s="600"/>
      <c r="AE93" s="506"/>
      <c r="AF93" s="507"/>
      <c r="AG93" s="507"/>
      <c r="AH93" s="441" t="e">
        <f t="shared" si="83"/>
        <v>#N/A</v>
      </c>
      <c r="AI93" s="600"/>
      <c r="AJ93" s="506"/>
      <c r="AK93" s="507"/>
      <c r="AL93" s="507"/>
      <c r="AM93" s="441" t="e">
        <f t="shared" si="85"/>
        <v>#N/A</v>
      </c>
      <c r="AN93" s="600"/>
      <c r="AO93" s="506"/>
      <c r="AP93" s="507"/>
      <c r="AQ93" s="507"/>
      <c r="AR93" s="441" t="e">
        <f t="shared" si="87"/>
        <v>#N/A</v>
      </c>
      <c r="AS93" s="600"/>
      <c r="AT93" s="506"/>
      <c r="AU93" s="507"/>
      <c r="AV93" s="507"/>
      <c r="AW93" s="441" t="e">
        <f t="shared" si="89"/>
        <v>#N/A</v>
      </c>
      <c r="AX93" s="605"/>
      <c r="AZ93" s="521" t="e">
        <f t="shared" si="91"/>
        <v>#N/A</v>
      </c>
      <c r="BA93" s="605"/>
    </row>
    <row r="94" spans="2:53">
      <c r="B94" s="610"/>
      <c r="C94" s="300">
        <v>8</v>
      </c>
      <c r="D94" s="226"/>
      <c r="E94" s="182"/>
      <c r="F94" s="488"/>
      <c r="G94" s="489"/>
      <c r="H94" s="668"/>
      <c r="I94" s="513" t="str">
        <f t="shared" si="76"/>
        <v>-</v>
      </c>
      <c r="J94" s="513" t="str">
        <f t="shared" si="77"/>
        <v>-</v>
      </c>
      <c r="K94" s="200" t="str">
        <f t="shared" si="78"/>
        <v>-</v>
      </c>
      <c r="L94" s="621"/>
      <c r="M94" s="201" t="e">
        <f>RANK(K94, K$87:$K$101)</f>
        <v>#VALUE!</v>
      </c>
      <c r="N94" s="604"/>
      <c r="O94" s="604"/>
      <c r="P94" s="506"/>
      <c r="Q94" s="507"/>
      <c r="R94" s="507"/>
      <c r="S94" s="300" t="e">
        <f t="shared" si="93"/>
        <v>#N/A</v>
      </c>
      <c r="T94" s="600"/>
      <c r="U94" s="506"/>
      <c r="V94" s="507"/>
      <c r="W94" s="507"/>
      <c r="X94" s="441" t="e">
        <f t="shared" si="79"/>
        <v>#N/A</v>
      </c>
      <c r="Y94" s="600"/>
      <c r="Z94" s="506"/>
      <c r="AA94" s="507"/>
      <c r="AB94" s="507"/>
      <c r="AC94" s="441" t="e">
        <f t="shared" si="81"/>
        <v>#N/A</v>
      </c>
      <c r="AD94" s="600"/>
      <c r="AE94" s="506"/>
      <c r="AF94" s="507"/>
      <c r="AG94" s="507"/>
      <c r="AH94" s="441" t="e">
        <f t="shared" si="83"/>
        <v>#N/A</v>
      </c>
      <c r="AI94" s="600"/>
      <c r="AJ94" s="506"/>
      <c r="AK94" s="507"/>
      <c r="AL94" s="507"/>
      <c r="AM94" s="441" t="e">
        <f t="shared" si="85"/>
        <v>#N/A</v>
      </c>
      <c r="AN94" s="600"/>
      <c r="AO94" s="506"/>
      <c r="AP94" s="507"/>
      <c r="AQ94" s="507"/>
      <c r="AR94" s="441" t="e">
        <f t="shared" si="87"/>
        <v>#N/A</v>
      </c>
      <c r="AS94" s="600"/>
      <c r="AT94" s="506"/>
      <c r="AU94" s="507"/>
      <c r="AV94" s="507"/>
      <c r="AW94" s="441" t="e">
        <f t="shared" si="89"/>
        <v>#N/A</v>
      </c>
      <c r="AX94" s="605"/>
      <c r="AZ94" s="521" t="e">
        <f t="shared" si="91"/>
        <v>#N/A</v>
      </c>
      <c r="BA94" s="605"/>
    </row>
    <row r="95" spans="2:53">
      <c r="B95" s="610"/>
      <c r="C95" s="300">
        <v>9</v>
      </c>
      <c r="D95" s="226"/>
      <c r="E95" s="182"/>
      <c r="F95" s="488"/>
      <c r="G95" s="489"/>
      <c r="H95" s="668"/>
      <c r="I95" s="513" t="str">
        <f t="shared" si="76"/>
        <v>-</v>
      </c>
      <c r="J95" s="513" t="str">
        <f t="shared" si="77"/>
        <v>-</v>
      </c>
      <c r="K95" s="200" t="str">
        <f t="shared" si="78"/>
        <v>-</v>
      </c>
      <c r="L95" s="621"/>
      <c r="M95" s="201" t="e">
        <f>RANK(K95, K$87:$K$101)</f>
        <v>#VALUE!</v>
      </c>
      <c r="N95" s="604"/>
      <c r="O95" s="604"/>
      <c r="P95" s="506"/>
      <c r="Q95" s="507"/>
      <c r="R95" s="507"/>
      <c r="S95" s="300" t="e">
        <f t="shared" si="93"/>
        <v>#N/A</v>
      </c>
      <c r="T95" s="600"/>
      <c r="U95" s="506"/>
      <c r="V95" s="507"/>
      <c r="W95" s="507"/>
      <c r="X95" s="441" t="e">
        <f t="shared" si="79"/>
        <v>#N/A</v>
      </c>
      <c r="Y95" s="600"/>
      <c r="Z95" s="506"/>
      <c r="AA95" s="507"/>
      <c r="AB95" s="507"/>
      <c r="AC95" s="441" t="e">
        <f t="shared" si="81"/>
        <v>#N/A</v>
      </c>
      <c r="AD95" s="600"/>
      <c r="AE95" s="506"/>
      <c r="AF95" s="507"/>
      <c r="AG95" s="507"/>
      <c r="AH95" s="441" t="e">
        <f t="shared" si="83"/>
        <v>#N/A</v>
      </c>
      <c r="AI95" s="600"/>
      <c r="AJ95" s="506"/>
      <c r="AK95" s="507"/>
      <c r="AL95" s="507"/>
      <c r="AM95" s="441" t="e">
        <f t="shared" si="85"/>
        <v>#N/A</v>
      </c>
      <c r="AN95" s="600"/>
      <c r="AO95" s="506"/>
      <c r="AP95" s="507"/>
      <c r="AQ95" s="507"/>
      <c r="AR95" s="441" t="e">
        <f t="shared" si="87"/>
        <v>#N/A</v>
      </c>
      <c r="AS95" s="600"/>
      <c r="AT95" s="506"/>
      <c r="AU95" s="507"/>
      <c r="AV95" s="507"/>
      <c r="AW95" s="441" t="e">
        <f t="shared" si="89"/>
        <v>#N/A</v>
      </c>
      <c r="AX95" s="605"/>
      <c r="AZ95" s="521" t="e">
        <f t="shared" si="91"/>
        <v>#N/A</v>
      </c>
      <c r="BA95" s="605"/>
    </row>
    <row r="96" spans="2:53">
      <c r="B96" s="610"/>
      <c r="C96" s="300">
        <v>10</v>
      </c>
      <c r="D96" s="226"/>
      <c r="E96" s="182"/>
      <c r="F96" s="488"/>
      <c r="G96" s="489"/>
      <c r="H96" s="668"/>
      <c r="I96" s="513" t="str">
        <f t="shared" si="76"/>
        <v>-</v>
      </c>
      <c r="J96" s="513" t="str">
        <f t="shared" si="77"/>
        <v>-</v>
      </c>
      <c r="K96" s="200" t="str">
        <f t="shared" si="78"/>
        <v>-</v>
      </c>
      <c r="L96" s="621"/>
      <c r="M96" s="201" t="e">
        <f>RANK(K96, K$87:$K$101)</f>
        <v>#VALUE!</v>
      </c>
      <c r="N96" s="604"/>
      <c r="O96" s="604"/>
      <c r="P96" s="506"/>
      <c r="Q96" s="507"/>
      <c r="R96" s="507"/>
      <c r="S96" s="300" t="e">
        <f t="shared" si="93"/>
        <v>#N/A</v>
      </c>
      <c r="T96" s="600"/>
      <c r="U96" s="506"/>
      <c r="V96" s="507"/>
      <c r="W96" s="507"/>
      <c r="X96" s="441" t="e">
        <f t="shared" si="79"/>
        <v>#N/A</v>
      </c>
      <c r="Y96" s="600"/>
      <c r="Z96" s="506"/>
      <c r="AA96" s="507"/>
      <c r="AB96" s="507"/>
      <c r="AC96" s="441" t="e">
        <f t="shared" si="81"/>
        <v>#N/A</v>
      </c>
      <c r="AD96" s="600"/>
      <c r="AE96" s="506"/>
      <c r="AF96" s="507"/>
      <c r="AG96" s="507"/>
      <c r="AH96" s="441" t="e">
        <f t="shared" si="83"/>
        <v>#N/A</v>
      </c>
      <c r="AI96" s="600"/>
      <c r="AJ96" s="506"/>
      <c r="AK96" s="507"/>
      <c r="AL96" s="507"/>
      <c r="AM96" s="441" t="e">
        <f t="shared" si="85"/>
        <v>#N/A</v>
      </c>
      <c r="AN96" s="600"/>
      <c r="AO96" s="506"/>
      <c r="AP96" s="507"/>
      <c r="AQ96" s="507"/>
      <c r="AR96" s="441" t="e">
        <f t="shared" si="87"/>
        <v>#N/A</v>
      </c>
      <c r="AS96" s="600"/>
      <c r="AT96" s="506"/>
      <c r="AU96" s="507"/>
      <c r="AV96" s="507"/>
      <c r="AW96" s="441" t="e">
        <f t="shared" si="89"/>
        <v>#N/A</v>
      </c>
      <c r="AX96" s="605"/>
      <c r="AZ96" s="521" t="e">
        <f t="shared" si="91"/>
        <v>#N/A</v>
      </c>
      <c r="BA96" s="605"/>
    </row>
    <row r="97" spans="2:53">
      <c r="B97" s="610"/>
      <c r="C97" s="300">
        <v>11</v>
      </c>
      <c r="D97" s="226"/>
      <c r="E97" s="182"/>
      <c r="F97" s="488"/>
      <c r="G97" s="489"/>
      <c r="H97" s="668"/>
      <c r="I97" s="513" t="str">
        <f t="shared" si="76"/>
        <v>-</v>
      </c>
      <c r="J97" s="513" t="str">
        <f t="shared" si="77"/>
        <v>-</v>
      </c>
      <c r="K97" s="200" t="str">
        <f t="shared" si="78"/>
        <v>-</v>
      </c>
      <c r="L97" s="621"/>
      <c r="M97" s="201" t="e">
        <f>RANK(K97, K$87:$K$101)</f>
        <v>#VALUE!</v>
      </c>
      <c r="N97" s="604"/>
      <c r="O97" s="604"/>
      <c r="P97" s="506"/>
      <c r="Q97" s="507"/>
      <c r="R97" s="507"/>
      <c r="S97" s="300" t="e">
        <f t="shared" si="93"/>
        <v>#N/A</v>
      </c>
      <c r="T97" s="600"/>
      <c r="U97" s="506"/>
      <c r="V97" s="507"/>
      <c r="W97" s="507"/>
      <c r="X97" s="441" t="e">
        <f t="shared" si="79"/>
        <v>#N/A</v>
      </c>
      <c r="Y97" s="600"/>
      <c r="Z97" s="506"/>
      <c r="AA97" s="507"/>
      <c r="AB97" s="507"/>
      <c r="AC97" s="441" t="e">
        <f t="shared" si="81"/>
        <v>#N/A</v>
      </c>
      <c r="AD97" s="600"/>
      <c r="AE97" s="506"/>
      <c r="AF97" s="507"/>
      <c r="AG97" s="507"/>
      <c r="AH97" s="441" t="e">
        <f t="shared" si="83"/>
        <v>#N/A</v>
      </c>
      <c r="AI97" s="600"/>
      <c r="AJ97" s="506"/>
      <c r="AK97" s="507"/>
      <c r="AL97" s="507"/>
      <c r="AM97" s="441" t="e">
        <f t="shared" si="85"/>
        <v>#N/A</v>
      </c>
      <c r="AN97" s="600"/>
      <c r="AO97" s="506"/>
      <c r="AP97" s="507"/>
      <c r="AQ97" s="507"/>
      <c r="AR97" s="441" t="e">
        <f t="shared" si="87"/>
        <v>#N/A</v>
      </c>
      <c r="AS97" s="600"/>
      <c r="AT97" s="506"/>
      <c r="AU97" s="507"/>
      <c r="AV97" s="507"/>
      <c r="AW97" s="441" t="e">
        <f t="shared" si="89"/>
        <v>#N/A</v>
      </c>
      <c r="AX97" s="605"/>
      <c r="AZ97" s="521" t="e">
        <f t="shared" si="91"/>
        <v>#N/A</v>
      </c>
      <c r="BA97" s="605"/>
    </row>
    <row r="98" spans="2:53">
      <c r="B98" s="610"/>
      <c r="C98" s="300">
        <v>12</v>
      </c>
      <c r="D98" s="226"/>
      <c r="E98" s="182"/>
      <c r="F98" s="488"/>
      <c r="G98" s="489"/>
      <c r="H98" s="668"/>
      <c r="I98" s="513" t="str">
        <f t="shared" si="76"/>
        <v>-</v>
      </c>
      <c r="J98" s="513" t="str">
        <f t="shared" si="77"/>
        <v>-</v>
      </c>
      <c r="K98" s="200" t="str">
        <f t="shared" si="78"/>
        <v>-</v>
      </c>
      <c r="L98" s="621"/>
      <c r="M98" s="201" t="e">
        <f>RANK(K98, K$87:$K$101)</f>
        <v>#VALUE!</v>
      </c>
      <c r="N98" s="604"/>
      <c r="O98" s="604"/>
      <c r="P98" s="506"/>
      <c r="Q98" s="507"/>
      <c r="R98" s="507"/>
      <c r="S98" s="300" t="e">
        <f t="shared" si="93"/>
        <v>#N/A</v>
      </c>
      <c r="T98" s="600"/>
      <c r="U98" s="506"/>
      <c r="V98" s="507"/>
      <c r="W98" s="507"/>
      <c r="X98" s="441" t="e">
        <f t="shared" si="79"/>
        <v>#N/A</v>
      </c>
      <c r="Y98" s="600"/>
      <c r="Z98" s="506"/>
      <c r="AA98" s="507"/>
      <c r="AB98" s="507"/>
      <c r="AC98" s="441" t="e">
        <f t="shared" si="81"/>
        <v>#N/A</v>
      </c>
      <c r="AD98" s="600"/>
      <c r="AE98" s="506"/>
      <c r="AF98" s="507"/>
      <c r="AG98" s="507"/>
      <c r="AH98" s="441" t="e">
        <f t="shared" si="83"/>
        <v>#N/A</v>
      </c>
      <c r="AI98" s="600"/>
      <c r="AJ98" s="506"/>
      <c r="AK98" s="507"/>
      <c r="AL98" s="507"/>
      <c r="AM98" s="441" t="e">
        <f t="shared" si="85"/>
        <v>#N/A</v>
      </c>
      <c r="AN98" s="600"/>
      <c r="AO98" s="506"/>
      <c r="AP98" s="507"/>
      <c r="AQ98" s="507"/>
      <c r="AR98" s="441" t="e">
        <f t="shared" si="87"/>
        <v>#N/A</v>
      </c>
      <c r="AS98" s="600"/>
      <c r="AT98" s="506"/>
      <c r="AU98" s="507"/>
      <c r="AV98" s="507"/>
      <c r="AW98" s="441" t="e">
        <f t="shared" si="89"/>
        <v>#N/A</v>
      </c>
      <c r="AX98" s="605"/>
      <c r="AZ98" s="521" t="e">
        <f t="shared" si="91"/>
        <v>#N/A</v>
      </c>
      <c r="BA98" s="605"/>
    </row>
    <row r="99" spans="2:53">
      <c r="B99" s="610"/>
      <c r="C99" s="300">
        <v>13</v>
      </c>
      <c r="D99" s="226"/>
      <c r="E99" s="182"/>
      <c r="F99" s="488"/>
      <c r="G99" s="489"/>
      <c r="H99" s="668"/>
      <c r="I99" s="513" t="str">
        <f t="shared" si="76"/>
        <v>-</v>
      </c>
      <c r="J99" s="513" t="str">
        <f t="shared" si="77"/>
        <v>-</v>
      </c>
      <c r="K99" s="200" t="str">
        <f t="shared" si="78"/>
        <v>-</v>
      </c>
      <c r="L99" s="621"/>
      <c r="M99" s="201" t="e">
        <f>RANK(K99, K$87:$K$101)</f>
        <v>#VALUE!</v>
      </c>
      <c r="N99" s="604"/>
      <c r="O99" s="604"/>
      <c r="P99" s="506"/>
      <c r="Q99" s="507"/>
      <c r="R99" s="507"/>
      <c r="S99" s="300" t="e">
        <f t="shared" si="93"/>
        <v>#N/A</v>
      </c>
      <c r="T99" s="600"/>
      <c r="U99" s="506"/>
      <c r="V99" s="507"/>
      <c r="W99" s="507"/>
      <c r="X99" s="441" t="e">
        <f t="shared" si="79"/>
        <v>#N/A</v>
      </c>
      <c r="Y99" s="600"/>
      <c r="Z99" s="506"/>
      <c r="AA99" s="507"/>
      <c r="AB99" s="507"/>
      <c r="AC99" s="441" t="e">
        <f t="shared" si="81"/>
        <v>#N/A</v>
      </c>
      <c r="AD99" s="600"/>
      <c r="AE99" s="506"/>
      <c r="AF99" s="507"/>
      <c r="AG99" s="507"/>
      <c r="AH99" s="441" t="e">
        <f t="shared" si="83"/>
        <v>#N/A</v>
      </c>
      <c r="AI99" s="600"/>
      <c r="AJ99" s="506"/>
      <c r="AK99" s="507"/>
      <c r="AL99" s="507"/>
      <c r="AM99" s="441" t="e">
        <f t="shared" si="85"/>
        <v>#N/A</v>
      </c>
      <c r="AN99" s="600"/>
      <c r="AO99" s="506"/>
      <c r="AP99" s="507"/>
      <c r="AQ99" s="507"/>
      <c r="AR99" s="441" t="e">
        <f t="shared" si="87"/>
        <v>#N/A</v>
      </c>
      <c r="AS99" s="600"/>
      <c r="AT99" s="506"/>
      <c r="AU99" s="507"/>
      <c r="AV99" s="507"/>
      <c r="AW99" s="441" t="e">
        <f t="shared" si="89"/>
        <v>#N/A</v>
      </c>
      <c r="AX99" s="605"/>
      <c r="AZ99" s="521" t="e">
        <f t="shared" si="91"/>
        <v>#N/A</v>
      </c>
      <c r="BA99" s="605"/>
    </row>
    <row r="100" spans="2:53">
      <c r="B100" s="610"/>
      <c r="C100" s="300">
        <v>14</v>
      </c>
      <c r="D100" s="226"/>
      <c r="E100" s="182"/>
      <c r="F100" s="488"/>
      <c r="G100" s="489"/>
      <c r="H100" s="668"/>
      <c r="I100" s="513" t="str">
        <f t="shared" si="76"/>
        <v>-</v>
      </c>
      <c r="J100" s="513" t="str">
        <f t="shared" si="77"/>
        <v>-</v>
      </c>
      <c r="K100" s="200" t="str">
        <f t="shared" si="78"/>
        <v>-</v>
      </c>
      <c r="L100" s="621"/>
      <c r="M100" s="201" t="e">
        <f>RANK(K100, K$87:$K$101)</f>
        <v>#VALUE!</v>
      </c>
      <c r="N100" s="604"/>
      <c r="O100" s="604"/>
      <c r="P100" s="506"/>
      <c r="Q100" s="507"/>
      <c r="R100" s="507"/>
      <c r="S100" s="300" t="e">
        <f t="shared" si="93"/>
        <v>#N/A</v>
      </c>
      <c r="T100" s="600"/>
      <c r="U100" s="506"/>
      <c r="V100" s="507"/>
      <c r="W100" s="507"/>
      <c r="X100" s="441" t="e">
        <f t="shared" si="79"/>
        <v>#N/A</v>
      </c>
      <c r="Y100" s="600"/>
      <c r="Z100" s="506"/>
      <c r="AA100" s="507"/>
      <c r="AB100" s="507"/>
      <c r="AC100" s="441" t="e">
        <f t="shared" si="81"/>
        <v>#N/A</v>
      </c>
      <c r="AD100" s="600"/>
      <c r="AE100" s="506"/>
      <c r="AF100" s="507"/>
      <c r="AG100" s="507"/>
      <c r="AH100" s="441" t="e">
        <f t="shared" si="83"/>
        <v>#N/A</v>
      </c>
      <c r="AI100" s="600"/>
      <c r="AJ100" s="506"/>
      <c r="AK100" s="507"/>
      <c r="AL100" s="507"/>
      <c r="AM100" s="441" t="e">
        <f t="shared" si="85"/>
        <v>#N/A</v>
      </c>
      <c r="AN100" s="600"/>
      <c r="AO100" s="506"/>
      <c r="AP100" s="507"/>
      <c r="AQ100" s="507"/>
      <c r="AR100" s="441" t="e">
        <f t="shared" si="87"/>
        <v>#N/A</v>
      </c>
      <c r="AS100" s="600"/>
      <c r="AT100" s="506"/>
      <c r="AU100" s="507"/>
      <c r="AV100" s="507"/>
      <c r="AW100" s="441" t="e">
        <f t="shared" si="89"/>
        <v>#N/A</v>
      </c>
      <c r="AX100" s="605"/>
      <c r="AZ100" s="521" t="e">
        <f t="shared" si="91"/>
        <v>#N/A</v>
      </c>
      <c r="BA100" s="605"/>
    </row>
    <row r="101" spans="2:53">
      <c r="B101" s="610"/>
      <c r="C101" s="300">
        <v>15</v>
      </c>
      <c r="D101" s="226"/>
      <c r="E101" s="182"/>
      <c r="F101" s="488"/>
      <c r="G101" s="489"/>
      <c r="H101" s="669"/>
      <c r="I101" s="517"/>
      <c r="J101" s="517"/>
      <c r="K101" s="517"/>
      <c r="L101" s="622"/>
      <c r="M101" s="199" t="e">
        <f>RANK(K101, K$87:$K$101)</f>
        <v>#N/A</v>
      </c>
      <c r="N101" s="604"/>
      <c r="O101" s="604"/>
      <c r="P101" s="506"/>
      <c r="Q101" s="507"/>
      <c r="R101" s="507"/>
      <c r="S101" s="300" t="e">
        <f t="shared" si="93"/>
        <v>#N/A</v>
      </c>
      <c r="T101" s="601"/>
      <c r="U101" s="506"/>
      <c r="V101" s="507"/>
      <c r="W101" s="507"/>
      <c r="X101" s="441" t="e">
        <f t="shared" si="79"/>
        <v>#N/A</v>
      </c>
      <c r="Y101" s="601"/>
      <c r="Z101" s="506"/>
      <c r="AA101" s="507"/>
      <c r="AB101" s="507"/>
      <c r="AC101" s="441" t="e">
        <f t="shared" si="81"/>
        <v>#N/A</v>
      </c>
      <c r="AD101" s="601"/>
      <c r="AE101" s="506"/>
      <c r="AF101" s="507"/>
      <c r="AG101" s="507"/>
      <c r="AH101" s="441" t="e">
        <f t="shared" si="83"/>
        <v>#N/A</v>
      </c>
      <c r="AI101" s="601"/>
      <c r="AJ101" s="506"/>
      <c r="AK101" s="507"/>
      <c r="AL101" s="507"/>
      <c r="AM101" s="441" t="e">
        <f t="shared" si="85"/>
        <v>#N/A</v>
      </c>
      <c r="AN101" s="601"/>
      <c r="AO101" s="506"/>
      <c r="AP101" s="507"/>
      <c r="AQ101" s="507"/>
      <c r="AR101" s="441" t="e">
        <f t="shared" si="87"/>
        <v>#N/A</v>
      </c>
      <c r="AS101" s="601"/>
      <c r="AT101" s="506"/>
      <c r="AU101" s="507"/>
      <c r="AV101" s="507"/>
      <c r="AW101" s="441" t="e">
        <f t="shared" si="89"/>
        <v>#N/A</v>
      </c>
      <c r="AX101" s="605"/>
      <c r="AZ101" s="521" t="e">
        <f t="shared" si="91"/>
        <v>#N/A</v>
      </c>
      <c r="BA101" s="605"/>
    </row>
    <row r="102" spans="2:53" ht="15.75">
      <c r="B102" s="633" t="s">
        <v>163</v>
      </c>
      <c r="C102" s="634"/>
      <c r="D102" s="634"/>
      <c r="E102" s="634"/>
      <c r="F102" s="634"/>
      <c r="G102" s="634"/>
      <c r="H102" s="635"/>
      <c r="I102" s="208"/>
      <c r="J102" s="208"/>
      <c r="K102" s="208"/>
      <c r="L102" s="208"/>
      <c r="M102" s="207"/>
      <c r="N102" s="606" t="s">
        <v>156</v>
      </c>
      <c r="O102" s="606" t="s">
        <v>105</v>
      </c>
      <c r="P102" s="632">
        <f>P82+7</f>
        <v>46147</v>
      </c>
      <c r="Q102" s="610"/>
      <c r="R102" s="610"/>
      <c r="S102" s="610"/>
      <c r="T102" s="610"/>
      <c r="U102" s="629">
        <f>P102+1</f>
        <v>46148</v>
      </c>
      <c r="V102" s="630"/>
      <c r="W102" s="630"/>
      <c r="X102" s="630"/>
      <c r="Y102" s="631"/>
      <c r="Z102" s="629">
        <f>U102+1</f>
        <v>46149</v>
      </c>
      <c r="AA102" s="630"/>
      <c r="AB102" s="630"/>
      <c r="AC102" s="630"/>
      <c r="AD102" s="631"/>
      <c r="AE102" s="629">
        <f>Z102+1</f>
        <v>46150</v>
      </c>
      <c r="AF102" s="630"/>
      <c r="AG102" s="630"/>
      <c r="AH102" s="630"/>
      <c r="AI102" s="631"/>
      <c r="AJ102" s="629">
        <f>AE102+1</f>
        <v>46151</v>
      </c>
      <c r="AK102" s="630"/>
      <c r="AL102" s="630"/>
      <c r="AM102" s="630"/>
      <c r="AN102" s="631"/>
      <c r="AO102" s="629">
        <f>AJ102+1</f>
        <v>46152</v>
      </c>
      <c r="AP102" s="630"/>
      <c r="AQ102" s="630"/>
      <c r="AR102" s="630"/>
      <c r="AS102" s="631"/>
      <c r="AT102" s="629">
        <f>AO102+1</f>
        <v>46153</v>
      </c>
      <c r="AU102" s="630"/>
      <c r="AV102" s="630"/>
      <c r="AW102" s="630"/>
      <c r="AX102" s="631"/>
    </row>
    <row r="103" spans="2:53" ht="15.75">
      <c r="B103" s="636"/>
      <c r="C103" s="636"/>
      <c r="D103" s="636"/>
      <c r="E103" s="636"/>
      <c r="F103" s="636"/>
      <c r="G103" s="636"/>
      <c r="H103" s="636"/>
      <c r="I103" s="205"/>
      <c r="J103" s="205"/>
      <c r="K103" s="205"/>
      <c r="L103" s="205"/>
      <c r="M103" s="206"/>
      <c r="N103" s="608"/>
      <c r="O103" s="608"/>
      <c r="P103" s="632" t="s">
        <v>158</v>
      </c>
      <c r="Q103" s="610"/>
      <c r="R103" s="610"/>
      <c r="S103" s="610"/>
      <c r="T103" s="610"/>
      <c r="U103" s="632" t="s">
        <v>114</v>
      </c>
      <c r="V103" s="610"/>
      <c r="W103" s="610"/>
      <c r="X103" s="610"/>
      <c r="Y103" s="610"/>
      <c r="Z103" s="632" t="s">
        <v>159</v>
      </c>
      <c r="AA103" s="610"/>
      <c r="AB103" s="610"/>
      <c r="AC103" s="610"/>
      <c r="AD103" s="610"/>
      <c r="AE103" s="632" t="s">
        <v>157</v>
      </c>
      <c r="AF103" s="610"/>
      <c r="AG103" s="610"/>
      <c r="AH103" s="610"/>
      <c r="AI103" s="610"/>
      <c r="AJ103" s="632" t="s">
        <v>160</v>
      </c>
      <c r="AK103" s="610"/>
      <c r="AL103" s="610"/>
      <c r="AM103" s="610"/>
      <c r="AN103" s="610"/>
      <c r="AO103" s="632" t="s">
        <v>115</v>
      </c>
      <c r="AP103" s="610"/>
      <c r="AQ103" s="610"/>
      <c r="AR103" s="610"/>
      <c r="AS103" s="610"/>
      <c r="AT103" s="632" t="s">
        <v>162</v>
      </c>
      <c r="AU103" s="610"/>
      <c r="AV103" s="610"/>
      <c r="AW103" s="610"/>
      <c r="AX103" s="610"/>
    </row>
    <row r="104" spans="2:53">
      <c r="B104" s="604" t="s">
        <v>693</v>
      </c>
      <c r="C104" s="604" t="s">
        <v>694</v>
      </c>
      <c r="D104" s="604"/>
      <c r="E104" s="604" t="s">
        <v>695</v>
      </c>
      <c r="F104" s="604"/>
      <c r="G104" s="604"/>
      <c r="H104" s="637" t="s">
        <v>696</v>
      </c>
      <c r="I104" s="604" t="s">
        <v>697</v>
      </c>
      <c r="J104" s="604"/>
      <c r="K104" s="604"/>
      <c r="L104" s="637" t="s">
        <v>395</v>
      </c>
      <c r="M104" s="606" t="s">
        <v>698</v>
      </c>
      <c r="N104" s="604"/>
      <c r="O104" s="604" t="s">
        <v>684</v>
      </c>
      <c r="P104" s="623" t="s">
        <v>685</v>
      </c>
      <c r="Q104" s="624"/>
      <c r="R104" s="624"/>
      <c r="S104" s="625"/>
      <c r="T104" s="604" t="s">
        <v>681</v>
      </c>
      <c r="U104" s="623" t="s">
        <v>685</v>
      </c>
      <c r="V104" s="624"/>
      <c r="W104" s="624"/>
      <c r="X104" s="625"/>
      <c r="Y104" s="604" t="s">
        <v>681</v>
      </c>
      <c r="Z104" s="623" t="s">
        <v>685</v>
      </c>
      <c r="AA104" s="624"/>
      <c r="AB104" s="624"/>
      <c r="AC104" s="625"/>
      <c r="AD104" s="604" t="s">
        <v>681</v>
      </c>
      <c r="AE104" s="623" t="s">
        <v>685</v>
      </c>
      <c r="AF104" s="624"/>
      <c r="AG104" s="624"/>
      <c r="AH104" s="625"/>
      <c r="AI104" s="604" t="s">
        <v>681</v>
      </c>
      <c r="AJ104" s="623" t="s">
        <v>685</v>
      </c>
      <c r="AK104" s="624"/>
      <c r="AL104" s="624"/>
      <c r="AM104" s="625"/>
      <c r="AN104" s="604" t="s">
        <v>681</v>
      </c>
      <c r="AO104" s="623" t="s">
        <v>685</v>
      </c>
      <c r="AP104" s="624"/>
      <c r="AQ104" s="624"/>
      <c r="AR104" s="625"/>
      <c r="AS104" s="604" t="s">
        <v>681</v>
      </c>
      <c r="AT104" s="623" t="s">
        <v>685</v>
      </c>
      <c r="AU104" s="624"/>
      <c r="AV104" s="624"/>
      <c r="AW104" s="625"/>
      <c r="AX104" s="604" t="s">
        <v>681</v>
      </c>
      <c r="BA104" s="604" t="s">
        <v>395</v>
      </c>
    </row>
    <row r="105" spans="2:53">
      <c r="B105" s="604"/>
      <c r="C105" s="604"/>
      <c r="D105" s="604"/>
      <c r="E105" s="604" t="s">
        <v>700</v>
      </c>
      <c r="F105" s="604"/>
      <c r="G105" s="604"/>
      <c r="H105" s="638"/>
      <c r="I105" s="604" t="s">
        <v>700</v>
      </c>
      <c r="J105" s="604"/>
      <c r="K105" s="604"/>
      <c r="L105" s="638"/>
      <c r="M105" s="607"/>
      <c r="N105" s="604"/>
      <c r="O105" s="604"/>
      <c r="P105" s="623" t="s">
        <v>687</v>
      </c>
      <c r="Q105" s="624"/>
      <c r="R105" s="624"/>
      <c r="S105" s="625"/>
      <c r="T105" s="604"/>
      <c r="U105" s="623" t="s">
        <v>687</v>
      </c>
      <c r="V105" s="624"/>
      <c r="W105" s="624"/>
      <c r="X105" s="625"/>
      <c r="Y105" s="604"/>
      <c r="Z105" s="623" t="s">
        <v>687</v>
      </c>
      <c r="AA105" s="624"/>
      <c r="AB105" s="624"/>
      <c r="AC105" s="625"/>
      <c r="AD105" s="604"/>
      <c r="AE105" s="623" t="s">
        <v>687</v>
      </c>
      <c r="AF105" s="624"/>
      <c r="AG105" s="624"/>
      <c r="AH105" s="625"/>
      <c r="AI105" s="604"/>
      <c r="AJ105" s="623" t="s">
        <v>687</v>
      </c>
      <c r="AK105" s="624"/>
      <c r="AL105" s="624"/>
      <c r="AM105" s="625"/>
      <c r="AN105" s="604"/>
      <c r="AO105" s="623" t="s">
        <v>687</v>
      </c>
      <c r="AP105" s="624"/>
      <c r="AQ105" s="624"/>
      <c r="AR105" s="625"/>
      <c r="AS105" s="604"/>
      <c r="AT105" s="623" t="s">
        <v>687</v>
      </c>
      <c r="AU105" s="624"/>
      <c r="AV105" s="624"/>
      <c r="AW105" s="625"/>
      <c r="AX105" s="604"/>
      <c r="BA105" s="604"/>
    </row>
    <row r="106" spans="2:53">
      <c r="B106" s="604"/>
      <c r="C106" s="604"/>
      <c r="D106" s="604"/>
      <c r="E106" s="446" t="s">
        <v>701</v>
      </c>
      <c r="F106" s="446" t="s">
        <v>702</v>
      </c>
      <c r="G106" s="446" t="s">
        <v>703</v>
      </c>
      <c r="H106" s="639"/>
      <c r="I106" s="446" t="s">
        <v>701</v>
      </c>
      <c r="J106" s="446" t="s">
        <v>702</v>
      </c>
      <c r="K106" s="446" t="s">
        <v>703</v>
      </c>
      <c r="L106" s="639"/>
      <c r="M106" s="608"/>
      <c r="N106" s="604"/>
      <c r="O106" s="604"/>
      <c r="P106" s="446" t="s">
        <v>688</v>
      </c>
      <c r="Q106" s="446" t="s">
        <v>689</v>
      </c>
      <c r="R106" s="446" t="s">
        <v>690</v>
      </c>
      <c r="S106" s="446" t="s">
        <v>683</v>
      </c>
      <c r="T106" s="604"/>
      <c r="U106" s="446" t="s">
        <v>688</v>
      </c>
      <c r="V106" s="446" t="s">
        <v>689</v>
      </c>
      <c r="W106" s="446" t="s">
        <v>690</v>
      </c>
      <c r="X106" s="446" t="s">
        <v>683</v>
      </c>
      <c r="Y106" s="604"/>
      <c r="Z106" s="446" t="s">
        <v>688</v>
      </c>
      <c r="AA106" s="446" t="s">
        <v>689</v>
      </c>
      <c r="AB106" s="446" t="s">
        <v>690</v>
      </c>
      <c r="AC106" s="446" t="s">
        <v>683</v>
      </c>
      <c r="AD106" s="604"/>
      <c r="AE106" s="446" t="s">
        <v>688</v>
      </c>
      <c r="AF106" s="446" t="s">
        <v>689</v>
      </c>
      <c r="AG106" s="446" t="s">
        <v>690</v>
      </c>
      <c r="AH106" s="446" t="s">
        <v>683</v>
      </c>
      <c r="AI106" s="604"/>
      <c r="AJ106" s="446" t="s">
        <v>688</v>
      </c>
      <c r="AK106" s="446" t="s">
        <v>689</v>
      </c>
      <c r="AL106" s="446" t="s">
        <v>690</v>
      </c>
      <c r="AM106" s="446" t="s">
        <v>683</v>
      </c>
      <c r="AN106" s="604"/>
      <c r="AO106" s="446" t="s">
        <v>688</v>
      </c>
      <c r="AP106" s="446" t="s">
        <v>689</v>
      </c>
      <c r="AQ106" s="446" t="s">
        <v>690</v>
      </c>
      <c r="AR106" s="446" t="s">
        <v>683</v>
      </c>
      <c r="AS106" s="604"/>
      <c r="AT106" s="446" t="s">
        <v>688</v>
      </c>
      <c r="AU106" s="446" t="s">
        <v>689</v>
      </c>
      <c r="AV106" s="446" t="s">
        <v>690</v>
      </c>
      <c r="AW106" s="446" t="s">
        <v>683</v>
      </c>
      <c r="AX106" s="604"/>
      <c r="AZ106" s="520" t="s">
        <v>683</v>
      </c>
      <c r="BA106" s="604"/>
    </row>
    <row r="107" spans="2:53">
      <c r="B107" s="604" t="s">
        <v>136</v>
      </c>
      <c r="C107" s="451">
        <v>1</v>
      </c>
      <c r="D107" s="226"/>
      <c r="E107" s="182"/>
      <c r="F107" s="465"/>
      <c r="G107" s="466"/>
      <c r="H107" s="618" t="e">
        <f>AVERAGE(G107:G121)</f>
        <v>#DIV/0!</v>
      </c>
      <c r="I107" s="513" t="str">
        <f t="shared" ref="I107:I120" si="94">IFERROR(AVERAGE(P107,U107,Z107,AE107,AJ107,AO107,AT107),"-")</f>
        <v>-</v>
      </c>
      <c r="J107" s="513" t="str">
        <f t="shared" ref="J107:J120" si="95">IFERROR(AVERAGE(Q107,V107,AA107,AF107,AK107,AP107,AU107),"-")</f>
        <v>-</v>
      </c>
      <c r="K107" s="200" t="str">
        <f t="shared" ref="K107:K120" si="96">IFERROR(AVERAGE(R107,W107,AB107,AG107,AL107,AQ107,AV107),"-")</f>
        <v>-</v>
      </c>
      <c r="L107" s="620" t="str">
        <f>IFERROR(AVERAGE(K107:K121),"-")</f>
        <v>-</v>
      </c>
      <c r="M107" s="452" t="e">
        <f>RANK(K107, K$67:$K$81)</f>
        <v>#VALUE!</v>
      </c>
      <c r="N107" s="604"/>
      <c r="O107" s="604"/>
      <c r="P107" s="451"/>
      <c r="Q107" s="452"/>
      <c r="R107" s="452"/>
      <c r="S107" s="451" t="e">
        <f>RANK(R107, R$67:R$81)</f>
        <v>#N/A</v>
      </c>
      <c r="T107" s="612" t="e">
        <f>AVERAGE(R107:R121)</f>
        <v>#DIV/0!</v>
      </c>
      <c r="U107" s="469"/>
      <c r="V107" s="472"/>
      <c r="W107" s="472"/>
      <c r="X107" s="451" t="e">
        <f>RANK(W107, W$67:W$81)</f>
        <v>#N/A</v>
      </c>
      <c r="Y107" s="612" t="e">
        <f>AVERAGE(W107:W121)</f>
        <v>#DIV/0!</v>
      </c>
      <c r="Z107" s="469"/>
      <c r="AA107" s="472"/>
      <c r="AB107" s="472"/>
      <c r="AC107" s="451" t="e">
        <f>RANK(AB107, AB$67:AB$81)</f>
        <v>#N/A</v>
      </c>
      <c r="AD107" s="612" t="e">
        <f>AVERAGE(AB107:AB121)</f>
        <v>#DIV/0!</v>
      </c>
      <c r="AE107" s="469"/>
      <c r="AF107" s="472"/>
      <c r="AG107" s="472"/>
      <c r="AH107" s="451" t="e">
        <f>RANK(AG107, AG$67:AG$81)</f>
        <v>#N/A</v>
      </c>
      <c r="AI107" s="612" t="e">
        <f>AVERAGE(AG107:AG121)</f>
        <v>#DIV/0!</v>
      </c>
      <c r="AJ107" s="469"/>
      <c r="AK107" s="472"/>
      <c r="AL107" s="472"/>
      <c r="AM107" s="451" t="e">
        <f>RANK(AL107, AL$67:AL$81)</f>
        <v>#N/A</v>
      </c>
      <c r="AN107" s="612" t="e">
        <f>AVERAGE(AL107:AL121)</f>
        <v>#DIV/0!</v>
      </c>
      <c r="AO107" s="469"/>
      <c r="AP107" s="472"/>
      <c r="AQ107" s="472"/>
      <c r="AR107" s="451" t="e">
        <f>RANK(AQ107, AQ$67:AQ$81)</f>
        <v>#N/A</v>
      </c>
      <c r="AS107" s="612" t="e">
        <f>AVERAGE(AQ107:AQ121)</f>
        <v>#DIV/0!</v>
      </c>
      <c r="AT107" s="182"/>
      <c r="AU107" s="182"/>
      <c r="AV107" s="466"/>
      <c r="AW107" s="451" t="e">
        <f>RANK(AV107, AV$67:AV$81)</f>
        <v>#N/A</v>
      </c>
      <c r="AX107" s="612" t="e">
        <f>AVERAGE(AV107:AV121)</f>
        <v>#DIV/0!</v>
      </c>
      <c r="AZ107" s="522" t="e">
        <f>RANK(AY107, AY$67:AY$81)</f>
        <v>#N/A</v>
      </c>
      <c r="BA107" s="612" t="e">
        <f>AVERAGE(AY107:AY121)</f>
        <v>#DIV/0!</v>
      </c>
    </row>
    <row r="108" spans="2:53">
      <c r="B108" s="640"/>
      <c r="C108" s="451">
        <v>2</v>
      </c>
      <c r="D108" s="226"/>
      <c r="E108" s="182"/>
      <c r="F108" s="465"/>
      <c r="G108" s="466"/>
      <c r="H108" s="619"/>
      <c r="I108" s="513" t="str">
        <f t="shared" si="94"/>
        <v>-</v>
      </c>
      <c r="J108" s="513" t="str">
        <f t="shared" si="95"/>
        <v>-</v>
      </c>
      <c r="K108" s="200" t="str">
        <f t="shared" si="96"/>
        <v>-</v>
      </c>
      <c r="L108" s="621"/>
      <c r="M108" s="452" t="e">
        <f>RANK(K108, K$67:$K$81)</f>
        <v>#VALUE!</v>
      </c>
      <c r="N108" s="604"/>
      <c r="O108" s="604"/>
      <c r="P108" s="451"/>
      <c r="Q108" s="452"/>
      <c r="R108" s="452"/>
      <c r="S108" s="451" t="e">
        <f t="shared" ref="S108:S121" si="97">RANK(R108, R$67:R$81)</f>
        <v>#N/A</v>
      </c>
      <c r="T108" s="612"/>
      <c r="U108" s="469"/>
      <c r="V108" s="472"/>
      <c r="W108" s="472"/>
      <c r="X108" s="451" t="e">
        <f t="shared" ref="X108:X121" si="98">RANK(W108, W$67:W$81)</f>
        <v>#N/A</v>
      </c>
      <c r="Y108" s="612"/>
      <c r="Z108" s="469"/>
      <c r="AA108" s="472"/>
      <c r="AB108" s="472"/>
      <c r="AC108" s="451" t="e">
        <f t="shared" ref="AC108:AC121" si="99">RANK(AB108, AB$67:AB$81)</f>
        <v>#N/A</v>
      </c>
      <c r="AD108" s="612"/>
      <c r="AE108" s="469"/>
      <c r="AF108" s="472"/>
      <c r="AG108" s="472"/>
      <c r="AH108" s="451" t="e">
        <f t="shared" ref="AH108:AH121" si="100">RANK(AG108, AG$67:AG$81)</f>
        <v>#N/A</v>
      </c>
      <c r="AI108" s="612"/>
      <c r="AJ108" s="469"/>
      <c r="AK108" s="472"/>
      <c r="AL108" s="472"/>
      <c r="AM108" s="451" t="e">
        <f t="shared" ref="AM108:AM121" si="101">RANK(AL108, AL$67:AL$81)</f>
        <v>#N/A</v>
      </c>
      <c r="AN108" s="612"/>
      <c r="AO108" s="469"/>
      <c r="AP108" s="472"/>
      <c r="AQ108" s="472"/>
      <c r="AR108" s="451" t="e">
        <f t="shared" ref="AR108:AR121" si="102">RANK(AQ108, AQ$67:AQ$81)</f>
        <v>#N/A</v>
      </c>
      <c r="AS108" s="612"/>
      <c r="AT108" s="465"/>
      <c r="AU108" s="182"/>
      <c r="AV108" s="466"/>
      <c r="AW108" s="451" t="e">
        <f t="shared" ref="AW108:AW121" si="103">RANK(AV108, AV$67:AV$81)</f>
        <v>#N/A</v>
      </c>
      <c r="AX108" s="612"/>
      <c r="AZ108" s="522" t="e">
        <f t="shared" ref="AZ108:AZ121" si="104">RANK(AY108, AY$67:AY$81)</f>
        <v>#N/A</v>
      </c>
      <c r="BA108" s="612"/>
    </row>
    <row r="109" spans="2:53">
      <c r="B109" s="640"/>
      <c r="C109" s="451">
        <v>3</v>
      </c>
      <c r="D109" s="226"/>
      <c r="E109" s="182"/>
      <c r="F109" s="465"/>
      <c r="G109" s="466"/>
      <c r="H109" s="619"/>
      <c r="I109" s="513" t="str">
        <f t="shared" si="94"/>
        <v>-</v>
      </c>
      <c r="J109" s="513" t="str">
        <f t="shared" si="95"/>
        <v>-</v>
      </c>
      <c r="K109" s="200" t="str">
        <f t="shared" si="96"/>
        <v>-</v>
      </c>
      <c r="L109" s="621"/>
      <c r="M109" s="452" t="e">
        <f>RANK(K109, K$67:$K$81)</f>
        <v>#VALUE!</v>
      </c>
      <c r="N109" s="604"/>
      <c r="O109" s="604"/>
      <c r="P109" s="451"/>
      <c r="Q109" s="452"/>
      <c r="R109" s="452"/>
      <c r="S109" s="451" t="e">
        <f t="shared" si="97"/>
        <v>#N/A</v>
      </c>
      <c r="T109" s="612"/>
      <c r="U109" s="469"/>
      <c r="V109" s="472"/>
      <c r="W109" s="472"/>
      <c r="X109" s="451" t="e">
        <f t="shared" si="98"/>
        <v>#N/A</v>
      </c>
      <c r="Y109" s="612"/>
      <c r="Z109" s="469"/>
      <c r="AA109" s="472"/>
      <c r="AB109" s="472"/>
      <c r="AC109" s="451" t="e">
        <f t="shared" si="99"/>
        <v>#N/A</v>
      </c>
      <c r="AD109" s="612"/>
      <c r="AE109" s="469"/>
      <c r="AF109" s="472"/>
      <c r="AG109" s="472"/>
      <c r="AH109" s="451" t="e">
        <f t="shared" si="100"/>
        <v>#N/A</v>
      </c>
      <c r="AI109" s="612"/>
      <c r="AJ109" s="469"/>
      <c r="AK109" s="472"/>
      <c r="AL109" s="472"/>
      <c r="AM109" s="451" t="e">
        <f t="shared" si="101"/>
        <v>#N/A</v>
      </c>
      <c r="AN109" s="612"/>
      <c r="AO109" s="469"/>
      <c r="AP109" s="472"/>
      <c r="AQ109" s="472"/>
      <c r="AR109" s="451" t="e">
        <f t="shared" si="102"/>
        <v>#N/A</v>
      </c>
      <c r="AS109" s="612"/>
      <c r="AT109" s="465"/>
      <c r="AU109" s="182"/>
      <c r="AV109" s="466"/>
      <c r="AW109" s="451" t="e">
        <f t="shared" si="103"/>
        <v>#N/A</v>
      </c>
      <c r="AX109" s="612"/>
      <c r="AZ109" s="522" t="e">
        <f t="shared" si="104"/>
        <v>#N/A</v>
      </c>
      <c r="BA109" s="612"/>
    </row>
    <row r="110" spans="2:53">
      <c r="B110" s="640"/>
      <c r="C110" s="451">
        <v>4</v>
      </c>
      <c r="D110" s="226"/>
      <c r="E110" s="182"/>
      <c r="F110" s="465"/>
      <c r="G110" s="466"/>
      <c r="H110" s="619"/>
      <c r="I110" s="513" t="str">
        <f t="shared" si="94"/>
        <v>-</v>
      </c>
      <c r="J110" s="513" t="str">
        <f t="shared" si="95"/>
        <v>-</v>
      </c>
      <c r="K110" s="200" t="str">
        <f t="shared" si="96"/>
        <v>-</v>
      </c>
      <c r="L110" s="621"/>
      <c r="M110" s="452" t="e">
        <f>RANK(K110, K$67:$K$81)</f>
        <v>#VALUE!</v>
      </c>
      <c r="N110" s="604"/>
      <c r="O110" s="604"/>
      <c r="P110" s="451"/>
      <c r="Q110" s="452"/>
      <c r="R110" s="452"/>
      <c r="S110" s="451" t="e">
        <f t="shared" si="97"/>
        <v>#N/A</v>
      </c>
      <c r="T110" s="612"/>
      <c r="U110" s="469"/>
      <c r="V110" s="472"/>
      <c r="W110" s="472"/>
      <c r="X110" s="451" t="e">
        <f t="shared" si="98"/>
        <v>#N/A</v>
      </c>
      <c r="Y110" s="612"/>
      <c r="Z110" s="469"/>
      <c r="AA110" s="472"/>
      <c r="AB110" s="472"/>
      <c r="AC110" s="451" t="e">
        <f t="shared" si="99"/>
        <v>#N/A</v>
      </c>
      <c r="AD110" s="612"/>
      <c r="AE110" s="469"/>
      <c r="AF110" s="472"/>
      <c r="AG110" s="472"/>
      <c r="AH110" s="451" t="e">
        <f t="shared" si="100"/>
        <v>#N/A</v>
      </c>
      <c r="AI110" s="612"/>
      <c r="AJ110" s="469"/>
      <c r="AK110" s="472"/>
      <c r="AL110" s="472"/>
      <c r="AM110" s="451" t="e">
        <f t="shared" si="101"/>
        <v>#N/A</v>
      </c>
      <c r="AN110" s="612"/>
      <c r="AO110" s="469"/>
      <c r="AP110" s="472"/>
      <c r="AQ110" s="472"/>
      <c r="AR110" s="451" t="e">
        <f t="shared" si="102"/>
        <v>#N/A</v>
      </c>
      <c r="AS110" s="612"/>
      <c r="AT110" s="465"/>
      <c r="AU110" s="182"/>
      <c r="AV110" s="466"/>
      <c r="AW110" s="451" t="e">
        <f t="shared" si="103"/>
        <v>#N/A</v>
      </c>
      <c r="AX110" s="612"/>
      <c r="AZ110" s="522" t="e">
        <f t="shared" si="104"/>
        <v>#N/A</v>
      </c>
      <c r="BA110" s="612"/>
    </row>
    <row r="111" spans="2:53">
      <c r="B111" s="640"/>
      <c r="C111" s="451">
        <v>5</v>
      </c>
      <c r="D111" s="226"/>
      <c r="E111" s="182"/>
      <c r="F111" s="465"/>
      <c r="G111" s="466"/>
      <c r="H111" s="619"/>
      <c r="I111" s="513" t="str">
        <f t="shared" si="94"/>
        <v>-</v>
      </c>
      <c r="J111" s="513" t="str">
        <f t="shared" si="95"/>
        <v>-</v>
      </c>
      <c r="K111" s="200" t="str">
        <f t="shared" si="96"/>
        <v>-</v>
      </c>
      <c r="L111" s="621"/>
      <c r="M111" s="452" t="e">
        <f>RANK(K111, K$67:$K$81)</f>
        <v>#VALUE!</v>
      </c>
      <c r="N111" s="604"/>
      <c r="O111" s="604"/>
      <c r="P111" s="451"/>
      <c r="Q111" s="452"/>
      <c r="R111" s="452"/>
      <c r="S111" s="451" t="e">
        <f t="shared" si="97"/>
        <v>#N/A</v>
      </c>
      <c r="T111" s="612"/>
      <c r="U111" s="469"/>
      <c r="V111" s="472"/>
      <c r="W111" s="472"/>
      <c r="X111" s="451" t="e">
        <f t="shared" si="98"/>
        <v>#N/A</v>
      </c>
      <c r="Y111" s="612"/>
      <c r="Z111" s="469"/>
      <c r="AA111" s="472"/>
      <c r="AB111" s="472"/>
      <c r="AC111" s="451" t="e">
        <f t="shared" si="99"/>
        <v>#N/A</v>
      </c>
      <c r="AD111" s="612"/>
      <c r="AE111" s="469"/>
      <c r="AF111" s="472"/>
      <c r="AG111" s="472"/>
      <c r="AH111" s="451" t="e">
        <f t="shared" si="100"/>
        <v>#N/A</v>
      </c>
      <c r="AI111" s="612"/>
      <c r="AJ111" s="469"/>
      <c r="AK111" s="472"/>
      <c r="AL111" s="472"/>
      <c r="AM111" s="451" t="e">
        <f t="shared" si="101"/>
        <v>#N/A</v>
      </c>
      <c r="AN111" s="612"/>
      <c r="AO111" s="469"/>
      <c r="AP111" s="472"/>
      <c r="AQ111" s="472"/>
      <c r="AR111" s="451" t="e">
        <f t="shared" si="102"/>
        <v>#N/A</v>
      </c>
      <c r="AS111" s="612"/>
      <c r="AT111" s="465"/>
      <c r="AU111" s="182"/>
      <c r="AV111" s="466"/>
      <c r="AW111" s="451" t="e">
        <f t="shared" si="103"/>
        <v>#N/A</v>
      </c>
      <c r="AX111" s="612"/>
      <c r="AZ111" s="522" t="e">
        <f t="shared" si="104"/>
        <v>#N/A</v>
      </c>
      <c r="BA111" s="612"/>
    </row>
    <row r="112" spans="2:53">
      <c r="B112" s="640"/>
      <c r="C112" s="451">
        <v>6</v>
      </c>
      <c r="D112" s="226"/>
      <c r="E112" s="182"/>
      <c r="F112" s="465"/>
      <c r="G112" s="466"/>
      <c r="H112" s="619"/>
      <c r="I112" s="513" t="str">
        <f t="shared" si="94"/>
        <v>-</v>
      </c>
      <c r="J112" s="513" t="str">
        <f t="shared" si="95"/>
        <v>-</v>
      </c>
      <c r="K112" s="200" t="str">
        <f t="shared" si="96"/>
        <v>-</v>
      </c>
      <c r="L112" s="621"/>
      <c r="M112" s="452" t="e">
        <f>RANK(K112, K$67:$K$81)</f>
        <v>#VALUE!</v>
      </c>
      <c r="N112" s="604"/>
      <c r="O112" s="604"/>
      <c r="P112" s="451"/>
      <c r="Q112" s="452"/>
      <c r="R112" s="452"/>
      <c r="S112" s="451" t="e">
        <f t="shared" si="97"/>
        <v>#N/A</v>
      </c>
      <c r="T112" s="612"/>
      <c r="U112" s="469"/>
      <c r="V112" s="472"/>
      <c r="W112" s="472"/>
      <c r="X112" s="451" t="e">
        <f t="shared" si="98"/>
        <v>#N/A</v>
      </c>
      <c r="Y112" s="612"/>
      <c r="Z112" s="469"/>
      <c r="AA112" s="472"/>
      <c r="AB112" s="472"/>
      <c r="AC112" s="451" t="e">
        <f t="shared" si="99"/>
        <v>#N/A</v>
      </c>
      <c r="AD112" s="612"/>
      <c r="AE112" s="469"/>
      <c r="AF112" s="472"/>
      <c r="AG112" s="472"/>
      <c r="AH112" s="451" t="e">
        <f t="shared" si="100"/>
        <v>#N/A</v>
      </c>
      <c r="AI112" s="612"/>
      <c r="AJ112" s="469"/>
      <c r="AK112" s="472"/>
      <c r="AL112" s="472"/>
      <c r="AM112" s="451" t="e">
        <f t="shared" si="101"/>
        <v>#N/A</v>
      </c>
      <c r="AN112" s="612"/>
      <c r="AO112" s="469"/>
      <c r="AP112" s="472"/>
      <c r="AQ112" s="472"/>
      <c r="AR112" s="451" t="e">
        <f t="shared" si="102"/>
        <v>#N/A</v>
      </c>
      <c r="AS112" s="612"/>
      <c r="AT112" s="465"/>
      <c r="AU112" s="182"/>
      <c r="AV112" s="466"/>
      <c r="AW112" s="451" t="e">
        <f t="shared" si="103"/>
        <v>#N/A</v>
      </c>
      <c r="AX112" s="612"/>
      <c r="AZ112" s="522" t="e">
        <f t="shared" si="104"/>
        <v>#N/A</v>
      </c>
      <c r="BA112" s="612"/>
    </row>
    <row r="113" spans="2:53">
      <c r="B113" s="640"/>
      <c r="C113" s="451">
        <v>7</v>
      </c>
      <c r="D113" s="226"/>
      <c r="E113" s="182"/>
      <c r="F113" s="465"/>
      <c r="G113" s="466"/>
      <c r="H113" s="619"/>
      <c r="I113" s="513" t="str">
        <f t="shared" si="94"/>
        <v>-</v>
      </c>
      <c r="J113" s="513" t="str">
        <f t="shared" si="95"/>
        <v>-</v>
      </c>
      <c r="K113" s="200" t="str">
        <f t="shared" si="96"/>
        <v>-</v>
      </c>
      <c r="L113" s="621"/>
      <c r="M113" s="452" t="e">
        <f>RANK(K113, K$67:$K$81)</f>
        <v>#VALUE!</v>
      </c>
      <c r="N113" s="604"/>
      <c r="O113" s="604"/>
      <c r="P113" s="451"/>
      <c r="Q113" s="452"/>
      <c r="R113" s="452"/>
      <c r="S113" s="451" t="e">
        <f t="shared" si="97"/>
        <v>#N/A</v>
      </c>
      <c r="T113" s="612"/>
      <c r="U113" s="469"/>
      <c r="V113" s="472"/>
      <c r="W113" s="472"/>
      <c r="X113" s="451" t="e">
        <f t="shared" si="98"/>
        <v>#N/A</v>
      </c>
      <c r="Y113" s="612"/>
      <c r="Z113" s="469"/>
      <c r="AA113" s="472"/>
      <c r="AB113" s="472"/>
      <c r="AC113" s="451" t="e">
        <f t="shared" si="99"/>
        <v>#N/A</v>
      </c>
      <c r="AD113" s="612"/>
      <c r="AE113" s="469"/>
      <c r="AF113" s="472"/>
      <c r="AG113" s="472"/>
      <c r="AH113" s="451" t="e">
        <f t="shared" si="100"/>
        <v>#N/A</v>
      </c>
      <c r="AI113" s="612"/>
      <c r="AJ113" s="469"/>
      <c r="AK113" s="472"/>
      <c r="AL113" s="472"/>
      <c r="AM113" s="451" t="e">
        <f t="shared" si="101"/>
        <v>#N/A</v>
      </c>
      <c r="AN113" s="612"/>
      <c r="AO113" s="469"/>
      <c r="AP113" s="472"/>
      <c r="AQ113" s="472"/>
      <c r="AR113" s="451" t="e">
        <f t="shared" si="102"/>
        <v>#N/A</v>
      </c>
      <c r="AS113" s="612"/>
      <c r="AT113" s="465"/>
      <c r="AU113" s="182"/>
      <c r="AV113" s="466"/>
      <c r="AW113" s="451" t="e">
        <f t="shared" si="103"/>
        <v>#N/A</v>
      </c>
      <c r="AX113" s="612"/>
      <c r="AZ113" s="522" t="e">
        <f t="shared" si="104"/>
        <v>#N/A</v>
      </c>
      <c r="BA113" s="612"/>
    </row>
    <row r="114" spans="2:53">
      <c r="B114" s="640"/>
      <c r="C114" s="451">
        <v>8</v>
      </c>
      <c r="D114" s="226"/>
      <c r="E114" s="182"/>
      <c r="F114" s="465"/>
      <c r="G114" s="466"/>
      <c r="H114" s="619"/>
      <c r="I114" s="513" t="str">
        <f t="shared" si="94"/>
        <v>-</v>
      </c>
      <c r="J114" s="513" t="str">
        <f t="shared" si="95"/>
        <v>-</v>
      </c>
      <c r="K114" s="200" t="str">
        <f t="shared" si="96"/>
        <v>-</v>
      </c>
      <c r="L114" s="621"/>
      <c r="M114" s="452" t="e">
        <f>RANK(K114, K$67:$K$81)</f>
        <v>#VALUE!</v>
      </c>
      <c r="N114" s="604"/>
      <c r="O114" s="604"/>
      <c r="P114" s="451"/>
      <c r="Q114" s="452"/>
      <c r="R114" s="452"/>
      <c r="S114" s="451" t="e">
        <f t="shared" si="97"/>
        <v>#N/A</v>
      </c>
      <c r="T114" s="612"/>
      <c r="U114" s="469"/>
      <c r="V114" s="472"/>
      <c r="W114" s="472"/>
      <c r="X114" s="451" t="e">
        <f t="shared" si="98"/>
        <v>#N/A</v>
      </c>
      <c r="Y114" s="612"/>
      <c r="Z114" s="469"/>
      <c r="AA114" s="472"/>
      <c r="AB114" s="472"/>
      <c r="AC114" s="451" t="e">
        <f t="shared" si="99"/>
        <v>#N/A</v>
      </c>
      <c r="AD114" s="612"/>
      <c r="AE114" s="469"/>
      <c r="AF114" s="472"/>
      <c r="AG114" s="472"/>
      <c r="AH114" s="451" t="e">
        <f t="shared" si="100"/>
        <v>#N/A</v>
      </c>
      <c r="AI114" s="612"/>
      <c r="AJ114" s="469"/>
      <c r="AK114" s="472"/>
      <c r="AL114" s="472"/>
      <c r="AM114" s="451" t="e">
        <f t="shared" si="101"/>
        <v>#N/A</v>
      </c>
      <c r="AN114" s="612"/>
      <c r="AO114" s="469"/>
      <c r="AP114" s="472"/>
      <c r="AQ114" s="472"/>
      <c r="AR114" s="451" t="e">
        <f t="shared" si="102"/>
        <v>#N/A</v>
      </c>
      <c r="AS114" s="612"/>
      <c r="AT114" s="465"/>
      <c r="AU114" s="182"/>
      <c r="AV114" s="466"/>
      <c r="AW114" s="451" t="e">
        <f t="shared" si="103"/>
        <v>#N/A</v>
      </c>
      <c r="AX114" s="612"/>
      <c r="AZ114" s="522" t="e">
        <f t="shared" si="104"/>
        <v>#N/A</v>
      </c>
      <c r="BA114" s="612"/>
    </row>
    <row r="115" spans="2:53">
      <c r="B115" s="640"/>
      <c r="C115" s="451">
        <v>9</v>
      </c>
      <c r="D115" s="226"/>
      <c r="E115" s="182"/>
      <c r="F115" s="465"/>
      <c r="G115" s="466"/>
      <c r="H115" s="619"/>
      <c r="I115" s="513" t="str">
        <f t="shared" si="94"/>
        <v>-</v>
      </c>
      <c r="J115" s="513" t="str">
        <f t="shared" si="95"/>
        <v>-</v>
      </c>
      <c r="K115" s="200" t="str">
        <f t="shared" si="96"/>
        <v>-</v>
      </c>
      <c r="L115" s="621"/>
      <c r="M115" s="452" t="e">
        <f>RANK(K115, K$67:$K$81)</f>
        <v>#VALUE!</v>
      </c>
      <c r="N115" s="604"/>
      <c r="O115" s="604"/>
      <c r="P115" s="451"/>
      <c r="Q115" s="452"/>
      <c r="R115" s="452"/>
      <c r="S115" s="451" t="e">
        <f t="shared" si="97"/>
        <v>#N/A</v>
      </c>
      <c r="T115" s="612"/>
      <c r="U115" s="469"/>
      <c r="V115" s="472"/>
      <c r="W115" s="472"/>
      <c r="X115" s="451" t="e">
        <f t="shared" si="98"/>
        <v>#N/A</v>
      </c>
      <c r="Y115" s="612"/>
      <c r="Z115" s="469"/>
      <c r="AA115" s="472"/>
      <c r="AB115" s="472"/>
      <c r="AC115" s="451" t="e">
        <f t="shared" si="99"/>
        <v>#N/A</v>
      </c>
      <c r="AD115" s="612"/>
      <c r="AE115" s="469"/>
      <c r="AF115" s="472"/>
      <c r="AG115" s="472"/>
      <c r="AH115" s="451" t="e">
        <f t="shared" si="100"/>
        <v>#N/A</v>
      </c>
      <c r="AI115" s="612"/>
      <c r="AJ115" s="469"/>
      <c r="AK115" s="472"/>
      <c r="AL115" s="472"/>
      <c r="AM115" s="451" t="e">
        <f t="shared" si="101"/>
        <v>#N/A</v>
      </c>
      <c r="AN115" s="612"/>
      <c r="AO115" s="469"/>
      <c r="AP115" s="472"/>
      <c r="AQ115" s="472"/>
      <c r="AR115" s="451" t="e">
        <f t="shared" si="102"/>
        <v>#N/A</v>
      </c>
      <c r="AS115" s="612"/>
      <c r="AT115" s="465"/>
      <c r="AU115" s="182"/>
      <c r="AV115" s="466"/>
      <c r="AW115" s="451" t="e">
        <f t="shared" si="103"/>
        <v>#N/A</v>
      </c>
      <c r="AX115" s="612"/>
      <c r="AZ115" s="522" t="e">
        <f t="shared" si="104"/>
        <v>#N/A</v>
      </c>
      <c r="BA115" s="612"/>
    </row>
    <row r="116" spans="2:53">
      <c r="B116" s="640"/>
      <c r="C116" s="451">
        <v>10</v>
      </c>
      <c r="D116" s="226"/>
      <c r="E116" s="182"/>
      <c r="F116" s="465"/>
      <c r="G116" s="466"/>
      <c r="H116" s="619"/>
      <c r="I116" s="513" t="str">
        <f t="shared" si="94"/>
        <v>-</v>
      </c>
      <c r="J116" s="513" t="str">
        <f t="shared" si="95"/>
        <v>-</v>
      </c>
      <c r="K116" s="200" t="str">
        <f t="shared" si="96"/>
        <v>-</v>
      </c>
      <c r="L116" s="621"/>
      <c r="M116" s="452" t="e">
        <f>RANK(K116, K$67:$K$81)</f>
        <v>#VALUE!</v>
      </c>
      <c r="N116" s="604"/>
      <c r="O116" s="604"/>
      <c r="P116" s="451"/>
      <c r="Q116" s="452"/>
      <c r="R116" s="452"/>
      <c r="S116" s="451" t="e">
        <f t="shared" si="97"/>
        <v>#N/A</v>
      </c>
      <c r="T116" s="612"/>
      <c r="U116" s="469"/>
      <c r="V116" s="472"/>
      <c r="W116" s="472"/>
      <c r="X116" s="451" t="e">
        <f t="shared" si="98"/>
        <v>#N/A</v>
      </c>
      <c r="Y116" s="612"/>
      <c r="Z116" s="469"/>
      <c r="AA116" s="472"/>
      <c r="AB116" s="472"/>
      <c r="AC116" s="451" t="e">
        <f t="shared" si="99"/>
        <v>#N/A</v>
      </c>
      <c r="AD116" s="612"/>
      <c r="AE116" s="469"/>
      <c r="AF116" s="472"/>
      <c r="AG116" s="472"/>
      <c r="AH116" s="451" t="e">
        <f t="shared" si="100"/>
        <v>#N/A</v>
      </c>
      <c r="AI116" s="612"/>
      <c r="AJ116" s="469"/>
      <c r="AK116" s="472"/>
      <c r="AL116" s="472"/>
      <c r="AM116" s="451" t="e">
        <f t="shared" si="101"/>
        <v>#N/A</v>
      </c>
      <c r="AN116" s="612"/>
      <c r="AO116" s="469"/>
      <c r="AP116" s="472"/>
      <c r="AQ116" s="472"/>
      <c r="AR116" s="451" t="e">
        <f t="shared" si="102"/>
        <v>#N/A</v>
      </c>
      <c r="AS116" s="612"/>
      <c r="AT116" s="465"/>
      <c r="AU116" s="182"/>
      <c r="AV116" s="466"/>
      <c r="AW116" s="451" t="e">
        <f t="shared" si="103"/>
        <v>#N/A</v>
      </c>
      <c r="AX116" s="612"/>
      <c r="AZ116" s="522" t="e">
        <f t="shared" si="104"/>
        <v>#N/A</v>
      </c>
      <c r="BA116" s="612"/>
    </row>
    <row r="117" spans="2:53">
      <c r="B117" s="640"/>
      <c r="C117" s="451">
        <v>11</v>
      </c>
      <c r="D117" s="226"/>
      <c r="E117" s="182"/>
      <c r="F117" s="465"/>
      <c r="G117" s="466"/>
      <c r="H117" s="619"/>
      <c r="I117" s="513" t="str">
        <f t="shared" si="94"/>
        <v>-</v>
      </c>
      <c r="J117" s="513" t="str">
        <f t="shared" si="95"/>
        <v>-</v>
      </c>
      <c r="K117" s="200" t="str">
        <f t="shared" si="96"/>
        <v>-</v>
      </c>
      <c r="L117" s="621"/>
      <c r="M117" s="452" t="e">
        <f>RANK(K117, K$67:$K$81)</f>
        <v>#VALUE!</v>
      </c>
      <c r="N117" s="604"/>
      <c r="O117" s="604"/>
      <c r="P117" s="451"/>
      <c r="Q117" s="452"/>
      <c r="R117" s="452"/>
      <c r="S117" s="451" t="e">
        <f t="shared" si="97"/>
        <v>#N/A</v>
      </c>
      <c r="T117" s="612"/>
      <c r="U117" s="469"/>
      <c r="V117" s="472"/>
      <c r="W117" s="472"/>
      <c r="X117" s="451" t="e">
        <f t="shared" si="98"/>
        <v>#N/A</v>
      </c>
      <c r="Y117" s="612"/>
      <c r="Z117" s="469"/>
      <c r="AA117" s="472"/>
      <c r="AB117" s="472"/>
      <c r="AC117" s="451" t="e">
        <f t="shared" si="99"/>
        <v>#N/A</v>
      </c>
      <c r="AD117" s="612"/>
      <c r="AE117" s="469"/>
      <c r="AF117" s="472"/>
      <c r="AG117" s="472"/>
      <c r="AH117" s="451" t="e">
        <f t="shared" si="100"/>
        <v>#N/A</v>
      </c>
      <c r="AI117" s="612"/>
      <c r="AJ117" s="469"/>
      <c r="AK117" s="472"/>
      <c r="AL117" s="472"/>
      <c r="AM117" s="451" t="e">
        <f t="shared" si="101"/>
        <v>#N/A</v>
      </c>
      <c r="AN117" s="612"/>
      <c r="AO117" s="469"/>
      <c r="AP117" s="472"/>
      <c r="AQ117" s="472"/>
      <c r="AR117" s="451" t="e">
        <f t="shared" si="102"/>
        <v>#N/A</v>
      </c>
      <c r="AS117" s="612"/>
      <c r="AT117" s="465"/>
      <c r="AU117" s="182"/>
      <c r="AV117" s="466"/>
      <c r="AW117" s="451" t="e">
        <f t="shared" si="103"/>
        <v>#N/A</v>
      </c>
      <c r="AX117" s="612"/>
      <c r="AZ117" s="522" t="e">
        <f t="shared" si="104"/>
        <v>#N/A</v>
      </c>
      <c r="BA117" s="612"/>
    </row>
    <row r="118" spans="2:53">
      <c r="B118" s="640"/>
      <c r="C118" s="451">
        <v>12</v>
      </c>
      <c r="D118" s="226"/>
      <c r="E118" s="182"/>
      <c r="F118" s="465"/>
      <c r="G118" s="466"/>
      <c r="H118" s="619"/>
      <c r="I118" s="513" t="str">
        <f t="shared" si="94"/>
        <v>-</v>
      </c>
      <c r="J118" s="513" t="str">
        <f t="shared" si="95"/>
        <v>-</v>
      </c>
      <c r="K118" s="200" t="str">
        <f t="shared" si="96"/>
        <v>-</v>
      </c>
      <c r="L118" s="621"/>
      <c r="M118" s="452" t="e">
        <f>RANK(K118, K$67:$K$81)</f>
        <v>#VALUE!</v>
      </c>
      <c r="N118" s="604"/>
      <c r="O118" s="604"/>
      <c r="P118" s="451"/>
      <c r="Q118" s="452"/>
      <c r="R118" s="452"/>
      <c r="S118" s="451" t="e">
        <f t="shared" si="97"/>
        <v>#N/A</v>
      </c>
      <c r="T118" s="612"/>
      <c r="U118" s="469"/>
      <c r="V118" s="472"/>
      <c r="W118" s="472"/>
      <c r="X118" s="451" t="e">
        <f t="shared" si="98"/>
        <v>#N/A</v>
      </c>
      <c r="Y118" s="612"/>
      <c r="Z118" s="469"/>
      <c r="AA118" s="472"/>
      <c r="AB118" s="472"/>
      <c r="AC118" s="451" t="e">
        <f t="shared" si="99"/>
        <v>#N/A</v>
      </c>
      <c r="AD118" s="612"/>
      <c r="AE118" s="469"/>
      <c r="AF118" s="472"/>
      <c r="AG118" s="472"/>
      <c r="AH118" s="451" t="e">
        <f t="shared" si="100"/>
        <v>#N/A</v>
      </c>
      <c r="AI118" s="612"/>
      <c r="AJ118" s="469"/>
      <c r="AK118" s="472"/>
      <c r="AL118" s="472"/>
      <c r="AM118" s="451" t="e">
        <f t="shared" si="101"/>
        <v>#N/A</v>
      </c>
      <c r="AN118" s="612"/>
      <c r="AO118" s="469"/>
      <c r="AP118" s="472"/>
      <c r="AQ118" s="472"/>
      <c r="AR118" s="451" t="e">
        <f t="shared" si="102"/>
        <v>#N/A</v>
      </c>
      <c r="AS118" s="612"/>
      <c r="AT118" s="465"/>
      <c r="AU118" s="182"/>
      <c r="AV118" s="466"/>
      <c r="AW118" s="451" t="e">
        <f t="shared" si="103"/>
        <v>#N/A</v>
      </c>
      <c r="AX118" s="612"/>
      <c r="AZ118" s="522" t="e">
        <f t="shared" si="104"/>
        <v>#N/A</v>
      </c>
      <c r="BA118" s="612"/>
    </row>
    <row r="119" spans="2:53">
      <c r="B119" s="640"/>
      <c r="C119" s="451">
        <v>13</v>
      </c>
      <c r="D119" s="226"/>
      <c r="E119" s="182"/>
      <c r="F119" s="465"/>
      <c r="G119" s="466"/>
      <c r="H119" s="619"/>
      <c r="I119" s="513" t="str">
        <f t="shared" si="94"/>
        <v>-</v>
      </c>
      <c r="J119" s="513" t="str">
        <f t="shared" si="95"/>
        <v>-</v>
      </c>
      <c r="K119" s="200" t="str">
        <f t="shared" si="96"/>
        <v>-</v>
      </c>
      <c r="L119" s="621"/>
      <c r="M119" s="452" t="e">
        <f>RANK(K119, K$67:$K$81)</f>
        <v>#VALUE!</v>
      </c>
      <c r="N119" s="604"/>
      <c r="O119" s="604"/>
      <c r="P119" s="451"/>
      <c r="Q119" s="452"/>
      <c r="R119" s="452"/>
      <c r="S119" s="451" t="e">
        <f t="shared" si="97"/>
        <v>#N/A</v>
      </c>
      <c r="T119" s="612"/>
      <c r="U119" s="469"/>
      <c r="V119" s="472"/>
      <c r="W119" s="472"/>
      <c r="X119" s="451" t="e">
        <f t="shared" si="98"/>
        <v>#N/A</v>
      </c>
      <c r="Y119" s="612"/>
      <c r="Z119" s="469"/>
      <c r="AA119" s="472"/>
      <c r="AB119" s="472"/>
      <c r="AC119" s="451" t="e">
        <f t="shared" si="99"/>
        <v>#N/A</v>
      </c>
      <c r="AD119" s="612"/>
      <c r="AE119" s="469"/>
      <c r="AF119" s="472"/>
      <c r="AG119" s="472"/>
      <c r="AH119" s="451" t="e">
        <f t="shared" si="100"/>
        <v>#N/A</v>
      </c>
      <c r="AI119" s="612"/>
      <c r="AJ119" s="469"/>
      <c r="AK119" s="472"/>
      <c r="AL119" s="472"/>
      <c r="AM119" s="451" t="e">
        <f t="shared" si="101"/>
        <v>#N/A</v>
      </c>
      <c r="AN119" s="612"/>
      <c r="AO119" s="469"/>
      <c r="AP119" s="472"/>
      <c r="AQ119" s="472"/>
      <c r="AR119" s="451" t="e">
        <f t="shared" si="102"/>
        <v>#N/A</v>
      </c>
      <c r="AS119" s="612"/>
      <c r="AT119" s="465"/>
      <c r="AU119" s="182"/>
      <c r="AV119" s="466"/>
      <c r="AW119" s="451" t="e">
        <f t="shared" si="103"/>
        <v>#N/A</v>
      </c>
      <c r="AX119" s="612"/>
      <c r="AZ119" s="522" t="e">
        <f t="shared" si="104"/>
        <v>#N/A</v>
      </c>
      <c r="BA119" s="612"/>
    </row>
    <row r="120" spans="2:53">
      <c r="B120" s="640"/>
      <c r="C120" s="451">
        <v>14</v>
      </c>
      <c r="D120" s="226"/>
      <c r="E120" s="182"/>
      <c r="F120" s="465"/>
      <c r="G120" s="466"/>
      <c r="H120" s="619"/>
      <c r="I120" s="513" t="str">
        <f t="shared" si="94"/>
        <v>-</v>
      </c>
      <c r="J120" s="513" t="str">
        <f t="shared" si="95"/>
        <v>-</v>
      </c>
      <c r="K120" s="200" t="str">
        <f t="shared" si="96"/>
        <v>-</v>
      </c>
      <c r="L120" s="621"/>
      <c r="M120" s="452" t="e">
        <f>RANK(K120, K$67:$K$81)</f>
        <v>#VALUE!</v>
      </c>
      <c r="N120" s="604"/>
      <c r="O120" s="604"/>
      <c r="P120" s="451"/>
      <c r="Q120" s="452"/>
      <c r="R120" s="452"/>
      <c r="S120" s="451" t="e">
        <f t="shared" si="97"/>
        <v>#N/A</v>
      </c>
      <c r="T120" s="612"/>
      <c r="U120" s="469"/>
      <c r="V120" s="472"/>
      <c r="W120" s="472"/>
      <c r="X120" s="451" t="e">
        <f t="shared" si="98"/>
        <v>#N/A</v>
      </c>
      <c r="Y120" s="612"/>
      <c r="Z120" s="469"/>
      <c r="AA120" s="472"/>
      <c r="AB120" s="472"/>
      <c r="AC120" s="451" t="e">
        <f t="shared" si="99"/>
        <v>#N/A</v>
      </c>
      <c r="AD120" s="612"/>
      <c r="AE120" s="469"/>
      <c r="AF120" s="472"/>
      <c r="AG120" s="472"/>
      <c r="AH120" s="451" t="e">
        <f t="shared" si="100"/>
        <v>#N/A</v>
      </c>
      <c r="AI120" s="612"/>
      <c r="AJ120" s="469"/>
      <c r="AK120" s="472"/>
      <c r="AL120" s="472"/>
      <c r="AM120" s="451" t="e">
        <f t="shared" si="101"/>
        <v>#N/A</v>
      </c>
      <c r="AN120" s="612"/>
      <c r="AO120" s="469"/>
      <c r="AP120" s="472"/>
      <c r="AQ120" s="472"/>
      <c r="AR120" s="451" t="e">
        <f t="shared" si="102"/>
        <v>#N/A</v>
      </c>
      <c r="AS120" s="612"/>
      <c r="AT120" s="465"/>
      <c r="AU120" s="182"/>
      <c r="AV120" s="466"/>
      <c r="AW120" s="451" t="e">
        <f t="shared" si="103"/>
        <v>#N/A</v>
      </c>
      <c r="AX120" s="612"/>
      <c r="AZ120" s="522" t="e">
        <f t="shared" si="104"/>
        <v>#N/A</v>
      </c>
      <c r="BA120" s="612"/>
    </row>
    <row r="121" spans="2:53">
      <c r="B121" s="640"/>
      <c r="C121" s="451">
        <v>15</v>
      </c>
      <c r="D121" s="226"/>
      <c r="E121" s="182"/>
      <c r="F121" s="465"/>
      <c r="G121" s="466"/>
      <c r="H121" s="679"/>
      <c r="I121" s="517"/>
      <c r="J121" s="517"/>
      <c r="K121" s="517"/>
      <c r="L121" s="622"/>
      <c r="M121" s="452" t="e">
        <f>RANK(K121, K$47:$K$61)</f>
        <v>#N/A</v>
      </c>
      <c r="N121" s="604"/>
      <c r="O121" s="604"/>
      <c r="P121" s="451"/>
      <c r="Q121" s="452"/>
      <c r="R121" s="452"/>
      <c r="S121" s="451" t="e">
        <f t="shared" si="97"/>
        <v>#N/A</v>
      </c>
      <c r="T121" s="612"/>
      <c r="U121" s="469"/>
      <c r="V121" s="472"/>
      <c r="W121" s="472"/>
      <c r="X121" s="451" t="e">
        <f t="shared" si="98"/>
        <v>#N/A</v>
      </c>
      <c r="Y121" s="612"/>
      <c r="Z121" s="469"/>
      <c r="AA121" s="472"/>
      <c r="AB121" s="472"/>
      <c r="AC121" s="451" t="e">
        <f t="shared" si="99"/>
        <v>#N/A</v>
      </c>
      <c r="AD121" s="612"/>
      <c r="AE121" s="469"/>
      <c r="AF121" s="472"/>
      <c r="AG121" s="472"/>
      <c r="AH121" s="451" t="e">
        <f t="shared" si="100"/>
        <v>#N/A</v>
      </c>
      <c r="AI121" s="612"/>
      <c r="AJ121" s="469"/>
      <c r="AK121" s="472"/>
      <c r="AL121" s="472"/>
      <c r="AM121" s="451" t="e">
        <f t="shared" si="101"/>
        <v>#N/A</v>
      </c>
      <c r="AN121" s="612"/>
      <c r="AO121" s="469"/>
      <c r="AP121" s="472"/>
      <c r="AQ121" s="472"/>
      <c r="AR121" s="451" t="e">
        <f t="shared" si="102"/>
        <v>#N/A</v>
      </c>
      <c r="AS121" s="612"/>
      <c r="AT121" s="465"/>
      <c r="AU121" s="182"/>
      <c r="AV121" s="466"/>
      <c r="AW121" s="451" t="e">
        <f t="shared" si="103"/>
        <v>#N/A</v>
      </c>
      <c r="AX121" s="612"/>
      <c r="AZ121" s="522" t="e">
        <f t="shared" si="104"/>
        <v>#N/A</v>
      </c>
      <c r="BA121" s="612"/>
    </row>
    <row r="123" spans="2:53" ht="15.75">
      <c r="B123" s="613" t="s">
        <v>559</v>
      </c>
      <c r="C123" s="614"/>
      <c r="D123" s="614"/>
      <c r="E123" s="614"/>
      <c r="F123" s="614"/>
      <c r="G123" s="614"/>
      <c r="H123" s="615"/>
      <c r="I123" s="337"/>
      <c r="J123" s="337"/>
      <c r="K123" s="337"/>
      <c r="L123" s="337"/>
      <c r="M123" s="338"/>
    </row>
    <row r="124" spans="2:53" ht="15.75">
      <c r="B124" s="616"/>
      <c r="C124" s="616"/>
      <c r="D124" s="616"/>
      <c r="E124" s="616"/>
      <c r="F124" s="616"/>
      <c r="G124" s="616"/>
      <c r="H124" s="616"/>
      <c r="I124" s="339"/>
      <c r="J124" s="339"/>
      <c r="K124" s="339"/>
      <c r="L124" s="339"/>
      <c r="M124" s="340"/>
    </row>
    <row r="125" spans="2:53">
      <c r="B125" s="604" t="s">
        <v>560</v>
      </c>
      <c r="C125" s="604" t="s">
        <v>561</v>
      </c>
      <c r="D125" s="604"/>
      <c r="E125" s="604" t="s">
        <v>562</v>
      </c>
      <c r="F125" s="604"/>
      <c r="G125" s="604"/>
      <c r="H125" s="637" t="s">
        <v>563</v>
      </c>
      <c r="I125" s="617" t="s">
        <v>564</v>
      </c>
      <c r="J125" s="617"/>
      <c r="K125" s="617"/>
      <c r="L125" s="673" t="s">
        <v>563</v>
      </c>
      <c r="M125" s="676" t="s">
        <v>565</v>
      </c>
    </row>
    <row r="126" spans="2:53">
      <c r="B126" s="604"/>
      <c r="C126" s="604"/>
      <c r="D126" s="604"/>
      <c r="E126" s="604" t="s">
        <v>566</v>
      </c>
      <c r="F126" s="604"/>
      <c r="G126" s="604"/>
      <c r="H126" s="638"/>
      <c r="I126" s="617" t="s">
        <v>566</v>
      </c>
      <c r="J126" s="617"/>
      <c r="K126" s="617"/>
      <c r="L126" s="674"/>
      <c r="M126" s="677"/>
    </row>
    <row r="127" spans="2:53">
      <c r="B127" s="604"/>
      <c r="C127" s="604"/>
      <c r="D127" s="604"/>
      <c r="E127" s="334" t="s">
        <v>567</v>
      </c>
      <c r="F127" s="334" t="s">
        <v>568</v>
      </c>
      <c r="G127" s="334" t="s">
        <v>569</v>
      </c>
      <c r="H127" s="639"/>
      <c r="I127" s="341" t="s">
        <v>567</v>
      </c>
      <c r="J127" s="341" t="s">
        <v>568</v>
      </c>
      <c r="K127" s="341" t="s">
        <v>569</v>
      </c>
      <c r="L127" s="675"/>
      <c r="M127" s="678"/>
    </row>
    <row r="128" spans="2:53">
      <c r="B128" s="604" t="s">
        <v>577</v>
      </c>
      <c r="C128" s="333">
        <v>1</v>
      </c>
      <c r="D128" s="226"/>
      <c r="E128" s="182"/>
      <c r="F128" s="333"/>
      <c r="G128" s="336"/>
      <c r="H128" s="667" t="e">
        <f>AVERAGE(G128:G142)</f>
        <v>#DIV/0!</v>
      </c>
      <c r="I128" s="199" t="e">
        <f t="shared" ref="I128:J133" si="105">AVERAGEIF($D$7:$D$121,$D128,I$7:I$121)</f>
        <v>#DIV/0!</v>
      </c>
      <c r="J128" s="199" t="e">
        <f t="shared" si="105"/>
        <v>#DIV/0!</v>
      </c>
      <c r="K128" s="199" t="e">
        <f t="shared" ref="K128:K133" si="106">AVERAGEIF($D$7:$D$121,$D128,K$7:K$121)</f>
        <v>#DIV/0!</v>
      </c>
      <c r="L128" s="670" t="e">
        <f>AVERAGE(K128:K142)</f>
        <v>#DIV/0!</v>
      </c>
      <c r="M128" s="199" t="e">
        <f>RANK(K128, K$128:$K$142)</f>
        <v>#DIV/0!</v>
      </c>
    </row>
    <row r="129" spans="2:13">
      <c r="B129" s="610"/>
      <c r="C129" s="333">
        <v>2</v>
      </c>
      <c r="D129" s="226"/>
      <c r="E129" s="182"/>
      <c r="F129" s="333"/>
      <c r="G129" s="336"/>
      <c r="H129" s="668"/>
      <c r="I129" s="199" t="e">
        <f t="shared" si="105"/>
        <v>#DIV/0!</v>
      </c>
      <c r="J129" s="199" t="e">
        <f t="shared" si="105"/>
        <v>#DIV/0!</v>
      </c>
      <c r="K129" s="199" t="e">
        <f t="shared" si="106"/>
        <v>#DIV/0!</v>
      </c>
      <c r="L129" s="671"/>
      <c r="M129" s="199" t="e">
        <f>RANK(K129, K$128:$K$142)</f>
        <v>#DIV/0!</v>
      </c>
    </row>
    <row r="130" spans="2:13">
      <c r="B130" s="610"/>
      <c r="C130" s="333">
        <v>3</v>
      </c>
      <c r="D130" s="226"/>
      <c r="E130" s="182"/>
      <c r="F130" s="333"/>
      <c r="G130" s="336"/>
      <c r="H130" s="668"/>
      <c r="I130" s="199" t="e">
        <f t="shared" si="105"/>
        <v>#DIV/0!</v>
      </c>
      <c r="J130" s="199" t="e">
        <f t="shared" si="105"/>
        <v>#DIV/0!</v>
      </c>
      <c r="K130" s="199" t="e">
        <f t="shared" si="106"/>
        <v>#DIV/0!</v>
      </c>
      <c r="L130" s="671"/>
      <c r="M130" s="199" t="e">
        <f>RANK(K130, K$128:$K$142)</f>
        <v>#DIV/0!</v>
      </c>
    </row>
    <row r="131" spans="2:13">
      <c r="B131" s="610"/>
      <c r="C131" s="333">
        <v>4</v>
      </c>
      <c r="D131" s="226"/>
      <c r="E131" s="182"/>
      <c r="F131" s="333"/>
      <c r="G131" s="336"/>
      <c r="H131" s="668"/>
      <c r="I131" s="199" t="e">
        <f t="shared" si="105"/>
        <v>#DIV/0!</v>
      </c>
      <c r="J131" s="199" t="e">
        <f t="shared" si="105"/>
        <v>#DIV/0!</v>
      </c>
      <c r="K131" s="199" t="e">
        <f t="shared" si="106"/>
        <v>#DIV/0!</v>
      </c>
      <c r="L131" s="671"/>
      <c r="M131" s="199" t="e">
        <f>RANK(K131, K$128:$K$142)</f>
        <v>#DIV/0!</v>
      </c>
    </row>
    <row r="132" spans="2:13">
      <c r="B132" s="610"/>
      <c r="C132" s="333">
        <v>5</v>
      </c>
      <c r="D132" s="226"/>
      <c r="E132" s="182"/>
      <c r="F132" s="333"/>
      <c r="G132" s="336"/>
      <c r="H132" s="668"/>
      <c r="I132" s="199" t="e">
        <f t="shared" si="105"/>
        <v>#DIV/0!</v>
      </c>
      <c r="J132" s="199" t="e">
        <f t="shared" si="105"/>
        <v>#DIV/0!</v>
      </c>
      <c r="K132" s="199" t="e">
        <f t="shared" si="106"/>
        <v>#DIV/0!</v>
      </c>
      <c r="L132" s="671"/>
      <c r="M132" s="199" t="e">
        <f>RANK(K132, K$128:$K$142)</f>
        <v>#DIV/0!</v>
      </c>
    </row>
    <row r="133" spans="2:13">
      <c r="B133" s="610"/>
      <c r="C133" s="333">
        <v>6</v>
      </c>
      <c r="D133" s="342"/>
      <c r="E133" s="182"/>
      <c r="F133" s="333"/>
      <c r="G133" s="336"/>
      <c r="H133" s="668"/>
      <c r="I133" s="199" t="e">
        <f t="shared" si="105"/>
        <v>#DIV/0!</v>
      </c>
      <c r="J133" s="199" t="e">
        <f t="shared" si="105"/>
        <v>#DIV/0!</v>
      </c>
      <c r="K133" s="199" t="e">
        <f t="shared" si="106"/>
        <v>#DIV/0!</v>
      </c>
      <c r="L133" s="671"/>
      <c r="M133" s="199" t="e">
        <f>RANK(K133, K$128:$K$142)</f>
        <v>#DIV/0!</v>
      </c>
    </row>
    <row r="134" spans="2:13">
      <c r="B134" s="610"/>
      <c r="C134" s="333">
        <v>7</v>
      </c>
      <c r="D134" s="226"/>
      <c r="E134" s="182"/>
      <c r="F134" s="333"/>
      <c r="G134" s="336"/>
      <c r="H134" s="668"/>
      <c r="I134" s="199"/>
      <c r="J134" s="199"/>
      <c r="K134" s="199"/>
      <c r="L134" s="671"/>
      <c r="M134" s="199" t="e">
        <f>RANK(K134, K$128:$K$142)</f>
        <v>#DIV/0!</v>
      </c>
    </row>
    <row r="135" spans="2:13">
      <c r="B135" s="610"/>
      <c r="C135" s="333">
        <v>8</v>
      </c>
      <c r="D135" s="226"/>
      <c r="E135" s="182"/>
      <c r="F135" s="333"/>
      <c r="G135" s="336"/>
      <c r="H135" s="668"/>
      <c r="I135" s="199"/>
      <c r="J135" s="199"/>
      <c r="K135" s="199"/>
      <c r="L135" s="671"/>
      <c r="M135" s="199" t="e">
        <f>RANK(K135, K$128:$K$142)</f>
        <v>#DIV/0!</v>
      </c>
    </row>
    <row r="136" spans="2:13">
      <c r="B136" s="610"/>
      <c r="C136" s="333">
        <v>9</v>
      </c>
      <c r="D136" s="226"/>
      <c r="E136" s="333"/>
      <c r="F136" s="333"/>
      <c r="G136" s="333"/>
      <c r="H136" s="668"/>
      <c r="I136" s="199"/>
      <c r="J136" s="199"/>
      <c r="K136" s="199"/>
      <c r="L136" s="671"/>
      <c r="M136" s="199" t="e">
        <f>RANK(K136, K$128:$K$142)</f>
        <v>#DIV/0!</v>
      </c>
    </row>
    <row r="137" spans="2:13">
      <c r="B137" s="610"/>
      <c r="C137" s="333">
        <v>10</v>
      </c>
      <c r="D137" s="226"/>
      <c r="E137" s="333"/>
      <c r="F137" s="333"/>
      <c r="G137" s="333"/>
      <c r="H137" s="668"/>
      <c r="I137" s="199"/>
      <c r="J137" s="199"/>
      <c r="K137" s="199"/>
      <c r="L137" s="671"/>
      <c r="M137" s="199" t="e">
        <f>RANK(K137, K$128:$K$142)</f>
        <v>#DIV/0!</v>
      </c>
    </row>
    <row r="138" spans="2:13">
      <c r="B138" s="610"/>
      <c r="C138" s="333">
        <v>11</v>
      </c>
      <c r="D138" s="226"/>
      <c r="E138" s="333"/>
      <c r="F138" s="333"/>
      <c r="G138" s="333"/>
      <c r="H138" s="668"/>
      <c r="I138" s="199"/>
      <c r="J138" s="199"/>
      <c r="K138" s="199"/>
      <c r="L138" s="671"/>
      <c r="M138" s="199" t="e">
        <f>RANK(K138, K$128:$K$142)</f>
        <v>#DIV/0!</v>
      </c>
    </row>
    <row r="139" spans="2:13">
      <c r="B139" s="610"/>
      <c r="C139" s="333">
        <v>12</v>
      </c>
      <c r="D139" s="226"/>
      <c r="E139" s="333"/>
      <c r="F139" s="333"/>
      <c r="G139" s="333"/>
      <c r="H139" s="668"/>
      <c r="I139" s="199"/>
      <c r="J139" s="199"/>
      <c r="K139" s="199"/>
      <c r="L139" s="671"/>
      <c r="M139" s="199" t="e">
        <f>RANK(K139, K$128:$K$142)</f>
        <v>#DIV/0!</v>
      </c>
    </row>
    <row r="140" spans="2:13">
      <c r="B140" s="610"/>
      <c r="C140" s="333">
        <v>13</v>
      </c>
      <c r="D140" s="226"/>
      <c r="E140" s="333"/>
      <c r="F140" s="333"/>
      <c r="G140" s="333"/>
      <c r="H140" s="668"/>
      <c r="I140" s="199"/>
      <c r="J140" s="199"/>
      <c r="K140" s="199"/>
      <c r="L140" s="671"/>
      <c r="M140" s="199" t="e">
        <f>RANK(K140, K$128:$K$142)</f>
        <v>#DIV/0!</v>
      </c>
    </row>
    <row r="141" spans="2:13">
      <c r="B141" s="610"/>
      <c r="C141" s="333">
        <v>14</v>
      </c>
      <c r="D141" s="226"/>
      <c r="E141" s="333"/>
      <c r="F141" s="333"/>
      <c r="G141" s="333"/>
      <c r="H141" s="668"/>
      <c r="I141" s="199"/>
      <c r="J141" s="199"/>
      <c r="K141" s="199"/>
      <c r="L141" s="671"/>
      <c r="M141" s="199" t="e">
        <f>RANK(K141, K$128:$K$142)</f>
        <v>#DIV/0!</v>
      </c>
    </row>
    <row r="142" spans="2:13">
      <c r="B142" s="610"/>
      <c r="C142" s="333">
        <v>15</v>
      </c>
      <c r="D142" s="226"/>
      <c r="E142" s="333"/>
      <c r="F142" s="333"/>
      <c r="G142" s="333"/>
      <c r="H142" s="669"/>
      <c r="I142" s="199"/>
      <c r="J142" s="199"/>
      <c r="K142" s="199"/>
      <c r="L142" s="672"/>
      <c r="M142" s="199" t="e">
        <f>RANK(K142, K$128:$K$142)</f>
        <v>#DIV/0!</v>
      </c>
    </row>
  </sheetData>
  <mergeCells count="379">
    <mergeCell ref="BA87:BA101"/>
    <mergeCell ref="BA104:BA106"/>
    <mergeCell ref="BA107:BA121"/>
    <mergeCell ref="BA4:BA6"/>
    <mergeCell ref="BA7:BA21"/>
    <mergeCell ref="BA24:BA26"/>
    <mergeCell ref="BA27:BA41"/>
    <mergeCell ref="BA44:BA46"/>
    <mergeCell ref="BA47:BA61"/>
    <mergeCell ref="BA64:BA66"/>
    <mergeCell ref="BA67:BA81"/>
    <mergeCell ref="BA84:BA86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M35"/>
  <sheetViews>
    <sheetView zoomScale="85" zoomScaleNormal="85" zoomScaleSheetLayoutView="100" workbookViewId="0">
      <selection activeCell="D8" sqref="D8:L28"/>
    </sheetView>
  </sheetViews>
  <sheetFormatPr defaultColWidth="12.5703125" defaultRowHeight="15.75" customHeight="1"/>
  <cols>
    <col min="1" max="1" width="6.42578125" style="120" customWidth="1"/>
    <col min="2" max="10" width="11.5703125" style="120" customWidth="1"/>
    <col min="11" max="12" width="12.85546875" style="120" customWidth="1"/>
    <col min="13" max="13" width="12.5703125" style="121"/>
    <col min="14" max="16384" width="12.5703125" style="120"/>
  </cols>
  <sheetData>
    <row r="1" spans="1:13" ht="15.75" customHeight="1">
      <c r="A1" s="571" t="s">
        <v>204</v>
      </c>
      <c r="B1" s="571"/>
      <c r="C1" s="571"/>
      <c r="D1" s="571"/>
      <c r="E1" s="571"/>
      <c r="F1" s="571"/>
      <c r="G1" s="571"/>
      <c r="H1" s="571"/>
      <c r="I1" s="571"/>
      <c r="J1" s="571"/>
      <c r="K1" s="571"/>
      <c r="L1" s="571"/>
      <c r="M1" s="120"/>
    </row>
    <row r="2" spans="1:13" s="121" customFormat="1" ht="15.75" customHeight="1">
      <c r="A2" s="571"/>
      <c r="B2" s="571"/>
      <c r="C2" s="571"/>
      <c r="D2" s="571"/>
      <c r="E2" s="571"/>
      <c r="F2" s="571"/>
      <c r="G2" s="571"/>
      <c r="H2" s="571"/>
      <c r="I2" s="571"/>
      <c r="J2" s="571"/>
      <c r="K2" s="571"/>
      <c r="L2" s="571"/>
    </row>
    <row r="3" spans="1:13" ht="15.75" customHeight="1">
      <c r="A3" s="698" t="s">
        <v>205</v>
      </c>
      <c r="B3" s="699"/>
      <c r="C3" s="699"/>
      <c r="D3" s="699"/>
      <c r="E3" s="699"/>
      <c r="F3" s="699"/>
      <c r="G3" s="699"/>
      <c r="H3" s="699"/>
      <c r="I3" s="699"/>
      <c r="J3" s="699"/>
      <c r="K3" s="699"/>
      <c r="L3" s="699"/>
      <c r="M3" s="152"/>
    </row>
    <row r="4" spans="1:13" s="121" customFormat="1" ht="15.75" customHeight="1">
      <c r="A4" s="699"/>
      <c r="B4" s="699"/>
      <c r="C4" s="699"/>
      <c r="D4" s="699"/>
      <c r="E4" s="699"/>
      <c r="F4" s="699"/>
      <c r="G4" s="699"/>
      <c r="H4" s="699"/>
      <c r="I4" s="699"/>
      <c r="J4" s="699"/>
      <c r="K4" s="699"/>
      <c r="L4" s="699"/>
      <c r="M4" s="131"/>
    </row>
    <row r="5" spans="1:13" s="154" customFormat="1" ht="16.350000000000001" customHeight="1">
      <c r="A5" s="695" t="s">
        <v>154</v>
      </c>
      <c r="B5" s="166">
        <v>1</v>
      </c>
      <c r="C5" s="166">
        <v>2</v>
      </c>
      <c r="D5" s="156">
        <v>3</v>
      </c>
      <c r="E5" s="156">
        <v>4</v>
      </c>
      <c r="F5" s="156">
        <v>5</v>
      </c>
      <c r="G5" s="156">
        <v>6</v>
      </c>
      <c r="H5" s="156">
        <v>7</v>
      </c>
      <c r="I5" s="156">
        <v>8</v>
      </c>
      <c r="J5" s="156">
        <v>9</v>
      </c>
      <c r="K5" s="153"/>
      <c r="L5" s="153"/>
      <c r="M5" s="153"/>
    </row>
    <row r="6" spans="1:13" ht="16.350000000000001" customHeight="1">
      <c r="A6" s="695"/>
      <c r="B6" s="167" t="s">
        <v>206</v>
      </c>
      <c r="C6" s="167" t="s">
        <v>151</v>
      </c>
      <c r="D6" s="157" t="s">
        <v>207</v>
      </c>
      <c r="E6" s="157" t="s">
        <v>153</v>
      </c>
      <c r="F6" s="158" t="s">
        <v>133</v>
      </c>
      <c r="G6" s="159" t="s">
        <v>131</v>
      </c>
      <c r="H6" s="160" t="s">
        <v>208</v>
      </c>
      <c r="I6" s="159" t="s">
        <v>209</v>
      </c>
      <c r="J6" s="159" t="s">
        <v>137</v>
      </c>
      <c r="K6" s="155"/>
      <c r="L6" s="155"/>
      <c r="M6" s="131"/>
    </row>
    <row r="7" spans="1:13" s="154" customFormat="1" ht="15.75" customHeight="1">
      <c r="A7" s="696" t="s">
        <v>187</v>
      </c>
      <c r="B7" s="696"/>
      <c r="C7" s="447" t="s">
        <v>414</v>
      </c>
      <c r="D7" s="696" t="s">
        <v>12</v>
      </c>
      <c r="E7" s="697"/>
      <c r="F7" s="697"/>
      <c r="G7" s="447" t="s">
        <v>46</v>
      </c>
      <c r="H7" s="447" t="s">
        <v>637</v>
      </c>
      <c r="I7" s="447" t="s">
        <v>411</v>
      </c>
      <c r="J7" s="222" t="s">
        <v>412</v>
      </c>
      <c r="K7" s="696" t="s">
        <v>413</v>
      </c>
      <c r="L7" s="697"/>
      <c r="M7" s="153"/>
    </row>
    <row r="8" spans="1:13" ht="15.75" customHeight="1">
      <c r="A8" s="695">
        <v>1</v>
      </c>
      <c r="B8" s="696" t="s">
        <v>150</v>
      </c>
      <c r="C8" s="448">
        <v>1</v>
      </c>
      <c r="D8" s="487" t="s">
        <v>910</v>
      </c>
      <c r="E8" s="444"/>
      <c r="F8" s="445"/>
      <c r="G8" s="480">
        <v>3</v>
      </c>
      <c r="H8" s="480">
        <v>3297.3942653984591</v>
      </c>
      <c r="I8" s="480">
        <v>1099.1314217994866</v>
      </c>
      <c r="J8" s="241" t="s">
        <v>848</v>
      </c>
      <c r="K8" s="702" t="s">
        <v>914</v>
      </c>
      <c r="L8" s="703"/>
      <c r="M8" s="131"/>
    </row>
    <row r="9" spans="1:13" ht="15.75" customHeight="1">
      <c r="A9" s="695"/>
      <c r="B9" s="696"/>
      <c r="C9" s="448">
        <v>2</v>
      </c>
      <c r="D9" s="479" t="s">
        <v>363</v>
      </c>
      <c r="E9" s="444"/>
      <c r="F9" s="445"/>
      <c r="G9" s="480">
        <v>3</v>
      </c>
      <c r="H9" s="480">
        <v>3258.8276928326186</v>
      </c>
      <c r="I9" s="480">
        <v>1086.2758976108728</v>
      </c>
      <c r="J9" s="240" t="s">
        <v>847</v>
      </c>
      <c r="K9" s="704"/>
      <c r="L9" s="705"/>
      <c r="M9" s="131"/>
    </row>
    <row r="10" spans="1:13" ht="15.75" customHeight="1">
      <c r="A10" s="695"/>
      <c r="B10" s="696"/>
      <c r="C10" s="448">
        <v>3</v>
      </c>
      <c r="D10" s="479" t="s">
        <v>358</v>
      </c>
      <c r="E10" s="444"/>
      <c r="F10" s="445"/>
      <c r="G10" s="480">
        <v>3</v>
      </c>
      <c r="H10" s="480">
        <v>3240.8479404181885</v>
      </c>
      <c r="I10" s="480">
        <v>1080.2826468060628</v>
      </c>
      <c r="J10" s="241" t="s">
        <v>848</v>
      </c>
      <c r="K10" s="704"/>
      <c r="L10" s="705"/>
      <c r="M10" s="131"/>
    </row>
    <row r="11" spans="1:13" ht="15.75" customHeight="1">
      <c r="A11" s="695"/>
      <c r="B11" s="696"/>
      <c r="C11" s="448">
        <v>4</v>
      </c>
      <c r="D11" s="479" t="s">
        <v>362</v>
      </c>
      <c r="E11" s="444"/>
      <c r="F11" s="445"/>
      <c r="G11" s="480">
        <v>3</v>
      </c>
      <c r="H11" s="480">
        <v>3224.1840775464821</v>
      </c>
      <c r="I11" s="480">
        <v>1074.7280258488274</v>
      </c>
      <c r="J11" s="242" t="s">
        <v>850</v>
      </c>
      <c r="K11" s="704"/>
      <c r="L11" s="705"/>
      <c r="M11" s="131"/>
    </row>
    <row r="12" spans="1:13" ht="15.75" customHeight="1">
      <c r="A12" s="695"/>
      <c r="B12" s="696"/>
      <c r="C12" s="448">
        <v>5</v>
      </c>
      <c r="D12" s="487" t="s">
        <v>360</v>
      </c>
      <c r="E12" s="444"/>
      <c r="F12" s="445"/>
      <c r="G12" s="480">
        <v>3</v>
      </c>
      <c r="H12" s="480">
        <v>3223.8318322350992</v>
      </c>
      <c r="I12" s="480">
        <v>1074.610610745033</v>
      </c>
      <c r="J12" s="242" t="s">
        <v>850</v>
      </c>
      <c r="K12" s="706"/>
      <c r="L12" s="707"/>
      <c r="M12" s="131"/>
    </row>
    <row r="13" spans="1:13" ht="15.75" customHeight="1">
      <c r="A13" s="695"/>
      <c r="B13" s="696"/>
      <c r="C13" s="165" t="s">
        <v>415</v>
      </c>
      <c r="D13" s="479" t="s">
        <v>799</v>
      </c>
      <c r="E13" s="444"/>
      <c r="F13" s="445"/>
      <c r="G13" s="480">
        <v>12</v>
      </c>
      <c r="H13" s="480">
        <v>1207.0748299319771</v>
      </c>
      <c r="I13" s="480">
        <v>100.58956916099808</v>
      </c>
      <c r="J13" s="534" t="s">
        <v>847</v>
      </c>
      <c r="K13" s="700"/>
      <c r="L13" s="697"/>
      <c r="M13" s="131"/>
    </row>
    <row r="14" spans="1:13" ht="15.75" customHeight="1">
      <c r="A14" s="695"/>
      <c r="B14" s="696"/>
      <c r="C14" s="165" t="s">
        <v>416</v>
      </c>
      <c r="D14" s="479" t="s">
        <v>811</v>
      </c>
      <c r="E14" s="444"/>
      <c r="F14" s="445"/>
      <c r="G14" s="480">
        <v>12</v>
      </c>
      <c r="H14" s="480">
        <v>1376.3402254744894</v>
      </c>
      <c r="I14" s="480">
        <v>114.69501878954081</v>
      </c>
      <c r="J14" s="240" t="s">
        <v>847</v>
      </c>
      <c r="K14" s="701"/>
      <c r="L14" s="701"/>
      <c r="M14" s="131"/>
    </row>
    <row r="15" spans="1:13" ht="15.75" customHeight="1">
      <c r="A15" s="695"/>
      <c r="B15" s="696"/>
      <c r="C15" s="165" t="s">
        <v>456</v>
      </c>
      <c r="D15" s="479" t="s">
        <v>641</v>
      </c>
      <c r="E15" s="444"/>
      <c r="F15" s="445"/>
      <c r="G15" s="480">
        <v>10</v>
      </c>
      <c r="H15" s="480">
        <v>1531.0675324675326</v>
      </c>
      <c r="I15" s="480">
        <v>153.10675324675327</v>
      </c>
      <c r="J15" s="240" t="s">
        <v>847</v>
      </c>
      <c r="K15" s="700"/>
      <c r="L15" s="697"/>
      <c r="M15" s="131"/>
    </row>
    <row r="16" spans="1:13" ht="15.75" customHeight="1">
      <c r="A16" s="695"/>
      <c r="B16" s="696"/>
      <c r="C16" s="165" t="s">
        <v>418</v>
      </c>
      <c r="D16" s="479" t="s">
        <v>677</v>
      </c>
      <c r="E16" s="444"/>
      <c r="F16" s="445"/>
      <c r="G16" s="480">
        <v>4</v>
      </c>
      <c r="H16" s="480">
        <v>2148.0000000000073</v>
      </c>
      <c r="I16" s="480">
        <v>537.00000000000182</v>
      </c>
      <c r="J16" s="240" t="s">
        <v>847</v>
      </c>
      <c r="K16" s="700"/>
      <c r="L16" s="697"/>
      <c r="M16" s="152"/>
    </row>
    <row r="17" spans="1:13" ht="15.75" customHeight="1">
      <c r="A17" s="695"/>
      <c r="B17" s="696"/>
      <c r="C17" s="165" t="s">
        <v>457</v>
      </c>
      <c r="D17" s="487" t="s">
        <v>778</v>
      </c>
      <c r="E17" s="444"/>
      <c r="F17" s="445"/>
      <c r="G17" s="480">
        <v>4</v>
      </c>
      <c r="H17" s="480">
        <v>2824.0032352385288</v>
      </c>
      <c r="I17" s="480">
        <v>706.00080880963219</v>
      </c>
      <c r="J17" s="242" t="s">
        <v>850</v>
      </c>
      <c r="K17" s="700" t="s">
        <v>914</v>
      </c>
      <c r="L17" s="697"/>
      <c r="M17" s="152"/>
    </row>
    <row r="18" spans="1:13" s="162" customFormat="1" ht="15.75" customHeight="1">
      <c r="A18" s="710" t="s">
        <v>187</v>
      </c>
      <c r="B18" s="710"/>
      <c r="C18" s="449" t="s">
        <v>414</v>
      </c>
      <c r="D18" s="710" t="s">
        <v>12</v>
      </c>
      <c r="E18" s="711"/>
      <c r="F18" s="711"/>
      <c r="G18" s="542" t="s">
        <v>46</v>
      </c>
      <c r="H18" s="542" t="s">
        <v>752</v>
      </c>
      <c r="I18" s="542" t="s">
        <v>749</v>
      </c>
      <c r="J18" s="222" t="s">
        <v>412</v>
      </c>
      <c r="K18" s="710" t="s">
        <v>849</v>
      </c>
      <c r="L18" s="711"/>
      <c r="M18" s="155"/>
    </row>
    <row r="19" spans="1:13" ht="15.75" customHeight="1">
      <c r="A19" s="695">
        <v>2</v>
      </c>
      <c r="B19" s="696" t="s">
        <v>151</v>
      </c>
      <c r="C19" s="448">
        <v>1</v>
      </c>
      <c r="D19" s="443" t="s">
        <v>579</v>
      </c>
      <c r="E19" s="444"/>
      <c r="F19" s="445"/>
      <c r="G19" s="480">
        <v>5</v>
      </c>
      <c r="H19" s="480">
        <v>1509.6806363735432</v>
      </c>
      <c r="I19" s="480">
        <v>301.93612727470867</v>
      </c>
      <c r="J19" s="240" t="s">
        <v>847</v>
      </c>
      <c r="K19" s="708"/>
      <c r="L19" s="709"/>
      <c r="M19" s="152"/>
    </row>
    <row r="20" spans="1:13" ht="15.75" customHeight="1">
      <c r="A20" s="695"/>
      <c r="B20" s="696"/>
      <c r="C20" s="448">
        <v>2</v>
      </c>
      <c r="D20" s="443" t="s">
        <v>638</v>
      </c>
      <c r="E20" s="444"/>
      <c r="F20" s="445"/>
      <c r="G20" s="480">
        <v>6</v>
      </c>
      <c r="H20" s="480">
        <v>1624.3014128728423</v>
      </c>
      <c r="I20" s="480">
        <v>270.71690214547368</v>
      </c>
      <c r="J20" s="240" t="s">
        <v>847</v>
      </c>
      <c r="K20" s="708"/>
      <c r="L20" s="709"/>
      <c r="M20" s="152"/>
    </row>
    <row r="21" spans="1:13" ht="15.75" customHeight="1">
      <c r="A21" s="695"/>
      <c r="B21" s="696"/>
      <c r="C21" s="448">
        <v>3</v>
      </c>
      <c r="D21" s="481" t="s">
        <v>844</v>
      </c>
      <c r="E21" s="444"/>
      <c r="F21" s="445"/>
      <c r="G21" s="480">
        <v>12.285714285714286</v>
      </c>
      <c r="H21" s="480">
        <v>1814.38869911601</v>
      </c>
      <c r="I21" s="480">
        <v>148.15464049256065</v>
      </c>
      <c r="J21" s="240" t="s">
        <v>847</v>
      </c>
      <c r="K21" s="708"/>
      <c r="L21" s="709"/>
      <c r="M21" s="152"/>
    </row>
    <row r="22" spans="1:13" ht="15.75" customHeight="1">
      <c r="A22" s="695"/>
      <c r="B22" s="696"/>
      <c r="C22" s="448">
        <v>4</v>
      </c>
      <c r="D22" s="481" t="s">
        <v>845</v>
      </c>
      <c r="E22" s="444"/>
      <c r="F22" s="445"/>
      <c r="G22" s="480">
        <v>12.285714285714286</v>
      </c>
      <c r="H22" s="480">
        <v>1766.0289715886352</v>
      </c>
      <c r="I22" s="480">
        <v>144.04408096571962</v>
      </c>
      <c r="J22" s="240" t="s">
        <v>847</v>
      </c>
      <c r="K22" s="708"/>
      <c r="L22" s="709"/>
      <c r="M22" s="152"/>
    </row>
    <row r="23" spans="1:13" ht="15.75" customHeight="1">
      <c r="A23" s="695"/>
      <c r="B23" s="696"/>
      <c r="C23" s="448">
        <v>5</v>
      </c>
      <c r="D23" s="481" t="s">
        <v>779</v>
      </c>
      <c r="E23" s="444"/>
      <c r="F23" s="445"/>
      <c r="G23" s="480">
        <v>10</v>
      </c>
      <c r="H23" s="480">
        <v>1321.6011273209519</v>
      </c>
      <c r="I23" s="480">
        <v>132.1601127320952</v>
      </c>
      <c r="J23" s="240" t="s">
        <v>847</v>
      </c>
      <c r="K23" s="708"/>
      <c r="L23" s="709"/>
      <c r="M23" s="152"/>
    </row>
    <row r="24" spans="1:13" ht="15.75" customHeight="1">
      <c r="A24" s="695"/>
      <c r="B24" s="696"/>
      <c r="C24" s="165" t="s">
        <v>415</v>
      </c>
      <c r="D24" s="443"/>
      <c r="E24" s="444"/>
      <c r="F24" s="445"/>
      <c r="G24" s="480"/>
      <c r="H24" s="480"/>
      <c r="I24" s="480"/>
      <c r="J24" s="240"/>
      <c r="K24" s="712"/>
      <c r="L24" s="709"/>
      <c r="M24" s="152"/>
    </row>
    <row r="25" spans="1:13" ht="15.75" customHeight="1">
      <c r="A25" s="695"/>
      <c r="B25" s="696"/>
      <c r="C25" s="165" t="s">
        <v>416</v>
      </c>
      <c r="D25" s="443"/>
      <c r="E25" s="444"/>
      <c r="F25" s="445"/>
      <c r="G25" s="480"/>
      <c r="H25" s="480"/>
      <c r="I25" s="480"/>
      <c r="J25" s="240"/>
      <c r="K25" s="708"/>
      <c r="L25" s="709"/>
      <c r="M25" s="152"/>
    </row>
    <row r="26" spans="1:13" ht="15.75" customHeight="1">
      <c r="A26" s="695"/>
      <c r="B26" s="696"/>
      <c r="C26" s="165" t="s">
        <v>456</v>
      </c>
      <c r="E26" s="444"/>
      <c r="F26" s="445"/>
      <c r="G26" s="480"/>
      <c r="H26" s="480"/>
      <c r="I26" s="480"/>
      <c r="J26" s="543"/>
      <c r="K26" s="708"/>
      <c r="L26" s="709"/>
      <c r="M26" s="152"/>
    </row>
    <row r="27" spans="1:13" ht="15.75" customHeight="1">
      <c r="A27" s="695"/>
      <c r="B27" s="696"/>
      <c r="C27" s="165" t="s">
        <v>418</v>
      </c>
      <c r="D27" s="443"/>
      <c r="E27" s="444"/>
      <c r="F27" s="445"/>
      <c r="G27" s="480"/>
      <c r="H27" s="480"/>
      <c r="I27" s="480"/>
      <c r="J27" s="543"/>
      <c r="K27" s="708"/>
      <c r="L27" s="709"/>
      <c r="M27" s="152"/>
    </row>
    <row r="28" spans="1:13" ht="15.75" customHeight="1">
      <c r="A28" s="695"/>
      <c r="B28" s="696"/>
      <c r="C28" s="165" t="s">
        <v>457</v>
      </c>
      <c r="D28" s="443"/>
      <c r="E28" s="444"/>
      <c r="F28" s="445"/>
      <c r="G28" s="543"/>
      <c r="H28" s="543"/>
      <c r="I28" s="543"/>
      <c r="J28" s="543"/>
      <c r="K28" s="708"/>
      <c r="L28" s="709"/>
      <c r="M28" s="152"/>
    </row>
    <row r="29" spans="1:13" ht="15.75" customHeight="1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31"/>
    </row>
    <row r="30" spans="1:13" ht="15.75" customHeight="1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31"/>
    </row>
    <row r="31" spans="1:13" ht="15.75" customHeight="1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31"/>
    </row>
    <row r="32" spans="1:13" ht="15.75" customHeight="1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31"/>
    </row>
    <row r="33" spans="1:13" ht="15.75" customHeight="1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31"/>
    </row>
    <row r="34" spans="1:13" ht="15.75" customHeight="1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31"/>
    </row>
    <row r="35" spans="1:13" ht="15.75" customHeight="1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31"/>
    </row>
  </sheetData>
  <mergeCells count="29">
    <mergeCell ref="K23:L23"/>
    <mergeCell ref="A18:B18"/>
    <mergeCell ref="D18:F18"/>
    <mergeCell ref="K18:L18"/>
    <mergeCell ref="A19:A28"/>
    <mergeCell ref="K28:L28"/>
    <mergeCell ref="B19:B28"/>
    <mergeCell ref="K27:L27"/>
    <mergeCell ref="K26:L26"/>
    <mergeCell ref="K24:L24"/>
    <mergeCell ref="K25:L25"/>
    <mergeCell ref="K22:L22"/>
    <mergeCell ref="K19:L19"/>
    <mergeCell ref="K20:L20"/>
    <mergeCell ref="K21:L21"/>
    <mergeCell ref="K13:L13"/>
    <mergeCell ref="A8:A17"/>
    <mergeCell ref="B8:B17"/>
    <mergeCell ref="K14:L14"/>
    <mergeCell ref="K15:L15"/>
    <mergeCell ref="K16:L16"/>
    <mergeCell ref="K17:L17"/>
    <mergeCell ref="K8:L12"/>
    <mergeCell ref="A1:L2"/>
    <mergeCell ref="A5:A6"/>
    <mergeCell ref="A7:B7"/>
    <mergeCell ref="D7:F7"/>
    <mergeCell ref="K7:L7"/>
    <mergeCell ref="A3:L4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M35"/>
  <sheetViews>
    <sheetView zoomScale="85" zoomScaleNormal="85" zoomScaleSheetLayoutView="100" workbookViewId="0">
      <selection activeCell="D8" sqref="D8:L28"/>
    </sheetView>
  </sheetViews>
  <sheetFormatPr defaultColWidth="12.5703125" defaultRowHeight="15.75" customHeight="1"/>
  <cols>
    <col min="1" max="1" width="6.42578125" style="120" customWidth="1"/>
    <col min="2" max="10" width="11.5703125" style="120" customWidth="1"/>
    <col min="11" max="12" width="12.85546875" style="120" customWidth="1"/>
    <col min="13" max="13" width="12.5703125" style="121"/>
    <col min="14" max="16384" width="12.5703125" style="120"/>
  </cols>
  <sheetData>
    <row r="1" spans="1:13" ht="15.75" customHeight="1">
      <c r="A1" s="571" t="s">
        <v>204</v>
      </c>
      <c r="B1" s="571"/>
      <c r="C1" s="571"/>
      <c r="D1" s="571"/>
      <c r="E1" s="571"/>
      <c r="F1" s="571"/>
      <c r="G1" s="571"/>
      <c r="H1" s="571"/>
      <c r="I1" s="571"/>
      <c r="J1" s="571"/>
      <c r="K1" s="571"/>
      <c r="L1" s="571"/>
      <c r="M1" s="120"/>
    </row>
    <row r="2" spans="1:13" s="121" customFormat="1" ht="15.75" customHeight="1">
      <c r="A2" s="571"/>
      <c r="B2" s="571"/>
      <c r="C2" s="571"/>
      <c r="D2" s="571"/>
      <c r="E2" s="571"/>
      <c r="F2" s="571"/>
      <c r="G2" s="571"/>
      <c r="H2" s="571"/>
      <c r="I2" s="571"/>
      <c r="J2" s="571"/>
      <c r="K2" s="571"/>
      <c r="L2" s="571"/>
    </row>
    <row r="3" spans="1:13" ht="15.75" customHeight="1">
      <c r="A3" s="698" t="s">
        <v>205</v>
      </c>
      <c r="B3" s="699"/>
      <c r="C3" s="699"/>
      <c r="D3" s="699"/>
      <c r="E3" s="699"/>
      <c r="F3" s="699"/>
      <c r="G3" s="699"/>
      <c r="H3" s="699"/>
      <c r="I3" s="699"/>
      <c r="J3" s="699"/>
      <c r="K3" s="699"/>
      <c r="L3" s="699"/>
      <c r="M3" s="152"/>
    </row>
    <row r="4" spans="1:13" s="121" customFormat="1" ht="15.75" customHeight="1">
      <c r="A4" s="699"/>
      <c r="B4" s="699"/>
      <c r="C4" s="699"/>
      <c r="D4" s="699"/>
      <c r="E4" s="699"/>
      <c r="F4" s="699"/>
      <c r="G4" s="699"/>
      <c r="H4" s="699"/>
      <c r="I4" s="699"/>
      <c r="J4" s="699"/>
      <c r="K4" s="699"/>
      <c r="L4" s="699"/>
      <c r="M4" s="131"/>
    </row>
    <row r="5" spans="1:13" s="154" customFormat="1" ht="16.350000000000001" customHeight="1">
      <c r="A5" s="695" t="s">
        <v>154</v>
      </c>
      <c r="B5" s="156">
        <v>1</v>
      </c>
      <c r="C5" s="156">
        <v>2</v>
      </c>
      <c r="D5" s="166">
        <v>3</v>
      </c>
      <c r="E5" s="166">
        <v>4</v>
      </c>
      <c r="F5" s="156">
        <v>5</v>
      </c>
      <c r="G5" s="156">
        <v>6</v>
      </c>
      <c r="H5" s="156">
        <v>7</v>
      </c>
      <c r="I5" s="156">
        <v>8</v>
      </c>
      <c r="J5" s="156">
        <v>9</v>
      </c>
      <c r="K5" s="153"/>
      <c r="L5" s="153"/>
      <c r="M5" s="153"/>
    </row>
    <row r="6" spans="1:13" ht="16.350000000000001" customHeight="1">
      <c r="A6" s="695"/>
      <c r="B6" s="157" t="s">
        <v>206</v>
      </c>
      <c r="C6" s="157" t="s">
        <v>151</v>
      </c>
      <c r="D6" s="167" t="s">
        <v>207</v>
      </c>
      <c r="E6" s="167" t="s">
        <v>153</v>
      </c>
      <c r="F6" s="158" t="s">
        <v>133</v>
      </c>
      <c r="G6" s="159" t="s">
        <v>131</v>
      </c>
      <c r="H6" s="160" t="s">
        <v>208</v>
      </c>
      <c r="I6" s="159" t="s">
        <v>209</v>
      </c>
      <c r="J6" s="159" t="s">
        <v>137</v>
      </c>
      <c r="K6" s="155"/>
      <c r="L6" s="155"/>
      <c r="M6" s="131"/>
    </row>
    <row r="7" spans="1:13" s="154" customFormat="1" ht="15.75" customHeight="1">
      <c r="A7" s="696" t="s">
        <v>187</v>
      </c>
      <c r="B7" s="696"/>
      <c r="C7" s="447" t="s">
        <v>414</v>
      </c>
      <c r="D7" s="696" t="s">
        <v>12</v>
      </c>
      <c r="E7" s="697"/>
      <c r="F7" s="697"/>
      <c r="G7" s="485" t="s">
        <v>747</v>
      </c>
      <c r="H7" s="485" t="s">
        <v>748</v>
      </c>
      <c r="I7" s="485" t="s">
        <v>749</v>
      </c>
      <c r="J7" s="222" t="s">
        <v>750</v>
      </c>
      <c r="K7" s="696" t="s">
        <v>751</v>
      </c>
      <c r="L7" s="697"/>
      <c r="M7" s="153"/>
    </row>
    <row r="8" spans="1:13" ht="15.75" customHeight="1">
      <c r="A8" s="695">
        <v>3</v>
      </c>
      <c r="B8" s="696" t="s">
        <v>152</v>
      </c>
      <c r="C8" s="448">
        <v>1</v>
      </c>
      <c r="D8" s="443" t="s">
        <v>385</v>
      </c>
      <c r="E8" s="444"/>
      <c r="F8" s="445"/>
      <c r="G8" s="480">
        <v>5</v>
      </c>
      <c r="H8" s="480">
        <v>2082.4583168913186</v>
      </c>
      <c r="I8" s="480">
        <v>416.49166337826369</v>
      </c>
      <c r="J8" s="240" t="s">
        <v>913</v>
      </c>
      <c r="K8" s="713"/>
      <c r="L8" s="711"/>
      <c r="M8" s="131"/>
    </row>
    <row r="9" spans="1:13" ht="15.75" customHeight="1">
      <c r="A9" s="695"/>
      <c r="B9" s="696"/>
      <c r="C9" s="448">
        <v>2</v>
      </c>
      <c r="D9" s="443" t="s">
        <v>464</v>
      </c>
      <c r="E9" s="444"/>
      <c r="F9" s="445"/>
      <c r="G9" s="480">
        <v>5</v>
      </c>
      <c r="H9" s="480">
        <v>2073.779085146899</v>
      </c>
      <c r="I9" s="480">
        <v>414.75581702937967</v>
      </c>
      <c r="J9" s="240" t="s">
        <v>913</v>
      </c>
      <c r="K9" s="713"/>
      <c r="L9" s="711"/>
      <c r="M9" s="131"/>
    </row>
    <row r="10" spans="1:13" ht="15.75" customHeight="1">
      <c r="A10" s="695"/>
      <c r="B10" s="696"/>
      <c r="C10" s="448">
        <v>3</v>
      </c>
      <c r="D10" s="443" t="s">
        <v>767</v>
      </c>
      <c r="E10" s="444"/>
      <c r="F10" s="445"/>
      <c r="G10" s="480">
        <v>5</v>
      </c>
      <c r="H10" s="480">
        <v>1891.0125313283193</v>
      </c>
      <c r="I10" s="480">
        <v>378.20250626566383</v>
      </c>
      <c r="J10" s="240" t="s">
        <v>913</v>
      </c>
      <c r="K10" s="713"/>
      <c r="L10" s="711"/>
      <c r="M10" s="131"/>
    </row>
    <row r="11" spans="1:13" ht="15.75" customHeight="1">
      <c r="A11" s="695"/>
      <c r="B11" s="696"/>
      <c r="C11" s="448">
        <v>4</v>
      </c>
      <c r="D11" s="443" t="s">
        <v>388</v>
      </c>
      <c r="E11" s="444"/>
      <c r="F11" s="445"/>
      <c r="G11" s="480">
        <v>10</v>
      </c>
      <c r="H11" s="480">
        <v>2679.7186015229122</v>
      </c>
      <c r="I11" s="480">
        <v>267.97186015229124</v>
      </c>
      <c r="J11" s="240" t="s">
        <v>913</v>
      </c>
      <c r="K11" s="713"/>
      <c r="L11" s="711"/>
      <c r="M11" s="131"/>
    </row>
    <row r="12" spans="1:13" ht="15.75" customHeight="1">
      <c r="A12" s="695"/>
      <c r="B12" s="696"/>
      <c r="C12" s="448">
        <v>5</v>
      </c>
      <c r="D12" s="443" t="s">
        <v>387</v>
      </c>
      <c r="E12" s="444"/>
      <c r="F12" s="445"/>
      <c r="G12" s="480">
        <v>13</v>
      </c>
      <c r="H12" s="480">
        <v>2198.3777777777773</v>
      </c>
      <c r="I12" s="480">
        <v>169.1059829059829</v>
      </c>
      <c r="J12" s="241" t="s">
        <v>911</v>
      </c>
      <c r="K12" s="714" t="s">
        <v>915</v>
      </c>
      <c r="L12" s="711"/>
      <c r="M12" s="131"/>
    </row>
    <row r="13" spans="1:13" ht="15.75" customHeight="1">
      <c r="A13" s="695"/>
      <c r="B13" s="696"/>
      <c r="C13" s="165" t="s">
        <v>415</v>
      </c>
      <c r="D13" s="443" t="s">
        <v>384</v>
      </c>
      <c r="E13" s="444"/>
      <c r="F13" s="445"/>
      <c r="G13" s="480">
        <v>18.285714285714285</v>
      </c>
      <c r="H13" s="480">
        <v>1131.0849290133497</v>
      </c>
      <c r="I13" s="480">
        <v>61.846177526151578</v>
      </c>
      <c r="J13" s="240" t="s">
        <v>913</v>
      </c>
      <c r="K13" s="713"/>
      <c r="L13" s="711"/>
      <c r="M13" s="131"/>
    </row>
    <row r="14" spans="1:13" ht="15.75" customHeight="1">
      <c r="A14" s="695"/>
      <c r="B14" s="696"/>
      <c r="C14" s="165" t="s">
        <v>416</v>
      </c>
      <c r="D14" s="443" t="s">
        <v>674</v>
      </c>
      <c r="E14" s="444"/>
      <c r="F14" s="445"/>
      <c r="G14" s="480">
        <v>12</v>
      </c>
      <c r="H14" s="480">
        <v>1994.2699356333262</v>
      </c>
      <c r="I14" s="480">
        <v>166.18916130277719</v>
      </c>
      <c r="J14" s="242" t="s">
        <v>916</v>
      </c>
      <c r="K14" s="714" t="s">
        <v>912</v>
      </c>
      <c r="L14" s="711"/>
      <c r="M14" s="131"/>
    </row>
    <row r="15" spans="1:13" ht="15.75" customHeight="1">
      <c r="A15" s="695"/>
      <c r="B15" s="696"/>
      <c r="C15" s="165" t="s">
        <v>456</v>
      </c>
      <c r="D15" s="443" t="s">
        <v>386</v>
      </c>
      <c r="E15" s="444"/>
      <c r="F15" s="445"/>
      <c r="G15" s="480">
        <v>12</v>
      </c>
      <c r="H15" s="480">
        <v>2005.6781869532608</v>
      </c>
      <c r="I15" s="480">
        <v>167.13984891277173</v>
      </c>
      <c r="J15" s="241" t="s">
        <v>911</v>
      </c>
      <c r="K15" s="714" t="s">
        <v>915</v>
      </c>
      <c r="L15" s="711"/>
      <c r="M15" s="131"/>
    </row>
    <row r="16" spans="1:13" ht="15.75" customHeight="1">
      <c r="A16" s="695"/>
      <c r="B16" s="696"/>
      <c r="C16" s="165" t="s">
        <v>418</v>
      </c>
      <c r="D16" s="443" t="s">
        <v>782</v>
      </c>
      <c r="E16" s="444"/>
      <c r="F16" s="445"/>
      <c r="G16" s="480">
        <v>13</v>
      </c>
      <c r="H16" s="480">
        <v>2176.7463872835556</v>
      </c>
      <c r="I16" s="480">
        <v>167.4420297910427</v>
      </c>
      <c r="J16" s="242" t="s">
        <v>916</v>
      </c>
      <c r="K16" s="714" t="s">
        <v>912</v>
      </c>
      <c r="L16" s="711"/>
      <c r="M16" s="152"/>
    </row>
    <row r="17" spans="1:13" ht="15.75" customHeight="1">
      <c r="A17" s="695"/>
      <c r="B17" s="696"/>
      <c r="C17" s="165" t="s">
        <v>457</v>
      </c>
      <c r="D17" s="443"/>
      <c r="E17" s="444"/>
      <c r="F17" s="445"/>
      <c r="G17" s="480"/>
      <c r="H17" s="480"/>
      <c r="I17" s="480"/>
      <c r="J17" s="240"/>
      <c r="K17" s="713"/>
      <c r="L17" s="711"/>
      <c r="M17" s="152"/>
    </row>
    <row r="18" spans="1:13" s="162" customFormat="1" ht="15.75" customHeight="1">
      <c r="A18" s="710" t="s">
        <v>187</v>
      </c>
      <c r="B18" s="710"/>
      <c r="C18" s="449" t="s">
        <v>414</v>
      </c>
      <c r="D18" s="710" t="s">
        <v>12</v>
      </c>
      <c r="E18" s="711"/>
      <c r="F18" s="711"/>
      <c r="G18" s="542" t="s">
        <v>917</v>
      </c>
      <c r="H18" s="542" t="s">
        <v>918</v>
      </c>
      <c r="I18" s="542" t="s">
        <v>919</v>
      </c>
      <c r="J18" s="222" t="s">
        <v>920</v>
      </c>
      <c r="K18" s="710" t="s">
        <v>921</v>
      </c>
      <c r="L18" s="711"/>
      <c r="M18" s="155"/>
    </row>
    <row r="19" spans="1:13" ht="15.75" customHeight="1">
      <c r="A19" s="695">
        <v>4</v>
      </c>
      <c r="B19" s="696" t="s">
        <v>153</v>
      </c>
      <c r="C19" s="448">
        <v>1</v>
      </c>
      <c r="D19" s="481" t="s">
        <v>823</v>
      </c>
      <c r="E19" s="444"/>
      <c r="F19" s="445"/>
      <c r="G19" s="480">
        <v>12.4</v>
      </c>
      <c r="H19" s="480">
        <v>1545.1628571428569</v>
      </c>
      <c r="I19" s="480">
        <v>126.02545054945051</v>
      </c>
      <c r="J19" s="240" t="s">
        <v>913</v>
      </c>
      <c r="K19" s="715"/>
      <c r="L19" s="709"/>
      <c r="M19" s="152"/>
    </row>
    <row r="20" spans="1:13" ht="15.75" customHeight="1">
      <c r="A20" s="695"/>
      <c r="B20" s="696"/>
      <c r="C20" s="448">
        <v>2</v>
      </c>
      <c r="D20" s="481" t="s">
        <v>740</v>
      </c>
      <c r="E20" s="444"/>
      <c r="F20" s="445"/>
      <c r="G20" s="480">
        <v>13</v>
      </c>
      <c r="H20" s="480">
        <v>1372.7142857142867</v>
      </c>
      <c r="I20" s="480">
        <v>105.59340659340667</v>
      </c>
      <c r="J20" s="240" t="s">
        <v>913</v>
      </c>
      <c r="K20" s="708"/>
      <c r="L20" s="709"/>
      <c r="M20" s="152"/>
    </row>
    <row r="21" spans="1:13" ht="15.75" customHeight="1">
      <c r="A21" s="695"/>
      <c r="B21" s="696"/>
      <c r="C21" s="448">
        <v>3</v>
      </c>
      <c r="D21" s="443" t="s">
        <v>908</v>
      </c>
      <c r="E21" s="444"/>
      <c r="F21" s="445"/>
      <c r="G21" s="543">
        <v>15</v>
      </c>
      <c r="H21" s="480">
        <v>1208.2286749482407</v>
      </c>
      <c r="I21" s="480">
        <v>80.548578329882716</v>
      </c>
      <c r="J21" s="240" t="s">
        <v>913</v>
      </c>
      <c r="K21" s="708" t="s">
        <v>922</v>
      </c>
      <c r="L21" s="709"/>
      <c r="M21" s="152"/>
    </row>
    <row r="22" spans="1:13" ht="15.75" customHeight="1">
      <c r="A22" s="695"/>
      <c r="B22" s="696"/>
      <c r="C22" s="448">
        <v>4</v>
      </c>
      <c r="D22" s="443" t="s">
        <v>840</v>
      </c>
      <c r="E22" s="444"/>
      <c r="F22" s="445"/>
      <c r="G22" s="543">
        <v>15</v>
      </c>
      <c r="H22" s="480">
        <v>1197.8163265306118</v>
      </c>
      <c r="I22" s="480">
        <v>79.854421768707454</v>
      </c>
      <c r="J22" s="240" t="s">
        <v>913</v>
      </c>
      <c r="K22" s="708"/>
      <c r="L22" s="709"/>
      <c r="M22" s="152"/>
    </row>
    <row r="23" spans="1:13" ht="15.75" customHeight="1">
      <c r="A23" s="695"/>
      <c r="B23" s="696"/>
      <c r="C23" s="448">
        <v>5</v>
      </c>
      <c r="D23" s="443"/>
      <c r="E23" s="444"/>
      <c r="F23" s="445"/>
      <c r="G23" s="543"/>
      <c r="H23" s="543"/>
      <c r="I23" s="543"/>
      <c r="J23" s="543"/>
      <c r="K23" s="708"/>
      <c r="L23" s="709"/>
      <c r="M23" s="152"/>
    </row>
    <row r="24" spans="1:13" ht="15.75" customHeight="1">
      <c r="A24" s="695"/>
      <c r="B24" s="696"/>
      <c r="C24" s="165" t="s">
        <v>415</v>
      </c>
      <c r="D24" s="481"/>
      <c r="E24" s="444"/>
      <c r="F24" s="445"/>
      <c r="G24" s="480"/>
      <c r="H24" s="480"/>
      <c r="I24" s="480"/>
      <c r="J24" s="240"/>
      <c r="K24" s="716"/>
      <c r="L24" s="709"/>
      <c r="M24" s="152"/>
    </row>
    <row r="25" spans="1:13" ht="15.75" customHeight="1">
      <c r="A25" s="695"/>
      <c r="B25" s="696"/>
      <c r="C25" s="165" t="s">
        <v>416</v>
      </c>
      <c r="D25" s="443"/>
      <c r="E25" s="444"/>
      <c r="F25" s="445"/>
      <c r="G25" s="543"/>
      <c r="H25" s="543"/>
      <c r="I25" s="543"/>
      <c r="J25" s="543"/>
      <c r="K25" s="708"/>
      <c r="L25" s="709"/>
      <c r="M25" s="152"/>
    </row>
    <row r="26" spans="1:13" ht="15.75" customHeight="1">
      <c r="A26" s="695"/>
      <c r="B26" s="696"/>
      <c r="C26" s="165" t="s">
        <v>456</v>
      </c>
      <c r="D26" s="443"/>
      <c r="E26" s="444"/>
      <c r="F26" s="445"/>
      <c r="G26" s="543"/>
      <c r="H26" s="543"/>
      <c r="I26" s="543"/>
      <c r="J26" s="543"/>
      <c r="K26" s="708"/>
      <c r="L26" s="709"/>
      <c r="M26" s="152"/>
    </row>
    <row r="27" spans="1:13" ht="15.75" customHeight="1">
      <c r="A27" s="695"/>
      <c r="B27" s="696"/>
      <c r="C27" s="165" t="s">
        <v>418</v>
      </c>
      <c r="D27" s="443"/>
      <c r="E27" s="444"/>
      <c r="F27" s="445"/>
      <c r="G27" s="543"/>
      <c r="H27" s="543"/>
      <c r="I27" s="543"/>
      <c r="J27" s="543"/>
      <c r="K27" s="708"/>
      <c r="L27" s="709"/>
      <c r="M27" s="152"/>
    </row>
    <row r="28" spans="1:13" ht="15.75" customHeight="1">
      <c r="A28" s="695"/>
      <c r="B28" s="696"/>
      <c r="C28" s="165" t="s">
        <v>457</v>
      </c>
      <c r="D28" s="443"/>
      <c r="E28" s="444"/>
      <c r="F28" s="445"/>
      <c r="G28" s="543"/>
      <c r="H28" s="543"/>
      <c r="I28" s="543"/>
      <c r="J28" s="543"/>
      <c r="K28" s="708"/>
      <c r="L28" s="709"/>
      <c r="M28" s="152"/>
    </row>
    <row r="29" spans="1:13" ht="15.75" customHeight="1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31"/>
    </row>
    <row r="30" spans="1:13" ht="15.75" customHeight="1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31"/>
    </row>
    <row r="31" spans="1:13" ht="15.75" customHeight="1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31"/>
    </row>
    <row r="32" spans="1:13" ht="15.75" customHeight="1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31"/>
    </row>
    <row r="33" spans="1:13" ht="15.75" customHeight="1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31"/>
    </row>
    <row r="34" spans="1:13" ht="15.75" customHeight="1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31"/>
    </row>
    <row r="35" spans="1:13" ht="15.75" customHeight="1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31"/>
    </row>
  </sheetData>
  <mergeCells count="33">
    <mergeCell ref="K13:L13"/>
    <mergeCell ref="K28:L28"/>
    <mergeCell ref="K21:L21"/>
    <mergeCell ref="K22:L22"/>
    <mergeCell ref="K23:L23"/>
    <mergeCell ref="K27:L27"/>
    <mergeCell ref="K24:L24"/>
    <mergeCell ref="K15:L15"/>
    <mergeCell ref="K16:L16"/>
    <mergeCell ref="K17:L17"/>
    <mergeCell ref="A19:A28"/>
    <mergeCell ref="A5:A6"/>
    <mergeCell ref="A7:B7"/>
    <mergeCell ref="K25:L25"/>
    <mergeCell ref="D7:F7"/>
    <mergeCell ref="K7:L7"/>
    <mergeCell ref="A8:A17"/>
    <mergeCell ref="K19:L19"/>
    <mergeCell ref="K20:L20"/>
    <mergeCell ref="D18:F18"/>
    <mergeCell ref="K18:L18"/>
    <mergeCell ref="B8:B17"/>
    <mergeCell ref="A18:B18"/>
    <mergeCell ref="K14:L14"/>
    <mergeCell ref="K26:L26"/>
    <mergeCell ref="B19:B28"/>
    <mergeCell ref="A1:L2"/>
    <mergeCell ref="K11:L11"/>
    <mergeCell ref="K12:L12"/>
    <mergeCell ref="A3:L4"/>
    <mergeCell ref="K8:L8"/>
    <mergeCell ref="K9:L9"/>
    <mergeCell ref="K10:L10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R35"/>
  <sheetViews>
    <sheetView zoomScale="70" zoomScaleNormal="70" zoomScaleSheetLayoutView="100" workbookViewId="0">
      <selection activeCell="D8" sqref="D8:L28"/>
    </sheetView>
  </sheetViews>
  <sheetFormatPr defaultColWidth="12.5703125" defaultRowHeight="15.75" customHeight="1"/>
  <cols>
    <col min="1" max="1" width="6.42578125" style="120" customWidth="1"/>
    <col min="2" max="10" width="11.5703125" style="120" customWidth="1"/>
    <col min="11" max="12" width="12.85546875" style="120" customWidth="1"/>
    <col min="13" max="13" width="12.5703125" style="121"/>
    <col min="14" max="16384" width="12.5703125" style="120"/>
  </cols>
  <sheetData>
    <row r="1" spans="1:18" ht="15.75" customHeight="1">
      <c r="A1" s="571" t="s">
        <v>204</v>
      </c>
      <c r="B1" s="571"/>
      <c r="C1" s="571"/>
      <c r="D1" s="571"/>
      <c r="E1" s="571"/>
      <c r="F1" s="571"/>
      <c r="G1" s="571"/>
      <c r="H1" s="571"/>
      <c r="I1" s="571"/>
      <c r="J1" s="571"/>
      <c r="K1" s="571"/>
      <c r="L1" s="571"/>
      <c r="M1" s="120"/>
    </row>
    <row r="2" spans="1:18" s="121" customFormat="1" ht="15.75" customHeight="1">
      <c r="A2" s="571"/>
      <c r="B2" s="571"/>
      <c r="C2" s="571"/>
      <c r="D2" s="571"/>
      <c r="E2" s="571"/>
      <c r="F2" s="571"/>
      <c r="G2" s="571"/>
      <c r="H2" s="571"/>
      <c r="I2" s="571"/>
      <c r="J2" s="571"/>
      <c r="K2" s="571"/>
      <c r="L2" s="571"/>
    </row>
    <row r="3" spans="1:18" ht="15.75" customHeight="1">
      <c r="A3" s="698" t="s">
        <v>205</v>
      </c>
      <c r="B3" s="699"/>
      <c r="C3" s="699"/>
      <c r="D3" s="699"/>
      <c r="E3" s="699"/>
      <c r="F3" s="699"/>
      <c r="G3" s="699"/>
      <c r="H3" s="699"/>
      <c r="I3" s="699"/>
      <c r="J3" s="699"/>
      <c r="K3" s="699"/>
      <c r="L3" s="699"/>
      <c r="M3" s="152"/>
    </row>
    <row r="4" spans="1:18" s="121" customFormat="1" ht="15.75" customHeight="1">
      <c r="A4" s="699"/>
      <c r="B4" s="699"/>
      <c r="C4" s="699"/>
      <c r="D4" s="699"/>
      <c r="E4" s="699"/>
      <c r="F4" s="699"/>
      <c r="G4" s="699"/>
      <c r="H4" s="699"/>
      <c r="I4" s="699"/>
      <c r="J4" s="699"/>
      <c r="K4" s="699"/>
      <c r="L4" s="699"/>
      <c r="M4" s="131"/>
    </row>
    <row r="5" spans="1:18" s="154" customFormat="1" ht="16.350000000000001" customHeight="1">
      <c r="A5" s="695" t="s">
        <v>154</v>
      </c>
      <c r="B5" s="156">
        <v>1</v>
      </c>
      <c r="C5" s="156">
        <v>2</v>
      </c>
      <c r="D5" s="156">
        <v>3</v>
      </c>
      <c r="E5" s="156">
        <v>4</v>
      </c>
      <c r="F5" s="166">
        <v>5</v>
      </c>
      <c r="G5" s="166">
        <v>6</v>
      </c>
      <c r="H5" s="156">
        <v>7</v>
      </c>
      <c r="I5" s="156">
        <v>8</v>
      </c>
      <c r="J5" s="156">
        <v>9</v>
      </c>
      <c r="K5" s="153"/>
      <c r="L5" s="153"/>
      <c r="M5" s="153"/>
    </row>
    <row r="6" spans="1:18" ht="16.350000000000001" customHeight="1">
      <c r="A6" s="695"/>
      <c r="B6" s="157" t="s">
        <v>206</v>
      </c>
      <c r="C6" s="157" t="s">
        <v>151</v>
      </c>
      <c r="D6" s="157" t="s">
        <v>207</v>
      </c>
      <c r="E6" s="157" t="s">
        <v>153</v>
      </c>
      <c r="F6" s="168" t="s">
        <v>133</v>
      </c>
      <c r="G6" s="169" t="s">
        <v>131</v>
      </c>
      <c r="H6" s="160" t="s">
        <v>208</v>
      </c>
      <c r="I6" s="159" t="s">
        <v>209</v>
      </c>
      <c r="J6" s="159" t="s">
        <v>137</v>
      </c>
      <c r="K6" s="155"/>
      <c r="L6" s="155"/>
      <c r="M6" s="131"/>
    </row>
    <row r="7" spans="1:18" s="154" customFormat="1" ht="15.75" customHeight="1">
      <c r="A7" s="696" t="s">
        <v>704</v>
      </c>
      <c r="B7" s="696"/>
      <c r="C7" s="447" t="s">
        <v>705</v>
      </c>
      <c r="D7" s="696" t="s">
        <v>12</v>
      </c>
      <c r="E7" s="697"/>
      <c r="F7" s="697"/>
      <c r="G7" s="485" t="s">
        <v>747</v>
      </c>
      <c r="H7" s="485" t="s">
        <v>748</v>
      </c>
      <c r="I7" s="485" t="s">
        <v>749</v>
      </c>
      <c r="J7" s="222" t="s">
        <v>750</v>
      </c>
      <c r="K7" s="696" t="s">
        <v>751</v>
      </c>
      <c r="L7" s="697"/>
      <c r="M7" s="153"/>
    </row>
    <row r="8" spans="1:18" ht="15.75" customHeight="1">
      <c r="A8" s="695">
        <v>5</v>
      </c>
      <c r="B8" s="696" t="s">
        <v>133</v>
      </c>
      <c r="C8" s="448">
        <v>1</v>
      </c>
      <c r="D8" s="525" t="s">
        <v>824</v>
      </c>
      <c r="E8" s="444"/>
      <c r="F8" s="445"/>
      <c r="G8" s="480">
        <v>6</v>
      </c>
      <c r="H8" s="480">
        <v>1407.0877919245297</v>
      </c>
      <c r="I8" s="480">
        <v>234.51463198742164</v>
      </c>
      <c r="J8" s="241" t="s">
        <v>923</v>
      </c>
      <c r="K8" s="717" t="s">
        <v>924</v>
      </c>
      <c r="L8" s="718"/>
      <c r="M8" s="131"/>
      <c r="P8" s="252"/>
      <c r="Q8" s="252"/>
      <c r="R8" s="252"/>
    </row>
    <row r="9" spans="1:18" ht="15.75" customHeight="1">
      <c r="A9" s="695"/>
      <c r="B9" s="696"/>
      <c r="C9" s="448">
        <v>2</v>
      </c>
      <c r="D9" s="481" t="s">
        <v>367</v>
      </c>
      <c r="E9" s="444"/>
      <c r="F9" s="445"/>
      <c r="G9" s="480">
        <v>6</v>
      </c>
      <c r="H9" s="480">
        <v>1388.1237714480205</v>
      </c>
      <c r="I9" s="480">
        <v>231.35396190800344</v>
      </c>
      <c r="J9" s="242" t="s">
        <v>925</v>
      </c>
      <c r="K9" s="719"/>
      <c r="L9" s="720"/>
      <c r="M9" s="131"/>
      <c r="P9" s="252"/>
      <c r="Q9" s="252"/>
      <c r="R9" s="252"/>
    </row>
    <row r="10" spans="1:18" ht="15.75" customHeight="1">
      <c r="A10" s="695"/>
      <c r="B10" s="696"/>
      <c r="C10" s="448">
        <v>3</v>
      </c>
      <c r="D10" s="443" t="s">
        <v>369</v>
      </c>
      <c r="E10" s="444"/>
      <c r="F10" s="445"/>
      <c r="G10" s="480">
        <v>16</v>
      </c>
      <c r="H10" s="480">
        <v>1412.8418649962437</v>
      </c>
      <c r="I10" s="480">
        <v>88.302616562265229</v>
      </c>
      <c r="J10" s="241" t="s">
        <v>923</v>
      </c>
      <c r="K10" s="721" t="s">
        <v>926</v>
      </c>
      <c r="L10" s="697"/>
      <c r="M10" s="131"/>
      <c r="P10" s="252"/>
      <c r="Q10" s="252"/>
      <c r="R10" s="252"/>
    </row>
    <row r="11" spans="1:18" ht="15.75" customHeight="1">
      <c r="A11" s="695"/>
      <c r="B11" s="696"/>
      <c r="C11" s="448">
        <v>4</v>
      </c>
      <c r="D11" s="443" t="s">
        <v>370</v>
      </c>
      <c r="E11" s="444"/>
      <c r="F11" s="445"/>
      <c r="G11" s="480">
        <v>15</v>
      </c>
      <c r="H11" s="480">
        <v>1298.3800691154372</v>
      </c>
      <c r="I11" s="480">
        <v>86.558671274362482</v>
      </c>
      <c r="J11" s="240" t="s">
        <v>927</v>
      </c>
      <c r="K11" s="721"/>
      <c r="L11" s="722"/>
      <c r="M11" s="131"/>
      <c r="P11" s="252"/>
      <c r="Q11" s="252"/>
      <c r="R11" s="252"/>
    </row>
    <row r="12" spans="1:18" ht="15.75" customHeight="1">
      <c r="A12" s="695"/>
      <c r="B12" s="696"/>
      <c r="C12" s="448">
        <v>5</v>
      </c>
      <c r="D12" s="443" t="s">
        <v>345</v>
      </c>
      <c r="E12" s="444"/>
      <c r="F12" s="445"/>
      <c r="G12" s="480">
        <v>14.714285714285714</v>
      </c>
      <c r="H12" s="480">
        <v>1229.7750495672851</v>
      </c>
      <c r="I12" s="480">
        <v>83.486278814689754</v>
      </c>
      <c r="J12" s="240" t="s">
        <v>927</v>
      </c>
      <c r="K12" s="721"/>
      <c r="L12" s="697"/>
      <c r="M12" s="131"/>
      <c r="P12" s="252"/>
      <c r="Q12" s="252"/>
      <c r="R12" s="252"/>
    </row>
    <row r="13" spans="1:18" ht="15.75" customHeight="1">
      <c r="A13" s="695"/>
      <c r="B13" s="696"/>
      <c r="C13" s="165" t="s">
        <v>706</v>
      </c>
      <c r="D13" s="443" t="s">
        <v>676</v>
      </c>
      <c r="E13" s="444"/>
      <c r="F13" s="445"/>
      <c r="G13" s="480">
        <v>19.666666666666668</v>
      </c>
      <c r="H13" s="480">
        <v>1152.8333333333278</v>
      </c>
      <c r="I13" s="480">
        <v>58.594298245613764</v>
      </c>
      <c r="J13" s="240" t="s">
        <v>927</v>
      </c>
      <c r="K13" s="721"/>
      <c r="L13" s="697"/>
      <c r="M13" s="131"/>
      <c r="P13" s="252"/>
      <c r="Q13" s="252"/>
      <c r="R13" s="252"/>
    </row>
    <row r="14" spans="1:18" ht="15.75" customHeight="1">
      <c r="A14" s="695"/>
      <c r="B14" s="696"/>
      <c r="C14" s="165" t="s">
        <v>707</v>
      </c>
      <c r="D14" s="443" t="s">
        <v>742</v>
      </c>
      <c r="E14" s="444"/>
      <c r="F14" s="445"/>
      <c r="G14" s="480">
        <v>20.714285714285715</v>
      </c>
      <c r="H14" s="480">
        <v>1234.5719337532207</v>
      </c>
      <c r="I14" s="480">
        <v>59.618002676295255</v>
      </c>
      <c r="J14" s="240" t="s">
        <v>927</v>
      </c>
      <c r="K14" s="721"/>
      <c r="L14" s="697"/>
      <c r="M14" s="131"/>
      <c r="P14" s="252"/>
      <c r="Q14" s="252"/>
      <c r="R14" s="252"/>
    </row>
    <row r="15" spans="1:18" ht="15.75" customHeight="1">
      <c r="A15" s="695"/>
      <c r="B15" s="696"/>
      <c r="C15" s="165" t="s">
        <v>708</v>
      </c>
      <c r="D15" s="443" t="s">
        <v>668</v>
      </c>
      <c r="E15" s="444"/>
      <c r="F15" s="445"/>
      <c r="G15" s="480">
        <v>20</v>
      </c>
      <c r="H15" s="480">
        <v>1242.8684105492616</v>
      </c>
      <c r="I15" s="480">
        <v>62.143420527463086</v>
      </c>
      <c r="J15" s="240" t="s">
        <v>927</v>
      </c>
      <c r="K15" s="722"/>
      <c r="L15" s="697"/>
      <c r="M15" s="131"/>
      <c r="P15" s="252"/>
      <c r="Q15" s="252"/>
      <c r="R15" s="252"/>
    </row>
    <row r="16" spans="1:18" ht="15.75" customHeight="1">
      <c r="A16" s="695"/>
      <c r="B16" s="696"/>
      <c r="C16" s="165" t="s">
        <v>709</v>
      </c>
      <c r="D16" s="481" t="s">
        <v>665</v>
      </c>
      <c r="E16" s="444"/>
      <c r="F16" s="445"/>
      <c r="G16" s="480">
        <v>20</v>
      </c>
      <c r="H16" s="480">
        <v>1300.3571666351106</v>
      </c>
      <c r="I16" s="480">
        <v>65.017858331755519</v>
      </c>
      <c r="J16" s="240" t="s">
        <v>927</v>
      </c>
      <c r="K16" s="722"/>
      <c r="L16" s="697"/>
      <c r="M16" s="152"/>
      <c r="P16" s="252"/>
      <c r="Q16" s="252"/>
      <c r="R16" s="252"/>
    </row>
    <row r="17" spans="1:18" ht="15.75" customHeight="1">
      <c r="A17" s="695"/>
      <c r="B17" s="696"/>
      <c r="C17" s="165" t="s">
        <v>710</v>
      </c>
      <c r="D17" s="481" t="s">
        <v>790</v>
      </c>
      <c r="E17" s="444"/>
      <c r="F17" s="445"/>
      <c r="G17" s="480">
        <v>19</v>
      </c>
      <c r="H17" s="480">
        <v>1237.7764091449742</v>
      </c>
      <c r="I17" s="480">
        <v>65.146126797103904</v>
      </c>
      <c r="J17" s="240" t="s">
        <v>927</v>
      </c>
      <c r="K17" s="722"/>
      <c r="L17" s="697"/>
      <c r="M17" s="152"/>
      <c r="P17" s="252"/>
      <c r="Q17" s="252"/>
      <c r="R17" s="252"/>
    </row>
    <row r="18" spans="1:18" s="162" customFormat="1" ht="15.75" customHeight="1">
      <c r="A18" s="710" t="s">
        <v>704</v>
      </c>
      <c r="B18" s="710"/>
      <c r="C18" s="449" t="s">
        <v>705</v>
      </c>
      <c r="D18" s="710" t="s">
        <v>12</v>
      </c>
      <c r="E18" s="711"/>
      <c r="F18" s="711"/>
      <c r="G18" s="542" t="s">
        <v>928</v>
      </c>
      <c r="H18" s="542" t="s">
        <v>929</v>
      </c>
      <c r="I18" s="542" t="s">
        <v>930</v>
      </c>
      <c r="J18" s="222" t="s">
        <v>931</v>
      </c>
      <c r="K18" s="710" t="s">
        <v>932</v>
      </c>
      <c r="L18" s="711"/>
      <c r="M18" s="155"/>
    </row>
    <row r="19" spans="1:18" ht="15.75" customHeight="1">
      <c r="A19" s="695">
        <v>6</v>
      </c>
      <c r="B19" s="696" t="s">
        <v>131</v>
      </c>
      <c r="C19" s="448">
        <v>1</v>
      </c>
      <c r="D19" s="443" t="s">
        <v>832</v>
      </c>
      <c r="E19" s="444"/>
      <c r="F19" s="445"/>
      <c r="G19" s="480">
        <v>15.142857142857142</v>
      </c>
      <c r="H19" s="480">
        <v>1327.4744153775825</v>
      </c>
      <c r="I19" s="480">
        <v>87.672079080727713</v>
      </c>
      <c r="J19" s="240" t="s">
        <v>927</v>
      </c>
      <c r="K19" s="721"/>
      <c r="L19" s="697"/>
      <c r="M19" s="152"/>
      <c r="P19" s="252"/>
      <c r="Q19" s="252"/>
      <c r="R19" s="252"/>
    </row>
    <row r="20" spans="1:18" ht="15.75" customHeight="1">
      <c r="A20" s="695"/>
      <c r="B20" s="696"/>
      <c r="C20" s="448">
        <v>2</v>
      </c>
      <c r="D20" s="443" t="s">
        <v>643</v>
      </c>
      <c r="E20" s="444"/>
      <c r="F20" s="445"/>
      <c r="G20" s="480">
        <v>16</v>
      </c>
      <c r="H20" s="480">
        <v>1312.257512077118</v>
      </c>
      <c r="I20" s="480">
        <v>82.016094504819876</v>
      </c>
      <c r="J20" s="240" t="s">
        <v>927</v>
      </c>
      <c r="K20" s="721"/>
      <c r="L20" s="697"/>
      <c r="M20" s="152"/>
      <c r="P20" s="252"/>
      <c r="Q20" s="252"/>
      <c r="R20" s="252"/>
    </row>
    <row r="21" spans="1:18" ht="15.75" customHeight="1">
      <c r="A21" s="695"/>
      <c r="B21" s="696"/>
      <c r="C21" s="448">
        <v>3</v>
      </c>
      <c r="D21" s="443" t="s">
        <v>373</v>
      </c>
      <c r="E21" s="444"/>
      <c r="F21" s="445"/>
      <c r="G21" s="480">
        <v>17</v>
      </c>
      <c r="H21" s="480">
        <v>1317.8457526178115</v>
      </c>
      <c r="I21" s="480">
        <v>77.520338389283026</v>
      </c>
      <c r="J21" s="240" t="s">
        <v>927</v>
      </c>
      <c r="K21" s="722"/>
      <c r="L21" s="697"/>
      <c r="M21" s="152"/>
      <c r="P21" s="252"/>
      <c r="Q21" s="252"/>
      <c r="R21" s="252"/>
    </row>
    <row r="22" spans="1:18" ht="15.75" customHeight="1">
      <c r="A22" s="695"/>
      <c r="B22" s="696"/>
      <c r="C22" s="448">
        <v>4</v>
      </c>
      <c r="D22" s="443" t="s">
        <v>371</v>
      </c>
      <c r="E22" s="444"/>
      <c r="F22" s="445"/>
      <c r="G22" s="480">
        <v>18</v>
      </c>
      <c r="H22" s="480">
        <v>1311.3530033977415</v>
      </c>
      <c r="I22" s="480">
        <v>72.852944633207855</v>
      </c>
      <c r="J22" s="241" t="s">
        <v>923</v>
      </c>
      <c r="K22" s="722" t="s">
        <v>933</v>
      </c>
      <c r="L22" s="697"/>
      <c r="M22" s="152"/>
      <c r="P22" s="252"/>
      <c r="Q22" s="252"/>
      <c r="R22" s="252"/>
    </row>
    <row r="23" spans="1:18" ht="15.75" customHeight="1">
      <c r="A23" s="695"/>
      <c r="B23" s="696"/>
      <c r="C23" s="448">
        <v>5</v>
      </c>
      <c r="D23" s="443" t="s">
        <v>374</v>
      </c>
      <c r="E23" s="444"/>
      <c r="F23" s="445"/>
      <c r="G23" s="480">
        <v>17</v>
      </c>
      <c r="H23" s="480">
        <v>1195.4446075663468</v>
      </c>
      <c r="I23" s="480">
        <v>70.320271033314512</v>
      </c>
      <c r="J23" s="242" t="s">
        <v>925</v>
      </c>
      <c r="K23" s="721" t="s">
        <v>934</v>
      </c>
      <c r="L23" s="697"/>
      <c r="M23" s="152"/>
      <c r="P23" s="252"/>
      <c r="Q23" s="252"/>
      <c r="R23" s="252"/>
    </row>
    <row r="24" spans="1:18" ht="15.75" customHeight="1">
      <c r="A24" s="695"/>
      <c r="B24" s="696"/>
      <c r="C24" s="165" t="s">
        <v>706</v>
      </c>
      <c r="D24" s="481" t="s">
        <v>375</v>
      </c>
      <c r="E24" s="444"/>
      <c r="F24" s="445"/>
      <c r="G24" s="480">
        <v>21</v>
      </c>
      <c r="H24" s="480">
        <v>1218.0680241569867</v>
      </c>
      <c r="I24" s="480">
        <v>58.003239245570796</v>
      </c>
      <c r="J24" s="240" t="s">
        <v>927</v>
      </c>
      <c r="K24" s="722"/>
      <c r="L24" s="697"/>
      <c r="M24" s="152"/>
      <c r="P24" s="252"/>
      <c r="Q24" s="252"/>
      <c r="R24" s="252"/>
    </row>
    <row r="25" spans="1:18" ht="15.75" customHeight="1">
      <c r="A25" s="695"/>
      <c r="B25" s="696"/>
      <c r="C25" s="165" t="s">
        <v>707</v>
      </c>
      <c r="D25" s="443" t="s">
        <v>581</v>
      </c>
      <c r="E25" s="444"/>
      <c r="F25" s="445"/>
      <c r="G25" s="480">
        <v>18</v>
      </c>
      <c r="H25" s="480">
        <v>1145.6832863202324</v>
      </c>
      <c r="I25" s="480">
        <v>63.649071462235142</v>
      </c>
      <c r="J25" s="240" t="s">
        <v>927</v>
      </c>
      <c r="K25" s="721"/>
      <c r="L25" s="697"/>
      <c r="M25" s="152"/>
      <c r="P25" s="252"/>
      <c r="Q25" s="252"/>
      <c r="R25" s="252"/>
    </row>
    <row r="26" spans="1:18" ht="15.75" customHeight="1">
      <c r="A26" s="695"/>
      <c r="B26" s="696"/>
      <c r="C26" s="165" t="s">
        <v>708</v>
      </c>
      <c r="D26" s="443" t="s">
        <v>817</v>
      </c>
      <c r="E26" s="444"/>
      <c r="F26" s="445"/>
      <c r="G26" s="480">
        <v>18.428571428571427</v>
      </c>
      <c r="H26" s="480">
        <v>1186.7293968970985</v>
      </c>
      <c r="I26" s="480">
        <v>64.43560891060072</v>
      </c>
      <c r="J26" s="242" t="s">
        <v>925</v>
      </c>
      <c r="K26" s="721" t="s">
        <v>934</v>
      </c>
      <c r="L26" s="697"/>
      <c r="M26" s="152"/>
      <c r="P26" s="252"/>
      <c r="Q26" s="252"/>
      <c r="R26" s="252"/>
    </row>
    <row r="27" spans="1:18" ht="15.75" customHeight="1">
      <c r="A27" s="695"/>
      <c r="B27" s="696"/>
      <c r="C27" s="165" t="s">
        <v>709</v>
      </c>
      <c r="D27" s="443" t="s">
        <v>578</v>
      </c>
      <c r="E27" s="444"/>
      <c r="F27" s="445"/>
      <c r="G27" s="480">
        <v>18</v>
      </c>
      <c r="H27" s="480">
        <v>1172.7778261321093</v>
      </c>
      <c r="I27" s="480">
        <v>65.154323674006065</v>
      </c>
      <c r="J27" s="240" t="s">
        <v>927</v>
      </c>
      <c r="K27" s="717"/>
      <c r="L27" s="723"/>
      <c r="M27" s="152"/>
      <c r="P27" s="252"/>
      <c r="Q27" s="252"/>
      <c r="R27" s="252"/>
    </row>
    <row r="28" spans="1:18" ht="15.75" customHeight="1">
      <c r="A28" s="695"/>
      <c r="B28" s="696"/>
      <c r="C28" s="165" t="s">
        <v>710</v>
      </c>
      <c r="D28" s="443" t="s">
        <v>372</v>
      </c>
      <c r="E28" s="444"/>
      <c r="F28" s="445"/>
      <c r="G28" s="480">
        <v>18</v>
      </c>
      <c r="H28" s="480">
        <v>1192.7413851967442</v>
      </c>
      <c r="I28" s="480">
        <v>66.263410288708016</v>
      </c>
      <c r="J28" s="240" t="s">
        <v>927</v>
      </c>
      <c r="K28" s="724"/>
      <c r="L28" s="725"/>
      <c r="M28" s="152"/>
      <c r="P28" s="252"/>
      <c r="Q28" s="252"/>
      <c r="R28" s="252"/>
    </row>
    <row r="29" spans="1:18" ht="15.75" customHeight="1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31"/>
    </row>
    <row r="30" spans="1:18" ht="15.75" customHeight="1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31"/>
    </row>
    <row r="31" spans="1:18" ht="15.75" customHeight="1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31"/>
    </row>
    <row r="32" spans="1:18" ht="15.75" customHeight="1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31"/>
    </row>
    <row r="33" spans="1:13" ht="15.75" customHeight="1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31"/>
    </row>
    <row r="34" spans="1:13" ht="15.75" customHeight="1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31"/>
    </row>
    <row r="35" spans="1:13" ht="15.75" customHeight="1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31"/>
    </row>
  </sheetData>
  <mergeCells count="31">
    <mergeCell ref="K23:L23"/>
    <mergeCell ref="K13:L13"/>
    <mergeCell ref="K14:L14"/>
    <mergeCell ref="A1:L2"/>
    <mergeCell ref="A3:L4"/>
    <mergeCell ref="A5:A6"/>
    <mergeCell ref="A7:B7"/>
    <mergeCell ref="D7:F7"/>
    <mergeCell ref="K7:L7"/>
    <mergeCell ref="A19:A28"/>
    <mergeCell ref="A8:A17"/>
    <mergeCell ref="B8:B17"/>
    <mergeCell ref="A18:B18"/>
    <mergeCell ref="D18:F18"/>
    <mergeCell ref="B19:B28"/>
    <mergeCell ref="K8:L9"/>
    <mergeCell ref="K11:L11"/>
    <mergeCell ref="K12:L12"/>
    <mergeCell ref="K27:L28"/>
    <mergeCell ref="K19:L19"/>
    <mergeCell ref="K20:L20"/>
    <mergeCell ref="K22:L22"/>
    <mergeCell ref="K18:L18"/>
    <mergeCell ref="K26:L26"/>
    <mergeCell ref="K10:L10"/>
    <mergeCell ref="K15:L15"/>
    <mergeCell ref="K16:L16"/>
    <mergeCell ref="K17:L17"/>
    <mergeCell ref="K21:L21"/>
    <mergeCell ref="K24:L24"/>
    <mergeCell ref="K25:L25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M35"/>
  <sheetViews>
    <sheetView zoomScale="70" zoomScaleNormal="70" zoomScaleSheetLayoutView="100" workbookViewId="0">
      <selection activeCell="D8" sqref="D8:L28"/>
    </sheetView>
  </sheetViews>
  <sheetFormatPr defaultColWidth="12.5703125" defaultRowHeight="15.75" customHeight="1"/>
  <cols>
    <col min="1" max="1" width="6.42578125" style="120" customWidth="1"/>
    <col min="2" max="10" width="11.5703125" style="120" customWidth="1"/>
    <col min="11" max="12" width="12.85546875" style="120" customWidth="1"/>
    <col min="13" max="13" width="12.5703125" style="121"/>
    <col min="14" max="16384" width="12.5703125" style="120"/>
  </cols>
  <sheetData>
    <row r="1" spans="1:13" ht="15.75" customHeight="1">
      <c r="A1" s="571" t="s">
        <v>204</v>
      </c>
      <c r="B1" s="571"/>
      <c r="C1" s="571"/>
      <c r="D1" s="571"/>
      <c r="E1" s="571"/>
      <c r="F1" s="571"/>
      <c r="G1" s="571"/>
      <c r="H1" s="571"/>
      <c r="I1" s="571"/>
      <c r="J1" s="571"/>
      <c r="K1" s="571"/>
      <c r="L1" s="571"/>
      <c r="M1" s="120"/>
    </row>
    <row r="2" spans="1:13" s="121" customFormat="1" ht="15.75" customHeight="1">
      <c r="A2" s="571"/>
      <c r="B2" s="571"/>
      <c r="C2" s="571"/>
      <c r="D2" s="571"/>
      <c r="E2" s="571"/>
      <c r="F2" s="571"/>
      <c r="G2" s="571"/>
      <c r="H2" s="571"/>
      <c r="I2" s="571"/>
      <c r="J2" s="571"/>
      <c r="K2" s="571"/>
      <c r="L2" s="571"/>
    </row>
    <row r="3" spans="1:13" ht="15.75" customHeight="1">
      <c r="A3" s="698" t="s">
        <v>205</v>
      </c>
      <c r="B3" s="698"/>
      <c r="C3" s="698"/>
      <c r="D3" s="698"/>
      <c r="E3" s="698"/>
      <c r="F3" s="698"/>
      <c r="G3" s="698"/>
      <c r="H3" s="698"/>
      <c r="I3" s="698"/>
      <c r="J3" s="698"/>
      <c r="K3" s="698"/>
      <c r="L3" s="698"/>
      <c r="M3" s="152"/>
    </row>
    <row r="4" spans="1:13" s="121" customFormat="1" ht="15.75" customHeight="1">
      <c r="A4" s="698"/>
      <c r="B4" s="698"/>
      <c r="C4" s="698"/>
      <c r="D4" s="698"/>
      <c r="E4" s="698"/>
      <c r="F4" s="698"/>
      <c r="G4" s="698"/>
      <c r="H4" s="698"/>
      <c r="I4" s="698"/>
      <c r="J4" s="698"/>
      <c r="K4" s="698"/>
      <c r="L4" s="698"/>
      <c r="M4" s="131"/>
    </row>
    <row r="5" spans="1:13" s="154" customFormat="1" ht="16.350000000000001" customHeight="1">
      <c r="A5" s="726" t="s">
        <v>154</v>
      </c>
      <c r="B5" s="156">
        <v>1</v>
      </c>
      <c r="C5" s="156">
        <v>2</v>
      </c>
      <c r="D5" s="156">
        <v>3</v>
      </c>
      <c r="E5" s="156">
        <v>4</v>
      </c>
      <c r="F5" s="156">
        <v>5</v>
      </c>
      <c r="G5" s="156">
        <v>6</v>
      </c>
      <c r="H5" s="166">
        <v>7</v>
      </c>
      <c r="I5" s="166">
        <v>8</v>
      </c>
      <c r="J5" s="156">
        <v>9</v>
      </c>
      <c r="K5" s="153"/>
      <c r="L5" s="153"/>
      <c r="M5" s="153"/>
    </row>
    <row r="6" spans="1:13" ht="16.350000000000001" customHeight="1">
      <c r="A6" s="728"/>
      <c r="B6" s="157" t="s">
        <v>206</v>
      </c>
      <c r="C6" s="157" t="s">
        <v>151</v>
      </c>
      <c r="D6" s="157" t="s">
        <v>207</v>
      </c>
      <c r="E6" s="157" t="s">
        <v>153</v>
      </c>
      <c r="F6" s="158" t="s">
        <v>133</v>
      </c>
      <c r="G6" s="159" t="s">
        <v>131</v>
      </c>
      <c r="H6" s="167" t="s">
        <v>208</v>
      </c>
      <c r="I6" s="169" t="s">
        <v>209</v>
      </c>
      <c r="J6" s="159" t="s">
        <v>137</v>
      </c>
      <c r="K6" s="155"/>
      <c r="L6" s="155"/>
      <c r="M6" s="131"/>
    </row>
    <row r="7" spans="1:13" s="154" customFormat="1" ht="15.75" customHeight="1">
      <c r="A7" s="744" t="s">
        <v>704</v>
      </c>
      <c r="B7" s="745"/>
      <c r="C7" s="447" t="s">
        <v>705</v>
      </c>
      <c r="D7" s="744" t="s">
        <v>12</v>
      </c>
      <c r="E7" s="746"/>
      <c r="F7" s="745"/>
      <c r="G7" s="485" t="s">
        <v>46</v>
      </c>
      <c r="H7" s="485" t="s">
        <v>752</v>
      </c>
      <c r="I7" s="485" t="s">
        <v>753</v>
      </c>
      <c r="J7" s="222" t="s">
        <v>754</v>
      </c>
      <c r="K7" s="744" t="s">
        <v>51</v>
      </c>
      <c r="L7" s="745"/>
      <c r="M7" s="153"/>
    </row>
    <row r="8" spans="1:13" ht="15.75" customHeight="1">
      <c r="A8" s="726">
        <v>7</v>
      </c>
      <c r="B8" s="729" t="s">
        <v>135</v>
      </c>
      <c r="C8" s="448">
        <v>1</v>
      </c>
      <c r="D8" s="443" t="s">
        <v>639</v>
      </c>
      <c r="E8" s="444"/>
      <c r="F8" s="445"/>
      <c r="G8" s="480">
        <v>13.285714285714286</v>
      </c>
      <c r="H8" s="480">
        <v>1216.6087066405503</v>
      </c>
      <c r="I8" s="480">
        <v>91.6486923072504</v>
      </c>
      <c r="J8" s="240" t="s">
        <v>927</v>
      </c>
      <c r="K8" s="742"/>
      <c r="L8" s="743"/>
      <c r="M8" s="131"/>
    </row>
    <row r="9" spans="1:13" ht="15.75" customHeight="1">
      <c r="A9" s="727"/>
      <c r="B9" s="730"/>
      <c r="C9" s="448">
        <v>2</v>
      </c>
      <c r="D9" s="481" t="s">
        <v>830</v>
      </c>
      <c r="E9" s="444"/>
      <c r="F9" s="445"/>
      <c r="G9" s="480">
        <v>15.428571428571429</v>
      </c>
      <c r="H9" s="480">
        <v>1320.1642728003656</v>
      </c>
      <c r="I9" s="480">
        <v>85.656081335800522</v>
      </c>
      <c r="J9" s="240" t="s">
        <v>927</v>
      </c>
      <c r="K9" s="737"/>
      <c r="L9" s="738"/>
      <c r="M9" s="131"/>
    </row>
    <row r="10" spans="1:13" ht="15.75" customHeight="1">
      <c r="A10" s="727"/>
      <c r="B10" s="730"/>
      <c r="C10" s="448">
        <v>3</v>
      </c>
      <c r="D10" s="443" t="s">
        <v>675</v>
      </c>
      <c r="E10" s="444"/>
      <c r="F10" s="445"/>
      <c r="G10" s="480">
        <v>16.571428571428573</v>
      </c>
      <c r="H10" s="480">
        <v>1366.7722139927907</v>
      </c>
      <c r="I10" s="480">
        <v>82.534655921725985</v>
      </c>
      <c r="J10" s="240" t="s">
        <v>927</v>
      </c>
      <c r="K10" s="737"/>
      <c r="L10" s="738"/>
      <c r="M10" s="131"/>
    </row>
    <row r="11" spans="1:13" ht="15.75" customHeight="1">
      <c r="A11" s="727"/>
      <c r="B11" s="730"/>
      <c r="C11" s="448">
        <v>4</v>
      </c>
      <c r="D11" s="443" t="s">
        <v>872</v>
      </c>
      <c r="E11" s="444"/>
      <c r="F11" s="445"/>
      <c r="G11" s="480">
        <v>16.714285714285715</v>
      </c>
      <c r="H11" s="480">
        <v>1367.4831127474015</v>
      </c>
      <c r="I11" s="480">
        <v>81.997092586392782</v>
      </c>
      <c r="J11" s="240" t="s">
        <v>927</v>
      </c>
      <c r="K11" s="737" t="s">
        <v>935</v>
      </c>
      <c r="L11" s="738"/>
      <c r="M11" s="131"/>
    </row>
    <row r="12" spans="1:13" ht="15.75" customHeight="1">
      <c r="A12" s="727"/>
      <c r="B12" s="730"/>
      <c r="C12" s="448">
        <v>5</v>
      </c>
      <c r="D12" s="443" t="s">
        <v>834</v>
      </c>
      <c r="E12" s="444"/>
      <c r="F12" s="445"/>
      <c r="G12" s="480">
        <v>17</v>
      </c>
      <c r="H12" s="480">
        <v>1341.7105288948951</v>
      </c>
      <c r="I12" s="480">
        <v>78.924148758523231</v>
      </c>
      <c r="J12" s="240" t="s">
        <v>927</v>
      </c>
      <c r="K12" s="737"/>
      <c r="L12" s="738"/>
      <c r="M12" s="131"/>
    </row>
    <row r="13" spans="1:13" ht="15.75" customHeight="1">
      <c r="A13" s="727"/>
      <c r="B13" s="730"/>
      <c r="C13" s="165" t="s">
        <v>706</v>
      </c>
      <c r="D13" s="481"/>
      <c r="E13" s="444"/>
      <c r="F13" s="445"/>
      <c r="G13" s="480"/>
      <c r="H13" s="480"/>
      <c r="I13" s="480"/>
      <c r="J13" s="240"/>
      <c r="K13" s="737"/>
      <c r="L13" s="738"/>
      <c r="M13" s="131"/>
    </row>
    <row r="14" spans="1:13" ht="15.75" customHeight="1">
      <c r="A14" s="727"/>
      <c r="B14" s="730"/>
      <c r="C14" s="165" t="s">
        <v>707</v>
      </c>
      <c r="D14" s="443"/>
      <c r="E14" s="444"/>
      <c r="F14" s="445"/>
      <c r="G14" s="480"/>
      <c r="H14" s="480"/>
      <c r="I14" s="480"/>
      <c r="J14" s="240"/>
      <c r="K14" s="747"/>
      <c r="L14" s="738"/>
      <c r="M14" s="131"/>
    </row>
    <row r="15" spans="1:13" ht="15.75" customHeight="1">
      <c r="A15" s="727"/>
      <c r="B15" s="730"/>
      <c r="C15" s="165" t="s">
        <v>708</v>
      </c>
      <c r="D15" s="443"/>
      <c r="E15" s="444"/>
      <c r="F15" s="445"/>
      <c r="G15" s="480"/>
      <c r="H15" s="480"/>
      <c r="I15" s="480"/>
      <c r="J15" s="240"/>
      <c r="K15" s="747"/>
      <c r="L15" s="738"/>
      <c r="M15" s="131"/>
    </row>
    <row r="16" spans="1:13" ht="15.75" customHeight="1">
      <c r="A16" s="727"/>
      <c r="B16" s="730"/>
      <c r="C16" s="165" t="s">
        <v>709</v>
      </c>
      <c r="D16" s="443"/>
      <c r="E16" s="444"/>
      <c r="F16" s="445"/>
      <c r="G16" s="480"/>
      <c r="H16" s="480"/>
      <c r="I16" s="480"/>
      <c r="J16" s="240"/>
      <c r="K16" s="747"/>
      <c r="L16" s="738"/>
      <c r="M16" s="152"/>
    </row>
    <row r="17" spans="1:13" ht="15.75" customHeight="1">
      <c r="A17" s="728"/>
      <c r="B17" s="731"/>
      <c r="C17" s="165" t="s">
        <v>710</v>
      </c>
      <c r="D17" s="443"/>
      <c r="E17" s="444"/>
      <c r="F17" s="445"/>
      <c r="G17" s="543"/>
      <c r="H17" s="543"/>
      <c r="I17" s="543"/>
      <c r="J17" s="543"/>
      <c r="K17" s="747"/>
      <c r="L17" s="738"/>
      <c r="M17" s="152"/>
    </row>
    <row r="18" spans="1:13" s="162" customFormat="1" ht="15.75" customHeight="1">
      <c r="A18" s="739" t="s">
        <v>704</v>
      </c>
      <c r="B18" s="740"/>
      <c r="C18" s="449" t="s">
        <v>705</v>
      </c>
      <c r="D18" s="739" t="s">
        <v>12</v>
      </c>
      <c r="E18" s="741"/>
      <c r="F18" s="740"/>
      <c r="G18" s="542" t="s">
        <v>928</v>
      </c>
      <c r="H18" s="542" t="s">
        <v>929</v>
      </c>
      <c r="I18" s="542" t="s">
        <v>930</v>
      </c>
      <c r="J18" s="222" t="s">
        <v>931</v>
      </c>
      <c r="K18" s="739" t="s">
        <v>932</v>
      </c>
      <c r="L18" s="740"/>
      <c r="M18" s="155"/>
    </row>
    <row r="19" spans="1:13" ht="15.75" customHeight="1">
      <c r="A19" s="726">
        <v>8</v>
      </c>
      <c r="B19" s="729" t="s">
        <v>136</v>
      </c>
      <c r="C19" s="448">
        <v>1</v>
      </c>
      <c r="D19" s="443" t="s">
        <v>846</v>
      </c>
      <c r="E19" s="444"/>
      <c r="F19" s="445"/>
      <c r="G19" s="480">
        <v>18</v>
      </c>
      <c r="H19" s="480">
        <v>2447.1993886616538</v>
      </c>
      <c r="I19" s="480">
        <v>135.95552159231408</v>
      </c>
      <c r="J19" s="241" t="s">
        <v>923</v>
      </c>
      <c r="K19" s="736" t="s">
        <v>936</v>
      </c>
      <c r="L19" s="735"/>
      <c r="M19" s="152"/>
    </row>
    <row r="20" spans="1:13" ht="15.75" customHeight="1">
      <c r="A20" s="727"/>
      <c r="B20" s="730"/>
      <c r="C20" s="448">
        <v>2</v>
      </c>
      <c r="D20" s="443" t="s">
        <v>378</v>
      </c>
      <c r="E20" s="444"/>
      <c r="F20" s="445"/>
      <c r="G20" s="480">
        <v>19</v>
      </c>
      <c r="H20" s="480">
        <v>2527.5680939425051</v>
      </c>
      <c r="I20" s="480">
        <v>133.0298996811845</v>
      </c>
      <c r="J20" s="242" t="s">
        <v>925</v>
      </c>
      <c r="K20" s="734" t="s">
        <v>937</v>
      </c>
      <c r="L20" s="735"/>
      <c r="M20" s="152"/>
    </row>
    <row r="21" spans="1:13" ht="15.75" customHeight="1">
      <c r="A21" s="727"/>
      <c r="B21" s="730"/>
      <c r="C21" s="448">
        <v>3</v>
      </c>
      <c r="D21" s="443" t="s">
        <v>379</v>
      </c>
      <c r="E21" s="444"/>
      <c r="F21" s="445"/>
      <c r="G21" s="480">
        <v>19</v>
      </c>
      <c r="H21" s="480">
        <v>2522.3968190536034</v>
      </c>
      <c r="I21" s="480">
        <v>132.75772731861068</v>
      </c>
      <c r="J21" s="240" t="s">
        <v>927</v>
      </c>
      <c r="K21" s="734"/>
      <c r="L21" s="735"/>
      <c r="M21" s="152"/>
    </row>
    <row r="22" spans="1:13" ht="15.75" customHeight="1">
      <c r="A22" s="727"/>
      <c r="B22" s="730"/>
      <c r="C22" s="448">
        <v>4</v>
      </c>
      <c r="D22" s="443" t="s">
        <v>380</v>
      </c>
      <c r="E22" s="444"/>
      <c r="F22" s="445"/>
      <c r="G22" s="480">
        <v>19.857142857142858</v>
      </c>
      <c r="H22" s="480">
        <v>2530.2466063515608</v>
      </c>
      <c r="I22" s="480">
        <v>127.47299089759952</v>
      </c>
      <c r="J22" s="240" t="s">
        <v>927</v>
      </c>
      <c r="K22" s="734"/>
      <c r="L22" s="735"/>
      <c r="M22" s="152"/>
    </row>
    <row r="23" spans="1:13" ht="15.75" customHeight="1">
      <c r="A23" s="727"/>
      <c r="B23" s="730"/>
      <c r="C23" s="448">
        <v>5</v>
      </c>
      <c r="D23" s="443" t="s">
        <v>644</v>
      </c>
      <c r="E23" s="444"/>
      <c r="F23" s="445"/>
      <c r="G23" s="480">
        <v>17.714285714285715</v>
      </c>
      <c r="H23" s="480">
        <v>2151.241330235287</v>
      </c>
      <c r="I23" s="480">
        <v>121.5316687137982</v>
      </c>
      <c r="J23" s="240" t="s">
        <v>927</v>
      </c>
      <c r="K23" s="736"/>
      <c r="L23" s="735"/>
      <c r="M23" s="152"/>
    </row>
    <row r="24" spans="1:13" ht="15.75" customHeight="1">
      <c r="A24" s="727"/>
      <c r="B24" s="730"/>
      <c r="C24" s="165" t="s">
        <v>706</v>
      </c>
      <c r="D24" s="443" t="s">
        <v>377</v>
      </c>
      <c r="E24" s="444"/>
      <c r="F24" s="445"/>
      <c r="G24" s="543">
        <v>20</v>
      </c>
      <c r="H24" s="480">
        <v>2185.7917018550265</v>
      </c>
      <c r="I24" s="480">
        <v>109.28958509275131</v>
      </c>
      <c r="J24" s="240" t="s">
        <v>927</v>
      </c>
      <c r="K24" s="734"/>
      <c r="L24" s="735"/>
      <c r="M24" s="152"/>
    </row>
    <row r="25" spans="1:13" ht="15.75" customHeight="1">
      <c r="A25" s="727"/>
      <c r="B25" s="730"/>
      <c r="C25" s="165" t="s">
        <v>707</v>
      </c>
      <c r="D25" s="443"/>
      <c r="E25" s="444"/>
      <c r="F25" s="445"/>
      <c r="G25" s="543"/>
      <c r="H25" s="480"/>
      <c r="I25" s="480"/>
      <c r="J25" s="240"/>
      <c r="K25" s="732"/>
      <c r="L25" s="733"/>
      <c r="M25" s="152"/>
    </row>
    <row r="26" spans="1:13" ht="15.75" customHeight="1">
      <c r="A26" s="727"/>
      <c r="B26" s="730"/>
      <c r="C26" s="165" t="s">
        <v>708</v>
      </c>
      <c r="D26" s="443"/>
      <c r="E26" s="444"/>
      <c r="F26" s="445"/>
      <c r="G26" s="543"/>
      <c r="H26" s="543"/>
      <c r="I26" s="543"/>
      <c r="J26" s="543"/>
      <c r="K26" s="732"/>
      <c r="L26" s="733"/>
      <c r="M26" s="152"/>
    </row>
    <row r="27" spans="1:13" ht="15.75" customHeight="1">
      <c r="A27" s="727"/>
      <c r="B27" s="730"/>
      <c r="C27" s="165" t="s">
        <v>709</v>
      </c>
      <c r="D27" s="443"/>
      <c r="E27" s="444"/>
      <c r="F27" s="445"/>
      <c r="G27" s="543"/>
      <c r="H27" s="543"/>
      <c r="I27" s="543"/>
      <c r="J27" s="543"/>
      <c r="K27" s="732"/>
      <c r="L27" s="733"/>
      <c r="M27" s="152"/>
    </row>
    <row r="28" spans="1:13" ht="15.75" customHeight="1">
      <c r="A28" s="728"/>
      <c r="B28" s="731"/>
      <c r="C28" s="165" t="s">
        <v>710</v>
      </c>
      <c r="D28" s="443"/>
      <c r="E28" s="444"/>
      <c r="F28" s="445"/>
      <c r="G28" s="543"/>
      <c r="H28" s="543"/>
      <c r="I28" s="543"/>
      <c r="J28" s="543"/>
      <c r="K28" s="732"/>
      <c r="L28" s="733"/>
      <c r="M28" s="152"/>
    </row>
    <row r="29" spans="1:13" ht="15.75" customHeight="1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31"/>
    </row>
    <row r="30" spans="1:13" ht="15.75" customHeight="1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31"/>
    </row>
    <row r="31" spans="1:13" ht="15.75" customHeight="1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31"/>
    </row>
    <row r="32" spans="1:13" ht="15.75" customHeight="1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31"/>
    </row>
    <row r="33" spans="1:13" ht="15.75" customHeight="1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31"/>
    </row>
    <row r="34" spans="1:13" ht="15.75" customHeight="1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31"/>
    </row>
    <row r="35" spans="1:13" ht="15.75" customHeight="1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31"/>
    </row>
  </sheetData>
  <mergeCells count="33">
    <mergeCell ref="A1:L2"/>
    <mergeCell ref="K8:L8"/>
    <mergeCell ref="K9:L9"/>
    <mergeCell ref="A3:L4"/>
    <mergeCell ref="A5:A6"/>
    <mergeCell ref="A7:B7"/>
    <mergeCell ref="D7:F7"/>
    <mergeCell ref="K7:L7"/>
    <mergeCell ref="A8:A17"/>
    <mergeCell ref="B8:B17"/>
    <mergeCell ref="K17:L17"/>
    <mergeCell ref="K16:L16"/>
    <mergeCell ref="K13:L13"/>
    <mergeCell ref="K14:L14"/>
    <mergeCell ref="K15:L15"/>
    <mergeCell ref="K10:L10"/>
    <mergeCell ref="K11:L11"/>
    <mergeCell ref="K12:L12"/>
    <mergeCell ref="A18:B18"/>
    <mergeCell ref="D18:F18"/>
    <mergeCell ref="K18:L18"/>
    <mergeCell ref="A19:A28"/>
    <mergeCell ref="B19:B28"/>
    <mergeCell ref="K28:L28"/>
    <mergeCell ref="K24:L24"/>
    <mergeCell ref="K25:L25"/>
    <mergeCell ref="K27:L27"/>
    <mergeCell ref="K26:L26"/>
    <mergeCell ref="K22:L22"/>
    <mergeCell ref="K23:L23"/>
    <mergeCell ref="K19:L19"/>
    <mergeCell ref="K20:L20"/>
    <mergeCell ref="K21:L21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M35"/>
  <sheetViews>
    <sheetView zoomScale="70" zoomScaleNormal="70" zoomScaleSheetLayoutView="100" workbookViewId="0">
      <selection activeCell="N18" sqref="N18"/>
    </sheetView>
  </sheetViews>
  <sheetFormatPr defaultColWidth="12.5703125" defaultRowHeight="15.75" customHeight="1"/>
  <cols>
    <col min="1" max="1" width="6.42578125" style="120" customWidth="1"/>
    <col min="2" max="10" width="11.5703125" style="120" customWidth="1"/>
    <col min="11" max="12" width="12.85546875" style="120" customWidth="1"/>
    <col min="13" max="13" width="12.5703125" style="121"/>
    <col min="14" max="16384" width="12.5703125" style="120"/>
  </cols>
  <sheetData>
    <row r="1" spans="1:13" ht="15.75" customHeight="1">
      <c r="A1" s="571" t="s">
        <v>204</v>
      </c>
      <c r="B1" s="571"/>
      <c r="C1" s="571"/>
      <c r="D1" s="571"/>
      <c r="E1" s="571"/>
      <c r="F1" s="571"/>
      <c r="G1" s="571"/>
      <c r="H1" s="571"/>
      <c r="I1" s="571"/>
      <c r="J1" s="571"/>
      <c r="K1" s="571"/>
      <c r="L1" s="571"/>
      <c r="M1" s="120"/>
    </row>
    <row r="2" spans="1:13" s="121" customFormat="1" ht="15.75" customHeight="1">
      <c r="A2" s="571"/>
      <c r="B2" s="571"/>
      <c r="C2" s="571"/>
      <c r="D2" s="571"/>
      <c r="E2" s="571"/>
      <c r="F2" s="571"/>
      <c r="G2" s="571"/>
      <c r="H2" s="571"/>
      <c r="I2" s="571"/>
      <c r="J2" s="571"/>
      <c r="K2" s="571"/>
      <c r="L2" s="571"/>
    </row>
    <row r="3" spans="1:13" ht="15.75" customHeight="1">
      <c r="A3" s="698" t="s">
        <v>205</v>
      </c>
      <c r="B3" s="698"/>
      <c r="C3" s="698"/>
      <c r="D3" s="698"/>
      <c r="E3" s="698"/>
      <c r="F3" s="698"/>
      <c r="G3" s="698"/>
      <c r="H3" s="698"/>
      <c r="I3" s="698"/>
      <c r="J3" s="698"/>
      <c r="K3" s="698"/>
      <c r="L3" s="698"/>
      <c r="M3" s="152"/>
    </row>
    <row r="4" spans="1:13" s="121" customFormat="1" ht="15.75" customHeight="1">
      <c r="A4" s="698"/>
      <c r="B4" s="698"/>
      <c r="C4" s="698"/>
      <c r="D4" s="698"/>
      <c r="E4" s="698"/>
      <c r="F4" s="698"/>
      <c r="G4" s="698"/>
      <c r="H4" s="698"/>
      <c r="I4" s="698"/>
      <c r="J4" s="698"/>
      <c r="K4" s="698"/>
      <c r="L4" s="698"/>
      <c r="M4" s="131"/>
    </row>
    <row r="5" spans="1:13" s="154" customFormat="1" ht="16.350000000000001" customHeight="1">
      <c r="A5" s="726" t="s">
        <v>154</v>
      </c>
      <c r="B5" s="156">
        <v>1</v>
      </c>
      <c r="C5" s="156">
        <v>2</v>
      </c>
      <c r="D5" s="156">
        <v>3</v>
      </c>
      <c r="E5" s="156">
        <v>4</v>
      </c>
      <c r="F5" s="156">
        <v>5</v>
      </c>
      <c r="G5" s="156">
        <v>6</v>
      </c>
      <c r="H5" s="156">
        <v>7</v>
      </c>
      <c r="I5" s="156">
        <v>8</v>
      </c>
      <c r="J5" s="166">
        <v>9</v>
      </c>
      <c r="K5" s="153"/>
      <c r="L5" s="153"/>
      <c r="M5" s="153"/>
    </row>
    <row r="6" spans="1:13" ht="16.350000000000001" customHeight="1">
      <c r="A6" s="728"/>
      <c r="B6" s="157" t="s">
        <v>206</v>
      </c>
      <c r="C6" s="157" t="s">
        <v>151</v>
      </c>
      <c r="D6" s="157" t="s">
        <v>207</v>
      </c>
      <c r="E6" s="157" t="s">
        <v>153</v>
      </c>
      <c r="F6" s="158" t="s">
        <v>133</v>
      </c>
      <c r="G6" s="159" t="s">
        <v>131</v>
      </c>
      <c r="H6" s="160" t="s">
        <v>208</v>
      </c>
      <c r="I6" s="159" t="s">
        <v>209</v>
      </c>
      <c r="J6" s="169" t="s">
        <v>137</v>
      </c>
      <c r="K6" s="155"/>
      <c r="L6" s="155"/>
      <c r="M6" s="131"/>
    </row>
    <row r="7" spans="1:13" s="154" customFormat="1" ht="15.75" customHeight="1">
      <c r="A7" s="744" t="s">
        <v>704</v>
      </c>
      <c r="B7" s="745"/>
      <c r="C7" s="447" t="s">
        <v>705</v>
      </c>
      <c r="D7" s="744" t="s">
        <v>12</v>
      </c>
      <c r="E7" s="746"/>
      <c r="F7" s="745"/>
      <c r="G7" s="485" t="s">
        <v>747</v>
      </c>
      <c r="H7" s="485" t="s">
        <v>748</v>
      </c>
      <c r="I7" s="485" t="s">
        <v>749</v>
      </c>
      <c r="J7" s="222" t="s">
        <v>750</v>
      </c>
      <c r="K7" s="744" t="s">
        <v>751</v>
      </c>
      <c r="L7" s="745"/>
      <c r="M7" s="153"/>
    </row>
    <row r="8" spans="1:13" ht="15.75" customHeight="1">
      <c r="A8" s="726">
        <v>9</v>
      </c>
      <c r="B8" s="729" t="s">
        <v>137</v>
      </c>
      <c r="C8" s="448">
        <v>1</v>
      </c>
      <c r="D8" s="443" t="s">
        <v>794</v>
      </c>
      <c r="E8" s="444"/>
      <c r="F8" s="445"/>
      <c r="G8" s="480">
        <v>6</v>
      </c>
      <c r="H8" s="480">
        <v>1519.0128275780537</v>
      </c>
      <c r="I8" s="480">
        <v>251.99865373099013</v>
      </c>
      <c r="J8" s="240" t="s">
        <v>913</v>
      </c>
      <c r="K8" s="754"/>
      <c r="L8" s="754"/>
      <c r="M8" s="131"/>
    </row>
    <row r="9" spans="1:13" ht="15.75" customHeight="1">
      <c r="A9" s="727"/>
      <c r="B9" s="730"/>
      <c r="C9" s="448">
        <v>2</v>
      </c>
      <c r="D9" s="443" t="s">
        <v>422</v>
      </c>
      <c r="E9" s="444"/>
      <c r="F9" s="445"/>
      <c r="G9" s="480">
        <v>7</v>
      </c>
      <c r="H9" s="480">
        <v>1416.4201425039187</v>
      </c>
      <c r="I9" s="480">
        <v>210.44752402738666</v>
      </c>
      <c r="J9" s="241" t="s">
        <v>911</v>
      </c>
      <c r="K9" s="702" t="s">
        <v>938</v>
      </c>
      <c r="L9" s="703"/>
      <c r="M9" s="131"/>
    </row>
    <row r="10" spans="1:13" ht="15.75" customHeight="1">
      <c r="A10" s="727"/>
      <c r="B10" s="730"/>
      <c r="C10" s="448">
        <v>3</v>
      </c>
      <c r="D10" s="443" t="s">
        <v>382</v>
      </c>
      <c r="E10" s="444"/>
      <c r="F10" s="445"/>
      <c r="G10" s="480">
        <v>7</v>
      </c>
      <c r="H10" s="480">
        <v>1410.8771641801645</v>
      </c>
      <c r="I10" s="480">
        <v>209.24704810142839</v>
      </c>
      <c r="J10" s="241" t="s">
        <v>911</v>
      </c>
      <c r="K10" s="704"/>
      <c r="L10" s="705"/>
      <c r="M10" s="131"/>
    </row>
    <row r="11" spans="1:13" ht="15.75" customHeight="1">
      <c r="A11" s="727"/>
      <c r="B11" s="730"/>
      <c r="C11" s="448">
        <v>4</v>
      </c>
      <c r="D11" s="481" t="s">
        <v>381</v>
      </c>
      <c r="E11" s="444"/>
      <c r="F11" s="445"/>
      <c r="G11" s="480">
        <v>7</v>
      </c>
      <c r="H11" s="480">
        <v>1409.5070641107125</v>
      </c>
      <c r="I11" s="480">
        <v>209.00737564304788</v>
      </c>
      <c r="J11" s="241" t="s">
        <v>911</v>
      </c>
      <c r="K11" s="704"/>
      <c r="L11" s="705"/>
      <c r="M11" s="131"/>
    </row>
    <row r="12" spans="1:13" ht="15.75" customHeight="1">
      <c r="A12" s="727"/>
      <c r="B12" s="730"/>
      <c r="C12" s="448">
        <v>5</v>
      </c>
      <c r="D12" s="443" t="s">
        <v>765</v>
      </c>
      <c r="E12" s="444"/>
      <c r="F12" s="445"/>
      <c r="G12" s="543">
        <v>7</v>
      </c>
      <c r="H12" s="480">
        <v>1399.4471743842712</v>
      </c>
      <c r="I12" s="480">
        <v>211.24243419103689</v>
      </c>
      <c r="J12" s="242" t="s">
        <v>916</v>
      </c>
      <c r="K12" s="706"/>
      <c r="L12" s="707"/>
      <c r="M12" s="131"/>
    </row>
    <row r="13" spans="1:13" ht="15.75" customHeight="1">
      <c r="A13" s="727"/>
      <c r="B13" s="730"/>
      <c r="C13" s="165" t="s">
        <v>706</v>
      </c>
      <c r="D13" s="443" t="s">
        <v>349</v>
      </c>
      <c r="E13" s="444"/>
      <c r="F13" s="445"/>
      <c r="G13" s="480">
        <v>19.285714285714285</v>
      </c>
      <c r="H13" s="480">
        <v>1307.6426475837902</v>
      </c>
      <c r="I13" s="480">
        <v>72.512606400325438</v>
      </c>
      <c r="J13" s="240" t="s">
        <v>913</v>
      </c>
      <c r="K13" s="754"/>
      <c r="L13" s="754"/>
      <c r="M13" s="131"/>
    </row>
    <row r="14" spans="1:13" ht="15.75" customHeight="1">
      <c r="A14" s="727"/>
      <c r="B14" s="730"/>
      <c r="C14" s="165" t="s">
        <v>707</v>
      </c>
      <c r="D14" s="443" t="s">
        <v>383</v>
      </c>
      <c r="E14" s="444"/>
      <c r="F14" s="445"/>
      <c r="G14" s="480">
        <v>16</v>
      </c>
      <c r="H14" s="480">
        <v>1301.8896400801693</v>
      </c>
      <c r="I14" s="480">
        <v>79.338346980562093</v>
      </c>
      <c r="J14" s="240" t="s">
        <v>913</v>
      </c>
      <c r="K14" s="754"/>
      <c r="L14" s="754"/>
      <c r="M14" s="131"/>
    </row>
    <row r="15" spans="1:13" ht="15.75" customHeight="1">
      <c r="A15" s="727"/>
      <c r="B15" s="730"/>
      <c r="C15" s="165" t="s">
        <v>708</v>
      </c>
      <c r="D15" s="443"/>
      <c r="E15" s="444"/>
      <c r="F15" s="445"/>
      <c r="G15" s="480"/>
      <c r="H15" s="480"/>
      <c r="I15" s="480"/>
      <c r="J15" s="240"/>
      <c r="K15" s="747"/>
      <c r="L15" s="738"/>
      <c r="M15" s="131"/>
    </row>
    <row r="16" spans="1:13" ht="15.75" customHeight="1">
      <c r="A16" s="727"/>
      <c r="B16" s="730"/>
      <c r="C16" s="165" t="s">
        <v>709</v>
      </c>
      <c r="D16" s="443"/>
      <c r="E16" s="444"/>
      <c r="F16" s="445"/>
      <c r="G16" s="480"/>
      <c r="H16" s="480"/>
      <c r="I16" s="480"/>
      <c r="J16" s="241"/>
      <c r="K16" s="747"/>
      <c r="L16" s="738"/>
      <c r="M16" s="152"/>
    </row>
    <row r="17" spans="1:13" ht="15.75" customHeight="1">
      <c r="A17" s="728"/>
      <c r="B17" s="731"/>
      <c r="C17" s="165" t="s">
        <v>710</v>
      </c>
      <c r="D17" s="443"/>
      <c r="E17" s="444"/>
      <c r="F17" s="445"/>
      <c r="G17" s="543"/>
      <c r="H17" s="543"/>
      <c r="I17" s="543"/>
      <c r="J17" s="543"/>
      <c r="K17" s="747"/>
      <c r="L17" s="738"/>
      <c r="M17" s="152"/>
    </row>
    <row r="18" spans="1:13" s="162" customFormat="1" ht="15.75" customHeight="1">
      <c r="A18" s="739" t="s">
        <v>187</v>
      </c>
      <c r="B18" s="740"/>
      <c r="C18" s="284" t="s">
        <v>414</v>
      </c>
      <c r="D18" s="739" t="s">
        <v>12</v>
      </c>
      <c r="E18" s="741"/>
      <c r="F18" s="740"/>
      <c r="G18" s="510" t="s">
        <v>812</v>
      </c>
      <c r="H18" s="510" t="s">
        <v>813</v>
      </c>
      <c r="I18" s="510" t="s">
        <v>814</v>
      </c>
      <c r="J18" s="222" t="s">
        <v>815</v>
      </c>
      <c r="K18" s="739" t="s">
        <v>816</v>
      </c>
      <c r="L18" s="740"/>
      <c r="M18" s="155"/>
    </row>
    <row r="19" spans="1:13" ht="15.75" customHeight="1">
      <c r="A19" s="726"/>
      <c r="B19" s="729"/>
      <c r="C19" s="283">
        <v>1</v>
      </c>
      <c r="D19" s="443"/>
      <c r="E19" s="444"/>
      <c r="F19" s="445"/>
      <c r="G19" s="509"/>
      <c r="H19" s="509"/>
      <c r="I19" s="509"/>
      <c r="J19" s="509"/>
      <c r="K19" s="751"/>
      <c r="L19" s="752"/>
      <c r="M19" s="152"/>
    </row>
    <row r="20" spans="1:13" ht="15.75" customHeight="1">
      <c r="A20" s="727"/>
      <c r="B20" s="730"/>
      <c r="C20" s="283">
        <v>2</v>
      </c>
      <c r="D20" s="443"/>
      <c r="E20" s="444"/>
      <c r="F20" s="445"/>
      <c r="G20" s="509"/>
      <c r="H20" s="509"/>
      <c r="I20" s="509"/>
      <c r="J20" s="509"/>
      <c r="K20" s="748"/>
      <c r="L20" s="749"/>
      <c r="M20" s="152"/>
    </row>
    <row r="21" spans="1:13" ht="15.75" customHeight="1">
      <c r="A21" s="727"/>
      <c r="B21" s="730"/>
      <c r="C21" s="283">
        <v>3</v>
      </c>
      <c r="D21" s="443"/>
      <c r="E21" s="444"/>
      <c r="F21" s="445"/>
      <c r="G21" s="509"/>
      <c r="H21" s="509"/>
      <c r="I21" s="509"/>
      <c r="J21" s="509"/>
      <c r="K21" s="748"/>
      <c r="L21" s="749"/>
      <c r="M21" s="152"/>
    </row>
    <row r="22" spans="1:13" ht="15.75" customHeight="1">
      <c r="A22" s="727"/>
      <c r="B22" s="730"/>
      <c r="C22" s="283">
        <v>4</v>
      </c>
      <c r="D22" s="748"/>
      <c r="E22" s="750"/>
      <c r="F22" s="749"/>
      <c r="G22" s="282"/>
      <c r="H22" s="282"/>
      <c r="I22" s="282"/>
      <c r="J22" s="282"/>
      <c r="K22" s="748"/>
      <c r="L22" s="749"/>
      <c r="M22" s="152"/>
    </row>
    <row r="23" spans="1:13" ht="15.75" customHeight="1">
      <c r="A23" s="727"/>
      <c r="B23" s="730"/>
      <c r="C23" s="283">
        <v>5</v>
      </c>
      <c r="D23" s="748"/>
      <c r="E23" s="750"/>
      <c r="F23" s="749"/>
      <c r="G23" s="282"/>
      <c r="H23" s="282"/>
      <c r="I23" s="282"/>
      <c r="J23" s="282"/>
      <c r="K23" s="748"/>
      <c r="L23" s="749"/>
      <c r="M23" s="152"/>
    </row>
    <row r="24" spans="1:13" ht="15.75" customHeight="1">
      <c r="A24" s="727"/>
      <c r="B24" s="730"/>
      <c r="C24" s="165" t="s">
        <v>415</v>
      </c>
      <c r="D24" s="751"/>
      <c r="E24" s="753"/>
      <c r="F24" s="752"/>
      <c r="G24" s="282"/>
      <c r="H24" s="282"/>
      <c r="I24" s="282"/>
      <c r="J24" s="282"/>
      <c r="K24" s="751"/>
      <c r="L24" s="752"/>
      <c r="M24" s="152"/>
    </row>
    <row r="25" spans="1:13" ht="15.75" customHeight="1">
      <c r="A25" s="727"/>
      <c r="B25" s="730"/>
      <c r="C25" s="165" t="s">
        <v>416</v>
      </c>
      <c r="D25" s="748"/>
      <c r="E25" s="750"/>
      <c r="F25" s="749"/>
      <c r="G25" s="282"/>
      <c r="H25" s="282"/>
      <c r="I25" s="282"/>
      <c r="J25" s="282"/>
      <c r="K25" s="748"/>
      <c r="L25" s="749"/>
      <c r="M25" s="152"/>
    </row>
    <row r="26" spans="1:13" ht="15.75" customHeight="1">
      <c r="A26" s="727"/>
      <c r="B26" s="730"/>
      <c r="C26" s="165" t="s">
        <v>417</v>
      </c>
      <c r="D26" s="748"/>
      <c r="E26" s="750"/>
      <c r="F26" s="749"/>
      <c r="G26" s="282"/>
      <c r="H26" s="282"/>
      <c r="I26" s="282"/>
      <c r="J26" s="282"/>
      <c r="K26" s="748"/>
      <c r="L26" s="749"/>
      <c r="M26" s="152"/>
    </row>
    <row r="27" spans="1:13" ht="15.75" customHeight="1">
      <c r="A27" s="727"/>
      <c r="B27" s="730"/>
      <c r="C27" s="165" t="s">
        <v>418</v>
      </c>
      <c r="D27" s="748"/>
      <c r="E27" s="750"/>
      <c r="F27" s="749"/>
      <c r="G27" s="282"/>
      <c r="H27" s="282"/>
      <c r="I27" s="282"/>
      <c r="J27" s="282"/>
      <c r="K27" s="748"/>
      <c r="L27" s="749"/>
      <c r="M27" s="152"/>
    </row>
    <row r="28" spans="1:13" ht="15.75" customHeight="1">
      <c r="A28" s="728"/>
      <c r="B28" s="731"/>
      <c r="C28" s="165" t="s">
        <v>419</v>
      </c>
      <c r="D28" s="748"/>
      <c r="E28" s="750"/>
      <c r="F28" s="749"/>
      <c r="G28" s="282"/>
      <c r="H28" s="282"/>
      <c r="I28" s="282"/>
      <c r="J28" s="282"/>
      <c r="K28" s="748"/>
      <c r="L28" s="749"/>
      <c r="M28" s="152"/>
    </row>
    <row r="29" spans="1:13" ht="15.75" customHeight="1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31"/>
    </row>
    <row r="30" spans="1:13" ht="15.75" customHeight="1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31"/>
    </row>
    <row r="31" spans="1:13" ht="15.75" customHeight="1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31"/>
    </row>
    <row r="32" spans="1:13" ht="15.75" customHeight="1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31"/>
    </row>
    <row r="33" spans="1:13" ht="15.75" customHeight="1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31"/>
    </row>
    <row r="34" spans="1:13" ht="15.75" customHeight="1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31"/>
    </row>
    <row r="35" spans="1:13" ht="15.75" customHeight="1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31"/>
    </row>
  </sheetData>
  <mergeCells count="37">
    <mergeCell ref="A1:L2"/>
    <mergeCell ref="K14:L14"/>
    <mergeCell ref="A3:L4"/>
    <mergeCell ref="A5:A6"/>
    <mergeCell ref="A7:B7"/>
    <mergeCell ref="D7:F7"/>
    <mergeCell ref="K7:L7"/>
    <mergeCell ref="A8:A17"/>
    <mergeCell ref="B8:B17"/>
    <mergeCell ref="K13:L13"/>
    <mergeCell ref="K15:L15"/>
    <mergeCell ref="K16:L16"/>
    <mergeCell ref="K17:L17"/>
    <mergeCell ref="K8:L8"/>
    <mergeCell ref="K9:L12"/>
    <mergeCell ref="A18:B18"/>
    <mergeCell ref="D18:F18"/>
    <mergeCell ref="K18:L18"/>
    <mergeCell ref="A19:A28"/>
    <mergeCell ref="B19:B28"/>
    <mergeCell ref="K19:L19"/>
    <mergeCell ref="K20:L20"/>
    <mergeCell ref="D28:F28"/>
    <mergeCell ref="K28:L28"/>
    <mergeCell ref="D25:F25"/>
    <mergeCell ref="D26:F26"/>
    <mergeCell ref="K26:L26"/>
    <mergeCell ref="K21:L21"/>
    <mergeCell ref="D27:F27"/>
    <mergeCell ref="K27:L27"/>
    <mergeCell ref="D22:F22"/>
    <mergeCell ref="K25:L25"/>
    <mergeCell ref="K22:L22"/>
    <mergeCell ref="D23:F23"/>
    <mergeCell ref="K24:L24"/>
    <mergeCell ref="K23:L23"/>
    <mergeCell ref="D24:F24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outlinePr summaryBelow="0" summaryRight="0"/>
  </sheetPr>
  <dimension ref="A1:N15"/>
  <sheetViews>
    <sheetView zoomScale="115" zoomScaleNormal="115" zoomScaleSheetLayoutView="115" workbookViewId="0">
      <selection activeCell="N13" sqref="N13"/>
    </sheetView>
  </sheetViews>
  <sheetFormatPr defaultColWidth="12.5703125" defaultRowHeight="15.75" customHeight="1"/>
  <cols>
    <col min="1" max="1" width="7.5703125" style="183" customWidth="1"/>
    <col min="2" max="2" width="14.85546875" style="183" customWidth="1"/>
    <col min="3" max="3" width="12.85546875" style="183" customWidth="1"/>
    <col min="4" max="4" width="2.5703125" style="183" customWidth="1"/>
    <col min="5" max="5" width="7.5703125" style="183" customWidth="1"/>
    <col min="6" max="6" width="12.85546875" style="183" customWidth="1"/>
    <col min="7" max="7" width="9.42578125" style="183" customWidth="1"/>
    <col min="8" max="8" width="12.85546875" style="183" customWidth="1"/>
    <col min="9" max="9" width="9.42578125" style="183" customWidth="1"/>
    <col min="10" max="10" width="12.85546875" style="183" customWidth="1"/>
    <col min="11" max="11" width="9.42578125" style="183" customWidth="1"/>
    <col min="12" max="12" width="12.85546875" style="183" customWidth="1"/>
    <col min="13" max="13" width="9.42578125" style="183" customWidth="1"/>
    <col min="14" max="16384" width="12.5703125" style="183"/>
  </cols>
  <sheetData>
    <row r="1" spans="1:14" ht="15.75" customHeight="1">
      <c r="A1" s="755" t="s">
        <v>236</v>
      </c>
      <c r="B1" s="755"/>
      <c r="C1" s="755"/>
      <c r="D1" s="755"/>
      <c r="E1" s="755"/>
      <c r="F1" s="755"/>
      <c r="G1" s="755"/>
      <c r="H1" s="755"/>
      <c r="I1" s="755"/>
      <c r="J1" s="755"/>
      <c r="K1" s="755"/>
      <c r="L1" s="755"/>
      <c r="M1" s="755"/>
    </row>
    <row r="2" spans="1:14" s="184" customFormat="1" ht="15.75" customHeight="1">
      <c r="A2" s="755"/>
      <c r="B2" s="755"/>
      <c r="C2" s="755"/>
      <c r="D2" s="755"/>
      <c r="E2" s="755"/>
      <c r="F2" s="755"/>
      <c r="G2" s="755"/>
      <c r="H2" s="755"/>
      <c r="I2" s="755"/>
      <c r="J2" s="755"/>
      <c r="K2" s="755"/>
      <c r="L2" s="755"/>
      <c r="M2" s="755"/>
    </row>
    <row r="3" spans="1:14" ht="15.75" customHeight="1">
      <c r="A3" s="756" t="s">
        <v>237</v>
      </c>
      <c r="B3" s="756"/>
      <c r="C3" s="756"/>
      <c r="D3" s="756"/>
      <c r="E3" s="756"/>
      <c r="F3" s="756"/>
      <c r="G3" s="756"/>
      <c r="H3" s="756"/>
      <c r="I3" s="756"/>
      <c r="J3" s="756"/>
      <c r="K3" s="756"/>
      <c r="L3" s="756"/>
      <c r="M3" s="756"/>
      <c r="N3" s="185"/>
    </row>
    <row r="4" spans="1:14" s="184" customFormat="1" ht="15.75" customHeight="1">
      <c r="A4" s="756"/>
      <c r="B4" s="756"/>
      <c r="C4" s="756"/>
      <c r="D4" s="756"/>
      <c r="E4" s="756"/>
      <c r="F4" s="756"/>
      <c r="G4" s="756"/>
      <c r="H4" s="756"/>
      <c r="I4" s="756"/>
      <c r="J4" s="756"/>
      <c r="K4" s="756"/>
      <c r="L4" s="756"/>
      <c r="M4" s="756"/>
      <c r="N4" s="186"/>
    </row>
    <row r="5" spans="1:14" ht="15.75" customHeight="1">
      <c r="A5" s="187" t="s">
        <v>238</v>
      </c>
      <c r="B5" s="188">
        <v>212376150</v>
      </c>
    </row>
    <row r="6" spans="1:14" ht="15.75" customHeight="1">
      <c r="A6" s="757" t="s">
        <v>239</v>
      </c>
      <c r="B6" s="758" t="s">
        <v>10</v>
      </c>
      <c r="C6" s="758"/>
      <c r="D6" s="759"/>
      <c r="E6" s="757" t="s">
        <v>239</v>
      </c>
      <c r="F6" s="761">
        <v>1</v>
      </c>
      <c r="G6" s="761"/>
      <c r="H6" s="761">
        <v>2</v>
      </c>
      <c r="I6" s="761"/>
      <c r="J6" s="761">
        <v>3</v>
      </c>
      <c r="K6" s="761"/>
      <c r="L6" s="761">
        <v>4</v>
      </c>
      <c r="M6" s="761"/>
    </row>
    <row r="7" spans="1:14" ht="31.35" customHeight="1">
      <c r="A7" s="757"/>
      <c r="B7" s="758"/>
      <c r="C7" s="758"/>
      <c r="D7" s="760"/>
      <c r="E7" s="757"/>
      <c r="F7" s="763" t="s">
        <v>250</v>
      </c>
      <c r="G7" s="763"/>
      <c r="H7" s="763" t="s">
        <v>240</v>
      </c>
      <c r="I7" s="763"/>
      <c r="J7" s="763" t="s">
        <v>241</v>
      </c>
      <c r="K7" s="763"/>
      <c r="L7" s="763" t="s">
        <v>242</v>
      </c>
      <c r="M7" s="763"/>
    </row>
    <row r="8" spans="1:14" ht="15.75" customHeight="1">
      <c r="A8" s="757"/>
      <c r="B8" s="216" t="s">
        <v>11</v>
      </c>
      <c r="C8" s="216" t="s">
        <v>243</v>
      </c>
      <c r="D8" s="760"/>
      <c r="E8" s="757"/>
      <c r="F8" s="216" t="s">
        <v>11</v>
      </c>
      <c r="G8" s="216" t="s">
        <v>243</v>
      </c>
      <c r="H8" s="216" t="s">
        <v>11</v>
      </c>
      <c r="I8" s="216" t="s">
        <v>243</v>
      </c>
      <c r="J8" s="216" t="s">
        <v>11</v>
      </c>
      <c r="K8" s="216" t="s">
        <v>243</v>
      </c>
      <c r="L8" s="216" t="s">
        <v>11</v>
      </c>
      <c r="M8" s="216" t="s">
        <v>243</v>
      </c>
    </row>
    <row r="9" spans="1:14" s="194" customFormat="1" ht="19.350000000000001" customHeight="1">
      <c r="A9" s="189" t="s">
        <v>244</v>
      </c>
      <c r="B9" s="190">
        <v>47927.00699999994</v>
      </c>
      <c r="C9" s="191">
        <f>B9/$B$5</f>
        <v>2.256703824793883E-4</v>
      </c>
      <c r="D9" s="760"/>
      <c r="E9" s="189" t="s">
        <v>244</v>
      </c>
      <c r="F9" s="192">
        <v>1423.9050000000002</v>
      </c>
      <c r="G9" s="193">
        <f>IFERROR(F9/$B$9,"")</f>
        <v>2.9709866923256903E-2</v>
      </c>
      <c r="H9" s="192">
        <v>5535.9419999999991</v>
      </c>
      <c r="I9" s="193">
        <f>IFERROR(H9/$B$9,"")</f>
        <v>0.11550777623146812</v>
      </c>
      <c r="J9" s="192">
        <v>6691.5360000000019</v>
      </c>
      <c r="K9" s="193">
        <f>IFERROR(J9/$B$9,"")</f>
        <v>0.13961931735065389</v>
      </c>
      <c r="L9" s="192">
        <v>17258.763000000006</v>
      </c>
      <c r="M9" s="193">
        <f>IFERROR(L9/$B$9,"")</f>
        <v>0.36010516993059943</v>
      </c>
    </row>
    <row r="10" spans="1:14" s="194" customFormat="1" ht="19.350000000000001" customHeight="1">
      <c r="A10" s="195" t="s">
        <v>245</v>
      </c>
      <c r="B10" s="196">
        <v>69974.579191980054</v>
      </c>
      <c r="C10" s="191">
        <f>B10/$B$5</f>
        <v>3.2948416849999424E-4</v>
      </c>
      <c r="D10" s="760"/>
      <c r="E10" s="195" t="s">
        <v>245</v>
      </c>
      <c r="F10" s="192">
        <v>1179.8078200000007</v>
      </c>
      <c r="G10" s="193">
        <f>IFERROR(F10/$B$10,"")</f>
        <v>1.6860520400746062E-2</v>
      </c>
      <c r="H10" s="192">
        <v>3563.9139100000007</v>
      </c>
      <c r="I10" s="193">
        <f>IFERROR(H10/$B$10,"")</f>
        <v>5.0931551874319365E-2</v>
      </c>
      <c r="J10" s="192">
        <v>3130.998689999999</v>
      </c>
      <c r="K10" s="193">
        <f>IFERROR(J10/$B$10,"")</f>
        <v>4.4744801986016804E-2</v>
      </c>
      <c r="L10" s="192">
        <v>14381.948886699534</v>
      </c>
      <c r="M10" s="193">
        <f>IFERROR(L10/$B$10,"")</f>
        <v>0.20553105217312806</v>
      </c>
    </row>
    <row r="11" spans="1:14" ht="15.75" customHeight="1">
      <c r="D11" s="760"/>
      <c r="E11" s="757" t="s">
        <v>239</v>
      </c>
      <c r="F11" s="761">
        <v>5</v>
      </c>
      <c r="G11" s="761"/>
      <c r="H11" s="761">
        <v>6</v>
      </c>
      <c r="I11" s="761"/>
      <c r="J11" s="761">
        <v>7</v>
      </c>
      <c r="K11" s="761"/>
      <c r="L11" s="762">
        <v>8</v>
      </c>
      <c r="M11" s="762"/>
    </row>
    <row r="12" spans="1:14" ht="31.35" customHeight="1">
      <c r="D12" s="760"/>
      <c r="E12" s="757"/>
      <c r="F12" s="763" t="s">
        <v>246</v>
      </c>
      <c r="G12" s="763"/>
      <c r="H12" s="763" t="s">
        <v>247</v>
      </c>
      <c r="I12" s="763"/>
      <c r="J12" s="763" t="s">
        <v>248</v>
      </c>
      <c r="K12" s="763"/>
      <c r="L12" s="764" t="s">
        <v>249</v>
      </c>
      <c r="M12" s="764"/>
    </row>
    <row r="13" spans="1:14" ht="15.75" customHeight="1">
      <c r="D13" s="760"/>
      <c r="E13" s="757"/>
      <c r="F13" s="216" t="s">
        <v>11</v>
      </c>
      <c r="G13" s="216" t="s">
        <v>243</v>
      </c>
      <c r="H13" s="216" t="s">
        <v>11</v>
      </c>
      <c r="I13" s="216" t="s">
        <v>243</v>
      </c>
      <c r="J13" s="216" t="s">
        <v>11</v>
      </c>
      <c r="K13" s="216" t="s">
        <v>243</v>
      </c>
      <c r="L13" s="216" t="s">
        <v>11</v>
      </c>
      <c r="M13" s="216" t="s">
        <v>243</v>
      </c>
    </row>
    <row r="14" spans="1:14" s="194" customFormat="1" ht="19.350000000000001" customHeight="1">
      <c r="D14" s="760"/>
      <c r="E14" s="189" t="s">
        <v>244</v>
      </c>
      <c r="F14" s="192">
        <v>12460.915000000001</v>
      </c>
      <c r="G14" s="193">
        <f>IFERROR(F14/$B$9,"")</f>
        <v>0.25999777119401629</v>
      </c>
      <c r="H14" s="192">
        <v>1494.27</v>
      </c>
      <c r="I14" s="193">
        <f>IFERROR(H14/$B$9,"")</f>
        <v>3.1178037051218365E-2</v>
      </c>
      <c r="J14" s="192">
        <v>3061.675999999999</v>
      </c>
      <c r="K14" s="193">
        <f>IFERROR(J14/$B$9,"")</f>
        <v>6.3882061318788444E-2</v>
      </c>
      <c r="L14" s="192">
        <v>0</v>
      </c>
      <c r="M14" s="193">
        <f>IFERROR(L14/$B$9,"")</f>
        <v>0</v>
      </c>
    </row>
    <row r="15" spans="1:14" s="194" customFormat="1" ht="19.350000000000001" customHeight="1">
      <c r="D15" s="760"/>
      <c r="E15" s="195" t="s">
        <v>245</v>
      </c>
      <c r="F15" s="192">
        <v>30846.731825280494</v>
      </c>
      <c r="G15" s="193">
        <f>IFERROR(F15/$B$10,"")</f>
        <v>0.44082768601795191</v>
      </c>
      <c r="H15" s="192">
        <v>12704.309300000044</v>
      </c>
      <c r="I15" s="193">
        <f>IFERROR(H15/$B$10,"")</f>
        <v>0.18155606574131589</v>
      </c>
      <c r="J15" s="192">
        <v>3994.7131600000112</v>
      </c>
      <c r="K15" s="193">
        <f>IFERROR(J15/$B$10,"")</f>
        <v>5.7088062638293857E-2</v>
      </c>
      <c r="L15" s="192">
        <v>0</v>
      </c>
      <c r="M15" s="193">
        <f>IFERROR(L15/$B$10,"")</f>
        <v>0</v>
      </c>
    </row>
  </sheetData>
  <mergeCells count="23">
    <mergeCell ref="H12:I12"/>
    <mergeCell ref="J12:K12"/>
    <mergeCell ref="L12:M12"/>
    <mergeCell ref="F7:G7"/>
    <mergeCell ref="H7:I7"/>
    <mergeCell ref="J7:K7"/>
    <mergeCell ref="L7:M7"/>
    <mergeCell ref="A1:M2"/>
    <mergeCell ref="A3:M4"/>
    <mergeCell ref="A6:A8"/>
    <mergeCell ref="B6:C7"/>
    <mergeCell ref="D6:D15"/>
    <mergeCell ref="E6:E8"/>
    <mergeCell ref="F6:G6"/>
    <mergeCell ref="H6:I6"/>
    <mergeCell ref="J6:K6"/>
    <mergeCell ref="L6:M6"/>
    <mergeCell ref="E11:E13"/>
    <mergeCell ref="F11:G11"/>
    <mergeCell ref="H11:I11"/>
    <mergeCell ref="J11:K11"/>
    <mergeCell ref="L11:M11"/>
    <mergeCell ref="F12:G12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M15"/>
  <sheetViews>
    <sheetView zoomScale="110" zoomScaleNormal="110" zoomScaleSheetLayoutView="115" workbookViewId="0">
      <selection activeCell="J14" sqref="J14:J15"/>
    </sheetView>
  </sheetViews>
  <sheetFormatPr defaultColWidth="12.5703125" defaultRowHeight="15.75" customHeight="1"/>
  <cols>
    <col min="1" max="1" width="7.5703125" style="183" customWidth="1"/>
    <col min="2" max="2" width="14.85546875" style="183" customWidth="1"/>
    <col min="3" max="3" width="12.85546875" style="183" customWidth="1"/>
    <col min="4" max="4" width="2.5703125" style="183" customWidth="1"/>
    <col min="5" max="5" width="7.5703125" style="183" customWidth="1"/>
    <col min="6" max="6" width="12.85546875" style="183" customWidth="1"/>
    <col min="7" max="7" width="9.42578125" style="183" customWidth="1"/>
    <col min="8" max="8" width="12.85546875" style="183" customWidth="1"/>
    <col min="9" max="9" width="9.42578125" style="183" customWidth="1"/>
    <col min="10" max="10" width="12.85546875" style="183" customWidth="1"/>
    <col min="11" max="11" width="9.42578125" style="183" customWidth="1"/>
    <col min="12" max="12" width="12.85546875" style="183" customWidth="1"/>
    <col min="13" max="13" width="9.42578125" style="183" customWidth="1"/>
    <col min="14" max="16384" width="12.5703125" style="183"/>
  </cols>
  <sheetData>
    <row r="1" spans="1:13" ht="15.75" customHeight="1">
      <c r="A1" s="755" t="s">
        <v>236</v>
      </c>
      <c r="B1" s="755"/>
      <c r="C1" s="755"/>
      <c r="D1" s="755"/>
      <c r="E1" s="755"/>
      <c r="F1" s="755"/>
      <c r="G1" s="755"/>
      <c r="H1" s="755"/>
      <c r="I1" s="755"/>
      <c r="J1" s="755"/>
      <c r="K1" s="755"/>
      <c r="L1" s="755"/>
      <c r="M1" s="755"/>
    </row>
    <row r="2" spans="1:13" s="184" customFormat="1" ht="15.75" customHeight="1" thickBot="1">
      <c r="A2" s="755"/>
      <c r="B2" s="755"/>
      <c r="C2" s="755"/>
      <c r="D2" s="755"/>
      <c r="E2" s="755"/>
      <c r="F2" s="755"/>
      <c r="G2" s="755"/>
      <c r="H2" s="755"/>
      <c r="I2" s="755"/>
      <c r="J2" s="755"/>
      <c r="K2" s="755"/>
      <c r="L2" s="755"/>
      <c r="M2" s="755"/>
    </row>
    <row r="3" spans="1:13" ht="15.75" customHeight="1">
      <c r="A3" s="773" t="s">
        <v>852</v>
      </c>
      <c r="B3" s="774"/>
      <c r="C3" s="774"/>
      <c r="D3" s="774"/>
      <c r="E3" s="774"/>
      <c r="F3" s="774"/>
      <c r="G3" s="774"/>
      <c r="H3" s="774"/>
      <c r="I3" s="774"/>
      <c r="J3" s="774"/>
      <c r="K3" s="774"/>
      <c r="L3" s="774"/>
      <c r="M3" s="775"/>
    </row>
    <row r="4" spans="1:13" ht="15.75" customHeight="1">
      <c r="A4" s="776"/>
      <c r="B4" s="756"/>
      <c r="C4" s="756"/>
      <c r="D4" s="756"/>
      <c r="E4" s="756"/>
      <c r="F4" s="756"/>
      <c r="G4" s="756"/>
      <c r="H4" s="756"/>
      <c r="I4" s="756"/>
      <c r="J4" s="756"/>
      <c r="K4" s="756"/>
      <c r="L4" s="756"/>
      <c r="M4" s="777"/>
    </row>
    <row r="5" spans="1:13" ht="15.75" customHeight="1">
      <c r="A5" s="264" t="s">
        <v>238</v>
      </c>
      <c r="B5" s="343">
        <v>62548992</v>
      </c>
      <c r="C5" s="185"/>
      <c r="D5" s="185"/>
      <c r="E5" s="185"/>
      <c r="F5" s="185"/>
      <c r="G5" s="185"/>
      <c r="H5" s="185"/>
      <c r="I5" s="185"/>
      <c r="J5" s="185"/>
      <c r="K5" s="185"/>
      <c r="L5" s="185"/>
      <c r="M5" s="265"/>
    </row>
    <row r="6" spans="1:13" ht="15.75" customHeight="1">
      <c r="A6" s="778" t="s">
        <v>197</v>
      </c>
      <c r="B6" s="758" t="s">
        <v>10</v>
      </c>
      <c r="C6" s="758"/>
      <c r="D6" s="759"/>
      <c r="E6" s="757" t="s">
        <v>197</v>
      </c>
      <c r="F6" s="761">
        <v>1</v>
      </c>
      <c r="G6" s="761"/>
      <c r="H6" s="761">
        <v>2</v>
      </c>
      <c r="I6" s="761"/>
      <c r="J6" s="761">
        <v>3</v>
      </c>
      <c r="K6" s="761"/>
      <c r="L6" s="761">
        <v>4</v>
      </c>
      <c r="M6" s="780"/>
    </row>
    <row r="7" spans="1:13" ht="15.75" customHeight="1">
      <c r="A7" s="778"/>
      <c r="B7" s="758"/>
      <c r="C7" s="758"/>
      <c r="D7" s="760"/>
      <c r="E7" s="757"/>
      <c r="F7" s="763" t="s">
        <v>250</v>
      </c>
      <c r="G7" s="763"/>
      <c r="H7" s="763" t="s">
        <v>240</v>
      </c>
      <c r="I7" s="763"/>
      <c r="J7" s="763" t="s">
        <v>164</v>
      </c>
      <c r="K7" s="763"/>
      <c r="L7" s="763" t="s">
        <v>580</v>
      </c>
      <c r="M7" s="781"/>
    </row>
    <row r="8" spans="1:13" ht="15.75" customHeight="1">
      <c r="A8" s="778"/>
      <c r="B8" s="519" t="s">
        <v>11</v>
      </c>
      <c r="C8" s="519" t="s">
        <v>41</v>
      </c>
      <c r="D8" s="760"/>
      <c r="E8" s="757"/>
      <c r="F8" s="519" t="s">
        <v>11</v>
      </c>
      <c r="G8" s="519" t="s">
        <v>41</v>
      </c>
      <c r="H8" s="519" t="s">
        <v>11</v>
      </c>
      <c r="I8" s="519" t="s">
        <v>41</v>
      </c>
      <c r="J8" s="519" t="s">
        <v>11</v>
      </c>
      <c r="K8" s="519" t="s">
        <v>41</v>
      </c>
      <c r="L8" s="519" t="s">
        <v>11</v>
      </c>
      <c r="M8" s="266" t="s">
        <v>41</v>
      </c>
    </row>
    <row r="9" spans="1:13" ht="15.75" customHeight="1">
      <c r="A9" s="267" t="s">
        <v>244</v>
      </c>
      <c r="B9" s="268">
        <v>151598.76200000002</v>
      </c>
      <c r="C9" s="191">
        <f>B9/B5</f>
        <v>2.4236803368469953E-3</v>
      </c>
      <c r="D9" s="760"/>
      <c r="E9" s="189" t="s">
        <v>244</v>
      </c>
      <c r="F9" s="269">
        <v>0</v>
      </c>
      <c r="G9" s="193">
        <f>IFERROR(F9/B9,"")</f>
        <v>0</v>
      </c>
      <c r="H9" s="269">
        <v>2608.2929999999997</v>
      </c>
      <c r="I9" s="193">
        <f>IFERROR(H9/B9,"")</f>
        <v>1.7205239446480437E-2</v>
      </c>
      <c r="J9" s="269">
        <v>919.04</v>
      </c>
      <c r="K9" s="193">
        <f>IFERROR(J9/B9,"")</f>
        <v>6.0623186355571942E-3</v>
      </c>
      <c r="L9" s="269">
        <v>8411.0619999999999</v>
      </c>
      <c r="M9" s="270">
        <f>IFERROR(L9/B9,"")</f>
        <v>5.5482392395790135E-2</v>
      </c>
    </row>
    <row r="10" spans="1:13" ht="15.75" customHeight="1">
      <c r="A10" s="271" t="s">
        <v>245</v>
      </c>
      <c r="B10" s="272">
        <v>113114.05009227054</v>
      </c>
      <c r="C10" s="191">
        <f>B10/B5</f>
        <v>1.8084072416749825E-3</v>
      </c>
      <c r="D10" s="760"/>
      <c r="E10" s="195" t="s">
        <v>245</v>
      </c>
      <c r="F10" s="269">
        <v>0</v>
      </c>
      <c r="G10" s="193">
        <f>IFERROR(F10/B10,"")</f>
        <v>0</v>
      </c>
      <c r="H10" s="269">
        <v>0</v>
      </c>
      <c r="I10" s="193">
        <f>IFERROR(H10/B10,"")</f>
        <v>0</v>
      </c>
      <c r="J10" s="269">
        <v>0</v>
      </c>
      <c r="K10" s="193">
        <f>IFERROR(J10/B10,"")</f>
        <v>0</v>
      </c>
      <c r="L10" s="269">
        <v>17085.417629999938</v>
      </c>
      <c r="M10" s="270">
        <f>IFERROR(L10/B10,"")</f>
        <v>0.15104593652214598</v>
      </c>
    </row>
    <row r="11" spans="1:13" ht="15.75" customHeight="1">
      <c r="A11" s="273"/>
      <c r="B11" s="185"/>
      <c r="C11" s="185"/>
      <c r="D11" s="760"/>
      <c r="E11" s="757" t="s">
        <v>197</v>
      </c>
      <c r="F11" s="765">
        <v>5</v>
      </c>
      <c r="G11" s="766"/>
      <c r="H11" s="765">
        <v>6</v>
      </c>
      <c r="I11" s="766"/>
      <c r="J11" s="765">
        <v>7</v>
      </c>
      <c r="K11" s="766"/>
      <c r="L11" s="767">
        <v>8</v>
      </c>
      <c r="M11" s="768"/>
    </row>
    <row r="12" spans="1:13" ht="15.75" customHeight="1">
      <c r="A12" s="273"/>
      <c r="B12" s="185"/>
      <c r="C12" s="185"/>
      <c r="D12" s="760"/>
      <c r="E12" s="757"/>
      <c r="F12" s="769" t="s">
        <v>188</v>
      </c>
      <c r="G12" s="770"/>
      <c r="H12" s="769" t="s">
        <v>165</v>
      </c>
      <c r="I12" s="770"/>
      <c r="J12" s="769" t="s">
        <v>189</v>
      </c>
      <c r="K12" s="770"/>
      <c r="L12" s="771" t="s">
        <v>249</v>
      </c>
      <c r="M12" s="772"/>
    </row>
    <row r="13" spans="1:13" ht="15.75" customHeight="1">
      <c r="A13" s="273"/>
      <c r="B13" s="185"/>
      <c r="C13" s="185"/>
      <c r="D13" s="760"/>
      <c r="E13" s="757"/>
      <c r="F13" s="519" t="s">
        <v>11</v>
      </c>
      <c r="G13" s="519" t="s">
        <v>41</v>
      </c>
      <c r="H13" s="519" t="s">
        <v>11</v>
      </c>
      <c r="I13" s="519" t="s">
        <v>41</v>
      </c>
      <c r="J13" s="519" t="s">
        <v>11</v>
      </c>
      <c r="K13" s="519" t="s">
        <v>41</v>
      </c>
      <c r="L13" s="519" t="s">
        <v>11</v>
      </c>
      <c r="M13" s="266" t="s">
        <v>41</v>
      </c>
    </row>
    <row r="14" spans="1:13" ht="15.75" customHeight="1">
      <c r="A14" s="274"/>
      <c r="B14" s="275"/>
      <c r="C14" s="275"/>
      <c r="D14" s="760"/>
      <c r="E14" s="189" t="s">
        <v>244</v>
      </c>
      <c r="F14" s="269">
        <v>2856.5720000000001</v>
      </c>
      <c r="G14" s="193">
        <f>IFERROR(F14/B9,"")</f>
        <v>1.8842977095024034E-2</v>
      </c>
      <c r="H14" s="269">
        <v>1811.9279999999999</v>
      </c>
      <c r="I14" s="193">
        <f>IFERROR(H14/B9,"")</f>
        <v>1.1952129266068806E-2</v>
      </c>
      <c r="J14" s="269">
        <v>1731.058</v>
      </c>
      <c r="K14" s="193">
        <f>IFERROR(J14/B9,"")</f>
        <v>1.1418681638046621E-2</v>
      </c>
      <c r="L14" s="269">
        <v>0</v>
      </c>
      <c r="M14" s="270">
        <f>IFERROR(L14/B9,"")</f>
        <v>0</v>
      </c>
    </row>
    <row r="15" spans="1:13" ht="15.75" customHeight="1" thickBot="1">
      <c r="A15" s="276"/>
      <c r="B15" s="277"/>
      <c r="C15" s="277"/>
      <c r="D15" s="779"/>
      <c r="E15" s="278" t="s">
        <v>245</v>
      </c>
      <c r="F15" s="279">
        <v>8434.2031899999711</v>
      </c>
      <c r="G15" s="280">
        <f>IFERROR(F15/B10,"")</f>
        <v>7.4563709664006703E-2</v>
      </c>
      <c r="H15" s="279">
        <v>3329.866880000005</v>
      </c>
      <c r="I15" s="280">
        <f>IFERROR(H15/B10,"")</f>
        <v>2.9438136794533769E-2</v>
      </c>
      <c r="J15" s="279">
        <v>4781.8377599999458</v>
      </c>
      <c r="K15" s="280">
        <f>IFERROR(J15/B10,"")</f>
        <v>4.227448098710334E-2</v>
      </c>
      <c r="L15" s="279">
        <v>0</v>
      </c>
      <c r="M15" s="281">
        <f>IFERROR(L15/B10,"")</f>
        <v>0</v>
      </c>
    </row>
  </sheetData>
  <mergeCells count="23">
    <mergeCell ref="A1:M2"/>
    <mergeCell ref="A3:M4"/>
    <mergeCell ref="A6:A8"/>
    <mergeCell ref="B6:C7"/>
    <mergeCell ref="D6:D15"/>
    <mergeCell ref="E6:E8"/>
    <mergeCell ref="F6:G6"/>
    <mergeCell ref="H6:I6"/>
    <mergeCell ref="J6:K6"/>
    <mergeCell ref="L6:M6"/>
    <mergeCell ref="F7:G7"/>
    <mergeCell ref="H7:I7"/>
    <mergeCell ref="J7:K7"/>
    <mergeCell ref="L7:M7"/>
    <mergeCell ref="E11:E13"/>
    <mergeCell ref="F11:G11"/>
    <mergeCell ref="H11:I11"/>
    <mergeCell ref="J11:K11"/>
    <mergeCell ref="L11:M11"/>
    <mergeCell ref="F12:G12"/>
    <mergeCell ref="H12:I12"/>
    <mergeCell ref="J12:K12"/>
    <mergeCell ref="L12:M12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Q31"/>
  <sheetViews>
    <sheetView view="pageBreakPreview" zoomScale="115" zoomScaleNormal="60" zoomScaleSheetLayoutView="115" workbookViewId="0">
      <selection activeCell="T17" sqref="T17"/>
    </sheetView>
  </sheetViews>
  <sheetFormatPr defaultColWidth="12.5703125" defaultRowHeight="15.75" customHeight="1"/>
  <cols>
    <col min="1" max="1" width="5.42578125" style="120" customWidth="1"/>
    <col min="2" max="2" width="11.42578125" style="175" customWidth="1"/>
    <col min="3" max="3" width="4" style="161" customWidth="1"/>
    <col min="4" max="17" width="9.5703125" style="120" customWidth="1"/>
    <col min="18" max="16384" width="12.5703125" style="120"/>
  </cols>
  <sheetData>
    <row r="1" spans="1:17" ht="15.75" customHeight="1">
      <c r="A1" s="571" t="s">
        <v>204</v>
      </c>
      <c r="B1" s="571"/>
      <c r="C1" s="571"/>
      <c r="D1" s="571"/>
      <c r="E1" s="571"/>
      <c r="F1" s="571"/>
      <c r="G1" s="571"/>
      <c r="H1" s="571"/>
      <c r="I1" s="571"/>
      <c r="J1" s="571"/>
      <c r="K1" s="571"/>
      <c r="L1" s="571"/>
      <c r="M1" s="571"/>
      <c r="N1" s="571"/>
      <c r="O1" s="571"/>
      <c r="P1" s="571"/>
      <c r="Q1" s="571"/>
    </row>
    <row r="2" spans="1:17" s="121" customFormat="1" ht="15.75" customHeight="1">
      <c r="A2" s="571"/>
      <c r="B2" s="571"/>
      <c r="C2" s="571"/>
      <c r="D2" s="571"/>
      <c r="E2" s="571"/>
      <c r="F2" s="571"/>
      <c r="G2" s="571"/>
      <c r="H2" s="571"/>
      <c r="I2" s="571"/>
      <c r="J2" s="571"/>
      <c r="K2" s="571"/>
      <c r="L2" s="571"/>
      <c r="M2" s="571"/>
      <c r="N2" s="571"/>
      <c r="O2" s="571"/>
      <c r="P2" s="571"/>
      <c r="Q2" s="571"/>
    </row>
    <row r="3" spans="1:17" ht="15.75" customHeight="1">
      <c r="A3" s="698" t="s">
        <v>210</v>
      </c>
      <c r="B3" s="699"/>
      <c r="C3" s="699"/>
      <c r="D3" s="699"/>
      <c r="E3" s="699"/>
      <c r="F3" s="699"/>
      <c r="G3" s="699"/>
      <c r="H3" s="699"/>
      <c r="I3" s="699"/>
      <c r="J3" s="699"/>
      <c r="K3" s="699"/>
      <c r="L3" s="699"/>
      <c r="M3" s="699"/>
      <c r="N3" s="152"/>
    </row>
    <row r="4" spans="1:17" s="121" customFormat="1" ht="15.75" customHeight="1">
      <c r="A4" s="699"/>
      <c r="B4" s="699"/>
      <c r="C4" s="699"/>
      <c r="D4" s="699"/>
      <c r="E4" s="699"/>
      <c r="F4" s="699"/>
      <c r="G4" s="699"/>
      <c r="H4" s="699"/>
      <c r="I4" s="699"/>
      <c r="J4" s="699"/>
      <c r="K4" s="699"/>
      <c r="L4" s="699"/>
      <c r="M4" s="699"/>
      <c r="N4" s="131"/>
    </row>
    <row r="5" spans="1:17" ht="15.75" customHeight="1">
      <c r="A5" s="588" t="s">
        <v>190</v>
      </c>
      <c r="B5" s="786">
        <v>1</v>
      </c>
      <c r="C5" s="786"/>
      <c r="D5" s="786">
        <v>2</v>
      </c>
      <c r="E5" s="786"/>
      <c r="F5" s="786">
        <v>3</v>
      </c>
      <c r="G5" s="786"/>
      <c r="H5" s="784">
        <v>4</v>
      </c>
      <c r="I5" s="784"/>
      <c r="J5" s="784">
        <v>5</v>
      </c>
      <c r="K5" s="784"/>
      <c r="L5" s="784">
        <v>6</v>
      </c>
      <c r="M5" s="784"/>
      <c r="N5" s="784">
        <v>7</v>
      </c>
      <c r="O5" s="784"/>
      <c r="P5" s="784">
        <v>8</v>
      </c>
      <c r="Q5" s="784"/>
    </row>
    <row r="6" spans="1:17" ht="15.75" customHeight="1">
      <c r="A6" s="588"/>
      <c r="B6" s="787" t="s">
        <v>321</v>
      </c>
      <c r="C6" s="787"/>
      <c r="D6" s="787" t="s">
        <v>211</v>
      </c>
      <c r="E6" s="787"/>
      <c r="F6" s="787" t="s">
        <v>164</v>
      </c>
      <c r="G6" s="787"/>
      <c r="H6" s="588" t="s">
        <v>580</v>
      </c>
      <c r="I6" s="588"/>
      <c r="J6" s="588" t="s">
        <v>188</v>
      </c>
      <c r="K6" s="588"/>
      <c r="L6" s="588" t="s">
        <v>165</v>
      </c>
      <c r="M6" s="588"/>
      <c r="N6" s="588" t="s">
        <v>189</v>
      </c>
      <c r="O6" s="588"/>
      <c r="P6" s="785" t="s">
        <v>214</v>
      </c>
      <c r="Q6" s="588"/>
    </row>
    <row r="8" spans="1:17" s="154" customFormat="1" ht="15.75" customHeight="1">
      <c r="A8" s="800" t="s">
        <v>853</v>
      </c>
      <c r="B8" s="801"/>
      <c r="C8" s="541" t="s">
        <v>854</v>
      </c>
      <c r="D8" s="805" t="s">
        <v>12</v>
      </c>
      <c r="E8" s="806"/>
      <c r="F8" s="807"/>
      <c r="G8" s="539" t="s">
        <v>855</v>
      </c>
      <c r="H8" s="540"/>
      <c r="I8" s="541"/>
      <c r="J8" s="170" t="s">
        <v>856</v>
      </c>
      <c r="K8" s="170" t="s">
        <v>857</v>
      </c>
      <c r="L8" s="170" t="s">
        <v>858</v>
      </c>
      <c r="M8" s="170" t="s">
        <v>11</v>
      </c>
      <c r="N8" s="356" t="s">
        <v>859</v>
      </c>
      <c r="O8" s="796" t="s">
        <v>860</v>
      </c>
      <c r="P8" s="797"/>
    </row>
    <row r="9" spans="1:17" ht="15.75" customHeight="1">
      <c r="A9" s="726">
        <v>1</v>
      </c>
      <c r="B9" s="802" t="s">
        <v>861</v>
      </c>
      <c r="C9" s="171">
        <v>1</v>
      </c>
      <c r="D9" s="549">
        <v>0</v>
      </c>
      <c r="E9" s="794"/>
      <c r="F9" s="795"/>
      <c r="G9" s="549">
        <v>0</v>
      </c>
      <c r="H9" s="794"/>
      <c r="I9" s="795"/>
      <c r="J9" s="4">
        <v>0</v>
      </c>
      <c r="K9" s="14">
        <v>0</v>
      </c>
      <c r="L9" s="4">
        <v>0</v>
      </c>
      <c r="M9" s="16">
        <v>0</v>
      </c>
      <c r="N9" s="172"/>
      <c r="O9" s="782"/>
      <c r="P9" s="783"/>
    </row>
    <row r="10" spans="1:17" ht="15.75" customHeight="1">
      <c r="A10" s="727"/>
      <c r="B10" s="803"/>
      <c r="C10" s="171">
        <v>2</v>
      </c>
      <c r="D10" s="549">
        <v>0</v>
      </c>
      <c r="E10" s="794"/>
      <c r="F10" s="795"/>
      <c r="G10" s="549">
        <v>0</v>
      </c>
      <c r="H10" s="794"/>
      <c r="I10" s="795"/>
      <c r="J10" s="4">
        <v>0</v>
      </c>
      <c r="K10" s="14">
        <v>0</v>
      </c>
      <c r="L10" s="4">
        <v>0</v>
      </c>
      <c r="M10" s="16">
        <v>0</v>
      </c>
      <c r="N10" s="172"/>
      <c r="O10" s="782"/>
      <c r="P10" s="783"/>
    </row>
    <row r="11" spans="1:17" ht="15.75" customHeight="1">
      <c r="A11" s="727"/>
      <c r="B11" s="803"/>
      <c r="C11" s="171">
        <v>3</v>
      </c>
      <c r="D11" s="549">
        <v>0</v>
      </c>
      <c r="E11" s="794"/>
      <c r="F11" s="795"/>
      <c r="G11" s="549">
        <v>0</v>
      </c>
      <c r="H11" s="794"/>
      <c r="I11" s="795"/>
      <c r="J11" s="4">
        <v>0</v>
      </c>
      <c r="K11" s="14">
        <v>0</v>
      </c>
      <c r="L11" s="4">
        <v>0</v>
      </c>
      <c r="M11" s="16">
        <v>0</v>
      </c>
      <c r="N11" s="172"/>
      <c r="O11" s="782"/>
      <c r="P11" s="783"/>
    </row>
    <row r="12" spans="1:17" ht="15.75" customHeight="1">
      <c r="A12" s="727"/>
      <c r="B12" s="803"/>
      <c r="C12" s="171">
        <v>4</v>
      </c>
      <c r="D12" s="549">
        <v>0</v>
      </c>
      <c r="E12" s="794"/>
      <c r="F12" s="795"/>
      <c r="G12" s="549">
        <v>0</v>
      </c>
      <c r="H12" s="794"/>
      <c r="I12" s="795"/>
      <c r="J12" s="4">
        <v>0</v>
      </c>
      <c r="K12" s="14">
        <v>0</v>
      </c>
      <c r="L12" s="4">
        <v>0</v>
      </c>
      <c r="M12" s="16">
        <v>0</v>
      </c>
      <c r="N12" s="172"/>
      <c r="O12" s="782"/>
      <c r="P12" s="783"/>
    </row>
    <row r="13" spans="1:17" ht="15.75" customHeight="1" thickBot="1">
      <c r="A13" s="727"/>
      <c r="B13" s="803"/>
      <c r="C13" s="173">
        <v>5</v>
      </c>
      <c r="D13" s="791">
        <v>0</v>
      </c>
      <c r="E13" s="792"/>
      <c r="F13" s="793"/>
      <c r="G13" s="791">
        <v>0</v>
      </c>
      <c r="H13" s="792"/>
      <c r="I13" s="793"/>
      <c r="J13" s="4">
        <v>0</v>
      </c>
      <c r="K13" s="14">
        <v>0</v>
      </c>
      <c r="L13" s="4">
        <v>0</v>
      </c>
      <c r="M13" s="16">
        <v>0</v>
      </c>
      <c r="N13" s="174"/>
      <c r="O13" s="798"/>
      <c r="P13" s="799"/>
    </row>
    <row r="14" spans="1:17" ht="15.75" customHeight="1" thickTop="1" thickBot="1">
      <c r="A14" s="728"/>
      <c r="B14" s="804"/>
      <c r="C14" s="808"/>
      <c r="D14" s="809"/>
      <c r="E14" s="809"/>
      <c r="F14" s="809"/>
      <c r="G14" s="809"/>
      <c r="H14" s="809"/>
      <c r="I14" s="810"/>
      <c r="J14" s="354" t="s">
        <v>862</v>
      </c>
      <c r="K14" s="245">
        <v>0</v>
      </c>
      <c r="L14" s="354" t="s">
        <v>863</v>
      </c>
      <c r="M14" s="247">
        <v>0</v>
      </c>
      <c r="N14" s="788"/>
      <c r="O14" s="789"/>
      <c r="P14" s="790"/>
    </row>
    <row r="15" spans="1:17" ht="15.75" customHeight="1" thickTop="1"/>
    <row r="16" spans="1:17" ht="15.75" customHeight="1">
      <c r="A16" s="800" t="s">
        <v>853</v>
      </c>
      <c r="B16" s="801"/>
      <c r="C16" s="541" t="s">
        <v>854</v>
      </c>
      <c r="D16" s="805" t="s">
        <v>12</v>
      </c>
      <c r="E16" s="806"/>
      <c r="F16" s="807"/>
      <c r="G16" s="539" t="s">
        <v>855</v>
      </c>
      <c r="H16" s="540"/>
      <c r="I16" s="541"/>
      <c r="J16" s="170" t="s">
        <v>856</v>
      </c>
      <c r="K16" s="170" t="s">
        <v>857</v>
      </c>
      <c r="L16" s="170" t="s">
        <v>858</v>
      </c>
      <c r="M16" s="170" t="s">
        <v>11</v>
      </c>
      <c r="N16" s="356" t="s">
        <v>859</v>
      </c>
      <c r="O16" s="796" t="s">
        <v>860</v>
      </c>
      <c r="P16" s="797"/>
    </row>
    <row r="17" spans="1:16" ht="15.75" customHeight="1">
      <c r="A17" s="726">
        <v>2</v>
      </c>
      <c r="B17" s="802" t="s">
        <v>864</v>
      </c>
      <c r="C17" s="171">
        <v>1</v>
      </c>
      <c r="D17" s="549" t="s">
        <v>352</v>
      </c>
      <c r="E17" s="794"/>
      <c r="F17" s="795"/>
      <c r="G17" s="549" t="s">
        <v>865</v>
      </c>
      <c r="H17" s="794"/>
      <c r="I17" s="795"/>
      <c r="J17" s="357">
        <v>436.5</v>
      </c>
      <c r="K17" s="14">
        <v>0.18441678192715538</v>
      </c>
      <c r="L17" s="4">
        <v>0.4</v>
      </c>
      <c r="M17" s="329">
        <v>174.60000000000002</v>
      </c>
      <c r="N17" s="172"/>
      <c r="O17" s="782" t="s">
        <v>584</v>
      </c>
      <c r="P17" s="783"/>
    </row>
    <row r="18" spans="1:16" ht="15.75" customHeight="1">
      <c r="A18" s="727"/>
      <c r="B18" s="803"/>
      <c r="C18" s="171">
        <v>2</v>
      </c>
      <c r="D18" s="549" t="s">
        <v>767</v>
      </c>
      <c r="E18" s="794"/>
      <c r="F18" s="795"/>
      <c r="G18" s="549" t="s">
        <v>831</v>
      </c>
      <c r="H18" s="794"/>
      <c r="I18" s="795"/>
      <c r="J18" s="357">
        <v>192.02</v>
      </c>
      <c r="K18" s="14">
        <v>7.6760698522356549E-2</v>
      </c>
      <c r="L18" s="4">
        <v>0.8</v>
      </c>
      <c r="M18" s="329">
        <v>153.61600000000001</v>
      </c>
      <c r="N18" s="172"/>
      <c r="O18" s="782" t="s">
        <v>584</v>
      </c>
      <c r="P18" s="783"/>
    </row>
    <row r="19" spans="1:16" ht="15.75" customHeight="1">
      <c r="A19" s="727"/>
      <c r="B19" s="803"/>
      <c r="C19" s="171">
        <v>3</v>
      </c>
      <c r="D19" s="549" t="s">
        <v>742</v>
      </c>
      <c r="E19" s="794"/>
      <c r="F19" s="795"/>
      <c r="G19" s="549" t="s">
        <v>826</v>
      </c>
      <c r="H19" s="794"/>
      <c r="I19" s="795"/>
      <c r="J19" s="357">
        <v>298.2</v>
      </c>
      <c r="K19" s="14">
        <v>0.25826446280991738</v>
      </c>
      <c r="L19" s="4">
        <v>0.5</v>
      </c>
      <c r="M19" s="329">
        <v>149.1</v>
      </c>
      <c r="N19" s="172"/>
      <c r="O19" s="782" t="s">
        <v>584</v>
      </c>
      <c r="P19" s="783"/>
    </row>
    <row r="20" spans="1:16" ht="15.75" customHeight="1">
      <c r="A20" s="727"/>
      <c r="B20" s="803"/>
      <c r="C20" s="171">
        <v>4</v>
      </c>
      <c r="D20" s="549">
        <v>0</v>
      </c>
      <c r="E20" s="794"/>
      <c r="F20" s="795"/>
      <c r="G20" s="549">
        <v>0</v>
      </c>
      <c r="H20" s="794"/>
      <c r="I20" s="795"/>
      <c r="J20" s="357">
        <v>0</v>
      </c>
      <c r="K20" s="14">
        <v>0</v>
      </c>
      <c r="L20" s="4">
        <v>0</v>
      </c>
      <c r="M20" s="329">
        <v>0</v>
      </c>
      <c r="N20" s="172"/>
      <c r="O20" s="782"/>
      <c r="P20" s="783"/>
    </row>
    <row r="21" spans="1:16" ht="15.75" customHeight="1" thickBot="1">
      <c r="A21" s="727"/>
      <c r="B21" s="803"/>
      <c r="C21" s="173">
        <v>5</v>
      </c>
      <c r="D21" s="549">
        <v>0</v>
      </c>
      <c r="E21" s="794"/>
      <c r="F21" s="795"/>
      <c r="G21" s="549">
        <v>0</v>
      </c>
      <c r="H21" s="794"/>
      <c r="I21" s="795"/>
      <c r="J21" s="357">
        <v>0</v>
      </c>
      <c r="K21" s="14">
        <v>0</v>
      </c>
      <c r="L21" s="4">
        <v>0</v>
      </c>
      <c r="M21" s="329">
        <v>0</v>
      </c>
      <c r="N21" s="174"/>
      <c r="O21" s="782"/>
      <c r="P21" s="783"/>
    </row>
    <row r="22" spans="1:16" ht="15.75" customHeight="1" thickTop="1" thickBot="1">
      <c r="A22" s="728"/>
      <c r="B22" s="804"/>
      <c r="C22" s="811"/>
      <c r="D22" s="812"/>
      <c r="E22" s="812"/>
      <c r="F22" s="812"/>
      <c r="G22" s="812"/>
      <c r="H22" s="812"/>
      <c r="I22" s="813"/>
      <c r="J22" s="354" t="s">
        <v>862</v>
      </c>
      <c r="K22" s="245">
        <v>3.148548139199184E-3</v>
      </c>
      <c r="L22" s="354" t="s">
        <v>863</v>
      </c>
      <c r="M22" s="247">
        <v>477.31600000000003</v>
      </c>
      <c r="N22" s="788"/>
      <c r="O22" s="789"/>
      <c r="P22" s="790"/>
    </row>
    <row r="23" spans="1:16" ht="15.75" customHeight="1" thickTop="1"/>
    <row r="24" spans="1:16" ht="15.75" customHeight="1">
      <c r="A24" s="800" t="s">
        <v>853</v>
      </c>
      <c r="B24" s="801"/>
      <c r="C24" s="541" t="s">
        <v>854</v>
      </c>
      <c r="D24" s="805" t="s">
        <v>12</v>
      </c>
      <c r="E24" s="806"/>
      <c r="F24" s="807"/>
      <c r="G24" s="539" t="s">
        <v>855</v>
      </c>
      <c r="H24" s="540"/>
      <c r="I24" s="541"/>
      <c r="J24" s="170" t="s">
        <v>856</v>
      </c>
      <c r="K24" s="170" t="s">
        <v>857</v>
      </c>
      <c r="L24" s="170" t="s">
        <v>858</v>
      </c>
      <c r="M24" s="170" t="s">
        <v>11</v>
      </c>
      <c r="N24" s="356" t="s">
        <v>859</v>
      </c>
      <c r="O24" s="796" t="s">
        <v>860</v>
      </c>
      <c r="P24" s="797"/>
    </row>
    <row r="25" spans="1:16" ht="15.75" customHeight="1">
      <c r="A25" s="726">
        <v>3</v>
      </c>
      <c r="B25" s="802" t="s">
        <v>866</v>
      </c>
      <c r="C25" s="171">
        <v>1</v>
      </c>
      <c r="D25" s="549" t="s">
        <v>368</v>
      </c>
      <c r="E25" s="794"/>
      <c r="F25" s="795"/>
      <c r="G25" s="549" t="s">
        <v>766</v>
      </c>
      <c r="H25" s="794"/>
      <c r="I25" s="795"/>
      <c r="J25" s="357">
        <v>418.41</v>
      </c>
      <c r="K25" s="14">
        <v>3.3316674995835419E-2</v>
      </c>
      <c r="L25" s="4">
        <v>0.4</v>
      </c>
      <c r="M25" s="329">
        <v>167.36400000000003</v>
      </c>
      <c r="N25" s="172"/>
      <c r="O25" s="782" t="s">
        <v>867</v>
      </c>
      <c r="P25" s="783"/>
    </row>
    <row r="26" spans="1:16" ht="15.75" customHeight="1">
      <c r="A26" s="727"/>
      <c r="B26" s="803"/>
      <c r="C26" s="171">
        <v>2</v>
      </c>
      <c r="D26" s="549" t="s">
        <v>352</v>
      </c>
      <c r="E26" s="794"/>
      <c r="F26" s="795"/>
      <c r="G26" s="549" t="s">
        <v>743</v>
      </c>
      <c r="H26" s="794"/>
      <c r="I26" s="795"/>
      <c r="J26" s="357">
        <v>75.14</v>
      </c>
      <c r="K26" s="14">
        <v>1.8959796613090881E-2</v>
      </c>
      <c r="L26" s="4">
        <v>2.2000000000000002</v>
      </c>
      <c r="M26" s="329">
        <v>165.30800000000002</v>
      </c>
      <c r="N26" s="172"/>
      <c r="O26" s="782" t="s">
        <v>867</v>
      </c>
      <c r="P26" s="783"/>
    </row>
    <row r="27" spans="1:16" ht="15.75" customHeight="1">
      <c r="A27" s="727"/>
      <c r="B27" s="803"/>
      <c r="C27" s="171">
        <v>3</v>
      </c>
      <c r="D27" s="549" t="s">
        <v>830</v>
      </c>
      <c r="E27" s="794"/>
      <c r="F27" s="795"/>
      <c r="G27" s="549" t="s">
        <v>868</v>
      </c>
      <c r="H27" s="794"/>
      <c r="I27" s="795"/>
      <c r="J27" s="357">
        <v>143.99</v>
      </c>
      <c r="K27" s="14">
        <v>1.8062397372742203E-2</v>
      </c>
      <c r="L27" s="4">
        <v>1.1000000000000001</v>
      </c>
      <c r="M27" s="329">
        <v>158.38900000000001</v>
      </c>
      <c r="N27" s="172"/>
      <c r="O27" s="782" t="s">
        <v>867</v>
      </c>
      <c r="P27" s="783"/>
    </row>
    <row r="28" spans="1:16" ht="15.75" customHeight="1">
      <c r="A28" s="727"/>
      <c r="B28" s="803"/>
      <c r="C28" s="171">
        <v>4</v>
      </c>
      <c r="D28" s="549">
        <v>0</v>
      </c>
      <c r="E28" s="794"/>
      <c r="F28" s="795"/>
      <c r="G28" s="549">
        <v>0</v>
      </c>
      <c r="H28" s="794"/>
      <c r="I28" s="795"/>
      <c r="J28" s="357">
        <v>0</v>
      </c>
      <c r="K28" s="14">
        <v>0</v>
      </c>
      <c r="L28" s="4">
        <v>0</v>
      </c>
      <c r="M28" s="329">
        <v>0</v>
      </c>
      <c r="N28" s="172"/>
      <c r="O28" s="782"/>
      <c r="P28" s="783"/>
    </row>
    <row r="29" spans="1:16" ht="15.75" customHeight="1" thickBot="1">
      <c r="A29" s="727"/>
      <c r="B29" s="803"/>
      <c r="C29" s="173">
        <v>5</v>
      </c>
      <c r="D29" s="791">
        <v>0</v>
      </c>
      <c r="E29" s="792"/>
      <c r="F29" s="793"/>
      <c r="G29" s="791">
        <v>0</v>
      </c>
      <c r="H29" s="792"/>
      <c r="I29" s="793"/>
      <c r="J29" s="357">
        <v>0</v>
      </c>
      <c r="K29" s="14">
        <v>0</v>
      </c>
      <c r="L29" s="4">
        <v>0</v>
      </c>
      <c r="M29" s="329">
        <v>0</v>
      </c>
      <c r="N29" s="174"/>
      <c r="O29" s="782"/>
      <c r="P29" s="783"/>
    </row>
    <row r="30" spans="1:16" ht="15.75" customHeight="1" thickTop="1" thickBot="1">
      <c r="A30" s="728"/>
      <c r="B30" s="804"/>
      <c r="C30" s="808"/>
      <c r="D30" s="809"/>
      <c r="E30" s="809"/>
      <c r="F30" s="809"/>
      <c r="G30" s="809"/>
      <c r="H30" s="809"/>
      <c r="I30" s="810"/>
      <c r="J30" s="354" t="s">
        <v>862</v>
      </c>
      <c r="K30" s="245">
        <v>3.2392151065191413E-3</v>
      </c>
      <c r="L30" s="354" t="s">
        <v>863</v>
      </c>
      <c r="M30" s="247">
        <v>491.06100000000004</v>
      </c>
      <c r="N30" s="788"/>
      <c r="O30" s="789"/>
      <c r="P30" s="790"/>
    </row>
    <row r="31" spans="1:16" ht="15.75" customHeight="1" thickTop="1"/>
  </sheetData>
  <mergeCells count="85">
    <mergeCell ref="C30:I30"/>
    <mergeCell ref="N30:P30"/>
    <mergeCell ref="A25:A30"/>
    <mergeCell ref="B25:B30"/>
    <mergeCell ref="D25:F25"/>
    <mergeCell ref="G25:I25"/>
    <mergeCell ref="D26:F26"/>
    <mergeCell ref="G26:I26"/>
    <mergeCell ref="D27:F27"/>
    <mergeCell ref="G27:I27"/>
    <mergeCell ref="D28:F28"/>
    <mergeCell ref="G28:I28"/>
    <mergeCell ref="D21:F21"/>
    <mergeCell ref="G21:I21"/>
    <mergeCell ref="C22:I22"/>
    <mergeCell ref="N22:P22"/>
    <mergeCell ref="D29:F29"/>
    <mergeCell ref="G29:I29"/>
    <mergeCell ref="O25:P25"/>
    <mergeCell ref="O26:P26"/>
    <mergeCell ref="O27:P27"/>
    <mergeCell ref="O28:P28"/>
    <mergeCell ref="O29:P29"/>
    <mergeCell ref="A16:B16"/>
    <mergeCell ref="D16:F16"/>
    <mergeCell ref="A24:B24"/>
    <mergeCell ref="D24:F24"/>
    <mergeCell ref="O24:P24"/>
    <mergeCell ref="O16:P16"/>
    <mergeCell ref="A17:A22"/>
    <mergeCell ref="B17:B22"/>
    <mergeCell ref="D17:F17"/>
    <mergeCell ref="G17:I17"/>
    <mergeCell ref="D18:F18"/>
    <mergeCell ref="G18:I18"/>
    <mergeCell ref="D19:F19"/>
    <mergeCell ref="G19:I19"/>
    <mergeCell ref="D20:F20"/>
    <mergeCell ref="G20:I20"/>
    <mergeCell ref="A8:B8"/>
    <mergeCell ref="A9:A14"/>
    <mergeCell ref="B9:B14"/>
    <mergeCell ref="D8:F8"/>
    <mergeCell ref="C14:I14"/>
    <mergeCell ref="D9:F9"/>
    <mergeCell ref="D10:F10"/>
    <mergeCell ref="D11:F11"/>
    <mergeCell ref="G10:I10"/>
    <mergeCell ref="G11:I11"/>
    <mergeCell ref="G12:I12"/>
    <mergeCell ref="G13:I13"/>
    <mergeCell ref="N6:O6"/>
    <mergeCell ref="H5:I5"/>
    <mergeCell ref="H6:I6"/>
    <mergeCell ref="N14:P14"/>
    <mergeCell ref="D13:F13"/>
    <mergeCell ref="D12:F12"/>
    <mergeCell ref="O8:P8"/>
    <mergeCell ref="G9:I9"/>
    <mergeCell ref="O9:P9"/>
    <mergeCell ref="O10:P10"/>
    <mergeCell ref="O11:P11"/>
    <mergeCell ref="O12:P12"/>
    <mergeCell ref="O13:P13"/>
    <mergeCell ref="A1:Q2"/>
    <mergeCell ref="A3:M4"/>
    <mergeCell ref="P5:Q5"/>
    <mergeCell ref="P6:Q6"/>
    <mergeCell ref="A5:A6"/>
    <mergeCell ref="B5:C5"/>
    <mergeCell ref="D5:E5"/>
    <mergeCell ref="F5:G5"/>
    <mergeCell ref="F6:G6"/>
    <mergeCell ref="D6:E6"/>
    <mergeCell ref="B6:C6"/>
    <mergeCell ref="J5:K5"/>
    <mergeCell ref="L5:M5"/>
    <mergeCell ref="N5:O5"/>
    <mergeCell ref="J6:K6"/>
    <mergeCell ref="L6:M6"/>
    <mergeCell ref="O17:P17"/>
    <mergeCell ref="O18:P18"/>
    <mergeCell ref="O19:P19"/>
    <mergeCell ref="O20:P20"/>
    <mergeCell ref="O21:P21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Q39"/>
  <sheetViews>
    <sheetView view="pageBreakPreview" topLeftCell="A4" zoomScaleNormal="60" zoomScaleSheetLayoutView="100" workbookViewId="0">
      <selection activeCell="A8" sqref="A8:P38"/>
    </sheetView>
  </sheetViews>
  <sheetFormatPr defaultColWidth="12.5703125" defaultRowHeight="15.75" customHeight="1"/>
  <cols>
    <col min="1" max="1" width="5.42578125" style="76" customWidth="1"/>
    <col min="2" max="2" width="11.42578125" style="111" customWidth="1"/>
    <col min="3" max="3" width="4" style="109" customWidth="1"/>
    <col min="4" max="17" width="9.5703125" style="76" customWidth="1"/>
    <col min="18" max="16384" width="12.5703125" style="76"/>
  </cols>
  <sheetData>
    <row r="1" spans="1:17" s="120" customFormat="1" ht="15.75" customHeight="1">
      <c r="A1" s="571" t="s">
        <v>204</v>
      </c>
      <c r="B1" s="571"/>
      <c r="C1" s="571"/>
      <c r="D1" s="571"/>
      <c r="E1" s="571"/>
      <c r="F1" s="571"/>
      <c r="G1" s="571"/>
      <c r="H1" s="571"/>
      <c r="I1" s="571"/>
      <c r="J1" s="571"/>
      <c r="K1" s="571"/>
      <c r="L1" s="571"/>
      <c r="M1" s="571"/>
      <c r="N1" s="571"/>
      <c r="O1" s="571"/>
      <c r="P1" s="571"/>
      <c r="Q1" s="571"/>
    </row>
    <row r="2" spans="1:17" s="121" customFormat="1" ht="15.75" customHeight="1">
      <c r="A2" s="571"/>
      <c r="B2" s="571"/>
      <c r="C2" s="571"/>
      <c r="D2" s="571"/>
      <c r="E2" s="571"/>
      <c r="F2" s="571"/>
      <c r="G2" s="571"/>
      <c r="H2" s="571"/>
      <c r="I2" s="571"/>
      <c r="J2" s="571"/>
      <c r="K2" s="571"/>
      <c r="L2" s="571"/>
      <c r="M2" s="571"/>
      <c r="N2" s="571"/>
      <c r="O2" s="571"/>
      <c r="P2" s="571"/>
      <c r="Q2" s="571"/>
    </row>
    <row r="3" spans="1:17" s="120" customFormat="1" ht="15.75" customHeight="1">
      <c r="A3" s="698" t="s">
        <v>210</v>
      </c>
      <c r="B3" s="699"/>
      <c r="C3" s="699"/>
      <c r="D3" s="699"/>
      <c r="E3" s="699"/>
      <c r="F3" s="699"/>
      <c r="G3" s="699"/>
      <c r="H3" s="699"/>
      <c r="I3" s="699"/>
      <c r="J3" s="699"/>
      <c r="K3" s="699"/>
      <c r="L3" s="699"/>
      <c r="M3" s="699"/>
      <c r="N3" s="152"/>
    </row>
    <row r="4" spans="1:17" s="121" customFormat="1" ht="15.75" customHeight="1">
      <c r="A4" s="699"/>
      <c r="B4" s="699"/>
      <c r="C4" s="699"/>
      <c r="D4" s="699"/>
      <c r="E4" s="699"/>
      <c r="F4" s="699"/>
      <c r="G4" s="699"/>
      <c r="H4" s="699"/>
      <c r="I4" s="699"/>
      <c r="J4" s="699"/>
      <c r="K4" s="699"/>
      <c r="L4" s="699"/>
      <c r="M4" s="699"/>
      <c r="N4" s="131"/>
    </row>
    <row r="5" spans="1:17" s="120" customFormat="1" ht="15.75" customHeight="1">
      <c r="A5" s="588" t="s">
        <v>190</v>
      </c>
      <c r="B5" s="784">
        <v>1</v>
      </c>
      <c r="C5" s="784"/>
      <c r="D5" s="784">
        <v>2</v>
      </c>
      <c r="E5" s="784"/>
      <c r="F5" s="784">
        <v>3</v>
      </c>
      <c r="G5" s="784"/>
      <c r="H5" s="786">
        <v>4</v>
      </c>
      <c r="I5" s="786"/>
      <c r="J5" s="786">
        <v>5</v>
      </c>
      <c r="K5" s="786"/>
      <c r="L5" s="786">
        <v>6</v>
      </c>
      <c r="M5" s="786"/>
      <c r="N5" s="786">
        <v>7</v>
      </c>
      <c r="O5" s="786"/>
      <c r="P5" s="784">
        <v>8</v>
      </c>
      <c r="Q5" s="784"/>
    </row>
    <row r="6" spans="1:17" s="120" customFormat="1" ht="15.75" customHeight="1">
      <c r="A6" s="588"/>
      <c r="B6" s="588" t="s">
        <v>322</v>
      </c>
      <c r="C6" s="588"/>
      <c r="D6" s="588" t="s">
        <v>211</v>
      </c>
      <c r="E6" s="588"/>
      <c r="F6" s="588" t="s">
        <v>164</v>
      </c>
      <c r="G6" s="588"/>
      <c r="H6" s="787" t="s">
        <v>580</v>
      </c>
      <c r="I6" s="787"/>
      <c r="J6" s="787" t="s">
        <v>188</v>
      </c>
      <c r="K6" s="787"/>
      <c r="L6" s="787" t="s">
        <v>165</v>
      </c>
      <c r="M6" s="787"/>
      <c r="N6" s="787" t="s">
        <v>189</v>
      </c>
      <c r="O6" s="787"/>
      <c r="P6" s="785" t="s">
        <v>214</v>
      </c>
      <c r="Q6" s="588"/>
    </row>
    <row r="7" spans="1:17" s="120" customFormat="1" ht="15.75" customHeight="1">
      <c r="B7" s="175"/>
      <c r="C7" s="161"/>
    </row>
    <row r="8" spans="1:17" s="110" customFormat="1" ht="15.75" customHeight="1">
      <c r="A8" s="815" t="s">
        <v>853</v>
      </c>
      <c r="B8" s="816"/>
      <c r="C8" s="117" t="s">
        <v>854</v>
      </c>
      <c r="D8" s="817" t="s">
        <v>12</v>
      </c>
      <c r="E8" s="818"/>
      <c r="F8" s="819"/>
      <c r="G8" s="115" t="s">
        <v>855</v>
      </c>
      <c r="H8" s="116"/>
      <c r="I8" s="117"/>
      <c r="J8" s="114" t="s">
        <v>856</v>
      </c>
      <c r="K8" s="114" t="s">
        <v>857</v>
      </c>
      <c r="L8" s="114" t="s">
        <v>858</v>
      </c>
      <c r="M8" s="118" t="s">
        <v>11</v>
      </c>
      <c r="N8" s="356" t="s">
        <v>859</v>
      </c>
      <c r="O8" s="820" t="s">
        <v>860</v>
      </c>
      <c r="P8" s="821"/>
    </row>
    <row r="9" spans="1:17" ht="15.75" customHeight="1">
      <c r="A9" s="816">
        <v>4</v>
      </c>
      <c r="B9" s="822" t="s">
        <v>580</v>
      </c>
      <c r="C9" s="112">
        <v>1</v>
      </c>
      <c r="D9" s="549" t="s">
        <v>869</v>
      </c>
      <c r="E9" s="794"/>
      <c r="F9" s="795"/>
      <c r="G9" s="549" t="s">
        <v>870</v>
      </c>
      <c r="H9" s="794"/>
      <c r="I9" s="795"/>
      <c r="J9" s="357">
        <v>325.01</v>
      </c>
      <c r="K9" s="14">
        <v>3.0745580322828594E-3</v>
      </c>
      <c r="L9" s="4">
        <v>0.6</v>
      </c>
      <c r="M9" s="329">
        <v>195.006</v>
      </c>
      <c r="N9" s="4"/>
      <c r="O9" s="782" t="s">
        <v>871</v>
      </c>
      <c r="P9" s="814"/>
      <c r="Q9" s="263"/>
    </row>
    <row r="10" spans="1:17" ht="15.75" customHeight="1">
      <c r="A10" s="816"/>
      <c r="B10" s="822"/>
      <c r="C10" s="112">
        <v>2</v>
      </c>
      <c r="D10" s="549" t="s">
        <v>830</v>
      </c>
      <c r="E10" s="794"/>
      <c r="F10" s="795"/>
      <c r="G10" s="549" t="s">
        <v>829</v>
      </c>
      <c r="H10" s="794"/>
      <c r="I10" s="795"/>
      <c r="J10" s="357">
        <v>68.62</v>
      </c>
      <c r="K10" s="14">
        <v>2.5559012107669167E-3</v>
      </c>
      <c r="L10" s="4">
        <v>2.8</v>
      </c>
      <c r="M10" s="329">
        <v>192.136</v>
      </c>
      <c r="N10" s="4"/>
      <c r="O10" s="782" t="s">
        <v>871</v>
      </c>
      <c r="P10" s="814"/>
      <c r="Q10" s="263"/>
    </row>
    <row r="11" spans="1:17" ht="15.75" customHeight="1">
      <c r="A11" s="816"/>
      <c r="B11" s="822"/>
      <c r="C11" s="112">
        <v>3</v>
      </c>
      <c r="D11" s="549" t="s">
        <v>872</v>
      </c>
      <c r="E11" s="794"/>
      <c r="F11" s="795"/>
      <c r="G11" s="549" t="s">
        <v>873</v>
      </c>
      <c r="H11" s="794"/>
      <c r="I11" s="795"/>
      <c r="J11" s="357">
        <v>144.99</v>
      </c>
      <c r="K11" s="14">
        <v>8.3799062739713659E-3</v>
      </c>
      <c r="L11" s="4">
        <v>1.3</v>
      </c>
      <c r="M11" s="329">
        <v>188.48700000000002</v>
      </c>
      <c r="N11" s="4"/>
      <c r="O11" s="782" t="s">
        <v>871</v>
      </c>
      <c r="P11" s="814"/>
      <c r="Q11" s="263"/>
    </row>
    <row r="12" spans="1:17" ht="15.75" customHeight="1">
      <c r="A12" s="816"/>
      <c r="B12" s="822"/>
      <c r="C12" s="112">
        <v>4</v>
      </c>
      <c r="D12" s="549" t="s">
        <v>804</v>
      </c>
      <c r="E12" s="794"/>
      <c r="F12" s="795"/>
      <c r="G12" s="549" t="s">
        <v>874</v>
      </c>
      <c r="H12" s="794"/>
      <c r="I12" s="795"/>
      <c r="J12" s="357">
        <v>362.63</v>
      </c>
      <c r="K12" s="14">
        <v>9.8285894008491893E-3</v>
      </c>
      <c r="L12" s="4">
        <v>0.5</v>
      </c>
      <c r="M12" s="329">
        <v>181.315</v>
      </c>
      <c r="N12" s="4"/>
      <c r="O12" s="782" t="s">
        <v>871</v>
      </c>
      <c r="P12" s="814"/>
      <c r="Q12" s="263"/>
    </row>
    <row r="13" spans="1:17" ht="15.75" customHeight="1" thickBot="1">
      <c r="A13" s="816"/>
      <c r="B13" s="822"/>
      <c r="C13" s="113">
        <v>5</v>
      </c>
      <c r="D13" s="549" t="s">
        <v>801</v>
      </c>
      <c r="E13" s="794"/>
      <c r="F13" s="795"/>
      <c r="G13" s="549" t="s">
        <v>802</v>
      </c>
      <c r="H13" s="794"/>
      <c r="I13" s="795"/>
      <c r="J13" s="357">
        <v>447.3</v>
      </c>
      <c r="K13" s="14">
        <v>3.582945180938732E-3</v>
      </c>
      <c r="L13" s="4">
        <v>0.4</v>
      </c>
      <c r="M13" s="329">
        <v>178.92000000000002</v>
      </c>
      <c r="N13" s="27"/>
      <c r="O13" s="782" t="s">
        <v>871</v>
      </c>
      <c r="P13" s="814"/>
      <c r="Q13" s="263"/>
    </row>
    <row r="14" spans="1:17" ht="15.75" customHeight="1" thickTop="1" thickBot="1">
      <c r="A14" s="816"/>
      <c r="B14" s="822"/>
      <c r="C14" s="824"/>
      <c r="D14" s="824"/>
      <c r="E14" s="824"/>
      <c r="F14" s="824"/>
      <c r="G14" s="824"/>
      <c r="H14" s="824"/>
      <c r="I14" s="824"/>
      <c r="J14" s="246" t="s">
        <v>862</v>
      </c>
      <c r="K14" s="245">
        <v>6.1732957951200155E-3</v>
      </c>
      <c r="L14" s="246" t="s">
        <v>863</v>
      </c>
      <c r="M14" s="247">
        <v>935.86400000000003</v>
      </c>
      <c r="N14" s="823"/>
      <c r="O14" s="823"/>
      <c r="P14" s="823"/>
      <c r="Q14" s="263"/>
    </row>
    <row r="15" spans="1:17" ht="15.75" customHeight="1" thickTop="1">
      <c r="A15" s="535"/>
      <c r="D15" s="535"/>
      <c r="E15" s="535"/>
      <c r="F15" s="535"/>
      <c r="G15" s="535"/>
      <c r="H15" s="535"/>
      <c r="I15" s="535"/>
      <c r="J15" s="535"/>
      <c r="K15" s="535"/>
      <c r="L15" s="535"/>
      <c r="M15" s="535"/>
      <c r="N15" s="535"/>
      <c r="O15" s="535"/>
      <c r="P15" s="535"/>
      <c r="Q15" s="263"/>
    </row>
    <row r="16" spans="1:17" ht="15.75" customHeight="1">
      <c r="A16" s="815" t="s">
        <v>853</v>
      </c>
      <c r="B16" s="816"/>
      <c r="C16" s="117" t="s">
        <v>854</v>
      </c>
      <c r="D16" s="817" t="s">
        <v>12</v>
      </c>
      <c r="E16" s="818"/>
      <c r="F16" s="819"/>
      <c r="G16" s="115" t="s">
        <v>855</v>
      </c>
      <c r="H16" s="116"/>
      <c r="I16" s="117"/>
      <c r="J16" s="114" t="s">
        <v>856</v>
      </c>
      <c r="K16" s="114" t="s">
        <v>857</v>
      </c>
      <c r="L16" s="114" t="s">
        <v>858</v>
      </c>
      <c r="M16" s="118" t="s">
        <v>11</v>
      </c>
      <c r="N16" s="356" t="s">
        <v>859</v>
      </c>
      <c r="O16" s="820" t="s">
        <v>860</v>
      </c>
      <c r="P16" s="821"/>
      <c r="Q16" s="263"/>
    </row>
    <row r="17" spans="1:17" ht="15.75" customHeight="1">
      <c r="A17" s="816">
        <v>5</v>
      </c>
      <c r="B17" s="825" t="s">
        <v>212</v>
      </c>
      <c r="C17" s="112">
        <v>1</v>
      </c>
      <c r="D17" s="549" t="s">
        <v>375</v>
      </c>
      <c r="E17" s="794"/>
      <c r="F17" s="795"/>
      <c r="G17" s="549" t="s">
        <v>393</v>
      </c>
      <c r="H17" s="794"/>
      <c r="I17" s="795"/>
      <c r="J17" s="357">
        <v>420.33</v>
      </c>
      <c r="K17" s="14">
        <v>6.7037608098143063E-3</v>
      </c>
      <c r="L17" s="4">
        <v>0.5</v>
      </c>
      <c r="M17" s="329">
        <v>210.16499999999999</v>
      </c>
      <c r="N17" s="4"/>
      <c r="O17" s="782" t="s">
        <v>597</v>
      </c>
      <c r="P17" s="814"/>
      <c r="Q17" s="263"/>
    </row>
    <row r="18" spans="1:17" ht="15.75" customHeight="1">
      <c r="A18" s="816"/>
      <c r="B18" s="822"/>
      <c r="C18" s="112">
        <v>2</v>
      </c>
      <c r="D18" s="549" t="s">
        <v>642</v>
      </c>
      <c r="E18" s="794"/>
      <c r="F18" s="795"/>
      <c r="G18" s="549" t="s">
        <v>875</v>
      </c>
      <c r="H18" s="794"/>
      <c r="I18" s="795"/>
      <c r="J18" s="357">
        <v>278.12</v>
      </c>
      <c r="K18" s="14">
        <v>1.6367377478488588E-2</v>
      </c>
      <c r="L18" s="4">
        <v>0.7</v>
      </c>
      <c r="M18" s="329">
        <v>194.684</v>
      </c>
      <c r="N18" s="4"/>
      <c r="O18" s="782" t="s">
        <v>597</v>
      </c>
      <c r="P18" s="814"/>
      <c r="Q18" s="263"/>
    </row>
    <row r="19" spans="1:17" ht="15.75" customHeight="1">
      <c r="A19" s="816"/>
      <c r="B19" s="822"/>
      <c r="C19" s="112">
        <v>3</v>
      </c>
      <c r="D19" s="549" t="s">
        <v>352</v>
      </c>
      <c r="E19" s="794"/>
      <c r="F19" s="795"/>
      <c r="G19" s="549" t="s">
        <v>667</v>
      </c>
      <c r="H19" s="794"/>
      <c r="I19" s="795"/>
      <c r="J19" s="357">
        <v>136.88999999999999</v>
      </c>
      <c r="K19" s="14">
        <v>3.8964002827673347E-3</v>
      </c>
      <c r="L19" s="4">
        <v>1.4</v>
      </c>
      <c r="M19" s="329">
        <v>191.64599999999996</v>
      </c>
      <c r="N19" s="4"/>
      <c r="O19" s="782" t="s">
        <v>597</v>
      </c>
      <c r="P19" s="814"/>
      <c r="Q19" s="263"/>
    </row>
    <row r="20" spans="1:17" ht="15.75" customHeight="1">
      <c r="A20" s="816"/>
      <c r="B20" s="822"/>
      <c r="C20" s="112">
        <v>4</v>
      </c>
      <c r="D20" s="549" t="s">
        <v>347</v>
      </c>
      <c r="E20" s="794"/>
      <c r="F20" s="795"/>
      <c r="G20" s="549" t="s">
        <v>818</v>
      </c>
      <c r="H20" s="794"/>
      <c r="I20" s="795"/>
      <c r="J20" s="357">
        <v>272.74</v>
      </c>
      <c r="K20" s="14">
        <v>1.1283043197936814E-2</v>
      </c>
      <c r="L20" s="4">
        <v>0.7</v>
      </c>
      <c r="M20" s="329">
        <v>190.91800000000001</v>
      </c>
      <c r="N20" s="4"/>
      <c r="O20" s="782" t="s">
        <v>597</v>
      </c>
      <c r="P20" s="814"/>
      <c r="Q20" s="263"/>
    </row>
    <row r="21" spans="1:17" ht="15.75" customHeight="1" thickBot="1">
      <c r="A21" s="816"/>
      <c r="B21" s="822"/>
      <c r="C21" s="113">
        <v>5</v>
      </c>
      <c r="D21" s="549" t="s">
        <v>807</v>
      </c>
      <c r="E21" s="794"/>
      <c r="F21" s="795"/>
      <c r="G21" s="549" t="s">
        <v>808</v>
      </c>
      <c r="H21" s="794"/>
      <c r="I21" s="795"/>
      <c r="J21" s="357">
        <v>310.27999999999997</v>
      </c>
      <c r="K21" s="14">
        <v>8.5567598402738147E-3</v>
      </c>
      <c r="L21" s="4">
        <v>0.6</v>
      </c>
      <c r="M21" s="329">
        <v>186.16799999999998</v>
      </c>
      <c r="N21" s="4"/>
      <c r="O21" s="782" t="s">
        <v>597</v>
      </c>
      <c r="P21" s="814"/>
      <c r="Q21" s="263"/>
    </row>
    <row r="22" spans="1:17" ht="15.75" customHeight="1" thickTop="1" thickBot="1">
      <c r="A22" s="816"/>
      <c r="B22" s="822"/>
      <c r="C22" s="829"/>
      <c r="D22" s="829"/>
      <c r="E22" s="829"/>
      <c r="F22" s="829"/>
      <c r="G22" s="829"/>
      <c r="H22" s="829"/>
      <c r="I22" s="830"/>
      <c r="J22" s="119" t="s">
        <v>862</v>
      </c>
      <c r="K22" s="245">
        <v>6.4220907028251315E-3</v>
      </c>
      <c r="L22" s="119" t="s">
        <v>863</v>
      </c>
      <c r="M22" s="247">
        <v>973.5809999999999</v>
      </c>
      <c r="N22" s="826"/>
      <c r="O22" s="827"/>
      <c r="P22" s="828"/>
      <c r="Q22" s="263"/>
    </row>
    <row r="23" spans="1:17" ht="15.75" customHeight="1" thickTop="1">
      <c r="A23" s="535"/>
      <c r="D23" s="535"/>
      <c r="E23" s="535"/>
      <c r="F23" s="535"/>
      <c r="G23" s="535"/>
      <c r="H23" s="535"/>
      <c r="I23" s="535"/>
      <c r="J23" s="535"/>
      <c r="K23" s="535"/>
      <c r="L23" s="535"/>
      <c r="M23" s="535"/>
      <c r="N23" s="535"/>
      <c r="O23" s="535"/>
      <c r="P23" s="535"/>
      <c r="Q23" s="263"/>
    </row>
    <row r="24" spans="1:17" ht="15.75" customHeight="1">
      <c r="A24" s="815" t="s">
        <v>853</v>
      </c>
      <c r="B24" s="816"/>
      <c r="C24" s="117" t="s">
        <v>854</v>
      </c>
      <c r="D24" s="817" t="s">
        <v>12</v>
      </c>
      <c r="E24" s="818"/>
      <c r="F24" s="819"/>
      <c r="G24" s="115" t="s">
        <v>855</v>
      </c>
      <c r="H24" s="116"/>
      <c r="I24" s="117"/>
      <c r="J24" s="114" t="s">
        <v>856</v>
      </c>
      <c r="K24" s="114" t="s">
        <v>857</v>
      </c>
      <c r="L24" s="114" t="s">
        <v>858</v>
      </c>
      <c r="M24" s="118" t="s">
        <v>11</v>
      </c>
      <c r="N24" s="356" t="s">
        <v>859</v>
      </c>
      <c r="O24" s="820" t="s">
        <v>860</v>
      </c>
      <c r="P24" s="821"/>
      <c r="Q24" s="263"/>
    </row>
    <row r="25" spans="1:17" ht="15.75" customHeight="1">
      <c r="A25" s="816">
        <v>6</v>
      </c>
      <c r="B25" s="825" t="s">
        <v>213</v>
      </c>
      <c r="C25" s="112">
        <v>1</v>
      </c>
      <c r="D25" s="549" t="s">
        <v>742</v>
      </c>
      <c r="E25" s="794"/>
      <c r="F25" s="795"/>
      <c r="G25" s="549" t="s">
        <v>354</v>
      </c>
      <c r="H25" s="794"/>
      <c r="I25" s="795"/>
      <c r="J25" s="357">
        <v>487.6</v>
      </c>
      <c r="K25" s="14">
        <v>1.2002640580927804E-2</v>
      </c>
      <c r="L25" s="4">
        <v>0.4</v>
      </c>
      <c r="M25" s="329">
        <v>195.04000000000002</v>
      </c>
      <c r="N25" s="4"/>
      <c r="O25" s="782" t="s">
        <v>793</v>
      </c>
      <c r="P25" s="814"/>
      <c r="Q25" s="263"/>
    </row>
    <row r="26" spans="1:17" ht="15.75" customHeight="1">
      <c r="A26" s="816"/>
      <c r="B26" s="822"/>
      <c r="C26" s="112">
        <v>2</v>
      </c>
      <c r="D26" s="549" t="s">
        <v>741</v>
      </c>
      <c r="E26" s="794"/>
      <c r="F26" s="795"/>
      <c r="G26" s="549" t="s">
        <v>827</v>
      </c>
      <c r="H26" s="794"/>
      <c r="I26" s="795"/>
      <c r="J26" s="357">
        <v>444.88</v>
      </c>
      <c r="K26" s="14">
        <v>2.5396825396825397E-2</v>
      </c>
      <c r="L26" s="4">
        <v>0.4</v>
      </c>
      <c r="M26" s="329">
        <v>177.952</v>
      </c>
      <c r="N26" s="4"/>
      <c r="O26" s="782" t="s">
        <v>793</v>
      </c>
      <c r="P26" s="814"/>
      <c r="Q26" s="263"/>
    </row>
    <row r="27" spans="1:17" ht="15.75" customHeight="1">
      <c r="A27" s="816"/>
      <c r="B27" s="822"/>
      <c r="C27" s="112">
        <v>3</v>
      </c>
      <c r="D27" s="549">
        <v>0</v>
      </c>
      <c r="E27" s="794"/>
      <c r="F27" s="795"/>
      <c r="G27" s="549">
        <v>0</v>
      </c>
      <c r="H27" s="794"/>
      <c r="I27" s="795"/>
      <c r="J27" s="357">
        <v>0</v>
      </c>
      <c r="K27" s="14">
        <v>0</v>
      </c>
      <c r="L27" s="4">
        <v>0</v>
      </c>
      <c r="M27" s="329">
        <v>0</v>
      </c>
      <c r="N27" s="4"/>
      <c r="O27" s="782"/>
      <c r="P27" s="814"/>
      <c r="Q27" s="263"/>
    </row>
    <row r="28" spans="1:17" ht="15.75" customHeight="1">
      <c r="A28" s="816"/>
      <c r="B28" s="822"/>
      <c r="C28" s="112">
        <v>4</v>
      </c>
      <c r="D28" s="549">
        <v>0</v>
      </c>
      <c r="E28" s="794"/>
      <c r="F28" s="795"/>
      <c r="G28" s="549">
        <v>0</v>
      </c>
      <c r="H28" s="794"/>
      <c r="I28" s="795"/>
      <c r="J28" s="357">
        <v>0</v>
      </c>
      <c r="K28" s="14">
        <v>0</v>
      </c>
      <c r="L28" s="4">
        <v>0</v>
      </c>
      <c r="M28" s="329">
        <v>0</v>
      </c>
      <c r="N28" s="4"/>
      <c r="O28" s="782"/>
      <c r="P28" s="814"/>
      <c r="Q28" s="263"/>
    </row>
    <row r="29" spans="1:17" ht="15.75" customHeight="1" thickBot="1">
      <c r="A29" s="816"/>
      <c r="B29" s="822"/>
      <c r="C29" s="113">
        <v>5</v>
      </c>
      <c r="D29" s="549">
        <v>0</v>
      </c>
      <c r="E29" s="794"/>
      <c r="F29" s="795"/>
      <c r="G29" s="549">
        <v>0</v>
      </c>
      <c r="H29" s="794"/>
      <c r="I29" s="795"/>
      <c r="J29" s="357">
        <v>0</v>
      </c>
      <c r="K29" s="14">
        <v>0</v>
      </c>
      <c r="L29" s="4">
        <v>0</v>
      </c>
      <c r="M29" s="329">
        <v>0</v>
      </c>
      <c r="N29" s="4"/>
      <c r="O29" s="782"/>
      <c r="P29" s="814"/>
      <c r="Q29" s="263"/>
    </row>
    <row r="30" spans="1:17" ht="15.75" customHeight="1" thickTop="1" thickBot="1">
      <c r="A30" s="816"/>
      <c r="B30" s="822"/>
      <c r="C30" s="829"/>
      <c r="D30" s="829"/>
      <c r="E30" s="829"/>
      <c r="F30" s="829"/>
      <c r="G30" s="829"/>
      <c r="H30" s="829"/>
      <c r="I30" s="830"/>
      <c r="J30" s="119" t="s">
        <v>862</v>
      </c>
      <c r="K30" s="245">
        <v>2.4603894852386721E-3</v>
      </c>
      <c r="L30" s="119" t="s">
        <v>863</v>
      </c>
      <c r="M30" s="247">
        <v>372.99200000000002</v>
      </c>
      <c r="N30" s="826"/>
      <c r="O30" s="827"/>
      <c r="P30" s="828"/>
      <c r="Q30" s="263"/>
    </row>
    <row r="31" spans="1:17" ht="15.75" customHeight="1" thickTop="1">
      <c r="A31" s="535"/>
      <c r="D31" s="535"/>
      <c r="E31" s="535"/>
      <c r="F31" s="535"/>
      <c r="G31" s="535"/>
      <c r="H31" s="535"/>
      <c r="I31" s="535"/>
      <c r="J31" s="535"/>
      <c r="K31" s="535"/>
      <c r="L31" s="535"/>
      <c r="M31" s="535"/>
      <c r="N31" s="535"/>
      <c r="O31" s="535"/>
      <c r="P31" s="535"/>
      <c r="Q31" s="263"/>
    </row>
    <row r="32" spans="1:17" ht="15.75" customHeight="1">
      <c r="A32" s="815" t="s">
        <v>853</v>
      </c>
      <c r="B32" s="816"/>
      <c r="C32" s="117" t="s">
        <v>854</v>
      </c>
      <c r="D32" s="817" t="s">
        <v>12</v>
      </c>
      <c r="E32" s="818"/>
      <c r="F32" s="819"/>
      <c r="G32" s="115" t="s">
        <v>855</v>
      </c>
      <c r="H32" s="116"/>
      <c r="I32" s="117"/>
      <c r="J32" s="114" t="s">
        <v>856</v>
      </c>
      <c r="K32" s="114" t="s">
        <v>857</v>
      </c>
      <c r="L32" s="114" t="s">
        <v>858</v>
      </c>
      <c r="M32" s="118" t="s">
        <v>11</v>
      </c>
      <c r="N32" s="118" t="s">
        <v>13</v>
      </c>
      <c r="O32" s="820" t="s">
        <v>860</v>
      </c>
      <c r="P32" s="821"/>
      <c r="Q32" s="263"/>
    </row>
    <row r="33" spans="1:17" ht="15.75" customHeight="1">
      <c r="A33" s="816">
        <v>7</v>
      </c>
      <c r="B33" s="825" t="s">
        <v>876</v>
      </c>
      <c r="C33" s="112">
        <v>1</v>
      </c>
      <c r="D33" s="549" t="s">
        <v>787</v>
      </c>
      <c r="E33" s="794"/>
      <c r="F33" s="795"/>
      <c r="G33" s="549" t="s">
        <v>877</v>
      </c>
      <c r="H33" s="794"/>
      <c r="I33" s="795"/>
      <c r="J33" s="4">
        <v>631.87</v>
      </c>
      <c r="K33" s="14">
        <v>0.14184397163120566</v>
      </c>
      <c r="L33" s="4">
        <v>0.3</v>
      </c>
      <c r="M33" s="329">
        <v>189.56100000000001</v>
      </c>
      <c r="N33" s="4"/>
      <c r="O33" s="782" t="s">
        <v>878</v>
      </c>
      <c r="P33" s="814"/>
      <c r="Q33" s="263"/>
    </row>
    <row r="34" spans="1:17" ht="15.75" customHeight="1">
      <c r="A34" s="816"/>
      <c r="B34" s="822"/>
      <c r="C34" s="112">
        <v>2</v>
      </c>
      <c r="D34" s="549" t="s">
        <v>783</v>
      </c>
      <c r="E34" s="794"/>
      <c r="F34" s="795"/>
      <c r="G34" s="549" t="s">
        <v>839</v>
      </c>
      <c r="H34" s="794"/>
      <c r="I34" s="795"/>
      <c r="J34" s="4">
        <v>930.36</v>
      </c>
      <c r="K34" s="14">
        <v>2.5608194622279132E-2</v>
      </c>
      <c r="L34" s="4">
        <v>0.2</v>
      </c>
      <c r="M34" s="329">
        <v>186.072</v>
      </c>
      <c r="N34" s="4"/>
      <c r="O34" s="782" t="s">
        <v>833</v>
      </c>
      <c r="P34" s="783"/>
      <c r="Q34" s="263"/>
    </row>
    <row r="35" spans="1:17" ht="15.75" customHeight="1">
      <c r="A35" s="816"/>
      <c r="B35" s="822"/>
      <c r="C35" s="112">
        <v>3</v>
      </c>
      <c r="D35" s="549" t="s">
        <v>768</v>
      </c>
      <c r="E35" s="794"/>
      <c r="F35" s="795"/>
      <c r="G35" s="549" t="s">
        <v>769</v>
      </c>
      <c r="H35" s="794"/>
      <c r="I35" s="795"/>
      <c r="J35" s="4">
        <v>1760</v>
      </c>
      <c r="K35" s="14">
        <v>2.2381378692927487E-2</v>
      </c>
      <c r="L35" s="4">
        <v>0.1</v>
      </c>
      <c r="M35" s="329">
        <v>176</v>
      </c>
      <c r="N35" s="4"/>
      <c r="O35" s="782" t="s">
        <v>833</v>
      </c>
      <c r="P35" s="783"/>
      <c r="Q35" s="263"/>
    </row>
    <row r="36" spans="1:17" ht="15.75" customHeight="1">
      <c r="A36" s="816"/>
      <c r="B36" s="822"/>
      <c r="C36" s="112">
        <v>4</v>
      </c>
      <c r="D36" s="549" t="s">
        <v>348</v>
      </c>
      <c r="E36" s="794"/>
      <c r="F36" s="795"/>
      <c r="G36" s="549" t="s">
        <v>838</v>
      </c>
      <c r="H36" s="794"/>
      <c r="I36" s="795"/>
      <c r="J36" s="4">
        <v>1760</v>
      </c>
      <c r="K36" s="14">
        <v>4.1876046901172533E-2</v>
      </c>
      <c r="L36" s="4">
        <v>0.1</v>
      </c>
      <c r="M36" s="329">
        <v>176</v>
      </c>
      <c r="N36" s="4"/>
      <c r="O36" s="782" t="s">
        <v>833</v>
      </c>
      <c r="P36" s="783"/>
      <c r="Q36" s="263"/>
    </row>
    <row r="37" spans="1:17" ht="15.75" customHeight="1" thickBot="1">
      <c r="A37" s="816"/>
      <c r="B37" s="822"/>
      <c r="C37" s="113">
        <v>5</v>
      </c>
      <c r="D37" s="549" t="s">
        <v>345</v>
      </c>
      <c r="E37" s="794"/>
      <c r="F37" s="795"/>
      <c r="G37" s="549" t="s">
        <v>795</v>
      </c>
      <c r="H37" s="794"/>
      <c r="I37" s="795"/>
      <c r="J37" s="4">
        <v>846.44</v>
      </c>
      <c r="K37" s="14">
        <v>4.122861265718409E-2</v>
      </c>
      <c r="L37" s="4">
        <v>0.2</v>
      </c>
      <c r="M37" s="329">
        <v>169.28800000000001</v>
      </c>
      <c r="N37" s="4"/>
      <c r="O37" s="782" t="s">
        <v>833</v>
      </c>
      <c r="P37" s="783"/>
      <c r="Q37" s="263"/>
    </row>
    <row r="38" spans="1:17" ht="15.75" customHeight="1" thickTop="1" thickBot="1">
      <c r="A38" s="816"/>
      <c r="B38" s="822"/>
      <c r="C38" s="829"/>
      <c r="D38" s="829"/>
      <c r="E38" s="829"/>
      <c r="F38" s="829"/>
      <c r="G38" s="829"/>
      <c r="H38" s="829"/>
      <c r="I38" s="830"/>
      <c r="J38" s="119" t="s">
        <v>862</v>
      </c>
      <c r="K38" s="245">
        <v>5.9164137501333943E-3</v>
      </c>
      <c r="L38" s="119" t="s">
        <v>863</v>
      </c>
      <c r="M38" s="247">
        <v>896.92100000000005</v>
      </c>
      <c r="N38" s="826"/>
      <c r="O38" s="827"/>
      <c r="P38" s="828"/>
      <c r="Q38" s="263"/>
    </row>
    <row r="39" spans="1:17" ht="15.75" customHeight="1" thickTop="1"/>
  </sheetData>
  <mergeCells count="107">
    <mergeCell ref="A24:B24"/>
    <mergeCell ref="D24:F24"/>
    <mergeCell ref="O24:P24"/>
    <mergeCell ref="G28:I28"/>
    <mergeCell ref="A33:A38"/>
    <mergeCell ref="B33:B38"/>
    <mergeCell ref="D33:F33"/>
    <mergeCell ref="G33:I33"/>
    <mergeCell ref="D34:F34"/>
    <mergeCell ref="C30:I30"/>
    <mergeCell ref="D29:F29"/>
    <mergeCell ref="G29:I29"/>
    <mergeCell ref="A25:A30"/>
    <mergeCell ref="B25:B30"/>
    <mergeCell ref="D25:F25"/>
    <mergeCell ref="G25:I25"/>
    <mergeCell ref="D26:F26"/>
    <mergeCell ref="G26:I26"/>
    <mergeCell ref="D27:F27"/>
    <mergeCell ref="N30:P30"/>
    <mergeCell ref="A32:B32"/>
    <mergeCell ref="D32:F32"/>
    <mergeCell ref="O32:P32"/>
    <mergeCell ref="C38:I38"/>
    <mergeCell ref="N38:P38"/>
    <mergeCell ref="G34:I34"/>
    <mergeCell ref="D35:F35"/>
    <mergeCell ref="G27:I27"/>
    <mergeCell ref="D28:F28"/>
    <mergeCell ref="O36:P36"/>
    <mergeCell ref="O37:P37"/>
    <mergeCell ref="G35:I35"/>
    <mergeCell ref="D36:F36"/>
    <mergeCell ref="G36:I36"/>
    <mergeCell ref="D37:F37"/>
    <mergeCell ref="G37:I37"/>
    <mergeCell ref="O33:P33"/>
    <mergeCell ref="O34:P34"/>
    <mergeCell ref="O35:P35"/>
    <mergeCell ref="A16:B16"/>
    <mergeCell ref="D16:F16"/>
    <mergeCell ref="O16:P16"/>
    <mergeCell ref="A17:A22"/>
    <mergeCell ref="B17:B22"/>
    <mergeCell ref="D17:F17"/>
    <mergeCell ref="G17:I17"/>
    <mergeCell ref="D18:F18"/>
    <mergeCell ref="G18:I18"/>
    <mergeCell ref="D21:F21"/>
    <mergeCell ref="G21:I21"/>
    <mergeCell ref="N22:P22"/>
    <mergeCell ref="O19:P19"/>
    <mergeCell ref="O20:P20"/>
    <mergeCell ref="O21:P21"/>
    <mergeCell ref="D19:F19"/>
    <mergeCell ref="G19:I19"/>
    <mergeCell ref="D20:F20"/>
    <mergeCell ref="G20:I20"/>
    <mergeCell ref="C22:I22"/>
    <mergeCell ref="A8:B8"/>
    <mergeCell ref="D8:F8"/>
    <mergeCell ref="O8:P8"/>
    <mergeCell ref="A9:A14"/>
    <mergeCell ref="B9:B14"/>
    <mergeCell ref="D9:F9"/>
    <mergeCell ref="G9:I9"/>
    <mergeCell ref="D10:F10"/>
    <mergeCell ref="G10:I10"/>
    <mergeCell ref="D11:F11"/>
    <mergeCell ref="G11:I11"/>
    <mergeCell ref="D12:F12"/>
    <mergeCell ref="G12:I12"/>
    <mergeCell ref="D13:F13"/>
    <mergeCell ref="G13:I13"/>
    <mergeCell ref="N14:P14"/>
    <mergeCell ref="O9:P9"/>
    <mergeCell ref="O10:P10"/>
    <mergeCell ref="C14:I14"/>
    <mergeCell ref="A1:Q2"/>
    <mergeCell ref="P5:Q5"/>
    <mergeCell ref="P6:Q6"/>
    <mergeCell ref="N5:O5"/>
    <mergeCell ref="B6:C6"/>
    <mergeCell ref="D6:E6"/>
    <mergeCell ref="F6:G6"/>
    <mergeCell ref="H6:I6"/>
    <mergeCell ref="J6:K6"/>
    <mergeCell ref="L6:M6"/>
    <mergeCell ref="N6:O6"/>
    <mergeCell ref="A3:M4"/>
    <mergeCell ref="A5:A6"/>
    <mergeCell ref="B5:C5"/>
    <mergeCell ref="D5:E5"/>
    <mergeCell ref="F5:G5"/>
    <mergeCell ref="H5:I5"/>
    <mergeCell ref="J5:K5"/>
    <mergeCell ref="L5:M5"/>
    <mergeCell ref="O25:P25"/>
    <mergeCell ref="O26:P26"/>
    <mergeCell ref="O27:P27"/>
    <mergeCell ref="O28:P28"/>
    <mergeCell ref="O29:P29"/>
    <mergeCell ref="O11:P11"/>
    <mergeCell ref="O12:P12"/>
    <mergeCell ref="O13:P13"/>
    <mergeCell ref="O17:P17"/>
    <mergeCell ref="O18:P18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W31"/>
  <sheetViews>
    <sheetView view="pageBreakPreview" zoomScale="115" zoomScaleNormal="60" zoomScaleSheetLayoutView="115" workbookViewId="0">
      <selection activeCell="A8" sqref="A8:P30"/>
    </sheetView>
  </sheetViews>
  <sheetFormatPr defaultColWidth="12.5703125" defaultRowHeight="15.75" customHeight="1"/>
  <cols>
    <col min="1" max="1" width="5.42578125" style="183" customWidth="1"/>
    <col min="2" max="2" width="11.42578125" style="359" customWidth="1"/>
    <col min="3" max="3" width="4" style="360" customWidth="1"/>
    <col min="4" max="17" width="9.5703125" style="183" customWidth="1"/>
    <col min="18" max="16384" width="12.5703125" style="183"/>
  </cols>
  <sheetData>
    <row r="1" spans="1:23" ht="15.75" customHeight="1">
      <c r="A1" s="755" t="s">
        <v>587</v>
      </c>
      <c r="B1" s="755"/>
      <c r="C1" s="755"/>
      <c r="D1" s="755"/>
      <c r="E1" s="755"/>
      <c r="F1" s="755"/>
      <c r="G1" s="755"/>
      <c r="H1" s="755"/>
      <c r="I1" s="755"/>
      <c r="J1" s="755"/>
      <c r="K1" s="755"/>
      <c r="L1" s="755"/>
      <c r="M1" s="755"/>
      <c r="N1" s="755"/>
      <c r="O1" s="755"/>
      <c r="P1" s="755"/>
      <c r="Q1" s="755"/>
    </row>
    <row r="2" spans="1:23" s="184" customFormat="1" ht="15.75" customHeight="1">
      <c r="A2" s="755"/>
      <c r="B2" s="755"/>
      <c r="C2" s="755"/>
      <c r="D2" s="755"/>
      <c r="E2" s="755"/>
      <c r="F2" s="755"/>
      <c r="G2" s="755"/>
      <c r="H2" s="755"/>
      <c r="I2" s="755"/>
      <c r="J2" s="755"/>
      <c r="K2" s="755"/>
      <c r="L2" s="755"/>
      <c r="M2" s="755"/>
      <c r="N2" s="755"/>
      <c r="O2" s="755"/>
      <c r="P2" s="755"/>
      <c r="Q2" s="755"/>
      <c r="R2" s="183"/>
      <c r="S2" s="183"/>
      <c r="T2" s="183"/>
      <c r="U2" s="183"/>
      <c r="V2" s="183"/>
      <c r="W2" s="183"/>
    </row>
    <row r="3" spans="1:23" ht="15.75" customHeight="1">
      <c r="A3" s="756" t="s">
        <v>588</v>
      </c>
      <c r="B3" s="756"/>
      <c r="C3" s="756"/>
      <c r="D3" s="756"/>
      <c r="E3" s="756"/>
      <c r="F3" s="756"/>
      <c r="G3" s="756"/>
      <c r="H3" s="756"/>
      <c r="I3" s="756"/>
      <c r="J3" s="756"/>
      <c r="K3" s="756"/>
      <c r="L3" s="756"/>
      <c r="M3" s="756"/>
      <c r="N3" s="185"/>
    </row>
    <row r="4" spans="1:23" s="184" customFormat="1" ht="15.75" customHeight="1">
      <c r="A4" s="756"/>
      <c r="B4" s="756"/>
      <c r="C4" s="756"/>
      <c r="D4" s="756"/>
      <c r="E4" s="756"/>
      <c r="F4" s="756"/>
      <c r="G4" s="756"/>
      <c r="H4" s="756"/>
      <c r="I4" s="756"/>
      <c r="J4" s="756"/>
      <c r="K4" s="756"/>
      <c r="L4" s="756"/>
      <c r="M4" s="756"/>
      <c r="N4" s="186"/>
      <c r="R4" s="183"/>
      <c r="S4" s="183"/>
      <c r="T4" s="183"/>
      <c r="U4" s="183"/>
      <c r="V4" s="183"/>
      <c r="W4" s="183"/>
    </row>
    <row r="5" spans="1:23" ht="15.75" customHeight="1">
      <c r="A5" s="758" t="s">
        <v>582</v>
      </c>
      <c r="B5" s="831">
        <v>1</v>
      </c>
      <c r="C5" s="831"/>
      <c r="D5" s="831">
        <v>2</v>
      </c>
      <c r="E5" s="831"/>
      <c r="F5" s="831">
        <v>3</v>
      </c>
      <c r="G5" s="831"/>
      <c r="H5" s="761">
        <v>4</v>
      </c>
      <c r="I5" s="761"/>
      <c r="J5" s="761">
        <v>5</v>
      </c>
      <c r="K5" s="761"/>
      <c r="L5" s="761">
        <v>6</v>
      </c>
      <c r="M5" s="761"/>
      <c r="N5" s="761">
        <v>7</v>
      </c>
      <c r="O5" s="761"/>
      <c r="P5" s="761">
        <v>8</v>
      </c>
      <c r="Q5" s="761"/>
    </row>
    <row r="6" spans="1:23" ht="15.75" customHeight="1">
      <c r="A6" s="758"/>
      <c r="B6" s="832" t="s">
        <v>589</v>
      </c>
      <c r="C6" s="832"/>
      <c r="D6" s="832" t="s">
        <v>590</v>
      </c>
      <c r="E6" s="832"/>
      <c r="F6" s="832" t="s">
        <v>591</v>
      </c>
      <c r="G6" s="832"/>
      <c r="H6" s="833" t="s">
        <v>592</v>
      </c>
      <c r="I6" s="758"/>
      <c r="J6" s="758" t="s">
        <v>593</v>
      </c>
      <c r="K6" s="758"/>
      <c r="L6" s="758" t="s">
        <v>594</v>
      </c>
      <c r="M6" s="758"/>
      <c r="N6" s="758" t="s">
        <v>595</v>
      </c>
      <c r="O6" s="758"/>
      <c r="P6" s="833" t="s">
        <v>596</v>
      </c>
      <c r="Q6" s="758"/>
    </row>
    <row r="8" spans="1:23" s="358" customFormat="1" ht="15.75" customHeight="1">
      <c r="A8" s="800" t="s">
        <v>853</v>
      </c>
      <c r="B8" s="801"/>
      <c r="C8" s="541" t="s">
        <v>854</v>
      </c>
      <c r="D8" s="805" t="s">
        <v>12</v>
      </c>
      <c r="E8" s="806"/>
      <c r="F8" s="807"/>
      <c r="G8" s="539" t="s">
        <v>855</v>
      </c>
      <c r="H8" s="540"/>
      <c r="I8" s="541"/>
      <c r="J8" s="170" t="s">
        <v>856</v>
      </c>
      <c r="K8" s="356" t="s">
        <v>879</v>
      </c>
      <c r="L8" s="170" t="s">
        <v>858</v>
      </c>
      <c r="M8" s="170" t="s">
        <v>11</v>
      </c>
      <c r="N8" s="356" t="s">
        <v>859</v>
      </c>
      <c r="O8" s="796" t="s">
        <v>860</v>
      </c>
      <c r="P8" s="797"/>
      <c r="R8" s="183"/>
      <c r="S8" s="183"/>
      <c r="T8" s="183"/>
      <c r="U8" s="183"/>
      <c r="V8" s="183"/>
      <c r="W8" s="183"/>
    </row>
    <row r="9" spans="1:23" ht="15.75" customHeight="1">
      <c r="A9" s="726">
        <v>1</v>
      </c>
      <c r="B9" s="802" t="s">
        <v>861</v>
      </c>
      <c r="C9" s="171">
        <v>1</v>
      </c>
      <c r="D9" s="549">
        <v>0</v>
      </c>
      <c r="E9" s="794"/>
      <c r="F9" s="795"/>
      <c r="G9" s="549">
        <v>0</v>
      </c>
      <c r="H9" s="794"/>
      <c r="I9" s="795"/>
      <c r="J9" s="4">
        <v>0</v>
      </c>
      <c r="K9" s="14">
        <v>0</v>
      </c>
      <c r="L9" s="357">
        <v>0</v>
      </c>
      <c r="M9" s="16">
        <v>0</v>
      </c>
      <c r="N9" s="172"/>
      <c r="O9" s="782"/>
      <c r="P9" s="783"/>
    </row>
    <row r="10" spans="1:23" ht="15.75" customHeight="1">
      <c r="A10" s="727"/>
      <c r="B10" s="803"/>
      <c r="C10" s="171">
        <v>2</v>
      </c>
      <c r="D10" s="549">
        <v>0</v>
      </c>
      <c r="E10" s="794"/>
      <c r="F10" s="795"/>
      <c r="G10" s="549">
        <v>0</v>
      </c>
      <c r="H10" s="794"/>
      <c r="I10" s="795"/>
      <c r="J10" s="4">
        <v>0</v>
      </c>
      <c r="K10" s="14">
        <v>0</v>
      </c>
      <c r="L10" s="357">
        <v>0</v>
      </c>
      <c r="M10" s="16">
        <v>0</v>
      </c>
      <c r="N10" s="172"/>
      <c r="O10" s="782"/>
      <c r="P10" s="783"/>
    </row>
    <row r="11" spans="1:23" ht="15.75" customHeight="1">
      <c r="A11" s="727"/>
      <c r="B11" s="803"/>
      <c r="C11" s="171">
        <v>3</v>
      </c>
      <c r="D11" s="549">
        <v>0</v>
      </c>
      <c r="E11" s="794"/>
      <c r="F11" s="795"/>
      <c r="G11" s="549">
        <v>0</v>
      </c>
      <c r="H11" s="794"/>
      <c r="I11" s="795"/>
      <c r="J11" s="4">
        <v>0</v>
      </c>
      <c r="K11" s="14">
        <v>0</v>
      </c>
      <c r="L11" s="357">
        <v>0</v>
      </c>
      <c r="M11" s="16">
        <v>0</v>
      </c>
      <c r="N11" s="172"/>
      <c r="O11" s="782"/>
      <c r="P11" s="783"/>
    </row>
    <row r="12" spans="1:23" ht="15.75" customHeight="1">
      <c r="A12" s="727"/>
      <c r="B12" s="803"/>
      <c r="C12" s="171">
        <v>4</v>
      </c>
      <c r="D12" s="549">
        <v>0</v>
      </c>
      <c r="E12" s="794"/>
      <c r="F12" s="795"/>
      <c r="G12" s="549">
        <v>0</v>
      </c>
      <c r="H12" s="794"/>
      <c r="I12" s="795"/>
      <c r="J12" s="4">
        <v>0</v>
      </c>
      <c r="K12" s="14">
        <v>0</v>
      </c>
      <c r="L12" s="357">
        <v>0</v>
      </c>
      <c r="M12" s="16">
        <v>0</v>
      </c>
      <c r="N12" s="172"/>
      <c r="O12" s="782"/>
      <c r="P12" s="783"/>
    </row>
    <row r="13" spans="1:23" ht="15.75" customHeight="1" thickBot="1">
      <c r="A13" s="727"/>
      <c r="B13" s="803"/>
      <c r="C13" s="173">
        <v>5</v>
      </c>
      <c r="D13" s="791">
        <v>0</v>
      </c>
      <c r="E13" s="792"/>
      <c r="F13" s="793"/>
      <c r="G13" s="791">
        <v>0</v>
      </c>
      <c r="H13" s="792"/>
      <c r="I13" s="793"/>
      <c r="J13" s="4">
        <v>0</v>
      </c>
      <c r="K13" s="14">
        <v>0</v>
      </c>
      <c r="L13" s="357">
        <v>0</v>
      </c>
      <c r="M13" s="16">
        <v>0</v>
      </c>
      <c r="N13" s="174"/>
      <c r="O13" s="798"/>
      <c r="P13" s="799"/>
    </row>
    <row r="14" spans="1:23" ht="15.75" customHeight="1" thickTop="1" thickBot="1">
      <c r="A14" s="728"/>
      <c r="B14" s="804"/>
      <c r="C14" s="808"/>
      <c r="D14" s="809"/>
      <c r="E14" s="809"/>
      <c r="F14" s="809"/>
      <c r="G14" s="809"/>
      <c r="H14" s="809"/>
      <c r="I14" s="810"/>
      <c r="J14" s="354" t="s">
        <v>862</v>
      </c>
      <c r="K14" s="245">
        <v>0</v>
      </c>
      <c r="L14" s="354" t="s">
        <v>863</v>
      </c>
      <c r="M14" s="247">
        <v>0</v>
      </c>
      <c r="N14" s="788"/>
      <c r="O14" s="789"/>
      <c r="P14" s="790"/>
    </row>
    <row r="15" spans="1:23" ht="15.75" customHeight="1" thickTop="1">
      <c r="A15" s="120"/>
      <c r="B15" s="175"/>
      <c r="C15" s="161"/>
      <c r="D15" s="120"/>
      <c r="E15" s="120"/>
      <c r="F15" s="120"/>
      <c r="G15" s="120"/>
      <c r="H15" s="120"/>
      <c r="I15" s="120"/>
      <c r="J15" s="120"/>
      <c r="K15" s="120"/>
      <c r="L15" s="120"/>
      <c r="M15" s="120"/>
      <c r="N15" s="120"/>
      <c r="O15" s="120"/>
      <c r="P15" s="120"/>
    </row>
    <row r="16" spans="1:23" ht="15.75" customHeight="1">
      <c r="A16" s="800" t="s">
        <v>853</v>
      </c>
      <c r="B16" s="801"/>
      <c r="C16" s="541" t="s">
        <v>854</v>
      </c>
      <c r="D16" s="805" t="s">
        <v>12</v>
      </c>
      <c r="E16" s="806"/>
      <c r="F16" s="807"/>
      <c r="G16" s="539" t="s">
        <v>855</v>
      </c>
      <c r="H16" s="540"/>
      <c r="I16" s="541"/>
      <c r="J16" s="170" t="s">
        <v>856</v>
      </c>
      <c r="K16" s="356" t="s">
        <v>879</v>
      </c>
      <c r="L16" s="170" t="s">
        <v>858</v>
      </c>
      <c r="M16" s="170" t="s">
        <v>11</v>
      </c>
      <c r="N16" s="356" t="s">
        <v>859</v>
      </c>
      <c r="O16" s="796" t="s">
        <v>860</v>
      </c>
      <c r="P16" s="797"/>
    </row>
    <row r="17" spans="1:16" ht="15.75" customHeight="1">
      <c r="A17" s="726">
        <v>2</v>
      </c>
      <c r="B17" s="802" t="s">
        <v>864</v>
      </c>
      <c r="C17" s="171">
        <v>1</v>
      </c>
      <c r="D17" s="549">
        <v>0</v>
      </c>
      <c r="E17" s="794"/>
      <c r="F17" s="795"/>
      <c r="G17" s="549">
        <v>0</v>
      </c>
      <c r="H17" s="794"/>
      <c r="I17" s="795"/>
      <c r="J17" s="357">
        <v>0</v>
      </c>
      <c r="K17" s="14">
        <v>0</v>
      </c>
      <c r="L17" s="357">
        <v>0</v>
      </c>
      <c r="M17" s="329">
        <v>0</v>
      </c>
      <c r="N17" s="172"/>
      <c r="O17" s="782" t="s">
        <v>584</v>
      </c>
      <c r="P17" s="783"/>
    </row>
    <row r="18" spans="1:16" ht="15.75" customHeight="1">
      <c r="A18" s="727"/>
      <c r="B18" s="803"/>
      <c r="C18" s="171">
        <v>2</v>
      </c>
      <c r="D18" s="549">
        <v>0</v>
      </c>
      <c r="E18" s="794"/>
      <c r="F18" s="795"/>
      <c r="G18" s="549">
        <v>0</v>
      </c>
      <c r="H18" s="794"/>
      <c r="I18" s="795"/>
      <c r="J18" s="357">
        <v>0</v>
      </c>
      <c r="K18" s="14">
        <v>0</v>
      </c>
      <c r="L18" s="357">
        <v>0</v>
      </c>
      <c r="M18" s="329">
        <v>0</v>
      </c>
      <c r="N18" s="172"/>
      <c r="O18" s="782"/>
      <c r="P18" s="783"/>
    </row>
    <row r="19" spans="1:16" ht="15.75" customHeight="1">
      <c r="A19" s="727"/>
      <c r="B19" s="803"/>
      <c r="C19" s="171">
        <v>3</v>
      </c>
      <c r="D19" s="549">
        <v>0</v>
      </c>
      <c r="E19" s="794"/>
      <c r="F19" s="795"/>
      <c r="G19" s="549">
        <v>0</v>
      </c>
      <c r="H19" s="794"/>
      <c r="I19" s="795"/>
      <c r="J19" s="357">
        <v>0</v>
      </c>
      <c r="K19" s="14">
        <v>0</v>
      </c>
      <c r="L19" s="357">
        <v>0</v>
      </c>
      <c r="M19" s="329">
        <v>0</v>
      </c>
      <c r="N19" s="172"/>
      <c r="O19" s="782"/>
      <c r="P19" s="783"/>
    </row>
    <row r="20" spans="1:16" ht="15.75" customHeight="1">
      <c r="A20" s="727"/>
      <c r="B20" s="803"/>
      <c r="C20" s="171">
        <v>4</v>
      </c>
      <c r="D20" s="549">
        <v>0</v>
      </c>
      <c r="E20" s="794"/>
      <c r="F20" s="795"/>
      <c r="G20" s="549">
        <v>0</v>
      </c>
      <c r="H20" s="794"/>
      <c r="I20" s="795"/>
      <c r="J20" s="357">
        <v>0</v>
      </c>
      <c r="K20" s="14">
        <v>0</v>
      </c>
      <c r="L20" s="357">
        <v>0</v>
      </c>
      <c r="M20" s="329">
        <v>0</v>
      </c>
      <c r="N20" s="172"/>
      <c r="O20" s="782"/>
      <c r="P20" s="783"/>
    </row>
    <row r="21" spans="1:16" ht="15.75" customHeight="1" thickBot="1">
      <c r="A21" s="727"/>
      <c r="B21" s="803"/>
      <c r="C21" s="173">
        <v>5</v>
      </c>
      <c r="D21" s="549">
        <v>0</v>
      </c>
      <c r="E21" s="794"/>
      <c r="F21" s="795"/>
      <c r="G21" s="549">
        <v>0</v>
      </c>
      <c r="H21" s="794"/>
      <c r="I21" s="795"/>
      <c r="J21" s="357">
        <v>0</v>
      </c>
      <c r="K21" s="14">
        <v>0</v>
      </c>
      <c r="L21" s="357">
        <v>0</v>
      </c>
      <c r="M21" s="329">
        <v>0</v>
      </c>
      <c r="N21" s="174"/>
      <c r="O21" s="782"/>
      <c r="P21" s="783"/>
    </row>
    <row r="22" spans="1:16" ht="15.75" customHeight="1" thickTop="1" thickBot="1">
      <c r="A22" s="728"/>
      <c r="B22" s="804"/>
      <c r="C22" s="811"/>
      <c r="D22" s="812"/>
      <c r="E22" s="812"/>
      <c r="F22" s="812"/>
      <c r="G22" s="812"/>
      <c r="H22" s="812"/>
      <c r="I22" s="813"/>
      <c r="J22" s="354" t="s">
        <v>862</v>
      </c>
      <c r="K22" s="245">
        <v>0</v>
      </c>
      <c r="L22" s="354" t="s">
        <v>863</v>
      </c>
      <c r="M22" s="247">
        <v>0</v>
      </c>
      <c r="N22" s="788"/>
      <c r="O22" s="789"/>
      <c r="P22" s="790"/>
    </row>
    <row r="23" spans="1:16" ht="15.75" customHeight="1" thickTop="1">
      <c r="A23" s="120"/>
      <c r="B23" s="175"/>
      <c r="C23" s="161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</row>
    <row r="24" spans="1:16" ht="15.75" customHeight="1">
      <c r="A24" s="800" t="s">
        <v>853</v>
      </c>
      <c r="B24" s="801"/>
      <c r="C24" s="541" t="s">
        <v>854</v>
      </c>
      <c r="D24" s="805" t="s">
        <v>12</v>
      </c>
      <c r="E24" s="806"/>
      <c r="F24" s="807"/>
      <c r="G24" s="539" t="s">
        <v>855</v>
      </c>
      <c r="H24" s="540"/>
      <c r="I24" s="541"/>
      <c r="J24" s="170" t="s">
        <v>856</v>
      </c>
      <c r="K24" s="356" t="s">
        <v>879</v>
      </c>
      <c r="L24" s="170" t="s">
        <v>858</v>
      </c>
      <c r="M24" s="170" t="s">
        <v>11</v>
      </c>
      <c r="N24" s="356" t="s">
        <v>859</v>
      </c>
      <c r="O24" s="796" t="s">
        <v>860</v>
      </c>
      <c r="P24" s="797"/>
    </row>
    <row r="25" spans="1:16" ht="15.75" customHeight="1">
      <c r="A25" s="726">
        <v>3</v>
      </c>
      <c r="B25" s="802" t="s">
        <v>866</v>
      </c>
      <c r="C25" s="171">
        <v>1</v>
      </c>
      <c r="D25" s="549" t="s">
        <v>371</v>
      </c>
      <c r="E25" s="794"/>
      <c r="F25" s="795"/>
      <c r="G25" s="549" t="s">
        <v>880</v>
      </c>
      <c r="H25" s="794"/>
      <c r="I25" s="795"/>
      <c r="J25" s="357">
        <v>114.4</v>
      </c>
      <c r="K25" s="14">
        <v>2.144469525959377E-2</v>
      </c>
      <c r="L25" s="357">
        <v>1.1400000000000048</v>
      </c>
      <c r="M25" s="329">
        <v>130.41600000000057</v>
      </c>
      <c r="N25" s="172"/>
      <c r="O25" s="782" t="s">
        <v>669</v>
      </c>
      <c r="P25" s="783"/>
    </row>
    <row r="26" spans="1:16" ht="15.75" customHeight="1">
      <c r="A26" s="727"/>
      <c r="B26" s="803"/>
      <c r="C26" s="171">
        <v>2</v>
      </c>
      <c r="D26" s="549">
        <v>0</v>
      </c>
      <c r="E26" s="794"/>
      <c r="F26" s="795"/>
      <c r="G26" s="549">
        <v>0</v>
      </c>
      <c r="H26" s="794"/>
      <c r="I26" s="795"/>
      <c r="J26" s="357">
        <v>0</v>
      </c>
      <c r="K26" s="14">
        <v>0</v>
      </c>
      <c r="L26" s="357">
        <v>0</v>
      </c>
      <c r="M26" s="329">
        <v>0</v>
      </c>
      <c r="N26" s="172"/>
      <c r="O26" s="782"/>
      <c r="P26" s="783"/>
    </row>
    <row r="27" spans="1:16" ht="15.75" customHeight="1">
      <c r="A27" s="727"/>
      <c r="B27" s="803"/>
      <c r="C27" s="171">
        <v>3</v>
      </c>
      <c r="D27" s="549">
        <v>0</v>
      </c>
      <c r="E27" s="794"/>
      <c r="F27" s="795"/>
      <c r="G27" s="549">
        <v>0</v>
      </c>
      <c r="H27" s="794"/>
      <c r="I27" s="795"/>
      <c r="J27" s="357">
        <v>0</v>
      </c>
      <c r="K27" s="14">
        <v>0</v>
      </c>
      <c r="L27" s="357">
        <v>0</v>
      </c>
      <c r="M27" s="329">
        <v>0</v>
      </c>
      <c r="N27" s="172"/>
      <c r="O27" s="782"/>
      <c r="P27" s="783"/>
    </row>
    <row r="28" spans="1:16" ht="15.75" customHeight="1">
      <c r="A28" s="727"/>
      <c r="B28" s="803"/>
      <c r="C28" s="171">
        <v>4</v>
      </c>
      <c r="D28" s="549">
        <v>0</v>
      </c>
      <c r="E28" s="794"/>
      <c r="F28" s="795"/>
      <c r="G28" s="549">
        <v>0</v>
      </c>
      <c r="H28" s="794"/>
      <c r="I28" s="795"/>
      <c r="J28" s="357">
        <v>0</v>
      </c>
      <c r="K28" s="14">
        <v>0</v>
      </c>
      <c r="L28" s="357">
        <v>0</v>
      </c>
      <c r="M28" s="329">
        <v>0</v>
      </c>
      <c r="N28" s="172"/>
      <c r="O28" s="782"/>
      <c r="P28" s="783"/>
    </row>
    <row r="29" spans="1:16" ht="15.75" customHeight="1" thickBot="1">
      <c r="A29" s="727"/>
      <c r="B29" s="803"/>
      <c r="C29" s="173">
        <v>5</v>
      </c>
      <c r="D29" s="791">
        <v>0</v>
      </c>
      <c r="E29" s="792"/>
      <c r="F29" s="793"/>
      <c r="G29" s="791">
        <v>0</v>
      </c>
      <c r="H29" s="792"/>
      <c r="I29" s="793"/>
      <c r="J29" s="357">
        <v>0</v>
      </c>
      <c r="K29" s="14">
        <v>0</v>
      </c>
      <c r="L29" s="357">
        <v>0</v>
      </c>
      <c r="M29" s="329">
        <v>0</v>
      </c>
      <c r="N29" s="174"/>
      <c r="O29" s="798"/>
      <c r="P29" s="799"/>
    </row>
    <row r="30" spans="1:16" ht="15.75" customHeight="1" thickTop="1" thickBot="1">
      <c r="A30" s="728"/>
      <c r="B30" s="804"/>
      <c r="C30" s="808"/>
      <c r="D30" s="809"/>
      <c r="E30" s="809"/>
      <c r="F30" s="809"/>
      <c r="G30" s="809"/>
      <c r="H30" s="809"/>
      <c r="I30" s="810"/>
      <c r="J30" s="354" t="s">
        <v>862</v>
      </c>
      <c r="K30" s="245">
        <v>1.1529602192973931E-3</v>
      </c>
      <c r="L30" s="354" t="s">
        <v>863</v>
      </c>
      <c r="M30" s="247">
        <v>130.41600000000057</v>
      </c>
      <c r="N30" s="788"/>
      <c r="O30" s="789"/>
      <c r="P30" s="790"/>
    </row>
    <row r="31" spans="1:16" ht="15.75" customHeight="1" thickTop="1"/>
  </sheetData>
  <mergeCells count="85">
    <mergeCell ref="A24:B24"/>
    <mergeCell ref="D24:F24"/>
    <mergeCell ref="O24:P24"/>
    <mergeCell ref="A25:A30"/>
    <mergeCell ref="B25:B30"/>
    <mergeCell ref="D25:F25"/>
    <mergeCell ref="G25:I25"/>
    <mergeCell ref="O25:P25"/>
    <mergeCell ref="D26:F26"/>
    <mergeCell ref="G26:I26"/>
    <mergeCell ref="O26:P26"/>
    <mergeCell ref="D27:F27"/>
    <mergeCell ref="G27:I27"/>
    <mergeCell ref="O27:P27"/>
    <mergeCell ref="C30:I30"/>
    <mergeCell ref="N30:P30"/>
    <mergeCell ref="A16:B16"/>
    <mergeCell ref="D16:F16"/>
    <mergeCell ref="O16:P16"/>
    <mergeCell ref="A17:A22"/>
    <mergeCell ref="B17:B22"/>
    <mergeCell ref="D17:F17"/>
    <mergeCell ref="G17:I17"/>
    <mergeCell ref="D18:F18"/>
    <mergeCell ref="G18:I18"/>
    <mergeCell ref="D20:F20"/>
    <mergeCell ref="C22:I22"/>
    <mergeCell ref="N22:P22"/>
    <mergeCell ref="D29:F29"/>
    <mergeCell ref="G29:I29"/>
    <mergeCell ref="O29:P29"/>
    <mergeCell ref="D28:F28"/>
    <mergeCell ref="G28:I28"/>
    <mergeCell ref="O28:P28"/>
    <mergeCell ref="D12:F12"/>
    <mergeCell ref="G12:I12"/>
    <mergeCell ref="O12:P12"/>
    <mergeCell ref="G21:I21"/>
    <mergeCell ref="O21:P21"/>
    <mergeCell ref="D19:F19"/>
    <mergeCell ref="G19:I19"/>
    <mergeCell ref="G20:I20"/>
    <mergeCell ref="O20:P20"/>
    <mergeCell ref="D21:F21"/>
    <mergeCell ref="O17:P17"/>
    <mergeCell ref="O18:P18"/>
    <mergeCell ref="O19:P19"/>
    <mergeCell ref="A9:A14"/>
    <mergeCell ref="B9:B14"/>
    <mergeCell ref="D9:F9"/>
    <mergeCell ref="G9:I9"/>
    <mergeCell ref="O9:P9"/>
    <mergeCell ref="D10:F10"/>
    <mergeCell ref="G10:I10"/>
    <mergeCell ref="D13:F13"/>
    <mergeCell ref="G13:I13"/>
    <mergeCell ref="O13:P13"/>
    <mergeCell ref="C14:I14"/>
    <mergeCell ref="N14:P14"/>
    <mergeCell ref="O10:P10"/>
    <mergeCell ref="D11:F11"/>
    <mergeCell ref="G11:I11"/>
    <mergeCell ref="O11:P11"/>
    <mergeCell ref="L6:M6"/>
    <mergeCell ref="N6:O6"/>
    <mergeCell ref="P6:Q6"/>
    <mergeCell ref="A8:B8"/>
    <mergeCell ref="D8:F8"/>
    <mergeCell ref="O8:P8"/>
    <mergeCell ref="A1:Q2"/>
    <mergeCell ref="A3:M4"/>
    <mergeCell ref="A5:A6"/>
    <mergeCell ref="B5:C5"/>
    <mergeCell ref="D5:E5"/>
    <mergeCell ref="F5:G5"/>
    <mergeCell ref="H5:I5"/>
    <mergeCell ref="J5:K5"/>
    <mergeCell ref="L5:M5"/>
    <mergeCell ref="N5:O5"/>
    <mergeCell ref="P5:Q5"/>
    <mergeCell ref="B6:C6"/>
    <mergeCell ref="D6:E6"/>
    <mergeCell ref="F6:G6"/>
    <mergeCell ref="H6:I6"/>
    <mergeCell ref="J6:K6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W39"/>
  <sheetViews>
    <sheetView view="pageBreakPreview" topLeftCell="A4" zoomScaleNormal="60" zoomScaleSheetLayoutView="100" workbookViewId="0">
      <selection activeCell="A8" sqref="A8:P38"/>
    </sheetView>
  </sheetViews>
  <sheetFormatPr defaultColWidth="12.5703125" defaultRowHeight="15.75" customHeight="1"/>
  <cols>
    <col min="1" max="1" width="5.42578125" style="362" customWidth="1"/>
    <col min="2" max="2" width="11.42578125" style="363" customWidth="1"/>
    <col min="3" max="3" width="4" style="364" customWidth="1"/>
    <col min="4" max="17" width="9.5703125" style="362" customWidth="1"/>
    <col min="18" max="16384" width="12.5703125" style="362"/>
  </cols>
  <sheetData>
    <row r="1" spans="1:23" s="183" customFormat="1" ht="15.75" customHeight="1">
      <c r="A1" s="755" t="s">
        <v>587</v>
      </c>
      <c r="B1" s="755"/>
      <c r="C1" s="755"/>
      <c r="D1" s="755"/>
      <c r="E1" s="755"/>
      <c r="F1" s="755"/>
      <c r="G1" s="755"/>
      <c r="H1" s="755"/>
      <c r="I1" s="755"/>
      <c r="J1" s="755"/>
      <c r="K1" s="755"/>
      <c r="L1" s="755"/>
      <c r="M1" s="755"/>
      <c r="N1" s="755"/>
      <c r="O1" s="755"/>
      <c r="P1" s="755"/>
      <c r="Q1" s="755"/>
    </row>
    <row r="2" spans="1:23" s="184" customFormat="1" ht="15.75" customHeight="1">
      <c r="A2" s="755"/>
      <c r="B2" s="755"/>
      <c r="C2" s="755"/>
      <c r="D2" s="755"/>
      <c r="E2" s="755"/>
      <c r="F2" s="755"/>
      <c r="G2" s="755"/>
      <c r="H2" s="755"/>
      <c r="I2" s="755"/>
      <c r="J2" s="755"/>
      <c r="K2" s="755"/>
      <c r="L2" s="755"/>
      <c r="M2" s="755"/>
      <c r="N2" s="755"/>
      <c r="O2" s="755"/>
      <c r="P2" s="755"/>
      <c r="Q2" s="755"/>
    </row>
    <row r="3" spans="1:23" s="183" customFormat="1" ht="15.75" customHeight="1">
      <c r="A3" s="756" t="s">
        <v>588</v>
      </c>
      <c r="B3" s="756"/>
      <c r="C3" s="756"/>
      <c r="D3" s="756"/>
      <c r="E3" s="756"/>
      <c r="F3" s="756"/>
      <c r="G3" s="756"/>
      <c r="H3" s="756"/>
      <c r="I3" s="756"/>
      <c r="J3" s="756"/>
      <c r="K3" s="756"/>
      <c r="L3" s="756"/>
      <c r="M3" s="756"/>
      <c r="N3" s="185"/>
    </row>
    <row r="4" spans="1:23" s="184" customFormat="1" ht="15.75" customHeight="1">
      <c r="A4" s="756"/>
      <c r="B4" s="756"/>
      <c r="C4" s="756"/>
      <c r="D4" s="756"/>
      <c r="E4" s="756"/>
      <c r="F4" s="756"/>
      <c r="G4" s="756"/>
      <c r="H4" s="756"/>
      <c r="I4" s="756"/>
      <c r="J4" s="756"/>
      <c r="K4" s="756"/>
      <c r="L4" s="756"/>
      <c r="M4" s="756"/>
      <c r="N4" s="186"/>
    </row>
    <row r="5" spans="1:23" s="183" customFormat="1" ht="15.75" customHeight="1">
      <c r="A5" s="758" t="s">
        <v>582</v>
      </c>
      <c r="B5" s="761">
        <v>1</v>
      </c>
      <c r="C5" s="761"/>
      <c r="D5" s="761">
        <v>2</v>
      </c>
      <c r="E5" s="761"/>
      <c r="F5" s="761">
        <v>3</v>
      </c>
      <c r="G5" s="761"/>
      <c r="H5" s="831">
        <v>4</v>
      </c>
      <c r="I5" s="831"/>
      <c r="J5" s="831">
        <v>5</v>
      </c>
      <c r="K5" s="831"/>
      <c r="L5" s="831">
        <v>6</v>
      </c>
      <c r="M5" s="831"/>
      <c r="N5" s="831">
        <v>7</v>
      </c>
      <c r="O5" s="831"/>
      <c r="P5" s="761">
        <v>8</v>
      </c>
      <c r="Q5" s="761"/>
    </row>
    <row r="6" spans="1:23" s="183" customFormat="1" ht="15.75" customHeight="1">
      <c r="A6" s="758"/>
      <c r="B6" s="758" t="s">
        <v>589</v>
      </c>
      <c r="C6" s="758"/>
      <c r="D6" s="758" t="s">
        <v>590</v>
      </c>
      <c r="E6" s="758"/>
      <c r="F6" s="758" t="s">
        <v>591</v>
      </c>
      <c r="G6" s="758"/>
      <c r="H6" s="834" t="s">
        <v>592</v>
      </c>
      <c r="I6" s="832"/>
      <c r="J6" s="832" t="s">
        <v>593</v>
      </c>
      <c r="K6" s="832"/>
      <c r="L6" s="832" t="s">
        <v>594</v>
      </c>
      <c r="M6" s="832"/>
      <c r="N6" s="832" t="s">
        <v>595</v>
      </c>
      <c r="O6" s="832"/>
      <c r="P6" s="833" t="s">
        <v>596</v>
      </c>
      <c r="Q6" s="758"/>
    </row>
    <row r="7" spans="1:23" s="183" customFormat="1" ht="15.75" customHeight="1">
      <c r="B7" s="359"/>
      <c r="C7" s="360"/>
    </row>
    <row r="8" spans="1:23" s="361" customFormat="1" ht="15.75" customHeight="1">
      <c r="A8" s="815" t="s">
        <v>853</v>
      </c>
      <c r="B8" s="816"/>
      <c r="C8" s="117" t="s">
        <v>854</v>
      </c>
      <c r="D8" s="817" t="s">
        <v>12</v>
      </c>
      <c r="E8" s="818"/>
      <c r="F8" s="819"/>
      <c r="G8" s="115" t="s">
        <v>855</v>
      </c>
      <c r="H8" s="116"/>
      <c r="I8" s="117"/>
      <c r="J8" s="114" t="s">
        <v>856</v>
      </c>
      <c r="K8" s="114" t="s">
        <v>879</v>
      </c>
      <c r="L8" s="114" t="s">
        <v>858</v>
      </c>
      <c r="M8" s="118" t="s">
        <v>11</v>
      </c>
      <c r="N8" s="356" t="s">
        <v>859</v>
      </c>
      <c r="O8" s="820" t="s">
        <v>860</v>
      </c>
      <c r="P8" s="821"/>
      <c r="R8" s="183"/>
      <c r="S8" s="183"/>
      <c r="T8" s="183"/>
      <c r="U8" s="183"/>
      <c r="V8" s="183"/>
      <c r="W8" s="183"/>
    </row>
    <row r="9" spans="1:23" ht="15.75" customHeight="1">
      <c r="A9" s="816">
        <v>4</v>
      </c>
      <c r="B9" s="822" t="s">
        <v>580</v>
      </c>
      <c r="C9" s="112">
        <v>1</v>
      </c>
      <c r="D9" s="549" t="s">
        <v>801</v>
      </c>
      <c r="E9" s="794"/>
      <c r="F9" s="795"/>
      <c r="G9" s="549" t="s">
        <v>802</v>
      </c>
      <c r="H9" s="794"/>
      <c r="I9" s="795"/>
      <c r="J9" s="357">
        <v>447.3</v>
      </c>
      <c r="K9" s="14">
        <v>4.1309183349222062E-3</v>
      </c>
      <c r="L9" s="357">
        <v>0.52000000000000735</v>
      </c>
      <c r="M9" s="329">
        <v>232.5960000000033</v>
      </c>
      <c r="N9" s="4"/>
      <c r="O9" s="782" t="s">
        <v>520</v>
      </c>
      <c r="P9" s="814"/>
      <c r="R9" s="183"/>
      <c r="S9" s="183"/>
      <c r="T9" s="183"/>
      <c r="U9" s="183"/>
      <c r="V9" s="183"/>
      <c r="W9" s="183"/>
    </row>
    <row r="10" spans="1:23" ht="15.75" customHeight="1">
      <c r="A10" s="816"/>
      <c r="B10" s="822"/>
      <c r="C10" s="112">
        <v>2</v>
      </c>
      <c r="D10" s="549" t="s">
        <v>834</v>
      </c>
      <c r="E10" s="794"/>
      <c r="F10" s="795"/>
      <c r="G10" s="549" t="s">
        <v>835</v>
      </c>
      <c r="H10" s="794"/>
      <c r="I10" s="795"/>
      <c r="J10" s="357">
        <v>114.68</v>
      </c>
      <c r="K10" s="14">
        <v>2.9493822239935867E-3</v>
      </c>
      <c r="L10" s="357">
        <v>1.8499999999999772</v>
      </c>
      <c r="M10" s="329">
        <v>212.1579999999974</v>
      </c>
      <c r="N10" s="4"/>
      <c r="O10" s="782" t="s">
        <v>520</v>
      </c>
      <c r="P10" s="814"/>
      <c r="R10" s="183"/>
      <c r="S10" s="183"/>
      <c r="T10" s="183"/>
      <c r="U10" s="183"/>
      <c r="V10" s="183"/>
      <c r="W10" s="183"/>
    </row>
    <row r="11" spans="1:23" ht="15.75" customHeight="1">
      <c r="A11" s="816"/>
      <c r="B11" s="822"/>
      <c r="C11" s="112">
        <v>3</v>
      </c>
      <c r="D11" s="549" t="s">
        <v>377</v>
      </c>
      <c r="E11" s="794"/>
      <c r="F11" s="795"/>
      <c r="G11" s="549" t="s">
        <v>796</v>
      </c>
      <c r="H11" s="794"/>
      <c r="I11" s="795"/>
      <c r="J11" s="357">
        <v>371.13</v>
      </c>
      <c r="K11" s="14">
        <v>2.5313559200834672E-3</v>
      </c>
      <c r="L11" s="357">
        <v>0.53099999999998881</v>
      </c>
      <c r="M11" s="329">
        <v>197.07002999999588</v>
      </c>
      <c r="N11" s="4"/>
      <c r="O11" s="782" t="s">
        <v>520</v>
      </c>
      <c r="P11" s="814"/>
      <c r="R11" s="183"/>
      <c r="S11" s="183"/>
      <c r="T11" s="183"/>
      <c r="U11" s="183"/>
      <c r="V11" s="183"/>
      <c r="W11" s="183"/>
    </row>
    <row r="12" spans="1:23" ht="15.75" customHeight="1">
      <c r="A12" s="816"/>
      <c r="B12" s="822"/>
      <c r="C12" s="112">
        <v>4</v>
      </c>
      <c r="D12" s="549" t="s">
        <v>352</v>
      </c>
      <c r="E12" s="794"/>
      <c r="F12" s="795"/>
      <c r="G12" s="549" t="s">
        <v>672</v>
      </c>
      <c r="H12" s="794"/>
      <c r="I12" s="795"/>
      <c r="J12" s="357">
        <v>111.17</v>
      </c>
      <c r="K12" s="14">
        <v>5.2508051542177036E-3</v>
      </c>
      <c r="L12" s="357">
        <v>1.707000000000096</v>
      </c>
      <c r="M12" s="329">
        <v>189.76719000001066</v>
      </c>
      <c r="N12" s="4"/>
      <c r="O12" s="782" t="s">
        <v>520</v>
      </c>
      <c r="P12" s="814"/>
      <c r="R12" s="183"/>
      <c r="S12" s="183"/>
      <c r="T12" s="183"/>
      <c r="U12" s="183"/>
      <c r="V12" s="183"/>
      <c r="W12" s="183"/>
    </row>
    <row r="13" spans="1:23" ht="15.75" customHeight="1" thickBot="1">
      <c r="A13" s="816"/>
      <c r="B13" s="822"/>
      <c r="C13" s="113">
        <v>5</v>
      </c>
      <c r="D13" s="549" t="s">
        <v>869</v>
      </c>
      <c r="E13" s="794"/>
      <c r="F13" s="795"/>
      <c r="G13" s="549" t="s">
        <v>870</v>
      </c>
      <c r="H13" s="794"/>
      <c r="I13" s="795"/>
      <c r="J13" s="357">
        <v>325.01</v>
      </c>
      <c r="K13" s="14">
        <v>2.8183448629259837E-3</v>
      </c>
      <c r="L13" s="357">
        <v>0.55000000000000571</v>
      </c>
      <c r="M13" s="329">
        <v>178.75550000000183</v>
      </c>
      <c r="N13" s="4"/>
      <c r="O13" s="782" t="s">
        <v>520</v>
      </c>
      <c r="P13" s="814"/>
      <c r="R13" s="183"/>
      <c r="S13" s="183"/>
      <c r="T13" s="183"/>
      <c r="U13" s="183"/>
      <c r="V13" s="183"/>
      <c r="W13" s="183"/>
    </row>
    <row r="14" spans="1:23" ht="15.75" customHeight="1" thickTop="1" thickBot="1">
      <c r="A14" s="816"/>
      <c r="B14" s="822"/>
      <c r="C14" s="824"/>
      <c r="D14" s="824"/>
      <c r="E14" s="824"/>
      <c r="F14" s="824"/>
      <c r="G14" s="824"/>
      <c r="H14" s="824"/>
      <c r="I14" s="824"/>
      <c r="J14" s="246" t="s">
        <v>862</v>
      </c>
      <c r="K14" s="245">
        <v>8.9321063048828937E-3</v>
      </c>
      <c r="L14" s="246" t="s">
        <v>863</v>
      </c>
      <c r="M14" s="247">
        <v>1010.3467200000091</v>
      </c>
      <c r="N14" s="823"/>
      <c r="O14" s="823"/>
      <c r="P14" s="823"/>
      <c r="R14" s="183"/>
      <c r="S14" s="183"/>
      <c r="T14" s="183"/>
      <c r="U14" s="183"/>
      <c r="V14" s="183"/>
      <c r="W14" s="183"/>
    </row>
    <row r="15" spans="1:23" ht="15.75" customHeight="1" thickTop="1">
      <c r="A15" s="535"/>
      <c r="B15" s="111"/>
      <c r="C15" s="109"/>
      <c r="D15" s="535"/>
      <c r="E15" s="535"/>
      <c r="F15" s="535"/>
      <c r="G15" s="535"/>
      <c r="H15" s="535"/>
      <c r="I15" s="535"/>
      <c r="J15" s="535"/>
      <c r="K15" s="535"/>
      <c r="L15" s="535"/>
      <c r="M15" s="535"/>
      <c r="N15" s="535"/>
      <c r="O15" s="535"/>
      <c r="P15" s="535"/>
      <c r="R15" s="183"/>
      <c r="S15" s="183"/>
      <c r="T15" s="183"/>
      <c r="U15" s="183"/>
      <c r="V15" s="183"/>
      <c r="W15" s="183"/>
    </row>
    <row r="16" spans="1:23" ht="15.75" customHeight="1">
      <c r="A16" s="815" t="s">
        <v>853</v>
      </c>
      <c r="B16" s="816"/>
      <c r="C16" s="117" t="s">
        <v>854</v>
      </c>
      <c r="D16" s="817" t="s">
        <v>12</v>
      </c>
      <c r="E16" s="818"/>
      <c r="F16" s="819"/>
      <c r="G16" s="115" t="s">
        <v>855</v>
      </c>
      <c r="H16" s="116"/>
      <c r="I16" s="117"/>
      <c r="J16" s="114" t="s">
        <v>856</v>
      </c>
      <c r="K16" s="114" t="s">
        <v>879</v>
      </c>
      <c r="L16" s="114" t="s">
        <v>858</v>
      </c>
      <c r="M16" s="118" t="s">
        <v>11</v>
      </c>
      <c r="N16" s="356" t="s">
        <v>859</v>
      </c>
      <c r="O16" s="820" t="s">
        <v>860</v>
      </c>
      <c r="P16" s="821"/>
      <c r="R16" s="183"/>
      <c r="S16" s="183"/>
      <c r="T16" s="183"/>
      <c r="U16" s="183"/>
      <c r="V16" s="183"/>
      <c r="W16" s="183"/>
    </row>
    <row r="17" spans="1:23" ht="15.75" customHeight="1">
      <c r="A17" s="816">
        <v>5</v>
      </c>
      <c r="B17" s="825" t="s">
        <v>212</v>
      </c>
      <c r="C17" s="112">
        <v>1</v>
      </c>
      <c r="D17" s="549" t="s">
        <v>355</v>
      </c>
      <c r="E17" s="794"/>
      <c r="F17" s="795"/>
      <c r="G17" s="549" t="s">
        <v>746</v>
      </c>
      <c r="H17" s="794"/>
      <c r="I17" s="795"/>
      <c r="J17" s="357">
        <v>581.91999999999996</v>
      </c>
      <c r="K17" s="14">
        <v>1.9014602374198882E-2</v>
      </c>
      <c r="L17" s="357">
        <v>0.36199999999999832</v>
      </c>
      <c r="M17" s="329">
        <v>210.65503999999902</v>
      </c>
      <c r="N17" s="4"/>
      <c r="O17" s="782" t="s">
        <v>597</v>
      </c>
      <c r="P17" s="783"/>
      <c r="R17" s="183"/>
      <c r="S17" s="183"/>
      <c r="T17" s="183"/>
      <c r="U17" s="183"/>
      <c r="V17" s="183"/>
      <c r="W17" s="183"/>
    </row>
    <row r="18" spans="1:23" ht="15.75" customHeight="1">
      <c r="A18" s="816"/>
      <c r="B18" s="822"/>
      <c r="C18" s="112">
        <v>2</v>
      </c>
      <c r="D18" s="549" t="s">
        <v>375</v>
      </c>
      <c r="E18" s="794"/>
      <c r="F18" s="795"/>
      <c r="G18" s="549" t="s">
        <v>393</v>
      </c>
      <c r="H18" s="794"/>
      <c r="I18" s="795"/>
      <c r="J18" s="357">
        <v>420.33</v>
      </c>
      <c r="K18" s="14">
        <v>5.4574638844301767E-3</v>
      </c>
      <c r="L18" s="357">
        <v>0.42499999999999999</v>
      </c>
      <c r="M18" s="329">
        <v>178.64025000000001</v>
      </c>
      <c r="N18" s="4"/>
      <c r="O18" s="782" t="s">
        <v>597</v>
      </c>
      <c r="P18" s="783"/>
      <c r="R18" s="183"/>
      <c r="S18" s="183"/>
      <c r="T18" s="183"/>
      <c r="U18" s="183"/>
      <c r="V18" s="183"/>
      <c r="W18" s="183"/>
    </row>
    <row r="19" spans="1:23" ht="15.75" customHeight="1">
      <c r="A19" s="816"/>
      <c r="B19" s="822"/>
      <c r="C19" s="112">
        <v>3</v>
      </c>
      <c r="D19" s="549" t="s">
        <v>807</v>
      </c>
      <c r="E19" s="794"/>
      <c r="F19" s="795"/>
      <c r="G19" s="549" t="s">
        <v>808</v>
      </c>
      <c r="H19" s="794"/>
      <c r="I19" s="795"/>
      <c r="J19" s="357">
        <v>310.27999999999997</v>
      </c>
      <c r="K19" s="14">
        <v>6.7637877211238892E-3</v>
      </c>
      <c r="L19" s="357">
        <v>0.52000000000000457</v>
      </c>
      <c r="M19" s="329">
        <v>161.34560000000141</v>
      </c>
      <c r="N19" s="4"/>
      <c r="O19" s="782" t="s">
        <v>597</v>
      </c>
      <c r="P19" s="783"/>
      <c r="R19" s="183"/>
      <c r="S19" s="183"/>
      <c r="T19" s="183"/>
      <c r="U19" s="183"/>
      <c r="V19" s="183"/>
      <c r="W19" s="183"/>
    </row>
    <row r="20" spans="1:23" ht="15.75" customHeight="1">
      <c r="A20" s="816"/>
      <c r="B20" s="822"/>
      <c r="C20" s="112">
        <v>4</v>
      </c>
      <c r="D20" s="549" t="s">
        <v>803</v>
      </c>
      <c r="E20" s="794"/>
      <c r="F20" s="795"/>
      <c r="G20" s="549" t="s">
        <v>881</v>
      </c>
      <c r="H20" s="794"/>
      <c r="I20" s="795"/>
      <c r="J20" s="357">
        <v>290.85000000000002</v>
      </c>
      <c r="K20" s="14">
        <v>5.7253224805131385E-3</v>
      </c>
      <c r="L20" s="357">
        <v>0.41499999999999487</v>
      </c>
      <c r="M20" s="329">
        <v>120.7027499999985</v>
      </c>
      <c r="N20" s="4"/>
      <c r="O20" s="782" t="s">
        <v>597</v>
      </c>
      <c r="P20" s="783"/>
      <c r="R20" s="183"/>
      <c r="S20" s="183"/>
      <c r="T20" s="183"/>
      <c r="U20" s="183"/>
      <c r="V20" s="183"/>
      <c r="W20" s="183"/>
    </row>
    <row r="21" spans="1:23" ht="15.75" customHeight="1" thickBot="1">
      <c r="A21" s="816"/>
      <c r="B21" s="822"/>
      <c r="C21" s="113">
        <v>5</v>
      </c>
      <c r="D21" s="549">
        <v>0</v>
      </c>
      <c r="E21" s="794"/>
      <c r="F21" s="795"/>
      <c r="G21" s="549">
        <v>0</v>
      </c>
      <c r="H21" s="794"/>
      <c r="I21" s="795"/>
      <c r="J21" s="357">
        <v>0</v>
      </c>
      <c r="K21" s="14">
        <v>0</v>
      </c>
      <c r="L21" s="357">
        <v>0</v>
      </c>
      <c r="M21" s="329">
        <v>0</v>
      </c>
      <c r="N21" s="4"/>
      <c r="O21" s="782" t="s">
        <v>597</v>
      </c>
      <c r="P21" s="783"/>
      <c r="R21" s="183"/>
      <c r="S21" s="183"/>
      <c r="T21" s="183"/>
      <c r="U21" s="183"/>
      <c r="V21" s="183"/>
      <c r="W21" s="183"/>
    </row>
    <row r="22" spans="1:23" ht="15.75" customHeight="1" thickTop="1" thickBot="1">
      <c r="A22" s="816"/>
      <c r="B22" s="822"/>
      <c r="C22" s="829"/>
      <c r="D22" s="829"/>
      <c r="E22" s="829"/>
      <c r="F22" s="829"/>
      <c r="G22" s="829"/>
      <c r="H22" s="829"/>
      <c r="I22" s="830"/>
      <c r="J22" s="119" t="s">
        <v>862</v>
      </c>
      <c r="K22" s="245">
        <v>5.9351039013488035E-3</v>
      </c>
      <c r="L22" s="119" t="s">
        <v>863</v>
      </c>
      <c r="M22" s="247">
        <v>671.34363999999891</v>
      </c>
      <c r="N22" s="826"/>
      <c r="O22" s="827"/>
      <c r="P22" s="828"/>
      <c r="R22" s="183"/>
      <c r="S22" s="183"/>
      <c r="T22" s="183"/>
      <c r="U22" s="183"/>
      <c r="V22" s="183"/>
      <c r="W22" s="183"/>
    </row>
    <row r="23" spans="1:23" ht="15.75" customHeight="1" thickTop="1">
      <c r="A23" s="535"/>
      <c r="B23" s="111"/>
      <c r="C23" s="109"/>
      <c r="D23" s="535"/>
      <c r="E23" s="535"/>
      <c r="F23" s="535"/>
      <c r="G23" s="535"/>
      <c r="H23" s="535"/>
      <c r="I23" s="535"/>
      <c r="J23" s="535"/>
      <c r="K23" s="535"/>
      <c r="L23" s="535"/>
      <c r="M23" s="535"/>
      <c r="N23" s="535"/>
      <c r="O23" s="535"/>
      <c r="P23" s="535"/>
      <c r="R23" s="183"/>
      <c r="S23" s="183"/>
      <c r="T23" s="183"/>
      <c r="U23" s="183"/>
      <c r="V23" s="183"/>
      <c r="W23" s="183"/>
    </row>
    <row r="24" spans="1:23" ht="15.75" customHeight="1">
      <c r="A24" s="815" t="s">
        <v>853</v>
      </c>
      <c r="B24" s="816"/>
      <c r="C24" s="117" t="s">
        <v>854</v>
      </c>
      <c r="D24" s="817" t="s">
        <v>12</v>
      </c>
      <c r="E24" s="818"/>
      <c r="F24" s="819"/>
      <c r="G24" s="115" t="s">
        <v>855</v>
      </c>
      <c r="H24" s="116"/>
      <c r="I24" s="117"/>
      <c r="J24" s="114" t="s">
        <v>856</v>
      </c>
      <c r="K24" s="114" t="s">
        <v>879</v>
      </c>
      <c r="L24" s="114" t="s">
        <v>858</v>
      </c>
      <c r="M24" s="118" t="s">
        <v>11</v>
      </c>
      <c r="N24" s="356" t="s">
        <v>859</v>
      </c>
      <c r="O24" s="820" t="s">
        <v>860</v>
      </c>
      <c r="P24" s="821"/>
      <c r="R24" s="183"/>
      <c r="S24" s="183"/>
      <c r="T24" s="183"/>
      <c r="U24" s="183"/>
      <c r="V24" s="183"/>
      <c r="W24" s="183"/>
    </row>
    <row r="25" spans="1:23" ht="15.75" customHeight="1">
      <c r="A25" s="816">
        <v>6</v>
      </c>
      <c r="B25" s="825" t="s">
        <v>213</v>
      </c>
      <c r="C25" s="112">
        <v>1</v>
      </c>
      <c r="D25" s="549" t="s">
        <v>742</v>
      </c>
      <c r="E25" s="794"/>
      <c r="F25" s="795"/>
      <c r="G25" s="549" t="s">
        <v>354</v>
      </c>
      <c r="H25" s="794"/>
      <c r="I25" s="795"/>
      <c r="J25" s="357">
        <v>487.6</v>
      </c>
      <c r="K25" s="14">
        <v>1.1222468943167523E-2</v>
      </c>
      <c r="L25" s="357">
        <v>0.37400000000000089</v>
      </c>
      <c r="M25" s="329">
        <v>182.36240000000043</v>
      </c>
      <c r="N25" s="4"/>
      <c r="O25" s="782" t="s">
        <v>882</v>
      </c>
      <c r="P25" s="814"/>
      <c r="R25" s="183"/>
      <c r="S25" s="183"/>
      <c r="T25" s="183"/>
      <c r="U25" s="183"/>
      <c r="V25" s="183"/>
      <c r="W25" s="183"/>
    </row>
    <row r="26" spans="1:23" ht="15.75" customHeight="1">
      <c r="A26" s="816"/>
      <c r="B26" s="822"/>
      <c r="C26" s="112">
        <v>2</v>
      </c>
      <c r="D26" s="549" t="s">
        <v>741</v>
      </c>
      <c r="E26" s="794"/>
      <c r="F26" s="795"/>
      <c r="G26" s="549" t="s">
        <v>827</v>
      </c>
      <c r="H26" s="794"/>
      <c r="I26" s="795"/>
      <c r="J26" s="357">
        <v>444.88</v>
      </c>
      <c r="K26" s="14">
        <v>1.5873015873015917E-2</v>
      </c>
      <c r="L26" s="357">
        <v>0.25000000000000072</v>
      </c>
      <c r="M26" s="329">
        <v>111.22000000000031</v>
      </c>
      <c r="N26" s="4"/>
      <c r="O26" s="782" t="s">
        <v>828</v>
      </c>
      <c r="P26" s="814"/>
      <c r="R26" s="183"/>
      <c r="S26" s="183"/>
      <c r="T26" s="183"/>
      <c r="U26" s="183"/>
      <c r="V26" s="183"/>
      <c r="W26" s="183"/>
    </row>
    <row r="27" spans="1:23" ht="15.75" customHeight="1">
      <c r="A27" s="816"/>
      <c r="B27" s="822"/>
      <c r="C27" s="112">
        <v>3</v>
      </c>
      <c r="D27" s="549">
        <v>0</v>
      </c>
      <c r="E27" s="794"/>
      <c r="F27" s="795"/>
      <c r="G27" s="549">
        <v>0</v>
      </c>
      <c r="H27" s="794"/>
      <c r="I27" s="795"/>
      <c r="J27" s="357">
        <v>0</v>
      </c>
      <c r="K27" s="14">
        <v>0</v>
      </c>
      <c r="L27" s="357">
        <v>0</v>
      </c>
      <c r="M27" s="329">
        <v>0</v>
      </c>
      <c r="N27" s="4"/>
      <c r="O27" s="782"/>
      <c r="P27" s="814"/>
      <c r="R27" s="183"/>
      <c r="S27" s="183"/>
      <c r="T27" s="183"/>
      <c r="U27" s="183"/>
      <c r="V27" s="183"/>
      <c r="W27" s="183"/>
    </row>
    <row r="28" spans="1:23" ht="15.75" customHeight="1">
      <c r="A28" s="816"/>
      <c r="B28" s="822"/>
      <c r="C28" s="112">
        <v>4</v>
      </c>
      <c r="D28" s="549">
        <v>0</v>
      </c>
      <c r="E28" s="794"/>
      <c r="F28" s="795"/>
      <c r="G28" s="549">
        <v>0</v>
      </c>
      <c r="H28" s="794"/>
      <c r="I28" s="795"/>
      <c r="J28" s="357">
        <v>0</v>
      </c>
      <c r="K28" s="14">
        <v>0</v>
      </c>
      <c r="L28" s="357">
        <v>0</v>
      </c>
      <c r="M28" s="329">
        <v>0</v>
      </c>
      <c r="N28" s="4"/>
      <c r="O28" s="782"/>
      <c r="P28" s="814"/>
      <c r="R28" s="183"/>
      <c r="S28" s="183"/>
      <c r="T28" s="183"/>
      <c r="U28" s="183"/>
      <c r="V28" s="183"/>
      <c r="W28" s="183"/>
    </row>
    <row r="29" spans="1:23" ht="15.75" customHeight="1" thickBot="1">
      <c r="A29" s="816"/>
      <c r="B29" s="822"/>
      <c r="C29" s="113">
        <v>5</v>
      </c>
      <c r="D29" s="549">
        <v>0</v>
      </c>
      <c r="E29" s="794"/>
      <c r="F29" s="795"/>
      <c r="G29" s="549">
        <v>0</v>
      </c>
      <c r="H29" s="794"/>
      <c r="I29" s="795"/>
      <c r="J29" s="357">
        <v>0</v>
      </c>
      <c r="K29" s="14">
        <v>0</v>
      </c>
      <c r="L29" s="357">
        <v>0</v>
      </c>
      <c r="M29" s="329">
        <v>0</v>
      </c>
      <c r="N29" s="4"/>
      <c r="O29" s="782"/>
      <c r="P29" s="814"/>
      <c r="R29" s="183"/>
      <c r="S29" s="183"/>
      <c r="T29" s="183"/>
      <c r="U29" s="183"/>
      <c r="V29" s="183"/>
      <c r="W29" s="183"/>
    </row>
    <row r="30" spans="1:23" ht="15.75" customHeight="1" thickTop="1" thickBot="1">
      <c r="A30" s="816"/>
      <c r="B30" s="822"/>
      <c r="C30" s="829"/>
      <c r="D30" s="829"/>
      <c r="E30" s="829"/>
      <c r="F30" s="829"/>
      <c r="G30" s="829"/>
      <c r="H30" s="829"/>
      <c r="I30" s="830"/>
      <c r="J30" s="119" t="s">
        <v>862</v>
      </c>
      <c r="K30" s="245">
        <v>2.5954547623439949E-3</v>
      </c>
      <c r="L30" s="119" t="s">
        <v>863</v>
      </c>
      <c r="M30" s="247">
        <v>293.58240000000075</v>
      </c>
      <c r="N30" s="826"/>
      <c r="O30" s="827"/>
      <c r="P30" s="828"/>
      <c r="R30" s="183"/>
      <c r="S30" s="183"/>
      <c r="T30" s="183"/>
      <c r="U30" s="183"/>
      <c r="V30" s="183"/>
      <c r="W30" s="183"/>
    </row>
    <row r="31" spans="1:23" ht="15.75" customHeight="1" thickTop="1">
      <c r="A31" s="535"/>
      <c r="B31" s="111"/>
      <c r="C31" s="109"/>
      <c r="D31" s="535"/>
      <c r="E31" s="535"/>
      <c r="F31" s="535"/>
      <c r="G31" s="535"/>
      <c r="H31" s="535"/>
      <c r="I31" s="535"/>
      <c r="J31" s="535"/>
      <c r="K31" s="535"/>
      <c r="L31" s="535"/>
      <c r="M31" s="535"/>
      <c r="N31" s="535"/>
      <c r="O31" s="535"/>
      <c r="P31" s="535"/>
      <c r="R31" s="183"/>
      <c r="S31" s="183"/>
      <c r="T31" s="183"/>
      <c r="U31" s="183"/>
      <c r="V31" s="183"/>
      <c r="W31" s="183"/>
    </row>
    <row r="32" spans="1:23" ht="15.75" customHeight="1">
      <c r="A32" s="815" t="s">
        <v>853</v>
      </c>
      <c r="B32" s="816"/>
      <c r="C32" s="117" t="s">
        <v>854</v>
      </c>
      <c r="D32" s="817" t="s">
        <v>12</v>
      </c>
      <c r="E32" s="818"/>
      <c r="F32" s="819"/>
      <c r="G32" s="115" t="s">
        <v>855</v>
      </c>
      <c r="H32" s="116"/>
      <c r="I32" s="117"/>
      <c r="J32" s="114" t="s">
        <v>856</v>
      </c>
      <c r="K32" s="114" t="s">
        <v>879</v>
      </c>
      <c r="L32" s="114" t="s">
        <v>858</v>
      </c>
      <c r="M32" s="118" t="s">
        <v>11</v>
      </c>
      <c r="N32" s="118" t="s">
        <v>13</v>
      </c>
      <c r="O32" s="820" t="s">
        <v>860</v>
      </c>
      <c r="P32" s="821"/>
      <c r="R32" s="183"/>
      <c r="S32" s="183"/>
      <c r="T32" s="183"/>
      <c r="U32" s="183"/>
      <c r="V32" s="183"/>
      <c r="W32" s="183"/>
    </row>
    <row r="33" spans="1:23" ht="15.75" customHeight="1">
      <c r="A33" s="816">
        <v>7</v>
      </c>
      <c r="B33" s="825" t="s">
        <v>876</v>
      </c>
      <c r="C33" s="112">
        <v>1</v>
      </c>
      <c r="D33" s="549" t="s">
        <v>348</v>
      </c>
      <c r="E33" s="794"/>
      <c r="F33" s="795"/>
      <c r="G33" s="549" t="s">
        <v>838</v>
      </c>
      <c r="H33" s="794"/>
      <c r="I33" s="795"/>
      <c r="J33" s="357">
        <v>1760</v>
      </c>
      <c r="K33" s="14">
        <v>5.9941520467836143E-2</v>
      </c>
      <c r="L33" s="357">
        <v>0.1639999999999997</v>
      </c>
      <c r="M33" s="329">
        <v>288.63999999999947</v>
      </c>
      <c r="N33" s="4"/>
      <c r="O33" s="782" t="s">
        <v>878</v>
      </c>
      <c r="P33" s="814"/>
      <c r="R33" s="183"/>
      <c r="S33" s="183"/>
      <c r="T33" s="183"/>
      <c r="U33" s="183"/>
      <c r="V33" s="183"/>
      <c r="W33" s="183"/>
    </row>
    <row r="34" spans="1:23" ht="15.75" customHeight="1">
      <c r="A34" s="816"/>
      <c r="B34" s="822"/>
      <c r="C34" s="112">
        <v>2</v>
      </c>
      <c r="D34" s="549" t="s">
        <v>768</v>
      </c>
      <c r="E34" s="794"/>
      <c r="F34" s="795"/>
      <c r="G34" s="549" t="s">
        <v>769</v>
      </c>
      <c r="H34" s="794"/>
      <c r="I34" s="795"/>
      <c r="J34" s="357">
        <v>1760</v>
      </c>
      <c r="K34" s="14">
        <v>2.9543419874664127E-2</v>
      </c>
      <c r="L34" s="357">
        <v>0.13199999999999931</v>
      </c>
      <c r="M34" s="329">
        <v>232.3199999999988</v>
      </c>
      <c r="N34" s="4"/>
      <c r="O34" s="782" t="s">
        <v>878</v>
      </c>
      <c r="P34" s="814"/>
      <c r="R34" s="183"/>
      <c r="S34" s="183"/>
      <c r="T34" s="183"/>
      <c r="U34" s="183"/>
      <c r="V34" s="183"/>
      <c r="W34" s="183"/>
    </row>
    <row r="35" spans="1:23" ht="15.75" customHeight="1">
      <c r="A35" s="816"/>
      <c r="B35" s="822"/>
      <c r="C35" s="112">
        <v>3</v>
      </c>
      <c r="D35" s="549" t="s">
        <v>836</v>
      </c>
      <c r="E35" s="794"/>
      <c r="F35" s="795"/>
      <c r="G35" s="549" t="s">
        <v>837</v>
      </c>
      <c r="H35" s="794"/>
      <c r="I35" s="795"/>
      <c r="J35" s="357">
        <v>771.4</v>
      </c>
      <c r="K35" s="14">
        <v>6.9225928256765904E-3</v>
      </c>
      <c r="L35" s="357">
        <v>0.24750000000000227</v>
      </c>
      <c r="M35" s="329">
        <v>190.92150000000174</v>
      </c>
      <c r="N35" s="4"/>
      <c r="O35" s="782" t="s">
        <v>878</v>
      </c>
      <c r="P35" s="814"/>
      <c r="R35" s="183"/>
      <c r="S35" s="183"/>
      <c r="T35" s="183"/>
      <c r="U35" s="183"/>
      <c r="V35" s="183"/>
      <c r="W35" s="183"/>
    </row>
    <row r="36" spans="1:23" ht="15.75" customHeight="1">
      <c r="A36" s="816"/>
      <c r="B36" s="822"/>
      <c r="C36" s="112">
        <v>4</v>
      </c>
      <c r="D36" s="549" t="s">
        <v>872</v>
      </c>
      <c r="E36" s="794"/>
      <c r="F36" s="795"/>
      <c r="G36" s="549" t="s">
        <v>883</v>
      </c>
      <c r="H36" s="794"/>
      <c r="I36" s="795"/>
      <c r="J36" s="357">
        <v>790</v>
      </c>
      <c r="K36" s="14">
        <v>1.2921594393342129E-2</v>
      </c>
      <c r="L36" s="357">
        <v>0.23600000000000065</v>
      </c>
      <c r="M36" s="329">
        <v>186.44000000000051</v>
      </c>
      <c r="N36" s="4"/>
      <c r="O36" s="782" t="s">
        <v>878</v>
      </c>
      <c r="P36" s="814"/>
      <c r="R36" s="183"/>
      <c r="S36" s="183"/>
      <c r="T36" s="183"/>
      <c r="U36" s="183"/>
      <c r="V36" s="183"/>
      <c r="W36" s="183"/>
    </row>
    <row r="37" spans="1:23" ht="15.75" customHeight="1" thickBot="1">
      <c r="A37" s="816"/>
      <c r="B37" s="822"/>
      <c r="C37" s="113">
        <v>5</v>
      </c>
      <c r="D37" s="549" t="s">
        <v>884</v>
      </c>
      <c r="E37" s="794"/>
      <c r="F37" s="795"/>
      <c r="G37" s="549" t="s">
        <v>885</v>
      </c>
      <c r="H37" s="794"/>
      <c r="I37" s="795"/>
      <c r="J37" s="357">
        <v>593.27</v>
      </c>
      <c r="K37" s="14">
        <v>5.4790754305689051E-3</v>
      </c>
      <c r="L37" s="357">
        <v>0.27899999999999919</v>
      </c>
      <c r="M37" s="329">
        <v>165.5223299999995</v>
      </c>
      <c r="N37" s="4"/>
      <c r="O37" s="782" t="s">
        <v>878</v>
      </c>
      <c r="P37" s="814"/>
      <c r="R37" s="183"/>
      <c r="S37" s="183"/>
      <c r="T37" s="183"/>
      <c r="U37" s="183"/>
      <c r="V37" s="183"/>
      <c r="W37" s="183"/>
    </row>
    <row r="38" spans="1:23" ht="15.75" customHeight="1" thickTop="1" thickBot="1">
      <c r="A38" s="816"/>
      <c r="B38" s="822"/>
      <c r="C38" s="829"/>
      <c r="D38" s="829"/>
      <c r="E38" s="829"/>
      <c r="F38" s="829"/>
      <c r="G38" s="829"/>
      <c r="H38" s="829"/>
      <c r="I38" s="830"/>
      <c r="J38" s="119" t="s">
        <v>862</v>
      </c>
      <c r="K38" s="245">
        <v>9.4050547136468945E-3</v>
      </c>
      <c r="L38" s="119" t="s">
        <v>863</v>
      </c>
      <c r="M38" s="247">
        <v>1063.84383</v>
      </c>
      <c r="N38" s="826"/>
      <c r="O38" s="827"/>
      <c r="P38" s="828"/>
      <c r="R38" s="183"/>
      <c r="S38" s="183"/>
      <c r="T38" s="183"/>
      <c r="U38" s="183"/>
      <c r="V38" s="183"/>
      <c r="W38" s="183"/>
    </row>
    <row r="39" spans="1:23" ht="15.75" customHeight="1" thickTop="1"/>
  </sheetData>
  <mergeCells count="107">
    <mergeCell ref="A32:B32"/>
    <mergeCell ref="D32:F32"/>
    <mergeCell ref="O32:P32"/>
    <mergeCell ref="A33:A38"/>
    <mergeCell ref="B33:B38"/>
    <mergeCell ref="D33:F33"/>
    <mergeCell ref="G33:I33"/>
    <mergeCell ref="O33:P33"/>
    <mergeCell ref="C38:I38"/>
    <mergeCell ref="N38:P38"/>
    <mergeCell ref="D36:F36"/>
    <mergeCell ref="G36:I36"/>
    <mergeCell ref="O36:P36"/>
    <mergeCell ref="D37:F37"/>
    <mergeCell ref="G37:I37"/>
    <mergeCell ref="O37:P37"/>
    <mergeCell ref="D34:F34"/>
    <mergeCell ref="G34:I34"/>
    <mergeCell ref="O34:P34"/>
    <mergeCell ref="D35:F35"/>
    <mergeCell ref="G35:I35"/>
    <mergeCell ref="O35:P35"/>
    <mergeCell ref="A24:B24"/>
    <mergeCell ref="D24:F24"/>
    <mergeCell ref="O24:P24"/>
    <mergeCell ref="A25:A30"/>
    <mergeCell ref="B25:B30"/>
    <mergeCell ref="D25:F25"/>
    <mergeCell ref="G25:I25"/>
    <mergeCell ref="O25:P25"/>
    <mergeCell ref="D28:F28"/>
    <mergeCell ref="G28:I28"/>
    <mergeCell ref="O28:P28"/>
    <mergeCell ref="D29:F29"/>
    <mergeCell ref="G29:I29"/>
    <mergeCell ref="O29:P29"/>
    <mergeCell ref="D26:F26"/>
    <mergeCell ref="G26:I26"/>
    <mergeCell ref="O26:P26"/>
    <mergeCell ref="D27:F27"/>
    <mergeCell ref="G27:I27"/>
    <mergeCell ref="O27:P27"/>
    <mergeCell ref="C30:I30"/>
    <mergeCell ref="N30:P30"/>
    <mergeCell ref="O19:P19"/>
    <mergeCell ref="D20:F20"/>
    <mergeCell ref="G20:I20"/>
    <mergeCell ref="O20:P20"/>
    <mergeCell ref="D21:F21"/>
    <mergeCell ref="G21:I21"/>
    <mergeCell ref="O21:P21"/>
    <mergeCell ref="A17:A22"/>
    <mergeCell ref="B17:B22"/>
    <mergeCell ref="D17:F17"/>
    <mergeCell ref="G17:I17"/>
    <mergeCell ref="O17:P17"/>
    <mergeCell ref="D18:F18"/>
    <mergeCell ref="G18:I18"/>
    <mergeCell ref="O18:P18"/>
    <mergeCell ref="D19:F19"/>
    <mergeCell ref="G19:I19"/>
    <mergeCell ref="C22:I22"/>
    <mergeCell ref="N22:P22"/>
    <mergeCell ref="A16:B16"/>
    <mergeCell ref="D16:F16"/>
    <mergeCell ref="O16:P16"/>
    <mergeCell ref="O10:P10"/>
    <mergeCell ref="D11:F11"/>
    <mergeCell ref="G11:I11"/>
    <mergeCell ref="O11:P11"/>
    <mergeCell ref="D12:F12"/>
    <mergeCell ref="G12:I12"/>
    <mergeCell ref="O12:P12"/>
    <mergeCell ref="A8:B8"/>
    <mergeCell ref="D8:F8"/>
    <mergeCell ref="O8:P8"/>
    <mergeCell ref="A9:A14"/>
    <mergeCell ref="B9:B14"/>
    <mergeCell ref="D9:F9"/>
    <mergeCell ref="G9:I9"/>
    <mergeCell ref="O9:P9"/>
    <mergeCell ref="D10:F10"/>
    <mergeCell ref="G10:I10"/>
    <mergeCell ref="D13:F13"/>
    <mergeCell ref="G13:I13"/>
    <mergeCell ref="O13:P13"/>
    <mergeCell ref="C14:I14"/>
    <mergeCell ref="N14:P14"/>
    <mergeCell ref="A1:Q2"/>
    <mergeCell ref="A3:M4"/>
    <mergeCell ref="A5:A6"/>
    <mergeCell ref="B5:C5"/>
    <mergeCell ref="D5:E5"/>
    <mergeCell ref="F5:G5"/>
    <mergeCell ref="H5:I5"/>
    <mergeCell ref="J5:K5"/>
    <mergeCell ref="L5:M5"/>
    <mergeCell ref="N5:O5"/>
    <mergeCell ref="P5:Q5"/>
    <mergeCell ref="B6:C6"/>
    <mergeCell ref="D6:E6"/>
    <mergeCell ref="F6:G6"/>
    <mergeCell ref="H6:I6"/>
    <mergeCell ref="J6:K6"/>
    <mergeCell ref="L6:M6"/>
    <mergeCell ref="N6:O6"/>
    <mergeCell ref="P6:Q6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Q20"/>
  <sheetViews>
    <sheetView view="pageBreakPreview" zoomScale="115" zoomScaleNormal="60" zoomScaleSheetLayoutView="115" workbookViewId="0">
      <selection activeCell="R32" sqref="R32"/>
    </sheetView>
  </sheetViews>
  <sheetFormatPr defaultColWidth="12.5703125" defaultRowHeight="15.75" customHeight="1"/>
  <cols>
    <col min="1" max="1" width="5.42578125" style="120" customWidth="1"/>
    <col min="2" max="2" width="7.85546875" style="176" customWidth="1"/>
    <col min="3" max="3" width="4" style="161" customWidth="1"/>
    <col min="4" max="17" width="8.5703125" style="120" customWidth="1"/>
    <col min="18" max="16384" width="12.5703125" style="120"/>
  </cols>
  <sheetData>
    <row r="1" spans="1:17" ht="15.75" customHeight="1">
      <c r="A1" s="571" t="s">
        <v>204</v>
      </c>
      <c r="B1" s="571"/>
      <c r="C1" s="571"/>
      <c r="D1" s="571"/>
      <c r="E1" s="571"/>
      <c r="F1" s="571"/>
      <c r="G1" s="571"/>
      <c r="H1" s="571"/>
      <c r="I1" s="571"/>
      <c r="J1" s="571"/>
      <c r="K1" s="571"/>
      <c r="L1" s="571"/>
      <c r="M1" s="571"/>
      <c r="N1" s="571"/>
      <c r="O1" s="571"/>
      <c r="P1" s="571"/>
      <c r="Q1" s="571"/>
    </row>
    <row r="2" spans="1:17" s="121" customFormat="1" ht="15.75" customHeight="1">
      <c r="A2" s="571"/>
      <c r="B2" s="571"/>
      <c r="C2" s="571"/>
      <c r="D2" s="571"/>
      <c r="E2" s="571"/>
      <c r="F2" s="571"/>
      <c r="G2" s="571"/>
      <c r="H2" s="571"/>
      <c r="I2" s="571"/>
      <c r="J2" s="571"/>
      <c r="K2" s="571"/>
      <c r="L2" s="571"/>
      <c r="M2" s="571"/>
      <c r="N2" s="571"/>
      <c r="O2" s="571"/>
      <c r="P2" s="571"/>
      <c r="Q2" s="571"/>
    </row>
    <row r="3" spans="1:17" ht="15.75" customHeight="1">
      <c r="A3" s="698" t="s">
        <v>215</v>
      </c>
      <c r="B3" s="698"/>
      <c r="C3" s="698"/>
      <c r="D3" s="698"/>
      <c r="E3" s="698"/>
      <c r="F3" s="698"/>
      <c r="G3" s="698"/>
      <c r="H3" s="698"/>
      <c r="I3" s="698"/>
      <c r="J3" s="698"/>
      <c r="K3" s="698"/>
      <c r="L3" s="698"/>
      <c r="M3" s="698"/>
      <c r="N3" s="698"/>
      <c r="O3" s="698"/>
      <c r="P3" s="698"/>
      <c r="Q3" s="698"/>
    </row>
    <row r="4" spans="1:17" s="121" customFormat="1" ht="15.75" customHeight="1">
      <c r="A4" s="836"/>
      <c r="B4" s="836"/>
      <c r="C4" s="836"/>
      <c r="D4" s="836"/>
      <c r="E4" s="836"/>
      <c r="F4" s="836"/>
      <c r="G4" s="836"/>
      <c r="H4" s="836"/>
      <c r="I4" s="836"/>
      <c r="J4" s="836"/>
      <c r="K4" s="836"/>
      <c r="L4" s="836"/>
      <c r="M4" s="836"/>
      <c r="N4" s="836"/>
      <c r="O4" s="836"/>
      <c r="P4" s="836"/>
      <c r="Q4" s="836"/>
    </row>
    <row r="5" spans="1:17" ht="15.75" customHeight="1">
      <c r="A5" s="588" t="s">
        <v>190</v>
      </c>
      <c r="B5" s="784">
        <v>1</v>
      </c>
      <c r="C5" s="784"/>
      <c r="D5" s="784">
        <v>2</v>
      </c>
      <c r="E5" s="784"/>
      <c r="F5" s="784">
        <v>3</v>
      </c>
      <c r="G5" s="784"/>
      <c r="H5" s="784">
        <v>4</v>
      </c>
      <c r="I5" s="784"/>
      <c r="J5" s="784">
        <v>5</v>
      </c>
      <c r="K5" s="784"/>
      <c r="L5" s="784">
        <v>6</v>
      </c>
      <c r="M5" s="784"/>
      <c r="N5" s="784">
        <v>7</v>
      </c>
      <c r="O5" s="784"/>
      <c r="P5" s="786">
        <v>8</v>
      </c>
      <c r="Q5" s="786"/>
    </row>
    <row r="6" spans="1:17" ht="15.75" customHeight="1">
      <c r="A6" s="588"/>
      <c r="B6" s="588" t="s">
        <v>323</v>
      </c>
      <c r="C6" s="588"/>
      <c r="D6" s="588" t="s">
        <v>216</v>
      </c>
      <c r="E6" s="588"/>
      <c r="F6" s="588" t="s">
        <v>164</v>
      </c>
      <c r="G6" s="588"/>
      <c r="H6" s="588" t="s">
        <v>580</v>
      </c>
      <c r="I6" s="588"/>
      <c r="J6" s="588" t="s">
        <v>188</v>
      </c>
      <c r="K6" s="588"/>
      <c r="L6" s="588" t="s">
        <v>165</v>
      </c>
      <c r="M6" s="588"/>
      <c r="N6" s="588" t="s">
        <v>189</v>
      </c>
      <c r="O6" s="588"/>
      <c r="P6" s="787" t="s">
        <v>217</v>
      </c>
      <c r="Q6" s="787"/>
    </row>
    <row r="8" spans="1:17" s="154" customFormat="1" ht="15.75" customHeight="1">
      <c r="A8" s="163" t="s">
        <v>192</v>
      </c>
      <c r="B8" s="180" t="s">
        <v>18</v>
      </c>
      <c r="C8" s="837" t="s">
        <v>12</v>
      </c>
      <c r="D8" s="837"/>
      <c r="E8" s="837"/>
      <c r="F8" s="837" t="s">
        <v>53</v>
      </c>
      <c r="G8" s="837"/>
      <c r="H8" s="837"/>
      <c r="I8" s="180" t="s">
        <v>54</v>
      </c>
      <c r="J8" s="181" t="s">
        <v>19</v>
      </c>
      <c r="K8" s="180" t="s">
        <v>57</v>
      </c>
      <c r="L8" s="180" t="s">
        <v>2</v>
      </c>
      <c r="M8" s="838" t="s">
        <v>50</v>
      </c>
      <c r="N8" s="839"/>
      <c r="O8" s="839"/>
      <c r="P8" s="839"/>
      <c r="Q8" s="839"/>
    </row>
    <row r="9" spans="1:17" ht="15.75" customHeight="1">
      <c r="A9" s="837" t="s">
        <v>191</v>
      </c>
      <c r="B9" s="156">
        <v>1</v>
      </c>
      <c r="C9" s="715"/>
      <c r="D9" s="709"/>
      <c r="E9" s="709"/>
      <c r="F9" s="715"/>
      <c r="G9" s="709"/>
      <c r="H9" s="709"/>
      <c r="I9" s="164"/>
      <c r="J9" s="178"/>
      <c r="K9" s="178"/>
      <c r="L9" s="179">
        <f>K9-J9</f>
        <v>0</v>
      </c>
      <c r="M9" s="715"/>
      <c r="N9" s="715"/>
      <c r="O9" s="715"/>
      <c r="P9" s="715"/>
      <c r="Q9" s="715"/>
    </row>
    <row r="10" spans="1:17" ht="15.75" customHeight="1">
      <c r="A10" s="842"/>
      <c r="B10" s="156">
        <v>2</v>
      </c>
      <c r="C10" s="715"/>
      <c r="D10" s="709"/>
      <c r="E10" s="709"/>
      <c r="F10" s="715"/>
      <c r="G10" s="709"/>
      <c r="H10" s="709"/>
      <c r="I10" s="164"/>
      <c r="J10" s="178"/>
      <c r="K10" s="178"/>
      <c r="L10" s="179">
        <f>K10-J10</f>
        <v>0</v>
      </c>
      <c r="M10" s="715"/>
      <c r="N10" s="715"/>
      <c r="O10" s="715"/>
      <c r="P10" s="715"/>
      <c r="Q10" s="715"/>
    </row>
    <row r="11" spans="1:17" ht="15.75" customHeight="1">
      <c r="A11" s="842"/>
      <c r="B11" s="156">
        <v>3</v>
      </c>
      <c r="C11" s="715"/>
      <c r="D11" s="709"/>
      <c r="E11" s="709"/>
      <c r="F11" s="715"/>
      <c r="G11" s="709"/>
      <c r="H11" s="709"/>
      <c r="I11" s="164"/>
      <c r="J11" s="178"/>
      <c r="K11" s="178"/>
      <c r="L11" s="179">
        <f>K11-J11</f>
        <v>0</v>
      </c>
      <c r="M11" s="715"/>
      <c r="N11" s="715"/>
      <c r="O11" s="715"/>
      <c r="P11" s="715"/>
      <c r="Q11" s="715"/>
    </row>
    <row r="12" spans="1:17" ht="15.75" customHeight="1">
      <c r="A12" s="842"/>
      <c r="B12" s="156">
        <v>4</v>
      </c>
      <c r="C12" s="715"/>
      <c r="D12" s="709"/>
      <c r="E12" s="709"/>
      <c r="F12" s="715"/>
      <c r="G12" s="709"/>
      <c r="H12" s="709"/>
      <c r="I12" s="164"/>
      <c r="J12" s="178"/>
      <c r="K12" s="178"/>
      <c r="L12" s="179">
        <f>K12-J12</f>
        <v>0</v>
      </c>
      <c r="M12" s="715"/>
      <c r="N12" s="715"/>
      <c r="O12" s="715"/>
      <c r="P12" s="715"/>
      <c r="Q12" s="715"/>
    </row>
    <row r="13" spans="1:17" ht="15.75" customHeight="1">
      <c r="A13" s="842"/>
      <c r="B13" s="156">
        <v>5</v>
      </c>
      <c r="C13" s="715"/>
      <c r="D13" s="709"/>
      <c r="E13" s="709"/>
      <c r="F13" s="715"/>
      <c r="G13" s="709"/>
      <c r="H13" s="709"/>
      <c r="I13" s="164"/>
      <c r="J13" s="178"/>
      <c r="K13" s="178"/>
      <c r="L13" s="179">
        <f>K13-J13</f>
        <v>0</v>
      </c>
      <c r="M13" s="715"/>
      <c r="N13" s="715"/>
      <c r="O13" s="715"/>
      <c r="P13" s="715"/>
      <c r="Q13" s="715"/>
    </row>
    <row r="14" spans="1:17" ht="15.75" customHeight="1">
      <c r="A14" s="840"/>
      <c r="B14" s="840"/>
      <c r="C14" s="840"/>
      <c r="D14" s="840"/>
      <c r="E14" s="840"/>
      <c r="F14" s="840"/>
      <c r="G14" s="840"/>
      <c r="H14" s="840"/>
      <c r="I14" s="840"/>
      <c r="J14" s="840"/>
      <c r="K14" s="840"/>
      <c r="L14" s="840"/>
      <c r="M14" s="840"/>
      <c r="N14" s="840"/>
      <c r="O14" s="841"/>
    </row>
    <row r="15" spans="1:17" s="154" customFormat="1" ht="15.75" customHeight="1">
      <c r="A15" s="163" t="s">
        <v>192</v>
      </c>
      <c r="B15" s="163" t="s">
        <v>18</v>
      </c>
      <c r="C15" s="835" t="s">
        <v>12</v>
      </c>
      <c r="D15" s="835"/>
      <c r="E15" s="835"/>
      <c r="F15" s="835" t="s">
        <v>53</v>
      </c>
      <c r="G15" s="835"/>
      <c r="H15" s="835"/>
      <c r="I15" s="163" t="s">
        <v>54</v>
      </c>
      <c r="J15" s="177" t="s">
        <v>19</v>
      </c>
      <c r="K15" s="163" t="s">
        <v>57</v>
      </c>
      <c r="L15" s="163" t="s">
        <v>2</v>
      </c>
      <c r="M15" s="835" t="s">
        <v>50</v>
      </c>
      <c r="N15" s="835"/>
      <c r="O15" s="835"/>
      <c r="P15" s="835"/>
      <c r="Q15" s="835"/>
    </row>
    <row r="16" spans="1:17" ht="15.75" customHeight="1">
      <c r="A16" s="835" t="s">
        <v>193</v>
      </c>
      <c r="B16" s="156">
        <v>1</v>
      </c>
      <c r="C16" s="715"/>
      <c r="D16" s="709"/>
      <c r="E16" s="709"/>
      <c r="F16" s="715"/>
      <c r="G16" s="709"/>
      <c r="H16" s="709"/>
      <c r="I16" s="164"/>
      <c r="J16" s="178"/>
      <c r="K16" s="178"/>
      <c r="L16" s="179">
        <f>K16-J16</f>
        <v>0</v>
      </c>
      <c r="M16" s="715"/>
      <c r="N16" s="715"/>
      <c r="O16" s="715"/>
      <c r="P16" s="715"/>
      <c r="Q16" s="715"/>
    </row>
    <row r="17" spans="1:17" ht="15.75" customHeight="1">
      <c r="A17" s="835"/>
      <c r="B17" s="156">
        <v>2</v>
      </c>
      <c r="C17" s="715"/>
      <c r="D17" s="709"/>
      <c r="E17" s="709"/>
      <c r="F17" s="715"/>
      <c r="G17" s="709"/>
      <c r="H17" s="709"/>
      <c r="I17" s="164"/>
      <c r="J17" s="178"/>
      <c r="K17" s="178"/>
      <c r="L17" s="179">
        <f>K17-J17</f>
        <v>0</v>
      </c>
      <c r="M17" s="715"/>
      <c r="N17" s="715"/>
      <c r="O17" s="715"/>
      <c r="P17" s="715"/>
      <c r="Q17" s="715"/>
    </row>
    <row r="18" spans="1:17" ht="15.75" customHeight="1">
      <c r="A18" s="835"/>
      <c r="B18" s="156">
        <v>3</v>
      </c>
      <c r="C18" s="715"/>
      <c r="D18" s="709"/>
      <c r="E18" s="709"/>
      <c r="F18" s="715"/>
      <c r="G18" s="709"/>
      <c r="H18" s="709"/>
      <c r="I18" s="164"/>
      <c r="J18" s="178"/>
      <c r="K18" s="178"/>
      <c r="L18" s="179">
        <f>K18-J18</f>
        <v>0</v>
      </c>
      <c r="M18" s="715"/>
      <c r="N18" s="715"/>
      <c r="O18" s="715"/>
      <c r="P18" s="715"/>
      <c r="Q18" s="715"/>
    </row>
    <row r="19" spans="1:17" ht="15.75" customHeight="1">
      <c r="A19" s="835"/>
      <c r="B19" s="156">
        <v>4</v>
      </c>
      <c r="C19" s="715"/>
      <c r="D19" s="709"/>
      <c r="E19" s="709"/>
      <c r="F19" s="715"/>
      <c r="G19" s="709"/>
      <c r="H19" s="709"/>
      <c r="I19" s="164"/>
      <c r="J19" s="178"/>
      <c r="K19" s="178"/>
      <c r="L19" s="179">
        <f>K19-J19</f>
        <v>0</v>
      </c>
      <c r="M19" s="715"/>
      <c r="N19" s="715"/>
      <c r="O19" s="715"/>
      <c r="P19" s="715"/>
      <c r="Q19" s="715"/>
    </row>
    <row r="20" spans="1:17" ht="15.75" customHeight="1">
      <c r="A20" s="835"/>
      <c r="B20" s="156">
        <v>5</v>
      </c>
      <c r="C20" s="715"/>
      <c r="D20" s="709"/>
      <c r="E20" s="709"/>
      <c r="F20" s="715"/>
      <c r="G20" s="709"/>
      <c r="H20" s="709"/>
      <c r="I20" s="164"/>
      <c r="J20" s="178"/>
      <c r="K20" s="178"/>
      <c r="L20" s="179">
        <f>K20-J20</f>
        <v>0</v>
      </c>
      <c r="M20" s="715"/>
      <c r="N20" s="715"/>
      <c r="O20" s="715"/>
      <c r="P20" s="715"/>
      <c r="Q20" s="715"/>
    </row>
  </sheetData>
  <mergeCells count="58">
    <mergeCell ref="M20:Q20"/>
    <mergeCell ref="C20:E20"/>
    <mergeCell ref="F20:H20"/>
    <mergeCell ref="C18:E18"/>
    <mergeCell ref="F18:H18"/>
    <mergeCell ref="C19:E19"/>
    <mergeCell ref="F19:H19"/>
    <mergeCell ref="M18:Q18"/>
    <mergeCell ref="M19:Q19"/>
    <mergeCell ref="A16:A20"/>
    <mergeCell ref="M13:Q13"/>
    <mergeCell ref="C16:E16"/>
    <mergeCell ref="F16:H16"/>
    <mergeCell ref="C17:E17"/>
    <mergeCell ref="F17:H17"/>
    <mergeCell ref="C15:E15"/>
    <mergeCell ref="F15:H15"/>
    <mergeCell ref="A14:O14"/>
    <mergeCell ref="A9:A13"/>
    <mergeCell ref="M10:Q10"/>
    <mergeCell ref="M11:Q11"/>
    <mergeCell ref="M12:Q12"/>
    <mergeCell ref="M16:Q16"/>
    <mergeCell ref="M17:Q17"/>
    <mergeCell ref="C10:E10"/>
    <mergeCell ref="C12:E12"/>
    <mergeCell ref="C13:E13"/>
    <mergeCell ref="F10:H10"/>
    <mergeCell ref="F11:H11"/>
    <mergeCell ref="F12:H12"/>
    <mergeCell ref="F13:H13"/>
    <mergeCell ref="A1:Q2"/>
    <mergeCell ref="J6:K6"/>
    <mergeCell ref="L6:M6"/>
    <mergeCell ref="N6:O6"/>
    <mergeCell ref="P6:Q6"/>
    <mergeCell ref="F5:G5"/>
    <mergeCell ref="H5:I5"/>
    <mergeCell ref="B6:C6"/>
    <mergeCell ref="D6:E6"/>
    <mergeCell ref="F6:G6"/>
    <mergeCell ref="H6:I6"/>
    <mergeCell ref="M15:Q15"/>
    <mergeCell ref="J5:K5"/>
    <mergeCell ref="L5:M5"/>
    <mergeCell ref="A3:Q4"/>
    <mergeCell ref="N5:O5"/>
    <mergeCell ref="P5:Q5"/>
    <mergeCell ref="A5:A6"/>
    <mergeCell ref="B5:C5"/>
    <mergeCell ref="D5:E5"/>
    <mergeCell ref="C8:E8"/>
    <mergeCell ref="F8:H8"/>
    <mergeCell ref="C9:E9"/>
    <mergeCell ref="F9:H9"/>
    <mergeCell ref="M8:Q8"/>
    <mergeCell ref="M9:Q9"/>
    <mergeCell ref="C11:E11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  <pageSetUpPr fitToPage="1"/>
  </sheetPr>
  <dimension ref="B2:AI297"/>
  <sheetViews>
    <sheetView zoomScale="55" zoomScaleNormal="55" workbookViewId="0">
      <pane xSplit="4" ySplit="6" topLeftCell="E7" activePane="bottomRight" state="frozen"/>
      <selection activeCell="M12" sqref="M12:Q12"/>
      <selection pane="topRight" activeCell="M12" sqref="M12:Q12"/>
      <selection pane="bottomLeft" activeCell="M12" sqref="M12:Q12"/>
      <selection pane="bottomRight" activeCell="D7" sqref="D7:Y26"/>
    </sheetView>
  </sheetViews>
  <sheetFormatPr defaultColWidth="8.85546875" defaultRowHeight="16.5"/>
  <cols>
    <col min="1" max="1" width="8.85546875" style="365"/>
    <col min="2" max="2" width="12.42578125" style="365" customWidth="1"/>
    <col min="3" max="3" width="8.85546875" style="365"/>
    <col min="4" max="4" width="11.5703125" style="365" customWidth="1"/>
    <col min="5" max="5" width="39.28515625" style="365" bestFit="1" customWidth="1"/>
    <col min="6" max="6" width="11.42578125" style="365" bestFit="1" customWidth="1"/>
    <col min="7" max="7" width="14.140625" style="365" customWidth="1"/>
    <col min="8" max="8" width="14" style="365" customWidth="1"/>
    <col min="9" max="9" width="16.85546875" style="365" customWidth="1"/>
    <col min="10" max="10" width="14" style="365" customWidth="1"/>
    <col min="11" max="11" width="11.5703125" style="365" bestFit="1" customWidth="1"/>
    <col min="12" max="12" width="13.42578125" style="365" bestFit="1" customWidth="1"/>
    <col min="13" max="13" width="19.140625" style="365" bestFit="1" customWidth="1"/>
    <col min="14" max="14" width="15.28515625" style="365" bestFit="1" customWidth="1"/>
    <col min="15" max="15" width="12.5703125" style="365" bestFit="1" customWidth="1"/>
    <col min="16" max="16" width="9.7109375" style="365" bestFit="1" customWidth="1"/>
    <col min="17" max="17" width="12.140625" style="365" bestFit="1" customWidth="1"/>
    <col min="18" max="18" width="10.7109375" style="365" customWidth="1"/>
    <col min="19" max="19" width="13.42578125" style="365" bestFit="1" customWidth="1"/>
    <col min="20" max="20" width="12.42578125" style="365" bestFit="1" customWidth="1"/>
    <col min="21" max="21" width="25.28515625" style="365" bestFit="1" customWidth="1"/>
    <col min="22" max="23" width="88.28515625" style="365" customWidth="1"/>
    <col min="24" max="24" width="7.42578125" style="365" bestFit="1" customWidth="1"/>
    <col min="25" max="25" width="69.5703125" style="365" bestFit="1" customWidth="1"/>
    <col min="26" max="26" width="11.42578125" style="365" bestFit="1" customWidth="1"/>
    <col min="27" max="27" width="21.5703125" style="365" customWidth="1"/>
    <col min="28" max="28" width="19.42578125" style="365" bestFit="1" customWidth="1"/>
    <col min="29" max="34" width="14.42578125" style="365" customWidth="1"/>
    <col min="35" max="35" width="11.42578125" style="365" bestFit="1" customWidth="1"/>
    <col min="36" max="16384" width="8.85546875" style="365"/>
  </cols>
  <sheetData>
    <row r="2" spans="2:35" ht="41.1" customHeight="1">
      <c r="B2" s="843" t="s">
        <v>598</v>
      </c>
      <c r="C2" s="844"/>
      <c r="D2" s="844"/>
      <c r="E2" s="844"/>
      <c r="F2" s="844"/>
      <c r="G2" s="844"/>
      <c r="H2" s="844"/>
      <c r="I2" s="844"/>
      <c r="J2" s="844"/>
      <c r="K2" s="844"/>
      <c r="L2" s="844"/>
      <c r="M2" s="844"/>
      <c r="N2" s="844"/>
      <c r="O2" s="844"/>
      <c r="P2" s="844"/>
      <c r="Q2" s="844"/>
      <c r="R2" s="844"/>
      <c r="S2" s="844"/>
      <c r="T2" s="844"/>
      <c r="U2" s="844"/>
      <c r="V2" s="844"/>
      <c r="W2" s="844"/>
      <c r="X2" s="844"/>
      <c r="Y2" s="844"/>
      <c r="AA2" s="366"/>
      <c r="AB2" s="366"/>
    </row>
    <row r="3" spans="2:35" ht="17.100000000000001" customHeight="1">
      <c r="B3" s="845" t="s">
        <v>599</v>
      </c>
      <c r="C3" s="846"/>
      <c r="D3" s="851" t="s">
        <v>168</v>
      </c>
      <c r="E3" s="851"/>
      <c r="F3" s="851"/>
      <c r="G3" s="851" t="s">
        <v>182</v>
      </c>
      <c r="H3" s="851"/>
      <c r="I3" s="851"/>
      <c r="J3" s="851"/>
      <c r="K3" s="851"/>
      <c r="L3" s="851"/>
      <c r="M3" s="851"/>
      <c r="N3" s="851"/>
      <c r="O3" s="851"/>
      <c r="P3" s="851"/>
      <c r="Q3" s="851"/>
      <c r="R3" s="851"/>
      <c r="S3" s="851"/>
      <c r="T3" s="851" t="s">
        <v>169</v>
      </c>
      <c r="U3" s="852" t="s">
        <v>600</v>
      </c>
      <c r="V3" s="855" t="s">
        <v>601</v>
      </c>
      <c r="W3" s="855" t="s">
        <v>602</v>
      </c>
      <c r="X3" s="858" t="s">
        <v>603</v>
      </c>
      <c r="Y3" s="861" t="s">
        <v>170</v>
      </c>
      <c r="AA3" s="851" t="s">
        <v>604</v>
      </c>
      <c r="AB3" s="851"/>
      <c r="AC3" s="851"/>
      <c r="AD3" s="851"/>
      <c r="AE3" s="851"/>
      <c r="AF3" s="851"/>
      <c r="AG3" s="851"/>
      <c r="AH3" s="851"/>
      <c r="AI3" s="851"/>
    </row>
    <row r="4" spans="2:35" ht="17.100000000000001" customHeight="1">
      <c r="B4" s="847"/>
      <c r="C4" s="848"/>
      <c r="D4" s="869" t="s">
        <v>167</v>
      </c>
      <c r="E4" s="851" t="s">
        <v>171</v>
      </c>
      <c r="F4" s="851"/>
      <c r="G4" s="851" t="s">
        <v>183</v>
      </c>
      <c r="H4" s="851"/>
      <c r="I4" s="851"/>
      <c r="J4" s="851"/>
      <c r="K4" s="851"/>
      <c r="L4" s="851"/>
      <c r="M4" s="851"/>
      <c r="N4" s="851"/>
      <c r="O4" s="851" t="s">
        <v>172</v>
      </c>
      <c r="P4" s="851"/>
      <c r="Q4" s="851"/>
      <c r="R4" s="851"/>
      <c r="S4" s="851"/>
      <c r="T4" s="851"/>
      <c r="U4" s="853"/>
      <c r="V4" s="856"/>
      <c r="W4" s="856"/>
      <c r="X4" s="859"/>
      <c r="Y4" s="861"/>
      <c r="AA4" s="851"/>
      <c r="AB4" s="851"/>
      <c r="AC4" s="851"/>
      <c r="AD4" s="851"/>
      <c r="AE4" s="851"/>
      <c r="AF4" s="851"/>
      <c r="AG4" s="851"/>
      <c r="AH4" s="851"/>
      <c r="AI4" s="851"/>
    </row>
    <row r="5" spans="2:35" ht="17.100000000000001" customHeight="1">
      <c r="B5" s="847"/>
      <c r="C5" s="848"/>
      <c r="D5" s="869"/>
      <c r="E5" s="869" t="s">
        <v>173</v>
      </c>
      <c r="F5" s="861" t="s">
        <v>605</v>
      </c>
      <c r="G5" s="870" t="s">
        <v>184</v>
      </c>
      <c r="H5" s="870"/>
      <c r="I5" s="870"/>
      <c r="J5" s="870"/>
      <c r="K5" s="870"/>
      <c r="L5" s="870"/>
      <c r="M5" s="870"/>
      <c r="N5" s="870"/>
      <c r="O5" s="870" t="s">
        <v>166</v>
      </c>
      <c r="P5" s="870"/>
      <c r="Q5" s="870" t="s">
        <v>174</v>
      </c>
      <c r="R5" s="870"/>
      <c r="S5" s="870"/>
      <c r="T5" s="851"/>
      <c r="U5" s="853"/>
      <c r="V5" s="856"/>
      <c r="W5" s="856"/>
      <c r="X5" s="859"/>
      <c r="Y5" s="861"/>
      <c r="AA5" s="851"/>
      <c r="AB5" s="851"/>
      <c r="AC5" s="851"/>
      <c r="AD5" s="851"/>
      <c r="AE5" s="851"/>
      <c r="AF5" s="851"/>
      <c r="AG5" s="851"/>
      <c r="AH5" s="851"/>
      <c r="AI5" s="851"/>
    </row>
    <row r="6" spans="2:35" ht="38.450000000000003" customHeight="1">
      <c r="B6" s="849"/>
      <c r="C6" s="850"/>
      <c r="D6" s="869"/>
      <c r="E6" s="869"/>
      <c r="F6" s="861"/>
      <c r="G6" s="367" t="s">
        <v>175</v>
      </c>
      <c r="H6" s="367" t="s">
        <v>606</v>
      </c>
      <c r="I6" s="367" t="s">
        <v>607</v>
      </c>
      <c r="J6" s="367" t="s">
        <v>176</v>
      </c>
      <c r="K6" s="367" t="s">
        <v>608</v>
      </c>
      <c r="L6" s="367" t="s">
        <v>177</v>
      </c>
      <c r="M6" s="367" t="s">
        <v>185</v>
      </c>
      <c r="N6" s="367" t="s">
        <v>178</v>
      </c>
      <c r="O6" s="368" t="s">
        <v>179</v>
      </c>
      <c r="P6" s="368" t="s">
        <v>180</v>
      </c>
      <c r="Q6" s="368" t="s">
        <v>179</v>
      </c>
      <c r="R6" s="368" t="s">
        <v>180</v>
      </c>
      <c r="S6" s="367" t="s">
        <v>181</v>
      </c>
      <c r="T6" s="851"/>
      <c r="U6" s="854"/>
      <c r="V6" s="857"/>
      <c r="W6" s="857"/>
      <c r="X6" s="860"/>
      <c r="Y6" s="861"/>
      <c r="AA6" s="223" t="s">
        <v>609</v>
      </c>
      <c r="AB6" s="223" t="s">
        <v>610</v>
      </c>
      <c r="AC6" s="355" t="s">
        <v>611</v>
      </c>
      <c r="AD6" s="355" t="s">
        <v>612</v>
      </c>
      <c r="AE6" s="355" t="s">
        <v>613</v>
      </c>
      <c r="AF6" s="355" t="s">
        <v>614</v>
      </c>
      <c r="AG6" s="355" t="s">
        <v>615</v>
      </c>
      <c r="AH6" s="355" t="s">
        <v>616</v>
      </c>
      <c r="AI6" s="355" t="s">
        <v>617</v>
      </c>
    </row>
    <row r="7" spans="2:35" s="381" customFormat="1" ht="27" customHeight="1">
      <c r="B7" s="862"/>
      <c r="C7" s="863"/>
      <c r="D7" s="369">
        <v>1</v>
      </c>
      <c r="E7" s="370" t="s">
        <v>873</v>
      </c>
      <c r="F7" s="371">
        <v>1058.4270000000001</v>
      </c>
      <c r="G7" s="371">
        <v>1177.2090000000001</v>
      </c>
      <c r="H7" s="371">
        <v>1189.3</v>
      </c>
      <c r="I7" s="372">
        <v>1.0102709034674386</v>
      </c>
      <c r="J7" s="371">
        <v>0</v>
      </c>
      <c r="K7" s="372">
        <v>0</v>
      </c>
      <c r="L7" s="371">
        <v>144.99</v>
      </c>
      <c r="M7" s="372">
        <v>1.0102709034674386</v>
      </c>
      <c r="N7" s="373">
        <v>1753.0740899999848</v>
      </c>
      <c r="O7" s="371">
        <v>7.3000000000000007</v>
      </c>
      <c r="P7" s="372">
        <v>6.2011078746424808E-3</v>
      </c>
      <c r="Q7" s="374">
        <v>12.090999999999894</v>
      </c>
      <c r="R7" s="372">
        <v>1.0270903467438572E-2</v>
      </c>
      <c r="S7" s="371">
        <v>1753.0740899999848</v>
      </c>
      <c r="T7" s="382" t="s">
        <v>344</v>
      </c>
      <c r="U7" s="375" t="s">
        <v>580</v>
      </c>
      <c r="V7" s="408" t="s">
        <v>820</v>
      </c>
      <c r="W7" s="408" t="s">
        <v>821</v>
      </c>
      <c r="X7" s="376">
        <v>1</v>
      </c>
      <c r="Y7" s="377" t="s">
        <v>872</v>
      </c>
      <c r="Z7" s="378" t="s">
        <v>618</v>
      </c>
      <c r="AA7" s="379">
        <f>SUM(X7:X26)</f>
        <v>20</v>
      </c>
      <c r="AB7" s="380">
        <f>SUMIF($U$7:$U$26,TRIM(AB6),$X$7:$X$26)</f>
        <v>0</v>
      </c>
      <c r="AC7" s="380">
        <f>SUMIF($U$7:$U$26,TRIM(AC6),$X$7:$X$26)</f>
        <v>3</v>
      </c>
      <c r="AD7" s="380">
        <f t="shared" ref="AD7:AI7" ca="1" si="0">SUMIF($U$7:$U$9710,TRIM(AD6),$X$7:$X$26)</f>
        <v>1</v>
      </c>
      <c r="AE7" s="380">
        <f t="shared" ca="1" si="0"/>
        <v>9</v>
      </c>
      <c r="AF7" s="380">
        <f t="shared" ca="1" si="0"/>
        <v>3</v>
      </c>
      <c r="AG7" s="380">
        <f t="shared" ca="1" si="0"/>
        <v>2</v>
      </c>
      <c r="AH7" s="380">
        <f t="shared" ca="1" si="0"/>
        <v>2</v>
      </c>
      <c r="AI7" s="380">
        <f t="shared" ca="1" si="0"/>
        <v>0</v>
      </c>
    </row>
    <row r="8" spans="2:35" s="381" customFormat="1" ht="27" customHeight="1">
      <c r="B8" s="864"/>
      <c r="C8" s="865"/>
      <c r="D8" s="369">
        <v>2</v>
      </c>
      <c r="E8" s="370" t="s">
        <v>393</v>
      </c>
      <c r="F8" s="371">
        <v>1008.7920000000001</v>
      </c>
      <c r="G8" s="371">
        <v>550.54999999999995</v>
      </c>
      <c r="H8" s="371">
        <v>555.1</v>
      </c>
      <c r="I8" s="372">
        <v>1.0082644628099175</v>
      </c>
      <c r="J8" s="371">
        <v>0</v>
      </c>
      <c r="K8" s="372">
        <v>0</v>
      </c>
      <c r="L8" s="371">
        <v>420.33</v>
      </c>
      <c r="M8" s="372">
        <v>1.0082644628099175</v>
      </c>
      <c r="N8" s="373">
        <v>1912.5015000000285</v>
      </c>
      <c r="O8" s="371">
        <v>2.4</v>
      </c>
      <c r="P8" s="372">
        <v>4.3592770865498141E-3</v>
      </c>
      <c r="Q8" s="374">
        <v>4.5500000000000682</v>
      </c>
      <c r="R8" s="372">
        <v>8.2644628099174805E-3</v>
      </c>
      <c r="S8" s="371">
        <v>1912.5015000000285</v>
      </c>
      <c r="T8" s="382" t="s">
        <v>346</v>
      </c>
      <c r="U8" s="375" t="s">
        <v>212</v>
      </c>
      <c r="V8" s="408" t="s">
        <v>886</v>
      </c>
      <c r="W8" s="408" t="s">
        <v>887</v>
      </c>
      <c r="X8" s="376">
        <v>1</v>
      </c>
      <c r="Y8" s="377" t="s">
        <v>375</v>
      </c>
      <c r="AA8" s="379"/>
      <c r="AB8" s="383">
        <f>SUMIF($U$7:$U$26,TRIM(AB6),$F$7:$F$26)</f>
        <v>0</v>
      </c>
      <c r="AC8" s="383">
        <f>SUMIF($U$7:$U$26,TRIM(AC6),$F$7:$F$26)</f>
        <v>2608.2929999999997</v>
      </c>
      <c r="AD8" s="383">
        <f t="shared" ref="AD8:AI8" ca="1" si="1">SUMIF($U$7:$U$176,TRIM(AD6),$F$7:$F$26)</f>
        <v>919.04</v>
      </c>
      <c r="AE8" s="383">
        <f t="shared" ca="1" si="1"/>
        <v>8411.0619999999999</v>
      </c>
      <c r="AF8" s="383">
        <f t="shared" ca="1" si="1"/>
        <v>2856.5720000000001</v>
      </c>
      <c r="AG8" s="383">
        <f t="shared" ca="1" si="1"/>
        <v>1811.9279999999999</v>
      </c>
      <c r="AH8" s="383">
        <f t="shared" ca="1" si="1"/>
        <v>1731.058</v>
      </c>
      <c r="AI8" s="383">
        <f t="shared" ca="1" si="1"/>
        <v>0</v>
      </c>
    </row>
    <row r="9" spans="2:35" s="381" customFormat="1" ht="27" customHeight="1">
      <c r="B9" s="864"/>
      <c r="C9" s="865"/>
      <c r="D9" s="369">
        <v>3</v>
      </c>
      <c r="E9" s="370" t="s">
        <v>841</v>
      </c>
      <c r="F9" s="371">
        <v>994.34400000000005</v>
      </c>
      <c r="G9" s="371">
        <v>1181.1099999999999</v>
      </c>
      <c r="H9" s="371">
        <v>1194.1999999999998</v>
      </c>
      <c r="I9" s="372">
        <v>1.0110827949979255</v>
      </c>
      <c r="J9" s="371">
        <v>0</v>
      </c>
      <c r="K9" s="372">
        <v>0</v>
      </c>
      <c r="L9" s="371">
        <v>127.48</v>
      </c>
      <c r="M9" s="372">
        <v>1.0110827949979255</v>
      </c>
      <c r="N9" s="373">
        <v>1668.7131999999897</v>
      </c>
      <c r="O9" s="371">
        <v>7.8</v>
      </c>
      <c r="P9" s="372">
        <v>6.6039572944094965E-3</v>
      </c>
      <c r="Q9" s="374">
        <v>13.089999999999918</v>
      </c>
      <c r="R9" s="372">
        <v>1.1082794997925612E-2</v>
      </c>
      <c r="S9" s="371">
        <v>1668.7131999999897</v>
      </c>
      <c r="T9" s="382" t="s">
        <v>344</v>
      </c>
      <c r="U9" s="375" t="s">
        <v>580</v>
      </c>
      <c r="V9" s="408" t="s">
        <v>762</v>
      </c>
      <c r="W9" s="408" t="s">
        <v>670</v>
      </c>
      <c r="X9" s="376">
        <v>1</v>
      </c>
      <c r="Y9" s="377" t="s">
        <v>349</v>
      </c>
    </row>
    <row r="10" spans="2:35" s="381" customFormat="1" ht="27" customHeight="1">
      <c r="B10" s="864"/>
      <c r="C10" s="865"/>
      <c r="D10" s="369">
        <v>4</v>
      </c>
      <c r="E10" s="370" t="s">
        <v>667</v>
      </c>
      <c r="F10" s="371">
        <v>985.60800000000006</v>
      </c>
      <c r="G10" s="371">
        <v>2480.4520000000002</v>
      </c>
      <c r="H10" s="371">
        <v>2492.1</v>
      </c>
      <c r="I10" s="372">
        <v>1.0046959183245634</v>
      </c>
      <c r="J10" s="371">
        <v>0</v>
      </c>
      <c r="K10" s="372">
        <v>0</v>
      </c>
      <c r="L10" s="371">
        <v>136.88999999999999</v>
      </c>
      <c r="M10" s="372">
        <v>1.0046959183245634</v>
      </c>
      <c r="N10" s="373">
        <v>1594.4947199999565</v>
      </c>
      <c r="O10" s="371">
        <v>7.2</v>
      </c>
      <c r="P10" s="372">
        <v>2.9026967665570628E-3</v>
      </c>
      <c r="Q10" s="374">
        <v>11.647999999999683</v>
      </c>
      <c r="R10" s="372">
        <v>4.6959183245632984E-3</v>
      </c>
      <c r="S10" s="371">
        <v>1594.4947199999565</v>
      </c>
      <c r="T10" s="382" t="s">
        <v>346</v>
      </c>
      <c r="U10" s="375" t="s">
        <v>212</v>
      </c>
      <c r="V10" s="408" t="s">
        <v>797</v>
      </c>
      <c r="W10" s="408" t="s">
        <v>798</v>
      </c>
      <c r="X10" s="376">
        <v>1</v>
      </c>
      <c r="Y10" s="377" t="s">
        <v>352</v>
      </c>
    </row>
    <row r="11" spans="2:35" s="381" customFormat="1" ht="27" customHeight="1">
      <c r="B11" s="864"/>
      <c r="C11" s="865"/>
      <c r="D11" s="369">
        <v>5</v>
      </c>
      <c r="E11" s="370" t="s">
        <v>888</v>
      </c>
      <c r="F11" s="371">
        <v>983.43</v>
      </c>
      <c r="G11" s="371">
        <v>1854.9960000000001</v>
      </c>
      <c r="H11" s="371">
        <v>1871.8000000000002</v>
      </c>
      <c r="I11" s="372">
        <v>1.0090587796415733</v>
      </c>
      <c r="J11" s="371">
        <v>0</v>
      </c>
      <c r="K11" s="372">
        <v>0</v>
      </c>
      <c r="L11" s="371">
        <v>109.27</v>
      </c>
      <c r="M11" s="372">
        <v>1.0090587796415733</v>
      </c>
      <c r="N11" s="373">
        <v>1836.1730800000096</v>
      </c>
      <c r="O11" s="371">
        <v>9</v>
      </c>
      <c r="P11" s="372">
        <v>4.85176248358487E-3</v>
      </c>
      <c r="Q11" s="374">
        <v>16.804000000000087</v>
      </c>
      <c r="R11" s="372">
        <v>9.058779641573398E-3</v>
      </c>
      <c r="S11" s="371">
        <v>1836.1730800000096</v>
      </c>
      <c r="T11" s="375" t="s">
        <v>344</v>
      </c>
      <c r="U11" s="375" t="s">
        <v>580</v>
      </c>
      <c r="V11" s="408" t="s">
        <v>889</v>
      </c>
      <c r="W11" s="408" t="s">
        <v>890</v>
      </c>
      <c r="X11" s="376">
        <v>1</v>
      </c>
      <c r="Y11" s="377" t="s">
        <v>872</v>
      </c>
    </row>
    <row r="12" spans="2:35" s="381" customFormat="1" ht="27" customHeight="1">
      <c r="B12" s="864"/>
      <c r="C12" s="865"/>
      <c r="D12" s="369">
        <v>6</v>
      </c>
      <c r="E12" s="370" t="s">
        <v>672</v>
      </c>
      <c r="F12" s="371">
        <v>956.06200000000013</v>
      </c>
      <c r="G12" s="371">
        <v>2022.8720000000003</v>
      </c>
      <c r="H12" s="371">
        <v>2038.2000000000003</v>
      </c>
      <c r="I12" s="372">
        <v>1.0075773454771235</v>
      </c>
      <c r="J12" s="371">
        <v>0</v>
      </c>
      <c r="K12" s="372">
        <v>0</v>
      </c>
      <c r="L12" s="371">
        <v>111.17</v>
      </c>
      <c r="M12" s="372">
        <v>1.0075773454771235</v>
      </c>
      <c r="N12" s="373">
        <v>1704.0137599999971</v>
      </c>
      <c r="O12" s="371">
        <v>8.6</v>
      </c>
      <c r="P12" s="372">
        <v>4.2513812045448249E-3</v>
      </c>
      <c r="Q12" s="374">
        <v>15.327999999999975</v>
      </c>
      <c r="R12" s="372">
        <v>7.5773454771236003E-3</v>
      </c>
      <c r="S12" s="371">
        <v>1704.0137599999971</v>
      </c>
      <c r="T12" s="375" t="s">
        <v>344</v>
      </c>
      <c r="U12" s="375" t="s">
        <v>580</v>
      </c>
      <c r="V12" s="408" t="s">
        <v>763</v>
      </c>
      <c r="W12" s="408" t="s">
        <v>673</v>
      </c>
      <c r="X12" s="376">
        <v>1</v>
      </c>
      <c r="Y12" s="377" t="s">
        <v>352</v>
      </c>
    </row>
    <row r="13" spans="2:35" s="381" customFormat="1" ht="27" customHeight="1">
      <c r="B13" s="864"/>
      <c r="C13" s="865"/>
      <c r="D13" s="369">
        <v>7</v>
      </c>
      <c r="E13" s="370" t="s">
        <v>874</v>
      </c>
      <c r="F13" s="371">
        <v>942.83799999999997</v>
      </c>
      <c r="G13" s="371">
        <v>340.09599999999995</v>
      </c>
      <c r="H13" s="371">
        <v>344.20000000000005</v>
      </c>
      <c r="I13" s="372">
        <v>1.0120671810312385</v>
      </c>
      <c r="J13" s="371">
        <v>0</v>
      </c>
      <c r="K13" s="372">
        <v>0</v>
      </c>
      <c r="L13" s="371">
        <v>362.63</v>
      </c>
      <c r="M13" s="372">
        <v>1.0120671810312385</v>
      </c>
      <c r="N13" s="373">
        <v>1488.2335200000357</v>
      </c>
      <c r="O13" s="371">
        <v>2.5999999999999996</v>
      </c>
      <c r="P13" s="372">
        <v>7.6449002634550248E-3</v>
      </c>
      <c r="Q13" s="374">
        <v>4.1040000000000987</v>
      </c>
      <c r="R13" s="372">
        <v>1.2067181031238531E-2</v>
      </c>
      <c r="S13" s="371">
        <v>1488.2335200000357</v>
      </c>
      <c r="T13" s="382" t="s">
        <v>344</v>
      </c>
      <c r="U13" s="375" t="s">
        <v>580</v>
      </c>
      <c r="V13" s="408" t="s">
        <v>809</v>
      </c>
      <c r="W13" s="408" t="s">
        <v>810</v>
      </c>
      <c r="X13" s="376">
        <v>1</v>
      </c>
      <c r="Y13" s="377" t="s">
        <v>804</v>
      </c>
      <c r="AB13" s="381">
        <v>1</v>
      </c>
      <c r="AC13" s="384" t="s">
        <v>583</v>
      </c>
    </row>
    <row r="14" spans="2:35" s="381" customFormat="1" ht="27" customHeight="1">
      <c r="B14" s="864"/>
      <c r="C14" s="865"/>
      <c r="D14" s="369">
        <v>8</v>
      </c>
      <c r="E14" s="370" t="s">
        <v>827</v>
      </c>
      <c r="F14" s="371">
        <v>934.24800000000005</v>
      </c>
      <c r="G14" s="371">
        <v>115.434</v>
      </c>
      <c r="H14" s="371">
        <v>118.8</v>
      </c>
      <c r="I14" s="372">
        <v>1.0291595197255574</v>
      </c>
      <c r="J14" s="371">
        <v>0</v>
      </c>
      <c r="K14" s="372">
        <v>0</v>
      </c>
      <c r="L14" s="371">
        <v>444.88</v>
      </c>
      <c r="M14" s="372">
        <v>1.0291595197255574</v>
      </c>
      <c r="N14" s="373">
        <v>1497.4660799999999</v>
      </c>
      <c r="O14" s="371">
        <v>2.1</v>
      </c>
      <c r="P14" s="372">
        <v>1.8192213732522482E-2</v>
      </c>
      <c r="Q14" s="374">
        <v>3.3659999999999997</v>
      </c>
      <c r="R14" s="372">
        <v>2.915951972555746E-2</v>
      </c>
      <c r="S14" s="371">
        <v>1497.4660799999999</v>
      </c>
      <c r="T14" s="369" t="s">
        <v>346</v>
      </c>
      <c r="U14" s="375" t="s">
        <v>213</v>
      </c>
      <c r="V14" s="408" t="s">
        <v>806</v>
      </c>
      <c r="W14" s="408" t="s">
        <v>671</v>
      </c>
      <c r="X14" s="376">
        <v>1</v>
      </c>
      <c r="Y14" s="377" t="s">
        <v>741</v>
      </c>
      <c r="AB14" s="381">
        <v>2</v>
      </c>
      <c r="AC14" s="384" t="s">
        <v>351</v>
      </c>
    </row>
    <row r="15" spans="2:35" s="381" customFormat="1" ht="27" customHeight="1">
      <c r="B15" s="864"/>
      <c r="C15" s="865"/>
      <c r="D15" s="369">
        <v>9</v>
      </c>
      <c r="E15" s="370" t="s">
        <v>891</v>
      </c>
      <c r="F15" s="371">
        <v>919.04</v>
      </c>
      <c r="G15" s="371">
        <v>356.73</v>
      </c>
      <c r="H15" s="371">
        <v>367.8</v>
      </c>
      <c r="I15" s="372">
        <v>1.0310318728450087</v>
      </c>
      <c r="J15" s="371">
        <v>0</v>
      </c>
      <c r="K15" s="372">
        <v>0</v>
      </c>
      <c r="L15" s="371">
        <v>114.88</v>
      </c>
      <c r="M15" s="372">
        <v>1.0310318728450087</v>
      </c>
      <c r="N15" s="373">
        <v>1271.7215999999992</v>
      </c>
      <c r="O15" s="371">
        <v>8</v>
      </c>
      <c r="P15" s="372">
        <v>2.2425924368570067E-2</v>
      </c>
      <c r="Q15" s="374">
        <v>11.069999999999993</v>
      </c>
      <c r="R15" s="372">
        <v>3.1031872845008808E-2</v>
      </c>
      <c r="S15" s="371">
        <v>1271.7215999999992</v>
      </c>
      <c r="T15" s="375" t="s">
        <v>350</v>
      </c>
      <c r="U15" s="375" t="s">
        <v>392</v>
      </c>
      <c r="V15" s="408" t="s">
        <v>892</v>
      </c>
      <c r="W15" s="408" t="s">
        <v>671</v>
      </c>
      <c r="X15" s="376">
        <v>1</v>
      </c>
      <c r="Y15" s="377" t="s">
        <v>872</v>
      </c>
      <c r="AB15" s="381">
        <v>3</v>
      </c>
      <c r="AC15" s="384" t="s">
        <v>392</v>
      </c>
    </row>
    <row r="16" spans="2:35" s="381" customFormat="1" ht="27" customHeight="1">
      <c r="B16" s="864"/>
      <c r="C16" s="865"/>
      <c r="D16" s="369">
        <v>10</v>
      </c>
      <c r="E16" s="370" t="s">
        <v>829</v>
      </c>
      <c r="F16" s="371">
        <v>905.78399999999999</v>
      </c>
      <c r="G16" s="371">
        <v>7375.0480000000007</v>
      </c>
      <c r="H16" s="371">
        <v>7398.4</v>
      </c>
      <c r="I16" s="372">
        <v>1.0031663522732326</v>
      </c>
      <c r="J16" s="371">
        <v>0</v>
      </c>
      <c r="K16" s="372">
        <v>0</v>
      </c>
      <c r="L16" s="371">
        <v>68.62</v>
      </c>
      <c r="M16" s="372">
        <v>1.0031663522732326</v>
      </c>
      <c r="N16" s="373">
        <v>1602.4142399999282</v>
      </c>
      <c r="O16" s="371">
        <v>13.200000000000001</v>
      </c>
      <c r="P16" s="372">
        <v>1.7898188594840331E-3</v>
      </c>
      <c r="Q16" s="374">
        <v>23.351999999998952</v>
      </c>
      <c r="R16" s="372">
        <v>3.1663522732325198E-3</v>
      </c>
      <c r="S16" s="371">
        <v>1602.4142399999282</v>
      </c>
      <c r="T16" s="375" t="s">
        <v>344</v>
      </c>
      <c r="U16" s="375" t="s">
        <v>580</v>
      </c>
      <c r="V16" s="408" t="s">
        <v>893</v>
      </c>
      <c r="W16" s="408" t="s">
        <v>894</v>
      </c>
      <c r="X16" s="376">
        <v>1</v>
      </c>
      <c r="Y16" s="377" t="s">
        <v>830</v>
      </c>
      <c r="AB16" s="381">
        <v>4</v>
      </c>
      <c r="AC16" s="384" t="s">
        <v>619</v>
      </c>
    </row>
    <row r="17" spans="2:29" s="381" customFormat="1" ht="27" customHeight="1">
      <c r="B17" s="864"/>
      <c r="C17" s="865"/>
      <c r="D17" s="369">
        <v>11</v>
      </c>
      <c r="E17" s="370" t="s">
        <v>826</v>
      </c>
      <c r="F17" s="371">
        <v>894.6</v>
      </c>
      <c r="G17" s="371">
        <v>12.917999999999999</v>
      </c>
      <c r="H17" s="371">
        <v>17.100000000000001</v>
      </c>
      <c r="I17" s="372">
        <v>1.3237343241987927</v>
      </c>
      <c r="J17" s="371">
        <v>0</v>
      </c>
      <c r="K17" s="372">
        <v>0</v>
      </c>
      <c r="L17" s="371">
        <v>298.2</v>
      </c>
      <c r="M17" s="372">
        <v>1.3237343241987927</v>
      </c>
      <c r="N17" s="373">
        <v>1247.0724000000007</v>
      </c>
      <c r="O17" s="371">
        <v>3</v>
      </c>
      <c r="P17" s="372">
        <v>0.23223409196470043</v>
      </c>
      <c r="Q17" s="374">
        <v>4.1820000000000022</v>
      </c>
      <c r="R17" s="372">
        <v>0.32373432419879256</v>
      </c>
      <c r="S17" s="371">
        <v>1247.0724000000007</v>
      </c>
      <c r="T17" s="375" t="s">
        <v>350</v>
      </c>
      <c r="U17" s="375" t="s">
        <v>351</v>
      </c>
      <c r="V17" s="408" t="s">
        <v>895</v>
      </c>
      <c r="W17" s="408" t="s">
        <v>896</v>
      </c>
      <c r="X17" s="376">
        <v>1</v>
      </c>
      <c r="Y17" s="377" t="s">
        <v>742</v>
      </c>
      <c r="AB17" s="381">
        <v>5</v>
      </c>
      <c r="AC17" s="384" t="s">
        <v>212</v>
      </c>
    </row>
    <row r="18" spans="2:29" s="381" customFormat="1" ht="27" customHeight="1">
      <c r="B18" s="864"/>
      <c r="C18" s="865"/>
      <c r="D18" s="369">
        <v>12</v>
      </c>
      <c r="E18" s="370" t="s">
        <v>877</v>
      </c>
      <c r="F18" s="371">
        <v>884.61800000000005</v>
      </c>
      <c r="G18" s="371">
        <v>17.387999999999998</v>
      </c>
      <c r="H18" s="371">
        <v>19.600000000000001</v>
      </c>
      <c r="I18" s="372">
        <v>1.1272141706924317</v>
      </c>
      <c r="J18" s="371">
        <v>0</v>
      </c>
      <c r="K18" s="372">
        <v>0</v>
      </c>
      <c r="L18" s="371">
        <v>631.87</v>
      </c>
      <c r="M18" s="372">
        <v>1.1272141706924317</v>
      </c>
      <c r="N18" s="373">
        <v>1397.696440000002</v>
      </c>
      <c r="O18" s="371">
        <v>1.4000000000000001</v>
      </c>
      <c r="P18" s="372">
        <v>8.0515297906602265E-2</v>
      </c>
      <c r="Q18" s="374">
        <v>2.2120000000000033</v>
      </c>
      <c r="R18" s="372">
        <v>0.12721417069243177</v>
      </c>
      <c r="S18" s="371">
        <v>1397.696440000002</v>
      </c>
      <c r="T18" s="369" t="s">
        <v>346</v>
      </c>
      <c r="U18" s="375" t="s">
        <v>620</v>
      </c>
      <c r="V18" s="408" t="s">
        <v>897</v>
      </c>
      <c r="W18" s="408" t="s">
        <v>898</v>
      </c>
      <c r="X18" s="376">
        <v>1</v>
      </c>
      <c r="Y18" s="377" t="s">
        <v>787</v>
      </c>
      <c r="AB18" s="381">
        <v>6</v>
      </c>
      <c r="AC18" s="384" t="s">
        <v>213</v>
      </c>
    </row>
    <row r="19" spans="2:29" s="381" customFormat="1" ht="27" customHeight="1">
      <c r="B19" s="864"/>
      <c r="C19" s="865"/>
      <c r="D19" s="369">
        <v>13</v>
      </c>
      <c r="E19" s="370" t="s">
        <v>354</v>
      </c>
      <c r="F19" s="371">
        <v>877.68</v>
      </c>
      <c r="G19" s="371">
        <v>245.44200000000001</v>
      </c>
      <c r="H19" s="371">
        <v>249.20000000000002</v>
      </c>
      <c r="I19" s="372">
        <v>1.0153111529404095</v>
      </c>
      <c r="J19" s="371">
        <v>0</v>
      </c>
      <c r="K19" s="372">
        <v>0</v>
      </c>
      <c r="L19" s="371">
        <v>487.6</v>
      </c>
      <c r="M19" s="372">
        <v>1.0153111529404095</v>
      </c>
      <c r="N19" s="373">
        <v>1832.4008000000049</v>
      </c>
      <c r="O19" s="371">
        <v>1.8000000000000003</v>
      </c>
      <c r="P19" s="372">
        <v>7.3337081673063298E-3</v>
      </c>
      <c r="Q19" s="374">
        <v>3.7580000000000098</v>
      </c>
      <c r="R19" s="372">
        <v>1.5311152940409587E-2</v>
      </c>
      <c r="S19" s="371">
        <v>1832.4008000000049</v>
      </c>
      <c r="T19" s="369" t="s">
        <v>346</v>
      </c>
      <c r="U19" s="375" t="s">
        <v>213</v>
      </c>
      <c r="V19" s="408" t="s">
        <v>806</v>
      </c>
      <c r="W19" s="408" t="s">
        <v>671</v>
      </c>
      <c r="X19" s="376">
        <v>1</v>
      </c>
      <c r="Y19" s="377" t="s">
        <v>742</v>
      </c>
      <c r="AB19" s="381">
        <v>7</v>
      </c>
      <c r="AC19" s="384" t="s">
        <v>620</v>
      </c>
    </row>
    <row r="20" spans="2:29" s="381" customFormat="1" ht="27" customHeight="1">
      <c r="B20" s="864"/>
      <c r="C20" s="865"/>
      <c r="D20" s="369">
        <v>14</v>
      </c>
      <c r="E20" s="370" t="s">
        <v>865</v>
      </c>
      <c r="F20" s="371">
        <v>873</v>
      </c>
      <c r="G20" s="371">
        <v>13.356999999999999</v>
      </c>
      <c r="H20" s="371">
        <v>16.3</v>
      </c>
      <c r="I20" s="372">
        <v>1.2203339073145167</v>
      </c>
      <c r="J20" s="371">
        <v>0</v>
      </c>
      <c r="K20" s="372">
        <v>0</v>
      </c>
      <c r="L20" s="371">
        <v>436.5</v>
      </c>
      <c r="M20" s="372">
        <v>1.2203339073145167</v>
      </c>
      <c r="N20" s="373">
        <v>1284.6195000000007</v>
      </c>
      <c r="O20" s="371">
        <v>2</v>
      </c>
      <c r="P20" s="372">
        <v>0.14973422175638243</v>
      </c>
      <c r="Q20" s="374">
        <v>2.9430000000000014</v>
      </c>
      <c r="R20" s="372">
        <v>0.22033390731451685</v>
      </c>
      <c r="S20" s="371">
        <v>1284.6195000000007</v>
      </c>
      <c r="T20" s="375" t="s">
        <v>350</v>
      </c>
      <c r="U20" s="375" t="s">
        <v>351</v>
      </c>
      <c r="V20" s="408" t="s">
        <v>895</v>
      </c>
      <c r="W20" s="408" t="s">
        <v>896</v>
      </c>
      <c r="X20" s="376">
        <v>1</v>
      </c>
      <c r="Y20" s="377" t="s">
        <v>352</v>
      </c>
      <c r="AB20" s="381">
        <v>8</v>
      </c>
      <c r="AC20" s="385" t="s">
        <v>621</v>
      </c>
    </row>
    <row r="21" spans="2:29" s="381" customFormat="1" ht="27" customHeight="1">
      <c r="B21" s="864"/>
      <c r="C21" s="865"/>
      <c r="D21" s="369">
        <v>15</v>
      </c>
      <c r="E21" s="370" t="s">
        <v>835</v>
      </c>
      <c r="F21" s="371">
        <v>871.56799999999998</v>
      </c>
      <c r="G21" s="371">
        <v>4598.1000000000004</v>
      </c>
      <c r="H21" s="371">
        <v>4613.3999999999996</v>
      </c>
      <c r="I21" s="372">
        <v>1.0033274613427283</v>
      </c>
      <c r="J21" s="371">
        <v>2.8</v>
      </c>
      <c r="K21" s="372">
        <v>6.0894717383266992E-4</v>
      </c>
      <c r="L21" s="371">
        <v>114.68</v>
      </c>
      <c r="M21" s="372">
        <v>1.003936408516561</v>
      </c>
      <c r="N21" s="373">
        <v>1754.6039999999166</v>
      </c>
      <c r="O21" s="371">
        <v>7.6</v>
      </c>
      <c r="P21" s="372">
        <v>1.6528566146886755E-3</v>
      </c>
      <c r="Q21" s="374">
        <v>18.099999999999454</v>
      </c>
      <c r="R21" s="372">
        <v>3.9364085165610697E-3</v>
      </c>
      <c r="S21" s="371">
        <v>2075.7079999999373</v>
      </c>
      <c r="T21" s="375" t="s">
        <v>344</v>
      </c>
      <c r="U21" s="375" t="s">
        <v>580</v>
      </c>
      <c r="V21" s="408" t="s">
        <v>762</v>
      </c>
      <c r="W21" s="408" t="s">
        <v>670</v>
      </c>
      <c r="X21" s="376">
        <v>1</v>
      </c>
      <c r="Y21" s="377" t="s">
        <v>834</v>
      </c>
      <c r="AC21" s="384"/>
    </row>
    <row r="22" spans="2:29" s="381" customFormat="1" ht="27" customHeight="1">
      <c r="B22" s="864"/>
      <c r="C22" s="865"/>
      <c r="D22" s="369">
        <v>16</v>
      </c>
      <c r="E22" s="370" t="s">
        <v>899</v>
      </c>
      <c r="F22" s="371">
        <v>864.12</v>
      </c>
      <c r="G22" s="371">
        <v>115.15400000000001</v>
      </c>
      <c r="H22" s="371">
        <v>118.7</v>
      </c>
      <c r="I22" s="372">
        <v>1.0307935460340065</v>
      </c>
      <c r="J22" s="371">
        <v>0</v>
      </c>
      <c r="K22" s="372">
        <v>0</v>
      </c>
      <c r="L22" s="371">
        <v>360.05</v>
      </c>
      <c r="M22" s="372">
        <v>1.0307935460340065</v>
      </c>
      <c r="N22" s="373">
        <v>1276.7372999999973</v>
      </c>
      <c r="O22" s="371">
        <v>2.4</v>
      </c>
      <c r="P22" s="372">
        <v>2.0841655522170308E-2</v>
      </c>
      <c r="Q22" s="374">
        <v>3.5459999999999923</v>
      </c>
      <c r="R22" s="372">
        <v>3.0793546034006563E-2</v>
      </c>
      <c r="S22" s="371">
        <v>1276.7372999999973</v>
      </c>
      <c r="T22" s="375" t="s">
        <v>344</v>
      </c>
      <c r="U22" s="375" t="s">
        <v>580</v>
      </c>
      <c r="V22" s="408" t="s">
        <v>900</v>
      </c>
      <c r="W22" s="408" t="s">
        <v>901</v>
      </c>
      <c r="X22" s="376">
        <v>1</v>
      </c>
      <c r="Y22" s="377" t="s">
        <v>348</v>
      </c>
      <c r="AC22" s="384"/>
    </row>
    <row r="23" spans="2:29" s="381" customFormat="1" ht="27" customHeight="1">
      <c r="B23" s="864"/>
      <c r="C23" s="865"/>
      <c r="D23" s="369">
        <v>17</v>
      </c>
      <c r="E23" s="370" t="s">
        <v>875</v>
      </c>
      <c r="F23" s="371">
        <v>862.17200000000003</v>
      </c>
      <c r="G23" s="371">
        <v>256.89600000000002</v>
      </c>
      <c r="H23" s="371">
        <v>261</v>
      </c>
      <c r="I23" s="372">
        <v>1.0159753363228698</v>
      </c>
      <c r="J23" s="371">
        <v>1.2000000000000002</v>
      </c>
      <c r="K23" s="372">
        <v>4.6711509715994023E-3</v>
      </c>
      <c r="L23" s="371">
        <v>278.12</v>
      </c>
      <c r="M23" s="372">
        <v>1.0206464872944692</v>
      </c>
      <c r="N23" s="373">
        <v>1141.4044799999958</v>
      </c>
      <c r="O23" s="371">
        <v>3.1</v>
      </c>
      <c r="P23" s="372">
        <v>1.2067140009965121E-2</v>
      </c>
      <c r="Q23" s="374">
        <v>5.3039999999999736</v>
      </c>
      <c r="R23" s="372">
        <v>2.0646487294469253E-2</v>
      </c>
      <c r="S23" s="371">
        <v>1475.1484799999928</v>
      </c>
      <c r="T23" s="375" t="s">
        <v>346</v>
      </c>
      <c r="U23" s="375" t="s">
        <v>212</v>
      </c>
      <c r="V23" s="408" t="s">
        <v>805</v>
      </c>
      <c r="W23" s="408" t="s">
        <v>671</v>
      </c>
      <c r="X23" s="376">
        <v>1</v>
      </c>
      <c r="Y23" s="377" t="s">
        <v>642</v>
      </c>
      <c r="AB23" s="386">
        <v>1</v>
      </c>
      <c r="AC23" s="384" t="s">
        <v>350</v>
      </c>
    </row>
    <row r="24" spans="2:29" s="381" customFormat="1" ht="27" customHeight="1">
      <c r="B24" s="864"/>
      <c r="C24" s="865"/>
      <c r="D24" s="369">
        <v>18</v>
      </c>
      <c r="E24" s="370" t="s">
        <v>795</v>
      </c>
      <c r="F24" s="371">
        <v>846.44</v>
      </c>
      <c r="G24" s="371">
        <v>35.055</v>
      </c>
      <c r="H24" s="371">
        <v>36.799999999999997</v>
      </c>
      <c r="I24" s="372">
        <v>1.0497789188418198</v>
      </c>
      <c r="J24" s="371">
        <v>0</v>
      </c>
      <c r="K24" s="372">
        <v>0</v>
      </c>
      <c r="L24" s="371">
        <v>846.44</v>
      </c>
      <c r="M24" s="372">
        <v>1.0497789188418198</v>
      </c>
      <c r="N24" s="373">
        <v>1477.037799999998</v>
      </c>
      <c r="O24" s="371">
        <v>1</v>
      </c>
      <c r="P24" s="372">
        <v>2.8526601055484241E-2</v>
      </c>
      <c r="Q24" s="374">
        <v>1.7449999999999974</v>
      </c>
      <c r="R24" s="372">
        <v>4.9778918841819925E-2</v>
      </c>
      <c r="S24" s="371">
        <v>1477.037799999998</v>
      </c>
      <c r="T24" s="375" t="s">
        <v>346</v>
      </c>
      <c r="U24" s="375" t="s">
        <v>620</v>
      </c>
      <c r="V24" s="408" t="s">
        <v>902</v>
      </c>
      <c r="W24" s="408" t="s">
        <v>903</v>
      </c>
      <c r="X24" s="376">
        <v>1</v>
      </c>
      <c r="Y24" s="377" t="s">
        <v>345</v>
      </c>
      <c r="AB24" s="381">
        <v>2</v>
      </c>
      <c r="AC24" s="384" t="s">
        <v>394</v>
      </c>
    </row>
    <row r="25" spans="2:29" s="381" customFormat="1" ht="27" customHeight="1">
      <c r="B25" s="864"/>
      <c r="C25" s="865"/>
      <c r="D25" s="369">
        <v>19</v>
      </c>
      <c r="E25" s="370" t="s">
        <v>904</v>
      </c>
      <c r="F25" s="371">
        <v>840.69299999999998</v>
      </c>
      <c r="G25" s="371">
        <v>93.495000000000005</v>
      </c>
      <c r="H25" s="371">
        <v>99.2</v>
      </c>
      <c r="I25" s="372">
        <v>1.0610193058452324</v>
      </c>
      <c r="J25" s="371">
        <v>0</v>
      </c>
      <c r="K25" s="372">
        <v>0</v>
      </c>
      <c r="L25" s="371">
        <v>195.51</v>
      </c>
      <c r="M25" s="372">
        <v>1.0610193058452324</v>
      </c>
      <c r="N25" s="373">
        <v>1115.3845499999995</v>
      </c>
      <c r="O25" s="371">
        <v>4.3</v>
      </c>
      <c r="P25" s="372">
        <v>4.5991764265468735E-2</v>
      </c>
      <c r="Q25" s="374">
        <v>5.7049999999999983</v>
      </c>
      <c r="R25" s="372">
        <v>6.1019305845232345E-2</v>
      </c>
      <c r="S25" s="371">
        <v>1115.3845499999995</v>
      </c>
      <c r="T25" s="382" t="s">
        <v>350</v>
      </c>
      <c r="U25" s="375" t="s">
        <v>351</v>
      </c>
      <c r="V25" s="408" t="s">
        <v>895</v>
      </c>
      <c r="W25" s="408" t="s">
        <v>896</v>
      </c>
      <c r="X25" s="376">
        <v>1</v>
      </c>
      <c r="Y25" s="377" t="s">
        <v>374</v>
      </c>
      <c r="AB25" s="387">
        <v>3</v>
      </c>
      <c r="AC25" s="384" t="s">
        <v>344</v>
      </c>
    </row>
    <row r="26" spans="2:29" s="381" customFormat="1" ht="27" customHeight="1">
      <c r="B26" s="866"/>
      <c r="C26" s="867"/>
      <c r="D26" s="369">
        <v>20</v>
      </c>
      <c r="E26" s="370" t="s">
        <v>905</v>
      </c>
      <c r="F26" s="371">
        <v>834.48899999999992</v>
      </c>
      <c r="G26" s="371">
        <v>498.69599999999997</v>
      </c>
      <c r="H26" s="371">
        <v>504.29999999999995</v>
      </c>
      <c r="I26" s="372">
        <v>1.0112373068963858</v>
      </c>
      <c r="J26" s="371">
        <v>0</v>
      </c>
      <c r="K26" s="372">
        <v>0</v>
      </c>
      <c r="L26" s="371">
        <v>269.19</v>
      </c>
      <c r="M26" s="372">
        <v>1.0112373068963858</v>
      </c>
      <c r="N26" s="373">
        <v>1508.540759999996</v>
      </c>
      <c r="O26" s="371">
        <v>3.1000000000000005</v>
      </c>
      <c r="P26" s="372">
        <v>6.2162118805845663E-3</v>
      </c>
      <c r="Q26" s="374">
        <v>5.603999999999985</v>
      </c>
      <c r="R26" s="372">
        <v>1.1237306896385744E-2</v>
      </c>
      <c r="S26" s="371">
        <v>1508.540759999996</v>
      </c>
      <c r="T26" s="382" t="s">
        <v>344</v>
      </c>
      <c r="U26" s="375" t="s">
        <v>580</v>
      </c>
      <c r="V26" s="408" t="s">
        <v>809</v>
      </c>
      <c r="W26" s="408" t="s">
        <v>810</v>
      </c>
      <c r="X26" s="376">
        <v>1</v>
      </c>
      <c r="Y26" s="377" t="s">
        <v>371</v>
      </c>
      <c r="AB26" s="387">
        <v>4</v>
      </c>
      <c r="AC26" s="384" t="s">
        <v>346</v>
      </c>
    </row>
    <row r="27" spans="2:29" ht="29.45" customHeight="1">
      <c r="C27" s="868"/>
      <c r="AB27" s="381"/>
      <c r="AC27" s="384"/>
    </row>
    <row r="28" spans="2:29">
      <c r="C28" s="868"/>
    </row>
    <row r="29" spans="2:29">
      <c r="C29" s="868"/>
    </row>
    <row r="30" spans="2:29">
      <c r="C30" s="868"/>
    </row>
    <row r="31" spans="2:29">
      <c r="C31" s="868"/>
    </row>
    <row r="32" spans="2:29">
      <c r="C32" s="868"/>
    </row>
    <row r="33" spans="3:3">
      <c r="C33" s="868"/>
    </row>
    <row r="34" spans="3:3">
      <c r="C34" s="868"/>
    </row>
    <row r="35" spans="3:3">
      <c r="C35" s="868"/>
    </row>
    <row r="36" spans="3:3">
      <c r="C36" s="868"/>
    </row>
    <row r="67" ht="14.1" customHeight="1"/>
    <row r="77" ht="14.1" customHeight="1"/>
    <row r="87" ht="14.1" customHeight="1"/>
    <row r="112" spans="26:26">
      <c r="Z112" s="388" t="s">
        <v>622</v>
      </c>
    </row>
    <row r="113" spans="26:26">
      <c r="Z113" s="381" t="s">
        <v>623</v>
      </c>
    </row>
    <row r="116" spans="26:26" ht="18.75" customHeight="1"/>
    <row r="117" spans="26:26" ht="14.1" customHeight="1"/>
    <row r="127" spans="26:26" ht="14.1" customHeight="1"/>
    <row r="137" ht="14.1" customHeight="1"/>
    <row r="147" ht="14.1" customHeight="1"/>
    <row r="167" ht="14.1" customHeight="1"/>
    <row r="187" ht="14.1" customHeight="1"/>
    <row r="197" ht="14.1" customHeight="1"/>
    <row r="207" ht="14.1" customHeight="1"/>
    <row r="217" ht="14.1" customHeight="1"/>
    <row r="227" ht="14.1" customHeight="1"/>
    <row r="237" ht="14.1" customHeight="1"/>
    <row r="247" ht="14.1" customHeight="1"/>
    <row r="257" ht="14.1" customHeight="1"/>
    <row r="267" ht="14.1" customHeight="1"/>
    <row r="277" ht="14.1" customHeight="1"/>
    <row r="287" ht="14.1" customHeight="1"/>
    <row r="297" ht="14.1" customHeight="1"/>
  </sheetData>
  <mergeCells count="22">
    <mergeCell ref="B7:C26"/>
    <mergeCell ref="C27:C36"/>
    <mergeCell ref="AA3:AI5"/>
    <mergeCell ref="D4:D6"/>
    <mergeCell ref="E4:F4"/>
    <mergeCell ref="G4:N4"/>
    <mergeCell ref="O4:S4"/>
    <mergeCell ref="E5:E6"/>
    <mergeCell ref="F5:F6"/>
    <mergeCell ref="G5:N5"/>
    <mergeCell ref="O5:P5"/>
    <mergeCell ref="Q5:S5"/>
    <mergeCell ref="B2:Y2"/>
    <mergeCell ref="B3:C6"/>
    <mergeCell ref="D3:F3"/>
    <mergeCell ref="G3:S3"/>
    <mergeCell ref="T3:T6"/>
    <mergeCell ref="U3:U6"/>
    <mergeCell ref="V3:V6"/>
    <mergeCell ref="W3:W6"/>
    <mergeCell ref="X3:X6"/>
    <mergeCell ref="Y3:Y6"/>
  </mergeCells>
  <phoneticPr fontId="11" type="noConversion"/>
  <dataValidations count="2">
    <dataValidation type="list" allowBlank="1" showInputMessage="1" showErrorMessage="1" sqref="T1:T1048576">
      <formula1>$AC$23:$AC$27</formula1>
    </dataValidation>
    <dataValidation type="list" allowBlank="1" showInputMessage="1" showErrorMessage="1" sqref="U1:U1048576">
      <formula1>$AC$13:$AC$20</formula1>
    </dataValidation>
  </dataValidations>
  <pageMargins left="0" right="0" top="0" bottom="0" header="0" footer="0"/>
  <pageSetup paperSize="9" scale="20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  <pageSetUpPr fitToPage="1"/>
  </sheetPr>
  <dimension ref="B2:AI297"/>
  <sheetViews>
    <sheetView zoomScale="55" zoomScaleNormal="55" workbookViewId="0">
      <pane xSplit="4" ySplit="6" topLeftCell="E7" activePane="bottomRight" state="frozen"/>
      <selection activeCell="M12" sqref="M12:Q12"/>
      <selection pane="topRight" activeCell="M12" sqref="M12:Q12"/>
      <selection pane="bottomLeft" activeCell="M12" sqref="M12:Q12"/>
      <selection pane="bottomRight" activeCell="D7" sqref="D7:Y26"/>
    </sheetView>
  </sheetViews>
  <sheetFormatPr defaultColWidth="8.85546875" defaultRowHeight="16.5"/>
  <cols>
    <col min="1" max="1" width="8.85546875" style="365"/>
    <col min="2" max="2" width="12.42578125" style="365" customWidth="1"/>
    <col min="3" max="3" width="8.85546875" style="365"/>
    <col min="4" max="4" width="11.5703125" style="365" customWidth="1"/>
    <col min="5" max="5" width="39.28515625" style="365" bestFit="1" customWidth="1"/>
    <col min="6" max="6" width="13.42578125" style="365" bestFit="1" customWidth="1"/>
    <col min="7" max="7" width="14.140625" style="365" customWidth="1"/>
    <col min="8" max="8" width="14" style="365" customWidth="1"/>
    <col min="9" max="9" width="16.85546875" style="365" customWidth="1"/>
    <col min="10" max="10" width="14" style="365" customWidth="1"/>
    <col min="11" max="11" width="11.7109375" style="365" bestFit="1" customWidth="1"/>
    <col min="12" max="12" width="13.42578125" style="365" bestFit="1" customWidth="1"/>
    <col min="13" max="13" width="19.28515625" style="365" bestFit="1" customWidth="1"/>
    <col min="14" max="14" width="15.42578125" style="365" bestFit="1" customWidth="1"/>
    <col min="15" max="15" width="12.7109375" style="365" bestFit="1" customWidth="1"/>
    <col min="16" max="16" width="9.85546875" style="365" bestFit="1" customWidth="1"/>
    <col min="17" max="17" width="12.28515625" style="365" bestFit="1" customWidth="1"/>
    <col min="18" max="18" width="10.7109375" style="365" customWidth="1"/>
    <col min="19" max="19" width="10.7109375" style="365" bestFit="1" customWidth="1"/>
    <col min="20" max="20" width="12.42578125" style="365" bestFit="1" customWidth="1"/>
    <col min="21" max="21" width="25.28515625" style="365" bestFit="1" customWidth="1"/>
    <col min="22" max="23" width="88.28515625" style="365" customWidth="1"/>
    <col min="24" max="24" width="7.42578125" style="365" bestFit="1" customWidth="1"/>
    <col min="25" max="25" width="69.5703125" style="365" bestFit="1" customWidth="1"/>
    <col min="26" max="26" width="11.42578125" style="365" bestFit="1" customWidth="1"/>
    <col min="27" max="27" width="21.5703125" style="365" customWidth="1"/>
    <col min="28" max="28" width="19.42578125" style="365" bestFit="1" customWidth="1"/>
    <col min="29" max="34" width="14.42578125" style="365" customWidth="1"/>
    <col min="35" max="35" width="11.42578125" style="365" bestFit="1" customWidth="1"/>
    <col min="36" max="16384" width="8.85546875" style="365"/>
  </cols>
  <sheetData>
    <row r="2" spans="2:35" ht="41.1" customHeight="1">
      <c r="B2" s="843" t="s">
        <v>624</v>
      </c>
      <c r="C2" s="844"/>
      <c r="D2" s="844"/>
      <c r="E2" s="844"/>
      <c r="F2" s="844"/>
      <c r="G2" s="844"/>
      <c r="H2" s="844"/>
      <c r="I2" s="844"/>
      <c r="J2" s="844"/>
      <c r="K2" s="844"/>
      <c r="L2" s="844"/>
      <c r="M2" s="844"/>
      <c r="N2" s="844"/>
      <c r="O2" s="844"/>
      <c r="P2" s="844"/>
      <c r="Q2" s="844"/>
      <c r="R2" s="844"/>
      <c r="S2" s="844"/>
      <c r="T2" s="844"/>
      <c r="U2" s="844"/>
      <c r="V2" s="844"/>
      <c r="W2" s="844"/>
      <c r="X2" s="844"/>
      <c r="Y2" s="844"/>
      <c r="AA2" s="366"/>
      <c r="AB2" s="366"/>
    </row>
    <row r="3" spans="2:35" ht="17.100000000000001" customHeight="1">
      <c r="B3" s="845" t="s">
        <v>599</v>
      </c>
      <c r="C3" s="846"/>
      <c r="D3" s="851" t="s">
        <v>168</v>
      </c>
      <c r="E3" s="851"/>
      <c r="F3" s="851"/>
      <c r="G3" s="851" t="s">
        <v>182</v>
      </c>
      <c r="H3" s="851"/>
      <c r="I3" s="851"/>
      <c r="J3" s="851"/>
      <c r="K3" s="851"/>
      <c r="L3" s="851"/>
      <c r="M3" s="851"/>
      <c r="N3" s="851"/>
      <c r="O3" s="851"/>
      <c r="P3" s="851"/>
      <c r="Q3" s="851"/>
      <c r="R3" s="851"/>
      <c r="S3" s="851"/>
      <c r="T3" s="851" t="s">
        <v>169</v>
      </c>
      <c r="U3" s="852" t="s">
        <v>600</v>
      </c>
      <c r="V3" s="871" t="s">
        <v>625</v>
      </c>
      <c r="W3" s="871" t="s">
        <v>602</v>
      </c>
      <c r="X3" s="858" t="s">
        <v>626</v>
      </c>
      <c r="Y3" s="861" t="s">
        <v>170</v>
      </c>
      <c r="AA3" s="851" t="s">
        <v>627</v>
      </c>
      <c r="AB3" s="851"/>
      <c r="AC3" s="851"/>
      <c r="AD3" s="851"/>
      <c r="AE3" s="851"/>
      <c r="AF3" s="851"/>
      <c r="AG3" s="851"/>
      <c r="AH3" s="851"/>
      <c r="AI3" s="851"/>
    </row>
    <row r="4" spans="2:35" ht="17.100000000000001" customHeight="1">
      <c r="B4" s="847"/>
      <c r="C4" s="848"/>
      <c r="D4" s="869" t="s">
        <v>167</v>
      </c>
      <c r="E4" s="851" t="s">
        <v>171</v>
      </c>
      <c r="F4" s="851"/>
      <c r="G4" s="851" t="s">
        <v>183</v>
      </c>
      <c r="H4" s="851"/>
      <c r="I4" s="851"/>
      <c r="J4" s="851"/>
      <c r="K4" s="851"/>
      <c r="L4" s="851"/>
      <c r="M4" s="851"/>
      <c r="N4" s="851"/>
      <c r="O4" s="851" t="s">
        <v>172</v>
      </c>
      <c r="P4" s="851"/>
      <c r="Q4" s="851"/>
      <c r="R4" s="851"/>
      <c r="S4" s="851"/>
      <c r="T4" s="851"/>
      <c r="U4" s="853"/>
      <c r="V4" s="859"/>
      <c r="W4" s="872"/>
      <c r="X4" s="859"/>
      <c r="Y4" s="861"/>
      <c r="AA4" s="851"/>
      <c r="AB4" s="851"/>
      <c r="AC4" s="851"/>
      <c r="AD4" s="851"/>
      <c r="AE4" s="851"/>
      <c r="AF4" s="851"/>
      <c r="AG4" s="851"/>
      <c r="AH4" s="851"/>
      <c r="AI4" s="851"/>
    </row>
    <row r="5" spans="2:35" ht="17.100000000000001" customHeight="1">
      <c r="B5" s="847"/>
      <c r="C5" s="848"/>
      <c r="D5" s="869"/>
      <c r="E5" s="869" t="s">
        <v>173</v>
      </c>
      <c r="F5" s="861" t="s">
        <v>640</v>
      </c>
      <c r="G5" s="870" t="s">
        <v>184</v>
      </c>
      <c r="H5" s="870"/>
      <c r="I5" s="870"/>
      <c r="J5" s="870"/>
      <c r="K5" s="870"/>
      <c r="L5" s="870"/>
      <c r="M5" s="870"/>
      <c r="N5" s="870"/>
      <c r="O5" s="870" t="s">
        <v>166</v>
      </c>
      <c r="P5" s="870"/>
      <c r="Q5" s="870" t="s">
        <v>174</v>
      </c>
      <c r="R5" s="870"/>
      <c r="S5" s="870"/>
      <c r="T5" s="851"/>
      <c r="U5" s="853"/>
      <c r="V5" s="859"/>
      <c r="W5" s="872"/>
      <c r="X5" s="859"/>
      <c r="Y5" s="861"/>
      <c r="AA5" s="851"/>
      <c r="AB5" s="851"/>
      <c r="AC5" s="851"/>
      <c r="AD5" s="851"/>
      <c r="AE5" s="851"/>
      <c r="AF5" s="851"/>
      <c r="AG5" s="851"/>
      <c r="AH5" s="851"/>
      <c r="AI5" s="851"/>
    </row>
    <row r="6" spans="2:35" ht="38.450000000000003" customHeight="1">
      <c r="B6" s="849"/>
      <c r="C6" s="850"/>
      <c r="D6" s="869"/>
      <c r="E6" s="869"/>
      <c r="F6" s="861"/>
      <c r="G6" s="367" t="s">
        <v>175</v>
      </c>
      <c r="H6" s="367" t="s">
        <v>628</v>
      </c>
      <c r="I6" s="367" t="s">
        <v>629</v>
      </c>
      <c r="J6" s="367" t="s">
        <v>176</v>
      </c>
      <c r="K6" s="367" t="s">
        <v>630</v>
      </c>
      <c r="L6" s="367" t="s">
        <v>177</v>
      </c>
      <c r="M6" s="367" t="s">
        <v>185</v>
      </c>
      <c r="N6" s="367" t="s">
        <v>178</v>
      </c>
      <c r="O6" s="368" t="s">
        <v>179</v>
      </c>
      <c r="P6" s="368" t="s">
        <v>180</v>
      </c>
      <c r="Q6" s="368" t="s">
        <v>179</v>
      </c>
      <c r="R6" s="368" t="s">
        <v>180</v>
      </c>
      <c r="S6" s="367" t="s">
        <v>181</v>
      </c>
      <c r="T6" s="851"/>
      <c r="U6" s="854"/>
      <c r="V6" s="860"/>
      <c r="W6" s="873"/>
      <c r="X6" s="860"/>
      <c r="Y6" s="861"/>
      <c r="AA6" s="223" t="s">
        <v>631</v>
      </c>
      <c r="AB6" s="223" t="s">
        <v>583</v>
      </c>
      <c r="AC6" s="355" t="s">
        <v>632</v>
      </c>
      <c r="AD6" s="355" t="s">
        <v>585</v>
      </c>
      <c r="AE6" s="355" t="s">
        <v>633</v>
      </c>
      <c r="AF6" s="355" t="s">
        <v>634</v>
      </c>
      <c r="AG6" s="355" t="s">
        <v>635</v>
      </c>
      <c r="AH6" s="355" t="s">
        <v>586</v>
      </c>
      <c r="AI6" s="355" t="s">
        <v>636</v>
      </c>
    </row>
    <row r="7" spans="2:35" s="381" customFormat="1" ht="27" customHeight="1">
      <c r="B7" s="862"/>
      <c r="C7" s="863"/>
      <c r="D7" s="369">
        <v>1</v>
      </c>
      <c r="E7" s="370" t="s">
        <v>835</v>
      </c>
      <c r="F7" s="371">
        <v>2075.7079999999373</v>
      </c>
      <c r="G7" s="371">
        <v>4598.1000000000004</v>
      </c>
      <c r="H7" s="371">
        <v>4613.3999999999996</v>
      </c>
      <c r="I7" s="372">
        <v>1.0033274613427283</v>
      </c>
      <c r="J7" s="371">
        <v>2.8</v>
      </c>
      <c r="K7" s="372">
        <v>6.0894717383266992E-4</v>
      </c>
      <c r="L7" s="371">
        <v>114.68</v>
      </c>
      <c r="M7" s="372">
        <v>1.003936408516561</v>
      </c>
      <c r="N7" s="373">
        <v>2075.7079999999169</v>
      </c>
      <c r="O7" s="371">
        <v>7.6</v>
      </c>
      <c r="P7" s="372">
        <v>1.6528566146886755E-3</v>
      </c>
      <c r="Q7" s="371">
        <v>871.56799999999998</v>
      </c>
      <c r="R7" s="374">
        <v>18.099999999999454</v>
      </c>
      <c r="S7" s="372">
        <v>3.9364085165610697E-3</v>
      </c>
      <c r="T7" s="408" t="s">
        <v>344</v>
      </c>
      <c r="U7" s="375" t="s">
        <v>580</v>
      </c>
      <c r="V7" s="408" t="s">
        <v>762</v>
      </c>
      <c r="W7" s="408" t="s">
        <v>670</v>
      </c>
      <c r="X7" s="376" t="s">
        <v>834</v>
      </c>
      <c r="Y7" s="377" t="s">
        <v>801</v>
      </c>
      <c r="Z7" s="378" t="s">
        <v>618</v>
      </c>
      <c r="AA7" s="379">
        <f>SUM(X7:X26)</f>
        <v>0</v>
      </c>
      <c r="AB7" s="380">
        <f>SUMIF($U$7:$U$26,TRIM(AB6),$X$7:$X$26)</f>
        <v>0</v>
      </c>
      <c r="AC7" s="380">
        <f>SUMIF($U$7:$U$26,TRIM(AC6),$X$7:$X$26)</f>
        <v>0</v>
      </c>
      <c r="AD7" s="380">
        <f t="shared" ref="AD7:AI7" ca="1" si="0">SUMIF($U$7:$U$9710,TRIM(AD6),$X$7:$X$26)</f>
        <v>0</v>
      </c>
      <c r="AE7" s="380">
        <f t="shared" ca="1" si="0"/>
        <v>0</v>
      </c>
      <c r="AF7" s="380">
        <f t="shared" ca="1" si="0"/>
        <v>0</v>
      </c>
      <c r="AG7" s="380">
        <f t="shared" ca="1" si="0"/>
        <v>0</v>
      </c>
      <c r="AH7" s="380">
        <f t="shared" ca="1" si="0"/>
        <v>0</v>
      </c>
      <c r="AI7" s="380">
        <f t="shared" ca="1" si="0"/>
        <v>0</v>
      </c>
    </row>
    <row r="8" spans="2:35" s="381" customFormat="1" ht="27" customHeight="1">
      <c r="B8" s="864"/>
      <c r="C8" s="865"/>
      <c r="D8" s="369">
        <v>2</v>
      </c>
      <c r="E8" s="370" t="s">
        <v>393</v>
      </c>
      <c r="F8" s="371">
        <v>1912.5015000000285</v>
      </c>
      <c r="G8" s="371">
        <v>550.54999999999995</v>
      </c>
      <c r="H8" s="371">
        <v>555.1</v>
      </c>
      <c r="I8" s="372">
        <v>1.0082644628099175</v>
      </c>
      <c r="J8" s="371">
        <v>0</v>
      </c>
      <c r="K8" s="372">
        <v>0</v>
      </c>
      <c r="L8" s="371">
        <v>420.33</v>
      </c>
      <c r="M8" s="372">
        <v>1.0082644628099175</v>
      </c>
      <c r="N8" s="373">
        <v>1912.5015000000285</v>
      </c>
      <c r="O8" s="371">
        <v>2.4</v>
      </c>
      <c r="P8" s="372">
        <v>4.3592770865498141E-3</v>
      </c>
      <c r="Q8" s="371">
        <v>1008.7920000000001</v>
      </c>
      <c r="R8" s="374">
        <v>4.5500000000000682</v>
      </c>
      <c r="S8" s="372">
        <v>8.2644628099174805E-3</v>
      </c>
      <c r="T8" s="408" t="s">
        <v>346</v>
      </c>
      <c r="U8" s="375" t="s">
        <v>212</v>
      </c>
      <c r="V8" s="408" t="s">
        <v>819</v>
      </c>
      <c r="W8" s="409" t="s">
        <v>671</v>
      </c>
      <c r="X8" s="376" t="s">
        <v>375</v>
      </c>
      <c r="Y8" s="377" t="s">
        <v>742</v>
      </c>
      <c r="AA8" s="379"/>
      <c r="AB8" s="383">
        <f>SUMIF($U$7:$U$26,TRIM(AB6),$F$7:$F$26)</f>
        <v>0</v>
      </c>
      <c r="AC8" s="383">
        <f>SUMIF($U$7:$U$26,TRIM(AC6),$F$7:$F$26)</f>
        <v>0</v>
      </c>
      <c r="AD8" s="383">
        <f t="shared" ref="AD8:AI8" ca="1" si="1">SUMIF($U$7:$U$176,TRIM(AD6),$F$7:$F$26)</f>
        <v>0</v>
      </c>
      <c r="AE8" s="383">
        <f t="shared" ca="1" si="1"/>
        <v>17085.417629999938</v>
      </c>
      <c r="AF8" s="383">
        <f t="shared" ca="1" si="1"/>
        <v>8434.2031899999711</v>
      </c>
      <c r="AG8" s="383">
        <f t="shared" ca="1" si="1"/>
        <v>3329.866880000005</v>
      </c>
      <c r="AH8" s="383">
        <f t="shared" ca="1" si="1"/>
        <v>4781.8377599999458</v>
      </c>
      <c r="AI8" s="383">
        <f t="shared" ca="1" si="1"/>
        <v>0</v>
      </c>
    </row>
    <row r="9" spans="2:35" s="381" customFormat="1" ht="27" customHeight="1">
      <c r="B9" s="864"/>
      <c r="C9" s="865"/>
      <c r="D9" s="369">
        <v>3</v>
      </c>
      <c r="E9" s="370" t="s">
        <v>796</v>
      </c>
      <c r="F9" s="371">
        <v>1909.8349799999844</v>
      </c>
      <c r="G9" s="371">
        <v>1295.154</v>
      </c>
      <c r="H9" s="371">
        <v>1298.3</v>
      </c>
      <c r="I9" s="372">
        <v>1.0024290547687764</v>
      </c>
      <c r="J9" s="371">
        <v>2</v>
      </c>
      <c r="K9" s="372">
        <v>1.5442179076773882E-3</v>
      </c>
      <c r="L9" s="371">
        <v>371.13</v>
      </c>
      <c r="M9" s="372">
        <v>1.0039732726764539</v>
      </c>
      <c r="N9" s="373">
        <v>1909.8349799999844</v>
      </c>
      <c r="O9" s="371">
        <v>2.2000000000000002</v>
      </c>
      <c r="P9" s="372">
        <v>1.6986396984451271E-3</v>
      </c>
      <c r="Q9" s="371">
        <v>816.48599999999999</v>
      </c>
      <c r="R9" s="374">
        <v>5.1459999999999582</v>
      </c>
      <c r="S9" s="372">
        <v>3.9732726764538876E-3</v>
      </c>
      <c r="T9" s="457" t="s">
        <v>344</v>
      </c>
      <c r="U9" s="375" t="s">
        <v>580</v>
      </c>
      <c r="V9" s="408" t="s">
        <v>809</v>
      </c>
      <c r="W9" s="408" t="s">
        <v>810</v>
      </c>
      <c r="X9" s="376" t="s">
        <v>377</v>
      </c>
      <c r="Y9" s="377" t="s">
        <v>377</v>
      </c>
    </row>
    <row r="10" spans="2:35" s="381" customFormat="1" ht="27" customHeight="1">
      <c r="B10" s="864"/>
      <c r="C10" s="865"/>
      <c r="D10" s="369">
        <v>4</v>
      </c>
      <c r="E10" s="370" t="s">
        <v>746</v>
      </c>
      <c r="F10" s="371">
        <v>1862.7259200000044</v>
      </c>
      <c r="G10" s="371">
        <v>118.199</v>
      </c>
      <c r="H10" s="371">
        <v>119</v>
      </c>
      <c r="I10" s="372">
        <v>1.0067767070787401</v>
      </c>
      <c r="J10" s="371">
        <v>2.4</v>
      </c>
      <c r="K10" s="372">
        <v>2.0304740310831734E-2</v>
      </c>
      <c r="L10" s="371">
        <v>581.91999999999996</v>
      </c>
      <c r="M10" s="372">
        <v>1.027081447389572</v>
      </c>
      <c r="N10" s="373">
        <v>1862.725920000001</v>
      </c>
      <c r="O10" s="371">
        <v>1.3</v>
      </c>
      <c r="P10" s="372">
        <v>1.0998401001700523E-2</v>
      </c>
      <c r="Q10" s="371">
        <v>756.49599999999998</v>
      </c>
      <c r="R10" s="374">
        <v>3.2010000000000076</v>
      </c>
      <c r="S10" s="372">
        <v>2.708144738957189E-2</v>
      </c>
      <c r="T10" s="408" t="s">
        <v>346</v>
      </c>
      <c r="U10" s="375" t="s">
        <v>212</v>
      </c>
      <c r="V10" s="408" t="s">
        <v>819</v>
      </c>
      <c r="W10" s="408" t="s">
        <v>671</v>
      </c>
      <c r="X10" s="376" t="s">
        <v>355</v>
      </c>
      <c r="Y10" s="377" t="s">
        <v>375</v>
      </c>
    </row>
    <row r="11" spans="2:35" s="381" customFormat="1" ht="27" customHeight="1">
      <c r="B11" s="864"/>
      <c r="C11" s="865"/>
      <c r="D11" s="369">
        <v>5</v>
      </c>
      <c r="E11" s="370" t="s">
        <v>888</v>
      </c>
      <c r="F11" s="371">
        <v>1836.1730800000096</v>
      </c>
      <c r="G11" s="371">
        <v>1854.9960000000001</v>
      </c>
      <c r="H11" s="371">
        <v>1871.8000000000002</v>
      </c>
      <c r="I11" s="372">
        <v>1.0090587796415733</v>
      </c>
      <c r="J11" s="371">
        <v>0</v>
      </c>
      <c r="K11" s="372">
        <v>0</v>
      </c>
      <c r="L11" s="371">
        <v>109.27</v>
      </c>
      <c r="M11" s="372">
        <v>1.0090587796415733</v>
      </c>
      <c r="N11" s="373">
        <v>1836.1730800000096</v>
      </c>
      <c r="O11" s="371">
        <v>9</v>
      </c>
      <c r="P11" s="372">
        <v>4.85176248358487E-3</v>
      </c>
      <c r="Q11" s="371">
        <v>983.43</v>
      </c>
      <c r="R11" s="374">
        <v>16.804000000000087</v>
      </c>
      <c r="S11" s="372">
        <v>9.058779641573398E-3</v>
      </c>
      <c r="T11" s="408" t="s">
        <v>344</v>
      </c>
      <c r="U11" s="375" t="s">
        <v>580</v>
      </c>
      <c r="V11" s="408" t="s">
        <v>820</v>
      </c>
      <c r="W11" s="408" t="s">
        <v>821</v>
      </c>
      <c r="X11" s="376" t="s">
        <v>872</v>
      </c>
      <c r="Y11" s="377" t="s">
        <v>807</v>
      </c>
    </row>
    <row r="12" spans="2:35" s="381" customFormat="1" ht="27" customHeight="1">
      <c r="B12" s="864"/>
      <c r="C12" s="865"/>
      <c r="D12" s="369">
        <v>6</v>
      </c>
      <c r="E12" s="370" t="s">
        <v>354</v>
      </c>
      <c r="F12" s="371">
        <v>1832.4008000000049</v>
      </c>
      <c r="G12" s="371">
        <v>245.44200000000001</v>
      </c>
      <c r="H12" s="371">
        <v>249.20000000000002</v>
      </c>
      <c r="I12" s="372">
        <v>1.0153111529404095</v>
      </c>
      <c r="J12" s="371">
        <v>0</v>
      </c>
      <c r="K12" s="372">
        <v>0</v>
      </c>
      <c r="L12" s="371">
        <v>487.6</v>
      </c>
      <c r="M12" s="372">
        <v>1.0153111529404095</v>
      </c>
      <c r="N12" s="373">
        <v>1832.4008000000049</v>
      </c>
      <c r="O12" s="371">
        <v>1.8000000000000003</v>
      </c>
      <c r="P12" s="372">
        <v>7.3337081673063298E-3</v>
      </c>
      <c r="Q12" s="371">
        <v>877.68</v>
      </c>
      <c r="R12" s="374">
        <v>3.7580000000000098</v>
      </c>
      <c r="S12" s="372">
        <v>1.5311152940409587E-2</v>
      </c>
      <c r="T12" s="408" t="s">
        <v>346</v>
      </c>
      <c r="U12" s="375" t="s">
        <v>213</v>
      </c>
      <c r="V12" s="408" t="s">
        <v>806</v>
      </c>
      <c r="W12" s="408" t="s">
        <v>671</v>
      </c>
      <c r="X12" s="376" t="s">
        <v>742</v>
      </c>
      <c r="Y12" s="377" t="s">
        <v>355</v>
      </c>
    </row>
    <row r="13" spans="2:35" s="381" customFormat="1" ht="27" customHeight="1">
      <c r="B13" s="864"/>
      <c r="C13" s="865"/>
      <c r="D13" s="369">
        <v>7</v>
      </c>
      <c r="E13" s="370" t="s">
        <v>873</v>
      </c>
      <c r="F13" s="371">
        <v>1753.0740899999848</v>
      </c>
      <c r="G13" s="371">
        <v>1177.2090000000001</v>
      </c>
      <c r="H13" s="371">
        <v>1189.3</v>
      </c>
      <c r="I13" s="372">
        <v>1.0102709034674386</v>
      </c>
      <c r="J13" s="371">
        <v>0</v>
      </c>
      <c r="K13" s="372">
        <v>0</v>
      </c>
      <c r="L13" s="371">
        <v>144.99</v>
      </c>
      <c r="M13" s="372">
        <v>1.0102709034674386</v>
      </c>
      <c r="N13" s="373">
        <v>1753.0740899999848</v>
      </c>
      <c r="O13" s="371">
        <v>7.3000000000000007</v>
      </c>
      <c r="P13" s="372">
        <v>6.2011078746424808E-3</v>
      </c>
      <c r="Q13" s="371">
        <v>1058.4270000000001</v>
      </c>
      <c r="R13" s="374">
        <v>12.090999999999894</v>
      </c>
      <c r="S13" s="372">
        <v>1.0270903467438572E-2</v>
      </c>
      <c r="T13" s="408" t="s">
        <v>344</v>
      </c>
      <c r="U13" s="375" t="s">
        <v>580</v>
      </c>
      <c r="V13" s="408" t="s">
        <v>820</v>
      </c>
      <c r="W13" s="408" t="s">
        <v>821</v>
      </c>
      <c r="X13" s="376" t="s">
        <v>872</v>
      </c>
      <c r="Y13" s="377" t="s">
        <v>352</v>
      </c>
      <c r="AB13" s="381">
        <v>1</v>
      </c>
      <c r="AC13" s="384" t="s">
        <v>583</v>
      </c>
    </row>
    <row r="14" spans="2:35" s="381" customFormat="1" ht="27" customHeight="1">
      <c r="B14" s="864"/>
      <c r="C14" s="865"/>
      <c r="D14" s="369">
        <v>8</v>
      </c>
      <c r="E14" s="370" t="s">
        <v>885</v>
      </c>
      <c r="F14" s="371">
        <v>1748.9599599999538</v>
      </c>
      <c r="G14" s="371">
        <v>326.35200000000003</v>
      </c>
      <c r="H14" s="371">
        <v>329.29999999999995</v>
      </c>
      <c r="I14" s="372">
        <v>1.0090331911555619</v>
      </c>
      <c r="J14" s="371">
        <v>0</v>
      </c>
      <c r="K14" s="372">
        <v>0</v>
      </c>
      <c r="L14" s="371">
        <v>593.27</v>
      </c>
      <c r="M14" s="372">
        <v>1.0090331911555619</v>
      </c>
      <c r="N14" s="373">
        <v>1748.9599599999538</v>
      </c>
      <c r="O14" s="371">
        <v>1.2</v>
      </c>
      <c r="P14" s="372">
        <v>3.677011325194881E-3</v>
      </c>
      <c r="Q14" s="371">
        <v>711.92399999999998</v>
      </c>
      <c r="R14" s="374">
        <v>2.9479999999999222</v>
      </c>
      <c r="S14" s="372">
        <v>9.0331911555618528E-3</v>
      </c>
      <c r="T14" s="375" t="s">
        <v>346</v>
      </c>
      <c r="U14" s="375" t="s">
        <v>620</v>
      </c>
      <c r="V14" s="408" t="s">
        <v>906</v>
      </c>
      <c r="W14" s="408" t="s">
        <v>671</v>
      </c>
      <c r="X14" s="376" t="s">
        <v>884</v>
      </c>
      <c r="Y14" s="377" t="s">
        <v>804</v>
      </c>
      <c r="AB14" s="381">
        <v>2</v>
      </c>
      <c r="AC14" s="384" t="s">
        <v>351</v>
      </c>
    </row>
    <row r="15" spans="2:35" s="381" customFormat="1" ht="27" customHeight="1">
      <c r="B15" s="864"/>
      <c r="C15" s="865"/>
      <c r="D15" s="369">
        <v>9</v>
      </c>
      <c r="E15" s="370" t="s">
        <v>672</v>
      </c>
      <c r="F15" s="371">
        <v>1704.0137599999971</v>
      </c>
      <c r="G15" s="371">
        <v>2022.8720000000003</v>
      </c>
      <c r="H15" s="371">
        <v>2038.2000000000003</v>
      </c>
      <c r="I15" s="372">
        <v>1.0075773454771235</v>
      </c>
      <c r="J15" s="371">
        <v>0</v>
      </c>
      <c r="K15" s="372">
        <v>0</v>
      </c>
      <c r="L15" s="371">
        <v>111.17</v>
      </c>
      <c r="M15" s="372">
        <v>1.0075773454771235</v>
      </c>
      <c r="N15" s="373">
        <v>1704.0137599999971</v>
      </c>
      <c r="O15" s="371">
        <v>8.6</v>
      </c>
      <c r="P15" s="372">
        <v>4.2513812045448249E-3</v>
      </c>
      <c r="Q15" s="371">
        <v>956.06200000000013</v>
      </c>
      <c r="R15" s="374">
        <v>15.327999999999975</v>
      </c>
      <c r="S15" s="372">
        <v>7.5773454771236003E-3</v>
      </c>
      <c r="T15" s="375" t="s">
        <v>344</v>
      </c>
      <c r="U15" s="375" t="s">
        <v>580</v>
      </c>
      <c r="V15" s="408" t="s">
        <v>763</v>
      </c>
      <c r="W15" s="408" t="s">
        <v>673</v>
      </c>
      <c r="X15" s="376" t="s">
        <v>352</v>
      </c>
      <c r="Y15" s="377" t="s">
        <v>676</v>
      </c>
      <c r="AB15" s="381">
        <v>3</v>
      </c>
      <c r="AC15" s="384" t="s">
        <v>392</v>
      </c>
    </row>
    <row r="16" spans="2:35" s="381" customFormat="1" ht="27" customHeight="1">
      <c r="B16" s="864"/>
      <c r="C16" s="865"/>
      <c r="D16" s="369">
        <v>10</v>
      </c>
      <c r="E16" s="370" t="s">
        <v>841</v>
      </c>
      <c r="F16" s="371">
        <v>1668.7131999999897</v>
      </c>
      <c r="G16" s="371">
        <v>1181.1099999999999</v>
      </c>
      <c r="H16" s="371">
        <v>1194.1999999999998</v>
      </c>
      <c r="I16" s="372">
        <v>1.0110827949979255</v>
      </c>
      <c r="J16" s="371">
        <v>0</v>
      </c>
      <c r="K16" s="372">
        <v>0</v>
      </c>
      <c r="L16" s="371">
        <v>127.48</v>
      </c>
      <c r="M16" s="372">
        <v>1.0110827949979255</v>
      </c>
      <c r="N16" s="373">
        <v>1668.7131999999897</v>
      </c>
      <c r="O16" s="371">
        <v>7.8</v>
      </c>
      <c r="P16" s="372">
        <v>6.6039572944094965E-3</v>
      </c>
      <c r="Q16" s="371">
        <v>994.34400000000005</v>
      </c>
      <c r="R16" s="374">
        <v>13.089999999999918</v>
      </c>
      <c r="S16" s="372">
        <v>1.1082794997925612E-2</v>
      </c>
      <c r="T16" s="408" t="s">
        <v>344</v>
      </c>
      <c r="U16" s="375" t="s">
        <v>580</v>
      </c>
      <c r="V16" s="408" t="s">
        <v>762</v>
      </c>
      <c r="W16" s="408" t="s">
        <v>670</v>
      </c>
      <c r="X16" s="376" t="s">
        <v>349</v>
      </c>
      <c r="Y16" s="377" t="s">
        <v>778</v>
      </c>
      <c r="AB16" s="381">
        <v>4</v>
      </c>
      <c r="AC16" s="384" t="s">
        <v>619</v>
      </c>
    </row>
    <row r="17" spans="2:29" s="381" customFormat="1" ht="27" customHeight="1">
      <c r="B17" s="864"/>
      <c r="C17" s="865"/>
      <c r="D17" s="369">
        <v>11</v>
      </c>
      <c r="E17" s="370" t="s">
        <v>829</v>
      </c>
      <c r="F17" s="371">
        <v>1602.4142399999282</v>
      </c>
      <c r="G17" s="371">
        <v>7375.0480000000007</v>
      </c>
      <c r="H17" s="371">
        <v>7398.4</v>
      </c>
      <c r="I17" s="372">
        <v>1.0031663522732326</v>
      </c>
      <c r="J17" s="371">
        <v>0</v>
      </c>
      <c r="K17" s="372">
        <v>0</v>
      </c>
      <c r="L17" s="371">
        <v>68.62</v>
      </c>
      <c r="M17" s="372">
        <v>1.0031663522732326</v>
      </c>
      <c r="N17" s="373">
        <v>1602.4142399999282</v>
      </c>
      <c r="O17" s="371">
        <v>13.200000000000001</v>
      </c>
      <c r="P17" s="372">
        <v>1.7898188594840331E-3</v>
      </c>
      <c r="Q17" s="371">
        <v>905.78399999999999</v>
      </c>
      <c r="R17" s="374">
        <v>23.351999999998952</v>
      </c>
      <c r="S17" s="372">
        <v>3.1663522732325198E-3</v>
      </c>
      <c r="T17" s="375" t="s">
        <v>344</v>
      </c>
      <c r="U17" s="375" t="s">
        <v>580</v>
      </c>
      <c r="V17" s="408" t="s">
        <v>893</v>
      </c>
      <c r="W17" s="408" t="s">
        <v>894</v>
      </c>
      <c r="X17" s="376" t="s">
        <v>830</v>
      </c>
      <c r="Y17" s="377" t="s">
        <v>764</v>
      </c>
      <c r="AB17" s="381">
        <v>5</v>
      </c>
      <c r="AC17" s="384" t="s">
        <v>212</v>
      </c>
    </row>
    <row r="18" spans="2:29" s="381" customFormat="1" ht="27" customHeight="1">
      <c r="B18" s="864"/>
      <c r="C18" s="865"/>
      <c r="D18" s="369">
        <v>12</v>
      </c>
      <c r="E18" s="370" t="s">
        <v>667</v>
      </c>
      <c r="F18" s="371">
        <v>1594.4947199999565</v>
      </c>
      <c r="G18" s="371">
        <v>2480.4520000000002</v>
      </c>
      <c r="H18" s="371">
        <v>2492.1</v>
      </c>
      <c r="I18" s="372">
        <v>1.0046959183245634</v>
      </c>
      <c r="J18" s="371">
        <v>0</v>
      </c>
      <c r="K18" s="372">
        <v>0</v>
      </c>
      <c r="L18" s="371">
        <v>136.88999999999999</v>
      </c>
      <c r="M18" s="372">
        <v>1.0046959183245634</v>
      </c>
      <c r="N18" s="373">
        <v>1594.4947199999565</v>
      </c>
      <c r="O18" s="371">
        <v>7.2</v>
      </c>
      <c r="P18" s="372">
        <v>2.9026967665570628E-3</v>
      </c>
      <c r="Q18" s="371">
        <v>985.60800000000006</v>
      </c>
      <c r="R18" s="374">
        <v>11.647999999999683</v>
      </c>
      <c r="S18" s="372">
        <v>4.6959183245632984E-3</v>
      </c>
      <c r="T18" s="375" t="s">
        <v>346</v>
      </c>
      <c r="U18" s="375" t="s">
        <v>212</v>
      </c>
      <c r="V18" s="408" t="s">
        <v>797</v>
      </c>
      <c r="W18" s="408" t="s">
        <v>798</v>
      </c>
      <c r="X18" s="376" t="s">
        <v>352</v>
      </c>
      <c r="Y18" s="377" t="s">
        <v>352</v>
      </c>
      <c r="AB18" s="381">
        <v>6</v>
      </c>
      <c r="AC18" s="384" t="s">
        <v>213</v>
      </c>
    </row>
    <row r="19" spans="2:29" s="381" customFormat="1" ht="27" customHeight="1">
      <c r="B19" s="864"/>
      <c r="C19" s="865"/>
      <c r="D19" s="369">
        <v>13</v>
      </c>
      <c r="E19" s="370" t="s">
        <v>838</v>
      </c>
      <c r="F19" s="371">
        <v>1555.8399999999942</v>
      </c>
      <c r="G19" s="371">
        <v>17.716000000000001</v>
      </c>
      <c r="H19" s="371">
        <v>18.399999999999999</v>
      </c>
      <c r="I19" s="372">
        <v>1.0386091668548203</v>
      </c>
      <c r="J19" s="371">
        <v>0.2</v>
      </c>
      <c r="K19" s="372">
        <v>1.1289230074508919E-2</v>
      </c>
      <c r="L19" s="371">
        <v>1760</v>
      </c>
      <c r="M19" s="372">
        <v>1.0498983969293292</v>
      </c>
      <c r="N19" s="373">
        <v>1555.8399999999956</v>
      </c>
      <c r="O19" s="371">
        <v>0.1</v>
      </c>
      <c r="P19" s="372">
        <v>5.6446150372544595E-3</v>
      </c>
      <c r="Q19" s="371">
        <v>176</v>
      </c>
      <c r="R19" s="374">
        <v>0.88399999999999679</v>
      </c>
      <c r="S19" s="372">
        <v>4.9898396929329236E-2</v>
      </c>
      <c r="T19" s="375" t="s">
        <v>346</v>
      </c>
      <c r="U19" s="375" t="s">
        <v>620</v>
      </c>
      <c r="V19" s="408" t="s">
        <v>907</v>
      </c>
      <c r="W19" s="408" t="s">
        <v>671</v>
      </c>
      <c r="X19" s="376" t="s">
        <v>348</v>
      </c>
      <c r="Y19" s="377" t="s">
        <v>792</v>
      </c>
      <c r="AB19" s="381">
        <v>7</v>
      </c>
      <c r="AC19" s="384" t="s">
        <v>620</v>
      </c>
    </row>
    <row r="20" spans="2:29" s="381" customFormat="1" ht="27" customHeight="1">
      <c r="B20" s="864"/>
      <c r="C20" s="865"/>
      <c r="D20" s="369">
        <v>14</v>
      </c>
      <c r="E20" s="370" t="s">
        <v>842</v>
      </c>
      <c r="F20" s="371">
        <v>1544.10904999999</v>
      </c>
      <c r="G20" s="371">
        <v>476.83499999999998</v>
      </c>
      <c r="H20" s="371">
        <v>481.49999999999994</v>
      </c>
      <c r="I20" s="372">
        <v>1.0097832583598099</v>
      </c>
      <c r="J20" s="371">
        <v>1</v>
      </c>
      <c r="K20" s="372">
        <v>2.0971614919206853E-3</v>
      </c>
      <c r="L20" s="371">
        <v>272.57</v>
      </c>
      <c r="M20" s="372">
        <v>1.0118804198517306</v>
      </c>
      <c r="N20" s="373">
        <v>1544.10904999999</v>
      </c>
      <c r="O20" s="371">
        <v>3</v>
      </c>
      <c r="P20" s="372">
        <v>6.2914844757620565E-3</v>
      </c>
      <c r="Q20" s="371">
        <v>817.70999999999992</v>
      </c>
      <c r="R20" s="374">
        <v>5.6649999999999636</v>
      </c>
      <c r="S20" s="372">
        <v>1.1880419851730606E-2</v>
      </c>
      <c r="T20" s="375" t="s">
        <v>346</v>
      </c>
      <c r="U20" s="375" t="s">
        <v>212</v>
      </c>
      <c r="V20" s="408" t="s">
        <v>819</v>
      </c>
      <c r="W20" s="408" t="s">
        <v>671</v>
      </c>
      <c r="X20" s="376" t="s">
        <v>830</v>
      </c>
      <c r="Y20" s="377" t="s">
        <v>347</v>
      </c>
      <c r="AB20" s="381">
        <v>8</v>
      </c>
      <c r="AC20" s="385" t="s">
        <v>621</v>
      </c>
    </row>
    <row r="21" spans="2:29" s="381" customFormat="1" ht="27" customHeight="1">
      <c r="B21" s="864"/>
      <c r="C21" s="865"/>
      <c r="D21" s="369">
        <v>15</v>
      </c>
      <c r="E21" s="370" t="s">
        <v>802</v>
      </c>
      <c r="F21" s="371">
        <v>1538.7120000000752</v>
      </c>
      <c r="G21" s="371">
        <v>912.56</v>
      </c>
      <c r="H21" s="371">
        <v>915.80000000000007</v>
      </c>
      <c r="I21" s="372">
        <v>1.0035504514771634</v>
      </c>
      <c r="J21" s="371">
        <v>0.2</v>
      </c>
      <c r="K21" s="372">
        <v>2.1916367142982382E-4</v>
      </c>
      <c r="L21" s="371">
        <v>447.3</v>
      </c>
      <c r="M21" s="372">
        <v>1.0037696151485931</v>
      </c>
      <c r="N21" s="373">
        <v>1538.712000000055</v>
      </c>
      <c r="O21" s="371">
        <v>1.6</v>
      </c>
      <c r="P21" s="372">
        <v>1.7533093714385906E-3</v>
      </c>
      <c r="Q21" s="371">
        <v>715.68000000000006</v>
      </c>
      <c r="R21" s="374">
        <v>3.4400000000001683</v>
      </c>
      <c r="S21" s="372">
        <v>3.7696151485931539E-3</v>
      </c>
      <c r="T21" s="375" t="s">
        <v>344</v>
      </c>
      <c r="U21" s="375" t="s">
        <v>580</v>
      </c>
      <c r="V21" s="408" t="s">
        <v>806</v>
      </c>
      <c r="W21" s="408" t="s">
        <v>671</v>
      </c>
      <c r="X21" s="376" t="s">
        <v>801</v>
      </c>
      <c r="Y21" s="377" t="s">
        <v>803</v>
      </c>
      <c r="AC21" s="384"/>
    </row>
    <row r="22" spans="2:29" s="381" customFormat="1" ht="27" customHeight="1">
      <c r="B22" s="864"/>
      <c r="C22" s="865"/>
      <c r="D22" s="369">
        <v>16</v>
      </c>
      <c r="E22" s="370" t="s">
        <v>808</v>
      </c>
      <c r="F22" s="371">
        <v>1520.3719999999928</v>
      </c>
      <c r="G22" s="371">
        <v>523.20000000000005</v>
      </c>
      <c r="H22" s="371">
        <v>524.6</v>
      </c>
      <c r="I22" s="372">
        <v>1.0026758409785932</v>
      </c>
      <c r="J22" s="371">
        <v>3.5000000000000004</v>
      </c>
      <c r="K22" s="372">
        <v>6.6896024464831805E-3</v>
      </c>
      <c r="L22" s="371">
        <v>310.27999999999997</v>
      </c>
      <c r="M22" s="372">
        <v>1.0093654434250765</v>
      </c>
      <c r="N22" s="373">
        <v>1520.3719999999928</v>
      </c>
      <c r="O22" s="371">
        <v>2.2999999999999998</v>
      </c>
      <c r="P22" s="372">
        <v>4.3960244648318034E-3</v>
      </c>
      <c r="Q22" s="371">
        <v>713.64399999999989</v>
      </c>
      <c r="R22" s="374">
        <v>4.8999999999999773</v>
      </c>
      <c r="S22" s="372">
        <v>9.3654434250764092E-3</v>
      </c>
      <c r="T22" s="408" t="s">
        <v>346</v>
      </c>
      <c r="U22" s="375" t="s">
        <v>212</v>
      </c>
      <c r="V22" s="408" t="s">
        <v>819</v>
      </c>
      <c r="W22" s="408" t="s">
        <v>671</v>
      </c>
      <c r="X22" s="376" t="s">
        <v>807</v>
      </c>
      <c r="Y22" s="377" t="s">
        <v>349</v>
      </c>
      <c r="AC22" s="384"/>
    </row>
    <row r="23" spans="2:29" s="381" customFormat="1" ht="27" customHeight="1">
      <c r="B23" s="864"/>
      <c r="C23" s="865"/>
      <c r="D23" s="369">
        <v>17</v>
      </c>
      <c r="E23" s="370" t="s">
        <v>905</v>
      </c>
      <c r="F23" s="371">
        <v>1508.540759999996</v>
      </c>
      <c r="G23" s="371">
        <v>498.69599999999997</v>
      </c>
      <c r="H23" s="371">
        <v>504.29999999999995</v>
      </c>
      <c r="I23" s="372">
        <v>1.0112373068963858</v>
      </c>
      <c r="J23" s="371">
        <v>0</v>
      </c>
      <c r="K23" s="372">
        <v>0</v>
      </c>
      <c r="L23" s="371">
        <v>269.19</v>
      </c>
      <c r="M23" s="372">
        <v>1.0112373068963858</v>
      </c>
      <c r="N23" s="373">
        <v>1508.540759999996</v>
      </c>
      <c r="O23" s="371">
        <v>3.1000000000000005</v>
      </c>
      <c r="P23" s="372">
        <v>6.2162118805845663E-3</v>
      </c>
      <c r="Q23" s="524">
        <v>834.48899999999992</v>
      </c>
      <c r="R23" s="374">
        <v>5.603999999999985</v>
      </c>
      <c r="S23" s="372">
        <v>1.1237306896385744E-2</v>
      </c>
      <c r="T23" s="375" t="s">
        <v>344</v>
      </c>
      <c r="U23" s="375" t="s">
        <v>580</v>
      </c>
      <c r="V23" s="408" t="s">
        <v>809</v>
      </c>
      <c r="W23" s="408" t="s">
        <v>810</v>
      </c>
      <c r="X23" s="376" t="s">
        <v>371</v>
      </c>
      <c r="Y23" s="377" t="s">
        <v>642</v>
      </c>
      <c r="AB23" s="386">
        <v>1</v>
      </c>
      <c r="AC23" s="384" t="s">
        <v>350</v>
      </c>
    </row>
    <row r="24" spans="2:29" s="381" customFormat="1" ht="27" customHeight="1">
      <c r="B24" s="864"/>
      <c r="C24" s="865"/>
      <c r="D24" s="369">
        <v>18</v>
      </c>
      <c r="E24" s="370" t="s">
        <v>827</v>
      </c>
      <c r="F24" s="371">
        <v>1497.4660799999999</v>
      </c>
      <c r="G24" s="371">
        <v>115.434</v>
      </c>
      <c r="H24" s="371">
        <v>118.8</v>
      </c>
      <c r="I24" s="372">
        <v>1.0291595197255574</v>
      </c>
      <c r="J24" s="371">
        <v>0</v>
      </c>
      <c r="K24" s="372">
        <v>0</v>
      </c>
      <c r="L24" s="371">
        <v>444.88</v>
      </c>
      <c r="M24" s="372">
        <v>1.0291595197255574</v>
      </c>
      <c r="N24" s="373">
        <v>1497.4660799999999</v>
      </c>
      <c r="O24" s="371">
        <v>2.1</v>
      </c>
      <c r="P24" s="372">
        <v>1.8192213732522482E-2</v>
      </c>
      <c r="Q24" s="371">
        <v>934.24800000000005</v>
      </c>
      <c r="R24" s="374">
        <v>3.3659999999999997</v>
      </c>
      <c r="S24" s="372">
        <v>2.915951972555746E-2</v>
      </c>
      <c r="T24" s="375" t="s">
        <v>346</v>
      </c>
      <c r="U24" s="375" t="s">
        <v>213</v>
      </c>
      <c r="V24" s="408" t="s">
        <v>806</v>
      </c>
      <c r="W24" s="375" t="s">
        <v>671</v>
      </c>
      <c r="X24" s="376" t="s">
        <v>741</v>
      </c>
      <c r="Y24" s="377" t="s">
        <v>368</v>
      </c>
      <c r="AB24" s="381">
        <v>2</v>
      </c>
      <c r="AC24" s="384" t="s">
        <v>394</v>
      </c>
    </row>
    <row r="25" spans="2:29" s="381" customFormat="1" ht="27" customHeight="1">
      <c r="B25" s="864"/>
      <c r="C25" s="865"/>
      <c r="D25" s="369">
        <v>19</v>
      </c>
      <c r="E25" s="370" t="s">
        <v>874</v>
      </c>
      <c r="F25" s="371">
        <v>1488.2335200000357</v>
      </c>
      <c r="G25" s="371">
        <v>340.09599999999995</v>
      </c>
      <c r="H25" s="371">
        <v>344.20000000000005</v>
      </c>
      <c r="I25" s="372">
        <v>1.0120671810312385</v>
      </c>
      <c r="J25" s="371">
        <v>0</v>
      </c>
      <c r="K25" s="372">
        <v>0</v>
      </c>
      <c r="L25" s="371">
        <v>362.63</v>
      </c>
      <c r="M25" s="372">
        <v>1.0120671810312385</v>
      </c>
      <c r="N25" s="373">
        <v>1488.2335200000357</v>
      </c>
      <c r="O25" s="371">
        <v>2.5999999999999996</v>
      </c>
      <c r="P25" s="372">
        <v>7.6449002634550248E-3</v>
      </c>
      <c r="Q25" s="371">
        <v>942.83799999999997</v>
      </c>
      <c r="R25" s="374">
        <v>4.1040000000000987</v>
      </c>
      <c r="S25" s="372">
        <v>1.2067181031238531E-2</v>
      </c>
      <c r="T25" s="375" t="s">
        <v>344</v>
      </c>
      <c r="U25" s="375" t="s">
        <v>580</v>
      </c>
      <c r="V25" s="408" t="s">
        <v>809</v>
      </c>
      <c r="W25" s="408" t="s">
        <v>810</v>
      </c>
      <c r="X25" s="376" t="s">
        <v>804</v>
      </c>
      <c r="Y25" s="377" t="s">
        <v>675</v>
      </c>
      <c r="AB25" s="387">
        <v>3</v>
      </c>
      <c r="AC25" s="384" t="s">
        <v>344</v>
      </c>
    </row>
    <row r="26" spans="2:29" s="381" customFormat="1" ht="27" customHeight="1">
      <c r="B26" s="866"/>
      <c r="C26" s="867"/>
      <c r="D26" s="369">
        <v>20</v>
      </c>
      <c r="E26" s="370" t="s">
        <v>795</v>
      </c>
      <c r="F26" s="371">
        <v>1477.037799999998</v>
      </c>
      <c r="G26" s="371">
        <v>35.055</v>
      </c>
      <c r="H26" s="371">
        <v>36.799999999999997</v>
      </c>
      <c r="I26" s="372">
        <v>1.0497789188418198</v>
      </c>
      <c r="J26" s="371">
        <v>0</v>
      </c>
      <c r="K26" s="372">
        <v>0</v>
      </c>
      <c r="L26" s="371">
        <v>846.44</v>
      </c>
      <c r="M26" s="372">
        <v>1.0497789188418198</v>
      </c>
      <c r="N26" s="373">
        <v>1477.037799999998</v>
      </c>
      <c r="O26" s="371">
        <v>1</v>
      </c>
      <c r="P26" s="372">
        <v>2.8526601055484241E-2</v>
      </c>
      <c r="Q26" s="371">
        <v>846.44</v>
      </c>
      <c r="R26" s="374">
        <v>1.7449999999999974</v>
      </c>
      <c r="S26" s="372">
        <v>4.9778918841819925E-2</v>
      </c>
      <c r="T26" s="375" t="s">
        <v>346</v>
      </c>
      <c r="U26" s="375" t="s">
        <v>620</v>
      </c>
      <c r="V26" s="408" t="s">
        <v>907</v>
      </c>
      <c r="W26" s="409" t="s">
        <v>671</v>
      </c>
      <c r="X26" s="376" t="s">
        <v>345</v>
      </c>
      <c r="Y26" s="377" t="s">
        <v>642</v>
      </c>
      <c r="AB26" s="387">
        <v>4</v>
      </c>
      <c r="AC26" s="384" t="s">
        <v>346</v>
      </c>
    </row>
    <row r="27" spans="2:29" ht="29.45" customHeight="1">
      <c r="C27" s="868"/>
      <c r="AB27" s="381"/>
      <c r="AC27" s="384"/>
    </row>
    <row r="28" spans="2:29">
      <c r="C28" s="868"/>
    </row>
    <row r="29" spans="2:29">
      <c r="C29" s="868"/>
    </row>
    <row r="30" spans="2:29">
      <c r="C30" s="868"/>
    </row>
    <row r="31" spans="2:29">
      <c r="C31" s="868"/>
    </row>
    <row r="32" spans="2:29">
      <c r="C32" s="868"/>
    </row>
    <row r="33" spans="3:3">
      <c r="C33" s="868"/>
    </row>
    <row r="34" spans="3:3">
      <c r="C34" s="868"/>
    </row>
    <row r="35" spans="3:3">
      <c r="C35" s="868"/>
    </row>
    <row r="36" spans="3:3">
      <c r="C36" s="868"/>
    </row>
    <row r="67" ht="14.1" customHeight="1"/>
    <row r="77" ht="14.1" customHeight="1"/>
    <row r="87" ht="14.1" customHeight="1"/>
    <row r="112" spans="26:26">
      <c r="Z112" s="388" t="s">
        <v>622</v>
      </c>
    </row>
    <row r="113" spans="26:26">
      <c r="Z113" s="381" t="s">
        <v>623</v>
      </c>
    </row>
    <row r="116" spans="26:26" ht="18.75" customHeight="1"/>
    <row r="117" spans="26:26" ht="14.1" customHeight="1"/>
    <row r="127" spans="26:26" ht="14.1" customHeight="1"/>
    <row r="137" ht="14.1" customHeight="1"/>
    <row r="147" ht="14.1" customHeight="1"/>
    <row r="167" ht="14.1" customHeight="1"/>
    <row r="187" ht="14.1" customHeight="1"/>
    <row r="197" ht="14.1" customHeight="1"/>
    <row r="207" ht="14.1" customHeight="1"/>
    <row r="217" ht="14.1" customHeight="1"/>
    <row r="227" ht="14.1" customHeight="1"/>
    <row r="237" ht="14.1" customHeight="1"/>
    <row r="247" ht="14.1" customHeight="1"/>
    <row r="257" ht="14.1" customHeight="1"/>
    <row r="267" ht="14.1" customHeight="1"/>
    <row r="277" ht="14.1" customHeight="1"/>
    <row r="287" ht="14.1" customHeight="1"/>
    <row r="297" ht="14.1" customHeight="1"/>
  </sheetData>
  <mergeCells count="22">
    <mergeCell ref="B7:C26"/>
    <mergeCell ref="C27:C36"/>
    <mergeCell ref="AA3:AI5"/>
    <mergeCell ref="D4:D6"/>
    <mergeCell ref="E4:F4"/>
    <mergeCell ref="G4:N4"/>
    <mergeCell ref="O4:S4"/>
    <mergeCell ref="E5:E6"/>
    <mergeCell ref="F5:F6"/>
    <mergeCell ref="G5:N5"/>
    <mergeCell ref="O5:P5"/>
    <mergeCell ref="Q5:S5"/>
    <mergeCell ref="B2:Y2"/>
    <mergeCell ref="B3:C6"/>
    <mergeCell ref="D3:F3"/>
    <mergeCell ref="G3:S3"/>
    <mergeCell ref="T3:T6"/>
    <mergeCell ref="U3:U6"/>
    <mergeCell ref="V3:V6"/>
    <mergeCell ref="W3:W6"/>
    <mergeCell ref="X3:X6"/>
    <mergeCell ref="Y3:Y6"/>
  </mergeCells>
  <phoneticPr fontId="11" type="noConversion"/>
  <dataValidations count="2">
    <dataValidation type="list" allowBlank="1" showInputMessage="1" showErrorMessage="1" sqref="U1:U1048576">
      <formula1>$AC$13:$AC$20</formula1>
    </dataValidation>
    <dataValidation type="list" allowBlank="1" showInputMessage="1" showErrorMessage="1" sqref="T1:T1048576">
      <formula1>$AC$23:$AC$27</formula1>
    </dataValidation>
  </dataValidations>
  <pageMargins left="0" right="0" top="0" bottom="0" header="0" footer="0"/>
  <pageSetup paperSize="9" scale="20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</sheetPr>
  <dimension ref="A1:R70"/>
  <sheetViews>
    <sheetView zoomScale="70" zoomScaleNormal="70" workbookViewId="0">
      <selection activeCell="R37" sqref="R37"/>
    </sheetView>
  </sheetViews>
  <sheetFormatPr defaultColWidth="8.28515625" defaultRowHeight="15"/>
  <cols>
    <col min="1" max="1" width="18.42578125" style="389" customWidth="1"/>
    <col min="2" max="2" width="21.140625" style="389" bestFit="1" customWidth="1"/>
    <col min="3" max="6" width="14.28515625" style="389" customWidth="1"/>
    <col min="7" max="10" width="18.42578125" style="389" customWidth="1"/>
    <col min="11" max="11" width="17.140625" style="389" bestFit="1" customWidth="1"/>
    <col min="12" max="12" width="16" style="389" customWidth="1"/>
    <col min="13" max="13" width="23.28515625" style="389" bestFit="1" customWidth="1"/>
    <col min="14" max="15" width="13.28515625" style="389" bestFit="1" customWidth="1"/>
    <col min="16" max="16" width="8.28515625" style="389"/>
    <col min="17" max="17" width="12.85546875" style="389" bestFit="1" customWidth="1"/>
    <col min="18" max="16384" width="8.28515625" style="389"/>
  </cols>
  <sheetData>
    <row r="1" spans="1:18" ht="27" customHeight="1">
      <c r="A1" s="874" t="s">
        <v>645</v>
      </c>
      <c r="B1" s="874"/>
      <c r="C1" s="874"/>
      <c r="D1" s="874"/>
      <c r="E1" s="874"/>
      <c r="F1" s="874"/>
      <c r="G1" s="874"/>
      <c r="H1" s="874"/>
      <c r="I1" s="874"/>
      <c r="J1" s="874"/>
      <c r="K1" s="874"/>
      <c r="L1" s="874"/>
      <c r="M1" s="874"/>
      <c r="N1" s="874"/>
      <c r="O1" s="874"/>
    </row>
    <row r="2" spans="1:18" ht="16.5" customHeight="1">
      <c r="A2" s="875" t="s">
        <v>646</v>
      </c>
      <c r="B2" s="875" t="s">
        <v>647</v>
      </c>
      <c r="C2" s="875" t="s">
        <v>648</v>
      </c>
      <c r="D2" s="875" t="s">
        <v>649</v>
      </c>
      <c r="E2" s="875" t="s">
        <v>650</v>
      </c>
      <c r="F2" s="875" t="s">
        <v>651</v>
      </c>
      <c r="G2" s="875" t="s">
        <v>652</v>
      </c>
      <c r="H2" s="875"/>
      <c r="I2" s="875" t="s">
        <v>653</v>
      </c>
      <c r="J2" s="875"/>
      <c r="K2" s="875" t="s">
        <v>654</v>
      </c>
      <c r="L2" s="875"/>
      <c r="M2" s="876" t="s">
        <v>655</v>
      </c>
      <c r="N2" s="876"/>
      <c r="O2" s="876"/>
    </row>
    <row r="3" spans="1:18" ht="37.5" customHeight="1">
      <c r="A3" s="875"/>
      <c r="B3" s="875"/>
      <c r="C3" s="875"/>
      <c r="D3" s="875"/>
      <c r="E3" s="875"/>
      <c r="F3" s="875"/>
      <c r="G3" s="493" t="s">
        <v>656</v>
      </c>
      <c r="H3" s="493" t="s">
        <v>657</v>
      </c>
      <c r="I3" s="493" t="s">
        <v>656</v>
      </c>
      <c r="J3" s="493" t="s">
        <v>657</v>
      </c>
      <c r="K3" s="493" t="s">
        <v>658</v>
      </c>
      <c r="L3" s="493" t="s">
        <v>659</v>
      </c>
      <c r="M3" s="428" t="s">
        <v>660</v>
      </c>
      <c r="N3" s="390" t="s">
        <v>661</v>
      </c>
      <c r="O3" s="390" t="s">
        <v>662</v>
      </c>
    </row>
    <row r="4" spans="1:18" ht="18.75">
      <c r="A4" s="458">
        <v>46113</v>
      </c>
      <c r="B4" s="410">
        <v>7706722</v>
      </c>
      <c r="C4" s="410">
        <v>18834</v>
      </c>
      <c r="D4" s="435">
        <f t="shared" ref="D4:D37" si="0">C4/B4</f>
        <v>2.4438405848816137E-3</v>
      </c>
      <c r="E4" s="411">
        <v>13226.808161899937</v>
      </c>
      <c r="F4" s="394">
        <f t="shared" ref="F4:F37" si="1">E4/B4</f>
        <v>1.7162690131939282E-3</v>
      </c>
      <c r="G4" s="410">
        <v>1749.3900000000003</v>
      </c>
      <c r="H4" s="395">
        <f t="shared" ref="H4:H37" si="2">G4/C4</f>
        <v>9.2884676648614231E-2</v>
      </c>
      <c r="I4" s="396">
        <v>1574.7586099999955</v>
      </c>
      <c r="J4" s="395">
        <f t="shared" ref="J4:J12" si="3">I4/E4</f>
        <v>0.11905809706502862</v>
      </c>
      <c r="K4" s="412">
        <v>3245.5180000000005</v>
      </c>
      <c r="L4" s="413">
        <f t="shared" ref="L4:L37" si="4">K4/C4</f>
        <v>0.17232228947647873</v>
      </c>
      <c r="M4" s="495">
        <f>SUM(B4:B9)</f>
        <v>44423805</v>
      </c>
      <c r="N4" s="496">
        <f>SUM(C4:C9)</f>
        <v>108448</v>
      </c>
      <c r="O4" s="496">
        <f>SUM(E4:E9)</f>
        <v>80207.92985613097</v>
      </c>
    </row>
    <row r="5" spans="1:18" ht="18.75">
      <c r="A5" s="458">
        <f>A4+1</f>
        <v>46114</v>
      </c>
      <c r="B5" s="410">
        <v>7008581</v>
      </c>
      <c r="C5" s="410">
        <v>16969</v>
      </c>
      <c r="D5" s="435">
        <f t="shared" si="0"/>
        <v>2.4211748426678668E-3</v>
      </c>
      <c r="E5" s="411">
        <v>14120.839738265822</v>
      </c>
      <c r="F5" s="394">
        <f t="shared" si="1"/>
        <v>2.0147929713968953E-3</v>
      </c>
      <c r="G5" s="410">
        <v>1353.3689999999999</v>
      </c>
      <c r="H5" s="395">
        <f t="shared" si="2"/>
        <v>7.9755377453002527E-2</v>
      </c>
      <c r="I5" s="396">
        <v>1551.2935699999998</v>
      </c>
      <c r="J5" s="395">
        <f t="shared" si="3"/>
        <v>0.10985845025888764</v>
      </c>
      <c r="K5" s="412">
        <v>3249.6240000000007</v>
      </c>
      <c r="L5" s="413">
        <f t="shared" si="4"/>
        <v>0.19150356532500445</v>
      </c>
      <c r="M5" s="495"/>
      <c r="N5" s="496"/>
      <c r="O5" s="496"/>
    </row>
    <row r="6" spans="1:18" ht="18.75">
      <c r="A6" s="458">
        <f t="shared" ref="A6:A37" si="5">A5+1</f>
        <v>46115</v>
      </c>
      <c r="B6" s="410">
        <v>6828155</v>
      </c>
      <c r="C6" s="410">
        <v>16662</v>
      </c>
      <c r="D6" s="435">
        <f t="shared" si="0"/>
        <v>2.4401906517939327E-3</v>
      </c>
      <c r="E6" s="411">
        <v>13454.166739179895</v>
      </c>
      <c r="F6" s="394">
        <f t="shared" si="1"/>
        <v>1.9703956250524328E-3</v>
      </c>
      <c r="G6" s="410">
        <v>1316</v>
      </c>
      <c r="H6" s="395">
        <f t="shared" si="2"/>
        <v>7.8982114992197816E-2</v>
      </c>
      <c r="I6" s="396">
        <v>1565</v>
      </c>
      <c r="J6" s="395">
        <f t="shared" si="3"/>
        <v>0.11632084173912917</v>
      </c>
      <c r="K6" s="412">
        <v>3487</v>
      </c>
      <c r="L6" s="413">
        <f t="shared" si="4"/>
        <v>0.20927859800744208</v>
      </c>
      <c r="M6" s="495"/>
      <c r="N6" s="496"/>
      <c r="O6" s="496"/>
    </row>
    <row r="7" spans="1:18" ht="18.75">
      <c r="A7" s="458">
        <f t="shared" si="5"/>
        <v>46116</v>
      </c>
      <c r="B7" s="410">
        <v>6946481</v>
      </c>
      <c r="C7" s="410">
        <v>17073</v>
      </c>
      <c r="D7" s="435">
        <f t="shared" si="0"/>
        <v>2.4577912183161516E-3</v>
      </c>
      <c r="E7" s="411">
        <v>12011.701619029729</v>
      </c>
      <c r="F7" s="394">
        <f t="shared" si="1"/>
        <v>1.7291779275045492E-3</v>
      </c>
      <c r="G7" s="410">
        <v>1418</v>
      </c>
      <c r="H7" s="395">
        <f t="shared" si="2"/>
        <v>8.305511626544837E-2</v>
      </c>
      <c r="I7" s="396">
        <v>1554</v>
      </c>
      <c r="J7" s="395">
        <f t="shared" si="3"/>
        <v>0.12937384304802002</v>
      </c>
      <c r="K7" s="412">
        <v>2696</v>
      </c>
      <c r="L7" s="413">
        <f t="shared" si="4"/>
        <v>0.15791015053007673</v>
      </c>
      <c r="M7" s="495"/>
      <c r="N7" s="496"/>
      <c r="O7" s="496"/>
    </row>
    <row r="8" spans="1:18" ht="18.75">
      <c r="A8" s="458">
        <f t="shared" si="5"/>
        <v>46117</v>
      </c>
      <c r="B8" s="410">
        <v>7261197</v>
      </c>
      <c r="C8" s="410">
        <v>17701</v>
      </c>
      <c r="D8" s="435">
        <f t="shared" si="0"/>
        <v>2.4377523430365545E-3</v>
      </c>
      <c r="E8" s="411">
        <v>12515.079403818056</v>
      </c>
      <c r="F8" s="394">
        <f t="shared" si="1"/>
        <v>1.7235559651966549E-3</v>
      </c>
      <c r="G8" s="410">
        <v>1386</v>
      </c>
      <c r="H8" s="395">
        <f t="shared" si="2"/>
        <v>7.8300660979605669E-2</v>
      </c>
      <c r="I8" s="396">
        <v>1530</v>
      </c>
      <c r="J8" s="395">
        <f t="shared" si="3"/>
        <v>0.1222525203901809</v>
      </c>
      <c r="K8" s="412">
        <v>2531</v>
      </c>
      <c r="L8" s="413">
        <f t="shared" si="4"/>
        <v>0.14298627196203603</v>
      </c>
      <c r="M8" s="495"/>
      <c r="N8" s="496"/>
      <c r="O8" s="496"/>
      <c r="P8" s="400"/>
      <c r="Q8" s="400"/>
      <c r="R8" s="400"/>
    </row>
    <row r="9" spans="1:18" ht="18.75">
      <c r="A9" s="458">
        <f t="shared" si="5"/>
        <v>46118</v>
      </c>
      <c r="B9" s="410">
        <v>8672669</v>
      </c>
      <c r="C9" s="410">
        <v>21209</v>
      </c>
      <c r="D9" s="435">
        <f t="shared" si="0"/>
        <v>2.4454986117883664E-3</v>
      </c>
      <c r="E9" s="411">
        <v>14879.334193937533</v>
      </c>
      <c r="F9" s="394">
        <f t="shared" si="1"/>
        <v>1.7156580279885619E-3</v>
      </c>
      <c r="G9" s="410">
        <v>1317</v>
      </c>
      <c r="H9" s="395">
        <f t="shared" si="2"/>
        <v>6.209627988118252E-2</v>
      </c>
      <c r="I9" s="396">
        <v>1447</v>
      </c>
      <c r="J9" s="395">
        <f t="shared" si="3"/>
        <v>9.7248975064325713E-2</v>
      </c>
      <c r="K9" s="412">
        <v>2524</v>
      </c>
      <c r="L9" s="413">
        <f t="shared" si="4"/>
        <v>0.11900608232354189</v>
      </c>
      <c r="M9" s="495"/>
      <c r="N9" s="496"/>
      <c r="O9" s="496"/>
    </row>
    <row r="10" spans="1:18" ht="18.75">
      <c r="A10" s="399">
        <f t="shared" si="5"/>
        <v>46119</v>
      </c>
      <c r="B10" s="410">
        <v>8371655</v>
      </c>
      <c r="C10" s="410">
        <v>20321.036000000011</v>
      </c>
      <c r="D10" s="435">
        <f t="shared" si="0"/>
        <v>2.4273618537792121E-3</v>
      </c>
      <c r="E10" s="411">
        <v>13221.651357475468</v>
      </c>
      <c r="F10" s="394">
        <f t="shared" si="1"/>
        <v>1.5793354309841326E-3</v>
      </c>
      <c r="G10" s="410">
        <v>1429</v>
      </c>
      <c r="H10" s="395">
        <f t="shared" si="2"/>
        <v>7.0321217874915395E-2</v>
      </c>
      <c r="I10" s="396">
        <v>1373</v>
      </c>
      <c r="J10" s="395">
        <f t="shared" si="3"/>
        <v>0.10384481959764515</v>
      </c>
      <c r="K10" s="412">
        <v>2990</v>
      </c>
      <c r="L10" s="413">
        <f t="shared" si="4"/>
        <v>0.14713816756192935</v>
      </c>
      <c r="M10" s="495">
        <f>SUM(B10:B16)</f>
        <v>58053442</v>
      </c>
      <c r="N10" s="496">
        <f>SUM(C10:C16)</f>
        <v>141120.03600000002</v>
      </c>
      <c r="O10" s="496">
        <f>SUM(E10:E16)</f>
        <v>98704.34776622786</v>
      </c>
      <c r="P10" s="401"/>
      <c r="Q10" s="401"/>
    </row>
    <row r="11" spans="1:18" ht="18.75">
      <c r="A11" s="399">
        <f t="shared" si="5"/>
        <v>46120</v>
      </c>
      <c r="B11" s="410">
        <v>8123789</v>
      </c>
      <c r="C11" s="410">
        <v>19662</v>
      </c>
      <c r="D11" s="435">
        <f t="shared" si="0"/>
        <v>2.4202991978250544E-3</v>
      </c>
      <c r="E11" s="411">
        <v>13538.044121184537</v>
      </c>
      <c r="F11" s="394">
        <f t="shared" si="1"/>
        <v>1.666469195739148E-3</v>
      </c>
      <c r="G11" s="410">
        <v>1332</v>
      </c>
      <c r="H11" s="395">
        <f t="shared" si="2"/>
        <v>6.7744888617638083E-2</v>
      </c>
      <c r="I11" s="396">
        <v>1310</v>
      </c>
      <c r="J11" s="395">
        <f t="shared" si="3"/>
        <v>9.6764347070644574E-2</v>
      </c>
      <c r="K11" s="412">
        <v>3098</v>
      </c>
      <c r="L11" s="413">
        <f t="shared" si="4"/>
        <v>0.1575628115145967</v>
      </c>
      <c r="M11" s="495"/>
      <c r="N11" s="496"/>
      <c r="O11" s="496"/>
    </row>
    <row r="12" spans="1:18" ht="18.75">
      <c r="A12" s="399">
        <f t="shared" si="5"/>
        <v>46121</v>
      </c>
      <c r="B12" s="410">
        <v>7630691</v>
      </c>
      <c r="C12" s="410">
        <v>18523</v>
      </c>
      <c r="D12" s="435">
        <f t="shared" si="0"/>
        <v>2.4274341602877119E-3</v>
      </c>
      <c r="E12" s="411">
        <v>14167.710263381849</v>
      </c>
      <c r="F12" s="394">
        <f t="shared" si="1"/>
        <v>1.8566746135286894E-3</v>
      </c>
      <c r="G12" s="410">
        <v>1522</v>
      </c>
      <c r="H12" s="395">
        <f t="shared" si="2"/>
        <v>8.2168115316093499E-2</v>
      </c>
      <c r="I12" s="396">
        <v>1544</v>
      </c>
      <c r="J12" s="395">
        <f t="shared" si="3"/>
        <v>0.10898020719626472</v>
      </c>
      <c r="K12" s="412">
        <v>3585</v>
      </c>
      <c r="L12" s="413">
        <f t="shared" si="4"/>
        <v>0.19354316255466178</v>
      </c>
      <c r="M12" s="495"/>
      <c r="N12" s="496"/>
      <c r="O12" s="496"/>
    </row>
    <row r="13" spans="1:18" ht="18.75">
      <c r="A13" s="399">
        <f t="shared" si="5"/>
        <v>46122</v>
      </c>
      <c r="B13" s="410">
        <v>7424675</v>
      </c>
      <c r="C13" s="410">
        <v>18035</v>
      </c>
      <c r="D13" s="435">
        <f t="shared" si="0"/>
        <v>2.4290625515594961E-3</v>
      </c>
      <c r="E13" s="411">
        <v>13305.905397522471</v>
      </c>
      <c r="F13" s="394">
        <f t="shared" si="1"/>
        <v>1.7921195739237705E-3</v>
      </c>
      <c r="G13" s="410">
        <v>1612</v>
      </c>
      <c r="H13" s="395">
        <f t="shared" si="2"/>
        <v>8.9381757693373989E-2</v>
      </c>
      <c r="I13" s="396">
        <v>1468</v>
      </c>
      <c r="J13" s="395">
        <v>0.10802855250570315</v>
      </c>
      <c r="K13" s="412">
        <v>3219</v>
      </c>
      <c r="L13" s="413">
        <f t="shared" si="4"/>
        <v>0.17848627668422512</v>
      </c>
      <c r="M13" s="495"/>
      <c r="N13" s="496"/>
      <c r="O13" s="496"/>
    </row>
    <row r="14" spans="1:18" ht="18.75">
      <c r="A14" s="399">
        <f t="shared" si="5"/>
        <v>46123</v>
      </c>
      <c r="B14" s="410">
        <v>7969209</v>
      </c>
      <c r="C14" s="410">
        <v>19513</v>
      </c>
      <c r="D14" s="435">
        <f t="shared" si="0"/>
        <v>2.4485491596468356E-3</v>
      </c>
      <c r="E14" s="411">
        <v>13307.965212654541</v>
      </c>
      <c r="F14" s="394">
        <f t="shared" si="1"/>
        <v>1.6699229763775226E-3</v>
      </c>
      <c r="G14" s="410">
        <v>1543</v>
      </c>
      <c r="H14" s="395">
        <f t="shared" si="2"/>
        <v>7.9075488136114383E-2</v>
      </c>
      <c r="I14" s="396">
        <v>1354</v>
      </c>
      <c r="J14" s="395">
        <v>9.5655245496291064E-2</v>
      </c>
      <c r="K14" s="412">
        <v>3078</v>
      </c>
      <c r="L14" s="413">
        <f t="shared" si="4"/>
        <v>0.15774099318403115</v>
      </c>
      <c r="M14" s="495"/>
      <c r="N14" s="496"/>
      <c r="O14" s="496"/>
    </row>
    <row r="15" spans="1:18" ht="18.75">
      <c r="A15" s="399">
        <f t="shared" si="5"/>
        <v>46124</v>
      </c>
      <c r="B15" s="410">
        <v>9249267</v>
      </c>
      <c r="C15" s="410">
        <v>22452</v>
      </c>
      <c r="D15" s="435">
        <f t="shared" si="0"/>
        <v>2.4274356011130395E-3</v>
      </c>
      <c r="E15" s="411">
        <v>16128.570969212458</v>
      </c>
      <c r="F15" s="394">
        <f t="shared" si="1"/>
        <v>1.7437674757591556E-3</v>
      </c>
      <c r="G15" s="410">
        <v>1352</v>
      </c>
      <c r="H15" s="395">
        <f t="shared" si="2"/>
        <v>6.0217352574380899E-2</v>
      </c>
      <c r="I15" s="396">
        <v>1439</v>
      </c>
      <c r="J15" s="395">
        <v>9.5655245496291064E-2</v>
      </c>
      <c r="K15" s="412">
        <v>3363</v>
      </c>
      <c r="L15" s="413">
        <f t="shared" si="4"/>
        <v>0.14978621058257616</v>
      </c>
      <c r="M15" s="495"/>
      <c r="N15" s="496"/>
      <c r="O15" s="496"/>
    </row>
    <row r="16" spans="1:18" ht="18.75">
      <c r="A16" s="399">
        <f t="shared" si="5"/>
        <v>46125</v>
      </c>
      <c r="B16" s="410">
        <v>9284156</v>
      </c>
      <c r="C16" s="410">
        <v>22614</v>
      </c>
      <c r="D16" s="435">
        <f t="shared" si="0"/>
        <v>2.4357626045921677E-3</v>
      </c>
      <c r="E16" s="411">
        <v>15034.500444796533</v>
      </c>
      <c r="F16" s="394">
        <f t="shared" si="1"/>
        <v>1.6193718034031885E-3</v>
      </c>
      <c r="G16" s="410">
        <v>1499</v>
      </c>
      <c r="H16" s="395">
        <f t="shared" si="2"/>
        <v>6.6286371274431766E-2</v>
      </c>
      <c r="I16" s="396">
        <v>1398</v>
      </c>
      <c r="J16" s="395">
        <v>9.5655245496291064E-2</v>
      </c>
      <c r="K16" s="412">
        <v>3152</v>
      </c>
      <c r="L16" s="413">
        <f t="shared" si="4"/>
        <v>0.13938268329353498</v>
      </c>
      <c r="M16" s="495"/>
      <c r="N16" s="496"/>
      <c r="O16" s="496"/>
    </row>
    <row r="17" spans="1:15" ht="18.75">
      <c r="A17" s="458">
        <f t="shared" si="5"/>
        <v>46126</v>
      </c>
      <c r="B17" s="410">
        <v>10285856</v>
      </c>
      <c r="C17" s="410">
        <v>24857</v>
      </c>
      <c r="D17" s="435">
        <f t="shared" si="0"/>
        <v>2.4166194821315795E-3</v>
      </c>
      <c r="E17" s="411">
        <v>18058.085644402065</v>
      </c>
      <c r="F17" s="394">
        <f t="shared" si="1"/>
        <v>1.755623026844053E-3</v>
      </c>
      <c r="G17" s="410">
        <v>2041.1409999999998</v>
      </c>
      <c r="H17" s="395">
        <f t="shared" si="2"/>
        <v>8.211533974333185E-2</v>
      </c>
      <c r="I17" s="396">
        <v>2234.3226100000011</v>
      </c>
      <c r="J17" s="395">
        <v>9.5655245496291064E-2</v>
      </c>
      <c r="K17" s="412">
        <v>3238.5710000000004</v>
      </c>
      <c r="L17" s="413">
        <f t="shared" si="4"/>
        <v>0.13028808786257393</v>
      </c>
      <c r="M17" s="495">
        <f>SUM(B17:B23)</f>
        <v>64721926</v>
      </c>
      <c r="N17" s="496">
        <f>SUM(C17:C23)</f>
        <v>156973</v>
      </c>
      <c r="O17" s="496">
        <f>SUM(E17:E23)</f>
        <v>116323.52062251595</v>
      </c>
    </row>
    <row r="18" spans="1:15" ht="18.75">
      <c r="A18" s="458">
        <f t="shared" si="5"/>
        <v>46127</v>
      </c>
      <c r="B18" s="410">
        <v>9533255</v>
      </c>
      <c r="C18" s="410">
        <v>23220</v>
      </c>
      <c r="D18" s="435">
        <f t="shared" si="0"/>
        <v>2.4356843491546171E-3</v>
      </c>
      <c r="E18" s="411">
        <v>16772.593075980305</v>
      </c>
      <c r="F18" s="394">
        <f t="shared" si="1"/>
        <v>1.7593773664902812E-3</v>
      </c>
      <c r="G18" s="410">
        <v>1639.29</v>
      </c>
      <c r="H18" s="395">
        <f t="shared" si="2"/>
        <v>7.0598191214470279E-2</v>
      </c>
      <c r="I18" s="396">
        <v>1577.6446311110581</v>
      </c>
      <c r="J18" s="395">
        <v>9.5655245496291064E-2</v>
      </c>
      <c r="K18" s="412">
        <v>3631.1000000000004</v>
      </c>
      <c r="L18" s="413">
        <f t="shared" si="4"/>
        <v>0.15637812230835488</v>
      </c>
      <c r="M18" s="495"/>
      <c r="N18" s="496"/>
      <c r="O18" s="496"/>
    </row>
    <row r="19" spans="1:15" ht="18.75">
      <c r="A19" s="458">
        <f t="shared" si="5"/>
        <v>46128</v>
      </c>
      <c r="B19" s="410">
        <v>8763987</v>
      </c>
      <c r="C19" s="410">
        <v>21278</v>
      </c>
      <c r="D19" s="435">
        <f t="shared" si="0"/>
        <v>2.4278904110651921E-3</v>
      </c>
      <c r="E19" s="411">
        <v>15354.192764234111</v>
      </c>
      <c r="F19" s="394">
        <f t="shared" si="1"/>
        <v>1.7519643473038139E-3</v>
      </c>
      <c r="G19" s="410">
        <v>1602.6569999999999</v>
      </c>
      <c r="H19" s="395">
        <f t="shared" si="2"/>
        <v>7.5319907886079521E-2</v>
      </c>
      <c r="I19" s="396">
        <v>1485.6182500000086</v>
      </c>
      <c r="J19" s="395">
        <v>9.5655245496291064E-2</v>
      </c>
      <c r="K19" s="412">
        <v>3044.37</v>
      </c>
      <c r="L19" s="413">
        <f t="shared" si="4"/>
        <v>0.14307594698749881</v>
      </c>
      <c r="M19" s="495"/>
      <c r="N19" s="496"/>
      <c r="O19" s="496"/>
    </row>
    <row r="20" spans="1:15" ht="18.75">
      <c r="A20" s="458">
        <f t="shared" si="5"/>
        <v>46129</v>
      </c>
      <c r="B20" s="410">
        <v>8064540</v>
      </c>
      <c r="C20" s="410">
        <v>19655</v>
      </c>
      <c r="D20" s="435">
        <f t="shared" si="0"/>
        <v>2.4372127858501538E-3</v>
      </c>
      <c r="E20" s="411">
        <v>15517.418403302769</v>
      </c>
      <c r="F20" s="394">
        <f t="shared" si="1"/>
        <v>1.9241541865131512E-3</v>
      </c>
      <c r="G20" s="410">
        <v>1480.6709999999998</v>
      </c>
      <c r="H20" s="395">
        <f t="shared" si="2"/>
        <v>7.5333045026710746E-2</v>
      </c>
      <c r="I20" s="396">
        <v>1549.4001500000018</v>
      </c>
      <c r="J20" s="395">
        <v>9.5655245496291064E-2</v>
      </c>
      <c r="K20" s="412">
        <v>2692.6590000000001</v>
      </c>
      <c r="L20" s="413">
        <f t="shared" si="4"/>
        <v>0.1369961332994149</v>
      </c>
      <c r="M20" s="495"/>
      <c r="N20" s="496"/>
      <c r="O20" s="496"/>
    </row>
    <row r="21" spans="1:15" ht="18.75">
      <c r="A21" s="458">
        <f t="shared" si="5"/>
        <v>46130</v>
      </c>
      <c r="B21" s="410">
        <v>8542393</v>
      </c>
      <c r="C21" s="410">
        <v>20741</v>
      </c>
      <c r="D21" s="435">
        <f t="shared" si="0"/>
        <v>2.428008170544249E-3</v>
      </c>
      <c r="E21" s="411">
        <v>16042.375043533779</v>
      </c>
      <c r="F21" s="394">
        <f t="shared" si="1"/>
        <v>1.8779720206660803E-3</v>
      </c>
      <c r="G21" s="410">
        <v>1662.7570000000001</v>
      </c>
      <c r="H21" s="395">
        <f t="shared" si="2"/>
        <v>8.0167638975941369E-2</v>
      </c>
      <c r="I21" s="396">
        <v>1641.3325499999914</v>
      </c>
      <c r="J21" s="395">
        <v>9.5655245496291064E-2</v>
      </c>
      <c r="K21" s="412">
        <v>2573.2730000000001</v>
      </c>
      <c r="L21" s="413">
        <f t="shared" si="4"/>
        <v>0.12406696880574708</v>
      </c>
      <c r="M21" s="495"/>
      <c r="N21" s="496"/>
      <c r="O21" s="496"/>
    </row>
    <row r="22" spans="1:15" ht="18.75">
      <c r="A22" s="458">
        <f t="shared" si="5"/>
        <v>46131</v>
      </c>
      <c r="B22" s="410">
        <v>10067235</v>
      </c>
      <c r="C22" s="410">
        <v>24263</v>
      </c>
      <c r="D22" s="435">
        <f t="shared" si="0"/>
        <v>2.4100957214170525E-3</v>
      </c>
      <c r="E22" s="411">
        <v>18792.257251591851</v>
      </c>
      <c r="F22" s="394">
        <f t="shared" si="1"/>
        <v>1.8666751348897538E-3</v>
      </c>
      <c r="G22" s="410">
        <v>1839.1330000000003</v>
      </c>
      <c r="H22" s="395">
        <f t="shared" si="2"/>
        <v>7.5799901083954999E-2</v>
      </c>
      <c r="I22" s="396">
        <v>1962.5857499999852</v>
      </c>
      <c r="J22" s="395">
        <v>9.5655245496291064E-2</v>
      </c>
      <c r="K22" s="412">
        <v>3207.5770000000002</v>
      </c>
      <c r="L22" s="413">
        <f t="shared" si="4"/>
        <v>0.13220034620615753</v>
      </c>
      <c r="M22" s="495"/>
      <c r="N22" s="496"/>
      <c r="O22" s="496"/>
    </row>
    <row r="23" spans="1:15" ht="18.75">
      <c r="A23" s="458">
        <f t="shared" si="5"/>
        <v>46132</v>
      </c>
      <c r="B23" s="410">
        <v>9464660</v>
      </c>
      <c r="C23" s="410">
        <v>22959</v>
      </c>
      <c r="D23" s="435">
        <f t="shared" si="0"/>
        <v>2.4257606718043755E-3</v>
      </c>
      <c r="E23" s="411">
        <v>15786.598439471049</v>
      </c>
      <c r="F23" s="394">
        <f t="shared" si="1"/>
        <v>1.66795198554106E-3</v>
      </c>
      <c r="G23" s="410">
        <v>1770.1130000000005</v>
      </c>
      <c r="H23" s="395">
        <f t="shared" si="2"/>
        <v>7.7098871902086349E-2</v>
      </c>
      <c r="I23" s="396">
        <v>1873.869300000003</v>
      </c>
      <c r="J23" s="395">
        <v>9.5655245496291064E-2</v>
      </c>
      <c r="K23" s="412">
        <v>2697.6170000000006</v>
      </c>
      <c r="L23" s="413">
        <f t="shared" si="4"/>
        <v>0.11749714708828785</v>
      </c>
      <c r="M23" s="495"/>
      <c r="N23" s="496"/>
      <c r="O23" s="496"/>
    </row>
    <row r="24" spans="1:15" ht="18.75">
      <c r="A24" s="399">
        <f t="shared" si="5"/>
        <v>46133</v>
      </c>
      <c r="B24" s="410">
        <v>9597993</v>
      </c>
      <c r="C24" s="410">
        <v>23196.762000000017</v>
      </c>
      <c r="D24" s="435">
        <f t="shared" si="0"/>
        <v>2.4168346444928663E-3</v>
      </c>
      <c r="E24" s="411">
        <v>16118.262166069608</v>
      </c>
      <c r="F24" s="394">
        <f t="shared" si="1"/>
        <v>1.6793367286337475E-3</v>
      </c>
      <c r="G24" s="410">
        <v>1781.8679999999999</v>
      </c>
      <c r="H24" s="395">
        <f t="shared" si="2"/>
        <v>7.6815376215007877E-2</v>
      </c>
      <c r="I24" s="396">
        <v>1722.4261499999984</v>
      </c>
      <c r="J24" s="395">
        <v>9.5655245496291064E-2</v>
      </c>
      <c r="K24" s="412">
        <v>2641.4740000000002</v>
      </c>
      <c r="L24" s="413">
        <f t="shared" si="4"/>
        <v>0.11387253100238724</v>
      </c>
      <c r="M24" s="495">
        <f>SUM(B24:B30)</f>
        <v>62548992</v>
      </c>
      <c r="N24" s="496">
        <f>SUM(C24:C30)</f>
        <v>151598.76200000002</v>
      </c>
      <c r="O24" s="496">
        <f>SUM(E24:E30)</f>
        <v>113114.05009227054</v>
      </c>
    </row>
    <row r="25" spans="1:15" ht="18.75">
      <c r="A25" s="399">
        <f t="shared" si="5"/>
        <v>46134</v>
      </c>
      <c r="B25" s="410">
        <v>8802216</v>
      </c>
      <c r="C25" s="410">
        <v>21474</v>
      </c>
      <c r="D25" s="435">
        <f t="shared" si="0"/>
        <v>2.4396129338339345E-3</v>
      </c>
      <c r="E25" s="411">
        <v>17277.084768451397</v>
      </c>
      <c r="F25" s="394">
        <f t="shared" si="1"/>
        <v>1.9628108158731162E-3</v>
      </c>
      <c r="G25" s="410">
        <v>1713.0279999999998</v>
      </c>
      <c r="H25" s="395">
        <f t="shared" si="2"/>
        <v>7.9772189624662371E-2</v>
      </c>
      <c r="I25" s="396">
        <v>1871.3005900000051</v>
      </c>
      <c r="J25" s="395">
        <v>9.5655245496291064E-2</v>
      </c>
      <c r="K25" s="412">
        <v>2660.6289999999999</v>
      </c>
      <c r="L25" s="413">
        <f t="shared" si="4"/>
        <v>0.12390001862717705</v>
      </c>
      <c r="M25" s="495"/>
      <c r="N25" s="496"/>
      <c r="O25" s="496"/>
    </row>
    <row r="26" spans="1:15" ht="18.75">
      <c r="A26" s="399">
        <f t="shared" si="5"/>
        <v>46135</v>
      </c>
      <c r="B26" s="410">
        <v>8226059</v>
      </c>
      <c r="C26" s="410">
        <v>20063</v>
      </c>
      <c r="D26" s="435">
        <f t="shared" si="0"/>
        <v>2.4389564918024537E-3</v>
      </c>
      <c r="E26" s="411">
        <v>14267.627152163499</v>
      </c>
      <c r="F26" s="394">
        <f t="shared" si="1"/>
        <v>1.7344425990821971E-3</v>
      </c>
      <c r="G26" s="410">
        <v>1726.059</v>
      </c>
      <c r="H26" s="395">
        <f t="shared" si="2"/>
        <v>8.6031949359517523E-2</v>
      </c>
      <c r="I26" s="396">
        <v>1414.7349700000011</v>
      </c>
      <c r="J26" s="395">
        <v>9.5655245496291064E-2</v>
      </c>
      <c r="K26" s="412">
        <v>2777.9860000000003</v>
      </c>
      <c r="L26" s="413">
        <f t="shared" si="4"/>
        <v>0.13846314110551763</v>
      </c>
      <c r="M26" s="495"/>
      <c r="N26" s="496"/>
      <c r="O26" s="496"/>
    </row>
    <row r="27" spans="1:15" ht="18.75">
      <c r="A27" s="399">
        <f t="shared" si="5"/>
        <v>46136</v>
      </c>
      <c r="B27" s="410">
        <v>7986532</v>
      </c>
      <c r="C27" s="410">
        <v>19294</v>
      </c>
      <c r="D27" s="435">
        <f t="shared" si="0"/>
        <v>2.4158170279665815E-3</v>
      </c>
      <c r="E27" s="411">
        <v>16765.667577426804</v>
      </c>
      <c r="F27" s="394">
        <f t="shared" si="1"/>
        <v>2.0992425219640769E-3</v>
      </c>
      <c r="G27" s="410">
        <v>1638.0560000000003</v>
      </c>
      <c r="H27" s="395">
        <f t="shared" si="2"/>
        <v>8.4899761583912117E-2</v>
      </c>
      <c r="I27" s="396">
        <v>1495.2776200000083</v>
      </c>
      <c r="J27" s="395">
        <v>9.5655245496291064E-2</v>
      </c>
      <c r="K27" s="412">
        <v>3380.7090000000003</v>
      </c>
      <c r="L27" s="413">
        <f t="shared" si="4"/>
        <v>0.17522074219964756</v>
      </c>
      <c r="M27" s="495"/>
      <c r="N27" s="496"/>
      <c r="O27" s="496"/>
    </row>
    <row r="28" spans="1:15" ht="18.75">
      <c r="A28" s="399">
        <f t="shared" si="5"/>
        <v>46137</v>
      </c>
      <c r="B28" s="410">
        <v>8347470</v>
      </c>
      <c r="C28" s="410">
        <v>20133</v>
      </c>
      <c r="D28" s="435">
        <f t="shared" si="0"/>
        <v>2.4118685062659703E-3</v>
      </c>
      <c r="E28" s="411">
        <v>15050.591372134668</v>
      </c>
      <c r="F28" s="394">
        <f t="shared" si="1"/>
        <v>1.8030123345318602E-3</v>
      </c>
      <c r="G28" s="410">
        <v>1708.4590000000001</v>
      </c>
      <c r="H28" s="395">
        <f t="shared" si="2"/>
        <v>8.4858640043709341E-2</v>
      </c>
      <c r="I28" s="396">
        <v>1715.1385400000004</v>
      </c>
      <c r="J28" s="395">
        <v>9.5655245496291064E-2</v>
      </c>
      <c r="K28" s="412">
        <v>3032.9150000000004</v>
      </c>
      <c r="L28" s="413">
        <f t="shared" si="4"/>
        <v>0.15064396761535789</v>
      </c>
      <c r="M28" s="495"/>
      <c r="N28" s="496"/>
      <c r="O28" s="496"/>
    </row>
    <row r="29" spans="1:15" ht="18.75">
      <c r="A29" s="399">
        <f t="shared" si="5"/>
        <v>46138</v>
      </c>
      <c r="B29" s="410">
        <v>9947649</v>
      </c>
      <c r="C29" s="410">
        <v>24149</v>
      </c>
      <c r="D29" s="435">
        <f t="shared" si="0"/>
        <v>2.4276087746964133E-3</v>
      </c>
      <c r="E29" s="411">
        <v>16588.311725123218</v>
      </c>
      <c r="F29" s="394">
        <f t="shared" si="1"/>
        <v>1.6675610212144817E-3</v>
      </c>
      <c r="G29" s="410">
        <v>1747.932</v>
      </c>
      <c r="H29" s="395">
        <f t="shared" si="2"/>
        <v>7.2381133794360022E-2</v>
      </c>
      <c r="I29" s="396">
        <v>1656.1516100000235</v>
      </c>
      <c r="J29" s="395">
        <v>9.5655245496291064E-2</v>
      </c>
      <c r="K29" s="412">
        <v>3276.7450000000003</v>
      </c>
      <c r="L29" s="413">
        <f t="shared" si="4"/>
        <v>0.13568864135160877</v>
      </c>
      <c r="M29" s="495"/>
      <c r="N29" s="496"/>
      <c r="O29" s="496"/>
    </row>
    <row r="30" spans="1:15" ht="18.75">
      <c r="A30" s="399">
        <f t="shared" si="5"/>
        <v>46139</v>
      </c>
      <c r="B30" s="410">
        <v>9641073</v>
      </c>
      <c r="C30" s="410">
        <v>23289</v>
      </c>
      <c r="D30" s="435">
        <f t="shared" si="0"/>
        <v>2.415602495697315E-3</v>
      </c>
      <c r="E30" s="411">
        <v>17046.505330901353</v>
      </c>
      <c r="F30" s="394">
        <f t="shared" si="1"/>
        <v>1.7681128781932625E-3</v>
      </c>
      <c r="G30" s="410">
        <v>1824.2670000000001</v>
      </c>
      <c r="H30" s="395">
        <f t="shared" si="2"/>
        <v>7.8331701661728717E-2</v>
      </c>
      <c r="I30" s="396">
        <v>1791.8626200000308</v>
      </c>
      <c r="J30" s="395">
        <v>9.5655245496291064E-2</v>
      </c>
      <c r="K30" s="412">
        <v>3497.4379999999996</v>
      </c>
      <c r="L30" s="413">
        <f t="shared" si="4"/>
        <v>0.15017553351367596</v>
      </c>
      <c r="M30" s="495"/>
      <c r="N30" s="496"/>
      <c r="O30" s="496"/>
    </row>
    <row r="31" spans="1:15" ht="18.75">
      <c r="A31" s="458">
        <f t="shared" si="5"/>
        <v>46140</v>
      </c>
      <c r="B31" s="410"/>
      <c r="C31" s="410"/>
      <c r="D31" s="435" t="e">
        <f t="shared" si="0"/>
        <v>#DIV/0!</v>
      </c>
      <c r="E31" s="411"/>
      <c r="F31" s="394" t="e">
        <f t="shared" si="1"/>
        <v>#DIV/0!</v>
      </c>
      <c r="G31" s="410"/>
      <c r="H31" s="395" t="e">
        <f t="shared" si="2"/>
        <v>#DIV/0!</v>
      </c>
      <c r="I31" s="396"/>
      <c r="J31" s="395">
        <v>0.10872850255450817</v>
      </c>
      <c r="K31" s="412"/>
      <c r="L31" s="413" t="e">
        <f t="shared" si="4"/>
        <v>#DIV/0!</v>
      </c>
      <c r="M31" s="495">
        <f>SUM(B31:B37)</f>
        <v>0</v>
      </c>
      <c r="N31" s="496">
        <f>SUM(C31:C37)</f>
        <v>0</v>
      </c>
      <c r="O31" s="496">
        <f>SUM(E31:E37)</f>
        <v>0</v>
      </c>
    </row>
    <row r="32" spans="1:15" ht="18.75">
      <c r="A32" s="458">
        <f t="shared" si="5"/>
        <v>46141</v>
      </c>
      <c r="B32" s="410"/>
      <c r="C32" s="410"/>
      <c r="D32" s="435" t="e">
        <f t="shared" si="0"/>
        <v>#DIV/0!</v>
      </c>
      <c r="E32" s="411"/>
      <c r="F32" s="394" t="e">
        <f t="shared" si="1"/>
        <v>#DIV/0!</v>
      </c>
      <c r="G32" s="410"/>
      <c r="H32" s="395" t="e">
        <f t="shared" si="2"/>
        <v>#DIV/0!</v>
      </c>
      <c r="I32" s="396"/>
      <c r="J32" s="395">
        <v>0.10872850255450817</v>
      </c>
      <c r="K32" s="412"/>
      <c r="L32" s="413" t="e">
        <f t="shared" si="4"/>
        <v>#DIV/0!</v>
      </c>
      <c r="M32" s="495"/>
      <c r="N32" s="496"/>
      <c r="O32" s="496"/>
    </row>
    <row r="33" spans="1:15" ht="18.75">
      <c r="A33" s="458">
        <f t="shared" si="5"/>
        <v>46142</v>
      </c>
      <c r="B33" s="410"/>
      <c r="C33" s="410"/>
      <c r="D33" s="435" t="e">
        <f t="shared" si="0"/>
        <v>#DIV/0!</v>
      </c>
      <c r="E33" s="411"/>
      <c r="F33" s="394" t="e">
        <f t="shared" si="1"/>
        <v>#DIV/0!</v>
      </c>
      <c r="G33" s="410"/>
      <c r="H33" s="395" t="e">
        <f t="shared" si="2"/>
        <v>#DIV/0!</v>
      </c>
      <c r="I33" s="396"/>
      <c r="J33" s="395">
        <v>0.10872850255450817</v>
      </c>
      <c r="K33" s="412"/>
      <c r="L33" s="413" t="e">
        <f t="shared" si="4"/>
        <v>#DIV/0!</v>
      </c>
      <c r="M33" s="495"/>
      <c r="N33" s="496"/>
      <c r="O33" s="496"/>
    </row>
    <row r="34" spans="1:15" ht="18.75">
      <c r="A34" s="458">
        <f t="shared" si="5"/>
        <v>46143</v>
      </c>
      <c r="B34" s="410"/>
      <c r="C34" s="410"/>
      <c r="D34" s="435" t="e">
        <f t="shared" si="0"/>
        <v>#DIV/0!</v>
      </c>
      <c r="E34" s="411"/>
      <c r="F34" s="394" t="e">
        <f t="shared" si="1"/>
        <v>#DIV/0!</v>
      </c>
      <c r="G34" s="410"/>
      <c r="H34" s="395" t="e">
        <f t="shared" si="2"/>
        <v>#DIV/0!</v>
      </c>
      <c r="I34" s="396"/>
      <c r="J34" s="395">
        <v>0.10872850255450817</v>
      </c>
      <c r="K34" s="412"/>
      <c r="L34" s="413" t="e">
        <f t="shared" si="4"/>
        <v>#DIV/0!</v>
      </c>
      <c r="M34" s="495"/>
      <c r="N34" s="496"/>
      <c r="O34" s="496"/>
    </row>
    <row r="35" spans="1:15" ht="18.75">
      <c r="A35" s="458">
        <f t="shared" si="5"/>
        <v>46144</v>
      </c>
      <c r="B35" s="410"/>
      <c r="C35" s="410"/>
      <c r="D35" s="435" t="e">
        <f t="shared" si="0"/>
        <v>#DIV/0!</v>
      </c>
      <c r="E35" s="411"/>
      <c r="F35" s="394" t="e">
        <f t="shared" si="1"/>
        <v>#DIV/0!</v>
      </c>
      <c r="G35" s="410"/>
      <c r="H35" s="395" t="e">
        <f t="shared" si="2"/>
        <v>#DIV/0!</v>
      </c>
      <c r="I35" s="396"/>
      <c r="J35" s="395">
        <v>0.10872850255450817</v>
      </c>
      <c r="K35" s="412"/>
      <c r="L35" s="413" t="e">
        <f t="shared" si="4"/>
        <v>#DIV/0!</v>
      </c>
      <c r="M35" s="495"/>
      <c r="N35" s="496"/>
      <c r="O35" s="496"/>
    </row>
    <row r="36" spans="1:15" ht="18.75">
      <c r="A36" s="458">
        <f t="shared" si="5"/>
        <v>46145</v>
      </c>
      <c r="B36" s="410"/>
      <c r="C36" s="410"/>
      <c r="D36" s="435" t="e">
        <f t="shared" si="0"/>
        <v>#DIV/0!</v>
      </c>
      <c r="E36" s="411"/>
      <c r="F36" s="394" t="e">
        <f t="shared" si="1"/>
        <v>#DIV/0!</v>
      </c>
      <c r="G36" s="410"/>
      <c r="H36" s="395" t="e">
        <f t="shared" si="2"/>
        <v>#DIV/0!</v>
      </c>
      <c r="I36" s="396"/>
      <c r="J36" s="395">
        <v>0.10872850255450817</v>
      </c>
      <c r="K36" s="412"/>
      <c r="L36" s="413" t="e">
        <f t="shared" si="4"/>
        <v>#DIV/0!</v>
      </c>
      <c r="M36" s="495"/>
      <c r="N36" s="496"/>
      <c r="O36" s="496"/>
    </row>
    <row r="37" spans="1:15" ht="18.75">
      <c r="A37" s="458">
        <f t="shared" si="5"/>
        <v>46146</v>
      </c>
      <c r="B37" s="410"/>
      <c r="C37" s="410"/>
      <c r="D37" s="435" t="e">
        <f t="shared" si="0"/>
        <v>#DIV/0!</v>
      </c>
      <c r="E37" s="411"/>
      <c r="F37" s="394" t="e">
        <f t="shared" si="1"/>
        <v>#DIV/0!</v>
      </c>
      <c r="G37" s="410"/>
      <c r="H37" s="395" t="e">
        <f t="shared" si="2"/>
        <v>#DIV/0!</v>
      </c>
      <c r="I37" s="396"/>
      <c r="J37" s="395">
        <v>0.10872850255450817</v>
      </c>
      <c r="K37" s="412"/>
      <c r="L37" s="413" t="e">
        <f t="shared" si="4"/>
        <v>#DIV/0!</v>
      </c>
      <c r="M37" s="495"/>
      <c r="N37" s="496"/>
      <c r="O37" s="496"/>
    </row>
    <row r="38" spans="1:15" ht="18.75">
      <c r="A38" s="399"/>
      <c r="B38" s="410"/>
      <c r="C38" s="410"/>
      <c r="D38" s="435"/>
      <c r="E38" s="411"/>
      <c r="F38" s="394"/>
      <c r="G38" s="410"/>
      <c r="H38" s="395"/>
      <c r="I38" s="396"/>
      <c r="J38" s="395"/>
      <c r="K38" s="412"/>
      <c r="L38" s="413"/>
      <c r="M38" s="495"/>
      <c r="N38" s="496"/>
      <c r="O38" s="496"/>
    </row>
    <row r="39" spans="1:15" ht="18.75">
      <c r="A39" s="399"/>
      <c r="B39" s="410"/>
      <c r="C39" s="410"/>
      <c r="D39" s="435"/>
      <c r="E39" s="411"/>
      <c r="F39" s="394"/>
      <c r="G39" s="410"/>
      <c r="H39" s="395"/>
      <c r="I39" s="396"/>
      <c r="J39" s="395"/>
      <c r="K39" s="412"/>
      <c r="L39" s="413"/>
      <c r="M39" s="495"/>
      <c r="N39" s="496"/>
      <c r="O39" s="496"/>
    </row>
    <row r="40" spans="1:15" ht="19.5" thickBot="1">
      <c r="A40" s="399"/>
      <c r="B40" s="436"/>
      <c r="C40" s="436"/>
      <c r="D40" s="437"/>
      <c r="E40" s="438"/>
      <c r="F40" s="432"/>
      <c r="G40" s="436"/>
      <c r="H40" s="433"/>
      <c r="I40" s="434"/>
      <c r="J40" s="433"/>
      <c r="K40" s="439"/>
      <c r="L40" s="440"/>
      <c r="M40" s="495"/>
      <c r="N40" s="496"/>
      <c r="O40" s="496"/>
    </row>
    <row r="41" spans="1:15" ht="18.75">
      <c r="A41" s="399" t="s">
        <v>663</v>
      </c>
      <c r="B41" s="391">
        <f>AVERAGE(B4:B40)</f>
        <v>8509191.2962962966</v>
      </c>
      <c r="C41" s="391">
        <f>AVERAGE(C4:C40)</f>
        <v>20671.844370370374</v>
      </c>
      <c r="D41" s="392">
        <f t="shared" ref="D41:D42" si="6">C41/B41</f>
        <v>2.4293547589379007E-3</v>
      </c>
      <c r="E41" s="393">
        <f>AVERAGE(E4:E40)</f>
        <v>15124.068456931307</v>
      </c>
      <c r="F41" s="404">
        <f t="shared" ref="F41" si="7">E41/B41</f>
        <v>1.7773802386501988E-3</v>
      </c>
      <c r="G41" s="391">
        <f>AVERAGE(G4:G40)</f>
        <v>1592.7477777777779</v>
      </c>
      <c r="H41" s="405">
        <f t="shared" ref="H41:H42" si="8">G41/C41</f>
        <v>7.7049137427752448E-2</v>
      </c>
      <c r="I41" s="431">
        <f>AVERAGE(I4:I40)</f>
        <v>1596.285834115226</v>
      </c>
      <c r="J41" s="405">
        <f t="shared" ref="J41:J42" si="9">I41/E41</f>
        <v>0.10554605982252439</v>
      </c>
      <c r="K41" s="397">
        <f>AVERAGE(K4:K40)</f>
        <v>3058.1927777777773</v>
      </c>
      <c r="L41" s="398">
        <f t="shared" ref="L41:L42" si="10">K41/C41</f>
        <v>0.1479400058836155</v>
      </c>
      <c r="M41" s="497"/>
      <c r="N41" s="498"/>
      <c r="O41" s="498"/>
    </row>
    <row r="42" spans="1:15" ht="18.75">
      <c r="A42" s="399" t="s">
        <v>664</v>
      </c>
      <c r="B42" s="391">
        <f>SUM(B4:B40)</f>
        <v>229748165</v>
      </c>
      <c r="C42" s="391">
        <f>SUM(C4:C40)</f>
        <v>558139.79800000007</v>
      </c>
      <c r="D42" s="392">
        <f t="shared" si="6"/>
        <v>2.4293547589379007E-3</v>
      </c>
      <c r="E42" s="391">
        <f>SUM(E4:E40)</f>
        <v>408349.84833714529</v>
      </c>
      <c r="F42" s="404">
        <f>E42/B42</f>
        <v>1.7773802386501991E-3</v>
      </c>
      <c r="G42" s="391">
        <f>SUM(G4:G40)</f>
        <v>43004.19</v>
      </c>
      <c r="H42" s="405">
        <f t="shared" si="8"/>
        <v>7.7049137427752462E-2</v>
      </c>
      <c r="I42" s="391">
        <f>SUM(I4:I40)</f>
        <v>43099.717521111103</v>
      </c>
      <c r="J42" s="405">
        <f t="shared" si="9"/>
        <v>0.10554605982252439</v>
      </c>
      <c r="K42" s="391">
        <f>SUM(K4:K40)</f>
        <v>82571.204999999987</v>
      </c>
      <c r="L42" s="398">
        <f t="shared" si="10"/>
        <v>0.14794000588361553</v>
      </c>
      <c r="M42" s="398"/>
      <c r="N42" s="402"/>
      <c r="O42" s="403"/>
    </row>
    <row r="43" spans="1:15" ht="18.75">
      <c r="A43" s="406"/>
      <c r="B43" s="406"/>
      <c r="C43" s="406"/>
      <c r="D43" s="406"/>
      <c r="E43" s="406"/>
      <c r="F43" s="406"/>
      <c r="G43" s="406"/>
      <c r="H43" s="406"/>
      <c r="I43" s="406"/>
      <c r="J43" s="406"/>
      <c r="K43" s="406"/>
      <c r="L43" s="406"/>
      <c r="M43" s="406"/>
    </row>
    <row r="44" spans="1:15" ht="18.75">
      <c r="A44" s="406"/>
      <c r="B44" s="406"/>
      <c r="C44" s="406"/>
      <c r="D44" s="406"/>
      <c r="E44" s="406"/>
      <c r="F44" s="406"/>
      <c r="G44" s="406"/>
      <c r="H44" s="406"/>
      <c r="I44" s="406"/>
      <c r="J44" s="406"/>
      <c r="K44" s="406"/>
      <c r="L44" s="406"/>
      <c r="M44" s="406"/>
    </row>
    <row r="45" spans="1:15" ht="18.75">
      <c r="A45" s="406"/>
      <c r="B45" s="406"/>
      <c r="C45" s="406"/>
      <c r="D45" s="406"/>
      <c r="E45" s="406"/>
      <c r="F45" s="406"/>
      <c r="G45" s="406"/>
      <c r="H45" s="406"/>
      <c r="I45" s="406"/>
      <c r="J45" s="406"/>
      <c r="K45" s="406"/>
      <c r="L45" s="406"/>
      <c r="M45" s="406"/>
    </row>
    <row r="46" spans="1:15" ht="18.75">
      <c r="A46" s="406"/>
      <c r="B46" s="406"/>
      <c r="C46" s="406"/>
      <c r="D46" s="406"/>
      <c r="E46" s="406"/>
      <c r="F46" s="406"/>
      <c r="G46" s="406"/>
      <c r="H46" s="406"/>
      <c r="I46" s="406"/>
      <c r="J46" s="406"/>
      <c r="K46" s="406"/>
      <c r="L46" s="406"/>
      <c r="M46" s="406"/>
    </row>
    <row r="47" spans="1:15" ht="18.75">
      <c r="A47" s="406"/>
      <c r="B47" s="406"/>
      <c r="C47" s="406"/>
      <c r="D47" s="406"/>
      <c r="E47" s="406"/>
      <c r="F47" s="406"/>
      <c r="G47" s="406"/>
      <c r="H47" s="406"/>
      <c r="I47" s="406"/>
      <c r="J47" s="406"/>
      <c r="K47" s="406"/>
      <c r="L47" s="406"/>
      <c r="M47" s="406"/>
    </row>
    <row r="48" spans="1:15" ht="18.75">
      <c r="A48" s="406"/>
      <c r="B48" s="406"/>
      <c r="C48" s="406"/>
      <c r="D48" s="406"/>
      <c r="E48" s="406"/>
      <c r="F48" s="406"/>
      <c r="G48" s="406"/>
      <c r="H48" s="406"/>
      <c r="I48" s="406"/>
      <c r="J48" s="406"/>
      <c r="K48" s="406"/>
      <c r="L48" s="406"/>
      <c r="M48" s="406"/>
    </row>
    <row r="49" spans="1:13" ht="18.75">
      <c r="A49" s="406"/>
      <c r="B49" s="406"/>
      <c r="C49" s="406"/>
      <c r="D49" s="406"/>
      <c r="E49" s="406"/>
      <c r="F49" s="406"/>
      <c r="G49" s="406"/>
      <c r="H49" s="406"/>
      <c r="I49" s="406"/>
      <c r="J49" s="406"/>
      <c r="K49" s="406"/>
      <c r="L49" s="406"/>
      <c r="M49" s="406"/>
    </row>
    <row r="50" spans="1:13" ht="18.75">
      <c r="A50" s="406"/>
      <c r="B50" s="406"/>
      <c r="C50" s="406"/>
      <c r="D50" s="406"/>
      <c r="E50" s="406"/>
      <c r="F50" s="406"/>
      <c r="G50" s="406"/>
      <c r="H50" s="406"/>
      <c r="I50" s="406"/>
      <c r="J50" s="406"/>
      <c r="K50" s="406"/>
      <c r="L50" s="406"/>
      <c r="M50" s="406"/>
    </row>
    <row r="51" spans="1:13" ht="18.75">
      <c r="A51" s="406"/>
      <c r="B51" s="406"/>
      <c r="C51" s="406"/>
      <c r="D51" s="406"/>
      <c r="E51" s="406"/>
      <c r="F51" s="406"/>
      <c r="G51" s="406"/>
      <c r="H51" s="406"/>
      <c r="I51" s="406"/>
      <c r="J51" s="406"/>
      <c r="K51" s="406"/>
      <c r="L51" s="406"/>
      <c r="M51" s="406"/>
    </row>
    <row r="52" spans="1:13" ht="18.75">
      <c r="A52" s="406"/>
      <c r="B52" s="406"/>
      <c r="C52" s="406"/>
      <c r="D52" s="406"/>
      <c r="E52" s="406"/>
      <c r="F52" s="406"/>
      <c r="G52" s="406"/>
      <c r="H52" s="406"/>
      <c r="I52" s="406"/>
      <c r="J52" s="406"/>
      <c r="K52" s="406"/>
      <c r="L52" s="406"/>
      <c r="M52" s="406"/>
    </row>
    <row r="53" spans="1:13" ht="18.75">
      <c r="A53" s="406"/>
      <c r="B53" s="406"/>
      <c r="C53" s="406"/>
      <c r="D53" s="406"/>
      <c r="E53" s="406"/>
      <c r="F53" s="406"/>
      <c r="G53" s="406"/>
      <c r="H53" s="406"/>
      <c r="I53" s="406"/>
      <c r="J53" s="406"/>
      <c r="K53" s="406"/>
      <c r="L53" s="406"/>
      <c r="M53" s="406"/>
    </row>
    <row r="54" spans="1:13" ht="18.75">
      <c r="A54" s="406"/>
      <c r="B54" s="406"/>
      <c r="C54" s="406"/>
      <c r="D54" s="406"/>
      <c r="E54" s="406"/>
      <c r="F54" s="406"/>
      <c r="G54" s="406"/>
      <c r="H54" s="406"/>
      <c r="I54" s="406"/>
      <c r="J54" s="406"/>
      <c r="K54" s="406"/>
      <c r="L54" s="406"/>
      <c r="M54" s="406"/>
    </row>
    <row r="55" spans="1:13" ht="18.75">
      <c r="A55" s="406"/>
      <c r="B55" s="406"/>
      <c r="C55" s="406"/>
      <c r="D55" s="406"/>
      <c r="E55" s="406"/>
      <c r="F55" s="406"/>
      <c r="G55" s="406"/>
      <c r="H55" s="406"/>
      <c r="I55" s="406"/>
      <c r="J55" s="406"/>
      <c r="K55" s="406"/>
      <c r="L55" s="406"/>
      <c r="M55" s="406"/>
    </row>
    <row r="56" spans="1:13" ht="18.75">
      <c r="A56" s="406"/>
      <c r="B56" s="406"/>
      <c r="C56" s="406"/>
      <c r="D56" s="406"/>
      <c r="E56" s="406"/>
      <c r="F56" s="406"/>
      <c r="G56" s="406"/>
      <c r="H56" s="406"/>
      <c r="I56" s="406"/>
      <c r="J56" s="406"/>
      <c r="K56" s="406"/>
      <c r="L56" s="406"/>
      <c r="M56" s="406"/>
    </row>
    <row r="57" spans="1:13" ht="18.75">
      <c r="A57" s="406"/>
      <c r="B57" s="406"/>
      <c r="C57" s="406"/>
      <c r="D57" s="406"/>
      <c r="E57" s="406"/>
      <c r="F57" s="406"/>
      <c r="G57" s="406"/>
      <c r="H57" s="406"/>
      <c r="I57" s="406"/>
      <c r="J57" s="406"/>
      <c r="K57" s="406"/>
      <c r="L57" s="406"/>
      <c r="M57" s="406"/>
    </row>
    <row r="58" spans="1:13" ht="18.75">
      <c r="A58" s="406"/>
      <c r="B58" s="406"/>
      <c r="C58" s="406"/>
      <c r="D58" s="406"/>
      <c r="E58" s="406"/>
      <c r="F58" s="406"/>
      <c r="G58" s="406"/>
      <c r="H58" s="406"/>
      <c r="I58" s="406"/>
      <c r="J58" s="406"/>
      <c r="K58" s="406"/>
      <c r="L58" s="406"/>
      <c r="M58" s="406"/>
    </row>
    <row r="59" spans="1:13" ht="18.75">
      <c r="A59" s="406"/>
      <c r="B59" s="406"/>
      <c r="C59" s="406"/>
      <c r="D59" s="406"/>
      <c r="E59" s="406"/>
      <c r="F59" s="406"/>
      <c r="G59" s="406"/>
      <c r="H59" s="406"/>
      <c r="I59" s="406"/>
      <c r="J59" s="406"/>
      <c r="K59" s="406"/>
      <c r="L59" s="406"/>
      <c r="M59" s="406"/>
    </row>
    <row r="60" spans="1:13" ht="18.75">
      <c r="A60" s="406"/>
      <c r="B60" s="406"/>
      <c r="C60" s="406"/>
      <c r="D60" s="406"/>
      <c r="E60" s="406"/>
      <c r="F60" s="406"/>
      <c r="G60" s="406"/>
      <c r="H60" s="406"/>
      <c r="I60" s="406"/>
      <c r="J60" s="406"/>
      <c r="K60" s="406"/>
      <c r="L60" s="406"/>
      <c r="M60" s="406"/>
    </row>
    <row r="61" spans="1:13" ht="18.75">
      <c r="A61" s="406"/>
      <c r="B61" s="406"/>
      <c r="C61" s="406"/>
      <c r="D61" s="406"/>
      <c r="E61" s="406"/>
      <c r="F61" s="406"/>
      <c r="G61" s="406"/>
      <c r="H61" s="406"/>
      <c r="I61" s="406"/>
      <c r="J61" s="406"/>
      <c r="K61" s="406"/>
      <c r="L61" s="406"/>
      <c r="M61" s="406"/>
    </row>
    <row r="62" spans="1:13" ht="18.75">
      <c r="A62" s="406"/>
      <c r="B62" s="406"/>
      <c r="C62" s="406"/>
      <c r="D62" s="406"/>
      <c r="E62" s="406"/>
      <c r="F62" s="406"/>
      <c r="G62" s="406"/>
      <c r="H62" s="406"/>
      <c r="I62" s="406"/>
      <c r="J62" s="406"/>
      <c r="K62" s="406"/>
      <c r="L62" s="406"/>
      <c r="M62" s="406"/>
    </row>
    <row r="63" spans="1:13" ht="18.75">
      <c r="A63" s="406"/>
      <c r="B63" s="406"/>
      <c r="C63" s="406"/>
      <c r="D63" s="406"/>
      <c r="E63" s="406"/>
      <c r="F63" s="406"/>
      <c r="G63" s="406"/>
      <c r="H63" s="406"/>
      <c r="I63" s="406"/>
      <c r="J63" s="406"/>
      <c r="K63" s="406"/>
      <c r="L63" s="406"/>
      <c r="M63" s="406"/>
    </row>
    <row r="64" spans="1:13" ht="18.75">
      <c r="A64" s="406"/>
      <c r="B64" s="406"/>
      <c r="C64" s="406"/>
      <c r="D64" s="406"/>
      <c r="E64" s="406"/>
      <c r="F64" s="406"/>
      <c r="G64" s="406"/>
      <c r="H64" s="406"/>
      <c r="I64" s="406"/>
      <c r="J64" s="406"/>
      <c r="K64" s="406"/>
      <c r="L64" s="406"/>
      <c r="M64" s="406"/>
    </row>
    <row r="65" spans="1:13" ht="18.75">
      <c r="A65" s="406"/>
      <c r="B65" s="406"/>
      <c r="C65" s="406"/>
      <c r="D65" s="406"/>
      <c r="E65" s="406"/>
      <c r="F65" s="406"/>
      <c r="G65" s="406"/>
      <c r="H65" s="406"/>
      <c r="I65" s="406"/>
      <c r="J65" s="406"/>
      <c r="K65" s="406"/>
      <c r="L65" s="406"/>
      <c r="M65" s="406"/>
    </row>
    <row r="66" spans="1:13" ht="18.75">
      <c r="A66" s="406"/>
      <c r="B66" s="406"/>
      <c r="C66" s="406"/>
      <c r="D66" s="406"/>
      <c r="E66" s="406"/>
      <c r="F66" s="406"/>
      <c r="G66" s="406"/>
      <c r="H66" s="406"/>
      <c r="I66" s="406"/>
      <c r="J66" s="406"/>
      <c r="K66" s="406"/>
      <c r="L66" s="406"/>
      <c r="M66" s="406"/>
    </row>
    <row r="67" spans="1:13" ht="18.75">
      <c r="A67" s="406"/>
      <c r="B67" s="406"/>
      <c r="C67" s="406"/>
      <c r="D67" s="406"/>
      <c r="E67" s="406"/>
      <c r="F67" s="406"/>
      <c r="G67" s="406"/>
      <c r="H67" s="406"/>
      <c r="I67" s="406"/>
      <c r="J67" s="406"/>
      <c r="K67" s="406"/>
      <c r="L67" s="406"/>
      <c r="M67" s="406"/>
    </row>
    <row r="68" spans="1:13" ht="18.75">
      <c r="A68" s="406"/>
      <c r="B68" s="406"/>
      <c r="C68" s="406"/>
      <c r="D68" s="406"/>
      <c r="E68" s="406"/>
      <c r="F68" s="406"/>
      <c r="G68" s="406"/>
      <c r="H68" s="406"/>
      <c r="I68" s="406"/>
      <c r="J68" s="406"/>
      <c r="K68" s="406"/>
      <c r="L68" s="406"/>
      <c r="M68" s="406"/>
    </row>
    <row r="69" spans="1:13" ht="18.75">
      <c r="A69" s="406"/>
      <c r="B69" s="406"/>
      <c r="C69" s="406"/>
      <c r="D69" s="406"/>
      <c r="E69" s="406"/>
      <c r="F69" s="406"/>
      <c r="G69" s="406"/>
      <c r="H69" s="406"/>
      <c r="I69" s="406"/>
      <c r="J69" s="406"/>
      <c r="K69" s="406"/>
      <c r="L69" s="406"/>
      <c r="M69" s="406"/>
    </row>
    <row r="70" spans="1:13" ht="18.75">
      <c r="A70" s="406"/>
      <c r="B70" s="406"/>
      <c r="C70" s="406"/>
      <c r="D70" s="406"/>
      <c r="E70" s="406"/>
      <c r="F70" s="406"/>
      <c r="G70" s="406"/>
      <c r="H70" s="406"/>
      <c r="I70" s="406"/>
      <c r="J70" s="406"/>
      <c r="K70" s="406"/>
      <c r="L70" s="406"/>
      <c r="M70" s="406"/>
    </row>
  </sheetData>
  <mergeCells count="11">
    <mergeCell ref="A1:O1"/>
    <mergeCell ref="A2:A3"/>
    <mergeCell ref="B2:B3"/>
    <mergeCell ref="C2:C3"/>
    <mergeCell ref="D2:D3"/>
    <mergeCell ref="E2:E3"/>
    <mergeCell ref="F2:F3"/>
    <mergeCell ref="G2:H2"/>
    <mergeCell ref="I2:J2"/>
    <mergeCell ref="K2:L2"/>
    <mergeCell ref="M2:O2"/>
  </mergeCells>
  <phoneticPr fontId="11" type="noConversion"/>
  <conditionalFormatting sqref="J41:J42 H41:H42">
    <cfRule type="cellIs" dxfId="50" priority="171" operator="greaterThan">
      <formula>0.16</formula>
    </cfRule>
  </conditionalFormatting>
  <conditionalFormatting sqref="L42:M42 L41">
    <cfRule type="cellIs" dxfId="49" priority="169" operator="greaterThan">
      <formula>0.15</formula>
    </cfRule>
  </conditionalFormatting>
  <conditionalFormatting sqref="D41:D42">
    <cfRule type="cellIs" dxfId="48" priority="170" operator="greaterThan">
      <formula>0.0025</formula>
    </cfRule>
  </conditionalFormatting>
  <conditionalFormatting sqref="D25:D33">
    <cfRule type="cellIs" dxfId="47" priority="65" operator="greaterThan">
      <formula>0.0025</formula>
    </cfRule>
  </conditionalFormatting>
  <conditionalFormatting sqref="J25:J30">
    <cfRule type="cellIs" dxfId="46" priority="63" operator="greaterThan">
      <formula>0.16</formula>
    </cfRule>
  </conditionalFormatting>
  <conditionalFormatting sqref="L31">
    <cfRule type="cellIs" dxfId="45" priority="58" operator="greaterThan">
      <formula>0.15</formula>
    </cfRule>
  </conditionalFormatting>
  <conditionalFormatting sqref="H31">
    <cfRule type="cellIs" dxfId="44" priority="60" operator="greaterThan">
      <formula>0.16</formula>
    </cfRule>
  </conditionalFormatting>
  <conditionalFormatting sqref="H25:H30">
    <cfRule type="cellIs" dxfId="43" priority="64" operator="greaterThan">
      <formula>0.16</formula>
    </cfRule>
  </conditionalFormatting>
  <conditionalFormatting sqref="L25:L30">
    <cfRule type="cellIs" dxfId="42" priority="62" operator="greaterThan">
      <formula>0.15</formula>
    </cfRule>
  </conditionalFormatting>
  <conditionalFormatting sqref="D31:D40">
    <cfRule type="cellIs" dxfId="41" priority="61" operator="greaterThan">
      <formula>0.0025</formula>
    </cfRule>
  </conditionalFormatting>
  <conditionalFormatting sqref="J31">
    <cfRule type="cellIs" dxfId="40" priority="59" operator="greaterThan">
      <formula>0.16</formula>
    </cfRule>
  </conditionalFormatting>
  <conditionalFormatting sqref="H32:H33 H36:H39">
    <cfRule type="cellIs" dxfId="39" priority="47" operator="greaterThan">
      <formula>0.16</formula>
    </cfRule>
  </conditionalFormatting>
  <conditionalFormatting sqref="L32:L33 L36:L39">
    <cfRule type="cellIs" dxfId="38" priority="45" operator="greaterThan">
      <formula>0.15</formula>
    </cfRule>
  </conditionalFormatting>
  <conditionalFormatting sqref="D32:D33 D36:D39">
    <cfRule type="cellIs" dxfId="37" priority="48" operator="greaterThan">
      <formula>0.0025</formula>
    </cfRule>
  </conditionalFormatting>
  <conditionalFormatting sqref="J32:J33 J36:J39">
    <cfRule type="cellIs" dxfId="36" priority="46" operator="greaterThan">
      <formula>0.16</formula>
    </cfRule>
  </conditionalFormatting>
  <conditionalFormatting sqref="H40">
    <cfRule type="cellIs" dxfId="35" priority="43" operator="greaterThan">
      <formula>0.16</formula>
    </cfRule>
  </conditionalFormatting>
  <conditionalFormatting sqref="L40">
    <cfRule type="cellIs" dxfId="34" priority="41" operator="greaterThan">
      <formula>0.15</formula>
    </cfRule>
  </conditionalFormatting>
  <conditionalFormatting sqref="D40">
    <cfRule type="cellIs" dxfId="33" priority="44" operator="greaterThan">
      <formula>0.0025</formula>
    </cfRule>
  </conditionalFormatting>
  <conditionalFormatting sqref="J40">
    <cfRule type="cellIs" dxfId="32" priority="42" operator="greaterThan">
      <formula>0.16</formula>
    </cfRule>
  </conditionalFormatting>
  <conditionalFormatting sqref="L24">
    <cfRule type="cellIs" dxfId="31" priority="9" operator="greaterThan">
      <formula>0.15</formula>
    </cfRule>
  </conditionalFormatting>
  <conditionalFormatting sqref="H6:H9">
    <cfRule type="cellIs" dxfId="30" priority="31" operator="greaterThan">
      <formula>0.16</formula>
    </cfRule>
  </conditionalFormatting>
  <conditionalFormatting sqref="L6:L9">
    <cfRule type="cellIs" dxfId="29" priority="29" operator="greaterThan">
      <formula>0.15</formula>
    </cfRule>
  </conditionalFormatting>
  <conditionalFormatting sqref="D6:D9">
    <cfRule type="cellIs" dxfId="28" priority="32" operator="greaterThan">
      <formula>0.0025</formula>
    </cfRule>
  </conditionalFormatting>
  <conditionalFormatting sqref="J6:J9">
    <cfRule type="cellIs" dxfId="27" priority="30" operator="greaterThan">
      <formula>0.16</formula>
    </cfRule>
  </conditionalFormatting>
  <conditionalFormatting sqref="H10">
    <cfRule type="cellIs" dxfId="26" priority="27" operator="greaterThan">
      <formula>0.16</formula>
    </cfRule>
  </conditionalFormatting>
  <conditionalFormatting sqref="L10:L33">
    <cfRule type="cellIs" dxfId="25" priority="25" operator="greaterThan">
      <formula>0.15</formula>
    </cfRule>
  </conditionalFormatting>
  <conditionalFormatting sqref="D10">
    <cfRule type="cellIs" dxfId="24" priority="28" operator="greaterThan">
      <formula>0.0025</formula>
    </cfRule>
  </conditionalFormatting>
  <conditionalFormatting sqref="J10">
    <cfRule type="cellIs" dxfId="23" priority="26" operator="greaterThan">
      <formula>0.16</formula>
    </cfRule>
  </conditionalFormatting>
  <conditionalFormatting sqref="H11:H40">
    <cfRule type="cellIs" dxfId="22" priority="23" operator="greaterThan">
      <formula>0.16</formula>
    </cfRule>
  </conditionalFormatting>
  <conditionalFormatting sqref="L11:L30">
    <cfRule type="cellIs" dxfId="21" priority="21" operator="greaterThan">
      <formula>0.15</formula>
    </cfRule>
  </conditionalFormatting>
  <conditionalFormatting sqref="D11:D40">
    <cfRule type="cellIs" dxfId="20" priority="24" operator="greaterThan">
      <formula>0.0025</formula>
    </cfRule>
  </conditionalFormatting>
  <conditionalFormatting sqref="J11:J30">
    <cfRule type="cellIs" dxfId="19" priority="22" operator="greaterThan">
      <formula>0.16</formula>
    </cfRule>
  </conditionalFormatting>
  <conditionalFormatting sqref="H17">
    <cfRule type="cellIs" dxfId="18" priority="19" operator="greaterThan">
      <formula>0.16</formula>
    </cfRule>
  </conditionalFormatting>
  <conditionalFormatting sqref="L4:L33">
    <cfRule type="cellIs" dxfId="17" priority="17" operator="greaterThan">
      <formula>0.15</formula>
    </cfRule>
  </conditionalFormatting>
  <conditionalFormatting sqref="D17">
    <cfRule type="cellIs" dxfId="16" priority="20" operator="greaterThan">
      <formula>0.0025</formula>
    </cfRule>
  </conditionalFormatting>
  <conditionalFormatting sqref="J17:J33">
    <cfRule type="cellIs" dxfId="15" priority="18" operator="greaterThan">
      <formula>0.16</formula>
    </cfRule>
  </conditionalFormatting>
  <conditionalFormatting sqref="H18:H40">
    <cfRule type="cellIs" dxfId="14" priority="15" operator="greaterThan">
      <formula>0.16</formula>
    </cfRule>
  </conditionalFormatting>
  <conditionalFormatting sqref="L18:L33">
    <cfRule type="cellIs" dxfId="13" priority="13" operator="greaterThan">
      <formula>0.15</formula>
    </cfRule>
  </conditionalFormatting>
  <conditionalFormatting sqref="D18:D40">
    <cfRule type="cellIs" dxfId="12" priority="16" operator="greaterThan">
      <formula>0.0025</formula>
    </cfRule>
  </conditionalFormatting>
  <conditionalFormatting sqref="J18:J33">
    <cfRule type="cellIs" dxfId="11" priority="14" operator="greaterThan">
      <formula>0.16</formula>
    </cfRule>
  </conditionalFormatting>
  <conditionalFormatting sqref="H24:H40">
    <cfRule type="cellIs" dxfId="10" priority="11" operator="greaterThan">
      <formula>0.16</formula>
    </cfRule>
  </conditionalFormatting>
  <conditionalFormatting sqref="D24">
    <cfRule type="cellIs" dxfId="9" priority="12" operator="greaterThan">
      <formula>0.0025</formula>
    </cfRule>
  </conditionalFormatting>
  <conditionalFormatting sqref="J24">
    <cfRule type="cellIs" dxfId="8" priority="10" operator="greaterThan">
      <formula>0.16</formula>
    </cfRule>
  </conditionalFormatting>
  <conditionalFormatting sqref="H4:H40">
    <cfRule type="cellIs" dxfId="7" priority="7" operator="greaterThan">
      <formula>0.16</formula>
    </cfRule>
  </conditionalFormatting>
  <conditionalFormatting sqref="L4:L33">
    <cfRule type="cellIs" dxfId="6" priority="5" operator="greaterThan">
      <formula>0.15</formula>
    </cfRule>
  </conditionalFormatting>
  <conditionalFormatting sqref="D4:D40">
    <cfRule type="cellIs" dxfId="5" priority="8" operator="greaterThan">
      <formula>0.0025</formula>
    </cfRule>
  </conditionalFormatting>
  <conditionalFormatting sqref="J4:J33">
    <cfRule type="cellIs" dxfId="4" priority="6" operator="greaterThan">
      <formula>0.16</formula>
    </cfRule>
  </conditionalFormatting>
  <conditionalFormatting sqref="H34:H35">
    <cfRule type="cellIs" dxfId="3" priority="3" operator="greaterThan">
      <formula>0.16</formula>
    </cfRule>
  </conditionalFormatting>
  <conditionalFormatting sqref="L34:L35">
    <cfRule type="cellIs" dxfId="2" priority="1" operator="greaterThan">
      <formula>0.15</formula>
    </cfRule>
  </conditionalFormatting>
  <conditionalFormatting sqref="D34:D35">
    <cfRule type="cellIs" dxfId="1" priority="4" operator="greaterThan">
      <formula>0.0025</formula>
    </cfRule>
  </conditionalFormatting>
  <conditionalFormatting sqref="J34:J35">
    <cfRule type="cellIs" dxfId="0" priority="2" operator="greaterThan">
      <formula>0.16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23"/>
  <sheetViews>
    <sheetView view="pageBreakPreview" zoomScale="115" zoomScaleNormal="100" zoomScaleSheetLayoutView="115" workbookViewId="0">
      <selection activeCell="Q19" sqref="Q19"/>
    </sheetView>
  </sheetViews>
  <sheetFormatPr defaultColWidth="8.7109375" defaultRowHeight="14.25"/>
  <cols>
    <col min="1" max="2" width="8.7109375" style="209"/>
    <col min="3" max="3" width="14" style="209" bestFit="1" customWidth="1"/>
    <col min="4" max="4" width="0.28515625" style="209" customWidth="1"/>
    <col min="5" max="5" width="8.7109375" style="209"/>
    <col min="6" max="6" width="16.28515625" style="209" bestFit="1" customWidth="1"/>
    <col min="7" max="16384" width="8.7109375" style="209"/>
  </cols>
  <sheetData>
    <row r="2" spans="2:7" ht="15.75">
      <c r="B2" s="877" t="s">
        <v>252</v>
      </c>
      <c r="C2" s="877"/>
      <c r="D2" s="877"/>
      <c r="E2" s="877"/>
      <c r="F2" s="877"/>
    </row>
    <row r="3" spans="2:7" ht="15">
      <c r="B3" s="210" t="s">
        <v>253</v>
      </c>
      <c r="C3" s="210" t="s">
        <v>254</v>
      </c>
      <c r="D3" s="211"/>
      <c r="E3" s="210" t="s">
        <v>255</v>
      </c>
      <c r="F3" s="210" t="s">
        <v>256</v>
      </c>
      <c r="G3" s="211"/>
    </row>
    <row r="4" spans="2:7" ht="15">
      <c r="B4" s="212" t="s">
        <v>257</v>
      </c>
      <c r="C4" s="212" t="s">
        <v>258</v>
      </c>
      <c r="D4" s="211"/>
      <c r="E4" s="212" t="s">
        <v>259</v>
      </c>
      <c r="F4" s="212" t="s">
        <v>260</v>
      </c>
      <c r="G4" s="211"/>
    </row>
    <row r="5" spans="2:7" ht="15">
      <c r="B5" s="212" t="s">
        <v>261</v>
      </c>
      <c r="C5" s="212" t="s">
        <v>262</v>
      </c>
      <c r="D5" s="211"/>
      <c r="E5" s="212" t="s">
        <v>263</v>
      </c>
      <c r="F5" s="212" t="s">
        <v>264</v>
      </c>
      <c r="G5" s="211"/>
    </row>
    <row r="6" spans="2:7" ht="15">
      <c r="B6" s="212" t="s">
        <v>265</v>
      </c>
      <c r="C6" s="212" t="s">
        <v>266</v>
      </c>
      <c r="D6" s="211"/>
      <c r="E6" s="213" t="s">
        <v>267</v>
      </c>
      <c r="F6" s="213" t="s">
        <v>136</v>
      </c>
      <c r="G6" s="211"/>
    </row>
    <row r="7" spans="2:7" ht="15">
      <c r="B7" s="213" t="s">
        <v>268</v>
      </c>
      <c r="C7" s="213" t="s">
        <v>269</v>
      </c>
      <c r="D7" s="211"/>
      <c r="E7" s="212" t="s">
        <v>270</v>
      </c>
      <c r="F7" s="212" t="s">
        <v>271</v>
      </c>
      <c r="G7" s="211"/>
    </row>
    <row r="8" spans="2:7" ht="15">
      <c r="B8" s="212" t="s">
        <v>272</v>
      </c>
      <c r="C8" s="212" t="s">
        <v>273</v>
      </c>
      <c r="D8" s="211"/>
      <c r="E8" s="212" t="s">
        <v>274</v>
      </c>
      <c r="F8" s="212" t="s">
        <v>275</v>
      </c>
      <c r="G8" s="211"/>
    </row>
    <row r="9" spans="2:7" ht="15">
      <c r="B9" s="212" t="s">
        <v>276</v>
      </c>
      <c r="C9" s="212" t="s">
        <v>277</v>
      </c>
      <c r="D9" s="211"/>
      <c r="E9" s="213" t="s">
        <v>278</v>
      </c>
      <c r="F9" s="213" t="s">
        <v>135</v>
      </c>
      <c r="G9" s="211"/>
    </row>
    <row r="10" spans="2:7" ht="15">
      <c r="B10" s="212" t="s">
        <v>279</v>
      </c>
      <c r="C10" s="212" t="s">
        <v>280</v>
      </c>
      <c r="D10" s="211"/>
      <c r="E10" s="212" t="s">
        <v>281</v>
      </c>
      <c r="F10" s="212" t="s">
        <v>282</v>
      </c>
      <c r="G10" s="211"/>
    </row>
    <row r="11" spans="2:7" ht="15">
      <c r="B11" s="212" t="s">
        <v>283</v>
      </c>
      <c r="C11" s="212" t="s">
        <v>284</v>
      </c>
      <c r="D11" s="211"/>
      <c r="E11" s="212" t="s">
        <v>285</v>
      </c>
      <c r="F11" s="212" t="s">
        <v>275</v>
      </c>
      <c r="G11" s="211"/>
    </row>
    <row r="12" spans="2:7" ht="15">
      <c r="B12" s="212" t="s">
        <v>286</v>
      </c>
      <c r="C12" s="212" t="s">
        <v>287</v>
      </c>
      <c r="D12" s="211"/>
      <c r="E12" s="212" t="s">
        <v>288</v>
      </c>
      <c r="F12" s="212" t="s">
        <v>289</v>
      </c>
      <c r="G12" s="211"/>
    </row>
    <row r="13" spans="2:7" ht="15">
      <c r="B13" s="213" t="s">
        <v>290</v>
      </c>
      <c r="C13" s="213" t="s">
        <v>131</v>
      </c>
      <c r="D13" s="211"/>
      <c r="E13" s="212" t="s">
        <v>291</v>
      </c>
      <c r="F13" s="212" t="s">
        <v>292</v>
      </c>
      <c r="G13" s="211"/>
    </row>
    <row r="14" spans="2:7" ht="15">
      <c r="B14" s="212" t="s">
        <v>293</v>
      </c>
      <c r="C14" s="212" t="s">
        <v>294</v>
      </c>
      <c r="D14" s="211"/>
      <c r="E14" s="213" t="s">
        <v>295</v>
      </c>
      <c r="F14" s="213" t="s">
        <v>296</v>
      </c>
      <c r="G14" s="211"/>
    </row>
    <row r="15" spans="2:7" ht="15">
      <c r="B15" s="213" t="s">
        <v>297</v>
      </c>
      <c r="C15" s="213" t="s">
        <v>298</v>
      </c>
      <c r="D15" s="211"/>
      <c r="E15" s="212" t="s">
        <v>299</v>
      </c>
      <c r="F15" s="212" t="s">
        <v>296</v>
      </c>
      <c r="G15" s="211"/>
    </row>
    <row r="16" spans="2:7" ht="15">
      <c r="B16" s="212" t="s">
        <v>300</v>
      </c>
      <c r="C16" s="212" t="s">
        <v>301</v>
      </c>
      <c r="D16" s="211"/>
      <c r="E16" s="213" t="s">
        <v>302</v>
      </c>
      <c r="F16" s="213" t="s">
        <v>303</v>
      </c>
      <c r="G16" s="211"/>
    </row>
    <row r="17" spans="2:7" ht="15">
      <c r="B17" s="212" t="s">
        <v>304</v>
      </c>
      <c r="C17" s="212" t="s">
        <v>305</v>
      </c>
      <c r="D17" s="211"/>
      <c r="E17" s="212" t="s">
        <v>306</v>
      </c>
      <c r="F17" s="212" t="s">
        <v>307</v>
      </c>
      <c r="G17" s="211"/>
    </row>
    <row r="18" spans="2:7" ht="15">
      <c r="B18" s="212" t="s">
        <v>308</v>
      </c>
      <c r="C18" s="212" t="s">
        <v>309</v>
      </c>
      <c r="D18" s="211"/>
      <c r="E18" s="212" t="s">
        <v>310</v>
      </c>
      <c r="F18" s="212" t="s">
        <v>311</v>
      </c>
      <c r="G18" s="211"/>
    </row>
    <row r="19" spans="2:7" ht="15">
      <c r="B19" s="212" t="s">
        <v>312</v>
      </c>
      <c r="C19" s="212" t="s">
        <v>313</v>
      </c>
      <c r="D19" s="211"/>
      <c r="E19" s="212" t="s">
        <v>314</v>
      </c>
      <c r="F19" s="212" t="s">
        <v>315</v>
      </c>
      <c r="G19" s="211"/>
    </row>
    <row r="20" spans="2:7" ht="15">
      <c r="B20" s="212" t="s">
        <v>316</v>
      </c>
      <c r="C20" s="212" t="s">
        <v>317</v>
      </c>
      <c r="D20" s="211"/>
      <c r="G20" s="211"/>
    </row>
    <row r="21" spans="2:7" ht="15">
      <c r="D21" s="211"/>
      <c r="G21" s="211"/>
    </row>
    <row r="22" spans="2:7" ht="15">
      <c r="D22" s="211"/>
      <c r="G22" s="211"/>
    </row>
    <row r="23" spans="2:7" ht="15">
      <c r="D23" s="211"/>
      <c r="G23" s="211"/>
    </row>
  </sheetData>
  <mergeCells count="1">
    <mergeCell ref="B2:F2"/>
  </mergeCells>
  <phoneticPr fontId="11" type="noConversion"/>
  <pageMargins left="0" right="0" top="0" bottom="0" header="0" footer="0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32</vt:i4>
      </vt:variant>
      <vt:variant>
        <vt:lpstr>已命名的範圍</vt:lpstr>
      </vt:variant>
      <vt:variant>
        <vt:i4>12</vt:i4>
      </vt:variant>
    </vt:vector>
  </HeadingPairs>
  <TitlesOfParts>
    <vt:vector size="44" baseType="lpstr">
      <vt:lpstr>填寫舉例</vt:lpstr>
      <vt:lpstr>生產管理報表(月)</vt:lpstr>
      <vt:lpstr>生產管理報表(週) </vt:lpstr>
      <vt:lpstr>（１）收支狀況</vt:lpstr>
      <vt:lpstr>（２）ＫＰＩ達成進度</vt:lpstr>
      <vt:lpstr>（３）業績構成比</vt:lpstr>
      <vt:lpstr>（４）訂單數量構成比</vt:lpstr>
      <vt:lpstr>（５-1）品群別人時生產性（18℃-飯糰）</vt:lpstr>
      <vt:lpstr>（５-2）品群別人時生產性（18-壽司手卷)</vt:lpstr>
      <vt:lpstr>（５-3）品群別人時生產性（4℃-飯糰)</vt:lpstr>
      <vt:lpstr>（５-4）品群別人時生產性（4℃-壽司手卷)</vt:lpstr>
      <vt:lpstr>（５-5）品群別人時生產性(主食) </vt:lpstr>
      <vt:lpstr>（５-6）品群別人時生產性(便當)</vt:lpstr>
      <vt:lpstr>（５-7）品群別人時生產性(熱食義麵) </vt:lpstr>
      <vt:lpstr>（５-8）品群別人時生產性(季節調理麵) </vt:lpstr>
      <vt:lpstr>（５-9）品群別人時生產性(微波小吃)</vt:lpstr>
      <vt:lpstr>生產管理報表 6-1</vt:lpstr>
      <vt:lpstr>生產管理報表 6-2</vt:lpstr>
      <vt:lpstr>生產管理報表 6-3</vt:lpstr>
      <vt:lpstr>生產管理報表 6-4</vt:lpstr>
      <vt:lpstr>生產管理報表 6-5</vt:lpstr>
      <vt:lpstr>生產管理報表 7-1(月)</vt:lpstr>
      <vt:lpstr>生產管理報表 7-1 (週)</vt:lpstr>
      <vt:lpstr>生產管理報表 8-1(報廢)</vt:lpstr>
      <vt:lpstr>生產管理報表 8-2(報廢)</vt:lpstr>
      <vt:lpstr>生產管理報表 8-3(超用)</vt:lpstr>
      <vt:lpstr>生產管理報表 8-4(超用)</vt:lpstr>
      <vt:lpstr>生產管理報表 9</vt:lpstr>
      <vt:lpstr>報廢20大－原因別分析</vt:lpstr>
      <vt:lpstr>超用20大－原因別分析</vt:lpstr>
      <vt:lpstr>日別報廢率總表  </vt:lpstr>
      <vt:lpstr>鮮食品群番</vt:lpstr>
      <vt:lpstr>'生產管理報表 6-1'!Print_Area</vt:lpstr>
      <vt:lpstr>'生產管理報表 6-2'!Print_Area</vt:lpstr>
      <vt:lpstr>'生產管理報表 6-3'!Print_Area</vt:lpstr>
      <vt:lpstr>'生產管理報表 6-4'!Print_Area</vt:lpstr>
      <vt:lpstr>'生產管理報表 6-5'!Print_Area</vt:lpstr>
      <vt:lpstr>'生產管理報表 7-1 (週)'!Print_Area</vt:lpstr>
      <vt:lpstr>'生產管理報表 7-1(月)'!Print_Area</vt:lpstr>
      <vt:lpstr>'生產管理報表 8-3(超用)'!Print_Area</vt:lpstr>
      <vt:lpstr>'生產管理報表 8-4(超用)'!Print_Area</vt:lpstr>
      <vt:lpstr>'生產管理報表(月)'!Print_Area</vt:lpstr>
      <vt:lpstr>'生產管理報表(週) '!Print_Area</vt:lpstr>
      <vt:lpstr>鮮食品群番!Print_Area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丁珮心</dc:creator>
  <cp:lastModifiedBy>林宗翰</cp:lastModifiedBy>
  <cp:lastPrinted>2025-07-28T04:42:39Z</cp:lastPrinted>
  <dcterms:created xsi:type="dcterms:W3CDTF">2025-07-03T16:36:59Z</dcterms:created>
  <dcterms:modified xsi:type="dcterms:W3CDTF">2026-04-30T00:33:58Z</dcterms:modified>
</cp:coreProperties>
</file>