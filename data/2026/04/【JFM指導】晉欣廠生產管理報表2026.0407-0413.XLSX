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135" windowWidth="23010" windowHeight="459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C10" i="39" l="1"/>
  <c r="O31" i="48" l="1"/>
  <c r="N31" i="48"/>
  <c r="M31" i="48"/>
  <c r="O24" i="48"/>
  <c r="N24" i="48"/>
  <c r="M24" i="48"/>
  <c r="O17" i="48"/>
  <c r="N17" i="48"/>
  <c r="M17" i="48"/>
  <c r="O10" i="48"/>
  <c r="N10" i="48"/>
  <c r="M10" i="48"/>
  <c r="O4" i="48"/>
  <c r="N4" i="48"/>
  <c r="M4" i="48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P72" i="33"/>
  <c r="U72" i="33"/>
  <c r="Z72" i="33" s="1"/>
  <c r="AE72" i="33" s="1"/>
  <c r="AJ72" i="33" s="1"/>
  <c r="AO72" i="33" s="1"/>
  <c r="AT72" i="33" s="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Y27" i="31"/>
  <c r="X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D27" i="31"/>
  <c r="AC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I27" i="31"/>
  <c r="AH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N27" i="31"/>
  <c r="AM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S27" i="31"/>
  <c r="AR27" i="31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X27" i="31"/>
  <c r="AW27" i="31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G34" i="6" l="1"/>
  <c r="G27" i="6"/>
  <c r="G20" i="6"/>
  <c r="G8" i="6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G34" i="7"/>
  <c r="G27" i="7"/>
  <c r="G20" i="7"/>
  <c r="G8" i="7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V32" i="5"/>
  <c r="V25" i="5"/>
  <c r="V18" i="5"/>
  <c r="V11" i="5"/>
  <c r="I11" i="39" s="1"/>
  <c r="V6" i="5"/>
  <c r="S32" i="5"/>
  <c r="S25" i="5"/>
  <c r="S18" i="5"/>
  <c r="S11" i="5"/>
  <c r="S6" i="5"/>
  <c r="P32" i="5"/>
  <c r="P25" i="5"/>
  <c r="P18" i="5"/>
  <c r="P11" i="5"/>
  <c r="I9" i="39" s="1"/>
  <c r="P6" i="5"/>
  <c r="M32" i="5"/>
  <c r="M25" i="5"/>
  <c r="M18" i="5"/>
  <c r="M11" i="5"/>
  <c r="I8" i="39" s="1"/>
  <c r="M6" i="5"/>
  <c r="W10" i="5"/>
  <c r="T10" i="5"/>
  <c r="Q10" i="5"/>
  <c r="N10" i="5"/>
  <c r="N10" i="3"/>
  <c r="K10" i="3"/>
  <c r="H10" i="3"/>
  <c r="H10" i="5"/>
  <c r="J32" i="5"/>
  <c r="J25" i="5"/>
  <c r="J18" i="5"/>
  <c r="J6" i="5"/>
  <c r="G32" i="5"/>
  <c r="G25" i="5"/>
  <c r="G18" i="5"/>
  <c r="G11" i="5"/>
  <c r="I6" i="39" s="1"/>
  <c r="G6" i="5"/>
  <c r="V32" i="3"/>
  <c r="V25" i="3"/>
  <c r="V18" i="3"/>
  <c r="S32" i="3"/>
  <c r="S25" i="3"/>
  <c r="S18" i="3"/>
  <c r="S11" i="3"/>
  <c r="T10" i="3"/>
  <c r="S6" i="3"/>
  <c r="V6" i="3" s="1"/>
  <c r="P32" i="3"/>
  <c r="P25" i="3"/>
  <c r="P18" i="3"/>
  <c r="M32" i="3"/>
  <c r="M25" i="3"/>
  <c r="M18" i="3"/>
  <c r="M11" i="3"/>
  <c r="B8" i="39" s="1"/>
  <c r="M6" i="3"/>
  <c r="J32" i="3"/>
  <c r="J25" i="3"/>
  <c r="J18" i="3"/>
  <c r="J11" i="3"/>
  <c r="B7" i="39" s="1"/>
  <c r="J6" i="3"/>
  <c r="G32" i="3"/>
  <c r="G25" i="3"/>
  <c r="G18" i="3"/>
  <c r="G11" i="3"/>
  <c r="B6" i="39" s="1"/>
  <c r="G6" i="3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O40" i="3"/>
  <c r="U40" i="3"/>
  <c r="O41" i="3"/>
  <c r="U41" i="3"/>
  <c r="D6" i="3"/>
  <c r="D7" i="3" s="1"/>
  <c r="D8" i="3" s="1"/>
  <c r="D9" i="3" s="1"/>
  <c r="D10" i="3" s="1"/>
  <c r="B10" i="39" l="1"/>
  <c r="V11" i="3"/>
  <c r="B11" i="39"/>
  <c r="P11" i="3"/>
  <c r="B9" i="39" s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F37" i="48"/>
  <c r="F36" i="48"/>
  <c r="F35" i="48"/>
  <c r="F34" i="48"/>
  <c r="F33" i="48"/>
  <c r="F32" i="48"/>
  <c r="F31" i="48"/>
  <c r="F30" i="48"/>
  <c r="F29" i="48"/>
  <c r="F28" i="48"/>
  <c r="F27" i="48"/>
  <c r="F26" i="48"/>
  <c r="F25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Z121" i="37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AZ51" i="36"/>
  <c r="AZ50" i="36"/>
  <c r="AZ49" i="36"/>
  <c r="AZ48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M36" i="8" l="1"/>
  <c r="M35" i="8"/>
  <c r="M34" i="8"/>
  <c r="M33" i="8"/>
  <c r="M32" i="8"/>
  <c r="M31" i="8"/>
  <c r="M30" i="8"/>
  <c r="M29" i="8"/>
  <c r="K120" i="35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00" i="35"/>
  <c r="J100" i="35"/>
  <c r="I100" i="35"/>
  <c r="K99" i="35"/>
  <c r="J99" i="35"/>
  <c r="I99" i="35"/>
  <c r="K98" i="35"/>
  <c r="J98" i="35"/>
  <c r="I98" i="35"/>
  <c r="K97" i="35"/>
  <c r="J97" i="35"/>
  <c r="I97" i="35"/>
  <c r="K96" i="35"/>
  <c r="J96" i="35"/>
  <c r="I96" i="35"/>
  <c r="K95" i="35"/>
  <c r="J95" i="35"/>
  <c r="I95" i="35"/>
  <c r="K94" i="35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100" i="36"/>
  <c r="J100" i="36"/>
  <c r="I100" i="36"/>
  <c r="K99" i="36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K100" i="37"/>
  <c r="J100" i="37"/>
  <c r="I100" i="37"/>
  <c r="K99" i="37"/>
  <c r="J99" i="37"/>
  <c r="I99" i="37"/>
  <c r="K98" i="37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K100" i="34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K80" i="35"/>
  <c r="J80" i="35"/>
  <c r="I80" i="35"/>
  <c r="K79" i="35"/>
  <c r="J79" i="35"/>
  <c r="I79" i="35"/>
  <c r="K78" i="35"/>
  <c r="J78" i="35"/>
  <c r="I78" i="35"/>
  <c r="K77" i="35"/>
  <c r="J77" i="35"/>
  <c r="I77" i="35"/>
  <c r="K76" i="35"/>
  <c r="J76" i="35"/>
  <c r="I76" i="35"/>
  <c r="K75" i="35"/>
  <c r="J75" i="35"/>
  <c r="I75" i="35"/>
  <c r="K74" i="35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K80" i="36"/>
  <c r="J80" i="36"/>
  <c r="I80" i="36"/>
  <c r="K79" i="36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K80" i="37"/>
  <c r="J80" i="37"/>
  <c r="I80" i="37"/>
  <c r="K79" i="37"/>
  <c r="J79" i="37"/>
  <c r="I79" i="37"/>
  <c r="K78" i="37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K80" i="34"/>
  <c r="J80" i="34"/>
  <c r="I80" i="34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K60" i="35"/>
  <c r="J60" i="35"/>
  <c r="I60" i="35"/>
  <c r="K59" i="35"/>
  <c r="J59" i="35"/>
  <c r="I59" i="35"/>
  <c r="K58" i="35"/>
  <c r="J58" i="35"/>
  <c r="I58" i="35"/>
  <c r="K57" i="35"/>
  <c r="J57" i="35"/>
  <c r="I57" i="35"/>
  <c r="K56" i="35"/>
  <c r="J56" i="35"/>
  <c r="I56" i="35"/>
  <c r="K55" i="35"/>
  <c r="J55" i="35"/>
  <c r="I55" i="35"/>
  <c r="K54" i="35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K60" i="36"/>
  <c r="J60" i="36"/>
  <c r="I60" i="36"/>
  <c r="K59" i="36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K60" i="37"/>
  <c r="J60" i="37"/>
  <c r="I60" i="37"/>
  <c r="K59" i="37"/>
  <c r="J59" i="37"/>
  <c r="I59" i="37"/>
  <c r="K58" i="37"/>
  <c r="J58" i="37"/>
  <c r="I58" i="37"/>
  <c r="K57" i="37"/>
  <c r="J57" i="37"/>
  <c r="I57" i="37"/>
  <c r="K56" i="37"/>
  <c r="J56" i="37"/>
  <c r="I56" i="37"/>
  <c r="K55" i="37"/>
  <c r="J55" i="37"/>
  <c r="I55" i="37"/>
  <c r="K54" i="37"/>
  <c r="J54" i="37"/>
  <c r="I54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K60" i="34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K40" i="35"/>
  <c r="J40" i="35"/>
  <c r="I40" i="35"/>
  <c r="K39" i="35"/>
  <c r="J39" i="35"/>
  <c r="I39" i="35"/>
  <c r="K38" i="35"/>
  <c r="J38" i="35"/>
  <c r="I38" i="35"/>
  <c r="K37" i="35"/>
  <c r="J37" i="35"/>
  <c r="I37" i="35"/>
  <c r="K36" i="35"/>
  <c r="J36" i="35"/>
  <c r="I36" i="35"/>
  <c r="K35" i="35"/>
  <c r="J35" i="35"/>
  <c r="I35" i="35"/>
  <c r="K34" i="35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K40" i="36"/>
  <c r="J40" i="36"/>
  <c r="I40" i="36"/>
  <c r="K39" i="36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K40" i="37"/>
  <c r="J40" i="37"/>
  <c r="I40" i="37"/>
  <c r="K39" i="37"/>
  <c r="J39" i="37"/>
  <c r="I39" i="37"/>
  <c r="K38" i="37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L27" i="37" s="1"/>
  <c r="B36" i="39" s="1"/>
  <c r="J27" i="37"/>
  <c r="I27" i="37"/>
  <c r="K40" i="34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K20" i="35"/>
  <c r="J20" i="35"/>
  <c r="I20" i="35"/>
  <c r="K19" i="35"/>
  <c r="J19" i="35"/>
  <c r="I19" i="35"/>
  <c r="K18" i="35"/>
  <c r="J18" i="35"/>
  <c r="I18" i="35"/>
  <c r="K17" i="35"/>
  <c r="J17" i="35"/>
  <c r="I17" i="35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K20" i="36"/>
  <c r="J20" i="36"/>
  <c r="I20" i="36"/>
  <c r="K19" i="36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K20" i="37"/>
  <c r="J20" i="37"/>
  <c r="I20" i="37"/>
  <c r="K19" i="37"/>
  <c r="J19" i="37"/>
  <c r="I19" i="37"/>
  <c r="K18" i="37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L7" i="37" s="1"/>
  <c r="J7" i="37"/>
  <c r="I7" i="37"/>
  <c r="K20" i="34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K80" i="31"/>
  <c r="J80" i="31"/>
  <c r="I80" i="31"/>
  <c r="K79" i="31"/>
  <c r="J79" i="31"/>
  <c r="I79" i="31"/>
  <c r="K78" i="31"/>
  <c r="J78" i="31"/>
  <c r="I78" i="31"/>
  <c r="K77" i="31"/>
  <c r="J77" i="31"/>
  <c r="I77" i="31"/>
  <c r="K76" i="31"/>
  <c r="J76" i="31"/>
  <c r="I76" i="31"/>
  <c r="K75" i="31"/>
  <c r="J75" i="31"/>
  <c r="I75" i="31"/>
  <c r="K74" i="31"/>
  <c r="J74" i="31"/>
  <c r="I74" i="31"/>
  <c r="K73" i="31"/>
  <c r="J73" i="31"/>
  <c r="I73" i="31"/>
  <c r="K72" i="31"/>
  <c r="J72" i="31"/>
  <c r="I72" i="31"/>
  <c r="K71" i="31"/>
  <c r="J71" i="31"/>
  <c r="I71" i="31"/>
  <c r="K70" i="31"/>
  <c r="J70" i="31"/>
  <c r="I70" i="31"/>
  <c r="K69" i="31"/>
  <c r="J69" i="31"/>
  <c r="I69" i="31"/>
  <c r="K68" i="31"/>
  <c r="J68" i="31"/>
  <c r="I68" i="31"/>
  <c r="K67" i="31"/>
  <c r="J67" i="31"/>
  <c r="I67" i="31"/>
  <c r="K60" i="31"/>
  <c r="J60" i="31"/>
  <c r="I60" i="31"/>
  <c r="K59" i="31"/>
  <c r="J59" i="31"/>
  <c r="I59" i="31"/>
  <c r="K58" i="31"/>
  <c r="J58" i="31"/>
  <c r="I58" i="31"/>
  <c r="K57" i="31"/>
  <c r="J57" i="31"/>
  <c r="I57" i="31"/>
  <c r="K56" i="31"/>
  <c r="J56" i="31"/>
  <c r="I56" i="31"/>
  <c r="K55" i="31"/>
  <c r="J55" i="31"/>
  <c r="I55" i="31"/>
  <c r="K54" i="31"/>
  <c r="J54" i="31"/>
  <c r="I54" i="31"/>
  <c r="K53" i="31"/>
  <c r="J53" i="31"/>
  <c r="I53" i="31"/>
  <c r="K52" i="31"/>
  <c r="J52" i="31"/>
  <c r="I52" i="31"/>
  <c r="K51" i="31"/>
  <c r="J51" i="31"/>
  <c r="I51" i="31"/>
  <c r="K50" i="31"/>
  <c r="J50" i="31"/>
  <c r="I50" i="31"/>
  <c r="K49" i="31"/>
  <c r="J49" i="31"/>
  <c r="I49" i="31"/>
  <c r="K48" i="31"/>
  <c r="J48" i="31"/>
  <c r="I48" i="31"/>
  <c r="K47" i="31"/>
  <c r="J47" i="31"/>
  <c r="I47" i="31"/>
  <c r="K40" i="31"/>
  <c r="J40" i="31"/>
  <c r="I40" i="31"/>
  <c r="K39" i="31"/>
  <c r="J39" i="31"/>
  <c r="I39" i="31"/>
  <c r="K38" i="31"/>
  <c r="J38" i="31"/>
  <c r="I38" i="31"/>
  <c r="K37" i="31"/>
  <c r="J37" i="31"/>
  <c r="I37" i="31"/>
  <c r="K36" i="31"/>
  <c r="J36" i="31"/>
  <c r="I36" i="31"/>
  <c r="K35" i="31"/>
  <c r="J35" i="31"/>
  <c r="I35" i="31"/>
  <c r="K34" i="31"/>
  <c r="J34" i="31"/>
  <c r="I34" i="31"/>
  <c r="K33" i="31"/>
  <c r="J33" i="31"/>
  <c r="I33" i="31"/>
  <c r="K32" i="31"/>
  <c r="J32" i="31"/>
  <c r="I32" i="31"/>
  <c r="K31" i="31"/>
  <c r="J31" i="31"/>
  <c r="I31" i="31"/>
  <c r="K30" i="31"/>
  <c r="J30" i="31"/>
  <c r="I30" i="31"/>
  <c r="K29" i="31"/>
  <c r="J29" i="31"/>
  <c r="I29" i="31"/>
  <c r="K28" i="31"/>
  <c r="J28" i="31"/>
  <c r="I28" i="31"/>
  <c r="K27" i="31"/>
  <c r="J27" i="31"/>
  <c r="I27" i="31"/>
  <c r="K20" i="31"/>
  <c r="J20" i="31"/>
  <c r="I20" i="31"/>
  <c r="K19" i="31"/>
  <c r="J19" i="31"/>
  <c r="I19" i="31"/>
  <c r="K18" i="31"/>
  <c r="J18" i="31"/>
  <c r="I18" i="31"/>
  <c r="K17" i="31"/>
  <c r="J17" i="31"/>
  <c r="I17" i="31"/>
  <c r="K16" i="31"/>
  <c r="J16" i="31"/>
  <c r="I16" i="31"/>
  <c r="K15" i="31"/>
  <c r="J15" i="31"/>
  <c r="I15" i="31"/>
  <c r="K14" i="31"/>
  <c r="J14" i="31"/>
  <c r="I14" i="31"/>
  <c r="K13" i="31"/>
  <c r="J13" i="31"/>
  <c r="I13" i="31"/>
  <c r="K12" i="31"/>
  <c r="J12" i="31"/>
  <c r="I12" i="31"/>
  <c r="K11" i="31"/>
  <c r="J11" i="31"/>
  <c r="I11" i="31"/>
  <c r="K10" i="31"/>
  <c r="J10" i="31"/>
  <c r="I10" i="31"/>
  <c r="K9" i="31"/>
  <c r="J9" i="31"/>
  <c r="I9" i="31"/>
  <c r="K8" i="31"/>
  <c r="J8" i="31"/>
  <c r="I8" i="31"/>
  <c r="K7" i="31"/>
  <c r="J7" i="31"/>
  <c r="I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00" i="32"/>
  <c r="J100" i="32"/>
  <c r="I100" i="32"/>
  <c r="K99" i="32"/>
  <c r="J99" i="32"/>
  <c r="I99" i="32"/>
  <c r="K98" i="32"/>
  <c r="J98" i="32"/>
  <c r="I98" i="32"/>
  <c r="K97" i="32"/>
  <c r="J97" i="32"/>
  <c r="I97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K80" i="32"/>
  <c r="J80" i="32"/>
  <c r="I80" i="32"/>
  <c r="K79" i="32"/>
  <c r="J79" i="32"/>
  <c r="I79" i="32"/>
  <c r="K78" i="32"/>
  <c r="J78" i="32"/>
  <c r="I78" i="32"/>
  <c r="K77" i="32"/>
  <c r="J77" i="32"/>
  <c r="I7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K40" i="32"/>
  <c r="J40" i="32"/>
  <c r="I40" i="32"/>
  <c r="K39" i="32"/>
  <c r="J39" i="32"/>
  <c r="I39" i="32"/>
  <c r="K38" i="32"/>
  <c r="J38" i="32"/>
  <c r="I38" i="32"/>
  <c r="K37" i="32"/>
  <c r="J37" i="32"/>
  <c r="I3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K20" i="32"/>
  <c r="J20" i="32"/>
  <c r="I20" i="32"/>
  <c r="K19" i="32"/>
  <c r="J19" i="32"/>
  <c r="I19" i="32"/>
  <c r="K18" i="32"/>
  <c r="J18" i="32"/>
  <c r="I18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L7" i="32" s="1"/>
  <c r="J9" i="32"/>
  <c r="I9" i="32"/>
  <c r="K8" i="32"/>
  <c r="J8" i="32"/>
  <c r="I8" i="32"/>
  <c r="K7" i="32"/>
  <c r="J7" i="32"/>
  <c r="I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101" i="30"/>
  <c r="J101" i="30"/>
  <c r="I101" i="30"/>
  <c r="K100" i="30"/>
  <c r="J100" i="30"/>
  <c r="I100" i="30"/>
  <c r="K99" i="30"/>
  <c r="J99" i="30"/>
  <c r="I99" i="30"/>
  <c r="K98" i="30"/>
  <c r="J98" i="30"/>
  <c r="I98" i="30"/>
  <c r="K97" i="30"/>
  <c r="J97" i="30"/>
  <c r="I97" i="30"/>
  <c r="K96" i="30"/>
  <c r="J96" i="30"/>
  <c r="I96" i="30"/>
  <c r="K95" i="30"/>
  <c r="J95" i="30"/>
  <c r="I95" i="30"/>
  <c r="K94" i="30"/>
  <c r="J94" i="30"/>
  <c r="I94" i="30"/>
  <c r="K93" i="30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81" i="30"/>
  <c r="J81" i="30"/>
  <c r="I81" i="30"/>
  <c r="K80" i="30"/>
  <c r="J80" i="30"/>
  <c r="I80" i="30"/>
  <c r="K79" i="30"/>
  <c r="J79" i="30"/>
  <c r="I79" i="30"/>
  <c r="K78" i="30"/>
  <c r="J78" i="30"/>
  <c r="I78" i="30"/>
  <c r="K77" i="30"/>
  <c r="J77" i="30"/>
  <c r="I77" i="30"/>
  <c r="K76" i="30"/>
  <c r="J76" i="30"/>
  <c r="I76" i="30"/>
  <c r="K75" i="30"/>
  <c r="J75" i="30"/>
  <c r="I75" i="30"/>
  <c r="K74" i="30"/>
  <c r="J74" i="30"/>
  <c r="I74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1" i="30"/>
  <c r="J61" i="30"/>
  <c r="I61" i="30"/>
  <c r="K60" i="30"/>
  <c r="J60" i="30"/>
  <c r="I60" i="30"/>
  <c r="K59" i="30"/>
  <c r="J59" i="30"/>
  <c r="I59" i="30"/>
  <c r="K58" i="30"/>
  <c r="J58" i="30"/>
  <c r="I58" i="30"/>
  <c r="K57" i="30"/>
  <c r="J57" i="30"/>
  <c r="I57" i="30"/>
  <c r="K56" i="30"/>
  <c r="J56" i="30"/>
  <c r="I56" i="30"/>
  <c r="K55" i="30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K41" i="30"/>
  <c r="J41" i="30"/>
  <c r="I41" i="30"/>
  <c r="K40" i="30"/>
  <c r="J40" i="30"/>
  <c r="I40" i="30"/>
  <c r="K39" i="30"/>
  <c r="J39" i="30"/>
  <c r="I39" i="30"/>
  <c r="K38" i="30"/>
  <c r="J38" i="30"/>
  <c r="I38" i="30"/>
  <c r="K37" i="30"/>
  <c r="J37" i="30"/>
  <c r="I37" i="30"/>
  <c r="K36" i="30"/>
  <c r="J36" i="30"/>
  <c r="I36" i="30"/>
  <c r="K35" i="30"/>
  <c r="J35" i="30"/>
  <c r="I35" i="30"/>
  <c r="K34" i="30"/>
  <c r="J34" i="30"/>
  <c r="I34" i="30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K27" i="30"/>
  <c r="J27" i="30"/>
  <c r="I2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K36" i="8"/>
  <c r="J36" i="8"/>
  <c r="I36" i="8"/>
  <c r="K35" i="8"/>
  <c r="J35" i="8"/>
  <c r="I35" i="8"/>
  <c r="K34" i="8"/>
  <c r="J34" i="8"/>
  <c r="I34" i="8"/>
  <c r="K33" i="8"/>
  <c r="J33" i="8"/>
  <c r="I33" i="8"/>
  <c r="K32" i="8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M7" i="8" s="1"/>
  <c r="J7" i="8"/>
  <c r="I7" i="8"/>
  <c r="L107" i="37"/>
  <c r="L87" i="37"/>
  <c r="L67" i="37"/>
  <c r="L47" i="37"/>
  <c r="L107" i="36"/>
  <c r="L87" i="36"/>
  <c r="L67" i="36"/>
  <c r="L47" i="36"/>
  <c r="L27" i="36"/>
  <c r="B35" i="39" s="1"/>
  <c r="L7" i="36"/>
  <c r="L107" i="35"/>
  <c r="L87" i="35"/>
  <c r="L67" i="35"/>
  <c r="L47" i="35"/>
  <c r="L27" i="35"/>
  <c r="B34" i="39" s="1"/>
  <c r="L7" i="35"/>
  <c r="L107" i="32"/>
  <c r="L87" i="32"/>
  <c r="L67" i="32"/>
  <c r="L47" i="32"/>
  <c r="L27" i="32"/>
  <c r="B30" i="39" s="1"/>
  <c r="I35" i="5"/>
  <c r="U35" i="3"/>
  <c r="O35" i="3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21" i="30"/>
  <c r="AR21" i="30"/>
  <c r="AM21" i="30"/>
  <c r="AH21" i="30"/>
  <c r="AC21" i="30"/>
  <c r="X21" i="30"/>
  <c r="AW20" i="30"/>
  <c r="AR20" i="30"/>
  <c r="AM20" i="30"/>
  <c r="AH20" i="30"/>
  <c r="AC20" i="30"/>
  <c r="X20" i="30"/>
  <c r="AW19" i="30"/>
  <c r="AR19" i="30"/>
  <c r="AM19" i="30"/>
  <c r="AH19" i="30"/>
  <c r="AC19" i="30"/>
  <c r="X19" i="30"/>
  <c r="AW18" i="30"/>
  <c r="AR18" i="30"/>
  <c r="AM18" i="30"/>
  <c r="AH18" i="30"/>
  <c r="AC18" i="30"/>
  <c r="X18" i="30"/>
  <c r="AW17" i="30"/>
  <c r="AR17" i="30"/>
  <c r="AM17" i="30"/>
  <c r="AH17" i="30"/>
  <c r="AC17" i="30"/>
  <c r="X17" i="30"/>
  <c r="AW16" i="30"/>
  <c r="AR16" i="30"/>
  <c r="AM16" i="30"/>
  <c r="AH16" i="30"/>
  <c r="AC16" i="30"/>
  <c r="X16" i="30"/>
  <c r="AW15" i="30"/>
  <c r="AR15" i="30"/>
  <c r="AM15" i="30"/>
  <c r="AH15" i="30"/>
  <c r="AC15" i="30"/>
  <c r="X15" i="30"/>
  <c r="AW14" i="30"/>
  <c r="AR14" i="30"/>
  <c r="AM14" i="30"/>
  <c r="AH14" i="30"/>
  <c r="AC14" i="30"/>
  <c r="X14" i="30"/>
  <c r="AW13" i="30"/>
  <c r="AR13" i="30"/>
  <c r="AM13" i="30"/>
  <c r="AH13" i="30"/>
  <c r="AC13" i="30"/>
  <c r="X13" i="30"/>
  <c r="AW12" i="30"/>
  <c r="AR12" i="30"/>
  <c r="AM12" i="30"/>
  <c r="AH12" i="30"/>
  <c r="AC12" i="30"/>
  <c r="X12" i="30"/>
  <c r="AW11" i="30"/>
  <c r="AR11" i="30"/>
  <c r="AM11" i="30"/>
  <c r="AH11" i="30"/>
  <c r="AC11" i="30"/>
  <c r="X11" i="30"/>
  <c r="AW10" i="30"/>
  <c r="AR10" i="30"/>
  <c r="AM10" i="30"/>
  <c r="AH10" i="30"/>
  <c r="AC10" i="30"/>
  <c r="X10" i="30"/>
  <c r="AW9" i="30"/>
  <c r="AR9" i="30"/>
  <c r="AM9" i="30"/>
  <c r="AH9" i="30"/>
  <c r="AC9" i="30"/>
  <c r="X9" i="30"/>
  <c r="AW8" i="30"/>
  <c r="AR8" i="30"/>
  <c r="AM8" i="30"/>
  <c r="AH8" i="30"/>
  <c r="AC8" i="30"/>
  <c r="X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L42" i="8" l="1"/>
  <c r="B28" i="39" s="1"/>
  <c r="L7" i="30"/>
  <c r="M11" i="8"/>
  <c r="M15" i="8"/>
  <c r="M19" i="8"/>
  <c r="M23" i="8"/>
  <c r="M27" i="8"/>
  <c r="M10" i="8"/>
  <c r="M14" i="8"/>
  <c r="M18" i="8"/>
  <c r="M22" i="8"/>
  <c r="M26" i="8"/>
  <c r="M9" i="8"/>
  <c r="M13" i="8"/>
  <c r="M17" i="8"/>
  <c r="M21" i="8"/>
  <c r="M25" i="8"/>
  <c r="M8" i="8"/>
  <c r="M12" i="8"/>
  <c r="M16" i="8"/>
  <c r="M20" i="8"/>
  <c r="M24" i="8"/>
  <c r="M28" i="8"/>
  <c r="H67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L23" i="48" l="1"/>
  <c r="L22" i="48"/>
  <c r="L21" i="48"/>
  <c r="L20" i="48" l="1"/>
  <c r="L19" i="48"/>
  <c r="L18" i="48"/>
  <c r="H23" i="48"/>
  <c r="H22" i="48"/>
  <c r="H21" i="48"/>
  <c r="H20" i="48"/>
  <c r="H19" i="48"/>
  <c r="F24" i="48"/>
  <c r="F23" i="48"/>
  <c r="F22" i="48"/>
  <c r="F21" i="48"/>
  <c r="F20" i="48"/>
  <c r="D22" i="48"/>
  <c r="D21" i="48"/>
  <c r="D20" i="48"/>
  <c r="L17" i="48" l="1"/>
  <c r="L16" i="48"/>
  <c r="L15" i="48"/>
  <c r="L14" i="48"/>
  <c r="L13" i="48"/>
  <c r="L12" i="48"/>
  <c r="L11" i="48"/>
  <c r="H18" i="48"/>
  <c r="H17" i="48"/>
  <c r="H16" i="48"/>
  <c r="H15" i="48"/>
  <c r="H14" i="48"/>
  <c r="H13" i="48"/>
  <c r="H12" i="48"/>
  <c r="F19" i="48"/>
  <c r="F18" i="48"/>
  <c r="F17" i="48"/>
  <c r="F16" i="48"/>
  <c r="F15" i="48"/>
  <c r="F14" i="48"/>
  <c r="F13" i="48"/>
  <c r="F12" i="48"/>
  <c r="D19" i="48"/>
  <c r="D18" i="48"/>
  <c r="D17" i="48"/>
  <c r="D16" i="48"/>
  <c r="D15" i="48"/>
  <c r="D14" i="48"/>
  <c r="D13" i="48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L4" i="48" l="1"/>
  <c r="F5" i="48"/>
  <c r="D5" i="48"/>
  <c r="J4" i="48"/>
  <c r="H4" i="48"/>
  <c r="F4" i="48"/>
  <c r="D4" i="4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M70" i="30" l="1"/>
  <c r="M69" i="30"/>
  <c r="M75" i="30"/>
  <c r="M67" i="30"/>
  <c r="M73" i="30"/>
  <c r="M81" i="30"/>
  <c r="M79" i="30"/>
  <c r="M77" i="30"/>
  <c r="M78" i="30"/>
  <c r="M80" i="30"/>
  <c r="M72" i="30"/>
  <c r="M74" i="30"/>
  <c r="M76" i="30"/>
  <c r="M71" i="30"/>
  <c r="M68" i="30"/>
  <c r="L67" i="30"/>
  <c r="A5" i="48" l="1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W36" i="8" l="1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H7" i="8"/>
  <c r="U5" i="3"/>
  <c r="P6" i="3" l="1"/>
  <c r="L7" i="8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S61" i="32" l="1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S53" i="30"/>
  <c r="S52" i="30"/>
  <c r="S51" i="30"/>
  <c r="S50" i="30"/>
  <c r="S49" i="30"/>
  <c r="S48" i="30"/>
  <c r="T47" i="30"/>
  <c r="S47" i="30"/>
  <c r="S61" i="34" l="1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S51" i="36"/>
  <c r="S50" i="36"/>
  <c r="S49" i="36"/>
  <c r="S48" i="36"/>
  <c r="T47" i="36"/>
  <c r="S47" i="36"/>
  <c r="S54" i="37"/>
  <c r="S53" i="37"/>
  <c r="S52" i="37"/>
  <c r="S51" i="37"/>
  <c r="S50" i="37"/>
  <c r="S49" i="37"/>
  <c r="S48" i="37"/>
  <c r="T47" i="37"/>
  <c r="S47" i="37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L27" i="30" l="1"/>
  <c r="B29" i="39" s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H7" i="35" l="1"/>
  <c r="H7" i="36"/>
  <c r="H7" i="37"/>
  <c r="H7" i="34"/>
  <c r="H7" i="33"/>
  <c r="H7" i="32"/>
  <c r="M21" i="37" l="1"/>
  <c r="M12" i="37"/>
  <c r="M11" i="37"/>
  <c r="M10" i="37"/>
  <c r="M14" i="37"/>
  <c r="M9" i="37"/>
  <c r="M13" i="37"/>
  <c r="M18" i="37"/>
  <c r="M7" i="37"/>
  <c r="M15" i="37"/>
  <c r="M19" i="37"/>
  <c r="M8" i="37"/>
  <c r="M16" i="37"/>
  <c r="M20" i="37"/>
  <c r="M17" i="37"/>
  <c r="M9" i="36"/>
  <c r="M8" i="36"/>
  <c r="M11" i="36"/>
  <c r="M10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T7" i="30"/>
  <c r="H7" i="30"/>
  <c r="M21" i="30" l="1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I5" i="5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H7" i="31" l="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F41" i="48" l="1"/>
  <c r="H41" i="48"/>
  <c r="J41" i="48"/>
  <c r="D41" i="48"/>
  <c r="L41" i="48"/>
  <c r="J42" i="48"/>
  <c r="H42" i="48"/>
  <c r="L42" i="48"/>
  <c r="D42" i="48"/>
  <c r="S69" i="34" l="1"/>
  <c r="S67" i="34"/>
  <c r="S68" i="34"/>
  <c r="S70" i="34"/>
  <c r="S71" i="34"/>
  <c r="S72" i="34"/>
  <c r="S73" i="34"/>
  <c r="S74" i="34"/>
  <c r="S75" i="34"/>
  <c r="S76" i="34"/>
  <c r="H128" i="37" l="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H87" i="37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H67" i="37"/>
  <c r="H47" i="37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H2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H67" i="36"/>
  <c r="H47" i="36"/>
  <c r="K132" i="36"/>
  <c r="J132" i="36"/>
  <c r="I132" i="36"/>
  <c r="K131" i="36"/>
  <c r="J131" i="36"/>
  <c r="I131" i="36"/>
  <c r="J129" i="36"/>
  <c r="I129" i="36"/>
  <c r="J128" i="36"/>
  <c r="I128" i="36"/>
  <c r="H2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H67" i="35"/>
  <c r="H47" i="35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H2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H87" i="34"/>
  <c r="S81" i="34"/>
  <c r="S80" i="34"/>
  <c r="S79" i="34"/>
  <c r="S78" i="34"/>
  <c r="S77" i="34"/>
  <c r="T67" i="34"/>
  <c r="H67" i="34"/>
  <c r="H47" i="34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AW133" i="33"/>
  <c r="AR133" i="33"/>
  <c r="AM133" i="33"/>
  <c r="AH133" i="33"/>
  <c r="AC133" i="33"/>
  <c r="X133" i="33"/>
  <c r="S133" i="33"/>
  <c r="AW132" i="33"/>
  <c r="AR132" i="33"/>
  <c r="AM132" i="33"/>
  <c r="AH132" i="33"/>
  <c r="AC132" i="33"/>
  <c r="X132" i="33"/>
  <c r="S132" i="33"/>
  <c r="AW131" i="33"/>
  <c r="AR131" i="33"/>
  <c r="AM131" i="33"/>
  <c r="AH131" i="33"/>
  <c r="AC131" i="33"/>
  <c r="X131" i="33"/>
  <c r="S131" i="33"/>
  <c r="AW130" i="33"/>
  <c r="AR130" i="33"/>
  <c r="AM130" i="33"/>
  <c r="AH130" i="33"/>
  <c r="AC130" i="33"/>
  <c r="X130" i="33"/>
  <c r="S130" i="33"/>
  <c r="AW129" i="33"/>
  <c r="AR129" i="33"/>
  <c r="AM129" i="33"/>
  <c r="AH129" i="33"/>
  <c r="AC129" i="33"/>
  <c r="X129" i="33"/>
  <c r="S129" i="33"/>
  <c r="AW128" i="33"/>
  <c r="AR128" i="33"/>
  <c r="AM128" i="33"/>
  <c r="AH128" i="33"/>
  <c r="AC128" i="33"/>
  <c r="X128" i="33"/>
  <c r="S128" i="33"/>
  <c r="AW127" i="33"/>
  <c r="AR127" i="33"/>
  <c r="AM127" i="33"/>
  <c r="AH127" i="33"/>
  <c r="AC127" i="33"/>
  <c r="X127" i="33"/>
  <c r="S127" i="33"/>
  <c r="AW126" i="33"/>
  <c r="AR126" i="33"/>
  <c r="AM126" i="33"/>
  <c r="AH126" i="33"/>
  <c r="AC126" i="33"/>
  <c r="X126" i="33"/>
  <c r="S126" i="33"/>
  <c r="AW125" i="33"/>
  <c r="AR125" i="33"/>
  <c r="AM125" i="33"/>
  <c r="AH125" i="33"/>
  <c r="AC125" i="33"/>
  <c r="X125" i="33"/>
  <c r="S125" i="33"/>
  <c r="AW124" i="33"/>
  <c r="AR124" i="33"/>
  <c r="AM124" i="33"/>
  <c r="AH124" i="33"/>
  <c r="AC124" i="33"/>
  <c r="X124" i="33"/>
  <c r="S124" i="33"/>
  <c r="AW123" i="33"/>
  <c r="AR123" i="33"/>
  <c r="AM123" i="33"/>
  <c r="AH123" i="33"/>
  <c r="AC123" i="33"/>
  <c r="X123" i="33"/>
  <c r="S123" i="33"/>
  <c r="AW122" i="33"/>
  <c r="AR122" i="33"/>
  <c r="AM122" i="33"/>
  <c r="AH122" i="33"/>
  <c r="AC122" i="33"/>
  <c r="X122" i="33"/>
  <c r="S122" i="33"/>
  <c r="AW121" i="33"/>
  <c r="AR121" i="33"/>
  <c r="AM121" i="33"/>
  <c r="AH121" i="33"/>
  <c r="AC121" i="33"/>
  <c r="X121" i="33"/>
  <c r="S121" i="33"/>
  <c r="AW120" i="33"/>
  <c r="AR120" i="33"/>
  <c r="AM120" i="33"/>
  <c r="AH120" i="33"/>
  <c r="AC120" i="33"/>
  <c r="X120" i="33"/>
  <c r="S120" i="33"/>
  <c r="AW119" i="33"/>
  <c r="AR119" i="33"/>
  <c r="AM119" i="33"/>
  <c r="AH119" i="33"/>
  <c r="AC119" i="33"/>
  <c r="X119" i="33"/>
  <c r="S119" i="33"/>
  <c r="AW118" i="33"/>
  <c r="AR118" i="33"/>
  <c r="AM118" i="33"/>
  <c r="AH118" i="33"/>
  <c r="AC118" i="33"/>
  <c r="X118" i="33"/>
  <c r="S118" i="33"/>
  <c r="AW117" i="33"/>
  <c r="AR117" i="33"/>
  <c r="AM117" i="33"/>
  <c r="AH117" i="33"/>
  <c r="AC117" i="33"/>
  <c r="X117" i="33"/>
  <c r="S117" i="33"/>
  <c r="AW116" i="33"/>
  <c r="AR116" i="33"/>
  <c r="AM116" i="33"/>
  <c r="AH116" i="33"/>
  <c r="AC116" i="33"/>
  <c r="X116" i="33"/>
  <c r="S116" i="33"/>
  <c r="AW115" i="33"/>
  <c r="AR115" i="33"/>
  <c r="AM115" i="33"/>
  <c r="AH115" i="33"/>
  <c r="AC115" i="33"/>
  <c r="X115" i="33"/>
  <c r="S115" i="33"/>
  <c r="AW114" i="33"/>
  <c r="AR114" i="33"/>
  <c r="AM114" i="33"/>
  <c r="AH114" i="33"/>
  <c r="AC114" i="33"/>
  <c r="X114" i="33"/>
  <c r="S114" i="33"/>
  <c r="AW113" i="33"/>
  <c r="AR113" i="33"/>
  <c r="AM113" i="33"/>
  <c r="AH113" i="33"/>
  <c r="AC113" i="33"/>
  <c r="X113" i="33"/>
  <c r="S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AW98" i="33"/>
  <c r="AR98" i="33"/>
  <c r="AM98" i="33"/>
  <c r="AH98" i="33"/>
  <c r="AC98" i="33"/>
  <c r="X98" i="33"/>
  <c r="S98" i="33"/>
  <c r="AW97" i="33"/>
  <c r="AR97" i="33"/>
  <c r="AM97" i="33"/>
  <c r="AH97" i="33"/>
  <c r="AC97" i="33"/>
  <c r="X97" i="33"/>
  <c r="S97" i="33"/>
  <c r="AW96" i="33"/>
  <c r="AR96" i="33"/>
  <c r="AM96" i="33"/>
  <c r="AH96" i="33"/>
  <c r="AC96" i="33"/>
  <c r="X96" i="33"/>
  <c r="S96" i="33"/>
  <c r="AW95" i="33"/>
  <c r="AR95" i="33"/>
  <c r="AM95" i="33"/>
  <c r="AH95" i="33"/>
  <c r="AC95" i="33"/>
  <c r="X95" i="33"/>
  <c r="S95" i="33"/>
  <c r="AW94" i="33"/>
  <c r="AR94" i="33"/>
  <c r="AM94" i="33"/>
  <c r="AH94" i="33"/>
  <c r="AC94" i="33"/>
  <c r="X94" i="33"/>
  <c r="S94" i="33"/>
  <c r="AW93" i="33"/>
  <c r="AR93" i="33"/>
  <c r="AM93" i="33"/>
  <c r="AH93" i="33"/>
  <c r="AC93" i="33"/>
  <c r="X93" i="33"/>
  <c r="S93" i="33"/>
  <c r="AW92" i="33"/>
  <c r="AR92" i="33"/>
  <c r="AM92" i="33"/>
  <c r="AH92" i="33"/>
  <c r="AC92" i="33"/>
  <c r="X92" i="33"/>
  <c r="S92" i="33"/>
  <c r="AW91" i="33"/>
  <c r="AR91" i="33"/>
  <c r="AM91" i="33"/>
  <c r="AH91" i="33"/>
  <c r="AC91" i="33"/>
  <c r="X91" i="33"/>
  <c r="S91" i="33"/>
  <c r="AW90" i="33"/>
  <c r="AR90" i="33"/>
  <c r="AM90" i="33"/>
  <c r="AH90" i="33"/>
  <c r="AC90" i="33"/>
  <c r="X90" i="33"/>
  <c r="S90" i="33"/>
  <c r="AW89" i="33"/>
  <c r="AR89" i="33"/>
  <c r="AM89" i="33"/>
  <c r="AH89" i="33"/>
  <c r="AC89" i="33"/>
  <c r="X89" i="33"/>
  <c r="S89" i="33"/>
  <c r="AW88" i="33"/>
  <c r="AR88" i="33"/>
  <c r="AM88" i="33"/>
  <c r="AH88" i="33"/>
  <c r="AC88" i="33"/>
  <c r="X88" i="33"/>
  <c r="S88" i="33"/>
  <c r="AW87" i="33"/>
  <c r="AR87" i="33"/>
  <c r="AM87" i="33"/>
  <c r="AH87" i="33"/>
  <c r="AC87" i="33"/>
  <c r="X87" i="33"/>
  <c r="S87" i="33"/>
  <c r="AW86" i="33"/>
  <c r="AR86" i="33"/>
  <c r="AM86" i="33"/>
  <c r="AH86" i="33"/>
  <c r="AC86" i="33"/>
  <c r="X86" i="33"/>
  <c r="S86" i="33"/>
  <c r="AW85" i="33"/>
  <c r="AR85" i="33"/>
  <c r="AM85" i="33"/>
  <c r="AH85" i="33"/>
  <c r="AC85" i="33"/>
  <c r="X85" i="33"/>
  <c r="S85" i="33"/>
  <c r="AW84" i="33"/>
  <c r="AR84" i="33"/>
  <c r="AM84" i="33"/>
  <c r="AH84" i="33"/>
  <c r="AC84" i="33"/>
  <c r="X84" i="33"/>
  <c r="S84" i="33"/>
  <c r="AW83" i="33"/>
  <c r="AR83" i="33"/>
  <c r="AM83" i="33"/>
  <c r="AH83" i="33"/>
  <c r="AC83" i="33"/>
  <c r="X83" i="33"/>
  <c r="S83" i="33"/>
  <c r="AW82" i="33"/>
  <c r="AR82" i="33"/>
  <c r="AM82" i="33"/>
  <c r="AH82" i="33"/>
  <c r="AC82" i="33"/>
  <c r="X82" i="33"/>
  <c r="S82" i="33"/>
  <c r="AW81" i="33"/>
  <c r="AR81" i="33"/>
  <c r="AM81" i="33"/>
  <c r="AH81" i="33"/>
  <c r="AC81" i="33"/>
  <c r="X81" i="33"/>
  <c r="S81" i="33"/>
  <c r="AW80" i="33"/>
  <c r="AR80" i="33"/>
  <c r="AM80" i="33"/>
  <c r="AH80" i="33"/>
  <c r="AC80" i="33"/>
  <c r="X80" i="33"/>
  <c r="S80" i="33"/>
  <c r="AW79" i="33"/>
  <c r="AR79" i="33"/>
  <c r="AM79" i="33"/>
  <c r="AH79" i="33"/>
  <c r="AC79" i="33"/>
  <c r="X79" i="33"/>
  <c r="S79" i="33"/>
  <c r="AW78" i="33"/>
  <c r="AR78" i="33"/>
  <c r="AM78" i="33"/>
  <c r="AH78" i="33"/>
  <c r="AC78" i="33"/>
  <c r="X78" i="33"/>
  <c r="S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M67" i="31"/>
  <c r="H67" i="31"/>
  <c r="S61" i="31"/>
  <c r="H47" i="31"/>
  <c r="M27" i="31"/>
  <c r="H2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H87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H67" i="32"/>
  <c r="H4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E11" i="1" s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10" i="5" l="1"/>
  <c r="K7" i="39" s="1"/>
  <c r="J11" i="5"/>
  <c r="I7" i="39" s="1"/>
  <c r="X48" i="1"/>
  <c r="V48" i="1" s="1"/>
  <c r="X34" i="1"/>
  <c r="V34" i="1" s="1"/>
  <c r="X42" i="1"/>
  <c r="V42" i="1" s="1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M121" i="37"/>
  <c r="D9" i="39"/>
  <c r="AB12" i="6"/>
  <c r="R12" i="6"/>
  <c r="R9" i="6"/>
  <c r="AB9" i="6"/>
  <c r="R13" i="6"/>
  <c r="AB13" i="6"/>
  <c r="R10" i="6"/>
  <c r="AB10" i="6"/>
  <c r="R14" i="6"/>
  <c r="AB14" i="6"/>
  <c r="AB11" i="6"/>
  <c r="R11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H12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4"/>
  <c r="B33" i="39" s="1"/>
  <c r="M34" i="35"/>
  <c r="M35" i="35"/>
  <c r="M36" i="35"/>
  <c r="M37" i="35"/>
  <c r="M38" i="35"/>
  <c r="M39" i="35"/>
  <c r="M40" i="35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M52" i="36"/>
  <c r="M53" i="36"/>
  <c r="M54" i="36"/>
  <c r="M55" i="36"/>
  <c r="M56" i="36"/>
  <c r="M57" i="36"/>
  <c r="M58" i="36"/>
  <c r="M59" i="36"/>
  <c r="M60" i="36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13" i="6" l="1"/>
  <c r="G13" i="7"/>
  <c r="H12" i="7"/>
  <c r="AH46" i="7" s="1"/>
  <c r="N40" i="6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AD30" i="7"/>
  <c r="AD23" i="6"/>
  <c r="AH23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AF46" i="6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P27" i="6"/>
  <c r="X36" i="6"/>
  <c r="J36" i="6"/>
  <c r="R45" i="7"/>
  <c r="AF41" i="6"/>
  <c r="L27" i="6"/>
  <c r="L45" i="7"/>
  <c r="Z45" i="7"/>
  <c r="Z41" i="6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N43" i="7"/>
  <c r="M140" i="30"/>
  <c r="M133" i="30"/>
  <c r="T24" i="6"/>
  <c r="Z24" i="6"/>
  <c r="N18" i="6"/>
  <c r="T27" i="6"/>
  <c r="AD32" i="6"/>
  <c r="V27" i="7"/>
  <c r="AL33" i="7"/>
  <c r="AB43" i="7"/>
  <c r="M134" i="30"/>
  <c r="T39" i="7"/>
  <c r="M138" i="30"/>
  <c r="M131" i="30"/>
  <c r="AF18" i="6"/>
  <c r="Z27" i="7"/>
  <c r="X45" i="7"/>
  <c r="M141" i="30"/>
  <c r="M142" i="30"/>
  <c r="M129" i="30"/>
  <c r="AF32" i="6"/>
  <c r="T18" i="6"/>
  <c r="N24" i="6"/>
  <c r="AL45" i="7"/>
  <c r="N45" i="7"/>
  <c r="X39" i="7"/>
  <c r="AD36" i="6"/>
  <c r="M128" i="30"/>
  <c r="M135" i="30"/>
  <c r="V18" i="6"/>
  <c r="J24" i="6"/>
  <c r="AF45" i="7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P107" i="33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<sst xmlns="http://schemas.openxmlformats.org/spreadsheetml/2006/main" count="8829" uniqueCount="917">
  <si>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</si>
  <si>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</si>
  <si>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</si>
  <si>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</si>
  <si>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</si>
  <si>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</si>
  <si>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</si>
  <si>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</si>
  <si>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</si>
  <si>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</si>
  <si>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</si>
  <si>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</si>
  <si>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</si>
  <si>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</si>
  <si>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</si>
  <si>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</si>
  <si>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</si>
  <si>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</si>
  <si>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</si>
  <si>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</si>
  <si>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</si>
  <si>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</si>
  <si>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</si>
  <si>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</si>
  <si>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</si>
  <si>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</si>
  <si>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</si>
  <si>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</si>
  <si>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</si>
  <si>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</si>
  <si>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</si>
  <si>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</si>
  <si>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</si>
  <si>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</si>
  <si>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</si>
  <si>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</si>
  <si>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</si>
  <si>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</si>
  <si>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</si>
  <si>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</si>
  <si>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</si>
  <si>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</si>
  <si>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</si>
  <si>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</si>
  <si>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</si>
  <si>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</si>
  <si>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</si>
  <si>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</si>
  <si>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</si>
  <si>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</si>
  <si>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</si>
  <si>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</si>
  <si>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</si>
  <si>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</si>
  <si>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</si>
  <si>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</si>
  <si>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</si>
  <si>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</si>
  <si>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</si>
  <si>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</si>
  <si>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</si>
  <si>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</si>
  <si>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</si>
  <si>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</si>
  <si>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</si>
  <si>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</si>
  <si>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</si>
  <si>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</si>
  <si>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</si>
  <si>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</si>
  <si>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</si>
  <si>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</si>
  <si>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</si>
  <si>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</si>
  <si>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</si>
  <si>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</si>
  <si>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</si>
  <si>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</si>
  <si>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</si>
  <si>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</si>
  <si>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</si>
  <si>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</si>
  <si>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</si>
  <si>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</si>
  <si>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</si>
  <si>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</si>
  <si>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</si>
  <si>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</si>
  <si>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</si>
  <si>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</si>
  <si>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</si>
  <si>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</si>
  <si>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</si>
  <si>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</si>
  <si>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</si>
  <si>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</si>
  <si>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</si>
  <si>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</si>
  <si>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</si>
  <si>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</si>
  <si>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</si>
  <si>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</si>
  <si>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</si>
  <si>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</si>
  <si>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</si>
  <si>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</si>
  <si>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</si>
  <si>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</si>
  <si>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</si>
  <si>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</si>
  <si>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</si>
  <si>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</si>
  <si>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</si>
  <si>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</si>
  <si>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</si>
  <si>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</si>
  <si>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</si>
  <si>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</si>
  <si>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</si>
  <si>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</si>
  <si>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</si>
  <si>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</si>
  <si>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</si>
  <si>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</si>
  <si>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</si>
  <si>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</si>
  <si>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</si>
  <si>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</si>
  <si>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</si>
  <si>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</si>
  <si>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</si>
  <si>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</si>
  <si>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</si>
  <si>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</si>
  <si>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</si>
  <si>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</si>
  <si>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</si>
  <si>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</si>
  <si>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</si>
  <si>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</si>
  <si>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</si>
  <si>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</si>
  <si>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</si>
  <si>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</si>
  <si>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</si>
  <si>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</si>
  <si>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</si>
  <si>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</si>
  <si>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</si>
  <si>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</si>
  <si>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</si>
  <si>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</si>
  <si>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</si>
  <si>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</si>
  <si>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</si>
  <si>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</si>
  <si>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</si>
  <si>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</si>
  <si>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</si>
  <si>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</si>
  <si>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</si>
  <si>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</si>
  <si>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</si>
  <si>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</si>
  <si>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</si>
  <si>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</si>
  <si>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</si>
  <si>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</si>
  <si>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</si>
  <si>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</si>
  <si>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</si>
  <si>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</si>
  <si>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</si>
  <si>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</si>
  <si>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</si>
  <si>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</si>
  <si>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</si>
  <si>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</si>
  <si>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</si>
  <si>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</si>
  <si>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</si>
  <si>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</si>
  <si>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</si>
  <si>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</si>
  <si>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</si>
  <si>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</si>
  <si>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</si>
  <si>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</si>
  <si>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</si>
  <si>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</si>
  <si>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</si>
  <si>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</si>
  <si>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</si>
  <si>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</si>
  <si>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</si>
  <si>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</si>
  <si>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</si>
  <si>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</si>
  <si>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</si>
  <si>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</si>
  <si>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</si>
  <si>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</si>
  <si>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</si>
  <si>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</si>
  <si>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</si>
  <si>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</si>
  <si>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</si>
  <si>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</si>
  <si>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</si>
  <si>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</si>
  <si>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</si>
  <si>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</si>
  <si>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</si>
  <si>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</si>
  <si>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</si>
  <si>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</si>
  <si>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</si>
  <si>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</si>
  <si>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</si>
  <si>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</si>
  <si>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</si>
  <si>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</si>
  <si>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</si>
  <si>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</si>
  <si>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</si>
  <si>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</si>
  <si>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</si>
  <si>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</si>
  <si>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</si>
  <si>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</si>
  <si>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</si>
  <si>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</si>
  <si>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</si>
  <si>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</si>
  <si>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</si>
  <si>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</si>
  <si>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</si>
  <si>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</si>
  <si>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</si>
  <si>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</si>
  <si>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</si>
  <si>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</si>
  <si>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</si>
  <si>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</si>
  <si>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</si>
  <si>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</si>
  <si>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</si>
  <si>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</si>
  <si>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</si>
  <si>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</si>
  <si>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</si>
  <si>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</si>
  <si>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</si>
  <si>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</si>
  <si>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</si>
  <si>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</si>
  <si>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</si>
  <si>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</si>
  <si>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</si>
  <si>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</si>
  <si>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</si>
  <si>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</si>
  <si>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</si>
  <si>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</si>
  <si>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</si>
  <si>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</si>
  <si>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</si>
  <si>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</si>
  <si>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</si>
  <si>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</si>
  <si>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</si>
  <si>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</si>
  <si>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</si>
  <si>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</si>
  <si>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</si>
  <si>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</si>
  <si>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</si>
  <si>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</si>
  <si>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</si>
  <si>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</si>
  <si>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</si>
  <si>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</si>
  <si>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</si>
  <si>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</si>
  <si>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</si>
  <si>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</si>
  <si>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</si>
  <si>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</si>
  <si>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</si>
  <si>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</si>
  <si>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</si>
  <si>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</si>
  <si>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</si>
  <si>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</si>
  <si>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</si>
  <si>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</si>
  <si>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</si>
  <si>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</si>
  <si>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</si>
  <si>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</si>
  <si>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</si>
  <si>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</si>
  <si>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</si>
  <si>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</si>
  <si>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</si>
  <si>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</si>
  <si>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</si>
  <si>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</si>
  <si>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</si>
  <si>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</si>
  <si>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</si>
  <si>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</si>
  <si>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</si>
  <si>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</si>
  <si>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</si>
  <si>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</si>
  <si>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</si>
  <si>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</si>
  <si>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</si>
  <si>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</si>
  <si>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</si>
  <si>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</si>
  <si>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</si>
  <si>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</si>
  <si>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</si>
  <si>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</si>
  <si>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</si>
  <si>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</si>
  <si>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</si>
  <si>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</si>
  <si>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</si>
  <si>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</si>
  <si>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</si>
  <si>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</si>
  <si>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</si>
  <si>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</si>
  <si>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</si>
  <si>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</si>
  <si>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</si>
  <si>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</si>
  <si>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</si>
  <si>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</si>
  <si>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</si>
  <si>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</si>
  <si>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</si>
  <si>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</si>
  <si>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</si>
  <si>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</si>
  <si>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</si>
  <si>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</si>
  <si>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</si>
  <si>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</si>
  <si>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</si>
  <si>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</si>
  <si>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</si>
  <si>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</si>
  <si>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</si>
  <si>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</si>
  <si>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</si>
  <si>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</si>
  <si>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</si>
  <si>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</si>
  <si>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</si>
  <si>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</si>
  <si>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</si>
  <si>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</si>
  <si>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</si>
  <si>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</si>
  <si>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</si>
  <si>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</si>
  <si>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</si>
  <si>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</si>
  <si>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</si>
  <si>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</si>
  <si>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</si>
  <si>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</si>
  <si>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</si>
  <si>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</si>
  <si>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</si>
  <si>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</si>
  <si>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</si>
  <si>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</si>
  <si>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</si>
  <si>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</si>
  <si>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</si>
  <si>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</si>
  <si>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</si>
  <si>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</si>
  <si>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</si>
  <si>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</si>
  <si>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</si>
  <si>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</si>
  <si>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</si>
  <si>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</si>
  <si>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準備課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</si>
  <si>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</si>
  <si>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</si>
  <si>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</si>
  <si>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</si>
  <si>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</si>
  <si>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</si>
  <si>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</si>
  <si>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</si>
  <si>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</si>
  <si>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</si>
  <si>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</si>
  <si>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</si>
  <si>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</si>
  <si>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</si>
  <si>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</si>
  <si>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</si>
  <si>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</si>
  <si>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</si>
  <si>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</si>
  <si>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</si>
  <si>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</si>
  <si>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</si>
  <si>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</si>
  <si>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</si>
  <si>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</si>
  <si>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</si>
  <si>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</si>
  <si>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</si>
  <si>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</si>
  <si>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</si>
  <si>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</si>
  <si>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</si>
  <si>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</si>
  <si>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</si>
  <si>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</si>
  <si>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</si>
  <si>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</si>
  <si>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</si>
  <si>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</si>
  <si>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</si>
  <si>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</si>
  <si>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</si>
  <si>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</si>
  <si>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</si>
  <si>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</si>
  <si>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</si>
  <si>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</si>
  <si>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</si>
  <si>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</si>
  <si>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</si>
  <si>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</si>
  <si>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</si>
  <si>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</si>
  <si>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</si>
  <si>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</si>
  <si>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</si>
  <si>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</si>
  <si>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</si>
  <si>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</si>
  <si>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</si>
  <si>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</si>
  <si>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</si>
  <si>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</si>
  <si>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</si>
  <si>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</si>
  <si>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</si>
  <si>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</si>
  <si>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</si>
  <si>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</si>
  <si>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</si>
  <si>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</si>
  <si>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</si>
  <si>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</si>
  <si>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</si>
  <si>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</si>
  <si>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</si>
  <si>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</si>
  <si>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</si>
  <si>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</si>
  <si>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</si>
  <si>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</si>
  <si>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</si>
  <si>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</si>
  <si>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</si>
  <si>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</si>
  <si>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</si>
  <si>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</si>
  <si>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</si>
  <si>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</si>
  <si>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</si>
  <si>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</si>
  <si>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</si>
  <si>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</si>
  <si>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</si>
  <si>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</si>
  <si>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</si>
  <si>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</si>
  <si>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</si>
  <si>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</si>
  <si>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</si>
  <si>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</si>
  <si>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</si>
  <si>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</si>
  <si>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</si>
  <si>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</si>
  <si>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</si>
  <si>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</si>
  <si>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</si>
  <si>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</si>
  <si>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</si>
  <si>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</si>
  <si>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</si>
  <si>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</si>
  <si>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</si>
  <si>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</si>
  <si>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</si>
  <si>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</si>
  <si>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</si>
  <si>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</si>
  <si>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</si>
  <si>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</si>
  <si>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</si>
  <si>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</si>
  <si>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</si>
  <si>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</si>
  <si>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</si>
  <si>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</si>
  <si>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</si>
  <si>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</si>
  <si>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</si>
  <si>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</si>
  <si>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</si>
  <si>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</si>
  <si>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</si>
  <si>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</si>
  <si>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</si>
  <si>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</si>
  <si>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</si>
  <si>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</si>
  <si>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</si>
  <si>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</si>
  <si>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</si>
  <si>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</si>
  <si>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</si>
  <si>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</si>
  <si>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</si>
  <si>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</si>
  <si>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</si>
  <si>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</si>
  <si>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</si>
  <si>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</si>
  <si>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</si>
  <si>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</si>
  <si>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</si>
  <si>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</si>
  <si>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</si>
  <si>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</si>
  <si>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</si>
  <si>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</si>
  <si>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</si>
  <si>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</si>
  <si>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</si>
  <si>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</si>
  <si>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</si>
  <si>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</si>
  <si>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</si>
  <si>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</si>
  <si>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</si>
  <si>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</si>
  <si>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</si>
  <si>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</si>
  <si>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</si>
  <si>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</si>
  <si>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</si>
  <si>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</si>
  <si>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</si>
  <si>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</si>
  <si>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</si>
  <si>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</si>
  <si>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</si>
  <si>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</si>
  <si>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</si>
  <si>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</si>
  <si>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</si>
  <si>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</si>
  <si>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</si>
  <si>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</si>
  <si>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</si>
  <si>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</si>
  <si>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</si>
  <si>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</si>
  <si>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</si>
  <si>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</si>
  <si>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</si>
  <si>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</si>
  <si>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</si>
  <si>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</si>
  <si>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</si>
  <si>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</si>
  <si>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</si>
  <si>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</si>
  <si>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</si>
  <si>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</si>
  <si>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</si>
  <si>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</si>
  <si>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</si>
  <si>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</si>
  <si>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</si>
  <si>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</si>
  <si>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</si>
  <si>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</si>
  <si>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</si>
  <si>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</si>
  <si>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</si>
  <si>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</si>
  <si>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</si>
  <si>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</si>
  <si>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</si>
  <si>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</si>
  <si>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</si>
  <si>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</si>
  <si>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</si>
  <si>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</si>
  <si>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</si>
  <si>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</si>
  <si>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</si>
  <si>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</si>
  <si>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</si>
  <si>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</si>
  <si>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</si>
  <si>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</si>
  <si>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</si>
  <si>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</si>
  <si>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</si>
  <si>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</si>
  <si>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</si>
  <si>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</si>
  <si>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</si>
  <si>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</si>
  <si>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</si>
  <si>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</si>
  <si>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</si>
  <si>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</si>
  <si>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</si>
  <si>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t>雙鬆細卷</t>
  </si>
  <si>
    <t>蕃茄起司手工千層麵(區2)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</si>
  <si>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</si>
  <si>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</si>
  <si>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</si>
  <si>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</si>
  <si>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</si>
  <si>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</si>
  <si>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</si>
  <si>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</si>
  <si>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</si>
  <si>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</si>
  <si>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</si>
  <si>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</si>
  <si>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</si>
  <si>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</si>
  <si>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</si>
  <si>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</si>
  <si>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</si>
  <si>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</si>
  <si>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</si>
  <si>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</si>
  <si>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</si>
  <si>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</si>
  <si>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</si>
  <si>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</si>
  <si>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</si>
  <si>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</si>
  <si>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</si>
  <si>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川燙青花菜</t>
  </si>
  <si>
    <t>二配起司控培根白醬焗烤飯</t>
  </si>
  <si>
    <t>確認備料量是否正確，調整出料率</t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</si>
  <si>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</si>
  <si>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</si>
  <si>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</si>
  <si>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</si>
  <si>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</si>
  <si>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</si>
  <si>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二配蒙古風味烤肉飯</t>
  </si>
  <si>
    <t>二配炒蒙古烤肉蔬菜</t>
  </si>
  <si>
    <t>二配大飯糰滷肉飯加蛋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</si>
  <si>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</si>
  <si>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</si>
  <si>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</si>
  <si>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</si>
  <si>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</si>
  <si>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</si>
  <si>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</si>
  <si>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</si>
  <si>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</si>
  <si>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</si>
  <si>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</si>
  <si>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</si>
  <si>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</si>
  <si>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</si>
  <si>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</si>
  <si>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</si>
  <si>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</si>
  <si>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</si>
  <si>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</si>
  <si>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</si>
  <si>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</si>
  <si>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</si>
  <si>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</si>
  <si>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</si>
  <si>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</si>
  <si>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</si>
  <si>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</si>
  <si>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</si>
  <si>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</si>
  <si>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</si>
  <si>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</si>
  <si>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</si>
  <si>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</si>
  <si>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</si>
  <si>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</si>
  <si>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</si>
  <si>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</si>
  <si>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</si>
  <si>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</si>
  <si>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</si>
  <si>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</si>
  <si>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</si>
  <si>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</si>
  <si>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</si>
  <si>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</si>
  <si>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</si>
  <si>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</si>
  <si>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</si>
  <si>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</si>
  <si>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</si>
  <si>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</si>
  <si>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</si>
  <si>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</si>
  <si>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</si>
  <si>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</si>
  <si>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</si>
  <si>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</si>
  <si>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</si>
  <si>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</si>
  <si>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</si>
  <si>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</si>
  <si>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</si>
  <si>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</si>
  <si>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</si>
  <si>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</si>
  <si>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二配歐姆蛋(111年版)</t>
  </si>
  <si>
    <t>烤飯糰1</t>
    <phoneticPr fontId="11" type="noConversion"/>
  </si>
  <si>
    <t>烤飯糰2</t>
    <phoneticPr fontId="11" type="noConversion"/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</si>
  <si>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</si>
  <si>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</si>
  <si>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</si>
  <si>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</si>
  <si>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</si>
  <si>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</si>
  <si>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</si>
  <si>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</si>
  <si>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</si>
  <si>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</si>
  <si>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</si>
  <si>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</si>
  <si>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</si>
  <si>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</si>
  <si>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</si>
  <si>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</si>
  <si>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</si>
  <si>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</si>
  <si>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</si>
  <si>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</si>
  <si>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</si>
  <si>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t>二配炒解凍11N培根片</t>
  </si>
  <si>
    <t>蟹味可樂餅風炸飯糰</t>
  </si>
  <si>
    <t>二配北海道秋鮭親子飯糰</t>
  </si>
  <si>
    <t>二配解凍-醬油漬鮭魚卵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</si>
  <si>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</si>
  <si>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</si>
  <si>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</si>
  <si>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</si>
  <si>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</si>
  <si>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</si>
  <si>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</si>
  <si>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</si>
  <si>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</si>
  <si>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</si>
  <si>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</si>
  <si>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</si>
  <si>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</si>
  <si>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</si>
  <si>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</si>
  <si>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</si>
  <si>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</si>
  <si>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</si>
  <si>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</si>
  <si>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</si>
  <si>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</si>
  <si>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</si>
  <si>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辣腐乳麻醬拌麵</t>
  </si>
  <si>
    <t>賣相要求</t>
  </si>
  <si>
    <t>媽媽煮藝-香滷牛肚絲</t>
  </si>
  <si>
    <t>二配蒸海鮮醬(料)</t>
  </si>
  <si>
    <t>蒸-醬香雞肉絲CL(全)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</si>
  <si>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</si>
  <si>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</si>
  <si>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二配鮮蝦旬彩炊飯飯糰</t>
  </si>
  <si>
    <t>銀鮭美乃滋脆卷</t>
  </si>
  <si>
    <t>壹號醬壽喜燒牛丼</t>
  </si>
  <si>
    <t>煮辣腐乳醬</t>
  </si>
  <si>
    <t>炒壽喜燒牛五花</t>
  </si>
  <si>
    <t>二配鹽蔥燒肉飯糰</t>
  </si>
  <si>
    <t>煮愛恨椒麻湯凍</t>
  </si>
  <si>
    <t>二配煮鐵板豆腐</t>
  </si>
  <si>
    <t>炒蒜香高麗菜</t>
  </si>
  <si>
    <t>二配蒸-全熟雞肉絲CL(升)</t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</si>
  <si>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</si>
  <si>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</si>
  <si>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</si>
  <si>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小黃瓜絲</t>
  </si>
  <si>
    <t>韓式泡菜豬肉豆腐丼飯</t>
  </si>
  <si>
    <t>炒韓式燒肉(115年)</t>
  </si>
  <si>
    <t>半成品糾結，影響放料手感</t>
  </si>
  <si>
    <t>生產前先行將半成品撥散</t>
  </si>
  <si>
    <t>二配溏心蛋五目飯糰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</si>
  <si>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</si>
  <si>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</si>
  <si>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</si>
  <si>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</si>
  <si>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</si>
  <si>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炙燒焦糖培根</t>
  </si>
  <si>
    <t>炒紅K碎蛋</t>
  </si>
  <si>
    <t>香檸奶油魚排蔬滿盒</t>
  </si>
  <si>
    <t>烤照燒雞腿丁</t>
  </si>
  <si>
    <t>二配蒸果香甘口咖哩腿丁</t>
  </si>
  <si>
    <t>二配泰式椰香綠咖哩醬</t>
  </si>
  <si>
    <t>調理加熱製程時間長短，造成最終出料量差異</t>
  </si>
  <si>
    <t>炒黑胡椒豆芽</t>
  </si>
  <si>
    <t>備料異常</t>
  </si>
  <si>
    <t>反應調理課級，連續抽秤備料量是Z否</t>
  </si>
  <si>
    <t>原物料的大小、長短差異導致取樣有不穩定的狀況</t>
  </si>
  <si>
    <t>冰杓放料，冰杓滿度差異、半成品均勻度影響放料量</t>
  </si>
  <si>
    <t>半成品使用前先攪拌均勻。生產前及生產中確認設定及實際放料狀況</t>
  </si>
  <si>
    <t/>
  </si>
  <si>
    <t>雙倍德腸飯卷</t>
  </si>
  <si>
    <t>Q彈燕麥飯</t>
  </si>
  <si>
    <t>二配鹽水G絲飯糰</t>
  </si>
  <si>
    <t>▲</t>
    <phoneticPr fontId="11" type="noConversion"/>
  </si>
  <si>
    <r>
      <rPr>
        <sz val="11"/>
        <color theme="1"/>
        <rFont val="細明體"/>
        <family val="3"/>
        <charset val="136"/>
      </rPr>
      <t>飯糰前五名皆為</t>
    </r>
    <r>
      <rPr>
        <sz val="11"/>
        <color theme="1"/>
        <rFont val="Meiryo UI"/>
        <family val="2"/>
      </rPr>
      <t>GKK</t>
    </r>
    <r>
      <rPr>
        <sz val="11"/>
        <color theme="1"/>
        <rFont val="細明體"/>
        <family val="3"/>
        <charset val="136"/>
      </rPr>
      <t>生產的單餡飯糰，產能及人時生產性差異小。</t>
    </r>
    <phoneticPr fontId="11" type="noConversion"/>
  </si>
  <si>
    <t>▼</t>
    <phoneticPr fontId="11" type="noConversion"/>
  </si>
  <si>
    <t>－</t>
    <phoneticPr fontId="11" type="noConversion"/>
  </si>
  <si>
    <t>更換組別生產，人員熟悉度不足，使用人數多2人，產能及人時生產性對比上週下降。</t>
    <phoneticPr fontId="11" type="noConversion"/>
  </si>
  <si>
    <t>對比上週差異小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</si>
  <si>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</si>
  <si>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</si>
  <si>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</si>
  <si>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</si>
  <si>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</si>
  <si>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4/7開始更換作業模式，由原先捲手卷</t>
    </r>
    <r>
      <rPr>
        <sz val="8"/>
        <color theme="1"/>
        <rFont val="新細明體"/>
        <family val="1"/>
        <charset val="136"/>
      </rPr>
      <t>→切手卷→手卷包膜→手卷入盒封膜</t>
    </r>
    <r>
      <rPr>
        <sz val="8"/>
        <color theme="1"/>
        <rFont val="細明體"/>
        <family val="3"/>
        <charset val="136"/>
      </rPr>
      <t xml:space="preserve"> 一條龍作業</t>
    </r>
    <r>
      <rPr>
        <sz val="8"/>
        <color theme="1"/>
        <rFont val="新細明體"/>
        <family val="1"/>
        <charset val="136"/>
      </rPr>
      <t>，更改為捲手卷→切手卷→手卷包膜→收籃，全數手卷包膜完成，在統一放手卷入盒封膜</t>
    </r>
    <r>
      <rPr>
        <sz val="8"/>
        <color theme="1"/>
        <rFont val="細明體"/>
        <family val="3"/>
        <charset val="136"/>
      </rPr>
      <t xml:space="preserve"> 兩段式作業，對比上週平均產能及人時生產性提升。</t>
    </r>
    <phoneticPr fontId="11" type="noConversion"/>
  </si>
  <si>
    <t>海饌雙手卷</t>
    <phoneticPr fontId="11" type="noConversion"/>
  </si>
  <si>
    <r>
      <rPr>
        <sz val="10"/>
        <color theme="1"/>
        <rFont val="細明體"/>
        <family val="3"/>
        <charset val="136"/>
      </rPr>
      <t>更換組別生產，人員熟悉度不足，</t>
    </r>
    <r>
      <rPr>
        <sz val="10"/>
        <color theme="1"/>
        <rFont val="細明體"/>
        <family val="3"/>
        <charset val="136"/>
      </rPr>
      <t>產能及人時生產性對比上週下降。</t>
    </r>
    <phoneticPr fontId="11" type="noConversion"/>
  </si>
  <si>
    <t>雙倍德腸飯卷</t>
    <phoneticPr fontId="11" type="noConversion"/>
  </si>
  <si>
    <t>當週更換組別生產，人員熟悉度較之前生產組別高，對比上週產能及人時生產性稍微提升。</t>
    <phoneticPr fontId="11" type="noConversion"/>
  </si>
  <si>
    <t>當週更換組別生產，人員熟悉度較之前生產組別低，對比上週產能及人時生產性稍微下降。</t>
    <phoneticPr fontId="11" type="noConversion"/>
  </si>
  <si>
    <t>品項皆為八爪機作業，產能平均，產能及人時生產性差異小。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</si>
  <si>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原因別分析(4/7-4/13)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</si>
  <si>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</si>
  <si>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</si>
  <si>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</si>
  <si>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</si>
  <si>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</si>
  <si>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</si>
  <si>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</si>
  <si>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</si>
  <si>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</si>
  <si>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</si>
  <si>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</si>
  <si>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</si>
  <si>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烤冷凍蒜丁</t>
  </si>
  <si>
    <t>製程不穩</t>
    <phoneticPr fontId="11" type="noConversion"/>
  </si>
  <si>
    <t>確認備料量是否正確，調整出料率</t>
    <phoneticPr fontId="11" type="noConversion"/>
  </si>
  <si>
    <t>二配奶香起司醬</t>
  </si>
  <si>
    <t>增加放料抽秤頻率</t>
    <phoneticPr fontId="11" type="noConversion"/>
  </si>
  <si>
    <t>蒜炒紅K油菜</t>
  </si>
  <si>
    <t>二配炒蒙古肉片</t>
  </si>
  <si>
    <t>二配辛口咖哩豬肉(114年)</t>
  </si>
  <si>
    <t>烤墨西哥雞丁</t>
  </si>
  <si>
    <t>製程報廢</t>
    <phoneticPr fontId="11" type="noConversion"/>
  </si>
  <si>
    <t>切-究極燒肉片</t>
  </si>
  <si>
    <t>煮2024蕎麥麵</t>
  </si>
  <si>
    <t>其他原因</t>
    <phoneticPr fontId="11" type="noConversion"/>
  </si>
  <si>
    <t>單價高</t>
    <phoneticPr fontId="11" type="noConversion"/>
  </si>
  <si>
    <t>超用率</t>
    <phoneticPr fontId="8"/>
  </si>
  <si>
    <t>二配烤鹹蛋黃碎</t>
  </si>
  <si>
    <t>炙燒韓式牛五花</t>
  </si>
  <si>
    <t>蒸鼎泰豐香辣醬</t>
  </si>
  <si>
    <t>賣相設定</t>
    <phoneticPr fontId="11" type="noConversion"/>
  </si>
  <si>
    <t>賣相設定</t>
  </si>
  <si>
    <t>二配熟成紅鮭飯糰</t>
  </si>
  <si>
    <t>二配解凍-紅鮭</t>
  </si>
  <si>
    <t>炒炸醬炒泡麵</t>
  </si>
  <si>
    <t>回饋研發，後續開發列入考量。</t>
    <phoneticPr fontId="11" type="noConversion"/>
  </si>
  <si>
    <t>炸醬炒泡麵</t>
  </si>
  <si>
    <t>冰杓放料，冰杓滿度及半成品均勻度差異</t>
  </si>
  <si>
    <t>確認輔助工具型號，使用前先攪拌均勻。生產前及生產中確認設定及實際放料狀況</t>
  </si>
  <si>
    <t>半成品取樣時候會互相勾結造成放料量不穩定</t>
    <phoneticPr fontId="11" type="noConversion"/>
  </si>
  <si>
    <t>製程報廢</t>
  </si>
  <si>
    <t>回饋研發，後續開發列入考量。</t>
  </si>
  <si>
    <t>二配112年拌鮪魚沙拉</t>
  </si>
  <si>
    <t>半成品殘袋</t>
    <phoneticPr fontId="11" type="noConversion"/>
  </si>
  <si>
    <t>尋找適用的輔助工具，減少殘袋的產生。</t>
    <phoneticPr fontId="11" type="noConversion"/>
  </si>
  <si>
    <t>二配鮪魚飯糰</t>
  </si>
  <si>
    <t>180切-蒸家常豆腐</t>
  </si>
  <si>
    <t>抓料量不穩定</t>
    <phoneticPr fontId="11" type="noConversion"/>
  </si>
  <si>
    <t>二配濃辛辣咖哩醬(114年)</t>
  </si>
  <si>
    <t>(SOHOT)蒜炒紅K高麗菜</t>
  </si>
  <si>
    <t>原物料的大小、長短差異導致取樣有不穩定的狀況</t>
    <phoneticPr fontId="11" type="noConversion"/>
  </si>
  <si>
    <t>製程影響導致出料多，協調生產調整放料量</t>
    <phoneticPr fontId="11" type="noConversion"/>
  </si>
  <si>
    <t>取樣放料時，有半成品沾手的情況，導致放料不穩定</t>
    <phoneticPr fontId="11" type="noConversion"/>
  </si>
  <si>
    <t>拌紅蔥手撕雞</t>
  </si>
  <si>
    <t>W2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</si>
</sst>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8"/>
      <color theme="1"/>
      <name val="細明體"/>
      <family val="3"/>
      <charset val="136"/>
    </font>
    <font>
      <sz val="8"/>
      <color theme="1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879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24" fillId="10" borderId="0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center"/>
    </xf>
    <xf numFmtId="0" fontId="24" fillId="18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179" fontId="108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34" fillId="0" borderId="22" xfId="13" applyNumberFormat="1" applyFont="1" applyFill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6" fillId="0" borderId="4" xfId="0" applyFont="1" applyBorder="1" applyAlignment="1">
      <alignment shrinkToFit="1"/>
    </xf>
    <xf numFmtId="0" fontId="5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09" fillId="0" borderId="31" xfId="0" applyFont="1" applyBorder="1" applyAlignment="1">
      <alignment horizontal="center" vertical="center" wrapText="1" shrinkToFit="1"/>
    </xf>
    <xf numFmtId="0" fontId="109" fillId="0" borderId="32" xfId="0" applyFont="1" applyBorder="1" applyAlignment="1">
      <alignment horizontal="center" vertical="center" wrapText="1" shrinkToFit="1"/>
    </xf>
    <xf numFmtId="0" fontId="109" fillId="0" borderId="35" xfId="0" applyFont="1" applyBorder="1" applyAlignment="1">
      <alignment horizontal="center" vertical="center" wrapText="1" shrinkToFit="1"/>
    </xf>
    <xf numFmtId="0" fontId="109" fillId="0" borderId="36" xfId="0" applyFont="1" applyBorder="1" applyAlignment="1">
      <alignment horizontal="center" vertical="center" wrapText="1" shrinkToFit="1"/>
    </xf>
    <xf numFmtId="0" fontId="52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20" fillId="0" borderId="22" xfId="0" applyFont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shrinkToFit="1"/>
    </xf>
    <xf numFmtId="0" fontId="20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0" borderId="3" xfId="0" applyFont="1" applyBorder="1" applyAlignment="1">
      <alignment horizontal="center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36" fillId="5" borderId="22" xfId="15" applyFont="1" applyFill="1" applyBorder="1" applyAlignment="1">
      <alignment horizontal="center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51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65" t="s">
        <v>12</v>
      </c>
      <c r="D21" s="548"/>
      <c r="E21" s="541"/>
      <c r="F21" s="50" t="s">
        <v>46</v>
      </c>
      <c r="G21" s="50" t="s">
        <v>48</v>
      </c>
      <c r="H21" s="50" t="s">
        <v>49</v>
      </c>
      <c r="I21" s="8" t="s">
        <v>13</v>
      </c>
      <c r="J21" s="557" t="s">
        <v>51</v>
      </c>
      <c r="K21" s="541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40" t="s">
        <v>14</v>
      </c>
      <c r="D22" s="548"/>
      <c r="E22" s="541"/>
      <c r="F22" s="4">
        <v>3</v>
      </c>
      <c r="G22" s="4">
        <v>3000</v>
      </c>
      <c r="H22" s="4">
        <v>1000</v>
      </c>
      <c r="I22" s="4">
        <v>10</v>
      </c>
      <c r="J22" s="547" t="s">
        <v>76</v>
      </c>
      <c r="K22" s="541"/>
      <c r="M22" s="53" t="s">
        <v>26</v>
      </c>
      <c r="N22" s="58" t="s">
        <v>47</v>
      </c>
      <c r="O22" s="553" t="s">
        <v>12</v>
      </c>
      <c r="P22" s="548"/>
      <c r="Q22" s="541"/>
      <c r="R22" s="559" t="s">
        <v>53</v>
      </c>
      <c r="S22" s="548"/>
      <c r="T22" s="541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57" t="s">
        <v>51</v>
      </c>
      <c r="AA22" s="541"/>
    </row>
    <row r="23" spans="1:27" ht="15.75" customHeight="1">
      <c r="A23" s="23"/>
      <c r="B23" s="6">
        <v>2</v>
      </c>
      <c r="C23" s="562"/>
      <c r="D23" s="548"/>
      <c r="E23" s="541"/>
      <c r="F23" s="4"/>
      <c r="G23" s="4"/>
      <c r="H23" s="4"/>
      <c r="I23" s="4"/>
      <c r="J23" s="562"/>
      <c r="K23" s="541"/>
      <c r="M23" s="57" t="s">
        <v>42</v>
      </c>
      <c r="N23" s="24">
        <v>1</v>
      </c>
      <c r="O23" s="547" t="s">
        <v>82</v>
      </c>
      <c r="P23" s="548"/>
      <c r="Q23" s="541"/>
      <c r="R23" s="547" t="s">
        <v>85</v>
      </c>
      <c r="S23" s="548"/>
      <c r="T23" s="541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47" t="s">
        <v>86</v>
      </c>
      <c r="AA23" s="541"/>
    </row>
    <row r="24" spans="1:27" ht="15.75" customHeight="1">
      <c r="A24" s="23"/>
      <c r="B24" s="6">
        <v>3</v>
      </c>
      <c r="C24" s="562"/>
      <c r="D24" s="548"/>
      <c r="E24" s="541"/>
      <c r="F24" s="4"/>
      <c r="G24" s="4"/>
      <c r="H24" s="4"/>
      <c r="I24" s="4"/>
      <c r="J24" s="562"/>
      <c r="K24" s="541"/>
      <c r="M24" s="25"/>
      <c r="N24" s="24">
        <v>2</v>
      </c>
      <c r="O24" s="540"/>
      <c r="P24" s="548"/>
      <c r="Q24" s="541"/>
      <c r="R24" s="540"/>
      <c r="S24" s="548"/>
      <c r="T24" s="541"/>
      <c r="U24" s="4"/>
      <c r="V24" s="14"/>
      <c r="W24" s="4"/>
      <c r="X24" s="16">
        <f>W24*U24</f>
        <v>0</v>
      </c>
      <c r="Y24" s="4"/>
      <c r="Z24" s="540"/>
      <c r="AA24" s="541"/>
    </row>
    <row r="25" spans="1:27" ht="15.75" customHeight="1">
      <c r="A25" s="23"/>
      <c r="B25" s="6">
        <v>4</v>
      </c>
      <c r="C25" s="562"/>
      <c r="D25" s="548"/>
      <c r="E25" s="541"/>
      <c r="F25" s="4"/>
      <c r="G25" s="4"/>
      <c r="H25" s="4"/>
      <c r="I25" s="4"/>
      <c r="J25" s="562"/>
      <c r="K25" s="541"/>
      <c r="M25" s="25"/>
      <c r="N25" s="24">
        <v>3</v>
      </c>
      <c r="O25" s="540"/>
      <c r="P25" s="548"/>
      <c r="Q25" s="541"/>
      <c r="R25" s="540"/>
      <c r="S25" s="548"/>
      <c r="T25" s="541"/>
      <c r="U25" s="4"/>
      <c r="V25" s="14"/>
      <c r="W25" s="4"/>
      <c r="X25" s="16">
        <f>W25*U25</f>
        <v>0</v>
      </c>
      <c r="Y25" s="4"/>
      <c r="Z25" s="540"/>
      <c r="AA25" s="541"/>
    </row>
    <row r="26" spans="1:27" ht="15.75" customHeight="1">
      <c r="A26" s="23"/>
      <c r="B26" s="26">
        <v>5</v>
      </c>
      <c r="C26" s="566"/>
      <c r="D26" s="549"/>
      <c r="E26" s="543"/>
      <c r="F26" s="27"/>
      <c r="G26" s="27"/>
      <c r="H26" s="27"/>
      <c r="I26" s="27"/>
      <c r="J26" s="566"/>
      <c r="K26" s="543"/>
      <c r="M26" s="25"/>
      <c r="N26" s="24">
        <v>4</v>
      </c>
      <c r="O26" s="540"/>
      <c r="P26" s="548"/>
      <c r="Q26" s="541"/>
      <c r="R26" s="540"/>
      <c r="S26" s="548"/>
      <c r="T26" s="541"/>
      <c r="U26" s="4"/>
      <c r="V26" s="14"/>
      <c r="W26" s="4"/>
      <c r="X26" s="16">
        <f>W26*U26</f>
        <v>0</v>
      </c>
      <c r="Y26" s="4"/>
      <c r="Z26" s="540"/>
      <c r="AA26" s="541"/>
    </row>
    <row r="27" spans="1:27" ht="15.75" customHeight="1">
      <c r="A27" s="23"/>
      <c r="B27" s="70" t="s">
        <v>101</v>
      </c>
      <c r="C27" s="550" t="s">
        <v>75</v>
      </c>
      <c r="D27" s="551"/>
      <c r="E27" s="552"/>
      <c r="F27" s="28">
        <v>4</v>
      </c>
      <c r="G27" s="28">
        <v>2800</v>
      </c>
      <c r="H27" s="28">
        <v>700</v>
      </c>
      <c r="I27" s="28" t="s">
        <v>15</v>
      </c>
      <c r="J27" s="550" t="s">
        <v>77</v>
      </c>
      <c r="K27" s="552"/>
      <c r="M27" s="25"/>
      <c r="N27" s="29">
        <v>5</v>
      </c>
      <c r="O27" s="542"/>
      <c r="P27" s="549"/>
      <c r="Q27" s="543"/>
      <c r="R27" s="542"/>
      <c r="S27" s="549"/>
      <c r="T27" s="543"/>
      <c r="U27" s="27"/>
      <c r="V27" s="30"/>
      <c r="W27" s="27"/>
      <c r="X27" s="31">
        <f>W27*U27</f>
        <v>0</v>
      </c>
      <c r="Y27" s="4"/>
      <c r="Z27" s="542"/>
      <c r="AA27" s="543"/>
    </row>
    <row r="28" spans="1:27" ht="15.75" customHeight="1">
      <c r="A28" s="23"/>
      <c r="B28" s="71" t="s">
        <v>102</v>
      </c>
      <c r="C28" s="562"/>
      <c r="D28" s="548"/>
      <c r="E28" s="541"/>
      <c r="F28" s="4"/>
      <c r="G28" s="4"/>
      <c r="H28" s="4"/>
      <c r="I28" s="4"/>
      <c r="J28" s="562"/>
      <c r="K28" s="541"/>
      <c r="M28" s="32"/>
      <c r="N28" s="56"/>
      <c r="O28" s="544"/>
      <c r="P28" s="548"/>
      <c r="Q28" s="548"/>
      <c r="R28" s="544"/>
      <c r="S28" s="548"/>
      <c r="T28" s="548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44"/>
      <c r="AA28" s="541"/>
    </row>
    <row r="29" spans="1:27" ht="15.75" customHeight="1">
      <c r="A29" s="23"/>
      <c r="B29" s="71" t="s">
        <v>100</v>
      </c>
      <c r="C29" s="562"/>
      <c r="D29" s="548"/>
      <c r="E29" s="541"/>
      <c r="F29" s="4"/>
      <c r="G29" s="4"/>
      <c r="H29" s="4"/>
      <c r="I29" s="4"/>
      <c r="J29" s="562"/>
      <c r="K29" s="541"/>
      <c r="M29" s="57" t="s">
        <v>43</v>
      </c>
      <c r="N29" s="24">
        <v>1</v>
      </c>
      <c r="O29" s="563" t="s">
        <v>16</v>
      </c>
      <c r="P29" s="564"/>
      <c r="Q29" s="546"/>
      <c r="R29" s="545" t="s">
        <v>87</v>
      </c>
      <c r="S29" s="564"/>
      <c r="T29" s="546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45" t="s">
        <v>88</v>
      </c>
      <c r="AA29" s="546"/>
    </row>
    <row r="30" spans="1:27" ht="15.75" customHeight="1">
      <c r="A30" s="23"/>
      <c r="B30" s="71" t="s">
        <v>99</v>
      </c>
      <c r="C30" s="562"/>
      <c r="D30" s="548"/>
      <c r="E30" s="541"/>
      <c r="F30" s="4"/>
      <c r="G30" s="4"/>
      <c r="H30" s="4"/>
      <c r="I30" s="4"/>
      <c r="J30" s="562"/>
      <c r="K30" s="541"/>
      <c r="M30" s="25"/>
      <c r="N30" s="24">
        <v>2</v>
      </c>
      <c r="O30" s="540"/>
      <c r="P30" s="548"/>
      <c r="Q30" s="541"/>
      <c r="R30" s="540"/>
      <c r="S30" s="548"/>
      <c r="T30" s="541"/>
      <c r="U30" s="4"/>
      <c r="V30" s="14"/>
      <c r="W30" s="4"/>
      <c r="X30" s="16">
        <f>W30*U30</f>
        <v>0</v>
      </c>
      <c r="Y30" s="4"/>
      <c r="Z30" s="540"/>
      <c r="AA30" s="541"/>
    </row>
    <row r="31" spans="1:27" ht="15.75" customHeight="1">
      <c r="A31" s="20"/>
      <c r="B31" s="71" t="s">
        <v>103</v>
      </c>
      <c r="C31" s="562"/>
      <c r="D31" s="548"/>
      <c r="E31" s="541"/>
      <c r="F31" s="4"/>
      <c r="G31" s="4"/>
      <c r="H31" s="4"/>
      <c r="I31" s="4"/>
      <c r="J31" s="562"/>
      <c r="K31" s="541"/>
      <c r="M31" s="25"/>
      <c r="N31" s="24">
        <v>3</v>
      </c>
      <c r="O31" s="540"/>
      <c r="P31" s="548"/>
      <c r="Q31" s="541"/>
      <c r="R31" s="540"/>
      <c r="S31" s="548"/>
      <c r="T31" s="541"/>
      <c r="U31" s="4"/>
      <c r="V31" s="14"/>
      <c r="W31" s="4"/>
      <c r="X31" s="16">
        <f>W31*U31</f>
        <v>0</v>
      </c>
      <c r="Y31" s="4"/>
      <c r="Z31" s="540"/>
      <c r="AA31" s="541"/>
    </row>
    <row r="32" spans="1:27" ht="15.75" customHeight="1">
      <c r="A32" s="68"/>
      <c r="M32" s="25"/>
      <c r="N32" s="24">
        <v>4</v>
      </c>
      <c r="O32" s="540"/>
      <c r="P32" s="548"/>
      <c r="Q32" s="541"/>
      <c r="R32" s="540"/>
      <c r="S32" s="548"/>
      <c r="T32" s="541"/>
      <c r="U32" s="4"/>
      <c r="V32" s="14"/>
      <c r="W32" s="4"/>
      <c r="X32" s="16">
        <f>W32*U32</f>
        <v>0</v>
      </c>
      <c r="Y32" s="4"/>
      <c r="Z32" s="540"/>
      <c r="AA32" s="541"/>
    </row>
    <row r="33" spans="1:27" ht="15.75" customHeight="1">
      <c r="A33" s="18"/>
      <c r="B33" s="50" t="s">
        <v>47</v>
      </c>
      <c r="C33" s="565" t="s">
        <v>12</v>
      </c>
      <c r="D33" s="548"/>
      <c r="E33" s="541"/>
      <c r="F33" s="50" t="s">
        <v>46</v>
      </c>
      <c r="G33" s="50" t="s">
        <v>48</v>
      </c>
      <c r="H33" s="50" t="s">
        <v>49</v>
      </c>
      <c r="I33" s="8" t="s">
        <v>13</v>
      </c>
      <c r="J33" s="557" t="s">
        <v>51</v>
      </c>
      <c r="K33" s="541"/>
      <c r="M33" s="25"/>
      <c r="N33" s="29">
        <v>5</v>
      </c>
      <c r="O33" s="540"/>
      <c r="P33" s="548"/>
      <c r="Q33" s="541"/>
      <c r="R33" s="540"/>
      <c r="S33" s="548"/>
      <c r="T33" s="541"/>
      <c r="U33" s="27"/>
      <c r="V33" s="30"/>
      <c r="W33" s="27"/>
      <c r="X33" s="31">
        <f>W33*U33</f>
        <v>0</v>
      </c>
      <c r="Y33" s="4"/>
      <c r="Z33" s="540"/>
      <c r="AA33" s="541"/>
    </row>
    <row r="34" spans="1:27" ht="15.75" customHeight="1">
      <c r="A34" s="53" t="s">
        <v>35</v>
      </c>
      <c r="B34" s="6">
        <v>1</v>
      </c>
      <c r="C34" s="547" t="s">
        <v>79</v>
      </c>
      <c r="D34" s="548"/>
      <c r="E34" s="541"/>
      <c r="F34" s="4">
        <v>3</v>
      </c>
      <c r="G34" s="4">
        <v>2500</v>
      </c>
      <c r="H34" s="4">
        <v>833.33</v>
      </c>
      <c r="I34" s="4">
        <v>20</v>
      </c>
      <c r="J34" s="547" t="s">
        <v>78</v>
      </c>
      <c r="K34" s="541"/>
      <c r="M34" s="69"/>
      <c r="N34" s="45"/>
      <c r="O34" s="544"/>
      <c r="P34" s="548"/>
      <c r="Q34" s="548"/>
      <c r="R34" s="544"/>
      <c r="S34" s="548"/>
      <c r="T34" s="548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44"/>
      <c r="AA34" s="541"/>
    </row>
    <row r="35" spans="1:27" ht="15.75" customHeight="1">
      <c r="A35" s="23"/>
      <c r="B35" s="6">
        <v>2</v>
      </c>
      <c r="C35" s="540"/>
      <c r="D35" s="548"/>
      <c r="E35" s="541"/>
      <c r="F35" s="4"/>
      <c r="G35" s="4"/>
      <c r="H35" s="4"/>
      <c r="I35" s="4"/>
      <c r="J35" s="540"/>
      <c r="K35" s="541"/>
      <c r="M35" s="1"/>
      <c r="N35" s="1"/>
      <c r="O35" s="555"/>
      <c r="P35" s="556"/>
      <c r="Q35" s="556"/>
      <c r="R35" s="555"/>
      <c r="S35" s="556"/>
      <c r="T35" s="556"/>
      <c r="U35" s="1"/>
      <c r="V35" s="38"/>
      <c r="W35" s="1"/>
      <c r="X35" s="1"/>
      <c r="Y35" s="555"/>
      <c r="Z35" s="556"/>
      <c r="AA35" s="556"/>
    </row>
    <row r="36" spans="1:27" ht="15.75" customHeight="1">
      <c r="A36" s="23"/>
      <c r="B36" s="6">
        <v>3</v>
      </c>
      <c r="C36" s="540"/>
      <c r="D36" s="548"/>
      <c r="E36" s="541"/>
      <c r="F36" s="4"/>
      <c r="G36" s="4"/>
      <c r="H36" s="4"/>
      <c r="I36" s="4"/>
      <c r="J36" s="540"/>
      <c r="K36" s="541"/>
      <c r="M36" s="53" t="s">
        <v>27</v>
      </c>
      <c r="N36" s="58" t="s">
        <v>47</v>
      </c>
      <c r="O36" s="553" t="s">
        <v>12</v>
      </c>
      <c r="P36" s="544"/>
      <c r="Q36" s="554"/>
      <c r="R36" s="559" t="s">
        <v>53</v>
      </c>
      <c r="S36" s="560"/>
      <c r="T36" s="561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57" t="s">
        <v>51</v>
      </c>
      <c r="AA36" s="558"/>
    </row>
    <row r="37" spans="1:27" ht="15.75" customHeight="1">
      <c r="A37" s="23"/>
      <c r="B37" s="6">
        <v>4</v>
      </c>
      <c r="C37" s="540"/>
      <c r="D37" s="548"/>
      <c r="E37" s="541"/>
      <c r="F37" s="4"/>
      <c r="G37" s="4"/>
      <c r="H37" s="4"/>
      <c r="I37" s="4"/>
      <c r="J37" s="540"/>
      <c r="K37" s="541"/>
      <c r="M37" s="57" t="s">
        <v>42</v>
      </c>
      <c r="N37" s="24">
        <v>1</v>
      </c>
      <c r="O37" s="547" t="s">
        <v>89</v>
      </c>
      <c r="P37" s="548"/>
      <c r="Q37" s="541"/>
      <c r="R37" s="547" t="s">
        <v>90</v>
      </c>
      <c r="S37" s="548"/>
      <c r="T37" s="541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47" t="s">
        <v>91</v>
      </c>
      <c r="AA37" s="541"/>
    </row>
    <row r="38" spans="1:27" ht="15.75" customHeight="1">
      <c r="A38" s="23"/>
      <c r="B38" s="26">
        <v>5</v>
      </c>
      <c r="C38" s="542"/>
      <c r="D38" s="549"/>
      <c r="E38" s="543"/>
      <c r="F38" s="27"/>
      <c r="G38" s="27"/>
      <c r="H38" s="27"/>
      <c r="I38" s="27"/>
      <c r="J38" s="542"/>
      <c r="K38" s="543"/>
      <c r="M38" s="25"/>
      <c r="N38" s="24">
        <v>2</v>
      </c>
      <c r="O38" s="540"/>
      <c r="P38" s="548"/>
      <c r="Q38" s="541"/>
      <c r="R38" s="540"/>
      <c r="S38" s="548"/>
      <c r="T38" s="541"/>
      <c r="U38" s="4"/>
      <c r="V38" s="14"/>
      <c r="W38" s="4"/>
      <c r="X38" s="16">
        <f>W38*U38</f>
        <v>0</v>
      </c>
      <c r="Y38" s="4"/>
      <c r="Z38" s="540"/>
      <c r="AA38" s="541"/>
    </row>
    <row r="39" spans="1:27" ht="14.25">
      <c r="A39" s="23"/>
      <c r="B39" s="70" t="s">
        <v>101</v>
      </c>
      <c r="C39" s="550" t="s">
        <v>80</v>
      </c>
      <c r="D39" s="551"/>
      <c r="E39" s="552"/>
      <c r="F39" s="28">
        <v>7</v>
      </c>
      <c r="G39" s="28">
        <v>2200</v>
      </c>
      <c r="H39" s="28">
        <v>314.29000000000002</v>
      </c>
      <c r="I39" s="28">
        <v>-15</v>
      </c>
      <c r="J39" s="550" t="s">
        <v>81</v>
      </c>
      <c r="K39" s="552"/>
      <c r="M39" s="25"/>
      <c r="N39" s="24">
        <v>3</v>
      </c>
      <c r="O39" s="540"/>
      <c r="P39" s="548"/>
      <c r="Q39" s="541"/>
      <c r="R39" s="540"/>
      <c r="S39" s="548"/>
      <c r="T39" s="541"/>
      <c r="U39" s="4"/>
      <c r="V39" s="14"/>
      <c r="W39" s="4"/>
      <c r="X39" s="16">
        <f>W39*U39</f>
        <v>0</v>
      </c>
      <c r="Y39" s="4"/>
      <c r="Z39" s="540"/>
      <c r="AA39" s="541"/>
    </row>
    <row r="40" spans="1:27" ht="14.25">
      <c r="A40" s="23"/>
      <c r="B40" s="71" t="s">
        <v>102</v>
      </c>
      <c r="C40" s="540"/>
      <c r="D40" s="548"/>
      <c r="E40" s="541"/>
      <c r="F40" s="4"/>
      <c r="G40" s="4"/>
      <c r="H40" s="4"/>
      <c r="I40" s="4"/>
      <c r="J40" s="540"/>
      <c r="K40" s="541"/>
      <c r="M40" s="25"/>
      <c r="N40" s="24">
        <v>4</v>
      </c>
      <c r="O40" s="540"/>
      <c r="P40" s="548"/>
      <c r="Q40" s="541"/>
      <c r="R40" s="540"/>
      <c r="S40" s="548"/>
      <c r="T40" s="541"/>
      <c r="U40" s="4"/>
      <c r="V40" s="14"/>
      <c r="W40" s="4"/>
      <c r="X40" s="16">
        <f>W40*U40</f>
        <v>0</v>
      </c>
      <c r="Y40" s="4"/>
      <c r="Z40" s="540"/>
      <c r="AA40" s="541"/>
    </row>
    <row r="41" spans="1:27" ht="14.25">
      <c r="A41" s="23"/>
      <c r="B41" s="71" t="s">
        <v>100</v>
      </c>
      <c r="C41" s="540"/>
      <c r="D41" s="548"/>
      <c r="E41" s="541"/>
      <c r="F41" s="4"/>
      <c r="G41" s="4"/>
      <c r="H41" s="4"/>
      <c r="I41" s="4"/>
      <c r="J41" s="540"/>
      <c r="K41" s="541"/>
      <c r="M41" s="25"/>
      <c r="N41" s="29">
        <v>5</v>
      </c>
      <c r="O41" s="542"/>
      <c r="P41" s="549"/>
      <c r="Q41" s="543"/>
      <c r="R41" s="542"/>
      <c r="S41" s="549"/>
      <c r="T41" s="543"/>
      <c r="U41" s="27"/>
      <c r="V41" s="30"/>
      <c r="W41" s="27"/>
      <c r="X41" s="31">
        <f>W41*U41</f>
        <v>0</v>
      </c>
      <c r="Y41" s="4"/>
      <c r="Z41" s="540"/>
      <c r="AA41" s="541"/>
    </row>
    <row r="42" spans="1:27" ht="14.25">
      <c r="A42" s="23"/>
      <c r="B42" s="71" t="s">
        <v>99</v>
      </c>
      <c r="C42" s="540"/>
      <c r="D42" s="548"/>
      <c r="E42" s="541"/>
      <c r="F42" s="4"/>
      <c r="G42" s="4"/>
      <c r="H42" s="4"/>
      <c r="I42" s="4"/>
      <c r="J42" s="540"/>
      <c r="K42" s="541"/>
      <c r="M42" s="32"/>
      <c r="N42" s="55"/>
      <c r="O42" s="544"/>
      <c r="P42" s="548"/>
      <c r="Q42" s="548"/>
      <c r="R42" s="544"/>
      <c r="S42" s="548"/>
      <c r="T42" s="548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44"/>
      <c r="AA42" s="541"/>
    </row>
    <row r="43" spans="1:27" ht="14.25">
      <c r="A43" s="20"/>
      <c r="B43" s="71" t="s">
        <v>103</v>
      </c>
      <c r="C43" s="540"/>
      <c r="D43" s="548"/>
      <c r="E43" s="541"/>
      <c r="F43" s="4"/>
      <c r="G43" s="4"/>
      <c r="H43" s="4"/>
      <c r="I43" s="4"/>
      <c r="J43" s="540"/>
      <c r="K43" s="541"/>
      <c r="M43" s="57" t="s">
        <v>43</v>
      </c>
      <c r="N43" s="24">
        <v>1</v>
      </c>
      <c r="O43" s="547" t="s">
        <v>89</v>
      </c>
      <c r="P43" s="548"/>
      <c r="Q43" s="541"/>
      <c r="R43" s="545" t="s">
        <v>93</v>
      </c>
      <c r="S43" s="564"/>
      <c r="T43" s="546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47" t="s">
        <v>92</v>
      </c>
      <c r="AA43" s="541"/>
    </row>
    <row r="44" spans="1:27" ht="14.25">
      <c r="A44" s="68"/>
      <c r="M44" s="25"/>
      <c r="N44" s="24">
        <v>2</v>
      </c>
      <c r="O44" s="540"/>
      <c r="P44" s="548"/>
      <c r="Q44" s="541"/>
      <c r="R44" s="540"/>
      <c r="S44" s="548"/>
      <c r="T44" s="541"/>
      <c r="U44" s="4"/>
      <c r="V44" s="14"/>
      <c r="W44" s="4"/>
      <c r="X44" s="37">
        <f>W44*U44</f>
        <v>0</v>
      </c>
      <c r="Y44" s="4"/>
      <c r="Z44" s="540"/>
      <c r="AA44" s="541"/>
    </row>
    <row r="45" spans="1:27" ht="14.25">
      <c r="A45" s="18"/>
      <c r="B45" s="50" t="s">
        <v>47</v>
      </c>
      <c r="C45" s="565" t="s">
        <v>12</v>
      </c>
      <c r="D45" s="548"/>
      <c r="E45" s="541"/>
      <c r="F45" s="50" t="s">
        <v>46</v>
      </c>
      <c r="G45" s="50" t="s">
        <v>48</v>
      </c>
      <c r="H45" s="50" t="s">
        <v>49</v>
      </c>
      <c r="I45" s="8" t="s">
        <v>13</v>
      </c>
      <c r="J45" s="557" t="s">
        <v>51</v>
      </c>
      <c r="K45" s="541"/>
      <c r="M45" s="25"/>
      <c r="N45" s="24">
        <v>3</v>
      </c>
      <c r="O45" s="540"/>
      <c r="P45" s="548"/>
      <c r="Q45" s="541"/>
      <c r="R45" s="540"/>
      <c r="S45" s="548"/>
      <c r="T45" s="541"/>
      <c r="U45" s="4"/>
      <c r="V45" s="14"/>
      <c r="W45" s="4"/>
      <c r="X45" s="37">
        <f>W45*U45</f>
        <v>0</v>
      </c>
      <c r="Y45" s="4"/>
      <c r="Z45" s="540"/>
      <c r="AA45" s="541"/>
    </row>
    <row r="46" spans="1:27" ht="14.25">
      <c r="A46" s="53" t="s">
        <v>36</v>
      </c>
      <c r="B46" s="6">
        <v>1</v>
      </c>
      <c r="C46" s="547" t="s">
        <v>82</v>
      </c>
      <c r="D46" s="548"/>
      <c r="E46" s="541"/>
      <c r="F46" s="4">
        <v>15</v>
      </c>
      <c r="G46" s="4">
        <v>1200</v>
      </c>
      <c r="H46" s="4">
        <v>80</v>
      </c>
      <c r="I46" s="4">
        <v>5</v>
      </c>
      <c r="J46" s="547" t="s">
        <v>83</v>
      </c>
      <c r="K46" s="541"/>
      <c r="M46" s="25"/>
      <c r="N46" s="24">
        <v>4</v>
      </c>
      <c r="O46" s="540"/>
      <c r="P46" s="548"/>
      <c r="Q46" s="541"/>
      <c r="R46" s="540"/>
      <c r="S46" s="548"/>
      <c r="T46" s="541"/>
      <c r="U46" s="4"/>
      <c r="V46" s="14"/>
      <c r="W46" s="4"/>
      <c r="X46" s="37">
        <f>W46*U46</f>
        <v>0</v>
      </c>
      <c r="Y46" s="4"/>
      <c r="Z46" s="540"/>
      <c r="AA46" s="541"/>
    </row>
    <row r="47" spans="1:27" ht="14.25">
      <c r="A47" s="23"/>
      <c r="B47" s="6">
        <v>2</v>
      </c>
      <c r="C47" s="540"/>
      <c r="D47" s="548"/>
      <c r="E47" s="541"/>
      <c r="F47" s="4"/>
      <c r="G47" s="4"/>
      <c r="H47" s="4"/>
      <c r="I47" s="4"/>
      <c r="J47" s="540"/>
      <c r="K47" s="541"/>
      <c r="M47" s="25"/>
      <c r="N47" s="29">
        <v>5</v>
      </c>
      <c r="O47" s="540"/>
      <c r="P47" s="548"/>
      <c r="Q47" s="541"/>
      <c r="R47" s="540"/>
      <c r="S47" s="548"/>
      <c r="T47" s="541"/>
      <c r="U47" s="27"/>
      <c r="V47" s="30"/>
      <c r="W47" s="27"/>
      <c r="X47" s="40">
        <f>W47*U47</f>
        <v>0</v>
      </c>
      <c r="Y47" s="4"/>
      <c r="Z47" s="540"/>
      <c r="AA47" s="541"/>
    </row>
    <row r="48" spans="1:27" ht="14.25">
      <c r="A48" s="23"/>
      <c r="B48" s="6">
        <v>3</v>
      </c>
      <c r="C48" s="540"/>
      <c r="D48" s="548"/>
      <c r="E48" s="541"/>
      <c r="F48" s="4"/>
      <c r="G48" s="4"/>
      <c r="H48" s="4"/>
      <c r="I48" s="4"/>
      <c r="J48" s="540"/>
      <c r="K48" s="541"/>
      <c r="M48" s="69"/>
      <c r="N48" s="45"/>
      <c r="O48" s="544"/>
      <c r="P48" s="548"/>
      <c r="Q48" s="548"/>
      <c r="R48" s="544"/>
      <c r="S48" s="548"/>
      <c r="T48" s="548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44"/>
      <c r="AA48" s="541"/>
    </row>
    <row r="49" spans="1:27" ht="14.25">
      <c r="A49" s="23"/>
      <c r="B49" s="6">
        <v>4</v>
      </c>
      <c r="C49" s="540"/>
      <c r="D49" s="548"/>
      <c r="E49" s="541"/>
      <c r="F49" s="4"/>
      <c r="G49" s="4"/>
      <c r="H49" s="4"/>
      <c r="I49" s="4"/>
      <c r="J49" s="540"/>
      <c r="K49" s="541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42"/>
      <c r="D50" s="549"/>
      <c r="E50" s="543"/>
      <c r="F50" s="27"/>
      <c r="G50" s="27"/>
      <c r="H50" s="27"/>
      <c r="I50" s="27"/>
      <c r="J50" s="542"/>
      <c r="K50" s="543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50" t="s">
        <v>89</v>
      </c>
      <c r="D51" s="551"/>
      <c r="E51" s="552"/>
      <c r="F51" s="28">
        <v>18</v>
      </c>
      <c r="G51" s="28">
        <v>800</v>
      </c>
      <c r="H51" s="28">
        <v>44.44</v>
      </c>
      <c r="I51" s="28">
        <v>-15</v>
      </c>
      <c r="J51" s="550" t="s">
        <v>84</v>
      </c>
      <c r="K51" s="552"/>
      <c r="M51" s="8"/>
      <c r="N51" s="8" t="s">
        <v>18</v>
      </c>
      <c r="O51" s="553" t="s">
        <v>12</v>
      </c>
      <c r="P51" s="544"/>
      <c r="Q51" s="554"/>
      <c r="R51" s="559" t="s">
        <v>53</v>
      </c>
      <c r="S51" s="560"/>
      <c r="T51" s="561"/>
      <c r="U51" s="58" t="s">
        <v>54</v>
      </c>
      <c r="V51" s="39" t="s">
        <v>19</v>
      </c>
      <c r="W51" s="58" t="s">
        <v>57</v>
      </c>
      <c r="X51" s="8" t="s">
        <v>2</v>
      </c>
      <c r="Y51" s="553" t="s">
        <v>50</v>
      </c>
      <c r="Z51" s="544"/>
      <c r="AA51" s="554"/>
    </row>
    <row r="52" spans="1:27" ht="14.25">
      <c r="A52" s="23"/>
      <c r="B52" s="71" t="s">
        <v>102</v>
      </c>
      <c r="C52" s="540"/>
      <c r="D52" s="548"/>
      <c r="E52" s="541"/>
      <c r="F52" s="4"/>
      <c r="G52" s="4"/>
      <c r="H52" s="4"/>
      <c r="I52" s="4"/>
      <c r="J52" s="540"/>
      <c r="K52" s="541"/>
      <c r="M52" s="57" t="s">
        <v>42</v>
      </c>
      <c r="N52" s="24">
        <v>1</v>
      </c>
      <c r="O52" s="547" t="s">
        <v>89</v>
      </c>
      <c r="P52" s="548"/>
      <c r="Q52" s="541"/>
      <c r="R52" s="545" t="s">
        <v>93</v>
      </c>
      <c r="S52" s="564"/>
      <c r="T52" s="546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47" t="s">
        <v>97</v>
      </c>
      <c r="Z52" s="548"/>
      <c r="AA52" s="541"/>
    </row>
    <row r="53" spans="1:27" ht="14.25">
      <c r="A53" s="23"/>
      <c r="B53" s="71" t="s">
        <v>100</v>
      </c>
      <c r="C53" s="540"/>
      <c r="D53" s="548"/>
      <c r="E53" s="541"/>
      <c r="F53" s="4"/>
      <c r="G53" s="4"/>
      <c r="H53" s="4"/>
      <c r="I53" s="4"/>
      <c r="J53" s="540"/>
      <c r="K53" s="541"/>
      <c r="M53" s="25"/>
      <c r="N53" s="29">
        <v>2</v>
      </c>
      <c r="O53" s="542"/>
      <c r="P53" s="549"/>
      <c r="Q53" s="543"/>
      <c r="R53" s="542"/>
      <c r="S53" s="549"/>
      <c r="T53" s="543"/>
      <c r="U53" s="27"/>
      <c r="V53" s="30"/>
      <c r="W53" s="30"/>
      <c r="X53" s="41">
        <f>W53-V53</f>
        <v>0</v>
      </c>
      <c r="Y53" s="542"/>
      <c r="Z53" s="549"/>
      <c r="AA53" s="543"/>
    </row>
    <row r="54" spans="1:27" ht="14.25">
      <c r="A54" s="23"/>
      <c r="B54" s="71" t="s">
        <v>99</v>
      </c>
      <c r="C54" s="540"/>
      <c r="D54" s="548"/>
      <c r="E54" s="541"/>
      <c r="F54" s="4"/>
      <c r="G54" s="4"/>
      <c r="H54" s="4"/>
      <c r="I54" s="4"/>
      <c r="J54" s="540"/>
      <c r="K54" s="541"/>
      <c r="M54" s="57" t="s">
        <v>43</v>
      </c>
      <c r="N54" s="42">
        <v>1</v>
      </c>
      <c r="O54" s="550" t="s">
        <v>94</v>
      </c>
      <c r="P54" s="551"/>
      <c r="Q54" s="552"/>
      <c r="R54" s="550" t="s">
        <v>95</v>
      </c>
      <c r="S54" s="551"/>
      <c r="T54" s="55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50" t="s">
        <v>96</v>
      </c>
      <c r="Z54" s="551"/>
      <c r="AA54" s="552"/>
    </row>
    <row r="55" spans="1:27" ht="14.25">
      <c r="A55" s="20"/>
      <c r="B55" s="71" t="s">
        <v>103</v>
      </c>
      <c r="C55" s="540"/>
      <c r="D55" s="548"/>
      <c r="E55" s="541"/>
      <c r="F55" s="4"/>
      <c r="G55" s="4"/>
      <c r="H55" s="4"/>
      <c r="I55" s="4"/>
      <c r="J55" s="540"/>
      <c r="K55" s="541"/>
      <c r="M55" s="22"/>
      <c r="N55" s="24">
        <v>2</v>
      </c>
      <c r="O55" s="540"/>
      <c r="P55" s="548"/>
      <c r="Q55" s="541"/>
      <c r="R55" s="540"/>
      <c r="S55" s="548"/>
      <c r="T55" s="541"/>
      <c r="U55" s="4"/>
      <c r="V55" s="14"/>
      <c r="W55" s="14"/>
      <c r="X55" s="13">
        <f>W55-V55</f>
        <v>0</v>
      </c>
      <c r="Y55" s="540"/>
      <c r="Z55" s="548"/>
      <c r="AA55" s="541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67" t="s">
        <v>390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120"/>
    </row>
    <row r="2" spans="1:12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12" ht="21.6" customHeight="1">
      <c r="A3" s="140" t="s">
        <v>325</v>
      </c>
      <c r="B3" s="141">
        <v>10</v>
      </c>
      <c r="C3" s="140" t="s">
        <v>20</v>
      </c>
      <c r="D3" s="568" t="s">
        <v>389</v>
      </c>
      <c r="E3" s="568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102477.247</v>
      </c>
      <c r="C6" s="294">
        <v>224463.48699999999</v>
      </c>
      <c r="D6" s="143">
        <f t="shared" ref="D6:D11" si="0">B6-C6</f>
        <v>-121986.23999999999</v>
      </c>
      <c r="E6" s="143">
        <f t="shared" ref="E6:E11" si="1">B6</f>
        <v>102477.247</v>
      </c>
      <c r="F6" s="134"/>
      <c r="G6" s="129" t="s">
        <v>198</v>
      </c>
      <c r="H6" s="297">
        <v>266</v>
      </c>
      <c r="I6" s="145">
        <f>'（２）ＫＰＩ達成進度'!H6</f>
        <v>0</v>
      </c>
      <c r="J6" s="310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3104723</v>
      </c>
      <c r="C7" s="294">
        <v>6964636</v>
      </c>
      <c r="D7" s="143">
        <f t="shared" si="0"/>
        <v>-3859913</v>
      </c>
      <c r="E7" s="143">
        <f t="shared" si="1"/>
        <v>3104723</v>
      </c>
      <c r="F7" s="134"/>
      <c r="G7" s="129" t="s">
        <v>199</v>
      </c>
      <c r="H7" s="254">
        <v>0.8</v>
      </c>
      <c r="I7" s="144">
        <f>'（２）ＫＰＩ達成進度'!K6</f>
        <v>0</v>
      </c>
      <c r="J7" s="295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68368.100999999995</v>
      </c>
      <c r="C8" s="294">
        <v>150244.29199999999</v>
      </c>
      <c r="D8" s="143">
        <f>B8-C8</f>
        <v>-81876.190999999992</v>
      </c>
      <c r="E8" s="143">
        <f t="shared" si="1"/>
        <v>68368.100999999995</v>
      </c>
      <c r="F8" s="134"/>
      <c r="G8" s="129" t="s">
        <v>200</v>
      </c>
      <c r="H8" s="249">
        <v>2.5000000000000001E-3</v>
      </c>
      <c r="I8" s="249">
        <f>'（２）ＫＰＩ達成進度'!N6</f>
        <v>0</v>
      </c>
      <c r="J8" s="311">
        <v>2.4646256819628254E-3</v>
      </c>
      <c r="K8" s="249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0.66715395857579973</v>
      </c>
      <c r="C9" s="295">
        <v>0.66934847180735457</v>
      </c>
      <c r="D9" s="144">
        <f t="shared" si="0"/>
        <v>-2.1945132315548399E-3</v>
      </c>
      <c r="E9" s="144">
        <f t="shared" si="1"/>
        <v>0.66715395857579973</v>
      </c>
      <c r="F9" s="134"/>
      <c r="G9" s="129" t="s">
        <v>201</v>
      </c>
      <c r="H9" s="249">
        <v>2.5999999999999999E-3</v>
      </c>
      <c r="I9" s="249">
        <f>'（２）ＫＰＩ達成進度'!Q6</f>
        <v>0</v>
      </c>
      <c r="J9" s="311">
        <v>2.3405370745029669E-3</v>
      </c>
      <c r="K9" s="249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13356.389327083301</v>
      </c>
      <c r="C10" s="294">
        <v>32105.786706827967</v>
      </c>
      <c r="D10" s="143">
        <f t="shared" si="0"/>
        <v>-18749.397379744667</v>
      </c>
      <c r="E10" s="143">
        <f t="shared" si="1"/>
        <v>13356.389327083301</v>
      </c>
      <c r="F10" s="134"/>
      <c r="G10" s="129" t="s">
        <v>202</v>
      </c>
      <c r="H10" s="251">
        <v>0.8</v>
      </c>
      <c r="I10" s="251">
        <f>'（２）ＫＰＩ達成進度'!T6</f>
        <v>0</v>
      </c>
      <c r="J10" s="312">
        <v>0.91666666666666707</v>
      </c>
      <c r="K10" s="251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0.1303351692018356</v>
      </c>
      <c r="C11" s="295">
        <v>0.14303344894053066</v>
      </c>
      <c r="D11" s="144">
        <f t="shared" si="0"/>
        <v>-1.2698279738695056E-2</v>
      </c>
      <c r="E11" s="144">
        <f t="shared" si="1"/>
        <v>0.1303351692018356</v>
      </c>
      <c r="F11" s="134"/>
      <c r="G11" s="129" t="s">
        <v>203</v>
      </c>
      <c r="H11" s="251">
        <v>1</v>
      </c>
      <c r="I11" s="144">
        <f>'（２）ＫＰＩ達成進度'!W6</f>
        <v>0</v>
      </c>
      <c r="J11" s="295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14877.133402140968</v>
      </c>
      <c r="C15" s="144">
        <f>IFERROR(B15/$B$6,"")</f>
        <v>0.14517499091423647</v>
      </c>
      <c r="D15" s="295">
        <v>0.19061185820038584</v>
      </c>
      <c r="E15" s="144">
        <f>IFERROR(C15-D15,"")</f>
        <v>-4.5436867286149374E-2</v>
      </c>
      <c r="F15" s="134"/>
      <c r="G15" s="129" t="s">
        <v>232</v>
      </c>
      <c r="H15" s="143">
        <f>'（４）訂單數量構成比'!M46</f>
        <v>857877</v>
      </c>
      <c r="I15" s="144">
        <f t="shared" ref="I15:I23" si="3">IFERROR(H15/$B$7,"")</f>
        <v>0.2763135390822305</v>
      </c>
      <c r="J15" s="295">
        <v>0.33067557299476957</v>
      </c>
      <c r="K15" s="144">
        <f t="shared" ref="K15:K23" si="4">IFERROR(I15-J15,"")</f>
        <v>-5.4362033912539076E-2</v>
      </c>
    </row>
    <row r="16" spans="1:12" s="122" customFormat="1" ht="18" customHeight="1">
      <c r="A16" s="129" t="s">
        <v>222</v>
      </c>
      <c r="B16" s="143">
        <f>'（３）業績構成比'!S46/1000</f>
        <v>3178.9754208170725</v>
      </c>
      <c r="C16" s="144">
        <f t="shared" ref="C16:C23" si="5">IFERROR(B16/$B$6,"")</f>
        <v>3.1021280468405563E-2</v>
      </c>
      <c r="D16" s="295">
        <v>4.2789233591899609E-2</v>
      </c>
      <c r="E16" s="144">
        <f t="shared" ref="E16:E23" si="6">IFERROR(C16-D16,"")</f>
        <v>-1.1767953123494046E-2</v>
      </c>
      <c r="F16" s="134"/>
      <c r="G16" s="129" t="s">
        <v>251</v>
      </c>
      <c r="H16" s="143">
        <f>'（４）訂單數量構成比'!S47</f>
        <v>142109</v>
      </c>
      <c r="I16" s="144">
        <f t="shared" si="3"/>
        <v>4.5771877233492325E-2</v>
      </c>
      <c r="J16" s="295">
        <v>6.1681041191528174E-2</v>
      </c>
      <c r="K16" s="144">
        <f t="shared" si="4"/>
        <v>-1.5909163958035849E-2</v>
      </c>
    </row>
    <row r="17" spans="1:18" s="122" customFormat="1" ht="18" customHeight="1">
      <c r="A17" s="129" t="s">
        <v>218</v>
      </c>
      <c r="B17" s="143">
        <f>'（３）業績構成比'!U46/1000</f>
        <v>12922.478120091746</v>
      </c>
      <c r="C17" s="144">
        <f t="shared" si="5"/>
        <v>0.12610094921940815</v>
      </c>
      <c r="D17" s="295">
        <v>8.6938303169141445E-2</v>
      </c>
      <c r="E17" s="144">
        <f t="shared" si="6"/>
        <v>3.9162646050266703E-2</v>
      </c>
      <c r="F17" s="134"/>
      <c r="G17" s="129" t="s">
        <v>233</v>
      </c>
      <c r="H17" s="143">
        <f>'（４）訂單數量構成比'!U46</f>
        <v>390858</v>
      </c>
      <c r="I17" s="144">
        <f t="shared" si="3"/>
        <v>0.12589142413026863</v>
      </c>
      <c r="J17" s="295">
        <v>8.2530228428305513E-2</v>
      </c>
      <c r="K17" s="144">
        <f t="shared" si="4"/>
        <v>4.3361195701963118E-2</v>
      </c>
    </row>
    <row r="18" spans="1:18" s="122" customFormat="1" ht="18" customHeight="1">
      <c r="A18" s="129" t="s">
        <v>220</v>
      </c>
      <c r="B18" s="143">
        <f>'（３）業績構成比'!W46/1000</f>
        <v>738.8539221503213</v>
      </c>
      <c r="C18" s="144">
        <f t="shared" si="5"/>
        <v>7.2099314118998659E-3</v>
      </c>
      <c r="D18" s="295">
        <v>1.4659145993880142E-2</v>
      </c>
      <c r="E18" s="144">
        <f t="shared" si="6"/>
        <v>-7.4492145819802756E-3</v>
      </c>
      <c r="F18" s="134"/>
      <c r="G18" s="129" t="s">
        <v>219</v>
      </c>
      <c r="H18" s="143">
        <f>'（４）訂單數量構成比'!W46</f>
        <v>21594</v>
      </c>
      <c r="I18" s="144">
        <f t="shared" si="3"/>
        <v>6.9552098528596592E-3</v>
      </c>
      <c r="J18" s="295">
        <v>1.6773740939224964E-2</v>
      </c>
      <c r="K18" s="144">
        <f t="shared" si="4"/>
        <v>-9.8185310863653057E-3</v>
      </c>
    </row>
    <row r="19" spans="1:18" s="122" customFormat="1" ht="18" customHeight="1">
      <c r="A19" s="129" t="s">
        <v>224</v>
      </c>
      <c r="B19" s="143">
        <f>'（３）業績構成比'!AC46/1000</f>
        <v>23714.557772207121</v>
      </c>
      <c r="C19" s="144">
        <f t="shared" si="5"/>
        <v>0.23141290839133413</v>
      </c>
      <c r="D19" s="295">
        <v>0.24409177848792188</v>
      </c>
      <c r="E19" s="144">
        <f t="shared" si="6"/>
        <v>-1.2678870096587747E-2</v>
      </c>
      <c r="F19" s="134"/>
      <c r="G19" s="129" t="s">
        <v>223</v>
      </c>
      <c r="H19" s="143">
        <f>'（４）訂單數量構成比'!AC46</f>
        <v>625553</v>
      </c>
      <c r="I19" s="144">
        <f t="shared" si="3"/>
        <v>0.20148431921301835</v>
      </c>
      <c r="J19" s="295">
        <v>0.19673059726308739</v>
      </c>
      <c r="K19" s="144">
        <f t="shared" si="4"/>
        <v>4.7537219499309558E-3</v>
      </c>
    </row>
    <row r="20" spans="1:18" s="122" customFormat="1" ht="18" customHeight="1">
      <c r="A20" s="129" t="s">
        <v>226</v>
      </c>
      <c r="B20" s="143">
        <f>'（３）業績構成比'!AE46/1000</f>
        <v>16880.540715730695</v>
      </c>
      <c r="C20" s="144">
        <f t="shared" si="5"/>
        <v>0.16472476778899706</v>
      </c>
      <c r="D20" s="295">
        <v>0.1397972381723295</v>
      </c>
      <c r="E20" s="144">
        <f t="shared" si="6"/>
        <v>2.4927529616667554E-2</v>
      </c>
      <c r="F20" s="134"/>
      <c r="G20" s="129" t="s">
        <v>225</v>
      </c>
      <c r="H20" s="143">
        <f>'（４）訂單數量構成比'!AE46</f>
        <v>297631</v>
      </c>
      <c r="I20" s="144">
        <f t="shared" si="3"/>
        <v>9.5863946638717848E-2</v>
      </c>
      <c r="J20" s="295">
        <v>7.9797709456746913E-2</v>
      </c>
      <c r="K20" s="144">
        <f t="shared" si="4"/>
        <v>1.6066237181970935E-2</v>
      </c>
    </row>
    <row r="21" spans="1:18" s="122" customFormat="1" ht="18" customHeight="1">
      <c r="A21" s="129" t="s">
        <v>228</v>
      </c>
      <c r="B21" s="143">
        <f>'（３）業績構成比'!AG46/1000</f>
        <v>4886.2339221313941</v>
      </c>
      <c r="C21" s="144">
        <f>IFERROR(B21/$B$6,"")</f>
        <v>4.7681159137026717E-2</v>
      </c>
      <c r="D21" s="295">
        <v>0.13619626613806221</v>
      </c>
      <c r="E21" s="144">
        <f>IFERROR(C21-D21,"")</f>
        <v>-8.8515107001035487E-2</v>
      </c>
      <c r="F21" s="134"/>
      <c r="G21" s="129" t="s">
        <v>234</v>
      </c>
      <c r="H21" s="143">
        <f>'（４）訂單數量構成比'!AG46</f>
        <v>107724</v>
      </c>
      <c r="I21" s="144">
        <f>IFERROR(H21/$B$7,"")</f>
        <v>3.4696815142606925E-2</v>
      </c>
      <c r="J21" s="295">
        <v>9.0009011239065476E-2</v>
      </c>
      <c r="K21" s="144">
        <f>IFERROR(I21-J21,"")</f>
        <v>-5.531219609645855E-2</v>
      </c>
    </row>
    <row r="22" spans="1:18" s="122" customFormat="1" ht="18" customHeight="1">
      <c r="A22" s="129" t="s">
        <v>229</v>
      </c>
      <c r="B22" s="143">
        <f>'（３）業績構成比'!AI46/1000</f>
        <v>13959.105950917696</v>
      </c>
      <c r="C22" s="144">
        <f t="shared" si="5"/>
        <v>0.13621663695666703</v>
      </c>
      <c r="D22" s="295">
        <v>6.8175373790099608E-2</v>
      </c>
      <c r="E22" s="144">
        <f t="shared" si="6"/>
        <v>6.8041263166567417E-2</v>
      </c>
      <c r="F22" s="134"/>
      <c r="G22" s="129" t="s">
        <v>235</v>
      </c>
      <c r="H22" s="143">
        <f>'（４）訂單數量構成比'!AI46</f>
        <v>378237</v>
      </c>
      <c r="I22" s="144">
        <f t="shared" si="3"/>
        <v>0.12182632717959058</v>
      </c>
      <c r="J22" s="295">
        <v>5.972113976954431E-2</v>
      </c>
      <c r="K22" s="144">
        <f t="shared" si="4"/>
        <v>6.2105187410046267E-2</v>
      </c>
    </row>
    <row r="23" spans="1:18" s="122" customFormat="1" ht="18" customHeight="1">
      <c r="A23" s="129" t="s">
        <v>231</v>
      </c>
      <c r="B23" s="143">
        <f>'（３）業績構成比'!AK46/1000</f>
        <v>7885.6864447686658</v>
      </c>
      <c r="C23" s="144">
        <f t="shared" si="5"/>
        <v>7.6950607823887629E-2</v>
      </c>
      <c r="D23" s="295">
        <v>7.674080245627983E-2</v>
      </c>
      <c r="E23" s="144">
        <f t="shared" si="6"/>
        <v>2.0980536760779878E-4</v>
      </c>
      <c r="F23" s="134"/>
      <c r="G23" s="129" t="s">
        <v>230</v>
      </c>
      <c r="H23" s="143">
        <f>'（４）訂單數量構成比'!AK46</f>
        <v>283140</v>
      </c>
      <c r="I23" s="144">
        <f t="shared" si="3"/>
        <v>9.1196541527215153E-2</v>
      </c>
      <c r="J23" s="295">
        <v>8.2080958717727678E-2</v>
      </c>
      <c r="K23" s="144">
        <f t="shared" si="4"/>
        <v>9.1155828094874741E-3</v>
      </c>
    </row>
    <row r="24" spans="1:18" s="122" customFormat="1" ht="15.75" customHeight="1">
      <c r="A24" s="134"/>
      <c r="B24" s="134"/>
      <c r="C24" s="138">
        <f>SUM(C15:C23)</f>
        <v>0.96649323211186255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460</v>
      </c>
      <c r="N27" s="136" t="s">
        <v>461</v>
      </c>
      <c r="O27" s="136" t="s">
        <v>462</v>
      </c>
      <c r="P27" s="136" t="s">
        <v>463</v>
      </c>
      <c r="Q27" s="136" t="s">
        <v>464</v>
      </c>
      <c r="R27" s="134"/>
    </row>
    <row r="28" spans="1:18" s="122" customFormat="1" ht="18" customHeight="1">
      <c r="A28" s="129" t="s">
        <v>232</v>
      </c>
      <c r="B28" s="296">
        <f>'（５-1）品群別人時生產性（18℃-飯糰）'!$C$1</f>
        <v>753.90179872979888</v>
      </c>
      <c r="C28" s="333">
        <v>756.20246993670457</v>
      </c>
      <c r="D28" s="244">
        <f t="shared" ref="D28:D36" si="7">B28-C28</f>
        <v>-2.3006712069056903</v>
      </c>
      <c r="E28" s="296">
        <f>R28</f>
        <v>735.71466682887922</v>
      </c>
      <c r="F28" s="134"/>
      <c r="G28" s="148"/>
      <c r="H28" s="148"/>
      <c r="I28" s="148"/>
      <c r="M28" s="296">
        <v>717.52753492795955</v>
      </c>
      <c r="N28" s="296">
        <f>B28</f>
        <v>753.90179872979888</v>
      </c>
      <c r="O28" s="296"/>
      <c r="P28" s="296"/>
      <c r="Q28" s="296"/>
      <c r="R28" s="313">
        <f>AVERAGE(M28:Q28)</f>
        <v>735.71466682887922</v>
      </c>
    </row>
    <row r="29" spans="1:18" s="122" customFormat="1" ht="18" customHeight="1">
      <c r="A29" s="129" t="s">
        <v>221</v>
      </c>
      <c r="B29" s="296">
        <f>'（５-2）品群別人時生產性（18-壽司手卷)'!$C$1</f>
        <v>175.26728941213315</v>
      </c>
      <c r="C29" s="333">
        <v>198.82982221081653</v>
      </c>
      <c r="D29" s="244">
        <f t="shared" si="7"/>
        <v>-23.562532798683378</v>
      </c>
      <c r="E29" s="296">
        <f t="shared" ref="E29:E36" si="8">R29</f>
        <v>186.45000314922061</v>
      </c>
      <c r="F29" s="134"/>
      <c r="G29" s="149"/>
      <c r="H29" s="149"/>
      <c r="I29" s="149"/>
      <c r="M29" s="296">
        <v>197.63271688630809</v>
      </c>
      <c r="N29" s="296">
        <f t="shared" ref="N29:N36" si="9">B29</f>
        <v>175.26728941213315</v>
      </c>
      <c r="O29" s="296"/>
      <c r="P29" s="296"/>
      <c r="Q29" s="296"/>
      <c r="R29" s="313">
        <f t="shared" ref="R29:R36" si="10">AVERAGE(M29:Q29)</f>
        <v>186.45000314922061</v>
      </c>
    </row>
    <row r="30" spans="1:18" s="122" customFormat="1" ht="18" customHeight="1">
      <c r="A30" s="129" t="s">
        <v>233</v>
      </c>
      <c r="B30" s="296">
        <f>'（５-3）品群別人時生產性（4℃-飯糰)'!$C$1</f>
        <v>252.90143336779641</v>
      </c>
      <c r="C30" s="333">
        <v>253.36933201602551</v>
      </c>
      <c r="D30" s="244">
        <f t="shared" si="7"/>
        <v>-0.46789864822909522</v>
      </c>
      <c r="E30" s="296">
        <f t="shared" si="8"/>
        <v>246.68000237304983</v>
      </c>
      <c r="F30" s="134"/>
      <c r="G30" s="134"/>
      <c r="H30" s="134"/>
      <c r="I30" s="134"/>
      <c r="M30" s="296">
        <v>240.45857137830325</v>
      </c>
      <c r="N30" s="296">
        <f t="shared" si="9"/>
        <v>252.90143336779641</v>
      </c>
      <c r="O30" s="296"/>
      <c r="P30" s="296"/>
      <c r="Q30" s="296"/>
      <c r="R30" s="313">
        <f t="shared" si="10"/>
        <v>246.68000237304983</v>
      </c>
    </row>
    <row r="31" spans="1:18" s="122" customFormat="1" ht="18" customHeight="1">
      <c r="A31" s="129" t="s">
        <v>219</v>
      </c>
      <c r="B31" s="296">
        <f>'（５-4）品群別人時生產性（4℃-壽司手卷)'!$C$1</f>
        <v>111.81630036630034</v>
      </c>
      <c r="C31" s="333">
        <v>112.99131142028241</v>
      </c>
      <c r="D31" s="244">
        <f t="shared" si="7"/>
        <v>-1.1750110539820753</v>
      </c>
      <c r="E31" s="296">
        <f t="shared" si="8"/>
        <v>109.34071163721896</v>
      </c>
      <c r="F31" s="134"/>
      <c r="G31" s="134"/>
      <c r="H31" s="134"/>
      <c r="I31" s="134"/>
      <c r="M31" s="296">
        <v>106.86512290813759</v>
      </c>
      <c r="N31" s="296">
        <f t="shared" si="9"/>
        <v>111.81630036630034</v>
      </c>
      <c r="O31" s="296"/>
      <c r="P31" s="296"/>
      <c r="Q31" s="296"/>
      <c r="R31" s="313">
        <f t="shared" si="10"/>
        <v>109.34071163721896</v>
      </c>
    </row>
    <row r="32" spans="1:18" s="122" customFormat="1" ht="18" customHeight="1">
      <c r="A32" s="129" t="s">
        <v>223</v>
      </c>
      <c r="B32" s="296">
        <f>'（５-5）品群別人時生產性(主食) '!$C$1</f>
        <v>87.340598787652354</v>
      </c>
      <c r="C32" s="333">
        <v>85.495684450909806</v>
      </c>
      <c r="D32" s="244">
        <f t="shared" si="7"/>
        <v>1.8449143367425478</v>
      </c>
      <c r="E32" s="296">
        <f t="shared" si="8"/>
        <v>88.32551359619282</v>
      </c>
      <c r="F32" s="134"/>
      <c r="G32" s="134"/>
      <c r="H32" s="134"/>
      <c r="I32" s="134"/>
      <c r="M32" s="296">
        <v>89.310428404733287</v>
      </c>
      <c r="N32" s="296">
        <f t="shared" si="9"/>
        <v>87.340598787652354</v>
      </c>
      <c r="O32" s="296"/>
      <c r="P32" s="296"/>
      <c r="Q32" s="296"/>
      <c r="R32" s="313">
        <f t="shared" si="10"/>
        <v>88.32551359619282</v>
      </c>
    </row>
    <row r="33" spans="1:18" s="122" customFormat="1" ht="18" customHeight="1">
      <c r="A33" s="129" t="s">
        <v>225</v>
      </c>
      <c r="B33" s="296">
        <f>'（５-6）品群別人時生產性(便當)'!$C$1</f>
        <v>72.51001779851876</v>
      </c>
      <c r="C33" s="333">
        <v>66.943613625537381</v>
      </c>
      <c r="D33" s="244">
        <f t="shared" si="7"/>
        <v>5.5664041729813789</v>
      </c>
      <c r="E33" s="296">
        <f t="shared" si="8"/>
        <v>69.09138012889926</v>
      </c>
      <c r="F33" s="134"/>
      <c r="G33" s="134"/>
      <c r="H33" s="134"/>
      <c r="I33" s="134"/>
      <c r="M33" s="296">
        <v>65.67274245927976</v>
      </c>
      <c r="N33" s="296">
        <f t="shared" si="9"/>
        <v>72.51001779851876</v>
      </c>
      <c r="O33" s="296"/>
      <c r="P33" s="296"/>
      <c r="Q33" s="296"/>
      <c r="R33" s="313">
        <f t="shared" si="10"/>
        <v>69.09138012889926</v>
      </c>
    </row>
    <row r="34" spans="1:18" s="122" customFormat="1" ht="18" customHeight="1">
      <c r="A34" s="129" t="s">
        <v>234</v>
      </c>
      <c r="B34" s="296">
        <f>'（５-7）品群別人時生產性(熱食義麵) '!$C$1</f>
        <v>86.00269691163426</v>
      </c>
      <c r="C34" s="333">
        <v>80.555861357885718</v>
      </c>
      <c r="D34" s="244">
        <f t="shared" si="7"/>
        <v>5.4468355537485422</v>
      </c>
      <c r="E34" s="296">
        <f t="shared" si="8"/>
        <v>80.740632966793527</v>
      </c>
      <c r="F34" s="134"/>
      <c r="G34" s="134"/>
      <c r="H34" s="134"/>
      <c r="I34" s="134"/>
      <c r="M34" s="296">
        <v>75.478569021952779</v>
      </c>
      <c r="N34" s="296">
        <f t="shared" si="9"/>
        <v>86.00269691163426</v>
      </c>
      <c r="O34" s="296"/>
      <c r="P34" s="296"/>
      <c r="Q34" s="296"/>
      <c r="R34" s="313">
        <f t="shared" si="10"/>
        <v>80.740632966793527</v>
      </c>
    </row>
    <row r="35" spans="1:18" s="122" customFormat="1" ht="18" customHeight="1">
      <c r="A35" s="129" t="s">
        <v>235</v>
      </c>
      <c r="B35" s="296">
        <f>'（５-8）品群別人時生產性(季節調理麵) '!$C$1</f>
        <v>124.0287145071924</v>
      </c>
      <c r="C35" s="333">
        <v>121.13262609451999</v>
      </c>
      <c r="D35" s="244">
        <f t="shared" si="7"/>
        <v>2.8960884126724125</v>
      </c>
      <c r="E35" s="296">
        <f t="shared" si="8"/>
        <v>119.2671432668977</v>
      </c>
      <c r="F35" s="134"/>
      <c r="G35" s="134"/>
      <c r="H35" s="134"/>
      <c r="I35" s="134"/>
      <c r="M35" s="296">
        <v>114.50557202660302</v>
      </c>
      <c r="N35" s="296">
        <f t="shared" si="9"/>
        <v>124.0287145071924</v>
      </c>
      <c r="O35" s="296"/>
      <c r="P35" s="296"/>
      <c r="Q35" s="296"/>
      <c r="R35" s="313">
        <f t="shared" si="10"/>
        <v>119.2671432668977</v>
      </c>
    </row>
    <row r="36" spans="1:18" s="122" customFormat="1" ht="18" customHeight="1">
      <c r="A36" s="125" t="s">
        <v>230</v>
      </c>
      <c r="B36" s="296">
        <f>'（５-9）品群別人時生產性(微波小吃)'!$C$1</f>
        <v>177.9708580408809</v>
      </c>
      <c r="C36" s="333">
        <v>115.3662253913358</v>
      </c>
      <c r="D36" s="244">
        <f t="shared" si="7"/>
        <v>62.604632649545096</v>
      </c>
      <c r="E36" s="296">
        <f t="shared" si="8"/>
        <v>138.8096000413733</v>
      </c>
      <c r="F36" s="134"/>
      <c r="G36" s="134"/>
      <c r="H36" s="134"/>
      <c r="I36" s="134"/>
      <c r="M36" s="296">
        <v>99.648342041865732</v>
      </c>
      <c r="N36" s="296">
        <f t="shared" si="9"/>
        <v>177.9708580408809</v>
      </c>
      <c r="O36" s="296"/>
      <c r="P36" s="296"/>
      <c r="Q36" s="296"/>
      <c r="R36" s="313">
        <f t="shared" si="10"/>
        <v>138.8096000413733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L23" sqref="L23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67" t="s">
        <v>390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120"/>
    </row>
    <row r="2" spans="1:18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</row>
    <row r="3" spans="1:18" ht="21.6" customHeight="1">
      <c r="A3" s="140" t="s">
        <v>325</v>
      </c>
      <c r="B3" s="215">
        <v>4</v>
      </c>
      <c r="C3" s="217" t="s">
        <v>326</v>
      </c>
      <c r="D3" s="215" t="s">
        <v>916</v>
      </c>
      <c r="E3" s="140" t="s">
        <v>20</v>
      </c>
      <c r="F3" s="568" t="s">
        <v>389</v>
      </c>
      <c r="G3" s="568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4">
        <f>'（１）收支狀況'!G11/1000</f>
        <v>58053.442000000003</v>
      </c>
      <c r="C6" s="255">
        <v>52952.468000000001</v>
      </c>
      <c r="D6" s="143">
        <f t="shared" ref="D6:D11" si="0">B6-C6</f>
        <v>5100.974000000002</v>
      </c>
      <c r="E6" s="236">
        <f>'（１）收支狀況'!H10/1000</f>
        <v>102477.247</v>
      </c>
      <c r="F6" s="134"/>
      <c r="G6" s="129" t="s">
        <v>198</v>
      </c>
      <c r="H6" s="238">
        <v>366</v>
      </c>
      <c r="I6" s="260">
        <f>'（２）ＫＰＩ達成進度'!G11</f>
        <v>341.49683640951031</v>
      </c>
      <c r="J6" s="261">
        <v>353.4982274622389</v>
      </c>
      <c r="K6" s="262">
        <f>'（２）ＫＰＩ達成進度'!H10</f>
        <v>347.36685305350886</v>
      </c>
      <c r="L6" s="123" t="s">
        <v>194</v>
      </c>
    </row>
    <row r="7" spans="1:18" s="122" customFormat="1" ht="18" customHeight="1">
      <c r="A7" s="129" t="s">
        <v>25</v>
      </c>
      <c r="B7" s="224">
        <f>'（１）收支狀況'!J11</f>
        <v>1752697</v>
      </c>
      <c r="C7" s="255">
        <v>1615819</v>
      </c>
      <c r="D7" s="143">
        <f t="shared" si="0"/>
        <v>136878</v>
      </c>
      <c r="E7" s="236">
        <f>'（１）收支狀況'!K10</f>
        <v>3104723</v>
      </c>
      <c r="F7" s="134"/>
      <c r="G7" s="129" t="s">
        <v>199</v>
      </c>
      <c r="H7" s="253">
        <v>0.8</v>
      </c>
      <c r="I7" s="251">
        <f>'（２）ＫＰＩ達成進度'!J11</f>
        <v>0.93305146559975494</v>
      </c>
      <c r="J7" s="258">
        <v>0.97453067666063475</v>
      </c>
      <c r="K7" s="254">
        <f>'（２）ＫＰＩ達成進度'!K10</f>
        <v>0.41127223039122179</v>
      </c>
      <c r="L7" s="123" t="s">
        <v>4</v>
      </c>
    </row>
    <row r="8" spans="1:18" s="122" customFormat="1" ht="18" customHeight="1">
      <c r="A8" s="129" t="s">
        <v>5</v>
      </c>
      <c r="B8" s="224">
        <f>'（１）收支狀況'!M11/1000</f>
        <v>38350.673000000003</v>
      </c>
      <c r="C8" s="255">
        <v>35685.182000000001</v>
      </c>
      <c r="D8" s="143">
        <f>B8-C8</f>
        <v>2665.4910000000018</v>
      </c>
      <c r="E8" s="236">
        <f>'（１）收支狀況'!N10/1000</f>
        <v>68368.100999999995</v>
      </c>
      <c r="F8" s="134"/>
      <c r="G8" s="129" t="s">
        <v>200</v>
      </c>
      <c r="H8" s="237">
        <v>2.5000000000000001E-3</v>
      </c>
      <c r="I8" s="249">
        <f>'（２）ＫＰＩ達成進度'!M11</f>
        <v>2.4328571428571429E-3</v>
      </c>
      <c r="J8" s="257">
        <v>2.4406423971189708E-3</v>
      </c>
      <c r="K8" s="249">
        <f>'（２）ＫＰＩ達成進度'!N10</f>
        <v>2.4366344809603454E-3</v>
      </c>
      <c r="L8" s="123" t="s">
        <v>55</v>
      </c>
    </row>
    <row r="9" spans="1:18" s="122" customFormat="1" ht="18" customHeight="1">
      <c r="A9" s="129" t="s">
        <v>6</v>
      </c>
      <c r="B9" s="225">
        <f>'（１）收支狀況'!P11</f>
        <v>0.66060980501380095</v>
      </c>
      <c r="C9" s="256">
        <v>0.67390970332109923</v>
      </c>
      <c r="D9" s="144">
        <f t="shared" si="0"/>
        <v>-1.3299898307298275E-2</v>
      </c>
      <c r="E9" s="144">
        <f>'（１）收支狀況'!Q10</f>
        <v>0.66715395857579973</v>
      </c>
      <c r="F9" s="134"/>
      <c r="G9" s="129" t="s">
        <v>201</v>
      </c>
      <c r="H9" s="237">
        <v>2.5999999999999999E-3</v>
      </c>
      <c r="I9" s="249">
        <f>'（２）ＫＰＩ達成進度'!P11</f>
        <v>1.7039515813879441E-3</v>
      </c>
      <c r="J9" s="257">
        <v>1.8040732967180742E-3</v>
      </c>
      <c r="K9" s="249">
        <f>'（２）ＫＰＩ達成進度'!Q10</f>
        <v>1.7536546615422022E-3</v>
      </c>
      <c r="L9" s="123" t="s">
        <v>98</v>
      </c>
    </row>
    <row r="10" spans="1:18" s="122" customFormat="1" ht="18" customHeight="1">
      <c r="A10" s="129" t="s">
        <v>64</v>
      </c>
      <c r="B10" s="224">
        <f>'（１）收支狀況'!S11/1000</f>
        <v>7316.8546606303244</v>
      </c>
      <c r="C10" s="255">
        <f>7053342/1000</f>
        <v>7053.3419999999996</v>
      </c>
      <c r="D10" s="143">
        <f t="shared" si="0"/>
        <v>263.51266063032472</v>
      </c>
      <c r="E10" s="236">
        <f>'（１）收支狀況'!T10/1000</f>
        <v>13356.389327083301</v>
      </c>
      <c r="F10" s="134"/>
      <c r="G10" s="129" t="s">
        <v>202</v>
      </c>
      <c r="H10" s="250">
        <v>0.8</v>
      </c>
      <c r="I10" s="251">
        <v>0.91110000000000002</v>
      </c>
      <c r="J10" s="258">
        <v>0.91349999999999998</v>
      </c>
      <c r="K10" s="251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5">
        <f>'（１）收支狀況'!V11</f>
        <v>0.12603653476102802</v>
      </c>
      <c r="C11" s="256">
        <v>0.13320000000000001</v>
      </c>
      <c r="D11" s="144">
        <f t="shared" si="0"/>
        <v>-7.1634652389719888E-3</v>
      </c>
      <c r="E11" s="144">
        <f>'（１）收支狀況'!W10</f>
        <v>0.1303351692018356</v>
      </c>
      <c r="F11" s="134"/>
      <c r="G11" s="129" t="s">
        <v>203</v>
      </c>
      <c r="H11" s="250">
        <v>1</v>
      </c>
      <c r="I11" s="251">
        <f>'（２）ＫＰＩ達成進度'!V11</f>
        <v>0.25257142857142856</v>
      </c>
      <c r="J11" s="258">
        <v>0.22542857142857145</v>
      </c>
      <c r="K11" s="251">
        <f>'（２）ＫＰＩ達成進度'!W10</f>
        <v>0.24076923076923076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8" t="s">
        <v>328</v>
      </c>
      <c r="C14" s="146" t="s">
        <v>66</v>
      </c>
      <c r="D14" s="218" t="s">
        <v>331</v>
      </c>
      <c r="E14" s="146" t="s">
        <v>68</v>
      </c>
      <c r="F14" s="137"/>
      <c r="G14" s="146"/>
      <c r="H14" s="218" t="s">
        <v>328</v>
      </c>
      <c r="I14" s="146" t="s">
        <v>66</v>
      </c>
      <c r="J14" s="218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39">
        <f>SUM('（３）業績構成比'!I13:I19,'（３）業績構成比'!K13:K19)/1000</f>
        <v>9244.4578336882223</v>
      </c>
      <c r="C15" s="144">
        <f>IFERROR(B15/$B$6,"")</f>
        <v>0.15924047765657412</v>
      </c>
      <c r="D15" s="256">
        <v>0.15559681430659492</v>
      </c>
      <c r="E15" s="144">
        <f>IFERROR(C15-D15,"")</f>
        <v>3.6436633499792037E-3</v>
      </c>
      <c r="F15" s="134"/>
      <c r="G15" s="129" t="s">
        <v>335</v>
      </c>
      <c r="H15" s="239">
        <f>SUM(,'（４）訂單數量構成比'!I13:I19,'（４）訂單數量構成比'!K13:K19)</f>
        <v>490036</v>
      </c>
      <c r="I15" s="144">
        <f t="shared" ref="I15:I23" si="1">IFERROR(H15/$B$7,"")</f>
        <v>0.27958968378447613</v>
      </c>
      <c r="J15" s="256">
        <v>0.27367359834238858</v>
      </c>
      <c r="K15" s="144">
        <f t="shared" ref="K15:K23" si="2">IFERROR(I15-J15,"")</f>
        <v>5.9160854420875486E-3</v>
      </c>
    </row>
    <row r="16" spans="1:18" s="122" customFormat="1" ht="18" customHeight="1">
      <c r="A16" s="129" t="s">
        <v>222</v>
      </c>
      <c r="B16" s="239">
        <f>SUM('（３）業績構成比'!O13:O19,'（３）業績構成比'!Q13:Q19)/1000</f>
        <v>1969.563195001042</v>
      </c>
      <c r="C16" s="144">
        <f t="shared" ref="C16:C23" si="3">IFERROR(B16/$B$6,"")</f>
        <v>3.3926725567814599E-2</v>
      </c>
      <c r="D16" s="256">
        <v>3.367305038100623E-2</v>
      </c>
      <c r="E16" s="144">
        <f t="shared" ref="E16:E23" si="4">IFERROR(C16-D16,"")</f>
        <v>2.536751868083692E-4</v>
      </c>
      <c r="F16" s="134"/>
      <c r="G16" s="129" t="s">
        <v>251</v>
      </c>
      <c r="H16" s="239">
        <f>SUM('（４）訂單數量構成比'!O13:O19,'（４）訂單數量構成比'!Q13:Q19)</f>
        <v>78044</v>
      </c>
      <c r="I16" s="144">
        <f t="shared" si="1"/>
        <v>4.4527947500338047E-2</v>
      </c>
      <c r="J16" s="256">
        <v>4.602990805282027E-2</v>
      </c>
      <c r="K16" s="144">
        <f t="shared" si="2"/>
        <v>-1.5019605524822233E-3</v>
      </c>
    </row>
    <row r="17" spans="1:11" s="122" customFormat="1" ht="18" customHeight="1">
      <c r="A17" s="129" t="s">
        <v>218</v>
      </c>
      <c r="B17" s="239">
        <f>SUM('（３）業績構成比'!U13:U19)/1000</f>
        <v>7297.2271791422945</v>
      </c>
      <c r="C17" s="144">
        <f t="shared" si="3"/>
        <v>0.12569844143164319</v>
      </c>
      <c r="D17" s="256">
        <v>0.12736970318809263</v>
      </c>
      <c r="E17" s="144">
        <f t="shared" si="4"/>
        <v>-1.6712617564494381E-3</v>
      </c>
      <c r="F17" s="134"/>
      <c r="G17" s="129" t="s">
        <v>233</v>
      </c>
      <c r="H17" s="239">
        <f>SUM('（４）訂單數量構成比'!U13:U19)</f>
        <v>220640</v>
      </c>
      <c r="I17" s="144">
        <f t="shared" si="1"/>
        <v>0.12588599170307246</v>
      </c>
      <c r="J17" s="256">
        <v>0.12632046039810152</v>
      </c>
      <c r="K17" s="144">
        <f t="shared" si="2"/>
        <v>-4.344686950290555E-4</v>
      </c>
    </row>
    <row r="18" spans="1:11" s="122" customFormat="1" ht="18" customHeight="1">
      <c r="A18" s="129" t="s">
        <v>220</v>
      </c>
      <c r="B18" s="239">
        <f>SUM('（３）業績構成比'!W13:W19)/1000</f>
        <v>391.57973971813641</v>
      </c>
      <c r="C18" s="144">
        <f t="shared" si="3"/>
        <v>6.7451597395058226E-3</v>
      </c>
      <c r="D18" s="256">
        <v>7.8544147448658952E-3</v>
      </c>
      <c r="E18" s="144">
        <f t="shared" si="4"/>
        <v>-1.1092550053600726E-3</v>
      </c>
      <c r="F18" s="134"/>
      <c r="G18" s="129" t="s">
        <v>219</v>
      </c>
      <c r="H18" s="239">
        <f>SUM('（４）訂單數量構成比'!W13:W19)</f>
        <v>11435</v>
      </c>
      <c r="I18" s="144">
        <f t="shared" si="1"/>
        <v>6.5242309423705295E-3</v>
      </c>
      <c r="J18" s="256">
        <v>7.5194065671959544E-3</v>
      </c>
      <c r="K18" s="144">
        <f t="shared" si="2"/>
        <v>-9.9517562482542496E-4</v>
      </c>
    </row>
    <row r="19" spans="1:11" s="122" customFormat="1" ht="18" customHeight="1">
      <c r="A19" s="129" t="s">
        <v>224</v>
      </c>
      <c r="B19" s="239">
        <f>SUM('（３）業績構成比'!Y13:Y19,'（３）業績構成比'!AA13:AA19)/1000</f>
        <v>14225.819988968473</v>
      </c>
      <c r="C19" s="144">
        <f t="shared" si="3"/>
        <v>0.24504696877350479</v>
      </c>
      <c r="D19" s="256">
        <v>0.25413806842052694</v>
      </c>
      <c r="E19" s="144">
        <f t="shared" si="4"/>
        <v>-9.0910996470221495E-3</v>
      </c>
      <c r="F19" s="134"/>
      <c r="G19" s="129" t="s">
        <v>223</v>
      </c>
      <c r="H19" s="239">
        <f>SUM('（４）訂單數量構成比'!Y13:Y19,'（４）訂單數量構成比'!AA13:AA19)</f>
        <v>348342</v>
      </c>
      <c r="I19" s="144">
        <f t="shared" si="1"/>
        <v>0.19874627502643069</v>
      </c>
      <c r="J19" s="256">
        <v>0.20333651231975858</v>
      </c>
      <c r="K19" s="144">
        <f t="shared" si="2"/>
        <v>-4.5902372933278868E-3</v>
      </c>
    </row>
    <row r="20" spans="1:11" s="122" customFormat="1" ht="18" customHeight="1">
      <c r="A20" s="129" t="s">
        <v>226</v>
      </c>
      <c r="B20" s="239">
        <f>SUM('（３）業績構成比'!AE13:AE19)/1000</f>
        <v>9553.7182134361083</v>
      </c>
      <c r="C20" s="144">
        <f t="shared" si="3"/>
        <v>0.16456764464432802</v>
      </c>
      <c r="D20" s="256">
        <v>0.16920595135252212</v>
      </c>
      <c r="E20" s="144">
        <f t="shared" si="4"/>
        <v>-4.6383067081940954E-3</v>
      </c>
      <c r="F20" s="134"/>
      <c r="G20" s="129" t="s">
        <v>225</v>
      </c>
      <c r="H20" s="239">
        <f>SUM('（４）訂單數量構成比'!AE13:AE19)</f>
        <v>169490</v>
      </c>
      <c r="I20" s="144">
        <f t="shared" si="1"/>
        <v>9.6702396364003587E-2</v>
      </c>
      <c r="J20" s="256">
        <v>9.664077474024009E-2</v>
      </c>
      <c r="K20" s="144">
        <f t="shared" si="2"/>
        <v>6.1621623763497002E-5</v>
      </c>
    </row>
    <row r="21" spans="1:11" s="122" customFormat="1" ht="18" customHeight="1">
      <c r="A21" s="129" t="s">
        <v>228</v>
      </c>
      <c r="B21" s="239">
        <f>SUM('（３）業績構成比'!AG13:AG19)/1000</f>
        <v>2907.4805692430941</v>
      </c>
      <c r="C21" s="144">
        <f t="shared" si="3"/>
        <v>5.0082828322963069E-2</v>
      </c>
      <c r="D21" s="256">
        <v>4.0852662841487919E-2</v>
      </c>
      <c r="E21" s="144">
        <f t="shared" si="4"/>
        <v>9.2301654814751499E-3</v>
      </c>
      <c r="F21" s="134"/>
      <c r="G21" s="129" t="s">
        <v>234</v>
      </c>
      <c r="H21" s="239">
        <f>SUM('（４）訂單數量構成比'!AG13:AG19)</f>
        <v>63766</v>
      </c>
      <c r="I21" s="144">
        <f t="shared" si="1"/>
        <v>3.6381644973432374E-2</v>
      </c>
      <c r="J21" s="256">
        <v>3.0008311574501848E-2</v>
      </c>
      <c r="K21" s="144">
        <f t="shared" si="2"/>
        <v>6.3733333989305259E-3</v>
      </c>
    </row>
    <row r="22" spans="1:11" s="122" customFormat="1" ht="18" customHeight="1">
      <c r="A22" s="129" t="s">
        <v>229</v>
      </c>
      <c r="B22" s="239">
        <f>SUM('（３）業績構成比'!AI13:AI19)/1000</f>
        <v>8082.376521062668</v>
      </c>
      <c r="C22" s="144">
        <f t="shared" si="3"/>
        <v>0.13922303730177907</v>
      </c>
      <c r="D22" s="256">
        <v>0.1312823678757945</v>
      </c>
      <c r="E22" s="144">
        <f t="shared" si="4"/>
        <v>7.9406694259845645E-3</v>
      </c>
      <c r="F22" s="134"/>
      <c r="G22" s="129" t="s">
        <v>235</v>
      </c>
      <c r="H22" s="239">
        <f>SUM('（４）訂單數量構成比'!AI13:AI19)</f>
        <v>219074</v>
      </c>
      <c r="I22" s="144">
        <f t="shared" si="1"/>
        <v>0.12499251154078543</v>
      </c>
      <c r="J22" s="256">
        <v>0.11649634024603003</v>
      </c>
      <c r="K22" s="144">
        <f t="shared" si="2"/>
        <v>8.4961712947553975E-3</v>
      </c>
    </row>
    <row r="23" spans="1:11" s="122" customFormat="1" ht="18" customHeight="1">
      <c r="A23" s="129" t="s">
        <v>231</v>
      </c>
      <c r="B23" s="239">
        <f>SUM('（３）業績構成比'!AK13:AK19)/1000</f>
        <v>4381.2187597399616</v>
      </c>
      <c r="C23" s="144">
        <f t="shared" si="3"/>
        <v>7.5468716561887264E-2</v>
      </c>
      <c r="D23" s="256">
        <v>8.0026966889108833E-2</v>
      </c>
      <c r="E23" s="144">
        <f t="shared" si="4"/>
        <v>-4.5582503272215691E-3</v>
      </c>
      <c r="F23" s="134"/>
      <c r="G23" s="129" t="s">
        <v>230</v>
      </c>
      <c r="H23" s="239">
        <f>SUM('（４）訂單數量構成比'!AK13:AK19)</f>
        <v>151870</v>
      </c>
      <c r="I23" s="144">
        <f t="shared" si="1"/>
        <v>8.6649318165090708E-2</v>
      </c>
      <c r="J23" s="256">
        <v>9.9974687758963107E-2</v>
      </c>
      <c r="K23" s="144">
        <f t="shared" si="2"/>
        <v>-1.3325369593872399E-2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522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19" t="s">
        <v>328</v>
      </c>
      <c r="C27" s="219" t="s">
        <v>330</v>
      </c>
      <c r="D27" s="129" t="s">
        <v>2</v>
      </c>
      <c r="E27" s="129" t="s">
        <v>391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3">
        <f>'（５-1）品群別人時生產性（18℃-飯糰）'!L42</f>
        <v>762.06762610139492</v>
      </c>
      <c r="C28" s="259">
        <v>745.73597135820273</v>
      </c>
      <c r="D28" s="244">
        <f t="shared" ref="D28:D36" si="5">B28-C28</f>
        <v>16.331654743192189</v>
      </c>
      <c r="E28" s="130">
        <f>'（５-1）品群別人時生產性（18℃-飯糰）'!C1</f>
        <v>753.90179872979888</v>
      </c>
      <c r="F28" s="263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3">
        <f>'（５-2）品群別人時生產性（18-壽司手卷)'!L27</f>
        <v>179.60390052009265</v>
      </c>
      <c r="C29" s="259">
        <v>170.93067830417365</v>
      </c>
      <c r="D29" s="244">
        <f t="shared" si="5"/>
        <v>8.6732222159189973</v>
      </c>
      <c r="E29" s="130">
        <f>'（５-2）品群別人時生產性（18-壽司手卷)'!C1</f>
        <v>175.26728941213315</v>
      </c>
      <c r="F29" s="489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3">
        <f>'（５-3）品群別人時生產性（4℃-飯糰)'!L27</f>
        <v>245.8620154100233</v>
      </c>
      <c r="C30" s="259">
        <v>259.9408513255695</v>
      </c>
      <c r="D30" s="244">
        <f t="shared" si="5"/>
        <v>-14.078835915546193</v>
      </c>
      <c r="E30" s="130">
        <f>'（５-3）品群別人時生產性（4℃-飯糰)'!C1</f>
        <v>252.90143336779641</v>
      </c>
      <c r="F30" s="489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3">
        <f>'（５-4）品群別人時生產性（4℃-壽司手卷)'!L27</f>
        <v>111.40782550782546</v>
      </c>
      <c r="C31" s="259">
        <v>112.2247752247752</v>
      </c>
      <c r="D31" s="244">
        <f t="shared" si="5"/>
        <v>-0.81694971694973617</v>
      </c>
      <c r="E31" s="130">
        <f>'（５-4）品群別人時生產性（4℃-壽司手卷)'!C1</f>
        <v>111.81630036630034</v>
      </c>
      <c r="F31" s="489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3">
        <f>'（５-5）品群別人時生產性(主食) '!L42</f>
        <v>87.318764841125642</v>
      </c>
      <c r="C32" s="259">
        <v>87.362432734179066</v>
      </c>
      <c r="D32" s="244">
        <f t="shared" si="5"/>
        <v>-4.3667893053424223E-2</v>
      </c>
      <c r="E32" s="130">
        <f>'（５-5）品群別人時生產性(主食) '!C1</f>
        <v>87.340598787652354</v>
      </c>
      <c r="F32" s="263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3">
        <f>'（５-6）品群別人時生產性(便當)'!L27</f>
        <v>72.335990696985121</v>
      </c>
      <c r="C33" s="259">
        <v>72.684044900052385</v>
      </c>
      <c r="D33" s="244">
        <f t="shared" si="5"/>
        <v>-0.34805420306726376</v>
      </c>
      <c r="E33" s="130">
        <f>'（５-6）品群別人時生產性(便當)'!C1</f>
        <v>72.51001779851876</v>
      </c>
      <c r="F33" s="489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3">
        <f>'（５-7）品群別人時生產性(熱食義麵) '!L27</f>
        <v>85.588967527851182</v>
      </c>
      <c r="C34" s="259">
        <v>86.416426295417338</v>
      </c>
      <c r="D34" s="244">
        <f t="shared" si="5"/>
        <v>-0.82745876756615644</v>
      </c>
      <c r="E34" s="130">
        <f>'（５-7）品群別人時生產性(熱食義麵) '!C1</f>
        <v>86.00269691163426</v>
      </c>
      <c r="F34" s="489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3">
        <f>'（５-8）品群別人時生產性(季節調理麵) '!L27</f>
        <v>124.46114473924573</v>
      </c>
      <c r="C35" s="259">
        <v>123.5962842751391</v>
      </c>
      <c r="D35" s="244">
        <f t="shared" si="5"/>
        <v>0.86486046410662709</v>
      </c>
      <c r="E35" s="130">
        <f>'（５-8）品群別人時生產性(季節調理麵) '!C1</f>
        <v>124.0287145071924</v>
      </c>
      <c r="F35" s="489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3">
        <f>'（５-9）品群別人時生產性(微波小吃)'!L27</f>
        <v>177.45557646161072</v>
      </c>
      <c r="C36" s="259">
        <v>178.48613962015105</v>
      </c>
      <c r="D36" s="244">
        <f t="shared" si="5"/>
        <v>-1.0305631585403319</v>
      </c>
      <c r="E36" s="130">
        <f>'（５-9）品群別人時生產性(微波小吃)'!C1</f>
        <v>177.9708580408809</v>
      </c>
      <c r="F36" s="489"/>
      <c r="G36" s="134"/>
      <c r="H36" s="134"/>
      <c r="I36" s="134"/>
      <c r="J36" s="134"/>
      <c r="K36" s="134"/>
    </row>
    <row r="37" spans="1:11" s="122" customFormat="1" ht="15.75" customHeight="1">
      <c r="D37" s="322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activeCellId="1" sqref="F45 F5:F10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1:23" ht="38.1" customHeight="1">
      <c r="B2" s="570" t="s">
        <v>121</v>
      </c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</row>
    <row r="3" spans="1:23" s="84" customFormat="1" ht="23.45" customHeight="1">
      <c r="B3" s="98"/>
      <c r="C3" s="574" t="s">
        <v>116</v>
      </c>
      <c r="D3" s="575" t="s">
        <v>105</v>
      </c>
      <c r="E3" s="575"/>
      <c r="F3" s="573" t="s">
        <v>356</v>
      </c>
      <c r="G3" s="573"/>
      <c r="H3" s="573"/>
      <c r="I3" s="571" t="s">
        <v>119</v>
      </c>
      <c r="J3" s="571"/>
      <c r="K3" s="571"/>
      <c r="L3" s="572" t="s">
        <v>120</v>
      </c>
      <c r="M3" s="572"/>
      <c r="N3" s="572"/>
      <c r="O3" s="569" t="s">
        <v>122</v>
      </c>
      <c r="P3" s="569"/>
      <c r="Q3" s="569"/>
      <c r="R3" s="576" t="s">
        <v>123</v>
      </c>
      <c r="S3" s="576"/>
      <c r="T3" s="576"/>
      <c r="U3" s="569" t="s">
        <v>124</v>
      </c>
      <c r="V3" s="569"/>
      <c r="W3" s="569"/>
    </row>
    <row r="4" spans="1:23" s="84" customFormat="1" ht="23.45" customHeight="1">
      <c r="A4" s="98"/>
      <c r="B4" s="98"/>
      <c r="C4" s="574"/>
      <c r="D4" s="575"/>
      <c r="E4" s="575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26" t="s">
        <v>530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26" t="s">
        <v>530</v>
      </c>
    </row>
    <row r="5" spans="1:23">
      <c r="A5" s="98"/>
      <c r="B5" s="98"/>
      <c r="C5" s="98"/>
      <c r="D5" s="325">
        <v>46113</v>
      </c>
      <c r="E5" s="325" t="s">
        <v>525</v>
      </c>
      <c r="F5" s="230">
        <v>7706722</v>
      </c>
      <c r="H5" s="353"/>
      <c r="I5" s="231">
        <v>240873</v>
      </c>
      <c r="K5" s="354"/>
      <c r="L5" s="230">
        <v>5520414</v>
      </c>
      <c r="M5" s="323"/>
      <c r="N5" s="353"/>
      <c r="O5" s="90">
        <f t="shared" ref="O5:O39" si="0">L5/F5</f>
        <v>0.7163115524343554</v>
      </c>
      <c r="P5" s="324"/>
      <c r="Q5" s="352"/>
      <c r="R5" s="230">
        <v>1030119.213621792</v>
      </c>
      <c r="S5" s="323"/>
      <c r="T5" s="353"/>
      <c r="U5" s="90">
        <f t="shared" ref="U5:U41" si="1">R5/F5</f>
        <v>0.13366502822105067</v>
      </c>
      <c r="V5" s="324"/>
      <c r="W5" s="352"/>
    </row>
    <row r="6" spans="1:23">
      <c r="A6" s="98"/>
      <c r="B6" s="98"/>
      <c r="C6" s="98"/>
      <c r="D6" s="325">
        <f t="shared" ref="D6:D10" si="2">D5+1</f>
        <v>46114</v>
      </c>
      <c r="E6" s="325" t="s">
        <v>526</v>
      </c>
      <c r="F6" s="230">
        <v>7008581</v>
      </c>
      <c r="G6" s="323">
        <f>SUM(F5:F10)</f>
        <v>44423805</v>
      </c>
      <c r="H6" s="353"/>
      <c r="I6" s="231">
        <v>219733</v>
      </c>
      <c r="J6" s="88">
        <f>SUM(I5:I10)</f>
        <v>1352026</v>
      </c>
      <c r="K6" s="354"/>
      <c r="L6" s="230">
        <v>5014165</v>
      </c>
      <c r="M6" s="323">
        <f>SUM(L5:L10)</f>
        <v>30017428</v>
      </c>
      <c r="N6" s="353"/>
      <c r="O6" s="90">
        <f t="shared" si="0"/>
        <v>0.71543226795837844</v>
      </c>
      <c r="P6" s="90">
        <f>M6/G6</f>
        <v>0.67570591938263735</v>
      </c>
      <c r="Q6" s="352"/>
      <c r="R6" s="230">
        <v>1007333.0976495697</v>
      </c>
      <c r="S6" s="323">
        <f>SUM(R5:R10)</f>
        <v>6039534.666452975</v>
      </c>
      <c r="T6" s="353"/>
      <c r="U6" s="90">
        <f t="shared" si="1"/>
        <v>0.14372853758122647</v>
      </c>
      <c r="V6" s="90">
        <f>S6/G6</f>
        <v>0.13595266471327647</v>
      </c>
      <c r="W6" s="352"/>
    </row>
    <row r="7" spans="1:23" ht="16.5" customHeight="1">
      <c r="A7" s="98"/>
      <c r="B7" s="98"/>
      <c r="C7" s="98"/>
      <c r="D7" s="325">
        <f t="shared" si="2"/>
        <v>46115</v>
      </c>
      <c r="E7" s="325" t="s">
        <v>527</v>
      </c>
      <c r="F7" s="230">
        <v>6828155</v>
      </c>
      <c r="I7" s="231">
        <v>208291</v>
      </c>
      <c r="L7" s="230">
        <v>4573820</v>
      </c>
      <c r="M7" s="323"/>
      <c r="O7" s="90">
        <f t="shared" si="0"/>
        <v>0.66984712561445958</v>
      </c>
      <c r="R7" s="230">
        <v>970568.31292734772</v>
      </c>
      <c r="S7" s="323"/>
      <c r="U7" s="90">
        <f t="shared" si="1"/>
        <v>0.14214210323686965</v>
      </c>
      <c r="V7" s="90"/>
    </row>
    <row r="8" spans="1:23" ht="16.5" customHeight="1">
      <c r="A8" s="98"/>
      <c r="B8" s="98"/>
      <c r="C8" s="98"/>
      <c r="D8" s="325">
        <f t="shared" si="2"/>
        <v>46116</v>
      </c>
      <c r="E8" s="325" t="s">
        <v>528</v>
      </c>
      <c r="F8" s="230">
        <v>6946481</v>
      </c>
      <c r="G8" s="323"/>
      <c r="H8" s="353"/>
      <c r="I8" s="231">
        <v>206015</v>
      </c>
      <c r="K8" s="354"/>
      <c r="L8" s="230">
        <v>4682963</v>
      </c>
      <c r="M8" s="323"/>
      <c r="N8" s="353"/>
      <c r="O8" s="90">
        <f t="shared" si="0"/>
        <v>0.67414896837693794</v>
      </c>
      <c r="P8" s="324"/>
      <c r="Q8" s="352"/>
      <c r="R8" s="230">
        <v>965055.5532051255</v>
      </c>
      <c r="S8" s="323"/>
      <c r="T8" s="353"/>
      <c r="U8" s="90">
        <f t="shared" si="1"/>
        <v>0.13892725729835373</v>
      </c>
      <c r="V8" s="324"/>
      <c r="W8" s="352"/>
    </row>
    <row r="9" spans="1:23" ht="16.5" customHeight="1">
      <c r="A9" s="98"/>
      <c r="B9" s="98"/>
      <c r="C9" s="98"/>
      <c r="D9" s="325">
        <f t="shared" si="2"/>
        <v>46117</v>
      </c>
      <c r="E9" s="325" t="s">
        <v>529</v>
      </c>
      <c r="F9" s="230">
        <v>7261197</v>
      </c>
      <c r="G9" s="323"/>
      <c r="H9" s="353"/>
      <c r="I9" s="231">
        <v>218068</v>
      </c>
      <c r="K9" s="354"/>
      <c r="L9" s="230">
        <v>4774537</v>
      </c>
      <c r="M9" s="323"/>
      <c r="N9" s="353"/>
      <c r="O9" s="90">
        <f t="shared" si="0"/>
        <v>0.65754131171485919</v>
      </c>
      <c r="P9" s="324"/>
      <c r="Q9" s="352"/>
      <c r="R9" s="230">
        <v>973359.30737179215</v>
      </c>
      <c r="S9" s="323"/>
      <c r="T9" s="353"/>
      <c r="U9" s="90">
        <f t="shared" si="1"/>
        <v>0.13404942840302944</v>
      </c>
      <c r="V9" s="324"/>
      <c r="W9" s="352"/>
    </row>
    <row r="10" spans="1:23" ht="16.5" customHeight="1">
      <c r="A10" s="98"/>
      <c r="B10" s="98"/>
      <c r="C10" s="98"/>
      <c r="D10" s="325">
        <f t="shared" si="2"/>
        <v>46118</v>
      </c>
      <c r="E10" s="325" t="s">
        <v>523</v>
      </c>
      <c r="F10" s="230">
        <v>8672669</v>
      </c>
      <c r="H10" s="353">
        <f>SUM(F5:F34)</f>
        <v>102477247</v>
      </c>
      <c r="I10" s="231">
        <v>259046</v>
      </c>
      <c r="K10" s="354">
        <f>SUM(I5:I34)</f>
        <v>3104723</v>
      </c>
      <c r="L10" s="230">
        <v>5451529</v>
      </c>
      <c r="M10" s="323"/>
      <c r="N10" s="353">
        <f>SUM(L5:L34)</f>
        <v>68368101</v>
      </c>
      <c r="O10" s="90">
        <f t="shared" si="0"/>
        <v>0.62858723191211374</v>
      </c>
      <c r="P10" s="324"/>
      <c r="Q10" s="352">
        <f>N10/H10</f>
        <v>0.66715395857579973</v>
      </c>
      <c r="R10" s="232">
        <v>1093099.181677348</v>
      </c>
      <c r="S10" s="323"/>
      <c r="T10" s="353">
        <f>SUM(R5:R35)</f>
        <v>13356389.327083301</v>
      </c>
      <c r="U10" s="90">
        <f t="shared" si="1"/>
        <v>0.12603953658064754</v>
      </c>
      <c r="V10" s="324"/>
      <c r="W10" s="352">
        <f>T10/H10</f>
        <v>0.1303351692018356</v>
      </c>
    </row>
    <row r="11" spans="1:23" ht="16.5" customHeight="1">
      <c r="A11" s="98"/>
      <c r="B11" s="98"/>
      <c r="C11" s="98"/>
      <c r="D11" s="474">
        <f t="shared" ref="D11:D34" si="3">D10+1</f>
        <v>46119</v>
      </c>
      <c r="E11" s="474" t="s">
        <v>524</v>
      </c>
      <c r="F11" s="230">
        <v>8371655</v>
      </c>
      <c r="G11" s="323">
        <f>SUM(F11:F17)</f>
        <v>58053442</v>
      </c>
      <c r="H11" s="353"/>
      <c r="I11" s="231">
        <v>253131</v>
      </c>
      <c r="J11" s="88">
        <f>SUM(I11:I17)</f>
        <v>1752697</v>
      </c>
      <c r="K11" s="354"/>
      <c r="L11" s="230">
        <v>5622332</v>
      </c>
      <c r="M11" s="323">
        <f>SUM(L11:L17)</f>
        <v>38350673</v>
      </c>
      <c r="N11" s="353"/>
      <c r="O11" s="90">
        <f t="shared" si="0"/>
        <v>0.67159145951427768</v>
      </c>
      <c r="P11" s="90">
        <f>M11/G11</f>
        <v>0.66060980501380095</v>
      </c>
      <c r="Q11" s="352"/>
      <c r="R11" s="232">
        <v>1059038.9712606813</v>
      </c>
      <c r="S11" s="323">
        <f>SUM(R11:R17)</f>
        <v>7316854.6606303239</v>
      </c>
      <c r="T11" s="353"/>
      <c r="U11" s="90">
        <f t="shared" si="1"/>
        <v>0.12650294013079627</v>
      </c>
      <c r="V11" s="90">
        <f>S11/G11</f>
        <v>0.12603653476102802</v>
      </c>
      <c r="W11" s="352"/>
    </row>
    <row r="12" spans="1:23" ht="16.5" customHeight="1">
      <c r="A12" s="98"/>
      <c r="B12" s="98"/>
      <c r="C12" s="98"/>
      <c r="D12" s="474">
        <f t="shared" si="3"/>
        <v>46120</v>
      </c>
      <c r="E12" s="474" t="s">
        <v>525</v>
      </c>
      <c r="F12" s="230">
        <v>8123789</v>
      </c>
      <c r="G12" s="323"/>
      <c r="H12" s="353"/>
      <c r="I12" s="231">
        <v>245780</v>
      </c>
      <c r="K12" s="354"/>
      <c r="L12" s="230">
        <v>5359721</v>
      </c>
      <c r="M12" s="323"/>
      <c r="N12" s="353"/>
      <c r="O12" s="90">
        <f t="shared" si="0"/>
        <v>0.65975630337026236</v>
      </c>
      <c r="P12" s="324"/>
      <c r="Q12" s="352"/>
      <c r="R12" s="232">
        <v>1028044.6288995701</v>
      </c>
      <c r="S12" s="323"/>
      <c r="T12" s="353"/>
      <c r="U12" s="90">
        <f t="shared" si="1"/>
        <v>0.12654743111860367</v>
      </c>
      <c r="V12" s="324"/>
      <c r="W12" s="352"/>
    </row>
    <row r="13" spans="1:23" ht="16.5" customHeight="1">
      <c r="A13" s="98"/>
      <c r="B13" s="98"/>
      <c r="C13" s="98"/>
      <c r="D13" s="474">
        <f t="shared" si="3"/>
        <v>46121</v>
      </c>
      <c r="E13" s="474" t="s">
        <v>526</v>
      </c>
      <c r="F13" s="230">
        <v>7630691</v>
      </c>
      <c r="H13" s="353"/>
      <c r="I13" s="231">
        <v>232518</v>
      </c>
      <c r="K13" s="354"/>
      <c r="L13" s="230">
        <v>4997232</v>
      </c>
      <c r="M13" s="323"/>
      <c r="N13" s="353"/>
      <c r="O13" s="90">
        <f t="shared" si="0"/>
        <v>0.654885907449273</v>
      </c>
      <c r="P13" s="324"/>
      <c r="Q13" s="352"/>
      <c r="R13" s="230">
        <v>1013463.2816773478</v>
      </c>
      <c r="S13" s="323"/>
      <c r="T13" s="353"/>
      <c r="U13" s="90">
        <f t="shared" si="1"/>
        <v>0.13281409005781361</v>
      </c>
      <c r="V13" s="324"/>
      <c r="W13" s="352"/>
    </row>
    <row r="14" spans="1:23" ht="16.5" customHeight="1">
      <c r="A14" s="98"/>
      <c r="B14" s="98"/>
      <c r="C14" s="98"/>
      <c r="D14" s="474">
        <f t="shared" si="3"/>
        <v>46122</v>
      </c>
      <c r="E14" s="474" t="s">
        <v>527</v>
      </c>
      <c r="F14" s="230">
        <v>7424675</v>
      </c>
      <c r="G14" s="323"/>
      <c r="H14" s="353"/>
      <c r="I14" s="231">
        <v>224499</v>
      </c>
      <c r="K14" s="354"/>
      <c r="L14" s="230">
        <v>4893396</v>
      </c>
      <c r="M14" s="323"/>
      <c r="N14" s="353"/>
      <c r="O14" s="90">
        <f t="shared" si="0"/>
        <v>0.65907208059612032</v>
      </c>
      <c r="Q14" s="352"/>
      <c r="R14" s="230">
        <v>1020067.5330662368</v>
      </c>
      <c r="S14" s="323"/>
      <c r="T14" s="353"/>
      <c r="U14" s="90">
        <f t="shared" si="1"/>
        <v>0.13738884638940246</v>
      </c>
      <c r="V14" s="90"/>
      <c r="W14" s="352"/>
    </row>
    <row r="15" spans="1:23" ht="16.5" customHeight="1">
      <c r="A15" s="98"/>
      <c r="B15" s="98"/>
      <c r="C15" s="98"/>
      <c r="D15" s="474">
        <f t="shared" si="3"/>
        <v>46123</v>
      </c>
      <c r="E15" s="474" t="s">
        <v>528</v>
      </c>
      <c r="F15" s="230">
        <v>7969209</v>
      </c>
      <c r="G15" s="323"/>
      <c r="H15" s="353"/>
      <c r="I15" s="231">
        <v>237989</v>
      </c>
      <c r="K15" s="354"/>
      <c r="L15" s="230">
        <v>5337220</v>
      </c>
      <c r="M15" s="323"/>
      <c r="N15" s="353"/>
      <c r="O15" s="90">
        <f t="shared" si="0"/>
        <v>0.66973020785375315</v>
      </c>
      <c r="P15" s="324"/>
      <c r="Q15" s="352"/>
      <c r="R15" s="230">
        <v>1016548.2858440144</v>
      </c>
      <c r="S15" s="323"/>
      <c r="T15" s="353"/>
      <c r="U15" s="90">
        <f t="shared" si="1"/>
        <v>0.12755949628677254</v>
      </c>
      <c r="V15" s="324"/>
      <c r="W15" s="352"/>
    </row>
    <row r="16" spans="1:23" ht="16.5" customHeight="1">
      <c r="A16" s="98"/>
      <c r="B16" s="98"/>
      <c r="C16" s="98"/>
      <c r="D16" s="474">
        <f t="shared" si="3"/>
        <v>46124</v>
      </c>
      <c r="E16" s="474" t="s">
        <v>529</v>
      </c>
      <c r="F16" s="230">
        <v>9249267</v>
      </c>
      <c r="G16" s="323"/>
      <c r="H16" s="353"/>
      <c r="I16" s="231">
        <v>277628</v>
      </c>
      <c r="K16" s="354"/>
      <c r="L16" s="230">
        <v>6159720</v>
      </c>
      <c r="M16" s="323"/>
      <c r="N16" s="353"/>
      <c r="O16" s="90">
        <f t="shared" si="0"/>
        <v>0.66596844917548603</v>
      </c>
      <c r="P16" s="324"/>
      <c r="Q16" s="352"/>
      <c r="R16" s="230">
        <v>1076807.9004273475</v>
      </c>
      <c r="S16" s="323"/>
      <c r="T16" s="353"/>
      <c r="U16" s="90">
        <f t="shared" si="1"/>
        <v>0.11642089048000751</v>
      </c>
      <c r="V16" s="324"/>
      <c r="W16" s="352"/>
    </row>
    <row r="17" spans="1:23" ht="16.5" customHeight="1">
      <c r="A17" s="98"/>
      <c r="B17" s="98"/>
      <c r="C17" s="98"/>
      <c r="D17" s="474">
        <f t="shared" si="3"/>
        <v>46125</v>
      </c>
      <c r="E17" s="474" t="s">
        <v>523</v>
      </c>
      <c r="F17" s="230">
        <v>9284156</v>
      </c>
      <c r="H17" s="353"/>
      <c r="I17" s="231">
        <v>281152</v>
      </c>
      <c r="K17" s="354"/>
      <c r="L17" s="230">
        <v>5981052</v>
      </c>
      <c r="M17" s="323"/>
      <c r="N17" s="353"/>
      <c r="O17" s="90">
        <f t="shared" si="0"/>
        <v>0.64422140257014204</v>
      </c>
      <c r="P17" s="324"/>
      <c r="Q17" s="352"/>
      <c r="R17" s="230">
        <v>1102884.0594551256</v>
      </c>
      <c r="S17" s="323"/>
      <c r="T17" s="353"/>
      <c r="U17" s="90">
        <f t="shared" si="1"/>
        <v>0.11879206461579551</v>
      </c>
      <c r="V17" s="324"/>
      <c r="W17" s="352"/>
    </row>
    <row r="18" spans="1:23" ht="16.5" customHeight="1">
      <c r="A18" s="98"/>
      <c r="B18" s="98"/>
      <c r="C18" s="98"/>
      <c r="D18" s="325">
        <f t="shared" si="3"/>
        <v>46126</v>
      </c>
      <c r="E18" s="325" t="s">
        <v>524</v>
      </c>
      <c r="F18" s="230"/>
      <c r="G18" s="323">
        <f>SUM(F18:F24)</f>
        <v>0</v>
      </c>
      <c r="H18" s="353"/>
      <c r="I18" s="231"/>
      <c r="J18" s="88">
        <f>SUM(I18:I24)</f>
        <v>0</v>
      </c>
      <c r="K18" s="354"/>
      <c r="L18" s="230"/>
      <c r="M18" s="323">
        <f>SUM(L18:L24)</f>
        <v>0</v>
      </c>
      <c r="N18" s="353"/>
      <c r="O18" s="90" t="e">
        <f t="shared" si="0"/>
        <v>#DIV/0!</v>
      </c>
      <c r="P18" s="90" t="e">
        <f>M18/G18</f>
        <v>#DIV/0!</v>
      </c>
      <c r="Q18" s="352"/>
      <c r="R18" s="230"/>
      <c r="S18" s="323">
        <f>SUM(R18:R24)</f>
        <v>0</v>
      </c>
      <c r="T18" s="353"/>
      <c r="U18" s="90" t="e">
        <f t="shared" si="1"/>
        <v>#DIV/0!</v>
      </c>
      <c r="V18" s="324" t="e">
        <f>S18/M18</f>
        <v>#DIV/0!</v>
      </c>
      <c r="W18" s="352"/>
    </row>
    <row r="19" spans="1:23" ht="16.5" customHeight="1">
      <c r="A19" s="98"/>
      <c r="B19" s="98"/>
      <c r="C19" s="98"/>
      <c r="D19" s="325">
        <f t="shared" si="3"/>
        <v>46127</v>
      </c>
      <c r="E19" s="325" t="s">
        <v>525</v>
      </c>
      <c r="F19" s="230"/>
      <c r="G19" s="323"/>
      <c r="H19" s="353"/>
      <c r="I19" s="231"/>
      <c r="K19" s="354"/>
      <c r="L19" s="230"/>
      <c r="M19" s="323"/>
      <c r="N19" s="353"/>
      <c r="O19" s="90" t="e">
        <f t="shared" si="0"/>
        <v>#DIV/0!</v>
      </c>
      <c r="P19" s="324"/>
      <c r="Q19" s="352"/>
      <c r="R19" s="230"/>
      <c r="S19" s="323"/>
      <c r="T19" s="353"/>
      <c r="U19" s="90" t="e">
        <f t="shared" si="1"/>
        <v>#DIV/0!</v>
      </c>
      <c r="V19" s="324"/>
      <c r="W19" s="352"/>
    </row>
    <row r="20" spans="1:23" ht="16.5" customHeight="1">
      <c r="A20" s="98"/>
      <c r="B20" s="98"/>
      <c r="C20" s="98"/>
      <c r="D20" s="325">
        <f t="shared" si="3"/>
        <v>46128</v>
      </c>
      <c r="E20" s="325" t="s">
        <v>526</v>
      </c>
      <c r="F20" s="230"/>
      <c r="H20" s="353"/>
      <c r="I20" s="231"/>
      <c r="K20" s="354"/>
      <c r="L20" s="230"/>
      <c r="M20" s="323"/>
      <c r="N20" s="353"/>
      <c r="O20" s="90" t="e">
        <f t="shared" si="0"/>
        <v>#DIV/0!</v>
      </c>
      <c r="P20" s="324"/>
      <c r="Q20" s="352"/>
      <c r="R20" s="230"/>
      <c r="S20" s="323"/>
      <c r="T20" s="353"/>
      <c r="U20" s="90" t="e">
        <f t="shared" si="1"/>
        <v>#DIV/0!</v>
      </c>
      <c r="V20" s="324"/>
      <c r="W20" s="352"/>
    </row>
    <row r="21" spans="1:23" ht="16.5" customHeight="1">
      <c r="A21" s="98"/>
      <c r="B21" s="98"/>
      <c r="C21" s="98"/>
      <c r="D21" s="325">
        <f t="shared" si="3"/>
        <v>46129</v>
      </c>
      <c r="E21" s="325" t="s">
        <v>527</v>
      </c>
      <c r="F21" s="230"/>
      <c r="G21" s="323"/>
      <c r="H21" s="353"/>
      <c r="I21" s="231"/>
      <c r="K21" s="354"/>
      <c r="L21" s="230"/>
      <c r="M21" s="323"/>
      <c r="N21" s="353"/>
      <c r="O21" s="90" t="e">
        <f t="shared" si="0"/>
        <v>#DIV/0!</v>
      </c>
      <c r="Q21" s="352"/>
      <c r="R21" s="230"/>
      <c r="S21" s="323"/>
      <c r="T21" s="353"/>
      <c r="U21" s="90" t="e">
        <f t="shared" si="1"/>
        <v>#DIV/0!</v>
      </c>
      <c r="V21" s="90"/>
      <c r="W21" s="352"/>
    </row>
    <row r="22" spans="1:23" ht="16.5" customHeight="1">
      <c r="A22" s="98"/>
      <c r="B22" s="98"/>
      <c r="C22" s="98"/>
      <c r="D22" s="325">
        <f t="shared" si="3"/>
        <v>46130</v>
      </c>
      <c r="E22" s="325" t="s">
        <v>528</v>
      </c>
      <c r="F22" s="230"/>
      <c r="G22" s="323"/>
      <c r="H22" s="353"/>
      <c r="I22" s="231"/>
      <c r="K22" s="354"/>
      <c r="L22" s="230"/>
      <c r="M22" s="323"/>
      <c r="N22" s="353"/>
      <c r="O22" s="90" t="e">
        <f t="shared" si="0"/>
        <v>#DIV/0!</v>
      </c>
      <c r="P22" s="324"/>
      <c r="Q22" s="352"/>
      <c r="R22" s="230"/>
      <c r="S22" s="323"/>
      <c r="T22" s="353"/>
      <c r="U22" s="90" t="e">
        <f t="shared" si="1"/>
        <v>#DIV/0!</v>
      </c>
      <c r="V22" s="324"/>
      <c r="W22" s="352"/>
    </row>
    <row r="23" spans="1:23" ht="16.5" customHeight="1">
      <c r="A23" s="98"/>
      <c r="B23" s="98"/>
      <c r="C23" s="98"/>
      <c r="D23" s="325">
        <f t="shared" si="3"/>
        <v>46131</v>
      </c>
      <c r="E23" s="325" t="s">
        <v>529</v>
      </c>
      <c r="F23" s="230"/>
      <c r="G23" s="323"/>
      <c r="H23" s="353"/>
      <c r="I23" s="231"/>
      <c r="K23" s="354"/>
      <c r="L23" s="230"/>
      <c r="M23" s="323"/>
      <c r="N23" s="353"/>
      <c r="O23" s="90" t="e">
        <f t="shared" si="0"/>
        <v>#DIV/0!</v>
      </c>
      <c r="P23" s="324"/>
      <c r="Q23" s="352"/>
      <c r="R23" s="230"/>
      <c r="S23" s="323"/>
      <c r="T23" s="353"/>
      <c r="U23" s="90" t="e">
        <f t="shared" si="1"/>
        <v>#DIV/0!</v>
      </c>
      <c r="V23" s="324"/>
      <c r="W23" s="352"/>
    </row>
    <row r="24" spans="1:23" ht="16.5" customHeight="1">
      <c r="A24" s="98"/>
      <c r="B24" s="98"/>
      <c r="C24" s="98"/>
      <c r="D24" s="325">
        <f t="shared" si="3"/>
        <v>46132</v>
      </c>
      <c r="E24" s="325" t="s">
        <v>523</v>
      </c>
      <c r="F24" s="230"/>
      <c r="H24" s="353"/>
      <c r="I24" s="231"/>
      <c r="K24" s="354"/>
      <c r="L24" s="230"/>
      <c r="M24" s="323"/>
      <c r="N24" s="353"/>
      <c r="O24" s="90" t="e">
        <f t="shared" si="0"/>
        <v>#DIV/0!</v>
      </c>
      <c r="P24" s="324"/>
      <c r="Q24" s="352"/>
      <c r="R24" s="230"/>
      <c r="S24" s="323"/>
      <c r="T24" s="353"/>
      <c r="U24" s="90" t="e">
        <f t="shared" si="1"/>
        <v>#DIV/0!</v>
      </c>
      <c r="V24" s="324"/>
      <c r="W24" s="352"/>
    </row>
    <row r="25" spans="1:23" ht="16.5" customHeight="1">
      <c r="A25" s="98"/>
      <c r="B25" s="98"/>
      <c r="C25" s="98"/>
      <c r="D25" s="474">
        <f t="shared" si="3"/>
        <v>46133</v>
      </c>
      <c r="E25" s="474" t="s">
        <v>524</v>
      </c>
      <c r="F25" s="230"/>
      <c r="G25" s="323">
        <f>SUM(F25:F31)</f>
        <v>0</v>
      </c>
      <c r="H25" s="353"/>
      <c r="I25" s="231"/>
      <c r="J25" s="88">
        <f>SUM(I25:I31)</f>
        <v>0</v>
      </c>
      <c r="K25" s="354"/>
      <c r="L25" s="230"/>
      <c r="M25" s="323">
        <f>SUM(L25:L31)</f>
        <v>0</v>
      </c>
      <c r="N25" s="353"/>
      <c r="O25" s="90" t="e">
        <f t="shared" si="0"/>
        <v>#DIV/0!</v>
      </c>
      <c r="P25" s="90" t="e">
        <f>M25/G25</f>
        <v>#DIV/0!</v>
      </c>
      <c r="Q25" s="352"/>
      <c r="R25" s="230"/>
      <c r="S25" s="323">
        <f>SUM(R25:R31)</f>
        <v>0</v>
      </c>
      <c r="T25" s="353"/>
      <c r="U25" s="90" t="e">
        <f t="shared" si="1"/>
        <v>#DIV/0!</v>
      </c>
      <c r="V25" s="324" t="e">
        <f>S25/M25</f>
        <v>#DIV/0!</v>
      </c>
      <c r="W25" s="352"/>
    </row>
    <row r="26" spans="1:23" ht="16.5" customHeight="1">
      <c r="A26" s="98"/>
      <c r="B26" s="98"/>
      <c r="C26" s="98"/>
      <c r="D26" s="474">
        <f t="shared" si="3"/>
        <v>46134</v>
      </c>
      <c r="E26" s="474" t="s">
        <v>525</v>
      </c>
      <c r="F26" s="230"/>
      <c r="G26" s="323"/>
      <c r="H26" s="353"/>
      <c r="I26" s="231"/>
      <c r="K26" s="354"/>
      <c r="L26" s="230"/>
      <c r="M26" s="323"/>
      <c r="N26" s="353"/>
      <c r="O26" s="90" t="e">
        <f t="shared" si="0"/>
        <v>#DIV/0!</v>
      </c>
      <c r="P26" s="324"/>
      <c r="Q26" s="352"/>
      <c r="R26" s="230"/>
      <c r="S26" s="323"/>
      <c r="T26" s="353"/>
      <c r="U26" s="90" t="e">
        <f t="shared" si="1"/>
        <v>#DIV/0!</v>
      </c>
      <c r="V26" s="324"/>
      <c r="W26" s="352"/>
    </row>
    <row r="27" spans="1:23">
      <c r="A27" s="98"/>
      <c r="B27" s="98"/>
      <c r="C27" s="98"/>
      <c r="D27" s="474">
        <f t="shared" si="3"/>
        <v>46135</v>
      </c>
      <c r="E27" s="474" t="s">
        <v>526</v>
      </c>
      <c r="F27" s="230"/>
      <c r="H27" s="353"/>
      <c r="I27" s="231"/>
      <c r="K27" s="354"/>
      <c r="L27" s="230"/>
      <c r="M27" s="323"/>
      <c r="N27" s="353"/>
      <c r="O27" s="90" t="e">
        <f t="shared" si="0"/>
        <v>#DIV/0!</v>
      </c>
      <c r="P27" s="324"/>
      <c r="Q27" s="352"/>
      <c r="R27" s="230"/>
      <c r="S27" s="323"/>
      <c r="T27" s="353"/>
      <c r="U27" s="90" t="e">
        <f t="shared" si="1"/>
        <v>#DIV/0!</v>
      </c>
      <c r="V27" s="324"/>
      <c r="W27" s="352"/>
    </row>
    <row r="28" spans="1:23">
      <c r="A28" s="98"/>
      <c r="B28" s="98"/>
      <c r="C28" s="98"/>
      <c r="D28" s="474">
        <f t="shared" si="3"/>
        <v>46136</v>
      </c>
      <c r="E28" s="474" t="s">
        <v>527</v>
      </c>
      <c r="F28" s="230"/>
      <c r="G28" s="323"/>
      <c r="H28" s="353"/>
      <c r="I28" s="231"/>
      <c r="K28" s="354"/>
      <c r="L28" s="230"/>
      <c r="M28" s="323"/>
      <c r="N28" s="353"/>
      <c r="O28" s="90" t="e">
        <f t="shared" si="0"/>
        <v>#DIV/0!</v>
      </c>
      <c r="Q28" s="352"/>
      <c r="R28" s="230"/>
      <c r="S28" s="323"/>
      <c r="T28" s="353"/>
      <c r="U28" s="90" t="e">
        <f t="shared" si="1"/>
        <v>#DIV/0!</v>
      </c>
      <c r="V28" s="90"/>
      <c r="W28" s="352"/>
    </row>
    <row r="29" spans="1:23">
      <c r="A29" s="98"/>
      <c r="B29" s="98"/>
      <c r="C29" s="98"/>
      <c r="D29" s="474">
        <f t="shared" si="3"/>
        <v>46137</v>
      </c>
      <c r="E29" s="474" t="s">
        <v>528</v>
      </c>
      <c r="F29" s="230"/>
      <c r="G29" s="323"/>
      <c r="H29" s="353"/>
      <c r="I29" s="231"/>
      <c r="K29" s="354"/>
      <c r="L29" s="230"/>
      <c r="M29" s="323"/>
      <c r="N29" s="353"/>
      <c r="O29" s="90" t="e">
        <f t="shared" si="0"/>
        <v>#DIV/0!</v>
      </c>
      <c r="P29" s="324"/>
      <c r="Q29" s="352"/>
      <c r="R29" s="230"/>
      <c r="S29" s="323"/>
      <c r="T29" s="353"/>
      <c r="U29" s="90" t="e">
        <f t="shared" si="1"/>
        <v>#DIV/0!</v>
      </c>
      <c r="V29" s="324"/>
      <c r="W29" s="352"/>
    </row>
    <row r="30" spans="1:23">
      <c r="A30" s="98"/>
      <c r="B30" s="98"/>
      <c r="C30" s="98"/>
      <c r="D30" s="474">
        <f t="shared" si="3"/>
        <v>46138</v>
      </c>
      <c r="E30" s="474" t="s">
        <v>529</v>
      </c>
      <c r="F30" s="230"/>
      <c r="G30" s="323"/>
      <c r="H30" s="353"/>
      <c r="I30" s="231"/>
      <c r="K30" s="354"/>
      <c r="L30" s="230"/>
      <c r="M30" s="323"/>
      <c r="N30" s="353"/>
      <c r="O30" s="90" t="e">
        <f t="shared" si="0"/>
        <v>#DIV/0!</v>
      </c>
      <c r="P30" s="324"/>
      <c r="Q30" s="352"/>
      <c r="R30" s="230"/>
      <c r="S30" s="323"/>
      <c r="T30" s="353"/>
      <c r="U30" s="90" t="e">
        <f t="shared" si="1"/>
        <v>#DIV/0!</v>
      </c>
      <c r="V30" s="324"/>
      <c r="W30" s="352"/>
    </row>
    <row r="31" spans="1:23">
      <c r="A31" s="98"/>
      <c r="B31" s="98"/>
      <c r="C31" s="98"/>
      <c r="D31" s="474">
        <f t="shared" si="3"/>
        <v>46139</v>
      </c>
      <c r="E31" s="474" t="s">
        <v>523</v>
      </c>
      <c r="F31" s="230"/>
      <c r="H31" s="353"/>
      <c r="I31" s="231"/>
      <c r="K31" s="354"/>
      <c r="L31" s="230"/>
      <c r="M31" s="323"/>
      <c r="N31" s="353"/>
      <c r="O31" s="90" t="e">
        <f t="shared" si="0"/>
        <v>#DIV/0!</v>
      </c>
      <c r="P31" s="324"/>
      <c r="Q31" s="352"/>
      <c r="R31" s="230"/>
      <c r="S31" s="323"/>
      <c r="T31" s="353"/>
      <c r="U31" s="90" t="e">
        <f t="shared" si="1"/>
        <v>#DIV/0!</v>
      </c>
      <c r="V31" s="324"/>
      <c r="W31" s="352"/>
    </row>
    <row r="32" spans="1:23">
      <c r="A32" s="98"/>
      <c r="B32" s="98"/>
      <c r="C32" s="98"/>
      <c r="D32" s="325">
        <f t="shared" si="3"/>
        <v>46140</v>
      </c>
      <c r="E32" s="325" t="s">
        <v>524</v>
      </c>
      <c r="F32" s="230"/>
      <c r="G32" s="323">
        <f>SUM(F32:F38)</f>
        <v>0</v>
      </c>
      <c r="H32" s="353"/>
      <c r="I32" s="231"/>
      <c r="J32" s="88">
        <f>SUM(I32:I38)</f>
        <v>0</v>
      </c>
      <c r="K32" s="354"/>
      <c r="L32" s="230"/>
      <c r="M32" s="323">
        <f>SUM(L32:L38)</f>
        <v>0</v>
      </c>
      <c r="N32" s="353"/>
      <c r="O32" s="90" t="e">
        <f t="shared" si="0"/>
        <v>#DIV/0!</v>
      </c>
      <c r="P32" s="90" t="e">
        <f>M32/G32</f>
        <v>#DIV/0!</v>
      </c>
      <c r="Q32" s="352"/>
      <c r="R32" s="230"/>
      <c r="S32" s="323">
        <f>SUM(R32:R38)</f>
        <v>0</v>
      </c>
      <c r="T32" s="353"/>
      <c r="U32" s="90" t="e">
        <f t="shared" si="1"/>
        <v>#DIV/0!</v>
      </c>
      <c r="V32" s="90" t="e">
        <f>S32/M32</f>
        <v>#DIV/0!</v>
      </c>
      <c r="W32" s="352"/>
    </row>
    <row r="33" spans="1:23">
      <c r="A33" s="98"/>
      <c r="B33" s="98"/>
      <c r="C33" s="98"/>
      <c r="D33" s="325">
        <f t="shared" si="3"/>
        <v>46141</v>
      </c>
      <c r="E33" s="325" t="s">
        <v>525</v>
      </c>
      <c r="F33" s="230"/>
      <c r="G33" s="323"/>
      <c r="H33" s="353"/>
      <c r="I33" s="231"/>
      <c r="K33" s="354"/>
      <c r="L33" s="230"/>
      <c r="M33" s="323"/>
      <c r="N33" s="353"/>
      <c r="O33" s="90" t="e">
        <f t="shared" si="0"/>
        <v>#DIV/0!</v>
      </c>
      <c r="Q33" s="352"/>
      <c r="R33" s="230"/>
      <c r="S33" s="323"/>
      <c r="T33" s="353"/>
      <c r="U33" s="90" t="e">
        <f t="shared" si="1"/>
        <v>#DIV/0!</v>
      </c>
      <c r="V33" s="90"/>
      <c r="W33" s="352"/>
    </row>
    <row r="34" spans="1:23">
      <c r="A34" s="98"/>
      <c r="B34" s="98"/>
      <c r="C34" s="98"/>
      <c r="D34" s="325">
        <f t="shared" si="3"/>
        <v>46142</v>
      </c>
      <c r="E34" s="325" t="s">
        <v>526</v>
      </c>
      <c r="F34" s="230"/>
      <c r="H34" s="353"/>
      <c r="I34" s="231"/>
      <c r="K34" s="354"/>
      <c r="L34" s="230"/>
      <c r="M34" s="323"/>
      <c r="N34" s="353"/>
      <c r="O34" s="90" t="e">
        <f t="shared" si="0"/>
        <v>#DIV/0!</v>
      </c>
      <c r="Q34" s="352"/>
      <c r="R34" s="230"/>
      <c r="S34" s="323"/>
      <c r="T34" s="353"/>
      <c r="U34" s="90" t="e">
        <f t="shared" si="1"/>
        <v>#DIV/0!</v>
      </c>
      <c r="V34" s="90"/>
      <c r="W34" s="352"/>
    </row>
    <row r="35" spans="1:23">
      <c r="A35" s="98"/>
      <c r="B35" s="98"/>
      <c r="D35" s="325">
        <f>D34+1</f>
        <v>46143</v>
      </c>
      <c r="E35" s="325" t="s">
        <v>527</v>
      </c>
      <c r="F35" s="230"/>
      <c r="G35" s="323"/>
      <c r="I35" s="231"/>
      <c r="L35" s="230"/>
      <c r="M35" s="323"/>
      <c r="N35" s="87"/>
      <c r="O35" s="90" t="e">
        <f t="shared" si="0"/>
        <v>#DIV/0!</v>
      </c>
      <c r="Q35" s="87"/>
      <c r="R35" s="230"/>
      <c r="S35" s="323"/>
      <c r="T35" s="87"/>
      <c r="U35" s="90" t="e">
        <f t="shared" si="1"/>
        <v>#DIV/0!</v>
      </c>
      <c r="V35" s="90"/>
      <c r="W35" s="87"/>
    </row>
    <row r="36" spans="1:23">
      <c r="A36" s="98"/>
      <c r="B36" s="98"/>
      <c r="C36" s="98"/>
      <c r="D36" s="325">
        <f t="shared" ref="D36:D38" si="4">D35+1</f>
        <v>46144</v>
      </c>
      <c r="E36" s="325" t="s">
        <v>528</v>
      </c>
      <c r="F36" s="230"/>
      <c r="G36" s="323"/>
      <c r="H36" s="353"/>
      <c r="I36" s="231"/>
      <c r="K36" s="354"/>
      <c r="L36" s="230"/>
      <c r="M36" s="323"/>
      <c r="N36" s="353"/>
      <c r="O36" s="90" t="e">
        <f t="shared" si="0"/>
        <v>#DIV/0!</v>
      </c>
      <c r="Q36" s="352"/>
      <c r="R36" s="230"/>
      <c r="S36" s="323"/>
      <c r="T36" s="353"/>
      <c r="U36" s="90" t="e">
        <f t="shared" si="1"/>
        <v>#DIV/0!</v>
      </c>
      <c r="V36" s="90"/>
      <c r="W36" s="352"/>
    </row>
    <row r="37" spans="1:23">
      <c r="A37" s="98"/>
      <c r="B37" s="98"/>
      <c r="D37" s="325">
        <f t="shared" si="4"/>
        <v>46145</v>
      </c>
      <c r="E37" s="325" t="s">
        <v>529</v>
      </c>
      <c r="F37" s="230"/>
      <c r="G37" s="323"/>
      <c r="I37" s="231"/>
      <c r="L37" s="230"/>
      <c r="M37" s="323"/>
      <c r="N37" s="87"/>
      <c r="O37" s="90" t="e">
        <f t="shared" si="0"/>
        <v>#DIV/0!</v>
      </c>
      <c r="Q37" s="87"/>
      <c r="R37" s="230"/>
      <c r="S37" s="323"/>
      <c r="T37" s="87"/>
      <c r="U37" s="90" t="e">
        <f t="shared" si="1"/>
        <v>#DIV/0!</v>
      </c>
      <c r="V37" s="90"/>
      <c r="W37" s="87"/>
    </row>
    <row r="38" spans="1:23">
      <c r="A38" s="98"/>
      <c r="B38" s="98"/>
      <c r="D38" s="325">
        <f t="shared" si="4"/>
        <v>46146</v>
      </c>
      <c r="E38" s="325" t="s">
        <v>523</v>
      </c>
      <c r="F38" s="230"/>
      <c r="G38" s="323"/>
      <c r="I38" s="231"/>
      <c r="L38" s="230"/>
      <c r="M38" s="323"/>
      <c r="N38" s="87"/>
      <c r="O38" s="90" t="e">
        <f t="shared" si="0"/>
        <v>#DIV/0!</v>
      </c>
      <c r="Q38" s="87"/>
      <c r="R38" s="230"/>
      <c r="S38" s="323"/>
      <c r="T38" s="87"/>
      <c r="U38" s="90" t="e">
        <f t="shared" si="1"/>
        <v>#DIV/0!</v>
      </c>
      <c r="V38" s="90"/>
      <c r="W38" s="87"/>
    </row>
    <row r="39" spans="1:23">
      <c r="A39" s="98"/>
      <c r="B39" s="98"/>
      <c r="D39" s="325"/>
      <c r="E39" s="325"/>
      <c r="F39" s="230"/>
      <c r="G39" s="323"/>
      <c r="I39" s="231"/>
      <c r="L39" s="230"/>
      <c r="M39" s="323"/>
      <c r="N39" s="87"/>
      <c r="O39" s="90" t="e">
        <f t="shared" si="0"/>
        <v>#DIV/0!</v>
      </c>
      <c r="Q39" s="87"/>
      <c r="R39" s="230"/>
      <c r="S39" s="323"/>
      <c r="T39" s="87"/>
      <c r="U39" s="90" t="e">
        <f t="shared" si="1"/>
        <v>#DIV/0!</v>
      </c>
      <c r="V39" s="90"/>
      <c r="W39" s="87"/>
    </row>
    <row r="40" spans="1:23">
      <c r="A40" s="98"/>
      <c r="B40" s="98"/>
      <c r="D40" s="325"/>
      <c r="E40" s="325"/>
      <c r="F40" s="230"/>
      <c r="G40" s="323"/>
      <c r="I40" s="231"/>
      <c r="L40" s="230"/>
      <c r="M40" s="323"/>
      <c r="N40" s="87"/>
      <c r="O40" s="90" t="e">
        <f>L40/F40</f>
        <v>#DIV/0!</v>
      </c>
      <c r="Q40" s="87"/>
      <c r="R40" s="230"/>
      <c r="S40" s="323"/>
      <c r="T40" s="87"/>
      <c r="U40" s="90" t="e">
        <f t="shared" si="1"/>
        <v>#DIV/0!</v>
      </c>
      <c r="V40" s="90"/>
      <c r="W40" s="87"/>
    </row>
    <row r="41" spans="1:23">
      <c r="A41" s="98"/>
      <c r="B41" s="98"/>
      <c r="D41" s="325"/>
      <c r="E41" s="325"/>
      <c r="F41" s="230"/>
      <c r="G41" s="323"/>
      <c r="I41" s="231"/>
      <c r="L41" s="230"/>
      <c r="M41" s="323"/>
      <c r="N41" s="87"/>
      <c r="O41" s="90" t="e">
        <f>L41/F41</f>
        <v>#DIV/0!</v>
      </c>
      <c r="Q41" s="87"/>
      <c r="R41" s="232"/>
      <c r="S41" s="323"/>
      <c r="T41" s="87"/>
      <c r="U41" s="90" t="e">
        <f t="shared" si="1"/>
        <v>#DIV/0!</v>
      </c>
      <c r="V41" s="90"/>
      <c r="W41" s="87"/>
    </row>
    <row r="42" spans="1:23">
      <c r="A42" s="98"/>
      <c r="B42" s="98"/>
      <c r="D42" s="86"/>
      <c r="E42" s="86"/>
      <c r="G42" s="323"/>
      <c r="M42" s="323"/>
      <c r="N42" s="87"/>
      <c r="Q42" s="87"/>
      <c r="S42" s="323"/>
      <c r="T42" s="87"/>
      <c r="V42" s="90"/>
      <c r="W42" s="87"/>
    </row>
    <row r="43" spans="1:23">
      <c r="A43" s="98"/>
      <c r="B43" s="98"/>
      <c r="D43" s="86"/>
      <c r="E43" s="86"/>
      <c r="G43" s="323"/>
      <c r="M43" s="323"/>
      <c r="N43" s="87"/>
      <c r="Q43" s="87"/>
      <c r="S43" s="323"/>
      <c r="T43" s="87"/>
      <c r="V43" s="90"/>
      <c r="W43" s="87"/>
    </row>
    <row r="44" spans="1:23">
      <c r="A44" s="98"/>
      <c r="B44" s="98"/>
      <c r="D44" s="86"/>
      <c r="E44" s="86"/>
      <c r="G44" s="323"/>
      <c r="M44" s="323"/>
      <c r="N44" s="87"/>
      <c r="Q44" s="87"/>
      <c r="S44" s="323"/>
      <c r="T44" s="87"/>
      <c r="V44" s="90"/>
      <c r="W44" s="87"/>
    </row>
    <row r="45" spans="1:23">
      <c r="A45" s="98"/>
      <c r="B45" s="98"/>
      <c r="F45" s="87">
        <v>8528663</v>
      </c>
      <c r="M45" s="87"/>
      <c r="R45" s="89">
        <v>1013806.7204301081</v>
      </c>
      <c r="S45" s="87"/>
    </row>
    <row r="46" spans="1:23">
      <c r="A46" s="98"/>
      <c r="B46" s="98"/>
      <c r="M46" s="87"/>
    </row>
    <row r="47" spans="1:23">
      <c r="A47" s="98"/>
      <c r="B47" s="98"/>
      <c r="M47" s="87"/>
    </row>
    <row r="48" spans="1:23">
      <c r="A48" s="98"/>
      <c r="B48" s="98"/>
      <c r="M48" s="87"/>
    </row>
    <row r="49" spans="1:13">
      <c r="A49" s="98"/>
      <c r="B49" s="98"/>
      <c r="M49" s="87"/>
    </row>
    <row r="50" spans="1:13">
      <c r="B50" s="98"/>
      <c r="M50" s="87"/>
    </row>
    <row r="51" spans="1:13">
      <c r="M51" s="87"/>
    </row>
    <row r="52" spans="1:13">
      <c r="M52" s="87"/>
    </row>
    <row r="53" spans="1:13">
      <c r="M53" s="87"/>
    </row>
    <row r="54" spans="1:13">
      <c r="M54" s="87"/>
    </row>
    <row r="55" spans="1:13">
      <c r="M55" s="87"/>
    </row>
    <row r="56" spans="1:13">
      <c r="M56" s="87"/>
    </row>
    <row r="57" spans="1:13">
      <c r="M57" s="87"/>
    </row>
    <row r="58" spans="1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U11" sqref="U11:U17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570" t="s">
        <v>126</v>
      </c>
      <c r="C2" s="577"/>
      <c r="D2" s="577"/>
      <c r="E2" s="577"/>
      <c r="F2" s="577"/>
      <c r="G2" s="577"/>
      <c r="H2" s="577"/>
      <c r="I2" s="577"/>
      <c r="J2" s="577"/>
      <c r="K2" s="577"/>
      <c r="L2" s="577"/>
      <c r="M2" s="577"/>
      <c r="N2" s="577"/>
      <c r="O2" s="577"/>
      <c r="P2" s="577"/>
      <c r="Q2" s="577"/>
      <c r="R2" s="577"/>
      <c r="S2" s="577"/>
      <c r="T2" s="577"/>
      <c r="U2" s="577"/>
    </row>
    <row r="3" spans="2:23" s="72" customFormat="1" ht="23.45" customHeight="1">
      <c r="B3" s="98"/>
      <c r="C3" s="574" t="s">
        <v>116</v>
      </c>
      <c r="D3" s="575" t="s">
        <v>105</v>
      </c>
      <c r="E3" s="575"/>
      <c r="F3" s="578" t="s">
        <v>107</v>
      </c>
      <c r="G3" s="578"/>
      <c r="H3" s="578"/>
      <c r="I3" s="580" t="s">
        <v>108</v>
      </c>
      <c r="J3" s="580"/>
      <c r="K3" s="580"/>
      <c r="L3" s="579" t="s">
        <v>324</v>
      </c>
      <c r="M3" s="579"/>
      <c r="N3" s="579"/>
      <c r="O3" s="579" t="s">
        <v>106</v>
      </c>
      <c r="P3" s="579"/>
      <c r="Q3" s="579"/>
      <c r="R3" s="579" t="s">
        <v>109</v>
      </c>
      <c r="S3" s="579"/>
      <c r="T3" s="579"/>
      <c r="U3" s="579" t="s">
        <v>110</v>
      </c>
      <c r="V3" s="579"/>
      <c r="W3" s="579"/>
    </row>
    <row r="4" spans="2:23" ht="15.75">
      <c r="B4" s="98"/>
      <c r="C4" s="574"/>
      <c r="D4" s="575"/>
      <c r="E4" s="575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325">
        <v>46113</v>
      </c>
      <c r="E5" s="325" t="s">
        <v>525</v>
      </c>
      <c r="F5" s="229">
        <v>363.46149845097142</v>
      </c>
      <c r="G5" s="93"/>
      <c r="H5" s="93"/>
      <c r="I5" s="90">
        <f>F5/$C$1</f>
        <v>0.99306420341795465</v>
      </c>
      <c r="J5" s="214"/>
      <c r="K5" s="214"/>
      <c r="L5" s="248">
        <v>2.4438405848816137E-3</v>
      </c>
      <c r="M5" s="324"/>
      <c r="N5" s="324"/>
      <c r="O5" s="248">
        <v>1.7162690131939282E-3</v>
      </c>
      <c r="P5" s="324"/>
      <c r="Q5" s="324"/>
      <c r="R5" s="233">
        <v>0.91700000000000004</v>
      </c>
      <c r="S5" s="214"/>
      <c r="T5" s="324"/>
      <c r="U5" s="233">
        <v>0.22</v>
      </c>
      <c r="V5" s="214"/>
      <c r="W5" s="324"/>
    </row>
    <row r="6" spans="2:23" ht="14.45" customHeight="1">
      <c r="B6" s="98"/>
      <c r="C6" s="98"/>
      <c r="D6" s="325">
        <f t="shared" ref="D6:D34" si="0">D5+1</f>
        <v>46114</v>
      </c>
      <c r="E6" s="325" t="s">
        <v>526</v>
      </c>
      <c r="F6" s="229">
        <v>356.08261363571057</v>
      </c>
      <c r="G6" s="94">
        <f>AVERAGE(F5:F10)</f>
        <v>354.21520580484065</v>
      </c>
      <c r="H6" s="93"/>
      <c r="I6" s="90">
        <f>F6/$C$1</f>
        <v>0.97290331594456436</v>
      </c>
      <c r="J6" s="214">
        <f>AVERAGE(I5:I10)</f>
        <v>0.96780110875639502</v>
      </c>
      <c r="K6" s="214"/>
      <c r="L6" s="248">
        <v>2.4211748426678668E-3</v>
      </c>
      <c r="M6" s="324">
        <f>AVERAGE(L5:L10)</f>
        <v>2.4410413754140815E-3</v>
      </c>
      <c r="N6" s="324"/>
      <c r="O6" s="248">
        <v>2.0147929713968953E-3</v>
      </c>
      <c r="P6" s="324">
        <f>AVERAGE(O5:O10)</f>
        <v>1.8116415883888369E-3</v>
      </c>
      <c r="Q6" s="324"/>
      <c r="R6" s="233">
        <v>0.91700000000000004</v>
      </c>
      <c r="S6" s="214">
        <f>AVERAGE(R5:R10)</f>
        <v>0.91699999999999993</v>
      </c>
      <c r="T6" s="324"/>
      <c r="U6" s="233">
        <v>0.224</v>
      </c>
      <c r="V6" s="214">
        <f>AVERAGE(U5:U10)</f>
        <v>0.22700000000000001</v>
      </c>
      <c r="W6" s="324"/>
    </row>
    <row r="7" spans="2:23" ht="14.45" customHeight="1">
      <c r="B7" s="98"/>
      <c r="C7" s="98"/>
      <c r="D7" s="325">
        <f t="shared" si="0"/>
        <v>46115</v>
      </c>
      <c r="E7" s="325" t="s">
        <v>527</v>
      </c>
      <c r="F7" s="229">
        <v>357.47133598269164</v>
      </c>
      <c r="I7" s="90">
        <f t="shared" ref="I7:I40" si="1">F7/$C$1</f>
        <v>0.97669763929697173</v>
      </c>
      <c r="J7" s="214"/>
      <c r="L7" s="248">
        <v>2.4401906517939327E-3</v>
      </c>
      <c r="M7" s="324"/>
      <c r="O7" s="248">
        <v>1.9703956250524328E-3</v>
      </c>
      <c r="P7" s="324"/>
      <c r="R7" s="233">
        <v>0.91700000000000004</v>
      </c>
      <c r="S7" s="214"/>
      <c r="U7" s="233">
        <v>0.22600000000000001</v>
      </c>
      <c r="V7" s="214"/>
    </row>
    <row r="8" spans="2:23" ht="14.45" customHeight="1">
      <c r="B8" s="98"/>
      <c r="C8" s="98"/>
      <c r="D8" s="325">
        <f t="shared" si="0"/>
        <v>46116</v>
      </c>
      <c r="E8" s="325" t="s">
        <v>528</v>
      </c>
      <c r="F8" s="229">
        <v>358.65604958077785</v>
      </c>
      <c r="G8" s="93"/>
      <c r="H8" s="93"/>
      <c r="I8" s="90">
        <f t="shared" si="1"/>
        <v>0.97993456169611437</v>
      </c>
      <c r="J8" s="214"/>
      <c r="K8" s="214"/>
      <c r="L8" s="248">
        <v>2.4577912183161516E-3</v>
      </c>
      <c r="M8" s="324"/>
      <c r="N8" s="324"/>
      <c r="O8" s="248">
        <v>1.7291779275045492E-3</v>
      </c>
      <c r="P8" s="324"/>
      <c r="Q8" s="324"/>
      <c r="R8" s="233">
        <v>0.91700000000000004</v>
      </c>
      <c r="S8" s="214"/>
      <c r="T8" s="324"/>
      <c r="U8" s="233">
        <v>0.23</v>
      </c>
      <c r="V8" s="214"/>
      <c r="W8" s="324"/>
    </row>
    <row r="9" spans="2:23" ht="14.45" customHeight="1">
      <c r="B9" s="98"/>
      <c r="C9" s="98"/>
      <c r="D9" s="325">
        <f t="shared" si="0"/>
        <v>46117</v>
      </c>
      <c r="E9" s="325" t="s">
        <v>529</v>
      </c>
      <c r="F9" s="229">
        <v>355.20151088997295</v>
      </c>
      <c r="G9" s="93"/>
      <c r="H9" s="93"/>
      <c r="I9" s="90">
        <f t="shared" si="1"/>
        <v>0.97049593139336876</v>
      </c>
      <c r="J9" s="214"/>
      <c r="K9" s="214"/>
      <c r="L9" s="248">
        <v>2.4377523430365545E-3</v>
      </c>
      <c r="M9" s="324"/>
      <c r="N9" s="324"/>
      <c r="O9" s="248">
        <v>1.7235559651966549E-3</v>
      </c>
      <c r="P9" s="324"/>
      <c r="Q9" s="324"/>
      <c r="R9" s="233">
        <v>0.91700000000000004</v>
      </c>
      <c r="S9" s="214"/>
      <c r="T9" s="324"/>
      <c r="U9" s="233">
        <v>0.23</v>
      </c>
      <c r="V9" s="214"/>
      <c r="W9" s="324"/>
    </row>
    <row r="10" spans="2:23" ht="14.45" customHeight="1">
      <c r="B10" s="98"/>
      <c r="C10" s="98"/>
      <c r="D10" s="325">
        <f t="shared" si="0"/>
        <v>46118</v>
      </c>
      <c r="E10" s="325" t="s">
        <v>523</v>
      </c>
      <c r="F10" s="229">
        <v>334.41822628891919</v>
      </c>
      <c r="G10" s="93"/>
      <c r="H10" s="93">
        <f>AVERAGE(F5:F34)</f>
        <v>347.36685305350886</v>
      </c>
      <c r="I10" s="90">
        <f t="shared" si="1"/>
        <v>0.91371100078939671</v>
      </c>
      <c r="J10" s="214"/>
      <c r="K10" s="214">
        <f>AVERAGE(I5:I34)</f>
        <v>0.41127223039122179</v>
      </c>
      <c r="L10" s="248">
        <v>2.4454986117883664E-3</v>
      </c>
      <c r="M10" s="324"/>
      <c r="N10" s="324">
        <f>AVERAGE(L5:L34)</f>
        <v>2.4366344809603454E-3</v>
      </c>
      <c r="O10" s="248">
        <v>1.7156580279885619E-3</v>
      </c>
      <c r="P10" s="324"/>
      <c r="Q10" s="324">
        <f>AVERAGE(O5:O34)</f>
        <v>1.7536546615422022E-3</v>
      </c>
      <c r="R10" s="233">
        <v>0.91700000000000004</v>
      </c>
      <c r="S10" s="214"/>
      <c r="T10" s="214">
        <f>AVERAGE(R5:R34)</f>
        <v>0.91699999999999993</v>
      </c>
      <c r="U10" s="233">
        <v>0.23200000000000001</v>
      </c>
      <c r="V10" s="214"/>
      <c r="W10" s="214">
        <f>AVERAGE(U5:U34)</f>
        <v>0.24076923076923076</v>
      </c>
    </row>
    <row r="11" spans="2:23" ht="14.45" customHeight="1">
      <c r="B11" s="98"/>
      <c r="C11" s="98"/>
      <c r="D11" s="474">
        <f t="shared" si="0"/>
        <v>46119</v>
      </c>
      <c r="E11" s="474" t="s">
        <v>524</v>
      </c>
      <c r="F11" s="229">
        <v>341.2102511738006</v>
      </c>
      <c r="G11" s="93">
        <f>AVERAGE(F11:F17)</f>
        <v>341.49683640951031</v>
      </c>
      <c r="H11" s="93"/>
      <c r="I11" s="90">
        <f t="shared" si="1"/>
        <v>0.9322684458300563</v>
      </c>
      <c r="J11" s="214">
        <f>AVERAGE(I11:I17)</f>
        <v>0.93305146559975494</v>
      </c>
      <c r="K11" s="214"/>
      <c r="L11" s="248">
        <v>2.4299999999999999E-3</v>
      </c>
      <c r="M11" s="324">
        <f>AVERAGE(L11:L17)</f>
        <v>2.4328571428571429E-3</v>
      </c>
      <c r="N11" s="324"/>
      <c r="O11" s="248">
        <v>1.5793354309841326E-3</v>
      </c>
      <c r="P11" s="324">
        <f>AVERAGE(O11:O17)</f>
        <v>1.7039515813879441E-3</v>
      </c>
      <c r="Q11" s="324"/>
      <c r="R11" s="233">
        <v>0.91700000000000004</v>
      </c>
      <c r="S11" s="214">
        <f>AVERAGE(R11:R17)</f>
        <v>0.91699999999999993</v>
      </c>
      <c r="T11" s="324"/>
      <c r="U11" s="233">
        <v>0.23799999999999999</v>
      </c>
      <c r="V11" s="214">
        <f>AVERAGE(U11:U17)</f>
        <v>0.25257142857142856</v>
      </c>
      <c r="W11" s="324"/>
    </row>
    <row r="12" spans="2:23" ht="14.45" customHeight="1">
      <c r="B12" s="98"/>
      <c r="C12" s="98"/>
      <c r="D12" s="474">
        <f t="shared" si="0"/>
        <v>46120</v>
      </c>
      <c r="E12" s="474" t="s">
        <v>525</v>
      </c>
      <c r="F12" s="229">
        <v>340.85386290181708</v>
      </c>
      <c r="G12" s="93"/>
      <c r="H12" s="93"/>
      <c r="I12" s="90">
        <f t="shared" si="1"/>
        <v>0.93129470738201392</v>
      </c>
      <c r="J12" s="214"/>
      <c r="K12" s="214"/>
      <c r="L12" s="248">
        <v>2.4199999999999998E-3</v>
      </c>
      <c r="M12" s="324"/>
      <c r="N12" s="324"/>
      <c r="O12" s="248">
        <v>1.666469195739148E-3</v>
      </c>
      <c r="P12" s="324"/>
      <c r="Q12" s="324"/>
      <c r="R12" s="233">
        <v>0.91700000000000004</v>
      </c>
      <c r="S12" s="214"/>
      <c r="T12" s="324"/>
      <c r="U12" s="233">
        <v>0.246</v>
      </c>
      <c r="V12" s="214"/>
      <c r="W12" s="324"/>
    </row>
    <row r="13" spans="2:23" ht="14.45" customHeight="1">
      <c r="B13" s="98"/>
      <c r="C13" s="98"/>
      <c r="D13" s="474">
        <f t="shared" si="0"/>
        <v>46121</v>
      </c>
      <c r="E13" s="474" t="s">
        <v>526</v>
      </c>
      <c r="F13" s="229">
        <v>343.26629296496458</v>
      </c>
      <c r="H13" s="93"/>
      <c r="I13" s="90">
        <f t="shared" si="1"/>
        <v>0.93788604635236228</v>
      </c>
      <c r="J13" s="214"/>
      <c r="K13" s="214"/>
      <c r="L13" s="248">
        <v>2.4299999999999999E-3</v>
      </c>
      <c r="M13" s="324"/>
      <c r="N13" s="324"/>
      <c r="O13" s="248">
        <v>1.8566746135286894E-3</v>
      </c>
      <c r="P13" s="324"/>
      <c r="Q13" s="324"/>
      <c r="R13" s="233">
        <v>0.91700000000000004</v>
      </c>
      <c r="S13" s="214"/>
      <c r="T13" s="324"/>
      <c r="U13" s="233">
        <v>0.248</v>
      </c>
      <c r="V13" s="214"/>
      <c r="W13" s="324"/>
    </row>
    <row r="14" spans="2:23" ht="14.45" customHeight="1">
      <c r="B14" s="98"/>
      <c r="C14" s="98"/>
      <c r="D14" s="474">
        <f t="shared" si="0"/>
        <v>46122</v>
      </c>
      <c r="E14" s="474" t="s">
        <v>527</v>
      </c>
      <c r="F14" s="229">
        <v>345.2621386933161</v>
      </c>
      <c r="G14" s="93"/>
      <c r="H14" s="93"/>
      <c r="I14" s="90">
        <f t="shared" si="1"/>
        <v>0.9433391767576943</v>
      </c>
      <c r="J14" s="214"/>
      <c r="K14" s="214"/>
      <c r="L14" s="248">
        <v>2.4299999999999999E-3</v>
      </c>
      <c r="M14" s="324"/>
      <c r="N14" s="324"/>
      <c r="O14" s="248">
        <v>1.7921195739237705E-3</v>
      </c>
      <c r="P14" s="324"/>
      <c r="Q14" s="324"/>
      <c r="R14" s="233">
        <v>0.91700000000000004</v>
      </c>
      <c r="S14" s="214"/>
      <c r="T14" s="324"/>
      <c r="U14" s="233">
        <v>0.25600000000000001</v>
      </c>
      <c r="V14" s="214"/>
      <c r="W14" s="324"/>
    </row>
    <row r="15" spans="2:23" ht="14.45" customHeight="1">
      <c r="B15" s="98"/>
      <c r="C15" s="98"/>
      <c r="D15" s="474">
        <f t="shared" si="0"/>
        <v>46123</v>
      </c>
      <c r="E15" s="474" t="s">
        <v>528</v>
      </c>
      <c r="F15" s="229">
        <v>334.99899732265203</v>
      </c>
      <c r="G15" s="93"/>
      <c r="H15" s="93"/>
      <c r="I15" s="90">
        <f t="shared" si="1"/>
        <v>0.91529780689249185</v>
      </c>
      <c r="J15" s="214"/>
      <c r="K15" s="214"/>
      <c r="L15" s="248">
        <v>2.4499999999999999E-3</v>
      </c>
      <c r="M15" s="324"/>
      <c r="N15" s="324"/>
      <c r="O15" s="248">
        <v>1.6699229763775226E-3</v>
      </c>
      <c r="P15" s="324"/>
      <c r="Q15" s="324"/>
      <c r="R15" s="233">
        <v>0.91700000000000004</v>
      </c>
      <c r="S15" s="214"/>
      <c r="T15" s="324"/>
      <c r="U15" s="233">
        <v>0.26</v>
      </c>
      <c r="V15" s="214"/>
      <c r="W15" s="324"/>
    </row>
    <row r="16" spans="2:23" ht="14.45" customHeight="1">
      <c r="B16" s="98"/>
      <c r="C16" s="98"/>
      <c r="D16" s="474">
        <f t="shared" si="0"/>
        <v>46124</v>
      </c>
      <c r="E16" s="474" t="s">
        <v>529</v>
      </c>
      <c r="F16" s="229">
        <v>339.93588957067522</v>
      </c>
      <c r="G16" s="93"/>
      <c r="H16" s="93"/>
      <c r="I16" s="90">
        <f t="shared" si="1"/>
        <v>0.92878658352643506</v>
      </c>
      <c r="J16" s="214"/>
      <c r="K16" s="214"/>
      <c r="L16" s="248">
        <v>2.4299999999999999E-3</v>
      </c>
      <c r="M16" s="324"/>
      <c r="N16" s="324"/>
      <c r="O16" s="248">
        <v>1.7437674757591556E-3</v>
      </c>
      <c r="P16" s="324"/>
      <c r="Q16" s="324"/>
      <c r="R16" s="233">
        <v>0.91700000000000004</v>
      </c>
      <c r="S16" s="214"/>
      <c r="T16" s="324"/>
      <c r="U16" s="233">
        <v>0.26</v>
      </c>
      <c r="V16" s="214"/>
      <c r="W16" s="324"/>
    </row>
    <row r="17" spans="2:23" ht="14.45" customHeight="1">
      <c r="B17" s="98"/>
      <c r="C17" s="98"/>
      <c r="D17" s="474">
        <f t="shared" si="0"/>
        <v>46125</v>
      </c>
      <c r="E17" s="474" t="s">
        <v>523</v>
      </c>
      <c r="F17" s="229">
        <v>344.95042223934661</v>
      </c>
      <c r="G17" s="93"/>
      <c r="H17" s="93"/>
      <c r="I17" s="90">
        <f t="shared" si="1"/>
        <v>0.94248749245723118</v>
      </c>
      <c r="J17" s="214"/>
      <c r="K17" s="214"/>
      <c r="L17" s="248">
        <v>2.4399999999999999E-3</v>
      </c>
      <c r="M17" s="324"/>
      <c r="N17" s="324"/>
      <c r="O17" s="248">
        <v>1.6193718034031885E-3</v>
      </c>
      <c r="P17" s="324"/>
      <c r="Q17" s="324"/>
      <c r="R17" s="233">
        <v>0.91700000000000004</v>
      </c>
      <c r="S17" s="214"/>
      <c r="T17" s="324"/>
      <c r="U17" s="233">
        <v>0.26</v>
      </c>
      <c r="V17" s="214"/>
      <c r="W17" s="324"/>
    </row>
    <row r="18" spans="2:23" ht="14.45" customHeight="1">
      <c r="B18" s="98"/>
      <c r="C18" s="98"/>
      <c r="D18" s="325">
        <f t="shared" si="0"/>
        <v>46126</v>
      </c>
      <c r="E18" s="325" t="s">
        <v>524</v>
      </c>
      <c r="F18" s="229"/>
      <c r="G18" s="93" t="e">
        <f>AVERAGE(F18:F24)</f>
        <v>#DIV/0!</v>
      </c>
      <c r="H18" s="93"/>
      <c r="I18" s="90">
        <f t="shared" si="1"/>
        <v>0</v>
      </c>
      <c r="J18" s="214">
        <f>AVERAGE(I18:I24)</f>
        <v>0</v>
      </c>
      <c r="K18" s="214"/>
      <c r="L18" s="248"/>
      <c r="M18" s="324" t="e">
        <f>AVERAGE(L18:L24)</f>
        <v>#DIV/0!</v>
      </c>
      <c r="N18" s="324"/>
      <c r="O18" s="248"/>
      <c r="P18" s="324" t="e">
        <f>AVERAGE(O18:O24)</f>
        <v>#DIV/0!</v>
      </c>
      <c r="Q18" s="324"/>
      <c r="R18" s="233"/>
      <c r="S18" s="214" t="e">
        <f>AVERAGE(R18:R24)</f>
        <v>#DIV/0!</v>
      </c>
      <c r="T18" s="324"/>
      <c r="U18" s="233"/>
      <c r="V18" s="214" t="e">
        <f>AVERAGE(U18:U24)</f>
        <v>#DIV/0!</v>
      </c>
      <c r="W18" s="324"/>
    </row>
    <row r="19" spans="2:23" ht="14.45" customHeight="1">
      <c r="B19" s="98"/>
      <c r="C19" s="98"/>
      <c r="D19" s="325">
        <f t="shared" si="0"/>
        <v>46127</v>
      </c>
      <c r="E19" s="325" t="s">
        <v>525</v>
      </c>
      <c r="F19" s="229"/>
      <c r="G19" s="93"/>
      <c r="H19" s="93"/>
      <c r="I19" s="90">
        <f t="shared" si="1"/>
        <v>0</v>
      </c>
      <c r="J19" s="214"/>
      <c r="K19" s="214"/>
      <c r="L19" s="248"/>
      <c r="M19" s="324"/>
      <c r="N19" s="324"/>
      <c r="O19" s="248"/>
      <c r="P19" s="324"/>
      <c r="Q19" s="324"/>
      <c r="R19" s="233"/>
      <c r="S19" s="214"/>
      <c r="T19" s="324"/>
      <c r="U19" s="233"/>
      <c r="V19" s="214"/>
      <c r="W19" s="324"/>
    </row>
    <row r="20" spans="2:23" ht="14.45" customHeight="1">
      <c r="B20" s="98"/>
      <c r="C20" s="98"/>
      <c r="D20" s="325">
        <f t="shared" si="0"/>
        <v>46128</v>
      </c>
      <c r="E20" s="325" t="s">
        <v>526</v>
      </c>
      <c r="F20" s="229"/>
      <c r="G20" s="93"/>
      <c r="H20" s="93"/>
      <c r="I20" s="90">
        <f t="shared" si="1"/>
        <v>0</v>
      </c>
      <c r="J20" s="214"/>
      <c r="K20" s="214"/>
      <c r="L20" s="248"/>
      <c r="M20" s="324"/>
      <c r="N20" s="324"/>
      <c r="O20" s="248"/>
      <c r="P20" s="324"/>
      <c r="Q20" s="324"/>
      <c r="R20" s="233"/>
      <c r="S20" s="214"/>
      <c r="T20" s="324"/>
      <c r="U20" s="233"/>
      <c r="V20" s="214"/>
      <c r="W20" s="324"/>
    </row>
    <row r="21" spans="2:23" ht="14.45" customHeight="1">
      <c r="B21" s="98"/>
      <c r="C21" s="98"/>
      <c r="D21" s="325">
        <f t="shared" si="0"/>
        <v>46129</v>
      </c>
      <c r="E21" s="325" t="s">
        <v>527</v>
      </c>
      <c r="F21" s="229"/>
      <c r="G21" s="93"/>
      <c r="H21" s="93"/>
      <c r="I21" s="90">
        <f t="shared" si="1"/>
        <v>0</v>
      </c>
      <c r="J21" s="214"/>
      <c r="K21" s="214"/>
      <c r="L21" s="248"/>
      <c r="M21" s="324"/>
      <c r="N21" s="324"/>
      <c r="O21" s="248"/>
      <c r="P21" s="324"/>
      <c r="Q21" s="324"/>
      <c r="R21" s="233"/>
      <c r="S21" s="214"/>
      <c r="T21" s="324"/>
      <c r="U21" s="233"/>
      <c r="V21" s="214"/>
      <c r="W21" s="324"/>
    </row>
    <row r="22" spans="2:23" ht="14.45" customHeight="1">
      <c r="B22" s="98"/>
      <c r="C22" s="98"/>
      <c r="D22" s="325">
        <f t="shared" si="0"/>
        <v>46130</v>
      </c>
      <c r="E22" s="325" t="s">
        <v>528</v>
      </c>
      <c r="F22" s="229"/>
      <c r="G22" s="93"/>
      <c r="H22" s="93"/>
      <c r="I22" s="90">
        <f t="shared" si="1"/>
        <v>0</v>
      </c>
      <c r="J22" s="214"/>
      <c r="K22" s="214"/>
      <c r="L22" s="248"/>
      <c r="M22" s="324"/>
      <c r="N22" s="324"/>
      <c r="O22" s="248"/>
      <c r="P22" s="324"/>
      <c r="Q22" s="324"/>
      <c r="R22" s="233"/>
      <c r="S22" s="214"/>
      <c r="T22" s="324"/>
      <c r="U22" s="233"/>
      <c r="V22" s="214"/>
      <c r="W22" s="324"/>
    </row>
    <row r="23" spans="2:23" ht="14.45" customHeight="1">
      <c r="B23" s="98"/>
      <c r="C23" s="98"/>
      <c r="D23" s="325">
        <f t="shared" si="0"/>
        <v>46131</v>
      </c>
      <c r="E23" s="325" t="s">
        <v>529</v>
      </c>
      <c r="F23" s="229"/>
      <c r="G23" s="93"/>
      <c r="H23" s="93"/>
      <c r="I23" s="90">
        <f t="shared" si="1"/>
        <v>0</v>
      </c>
      <c r="J23" s="214"/>
      <c r="K23" s="214"/>
      <c r="L23" s="248"/>
      <c r="M23" s="324"/>
      <c r="N23" s="324"/>
      <c r="O23" s="248"/>
      <c r="P23" s="324"/>
      <c r="Q23" s="324"/>
      <c r="R23" s="233"/>
      <c r="S23" s="214"/>
      <c r="T23" s="324"/>
      <c r="U23" s="233"/>
      <c r="V23" s="214"/>
      <c r="W23" s="324"/>
    </row>
    <row r="24" spans="2:23" ht="14.45" customHeight="1">
      <c r="B24" s="98"/>
      <c r="C24" s="98"/>
      <c r="D24" s="325">
        <f t="shared" si="0"/>
        <v>46132</v>
      </c>
      <c r="E24" s="325" t="s">
        <v>523</v>
      </c>
      <c r="F24" s="229"/>
      <c r="G24" s="93"/>
      <c r="H24" s="93"/>
      <c r="I24" s="90">
        <f t="shared" si="1"/>
        <v>0</v>
      </c>
      <c r="J24" s="214"/>
      <c r="K24" s="214"/>
      <c r="L24" s="248"/>
      <c r="M24" s="324"/>
      <c r="N24" s="324"/>
      <c r="O24" s="248"/>
      <c r="P24" s="324"/>
      <c r="Q24" s="324"/>
      <c r="R24" s="233"/>
      <c r="S24" s="214"/>
      <c r="T24" s="324"/>
      <c r="U24" s="233"/>
      <c r="V24" s="214"/>
      <c r="W24" s="324"/>
    </row>
    <row r="25" spans="2:23" ht="14.45" customHeight="1">
      <c r="B25" s="98"/>
      <c r="C25" s="98"/>
      <c r="D25" s="474">
        <f t="shared" si="0"/>
        <v>46133</v>
      </c>
      <c r="E25" s="474" t="s">
        <v>524</v>
      </c>
      <c r="F25" s="229"/>
      <c r="G25" s="93" t="e">
        <f>AVERAGE(F25:F31)</f>
        <v>#DIV/0!</v>
      </c>
      <c r="H25" s="93"/>
      <c r="I25" s="90">
        <f t="shared" si="1"/>
        <v>0</v>
      </c>
      <c r="J25" s="214">
        <f>AVERAGE(I25:I31)</f>
        <v>0</v>
      </c>
      <c r="K25" s="214"/>
      <c r="L25" s="248"/>
      <c r="M25" s="324" t="e">
        <f>AVERAGE(L25:L31)</f>
        <v>#DIV/0!</v>
      </c>
      <c r="N25" s="324"/>
      <c r="O25" s="248"/>
      <c r="P25" s="324" t="e">
        <f>AVERAGE(O25:O31)</f>
        <v>#DIV/0!</v>
      </c>
      <c r="Q25" s="324"/>
      <c r="R25" s="233"/>
      <c r="S25" s="214" t="e">
        <f>AVERAGE(R25:R31)</f>
        <v>#DIV/0!</v>
      </c>
      <c r="T25" s="324"/>
      <c r="U25" s="233"/>
      <c r="V25" s="214" t="e">
        <f>AVERAGE(U25:U31)</f>
        <v>#DIV/0!</v>
      </c>
      <c r="W25" s="324"/>
    </row>
    <row r="26" spans="2:23" ht="14.45" customHeight="1">
      <c r="B26" s="98"/>
      <c r="C26" s="98"/>
      <c r="D26" s="474">
        <f t="shared" si="0"/>
        <v>46134</v>
      </c>
      <c r="E26" s="474" t="s">
        <v>525</v>
      </c>
      <c r="F26" s="229"/>
      <c r="G26" s="93"/>
      <c r="H26" s="93"/>
      <c r="I26" s="90">
        <f t="shared" si="1"/>
        <v>0</v>
      </c>
      <c r="J26" s="214"/>
      <c r="K26" s="214"/>
      <c r="L26" s="248"/>
      <c r="M26" s="324"/>
      <c r="N26" s="324"/>
      <c r="O26" s="248"/>
      <c r="P26" s="324"/>
      <c r="Q26" s="324"/>
      <c r="R26" s="233"/>
      <c r="S26" s="214"/>
      <c r="T26" s="324"/>
      <c r="U26" s="233"/>
      <c r="V26" s="214"/>
      <c r="W26" s="324"/>
    </row>
    <row r="27" spans="2:23" ht="14.45" customHeight="1">
      <c r="B27" s="98"/>
      <c r="C27" s="98"/>
      <c r="D27" s="474">
        <f t="shared" si="0"/>
        <v>46135</v>
      </c>
      <c r="E27" s="474" t="s">
        <v>526</v>
      </c>
      <c r="F27" s="229"/>
      <c r="G27" s="93"/>
      <c r="H27" s="93"/>
      <c r="I27" s="90">
        <f t="shared" si="1"/>
        <v>0</v>
      </c>
      <c r="J27" s="214"/>
      <c r="K27" s="214"/>
      <c r="L27" s="248"/>
      <c r="M27" s="324"/>
      <c r="N27" s="324"/>
      <c r="O27" s="248"/>
      <c r="P27" s="324"/>
      <c r="Q27" s="324"/>
      <c r="R27" s="233"/>
      <c r="S27" s="214"/>
      <c r="T27" s="324"/>
      <c r="U27" s="233"/>
      <c r="V27" s="214"/>
      <c r="W27" s="324"/>
    </row>
    <row r="28" spans="2:23" ht="14.45" customHeight="1">
      <c r="B28" s="98"/>
      <c r="C28" s="98"/>
      <c r="D28" s="474">
        <f t="shared" si="0"/>
        <v>46136</v>
      </c>
      <c r="E28" s="474" t="s">
        <v>527</v>
      </c>
      <c r="F28" s="229"/>
      <c r="G28" s="93"/>
      <c r="H28" s="93"/>
      <c r="I28" s="90">
        <f t="shared" si="1"/>
        <v>0</v>
      </c>
      <c r="J28" s="214"/>
      <c r="K28" s="214"/>
      <c r="L28" s="248"/>
      <c r="M28" s="324"/>
      <c r="N28" s="324"/>
      <c r="O28" s="248"/>
      <c r="P28" s="324"/>
      <c r="Q28" s="324"/>
      <c r="R28" s="233"/>
      <c r="S28" s="214"/>
      <c r="T28" s="324"/>
      <c r="U28" s="233"/>
      <c r="V28" s="214"/>
      <c r="W28" s="324"/>
    </row>
    <row r="29" spans="2:23" ht="14.45" customHeight="1">
      <c r="B29" s="98"/>
      <c r="C29" s="98"/>
      <c r="D29" s="474">
        <f t="shared" si="0"/>
        <v>46137</v>
      </c>
      <c r="E29" s="474" t="s">
        <v>528</v>
      </c>
      <c r="F29" s="229"/>
      <c r="G29" s="93"/>
      <c r="H29" s="93"/>
      <c r="I29" s="90">
        <f t="shared" si="1"/>
        <v>0</v>
      </c>
      <c r="J29" s="214"/>
      <c r="K29" s="214"/>
      <c r="L29" s="248"/>
      <c r="M29" s="324"/>
      <c r="N29" s="324"/>
      <c r="O29" s="248"/>
      <c r="P29" s="324"/>
      <c r="Q29" s="324"/>
      <c r="R29" s="233"/>
      <c r="S29" s="214"/>
      <c r="T29" s="324"/>
      <c r="U29" s="233"/>
      <c r="V29" s="214"/>
      <c r="W29" s="324"/>
    </row>
    <row r="30" spans="2:23" ht="14.45" customHeight="1">
      <c r="B30" s="98"/>
      <c r="C30" s="98"/>
      <c r="D30" s="474">
        <f t="shared" si="0"/>
        <v>46138</v>
      </c>
      <c r="E30" s="474" t="s">
        <v>529</v>
      </c>
      <c r="F30" s="229"/>
      <c r="G30" s="93"/>
      <c r="H30" s="93"/>
      <c r="I30" s="90">
        <f t="shared" si="1"/>
        <v>0</v>
      </c>
      <c r="J30" s="214"/>
      <c r="K30" s="214"/>
      <c r="L30" s="248"/>
      <c r="M30" s="324"/>
      <c r="N30" s="324"/>
      <c r="O30" s="248"/>
      <c r="P30" s="324"/>
      <c r="Q30" s="324"/>
      <c r="R30" s="233"/>
      <c r="S30" s="214"/>
      <c r="T30" s="324"/>
      <c r="U30" s="233"/>
      <c r="V30" s="214"/>
      <c r="W30" s="324"/>
    </row>
    <row r="31" spans="2:23" ht="14.45" customHeight="1">
      <c r="B31" s="98"/>
      <c r="C31" s="98"/>
      <c r="D31" s="474">
        <f t="shared" si="0"/>
        <v>46139</v>
      </c>
      <c r="E31" s="474" t="s">
        <v>523</v>
      </c>
      <c r="F31" s="229"/>
      <c r="G31" s="93"/>
      <c r="H31" s="93"/>
      <c r="I31" s="90">
        <f t="shared" si="1"/>
        <v>0</v>
      </c>
      <c r="J31" s="214"/>
      <c r="K31" s="214"/>
      <c r="L31" s="248"/>
      <c r="M31" s="324"/>
      <c r="N31" s="324"/>
      <c r="O31" s="248"/>
      <c r="P31" s="324"/>
      <c r="Q31" s="324"/>
      <c r="R31" s="233"/>
      <c r="S31" s="214"/>
      <c r="T31" s="324"/>
      <c r="U31" s="233"/>
      <c r="V31" s="214"/>
      <c r="W31" s="324"/>
    </row>
    <row r="32" spans="2:23" ht="14.45" customHeight="1">
      <c r="B32" s="98"/>
      <c r="C32" s="98"/>
      <c r="D32" s="325">
        <f t="shared" si="0"/>
        <v>46140</v>
      </c>
      <c r="E32" s="325" t="s">
        <v>524</v>
      </c>
      <c r="F32" s="229"/>
      <c r="G32" s="93" t="e">
        <f>AVERAGE(F32:F38)</f>
        <v>#DIV/0!</v>
      </c>
      <c r="H32" s="93"/>
      <c r="I32" s="90">
        <f t="shared" si="1"/>
        <v>0</v>
      </c>
      <c r="J32" s="214">
        <f>AVERAGE(I32:I38)</f>
        <v>0</v>
      </c>
      <c r="K32" s="214"/>
      <c r="L32" s="248"/>
      <c r="M32" s="324" t="e">
        <f>AVERAGE(L32:L38)</f>
        <v>#DIV/0!</v>
      </c>
      <c r="N32" s="324"/>
      <c r="O32" s="248"/>
      <c r="P32" s="324" t="e">
        <f>AVERAGE(O32:O38)</f>
        <v>#DIV/0!</v>
      </c>
      <c r="Q32" s="324"/>
      <c r="R32" s="233"/>
      <c r="S32" s="214" t="e">
        <f>AVERAGE(R32:R38)</f>
        <v>#DIV/0!</v>
      </c>
      <c r="T32" s="324"/>
      <c r="U32" s="233"/>
      <c r="V32" s="214" t="e">
        <f>AVERAGE(U32:U38)</f>
        <v>#DIV/0!</v>
      </c>
      <c r="W32" s="324"/>
    </row>
    <row r="33" spans="2:23" ht="14.45" customHeight="1">
      <c r="B33" s="98"/>
      <c r="C33" s="98"/>
      <c r="D33" s="325">
        <f t="shared" si="0"/>
        <v>46141</v>
      </c>
      <c r="E33" s="325" t="s">
        <v>525</v>
      </c>
      <c r="F33" s="229"/>
      <c r="G33" s="93"/>
      <c r="H33" s="93"/>
      <c r="I33" s="90">
        <f t="shared" si="1"/>
        <v>0</v>
      </c>
      <c r="J33" s="214"/>
      <c r="K33" s="214"/>
      <c r="L33" s="248"/>
      <c r="M33" s="324"/>
      <c r="N33" s="324"/>
      <c r="O33" s="248"/>
      <c r="P33" s="324"/>
      <c r="Q33" s="324"/>
      <c r="R33" s="233"/>
      <c r="S33" s="214"/>
      <c r="T33" s="324"/>
      <c r="U33" s="233"/>
      <c r="V33" s="214"/>
      <c r="W33" s="324"/>
    </row>
    <row r="34" spans="2:23" ht="14.45" customHeight="1">
      <c r="B34" s="98"/>
      <c r="C34" s="98"/>
      <c r="D34" s="325">
        <f t="shared" si="0"/>
        <v>46142</v>
      </c>
      <c r="E34" s="325" t="s">
        <v>526</v>
      </c>
      <c r="F34" s="229"/>
      <c r="G34" s="93"/>
      <c r="H34" s="93"/>
      <c r="I34" s="90">
        <f t="shared" si="1"/>
        <v>0</v>
      </c>
      <c r="J34" s="214"/>
      <c r="K34" s="214"/>
      <c r="L34" s="248"/>
      <c r="M34" s="324"/>
      <c r="N34" s="324"/>
      <c r="O34" s="248"/>
      <c r="P34" s="324"/>
      <c r="Q34" s="324"/>
      <c r="R34" s="233"/>
      <c r="S34" s="214"/>
      <c r="T34" s="324"/>
      <c r="U34" s="233"/>
      <c r="V34" s="214"/>
      <c r="W34" s="324"/>
    </row>
    <row r="35" spans="2:23">
      <c r="B35" s="98"/>
      <c r="D35" s="325">
        <f>D34+1</f>
        <v>46143</v>
      </c>
      <c r="E35" s="325" t="s">
        <v>527</v>
      </c>
      <c r="F35" s="229"/>
      <c r="G35" s="93"/>
      <c r="I35" s="90">
        <f t="shared" si="1"/>
        <v>0</v>
      </c>
      <c r="J35" s="214"/>
      <c r="L35" s="248"/>
      <c r="M35" s="324"/>
      <c r="O35" s="248"/>
      <c r="P35" s="324"/>
      <c r="R35" s="233"/>
      <c r="S35" s="214"/>
      <c r="U35" s="233"/>
      <c r="V35" s="214"/>
    </row>
    <row r="36" spans="2:23">
      <c r="B36" s="98"/>
      <c r="C36" s="98"/>
      <c r="D36" s="325">
        <f t="shared" ref="D36:D38" si="2">D35+1</f>
        <v>46144</v>
      </c>
      <c r="E36" s="325" t="s">
        <v>528</v>
      </c>
      <c r="F36" s="229"/>
      <c r="G36" s="93"/>
      <c r="H36" s="93"/>
      <c r="I36" s="90">
        <f t="shared" si="1"/>
        <v>0</v>
      </c>
      <c r="J36" s="214"/>
      <c r="K36" s="214"/>
      <c r="L36" s="248"/>
      <c r="M36" s="214"/>
      <c r="N36" s="324"/>
      <c r="O36" s="248"/>
      <c r="P36" s="214"/>
      <c r="Q36" s="324"/>
      <c r="R36" s="233"/>
      <c r="S36" s="214"/>
      <c r="T36" s="214"/>
      <c r="U36" s="233"/>
      <c r="V36" s="214"/>
      <c r="W36" s="214"/>
    </row>
    <row r="37" spans="2:23">
      <c r="B37" s="98"/>
      <c r="D37" s="325">
        <f t="shared" si="2"/>
        <v>46145</v>
      </c>
      <c r="E37" s="325" t="s">
        <v>529</v>
      </c>
      <c r="F37" s="229"/>
      <c r="G37" s="93"/>
      <c r="H37" s="93"/>
      <c r="I37" s="90">
        <f t="shared" si="1"/>
        <v>0</v>
      </c>
      <c r="J37" s="214"/>
      <c r="K37" s="87"/>
      <c r="L37" s="248"/>
      <c r="M37" s="214"/>
      <c r="N37" s="90"/>
      <c r="O37" s="248"/>
      <c r="P37" s="214"/>
      <c r="Q37" s="90"/>
      <c r="R37" s="233"/>
      <c r="S37" s="214"/>
      <c r="T37" s="214"/>
      <c r="U37" s="233"/>
      <c r="V37" s="214"/>
      <c r="W37" s="214"/>
    </row>
    <row r="38" spans="2:23">
      <c r="B38" s="98"/>
      <c r="D38" s="325">
        <f t="shared" si="2"/>
        <v>46146</v>
      </c>
      <c r="E38" s="325" t="s">
        <v>523</v>
      </c>
      <c r="F38" s="229"/>
      <c r="G38" s="93"/>
      <c r="H38" s="93"/>
      <c r="I38" s="90">
        <f t="shared" si="1"/>
        <v>0</v>
      </c>
      <c r="J38" s="214"/>
      <c r="K38" s="87"/>
      <c r="L38" s="248"/>
      <c r="M38" s="214"/>
      <c r="N38" s="90"/>
      <c r="O38" s="248"/>
      <c r="P38" s="214"/>
      <c r="Q38" s="90"/>
      <c r="R38" s="233"/>
      <c r="S38" s="214"/>
      <c r="T38" s="214"/>
      <c r="U38" s="233"/>
      <c r="V38" s="214"/>
      <c r="W38" s="214"/>
    </row>
    <row r="39" spans="2:23">
      <c r="B39" s="98"/>
      <c r="D39" s="325"/>
      <c r="E39" s="496"/>
      <c r="F39" s="229"/>
      <c r="G39" s="93"/>
      <c r="H39" s="93"/>
      <c r="I39" s="90">
        <f t="shared" si="1"/>
        <v>0</v>
      </c>
      <c r="J39" s="214"/>
      <c r="K39" s="87"/>
      <c r="L39" s="248"/>
      <c r="M39" s="214"/>
      <c r="N39" s="90"/>
      <c r="O39" s="248"/>
      <c r="P39" s="214"/>
      <c r="Q39" s="90"/>
      <c r="R39" s="233"/>
      <c r="S39" s="214"/>
      <c r="T39" s="214"/>
      <c r="U39" s="233"/>
      <c r="V39" s="214"/>
      <c r="W39" s="214"/>
    </row>
    <row r="40" spans="2:23">
      <c r="B40" s="98"/>
      <c r="D40" s="325"/>
      <c r="E40" s="496"/>
      <c r="F40" s="229"/>
      <c r="G40" s="93"/>
      <c r="H40" s="93"/>
      <c r="I40" s="90">
        <f t="shared" si="1"/>
        <v>0</v>
      </c>
      <c r="J40" s="214"/>
      <c r="K40" s="87"/>
      <c r="L40" s="248"/>
      <c r="M40" s="214"/>
      <c r="N40" s="90"/>
      <c r="O40" s="248"/>
      <c r="P40" s="214"/>
      <c r="Q40" s="90"/>
      <c r="R40" s="233"/>
      <c r="S40" s="214"/>
      <c r="T40" s="214"/>
      <c r="U40" s="233"/>
      <c r="V40" s="214"/>
      <c r="W40" s="214"/>
    </row>
    <row r="41" spans="2:23">
      <c r="B41" s="98"/>
      <c r="D41" s="325"/>
      <c r="E41" s="496"/>
      <c r="F41" s="229"/>
      <c r="L41" s="248"/>
      <c r="O41" s="248"/>
      <c r="R41" s="233"/>
      <c r="U41" s="233"/>
    </row>
    <row r="42" spans="2:23">
      <c r="B42" s="98"/>
      <c r="D42" s="86"/>
      <c r="E42" s="86"/>
      <c r="F42" s="309"/>
      <c r="G42" s="93"/>
      <c r="H42" s="93"/>
      <c r="I42" s="90"/>
      <c r="J42" s="214"/>
      <c r="K42" s="87"/>
      <c r="L42" s="315"/>
      <c r="M42" s="90"/>
      <c r="N42" s="90"/>
      <c r="O42" s="315"/>
      <c r="P42" s="90"/>
      <c r="Q42" s="90"/>
      <c r="R42" s="314"/>
      <c r="S42" s="214"/>
      <c r="T42" s="214"/>
      <c r="U42" s="314"/>
      <c r="V42" s="214"/>
      <c r="W42" s="214"/>
    </row>
    <row r="43" spans="2:23">
      <c r="B43" s="98"/>
      <c r="D43" s="86"/>
      <c r="E43" s="86"/>
      <c r="F43" s="309"/>
      <c r="G43" s="93"/>
      <c r="H43" s="93"/>
      <c r="I43" s="90"/>
      <c r="J43" s="214"/>
      <c r="K43" s="87"/>
      <c r="L43" s="315"/>
      <c r="M43" s="90"/>
      <c r="N43" s="90"/>
      <c r="O43" s="315"/>
      <c r="P43" s="90"/>
      <c r="Q43" s="90"/>
      <c r="R43" s="314"/>
      <c r="S43" s="214"/>
      <c r="T43" s="214"/>
      <c r="U43" s="314"/>
      <c r="V43" s="214"/>
      <c r="W43" s="214"/>
    </row>
    <row r="44" spans="2:23">
      <c r="B44" s="98"/>
      <c r="D44" s="86"/>
      <c r="E44" s="86"/>
      <c r="F44" s="309"/>
      <c r="G44" s="93"/>
      <c r="H44" s="93"/>
      <c r="I44" s="90"/>
      <c r="J44" s="214"/>
      <c r="K44" s="87"/>
      <c r="L44" s="315"/>
      <c r="M44" s="90"/>
      <c r="N44" s="90"/>
      <c r="O44" s="315"/>
      <c r="P44" s="90"/>
      <c r="Q44" s="90"/>
      <c r="R44" s="314"/>
      <c r="S44" s="214"/>
      <c r="T44" s="214"/>
      <c r="U44" s="314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3" sqref="AK13:AK19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84" t="s">
        <v>319</v>
      </c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584"/>
      <c r="AE2" s="584"/>
      <c r="AF2" s="584"/>
      <c r="AG2" s="584"/>
      <c r="AH2" s="584"/>
      <c r="AI2" s="584"/>
      <c r="AJ2" s="584"/>
      <c r="AK2" s="584"/>
      <c r="AL2" s="584"/>
    </row>
    <row r="3" spans="1:38" ht="25.35" customHeight="1">
      <c r="B3" s="98"/>
      <c r="C3" s="585" t="s">
        <v>139</v>
      </c>
      <c r="D3" s="586" t="s">
        <v>105</v>
      </c>
      <c r="E3" s="586"/>
      <c r="F3" s="587" t="s">
        <v>357</v>
      </c>
      <c r="G3" s="587"/>
      <c r="H3" s="587"/>
      <c r="I3" s="588" t="s">
        <v>111</v>
      </c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8"/>
      <c r="AL3" s="588"/>
    </row>
    <row r="4" spans="1:38" ht="25.35" customHeight="1">
      <c r="B4" s="98"/>
      <c r="C4" s="585"/>
      <c r="D4" s="586"/>
      <c r="E4" s="586"/>
      <c r="F4" s="587"/>
      <c r="G4" s="587"/>
      <c r="H4" s="587"/>
      <c r="I4" s="582" t="s">
        <v>140</v>
      </c>
      <c r="J4" s="582"/>
      <c r="K4" s="582"/>
      <c r="L4" s="582"/>
      <c r="M4" s="582"/>
      <c r="N4" s="582"/>
      <c r="O4" s="582" t="s">
        <v>141</v>
      </c>
      <c r="P4" s="582"/>
      <c r="Q4" s="582"/>
      <c r="R4" s="582"/>
      <c r="S4" s="582"/>
      <c r="T4" s="582"/>
      <c r="U4" s="582" t="s">
        <v>343</v>
      </c>
      <c r="V4" s="582"/>
      <c r="W4" s="582" t="s">
        <v>143</v>
      </c>
      <c r="X4" s="582"/>
      <c r="Y4" s="582" t="s">
        <v>134</v>
      </c>
      <c r="Z4" s="582"/>
      <c r="AA4" s="582"/>
      <c r="AB4" s="582"/>
      <c r="AC4" s="582"/>
      <c r="AD4" s="582"/>
      <c r="AE4" s="582" t="s">
        <v>132</v>
      </c>
      <c r="AF4" s="582"/>
      <c r="AG4" s="582" t="s">
        <v>144</v>
      </c>
      <c r="AH4" s="582"/>
      <c r="AI4" s="582" t="s">
        <v>145</v>
      </c>
      <c r="AJ4" s="582"/>
      <c r="AK4" s="582" t="s">
        <v>138</v>
      </c>
      <c r="AL4" s="582"/>
    </row>
    <row r="5" spans="1:38" ht="25.35" customHeight="1">
      <c r="B5" s="98"/>
      <c r="C5" s="585"/>
      <c r="D5" s="586"/>
      <c r="E5" s="586"/>
      <c r="F5" s="581" t="s">
        <v>115</v>
      </c>
      <c r="G5" s="581" t="s">
        <v>117</v>
      </c>
      <c r="H5" s="581" t="s">
        <v>118</v>
      </c>
      <c r="I5" s="582" t="s">
        <v>129</v>
      </c>
      <c r="J5" s="582"/>
      <c r="K5" s="582" t="s">
        <v>130</v>
      </c>
      <c r="L5" s="582"/>
      <c r="M5" s="583" t="s">
        <v>146</v>
      </c>
      <c r="N5" s="582"/>
      <c r="O5" s="582" t="s">
        <v>129</v>
      </c>
      <c r="P5" s="582"/>
      <c r="Q5" s="582" t="s">
        <v>130</v>
      </c>
      <c r="R5" s="582"/>
      <c r="S5" s="583" t="s">
        <v>146</v>
      </c>
      <c r="T5" s="582"/>
      <c r="U5" s="582" t="s">
        <v>129</v>
      </c>
      <c r="V5" s="582"/>
      <c r="W5" s="582" t="s">
        <v>129</v>
      </c>
      <c r="X5" s="582"/>
      <c r="Y5" s="582" t="s">
        <v>129</v>
      </c>
      <c r="Z5" s="582"/>
      <c r="AA5" s="582" t="s">
        <v>130</v>
      </c>
      <c r="AB5" s="582"/>
      <c r="AC5" s="583" t="s">
        <v>146</v>
      </c>
      <c r="AD5" s="582"/>
      <c r="AE5" s="582" t="s">
        <v>129</v>
      </c>
      <c r="AF5" s="582"/>
      <c r="AG5" s="582" t="s">
        <v>129</v>
      </c>
      <c r="AH5" s="582"/>
      <c r="AI5" s="582" t="s">
        <v>129</v>
      </c>
      <c r="AJ5" s="582"/>
      <c r="AK5" s="582" t="s">
        <v>129</v>
      </c>
      <c r="AL5" s="582"/>
    </row>
    <row r="6" spans="1:38" s="80" customFormat="1" ht="23.45" customHeight="1">
      <c r="B6" s="98"/>
      <c r="C6" s="585"/>
      <c r="D6" s="586"/>
      <c r="E6" s="586"/>
      <c r="F6" s="581"/>
      <c r="G6" s="581"/>
      <c r="H6" s="581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325">
        <v>46113</v>
      </c>
      <c r="E7" s="325" t="s">
        <v>525</v>
      </c>
      <c r="F7" s="228">
        <f t="shared" ref="F7" si="0">SUM(M7,S7,U7,W7,AC7,AE7,AG7,AI7,AK7)</f>
        <v>7706722.0000000019</v>
      </c>
      <c r="G7" s="323"/>
      <c r="I7" s="234">
        <v>508211.28209429717</v>
      </c>
      <c r="J7" s="101">
        <f t="shared" ref="J7:J8" si="1">I7/F7</f>
        <v>6.5943897041348717E-2</v>
      </c>
      <c r="K7" s="234">
        <v>711524.5637241482</v>
      </c>
      <c r="L7" s="101">
        <f t="shared" ref="L7:L8" si="2">K7/F7</f>
        <v>9.2325188805843519E-2</v>
      </c>
      <c r="M7" s="227">
        <f t="shared" ref="M7:M8" si="3">SUM(I7+K7)</f>
        <v>1219735.8458184453</v>
      </c>
      <c r="N7" s="101">
        <f t="shared" ref="N7:N8" si="4">M7/F7</f>
        <v>0.15826908584719224</v>
      </c>
      <c r="O7" s="234">
        <v>150820.05884131513</v>
      </c>
      <c r="P7" s="101">
        <f t="shared" ref="P7:P8" si="5">O7/F7</f>
        <v>1.956993632848247E-2</v>
      </c>
      <c r="Q7" s="234">
        <v>168715.45193290678</v>
      </c>
      <c r="R7" s="101">
        <f t="shared" ref="R7:R8" si="6">Q7/$F7</f>
        <v>2.1891986233953522E-2</v>
      </c>
      <c r="S7" s="227">
        <f t="shared" ref="S7:S8" si="7">SUM(O7+Q7)</f>
        <v>319535.51077422191</v>
      </c>
      <c r="T7" s="101">
        <f t="shared" ref="T7:T8" si="8">S7/F7</f>
        <v>4.1461922562435992E-2</v>
      </c>
      <c r="U7" s="234">
        <v>980045.61642958154</v>
      </c>
      <c r="V7" s="101">
        <f t="shared" ref="V7:V8" si="9">U7/F7</f>
        <v>0.12716763578984441</v>
      </c>
      <c r="W7" s="234">
        <v>63147.078440250203</v>
      </c>
      <c r="X7" s="101">
        <f t="shared" ref="X7:X8" si="10">W7/F7</f>
        <v>8.193766226451427E-3</v>
      </c>
      <c r="Y7" s="234">
        <v>836834.76942319598</v>
      </c>
      <c r="Z7" s="101">
        <f t="shared" ref="Z7:Z8" si="11">Y7/F7</f>
        <v>0.10858504684912675</v>
      </c>
      <c r="AA7" s="234">
        <v>1057575.2030284556</v>
      </c>
      <c r="AB7" s="101">
        <f t="shared" ref="AB7:AB8" si="12">AA7/$F7</f>
        <v>0.13722763102502664</v>
      </c>
      <c r="AC7" s="227">
        <f t="shared" ref="AC7:AC8" si="13">SUM(Y7+AA7)</f>
        <v>1894409.9724516515</v>
      </c>
      <c r="AD7" s="101">
        <f t="shared" ref="AD7:AD8" si="14">AC7/F7</f>
        <v>0.24581267787415337</v>
      </c>
      <c r="AE7" s="234">
        <v>1362045.6970322514</v>
      </c>
      <c r="AF7" s="101">
        <f t="shared" ref="AF7:AF8" si="15">AE7/F7</f>
        <v>0.17673476440855801</v>
      </c>
      <c r="AG7" s="234">
        <v>172357.17088303663</v>
      </c>
      <c r="AH7" s="101">
        <f t="shared" ref="AH7:AH8" si="16">AG7/F7</f>
        <v>2.2364524227425953E-2</v>
      </c>
      <c r="AI7" s="234">
        <v>1045807.4467119841</v>
      </c>
      <c r="AJ7" s="101">
        <f t="shared" ref="AJ7:AJ8" si="17">AI7/F7</f>
        <v>0.13570068398885854</v>
      </c>
      <c r="AK7" s="234">
        <v>649637.66145857843</v>
      </c>
      <c r="AL7" s="101">
        <f t="shared" ref="AL7:AL8" si="18">AK7/F7</f>
        <v>8.4294939075079942E-2</v>
      </c>
    </row>
    <row r="8" spans="1:38" ht="14.25">
      <c r="B8" s="98"/>
      <c r="C8" s="430"/>
      <c r="D8" s="325">
        <f t="shared" ref="D8:D36" si="19">D7+1</f>
        <v>46114</v>
      </c>
      <c r="E8" s="325" t="s">
        <v>526</v>
      </c>
      <c r="F8" s="228">
        <f>SUM(M8,S8,U8,W8,AC8,AE8,AG8,AI8,AK8)</f>
        <v>7008580.9999999991</v>
      </c>
      <c r="G8" s="323">
        <f>SUM(F7:F12)</f>
        <v>44423805</v>
      </c>
      <c r="I8" s="234">
        <v>437785.02877413505</v>
      </c>
      <c r="J8" s="101">
        <f t="shared" si="1"/>
        <v>6.2464146276419594E-2</v>
      </c>
      <c r="K8" s="234">
        <v>663898.1828179179</v>
      </c>
      <c r="L8" s="101">
        <f t="shared" si="2"/>
        <v>9.4726476417682545E-2</v>
      </c>
      <c r="M8" s="227">
        <f t="shared" si="3"/>
        <v>1101683.2115920531</v>
      </c>
      <c r="N8" s="101">
        <f t="shared" si="4"/>
        <v>0.15719062269410217</v>
      </c>
      <c r="O8" s="234">
        <v>125690.00442089015</v>
      </c>
      <c r="P8" s="101">
        <f t="shared" si="5"/>
        <v>1.7933730725362262E-2</v>
      </c>
      <c r="Q8" s="234">
        <v>152153.58421293308</v>
      </c>
      <c r="R8" s="101">
        <f t="shared" si="6"/>
        <v>2.1709613431439703E-2</v>
      </c>
      <c r="S8" s="227">
        <f t="shared" si="7"/>
        <v>277843.58863382321</v>
      </c>
      <c r="T8" s="101">
        <f t="shared" si="8"/>
        <v>3.9643344156801964E-2</v>
      </c>
      <c r="U8" s="234">
        <v>908987.51665638562</v>
      </c>
      <c r="V8" s="101">
        <f t="shared" si="9"/>
        <v>0.12969637030040543</v>
      </c>
      <c r="W8" s="234">
        <v>61165.377818677131</v>
      </c>
      <c r="X8" s="101">
        <f t="shared" si="10"/>
        <v>8.7272128008047765E-3</v>
      </c>
      <c r="Y8" s="234">
        <v>730280.96938126232</v>
      </c>
      <c r="Z8" s="101">
        <f t="shared" si="11"/>
        <v>0.10419812075814811</v>
      </c>
      <c r="AA8" s="234">
        <v>966710.09229144512</v>
      </c>
      <c r="AB8" s="101">
        <f t="shared" si="12"/>
        <v>0.13793235639160698</v>
      </c>
      <c r="AC8" s="227">
        <f t="shared" si="13"/>
        <v>1696991.0616727076</v>
      </c>
      <c r="AD8" s="101">
        <f t="shared" si="14"/>
        <v>0.24213047714975511</v>
      </c>
      <c r="AE8" s="234">
        <v>1223746.9575030864</v>
      </c>
      <c r="AF8" s="101">
        <f t="shared" si="15"/>
        <v>0.17460695075124144</v>
      </c>
      <c r="AG8" s="234">
        <v>134891.55553528428</v>
      </c>
      <c r="AH8" s="101">
        <f t="shared" si="16"/>
        <v>1.924662860217843E-2</v>
      </c>
      <c r="AI8" s="234">
        <v>1020442.2673896964</v>
      </c>
      <c r="AJ8" s="101">
        <f t="shared" si="17"/>
        <v>0.14559898321638812</v>
      </c>
      <c r="AK8" s="234">
        <v>582829.4631982852</v>
      </c>
      <c r="AL8" s="101">
        <f t="shared" si="18"/>
        <v>8.3159410328322567E-2</v>
      </c>
    </row>
    <row r="9" spans="1:38" ht="14.25">
      <c r="B9" s="98"/>
      <c r="C9" s="98"/>
      <c r="D9" s="325">
        <f t="shared" si="19"/>
        <v>46115</v>
      </c>
      <c r="E9" s="325" t="s">
        <v>527</v>
      </c>
      <c r="F9" s="228">
        <f t="shared" ref="F9:F45" si="20">SUM(M9,S9,U9,W9,AC9,AE9,AG9,AI9,AK9)</f>
        <v>6828155.0000000009</v>
      </c>
      <c r="I9" s="234">
        <v>425390.98145621491</v>
      </c>
      <c r="J9" s="101">
        <f t="shared" ref="J9:J13" si="21">I9/F9</f>
        <v>6.2299549652316745E-2</v>
      </c>
      <c r="K9" s="234">
        <v>629847.28558710555</v>
      </c>
      <c r="L9" s="101">
        <f t="shared" ref="L9:L13" si="22">K9/F9</f>
        <v>9.2242675449972278E-2</v>
      </c>
      <c r="M9" s="227">
        <f t="shared" ref="M9:M13" si="23">SUM(I9+K9)</f>
        <v>1055238.2670433205</v>
      </c>
      <c r="N9" s="101">
        <f t="shared" ref="N9:N13" si="24">M9/F9</f>
        <v>0.15454222510228902</v>
      </c>
      <c r="O9" s="234">
        <v>122096.70294205184</v>
      </c>
      <c r="P9" s="101">
        <f t="shared" ref="P9:P13" si="25">O9/F9</f>
        <v>1.7881360769058673E-2</v>
      </c>
      <c r="Q9" s="234">
        <v>135963.33446196871</v>
      </c>
      <c r="R9" s="101">
        <f t="shared" ref="R9:R14" si="26">Q9/$F9</f>
        <v>1.9912162870053287E-2</v>
      </c>
      <c r="S9" s="227">
        <f t="shared" ref="S9:S14" si="27">SUM(O9+Q9)</f>
        <v>258060.03740402055</v>
      </c>
      <c r="T9" s="101">
        <f t="shared" ref="T9:T13" si="28">S9/F9</f>
        <v>3.779352363911196E-2</v>
      </c>
      <c r="U9" s="234">
        <v>803416.94088735501</v>
      </c>
      <c r="V9" s="101">
        <f t="shared" ref="V9:V13" si="29">U9/F9</f>
        <v>0.11766237598404765</v>
      </c>
      <c r="W9" s="234">
        <v>50207.735030128781</v>
      </c>
      <c r="X9" s="101">
        <f t="shared" ref="X9:X13" si="30">W9/F9</f>
        <v>7.3530455928620215E-3</v>
      </c>
      <c r="Y9" s="234">
        <v>756788.96673269907</v>
      </c>
      <c r="Z9" s="101">
        <f t="shared" ref="Z9:Z13" si="31">Y9/F9</f>
        <v>0.11083359512675078</v>
      </c>
      <c r="AA9" s="234">
        <v>1086098.4139293155</v>
      </c>
      <c r="AB9" s="101">
        <f t="shared" ref="AB9:AB14" si="32">AA9/$F9</f>
        <v>0.15906176909125749</v>
      </c>
      <c r="AC9" s="227">
        <f t="shared" ref="AC9:AC13" si="33">SUM(Y9+AA9)</f>
        <v>1842887.3806620147</v>
      </c>
      <c r="AD9" s="101">
        <f t="shared" ref="AD9:AD13" si="34">AC9/F9</f>
        <v>0.2698953642180083</v>
      </c>
      <c r="AE9" s="234">
        <v>1018337.6218503419</v>
      </c>
      <c r="AF9" s="101">
        <f t="shared" ref="AF9:AF13" si="35">AE9/F9</f>
        <v>0.14913803536245762</v>
      </c>
      <c r="AG9" s="234">
        <v>426278.26713679574</v>
      </c>
      <c r="AH9" s="101">
        <f t="shared" ref="AH9:AH13" si="36">AG9/F9</f>
        <v>6.2429494810354431E-2</v>
      </c>
      <c r="AI9" s="234">
        <v>855513.15976666065</v>
      </c>
      <c r="AJ9" s="101">
        <f t="shared" ref="AJ9:AJ13" si="37">AI9/F9</f>
        <v>0.12529199465546118</v>
      </c>
      <c r="AK9" s="234">
        <v>518215.59021936322</v>
      </c>
      <c r="AL9" s="101">
        <f t="shared" ref="AL9:AL13" si="38">AK9/F9</f>
        <v>7.5893940635407831E-2</v>
      </c>
    </row>
    <row r="10" spans="1:38" ht="14.25">
      <c r="B10" s="98"/>
      <c r="C10" s="98"/>
      <c r="D10" s="325">
        <f t="shared" si="19"/>
        <v>46116</v>
      </c>
      <c r="E10" s="325" t="s">
        <v>528</v>
      </c>
      <c r="F10" s="228">
        <f t="shared" si="20"/>
        <v>6946480.9999999991</v>
      </c>
      <c r="G10" s="323"/>
      <c r="H10" s="351"/>
      <c r="I10" s="234">
        <v>401887.34506476717</v>
      </c>
      <c r="J10" s="101">
        <f t="shared" si="21"/>
        <v>5.7854810956046269E-2</v>
      </c>
      <c r="K10" s="234">
        <v>626066.04330571799</v>
      </c>
      <c r="L10" s="101">
        <f t="shared" si="22"/>
        <v>9.0127079208266472E-2</v>
      </c>
      <c r="M10" s="227">
        <f t="shared" si="23"/>
        <v>1027953.3883704852</v>
      </c>
      <c r="N10" s="101">
        <f t="shared" si="24"/>
        <v>0.14798189016431273</v>
      </c>
      <c r="O10" s="234">
        <v>114028.51082146732</v>
      </c>
      <c r="P10" s="101">
        <f t="shared" si="25"/>
        <v>1.641529154423187E-2</v>
      </c>
      <c r="Q10" s="234">
        <v>111923.94892193367</v>
      </c>
      <c r="R10" s="101">
        <f t="shared" si="26"/>
        <v>1.6112323480325316E-2</v>
      </c>
      <c r="S10" s="227">
        <f t="shared" si="27"/>
        <v>225952.45974340098</v>
      </c>
      <c r="T10" s="101">
        <f t="shared" si="28"/>
        <v>3.2527615024557185E-2</v>
      </c>
      <c r="U10" s="234">
        <v>884196.2742067175</v>
      </c>
      <c r="V10" s="101">
        <f t="shared" si="29"/>
        <v>0.12728693481011719</v>
      </c>
      <c r="W10" s="234">
        <v>58359.136352212372</v>
      </c>
      <c r="X10" s="101">
        <f t="shared" si="30"/>
        <v>8.401251849996046E-3</v>
      </c>
      <c r="Y10" s="234">
        <v>712258.39015219361</v>
      </c>
      <c r="Z10" s="101">
        <f t="shared" si="31"/>
        <v>0.10253513831711246</v>
      </c>
      <c r="AA10" s="234">
        <v>1074264.6083154562</v>
      </c>
      <c r="AB10" s="101">
        <f t="shared" si="32"/>
        <v>0.15464875068620448</v>
      </c>
      <c r="AC10" s="227">
        <f t="shared" si="33"/>
        <v>1786522.9984676498</v>
      </c>
      <c r="AD10" s="101">
        <f t="shared" si="34"/>
        <v>0.25718388900331696</v>
      </c>
      <c r="AE10" s="234">
        <v>1085694.2959585995</v>
      </c>
      <c r="AF10" s="101">
        <f t="shared" si="35"/>
        <v>0.15629414317243503</v>
      </c>
      <c r="AG10" s="234">
        <v>430137.27219565294</v>
      </c>
      <c r="AH10" s="101">
        <f t="shared" si="36"/>
        <v>6.1921607817778959E-2</v>
      </c>
      <c r="AI10" s="234">
        <v>919325.79617643799</v>
      </c>
      <c r="AJ10" s="101">
        <f t="shared" si="37"/>
        <v>0.13234410288841761</v>
      </c>
      <c r="AK10" s="234">
        <v>528339.3785288427</v>
      </c>
      <c r="AL10" s="101">
        <f t="shared" si="38"/>
        <v>7.605856526906829E-2</v>
      </c>
    </row>
    <row r="11" spans="1:38" ht="14.25">
      <c r="B11" s="98"/>
      <c r="C11" s="98"/>
      <c r="D11" s="325">
        <f t="shared" si="19"/>
        <v>46117</v>
      </c>
      <c r="E11" s="325" t="s">
        <v>529</v>
      </c>
      <c r="F11" s="228">
        <f t="shared" si="20"/>
        <v>7261197.0000000009</v>
      </c>
      <c r="G11" s="323"/>
      <c r="H11" s="351"/>
      <c r="I11" s="234">
        <v>410942.64844445285</v>
      </c>
      <c r="J11" s="101">
        <f t="shared" si="21"/>
        <v>5.6594339534439403E-2</v>
      </c>
      <c r="K11" s="234">
        <v>691236.95925475832</v>
      </c>
      <c r="L11" s="101">
        <f t="shared" si="22"/>
        <v>9.5196006836718278E-2</v>
      </c>
      <c r="M11" s="227">
        <f t="shared" si="23"/>
        <v>1102179.6076992112</v>
      </c>
      <c r="N11" s="101">
        <f t="shared" si="24"/>
        <v>0.15179034637115768</v>
      </c>
      <c r="O11" s="234">
        <v>120096.85178370307</v>
      </c>
      <c r="P11" s="101">
        <f t="shared" si="25"/>
        <v>1.6539539112312068E-2</v>
      </c>
      <c r="Q11" s="234">
        <v>129151.27641452379</v>
      </c>
      <c r="R11" s="101">
        <f t="shared" si="26"/>
        <v>1.7786499445549237E-2</v>
      </c>
      <c r="S11" s="227">
        <f t="shared" si="27"/>
        <v>249248.12819822686</v>
      </c>
      <c r="T11" s="101">
        <f t="shared" si="28"/>
        <v>3.4326038557861302E-2</v>
      </c>
      <c r="U11" s="234">
        <v>907910.32542218012</v>
      </c>
      <c r="V11" s="101">
        <f t="shared" si="29"/>
        <v>0.12503590322947855</v>
      </c>
      <c r="W11" s="234">
        <v>49371.834216066352</v>
      </c>
      <c r="X11" s="101">
        <f t="shared" si="30"/>
        <v>6.7994070696699655E-3</v>
      </c>
      <c r="Y11" s="234">
        <v>748469.44072711747</v>
      </c>
      <c r="Z11" s="101">
        <f t="shared" si="31"/>
        <v>0.10307796920082424</v>
      </c>
      <c r="AA11" s="234">
        <v>1182295.9033421488</v>
      </c>
      <c r="AB11" s="101">
        <f t="shared" si="32"/>
        <v>0.16282382964436148</v>
      </c>
      <c r="AC11" s="227">
        <f t="shared" si="33"/>
        <v>1930765.3440692662</v>
      </c>
      <c r="AD11" s="101">
        <f t="shared" si="34"/>
        <v>0.26590179884518572</v>
      </c>
      <c r="AE11" s="234">
        <v>1197457.8175316961</v>
      </c>
      <c r="AF11" s="101">
        <f t="shared" si="35"/>
        <v>0.16491190330350436</v>
      </c>
      <c r="AG11" s="234">
        <v>407178.53242647386</v>
      </c>
      <c r="AH11" s="101">
        <f t="shared" si="36"/>
        <v>5.6075951723451908E-2</v>
      </c>
      <c r="AI11" s="234">
        <v>863728.04240777332</v>
      </c>
      <c r="AJ11" s="101">
        <f t="shared" si="37"/>
        <v>0.11895119253860943</v>
      </c>
      <c r="AK11" s="234">
        <v>553357.36802910606</v>
      </c>
      <c r="AL11" s="101">
        <f t="shared" si="38"/>
        <v>7.6207458361080962E-2</v>
      </c>
    </row>
    <row r="12" spans="1:38" ht="14.25">
      <c r="B12" s="98"/>
      <c r="C12" s="98"/>
      <c r="D12" s="325">
        <f t="shared" si="19"/>
        <v>46118</v>
      </c>
      <c r="E12" s="325" t="s">
        <v>523</v>
      </c>
      <c r="F12" s="228">
        <f t="shared" si="20"/>
        <v>8672669</v>
      </c>
      <c r="G12" s="323"/>
      <c r="H12" s="351">
        <f>SUM(F7:F36)</f>
        <v>102477247</v>
      </c>
      <c r="I12" s="234">
        <v>509201.12430855038</v>
      </c>
      <c r="J12" s="101">
        <f t="shared" si="21"/>
        <v>5.8713312396512583E-2</v>
      </c>
      <c r="K12" s="234">
        <v>836419.96943912341</v>
      </c>
      <c r="L12" s="101">
        <f t="shared" si="22"/>
        <v>9.6443202137556888E-2</v>
      </c>
      <c r="M12" s="227">
        <f t="shared" si="23"/>
        <v>1345621.0937476738</v>
      </c>
      <c r="N12" s="101">
        <f t="shared" si="24"/>
        <v>0.15515651453406948</v>
      </c>
      <c r="O12" s="234">
        <v>138987.31707253127</v>
      </c>
      <c r="P12" s="101">
        <f t="shared" si="25"/>
        <v>1.6025898955965144E-2</v>
      </c>
      <c r="Q12" s="234">
        <v>59320.694764027794</v>
      </c>
      <c r="R12" s="101">
        <f t="shared" si="26"/>
        <v>6.8399583523858446E-3</v>
      </c>
      <c r="S12" s="227">
        <f t="shared" si="27"/>
        <v>198308.01183655905</v>
      </c>
      <c r="T12" s="101">
        <f t="shared" si="28"/>
        <v>2.2865857308350987E-2</v>
      </c>
      <c r="U12" s="234">
        <v>1140694.2673472322</v>
      </c>
      <c r="V12" s="101">
        <f t="shared" si="29"/>
        <v>0.13152747641438087</v>
      </c>
      <c r="W12" s="234">
        <v>65023.02057484995</v>
      </c>
      <c r="X12" s="101">
        <f t="shared" si="30"/>
        <v>7.4974636498694866E-3</v>
      </c>
      <c r="Y12" s="234">
        <v>922650.14552391006</v>
      </c>
      <c r="Z12" s="101">
        <f t="shared" si="31"/>
        <v>0.10638595172073442</v>
      </c>
      <c r="AA12" s="234">
        <v>1308920.8528431011</v>
      </c>
      <c r="AB12" s="101">
        <f t="shared" si="32"/>
        <v>0.15092480213912246</v>
      </c>
      <c r="AC12" s="227">
        <f t="shared" si="33"/>
        <v>2231570.9983670111</v>
      </c>
      <c r="AD12" s="101">
        <f t="shared" si="34"/>
        <v>0.25731075385985686</v>
      </c>
      <c r="AE12" s="234">
        <v>1439540.1124186106</v>
      </c>
      <c r="AF12" s="101">
        <f t="shared" si="35"/>
        <v>0.16598582425071343</v>
      </c>
      <c r="AG12" s="234">
        <v>407910.55471105559</v>
      </c>
      <c r="AH12" s="101">
        <f t="shared" si="36"/>
        <v>4.7034027784417412E-2</v>
      </c>
      <c r="AI12" s="234">
        <v>1171912.7174024782</v>
      </c>
      <c r="AJ12" s="101">
        <f t="shared" si="37"/>
        <v>0.13512711224220345</v>
      </c>
      <c r="AK12" s="234">
        <v>672088.22359452967</v>
      </c>
      <c r="AL12" s="101">
        <f t="shared" si="38"/>
        <v>7.7494969956138027E-2</v>
      </c>
    </row>
    <row r="13" spans="1:38" ht="14.25">
      <c r="B13" s="98"/>
      <c r="C13" s="98"/>
      <c r="D13" s="474">
        <f t="shared" si="19"/>
        <v>46119</v>
      </c>
      <c r="E13" s="474" t="s">
        <v>524</v>
      </c>
      <c r="F13" s="228">
        <f t="shared" si="20"/>
        <v>8371654.9999999991</v>
      </c>
      <c r="G13" s="323">
        <f>SUM(F13:F19)</f>
        <v>58053442</v>
      </c>
      <c r="H13" s="351"/>
      <c r="I13" s="234">
        <v>506993.6685303179</v>
      </c>
      <c r="J13" s="101">
        <f t="shared" si="21"/>
        <v>6.0560745579018478E-2</v>
      </c>
      <c r="K13" s="234">
        <v>809303.05091505952</v>
      </c>
      <c r="L13" s="101">
        <f t="shared" si="22"/>
        <v>9.6671811119194428E-2</v>
      </c>
      <c r="M13" s="227">
        <f t="shared" si="23"/>
        <v>1316296.7194453774</v>
      </c>
      <c r="N13" s="101">
        <f t="shared" si="24"/>
        <v>0.1572325566982129</v>
      </c>
      <c r="O13" s="234">
        <v>275335.79334093694</v>
      </c>
      <c r="P13" s="101">
        <f t="shared" si="25"/>
        <v>3.2889051608187031E-2</v>
      </c>
      <c r="Q13" s="234">
        <v>58798.285838047115</v>
      </c>
      <c r="R13" s="101">
        <f t="shared" si="26"/>
        <v>7.0234960516226625E-3</v>
      </c>
      <c r="S13" s="227">
        <f t="shared" si="27"/>
        <v>334134.07917898404</v>
      </c>
      <c r="T13" s="101">
        <f t="shared" si="28"/>
        <v>3.9912547659809686E-2</v>
      </c>
      <c r="U13" s="234">
        <v>1058723.984008739</v>
      </c>
      <c r="V13" s="101">
        <f t="shared" si="29"/>
        <v>0.12646531468493855</v>
      </c>
      <c r="W13" s="234">
        <v>54387.79723723283</v>
      </c>
      <c r="X13" s="101">
        <f t="shared" si="30"/>
        <v>6.4966601272069659E-3</v>
      </c>
      <c r="Y13" s="234">
        <v>901539.75810732425</v>
      </c>
      <c r="Z13" s="101">
        <f t="shared" si="31"/>
        <v>0.10768954980912668</v>
      </c>
      <c r="AA13" s="234">
        <v>1217251.0098507269</v>
      </c>
      <c r="AB13" s="101">
        <f t="shared" si="32"/>
        <v>0.14540147794560659</v>
      </c>
      <c r="AC13" s="227">
        <f t="shared" si="33"/>
        <v>2118790.7679580511</v>
      </c>
      <c r="AD13" s="101">
        <f t="shared" si="34"/>
        <v>0.25309102775473324</v>
      </c>
      <c r="AE13" s="234">
        <v>1352157.0449887537</v>
      </c>
      <c r="AF13" s="101">
        <f t="shared" si="35"/>
        <v>0.16151609747281198</v>
      </c>
      <c r="AG13" s="234">
        <v>372338.54856498982</v>
      </c>
      <c r="AH13" s="101">
        <f t="shared" si="36"/>
        <v>4.4476098043336694E-2</v>
      </c>
      <c r="AI13" s="234">
        <v>1128164.5726943074</v>
      </c>
      <c r="AJ13" s="101">
        <f t="shared" si="37"/>
        <v>0.13476004119786442</v>
      </c>
      <c r="AK13" s="234">
        <v>636661.48592356395</v>
      </c>
      <c r="AL13" s="101">
        <f t="shared" si="38"/>
        <v>7.6049656361085599E-2</v>
      </c>
    </row>
    <row r="14" spans="1:38" ht="14.25">
      <c r="B14" s="98"/>
      <c r="C14" s="98"/>
      <c r="D14" s="474">
        <f t="shared" si="19"/>
        <v>46120</v>
      </c>
      <c r="E14" s="474" t="s">
        <v>525</v>
      </c>
      <c r="F14" s="228">
        <f t="shared" si="20"/>
        <v>8123789.0000000009</v>
      </c>
      <c r="G14" s="323"/>
      <c r="H14" s="351"/>
      <c r="I14" s="234">
        <v>521067.04112365132</v>
      </c>
      <c r="J14" s="101">
        <f>I14/F14</f>
        <v>6.414088809096978E-2</v>
      </c>
      <c r="K14" s="234">
        <v>794108.90972789365</v>
      </c>
      <c r="L14" s="101">
        <f>K14/F14</f>
        <v>9.7751050615407856E-2</v>
      </c>
      <c r="M14" s="227">
        <f>SUM(I14+K14)</f>
        <v>1315175.950851545</v>
      </c>
      <c r="N14" s="101">
        <f>M14/F14</f>
        <v>0.16189193870637764</v>
      </c>
      <c r="O14" s="234">
        <v>178259.42119620807</v>
      </c>
      <c r="P14" s="101">
        <f>O14/F14</f>
        <v>2.1942891573895881E-2</v>
      </c>
      <c r="Q14" s="234">
        <v>56536.595449545872</v>
      </c>
      <c r="R14" s="101">
        <f t="shared" si="26"/>
        <v>6.9593874791117625E-3</v>
      </c>
      <c r="S14" s="227">
        <f t="shared" si="27"/>
        <v>234796.01664575393</v>
      </c>
      <c r="T14" s="101">
        <f>S14/F14</f>
        <v>2.8902279053007643E-2</v>
      </c>
      <c r="U14" s="234">
        <v>1006926.1538039675</v>
      </c>
      <c r="V14" s="101">
        <f>U14/F14</f>
        <v>0.12394784672570489</v>
      </c>
      <c r="W14" s="234">
        <v>57641.152836295121</v>
      </c>
      <c r="X14" s="101">
        <f>W14/F14</f>
        <v>7.0953532688127563E-3</v>
      </c>
      <c r="Y14" s="234">
        <v>856392.63727964612</v>
      </c>
      <c r="Z14" s="101">
        <f>Y14/F14</f>
        <v>0.10541788287209897</v>
      </c>
      <c r="AA14" s="234">
        <v>1172121.7533185368</v>
      </c>
      <c r="AB14" s="101">
        <f t="shared" si="32"/>
        <v>0.1442826436430755</v>
      </c>
      <c r="AC14" s="227">
        <f>SUM(Y14+AA14)</f>
        <v>2028514.390598183</v>
      </c>
      <c r="AD14" s="101">
        <f>AC14/F14</f>
        <v>0.24970052651517449</v>
      </c>
      <c r="AE14" s="234">
        <v>1345371.7084427921</v>
      </c>
      <c r="AF14" s="101">
        <f>AE14/F14</f>
        <v>0.16560889363852163</v>
      </c>
      <c r="AG14" s="234">
        <v>407692.10853570228</v>
      </c>
      <c r="AH14" s="101">
        <f>AG14/F14</f>
        <v>5.0184970158100146E-2</v>
      </c>
      <c r="AI14" s="234">
        <v>1102749.5676804101</v>
      </c>
      <c r="AJ14" s="101">
        <f>AI14/F14</f>
        <v>0.13574325572468832</v>
      </c>
      <c r="AK14" s="234">
        <v>624921.95060535171</v>
      </c>
      <c r="AL14" s="101">
        <f>AK14/F14</f>
        <v>7.6924936209612493E-2</v>
      </c>
    </row>
    <row r="15" spans="1:38" ht="14.25">
      <c r="B15" s="98"/>
      <c r="C15" s="98"/>
      <c r="D15" s="474">
        <f t="shared" si="19"/>
        <v>46121</v>
      </c>
      <c r="E15" s="474" t="s">
        <v>526</v>
      </c>
      <c r="F15" s="228">
        <f t="shared" si="20"/>
        <v>7630690.9999999981</v>
      </c>
      <c r="G15" s="323"/>
      <c r="H15" s="351"/>
      <c r="I15" s="234">
        <v>508340.46678194869</v>
      </c>
      <c r="J15" s="101">
        <f t="shared" ref="J15" si="39">I15/F15</f>
        <v>6.6617881235388615E-2</v>
      </c>
      <c r="K15" s="234">
        <v>752145.9052312912</v>
      </c>
      <c r="L15" s="101">
        <f t="shared" ref="L15" si="40">K15/F15</f>
        <v>9.8568518268043012E-2</v>
      </c>
      <c r="M15" s="227">
        <f t="shared" ref="M15" si="41">SUM(I15+K15)</f>
        <v>1260486.3720132399</v>
      </c>
      <c r="N15" s="101">
        <f t="shared" ref="N15" si="42">M15/F15</f>
        <v>0.16518639950343164</v>
      </c>
      <c r="O15" s="234">
        <v>178130.68673953987</v>
      </c>
      <c r="P15" s="101">
        <f t="shared" ref="P15" si="43">O15/F15</f>
        <v>2.3343978512501674E-2</v>
      </c>
      <c r="Q15" s="234">
        <v>50806.844807229842</v>
      </c>
      <c r="R15" s="101">
        <f t="shared" ref="R15" si="44">Q15/$F15</f>
        <v>6.6582233256765148E-3</v>
      </c>
      <c r="S15" s="227">
        <f t="shared" ref="S15" si="45">SUM(O15+Q15)</f>
        <v>228937.53154676972</v>
      </c>
      <c r="T15" s="101">
        <f t="shared" ref="T15" si="46">S15/F15</f>
        <v>3.0002201838178189E-2</v>
      </c>
      <c r="U15" s="234">
        <v>982445.343715625</v>
      </c>
      <c r="V15" s="101">
        <f t="shared" ref="V15" si="47">U15/F15</f>
        <v>0.12874919764351947</v>
      </c>
      <c r="W15" s="234">
        <v>62421.89608820685</v>
      </c>
      <c r="X15" s="101">
        <f t="shared" ref="X15" si="48">W15/F15</f>
        <v>8.1803726671944733E-3</v>
      </c>
      <c r="Y15" s="234">
        <v>818538.24669602735</v>
      </c>
      <c r="Z15" s="101">
        <f t="shared" ref="Z15" si="49">Y15/F15</f>
        <v>0.10726921673227596</v>
      </c>
      <c r="AA15" s="234">
        <v>1059296.289104189</v>
      </c>
      <c r="AB15" s="101">
        <f t="shared" ref="AB15" si="50">AA15/$F15</f>
        <v>0.13882049333463894</v>
      </c>
      <c r="AC15" s="227">
        <f t="shared" ref="AC15" si="51">SUM(Y15+AA15)</f>
        <v>1877834.5358002163</v>
      </c>
      <c r="AD15" s="101">
        <f t="shared" ref="AD15" si="52">AC15/F15</f>
        <v>0.24608971006691488</v>
      </c>
      <c r="AE15" s="234">
        <v>1276773.1031471246</v>
      </c>
      <c r="AF15" s="101">
        <f t="shared" ref="AF15" si="53">AE15/F15</f>
        <v>0.16732077123121941</v>
      </c>
      <c r="AG15" s="234">
        <v>421800.86765366327</v>
      </c>
      <c r="AH15" s="101">
        <f t="shared" ref="AH15" si="54">AG15/F15</f>
        <v>5.5276890081601179E-2</v>
      </c>
      <c r="AI15" s="234">
        <v>894767.90276866523</v>
      </c>
      <c r="AJ15" s="101">
        <f t="shared" ref="AJ15" si="55">AI15/F15</f>
        <v>0.11725909262590575</v>
      </c>
      <c r="AK15" s="234">
        <v>625223.44726648775</v>
      </c>
      <c r="AL15" s="101">
        <f t="shared" ref="AL15" si="56">AK15/F15</f>
        <v>8.1935364342035064E-2</v>
      </c>
    </row>
    <row r="16" spans="1:38" ht="14.25">
      <c r="B16" s="98"/>
      <c r="C16" s="98"/>
      <c r="D16" s="474">
        <f t="shared" si="19"/>
        <v>46122</v>
      </c>
      <c r="E16" s="474" t="s">
        <v>527</v>
      </c>
      <c r="F16" s="228">
        <f t="shared" si="20"/>
        <v>7424675</v>
      </c>
      <c r="G16" s="323"/>
      <c r="H16" s="351"/>
      <c r="I16" s="234">
        <v>454230.01698852924</v>
      </c>
      <c r="J16" s="101">
        <f t="shared" ref="J16:J41" si="57">I16/F16</f>
        <v>6.1178437707849739E-2</v>
      </c>
      <c r="K16" s="234">
        <v>733396.32699423935</v>
      </c>
      <c r="L16" s="101">
        <f t="shared" ref="L16:L41" si="58">K16/F16</f>
        <v>9.8778239720154662E-2</v>
      </c>
      <c r="M16" s="227">
        <f t="shared" ref="M16:M41" si="59">SUM(I16+K16)</f>
        <v>1187626.3439827687</v>
      </c>
      <c r="N16" s="101">
        <f t="shared" ref="N16:N41" si="60">M16/F16</f>
        <v>0.15995667742800443</v>
      </c>
      <c r="O16" s="234">
        <v>234481.93318780686</v>
      </c>
      <c r="P16" s="101">
        <f t="shared" ref="P16:P41" si="61">O16/F16</f>
        <v>3.158144069441516E-2</v>
      </c>
      <c r="Q16" s="234">
        <v>45475.983071127324</v>
      </c>
      <c r="R16" s="101">
        <f t="shared" ref="R16:R45" si="62">Q16/$F16</f>
        <v>6.1249796214820611E-3</v>
      </c>
      <c r="S16" s="227">
        <f t="shared" ref="S16:S45" si="63">SUM(O16+Q16)</f>
        <v>279957.91625893419</v>
      </c>
      <c r="T16" s="101">
        <f t="shared" ref="T16:T41" si="64">S16/F16</f>
        <v>3.7706420315897222E-2</v>
      </c>
      <c r="U16" s="234">
        <v>925813.65059754218</v>
      </c>
      <c r="V16" s="101">
        <f t="shared" ref="V16:V41" si="65">U16/F16</f>
        <v>0.12469416514494469</v>
      </c>
      <c r="W16" s="234">
        <v>48153.086354693223</v>
      </c>
      <c r="X16" s="101">
        <f t="shared" ref="X16:X41" si="66">W16/F16</f>
        <v>6.4855480347211459E-3</v>
      </c>
      <c r="Y16" s="234">
        <v>761966.71834855829</v>
      </c>
      <c r="Z16" s="101">
        <f t="shared" ref="Z16:Z41" si="67">Y16/F16</f>
        <v>0.10262627230802134</v>
      </c>
      <c r="AA16" s="234">
        <v>1148215.302805407</v>
      </c>
      <c r="AB16" s="101">
        <f t="shared" ref="AB16:AB45" si="68">AA16/$F16</f>
        <v>0.15464856075254566</v>
      </c>
      <c r="AC16" s="227">
        <f t="shared" ref="AC16:AC41" si="69">SUM(Y16+AA16)</f>
        <v>1910182.0211539653</v>
      </c>
      <c r="AD16" s="101">
        <f t="shared" ref="AD16:AD41" si="70">AC16/F16</f>
        <v>0.25727483306056698</v>
      </c>
      <c r="AE16" s="234">
        <v>1210919.2857398198</v>
      </c>
      <c r="AF16" s="101">
        <f t="shared" ref="AF16:AF41" si="71">AE16/F16</f>
        <v>0.16309391128094089</v>
      </c>
      <c r="AG16" s="234">
        <v>372985.46991015715</v>
      </c>
      <c r="AH16" s="101">
        <f t="shared" ref="AH16:AH41" si="72">AG16/F16</f>
        <v>5.0235932200420511E-2</v>
      </c>
      <c r="AI16" s="234">
        <v>927192.71038393315</v>
      </c>
      <c r="AJ16" s="101">
        <f t="shared" ref="AJ16:AJ41" si="73">AI16/F16</f>
        <v>0.12487990523274529</v>
      </c>
      <c r="AK16" s="234">
        <v>561844.51561818679</v>
      </c>
      <c r="AL16" s="101">
        <f t="shared" ref="AL16:AL41" si="74">AK16/F16</f>
        <v>7.5672607301758898E-2</v>
      </c>
    </row>
    <row r="17" spans="2:38" ht="14.25">
      <c r="B17" s="98"/>
      <c r="C17" s="98"/>
      <c r="D17" s="474">
        <f t="shared" si="19"/>
        <v>46123</v>
      </c>
      <c r="E17" s="474" t="s">
        <v>528</v>
      </c>
      <c r="F17" s="228">
        <f t="shared" si="20"/>
        <v>7969209</v>
      </c>
      <c r="G17" s="323"/>
      <c r="H17" s="351"/>
      <c r="I17" s="234">
        <v>432950.88126630971</v>
      </c>
      <c r="J17" s="101">
        <f t="shared" si="57"/>
        <v>5.4327961691845415E-2</v>
      </c>
      <c r="K17" s="234">
        <v>781773.88080231007</v>
      </c>
      <c r="L17" s="101">
        <f t="shared" si="58"/>
        <v>9.8099307070790856E-2</v>
      </c>
      <c r="M17" s="227">
        <f t="shared" si="59"/>
        <v>1214724.7620686197</v>
      </c>
      <c r="N17" s="101">
        <f t="shared" si="60"/>
        <v>0.15242726876263626</v>
      </c>
      <c r="O17" s="234">
        <v>219292.51622497855</v>
      </c>
      <c r="P17" s="101">
        <f t="shared" si="61"/>
        <v>2.7517475852996017E-2</v>
      </c>
      <c r="Q17" s="234">
        <v>39897.301697868112</v>
      </c>
      <c r="R17" s="101">
        <f t="shared" si="62"/>
        <v>5.0064318425916687E-3</v>
      </c>
      <c r="S17" s="227">
        <f t="shared" si="63"/>
        <v>259189.81792284665</v>
      </c>
      <c r="T17" s="101">
        <f t="shared" si="64"/>
        <v>3.2523907695587689E-2</v>
      </c>
      <c r="U17" s="234">
        <v>985373.24262871686</v>
      </c>
      <c r="V17" s="101">
        <f t="shared" si="65"/>
        <v>0.12364755932850009</v>
      </c>
      <c r="W17" s="234">
        <v>56704.845810824467</v>
      </c>
      <c r="X17" s="101">
        <f t="shared" si="66"/>
        <v>7.1154923670372384E-3</v>
      </c>
      <c r="Y17" s="234">
        <v>813386.83472846367</v>
      </c>
      <c r="Z17" s="101">
        <f t="shared" si="67"/>
        <v>0.10206619436489414</v>
      </c>
      <c r="AA17" s="234">
        <v>1177693.8151192705</v>
      </c>
      <c r="AB17" s="101">
        <f t="shared" si="68"/>
        <v>0.14778051562197334</v>
      </c>
      <c r="AC17" s="227">
        <f t="shared" si="69"/>
        <v>1991080.6498477343</v>
      </c>
      <c r="AD17" s="101">
        <f t="shared" si="70"/>
        <v>0.24984670998686748</v>
      </c>
      <c r="AE17" s="234">
        <v>1311751.9166347177</v>
      </c>
      <c r="AF17" s="101">
        <f t="shared" si="71"/>
        <v>0.16460252411935961</v>
      </c>
      <c r="AG17" s="234">
        <v>394301.34296355798</v>
      </c>
      <c r="AH17" s="101">
        <f t="shared" si="72"/>
        <v>4.9478102903758453E-2</v>
      </c>
      <c r="AI17" s="234">
        <v>1162975.7170181356</v>
      </c>
      <c r="AJ17" s="101">
        <f t="shared" si="73"/>
        <v>0.14593364498510902</v>
      </c>
      <c r="AK17" s="234">
        <v>593106.70510484627</v>
      </c>
      <c r="AL17" s="101">
        <f t="shared" si="74"/>
        <v>7.4424789851144105E-2</v>
      </c>
    </row>
    <row r="18" spans="2:38" ht="14.25">
      <c r="B18" s="98"/>
      <c r="C18" s="98"/>
      <c r="D18" s="474">
        <f t="shared" si="19"/>
        <v>46124</v>
      </c>
      <c r="E18" s="474" t="s">
        <v>529</v>
      </c>
      <c r="F18" s="228">
        <f t="shared" si="20"/>
        <v>9249267.0000000019</v>
      </c>
      <c r="G18" s="323"/>
      <c r="H18" s="351"/>
      <c r="I18" s="234">
        <v>541521.78918390011</v>
      </c>
      <c r="J18" s="101">
        <f t="shared" si="57"/>
        <v>5.8547535624595984E-2</v>
      </c>
      <c r="K18" s="234">
        <v>834009.36374759208</v>
      </c>
      <c r="L18" s="101">
        <f t="shared" si="58"/>
        <v>9.0170319847788144E-2</v>
      </c>
      <c r="M18" s="227">
        <f t="shared" si="59"/>
        <v>1375531.1529314923</v>
      </c>
      <c r="N18" s="101">
        <f t="shared" si="60"/>
        <v>0.14871785547238414</v>
      </c>
      <c r="O18" s="234">
        <v>314715.62379036046</v>
      </c>
      <c r="P18" s="101">
        <f t="shared" si="61"/>
        <v>3.4026007011189144E-2</v>
      </c>
      <c r="Q18" s="234">
        <v>49580.096841337552</v>
      </c>
      <c r="R18" s="101">
        <f t="shared" si="62"/>
        <v>5.3604352476080046E-3</v>
      </c>
      <c r="S18" s="227">
        <f t="shared" si="63"/>
        <v>364295.72063169803</v>
      </c>
      <c r="T18" s="101">
        <f t="shared" si="64"/>
        <v>3.9386442258797151E-2</v>
      </c>
      <c r="U18" s="234">
        <v>1184490.6190737176</v>
      </c>
      <c r="V18" s="101">
        <f t="shared" si="65"/>
        <v>0.12806318804222189</v>
      </c>
      <c r="W18" s="234">
        <v>50043.702010013127</v>
      </c>
      <c r="X18" s="101">
        <f t="shared" si="66"/>
        <v>5.4105586972473729E-3</v>
      </c>
      <c r="Y18" s="234">
        <v>921054.84039848065</v>
      </c>
      <c r="Z18" s="101">
        <f t="shared" si="67"/>
        <v>9.9581387411400324E-2</v>
      </c>
      <c r="AA18" s="234">
        <v>1257470.2947184185</v>
      </c>
      <c r="AB18" s="101">
        <f t="shared" si="68"/>
        <v>0.13595350796105446</v>
      </c>
      <c r="AC18" s="227">
        <f t="shared" si="69"/>
        <v>2178525.1351168994</v>
      </c>
      <c r="AD18" s="101">
        <f t="shared" si="70"/>
        <v>0.23553489537245481</v>
      </c>
      <c r="AE18" s="234">
        <v>1567817.2294073713</v>
      </c>
      <c r="AF18" s="101">
        <f t="shared" si="71"/>
        <v>0.16950718682976401</v>
      </c>
      <c r="AG18" s="234">
        <v>467144.99789353297</v>
      </c>
      <c r="AH18" s="101">
        <f t="shared" si="72"/>
        <v>5.0506164206691503E-2</v>
      </c>
      <c r="AI18" s="234">
        <v>1400365.9057101165</v>
      </c>
      <c r="AJ18" s="101">
        <f t="shared" si="73"/>
        <v>0.15140290638275619</v>
      </c>
      <c r="AK18" s="234">
        <v>661052.53722516075</v>
      </c>
      <c r="AL18" s="101">
        <f t="shared" si="74"/>
        <v>7.1470802737682956E-2</v>
      </c>
    </row>
    <row r="19" spans="2:38" ht="14.25">
      <c r="B19" s="98"/>
      <c r="C19" s="98"/>
      <c r="D19" s="474">
        <f t="shared" si="19"/>
        <v>46125</v>
      </c>
      <c r="E19" s="474" t="s">
        <v>523</v>
      </c>
      <c r="F19" s="228">
        <f t="shared" si="20"/>
        <v>9284156</v>
      </c>
      <c r="G19" s="323"/>
      <c r="H19" s="351"/>
      <c r="I19" s="234">
        <v>541394.72213468968</v>
      </c>
      <c r="J19" s="101">
        <f t="shared" si="57"/>
        <v>5.8313832957426578E-2</v>
      </c>
      <c r="K19" s="234">
        <v>1033221.8102604896</v>
      </c>
      <c r="L19" s="101">
        <f t="shared" si="58"/>
        <v>0.11128871706383323</v>
      </c>
      <c r="M19" s="227">
        <f t="shared" si="59"/>
        <v>1574616.5323951794</v>
      </c>
      <c r="N19" s="101">
        <f t="shared" si="60"/>
        <v>0.16960255002125982</v>
      </c>
      <c r="O19" s="234">
        <v>231549.12312652468</v>
      </c>
      <c r="P19" s="101">
        <f t="shared" si="61"/>
        <v>2.494024477039428E-2</v>
      </c>
      <c r="Q19" s="234">
        <v>36702.989689530594</v>
      </c>
      <c r="R19" s="101">
        <f t="shared" si="62"/>
        <v>3.9532930822716245E-3</v>
      </c>
      <c r="S19" s="227">
        <f t="shared" si="63"/>
        <v>268252.11281605525</v>
      </c>
      <c r="T19" s="101">
        <f t="shared" si="64"/>
        <v>2.88935378526659E-2</v>
      </c>
      <c r="U19" s="234">
        <v>1153454.1853139855</v>
      </c>
      <c r="V19" s="101">
        <f t="shared" si="65"/>
        <v>0.12423899224808216</v>
      </c>
      <c r="W19" s="234">
        <v>62227.259380870833</v>
      </c>
      <c r="X19" s="101">
        <f t="shared" si="66"/>
        <v>6.7025219503927804E-3</v>
      </c>
      <c r="Y19" s="234">
        <v>902877.52463450853</v>
      </c>
      <c r="Z19" s="101">
        <f t="shared" si="67"/>
        <v>9.7249284117426352E-2</v>
      </c>
      <c r="AA19" s="234">
        <v>1218014.9638589155</v>
      </c>
      <c r="AB19" s="101">
        <f t="shared" si="68"/>
        <v>0.13119285844172754</v>
      </c>
      <c r="AC19" s="227">
        <f t="shared" si="69"/>
        <v>2120892.4884934239</v>
      </c>
      <c r="AD19" s="101">
        <f t="shared" si="70"/>
        <v>0.22844214255915388</v>
      </c>
      <c r="AE19" s="234">
        <v>1488927.9250755287</v>
      </c>
      <c r="AF19" s="101">
        <f t="shared" si="71"/>
        <v>0.16037299729512608</v>
      </c>
      <c r="AG19" s="234">
        <v>471217.23372149066</v>
      </c>
      <c r="AH19" s="101">
        <f t="shared" si="72"/>
        <v>5.0754988791818091E-2</v>
      </c>
      <c r="AI19" s="234">
        <v>1466160.1448070998</v>
      </c>
      <c r="AJ19" s="101">
        <f t="shared" si="73"/>
        <v>0.15792067095890028</v>
      </c>
      <c r="AK19" s="234">
        <v>678408.11799636437</v>
      </c>
      <c r="AL19" s="101">
        <f t="shared" si="74"/>
        <v>7.3071598322600823E-2</v>
      </c>
    </row>
    <row r="20" spans="2:38" ht="14.25">
      <c r="B20" s="98"/>
      <c r="C20" s="98"/>
      <c r="D20" s="325">
        <f t="shared" si="19"/>
        <v>46126</v>
      </c>
      <c r="E20" s="325" t="s">
        <v>524</v>
      </c>
      <c r="F20" s="228">
        <f t="shared" si="20"/>
        <v>0</v>
      </c>
      <c r="G20" s="323">
        <f>SUM(F20:F26)</f>
        <v>0</v>
      </c>
      <c r="H20" s="351"/>
      <c r="I20" s="234"/>
      <c r="J20" s="101" t="e">
        <f t="shared" si="57"/>
        <v>#DIV/0!</v>
      </c>
      <c r="K20" s="234"/>
      <c r="L20" s="101" t="e">
        <f t="shared" si="58"/>
        <v>#DIV/0!</v>
      </c>
      <c r="M20" s="227">
        <f t="shared" si="59"/>
        <v>0</v>
      </c>
      <c r="N20" s="101" t="e">
        <f t="shared" si="60"/>
        <v>#DIV/0!</v>
      </c>
      <c r="O20" s="234"/>
      <c r="P20" s="101" t="e">
        <f t="shared" si="61"/>
        <v>#DIV/0!</v>
      </c>
      <c r="Q20" s="234"/>
      <c r="R20" s="101" t="e">
        <f t="shared" si="62"/>
        <v>#DIV/0!</v>
      </c>
      <c r="S20" s="227">
        <f t="shared" si="63"/>
        <v>0</v>
      </c>
      <c r="T20" s="101" t="e">
        <f t="shared" si="64"/>
        <v>#DIV/0!</v>
      </c>
      <c r="U20" s="234"/>
      <c r="V20" s="101" t="e">
        <f t="shared" si="65"/>
        <v>#DIV/0!</v>
      </c>
      <c r="W20" s="234"/>
      <c r="X20" s="101" t="e">
        <f t="shared" si="66"/>
        <v>#DIV/0!</v>
      </c>
      <c r="Y20" s="234"/>
      <c r="Z20" s="101" t="e">
        <f t="shared" si="67"/>
        <v>#DIV/0!</v>
      </c>
      <c r="AA20" s="234"/>
      <c r="AB20" s="101" t="e">
        <f t="shared" si="68"/>
        <v>#DIV/0!</v>
      </c>
      <c r="AC20" s="227">
        <f t="shared" si="69"/>
        <v>0</v>
      </c>
      <c r="AD20" s="101" t="e">
        <f t="shared" si="70"/>
        <v>#DIV/0!</v>
      </c>
      <c r="AE20" s="234"/>
      <c r="AF20" s="101" t="e">
        <f t="shared" si="71"/>
        <v>#DIV/0!</v>
      </c>
      <c r="AG20" s="234"/>
      <c r="AH20" s="101" t="e">
        <f t="shared" si="72"/>
        <v>#DIV/0!</v>
      </c>
      <c r="AI20" s="234"/>
      <c r="AJ20" s="101" t="e">
        <f t="shared" si="73"/>
        <v>#DIV/0!</v>
      </c>
      <c r="AK20" s="234"/>
      <c r="AL20" s="101" t="e">
        <f t="shared" si="74"/>
        <v>#DIV/0!</v>
      </c>
    </row>
    <row r="21" spans="2:38" ht="14.25">
      <c r="B21" s="98"/>
      <c r="C21" s="98"/>
      <c r="D21" s="325">
        <f t="shared" si="19"/>
        <v>46127</v>
      </c>
      <c r="E21" s="325" t="s">
        <v>525</v>
      </c>
      <c r="F21" s="228">
        <f t="shared" si="20"/>
        <v>0</v>
      </c>
      <c r="G21" s="323"/>
      <c r="H21" s="351"/>
      <c r="I21" s="234"/>
      <c r="J21" s="101" t="e">
        <f t="shared" si="57"/>
        <v>#DIV/0!</v>
      </c>
      <c r="K21" s="234"/>
      <c r="L21" s="101" t="e">
        <f t="shared" si="58"/>
        <v>#DIV/0!</v>
      </c>
      <c r="M21" s="227">
        <f t="shared" si="59"/>
        <v>0</v>
      </c>
      <c r="N21" s="101" t="e">
        <f t="shared" si="60"/>
        <v>#DIV/0!</v>
      </c>
      <c r="O21" s="234"/>
      <c r="P21" s="101" t="e">
        <f t="shared" si="61"/>
        <v>#DIV/0!</v>
      </c>
      <c r="Q21" s="234"/>
      <c r="R21" s="101" t="e">
        <f t="shared" si="62"/>
        <v>#DIV/0!</v>
      </c>
      <c r="S21" s="227">
        <f t="shared" si="63"/>
        <v>0</v>
      </c>
      <c r="T21" s="101" t="e">
        <f t="shared" si="64"/>
        <v>#DIV/0!</v>
      </c>
      <c r="U21" s="234"/>
      <c r="V21" s="101" t="e">
        <f t="shared" si="65"/>
        <v>#DIV/0!</v>
      </c>
      <c r="W21" s="234"/>
      <c r="X21" s="101" t="e">
        <f t="shared" si="66"/>
        <v>#DIV/0!</v>
      </c>
      <c r="Y21" s="234"/>
      <c r="Z21" s="101" t="e">
        <f t="shared" si="67"/>
        <v>#DIV/0!</v>
      </c>
      <c r="AA21" s="234"/>
      <c r="AB21" s="101" t="e">
        <f t="shared" si="68"/>
        <v>#DIV/0!</v>
      </c>
      <c r="AC21" s="227">
        <f t="shared" si="69"/>
        <v>0</v>
      </c>
      <c r="AD21" s="101" t="e">
        <f t="shared" si="70"/>
        <v>#DIV/0!</v>
      </c>
      <c r="AE21" s="234"/>
      <c r="AF21" s="101" t="e">
        <f t="shared" si="71"/>
        <v>#DIV/0!</v>
      </c>
      <c r="AG21" s="234"/>
      <c r="AH21" s="101" t="e">
        <f t="shared" si="72"/>
        <v>#DIV/0!</v>
      </c>
      <c r="AI21" s="234"/>
      <c r="AJ21" s="101" t="e">
        <f t="shared" si="73"/>
        <v>#DIV/0!</v>
      </c>
      <c r="AK21" s="234"/>
      <c r="AL21" s="101" t="e">
        <f t="shared" si="74"/>
        <v>#DIV/0!</v>
      </c>
    </row>
    <row r="22" spans="2:38" ht="14.25">
      <c r="B22" s="98"/>
      <c r="C22" s="98"/>
      <c r="D22" s="325">
        <f t="shared" si="19"/>
        <v>46128</v>
      </c>
      <c r="E22" s="325" t="s">
        <v>526</v>
      </c>
      <c r="F22" s="228">
        <f t="shared" si="20"/>
        <v>0</v>
      </c>
      <c r="G22" s="323"/>
      <c r="H22" s="351"/>
      <c r="I22" s="234"/>
      <c r="J22" s="101" t="e">
        <f t="shared" si="57"/>
        <v>#DIV/0!</v>
      </c>
      <c r="K22" s="234"/>
      <c r="L22" s="101" t="e">
        <f t="shared" si="58"/>
        <v>#DIV/0!</v>
      </c>
      <c r="M22" s="227">
        <f t="shared" si="59"/>
        <v>0</v>
      </c>
      <c r="N22" s="101" t="e">
        <f t="shared" si="60"/>
        <v>#DIV/0!</v>
      </c>
      <c r="O22" s="234"/>
      <c r="P22" s="101" t="e">
        <f t="shared" si="61"/>
        <v>#DIV/0!</v>
      </c>
      <c r="Q22" s="234"/>
      <c r="R22" s="101" t="e">
        <f t="shared" si="62"/>
        <v>#DIV/0!</v>
      </c>
      <c r="S22" s="227">
        <f t="shared" si="63"/>
        <v>0</v>
      </c>
      <c r="T22" s="101" t="e">
        <f t="shared" si="64"/>
        <v>#DIV/0!</v>
      </c>
      <c r="U22" s="234"/>
      <c r="V22" s="101" t="e">
        <f t="shared" si="65"/>
        <v>#DIV/0!</v>
      </c>
      <c r="W22" s="234"/>
      <c r="X22" s="101" t="e">
        <f t="shared" si="66"/>
        <v>#DIV/0!</v>
      </c>
      <c r="Y22" s="234"/>
      <c r="Z22" s="101" t="e">
        <f t="shared" si="67"/>
        <v>#DIV/0!</v>
      </c>
      <c r="AA22" s="234"/>
      <c r="AB22" s="101" t="e">
        <f t="shared" si="68"/>
        <v>#DIV/0!</v>
      </c>
      <c r="AC22" s="227">
        <f t="shared" si="69"/>
        <v>0</v>
      </c>
      <c r="AD22" s="101" t="e">
        <f t="shared" si="70"/>
        <v>#DIV/0!</v>
      </c>
      <c r="AE22" s="234"/>
      <c r="AF22" s="101" t="e">
        <f t="shared" si="71"/>
        <v>#DIV/0!</v>
      </c>
      <c r="AG22" s="234"/>
      <c r="AH22" s="101" t="e">
        <f t="shared" si="72"/>
        <v>#DIV/0!</v>
      </c>
      <c r="AI22" s="234"/>
      <c r="AJ22" s="101" t="e">
        <f t="shared" si="73"/>
        <v>#DIV/0!</v>
      </c>
      <c r="AK22" s="234"/>
      <c r="AL22" s="101" t="e">
        <f t="shared" si="74"/>
        <v>#DIV/0!</v>
      </c>
    </row>
    <row r="23" spans="2:38" ht="14.25">
      <c r="B23" s="98"/>
      <c r="C23" s="98"/>
      <c r="D23" s="325">
        <f t="shared" si="19"/>
        <v>46129</v>
      </c>
      <c r="E23" s="325" t="s">
        <v>527</v>
      </c>
      <c r="F23" s="228">
        <f t="shared" si="20"/>
        <v>0</v>
      </c>
      <c r="G23" s="323"/>
      <c r="H23" s="351"/>
      <c r="I23" s="234"/>
      <c r="J23" s="101" t="e">
        <f t="shared" si="57"/>
        <v>#DIV/0!</v>
      </c>
      <c r="K23" s="234"/>
      <c r="L23" s="101" t="e">
        <f t="shared" si="58"/>
        <v>#DIV/0!</v>
      </c>
      <c r="M23" s="227">
        <f t="shared" si="59"/>
        <v>0</v>
      </c>
      <c r="N23" s="101" t="e">
        <f t="shared" si="60"/>
        <v>#DIV/0!</v>
      </c>
      <c r="O23" s="234"/>
      <c r="P23" s="101" t="e">
        <f t="shared" si="61"/>
        <v>#DIV/0!</v>
      </c>
      <c r="Q23" s="234"/>
      <c r="R23" s="101" t="e">
        <f t="shared" si="62"/>
        <v>#DIV/0!</v>
      </c>
      <c r="S23" s="227">
        <f t="shared" si="63"/>
        <v>0</v>
      </c>
      <c r="T23" s="101" t="e">
        <f t="shared" si="64"/>
        <v>#DIV/0!</v>
      </c>
      <c r="U23" s="234"/>
      <c r="V23" s="101" t="e">
        <f t="shared" si="65"/>
        <v>#DIV/0!</v>
      </c>
      <c r="W23" s="234"/>
      <c r="X23" s="101" t="e">
        <f t="shared" si="66"/>
        <v>#DIV/0!</v>
      </c>
      <c r="Y23" s="234"/>
      <c r="Z23" s="101" t="e">
        <f t="shared" si="67"/>
        <v>#DIV/0!</v>
      </c>
      <c r="AA23" s="234"/>
      <c r="AB23" s="101" t="e">
        <f t="shared" si="68"/>
        <v>#DIV/0!</v>
      </c>
      <c r="AC23" s="227">
        <f t="shared" si="69"/>
        <v>0</v>
      </c>
      <c r="AD23" s="101" t="e">
        <f t="shared" si="70"/>
        <v>#DIV/0!</v>
      </c>
      <c r="AE23" s="234"/>
      <c r="AF23" s="101" t="e">
        <f t="shared" si="71"/>
        <v>#DIV/0!</v>
      </c>
      <c r="AG23" s="234"/>
      <c r="AH23" s="101" t="e">
        <f t="shared" si="72"/>
        <v>#DIV/0!</v>
      </c>
      <c r="AI23" s="234"/>
      <c r="AJ23" s="101" t="e">
        <f t="shared" si="73"/>
        <v>#DIV/0!</v>
      </c>
      <c r="AK23" s="234"/>
      <c r="AL23" s="101" t="e">
        <f t="shared" si="74"/>
        <v>#DIV/0!</v>
      </c>
    </row>
    <row r="24" spans="2:38" ht="14.25">
      <c r="B24" s="98"/>
      <c r="C24" s="98"/>
      <c r="D24" s="325">
        <f t="shared" si="19"/>
        <v>46130</v>
      </c>
      <c r="E24" s="325" t="s">
        <v>528</v>
      </c>
      <c r="F24" s="228">
        <f t="shared" si="20"/>
        <v>0</v>
      </c>
      <c r="G24" s="323"/>
      <c r="H24" s="351"/>
      <c r="I24" s="234"/>
      <c r="J24" s="101" t="e">
        <f t="shared" si="57"/>
        <v>#DIV/0!</v>
      </c>
      <c r="K24" s="234"/>
      <c r="L24" s="101" t="e">
        <f t="shared" si="58"/>
        <v>#DIV/0!</v>
      </c>
      <c r="M24" s="227">
        <f t="shared" si="59"/>
        <v>0</v>
      </c>
      <c r="N24" s="101" t="e">
        <f t="shared" si="60"/>
        <v>#DIV/0!</v>
      </c>
      <c r="O24" s="234"/>
      <c r="P24" s="101" t="e">
        <f t="shared" si="61"/>
        <v>#DIV/0!</v>
      </c>
      <c r="Q24" s="234"/>
      <c r="R24" s="101" t="e">
        <f t="shared" si="62"/>
        <v>#DIV/0!</v>
      </c>
      <c r="S24" s="227">
        <f t="shared" si="63"/>
        <v>0</v>
      </c>
      <c r="T24" s="101" t="e">
        <f t="shared" si="64"/>
        <v>#DIV/0!</v>
      </c>
      <c r="U24" s="234"/>
      <c r="V24" s="101" t="e">
        <f t="shared" si="65"/>
        <v>#DIV/0!</v>
      </c>
      <c r="W24" s="234"/>
      <c r="X24" s="101" t="e">
        <f t="shared" si="66"/>
        <v>#DIV/0!</v>
      </c>
      <c r="Y24" s="234"/>
      <c r="Z24" s="101" t="e">
        <f t="shared" si="67"/>
        <v>#DIV/0!</v>
      </c>
      <c r="AA24" s="234"/>
      <c r="AB24" s="101" t="e">
        <f t="shared" si="68"/>
        <v>#DIV/0!</v>
      </c>
      <c r="AC24" s="227">
        <f t="shared" si="69"/>
        <v>0</v>
      </c>
      <c r="AD24" s="101" t="e">
        <f t="shared" si="70"/>
        <v>#DIV/0!</v>
      </c>
      <c r="AE24" s="234"/>
      <c r="AF24" s="101" t="e">
        <f t="shared" si="71"/>
        <v>#DIV/0!</v>
      </c>
      <c r="AG24" s="234"/>
      <c r="AH24" s="101" t="e">
        <f t="shared" si="72"/>
        <v>#DIV/0!</v>
      </c>
      <c r="AI24" s="234"/>
      <c r="AJ24" s="101" t="e">
        <f t="shared" si="73"/>
        <v>#DIV/0!</v>
      </c>
      <c r="AK24" s="234"/>
      <c r="AL24" s="101" t="e">
        <f t="shared" si="74"/>
        <v>#DIV/0!</v>
      </c>
    </row>
    <row r="25" spans="2:38" ht="14.25">
      <c r="B25" s="98"/>
      <c r="C25" s="98"/>
      <c r="D25" s="325">
        <f t="shared" si="19"/>
        <v>46131</v>
      </c>
      <c r="E25" s="325" t="s">
        <v>529</v>
      </c>
      <c r="F25" s="228">
        <f t="shared" si="20"/>
        <v>0</v>
      </c>
      <c r="G25" s="323"/>
      <c r="H25" s="351"/>
      <c r="I25" s="234"/>
      <c r="J25" s="101" t="e">
        <f t="shared" si="57"/>
        <v>#DIV/0!</v>
      </c>
      <c r="K25" s="234"/>
      <c r="L25" s="101" t="e">
        <f t="shared" si="58"/>
        <v>#DIV/0!</v>
      </c>
      <c r="M25" s="227">
        <f t="shared" si="59"/>
        <v>0</v>
      </c>
      <c r="N25" s="101" t="e">
        <f t="shared" si="60"/>
        <v>#DIV/0!</v>
      </c>
      <c r="O25" s="234"/>
      <c r="P25" s="101" t="e">
        <f t="shared" si="61"/>
        <v>#DIV/0!</v>
      </c>
      <c r="Q25" s="234"/>
      <c r="R25" s="101" t="e">
        <f t="shared" si="62"/>
        <v>#DIV/0!</v>
      </c>
      <c r="S25" s="227">
        <f t="shared" si="63"/>
        <v>0</v>
      </c>
      <c r="T25" s="101" t="e">
        <f t="shared" si="64"/>
        <v>#DIV/0!</v>
      </c>
      <c r="U25" s="234"/>
      <c r="V25" s="101" t="e">
        <f t="shared" si="65"/>
        <v>#DIV/0!</v>
      </c>
      <c r="W25" s="234"/>
      <c r="X25" s="101" t="e">
        <f t="shared" si="66"/>
        <v>#DIV/0!</v>
      </c>
      <c r="Y25" s="234"/>
      <c r="Z25" s="101" t="e">
        <f t="shared" si="67"/>
        <v>#DIV/0!</v>
      </c>
      <c r="AA25" s="234"/>
      <c r="AB25" s="101" t="e">
        <f t="shared" si="68"/>
        <v>#DIV/0!</v>
      </c>
      <c r="AC25" s="227">
        <f t="shared" si="69"/>
        <v>0</v>
      </c>
      <c r="AD25" s="101" t="e">
        <f t="shared" si="70"/>
        <v>#DIV/0!</v>
      </c>
      <c r="AE25" s="234"/>
      <c r="AF25" s="101" t="e">
        <f t="shared" si="71"/>
        <v>#DIV/0!</v>
      </c>
      <c r="AG25" s="234"/>
      <c r="AH25" s="101" t="e">
        <f t="shared" si="72"/>
        <v>#DIV/0!</v>
      </c>
      <c r="AI25" s="234"/>
      <c r="AJ25" s="101" t="e">
        <f t="shared" si="73"/>
        <v>#DIV/0!</v>
      </c>
      <c r="AK25" s="234"/>
      <c r="AL25" s="101" t="e">
        <f t="shared" si="74"/>
        <v>#DIV/0!</v>
      </c>
    </row>
    <row r="26" spans="2:38" ht="14.25">
      <c r="B26" s="98"/>
      <c r="C26" s="98"/>
      <c r="D26" s="325">
        <f t="shared" si="19"/>
        <v>46132</v>
      </c>
      <c r="E26" s="325" t="s">
        <v>523</v>
      </c>
      <c r="F26" s="228">
        <f t="shared" si="20"/>
        <v>0</v>
      </c>
      <c r="G26" s="323"/>
      <c r="H26" s="351"/>
      <c r="I26" s="234"/>
      <c r="J26" s="101" t="e">
        <f t="shared" si="57"/>
        <v>#DIV/0!</v>
      </c>
      <c r="K26" s="234"/>
      <c r="L26" s="101" t="e">
        <f t="shared" si="58"/>
        <v>#DIV/0!</v>
      </c>
      <c r="M26" s="227">
        <f t="shared" si="59"/>
        <v>0</v>
      </c>
      <c r="N26" s="101" t="e">
        <f t="shared" si="60"/>
        <v>#DIV/0!</v>
      </c>
      <c r="O26" s="234"/>
      <c r="P26" s="101" t="e">
        <f t="shared" si="61"/>
        <v>#DIV/0!</v>
      </c>
      <c r="Q26" s="234"/>
      <c r="R26" s="101" t="e">
        <f t="shared" si="62"/>
        <v>#DIV/0!</v>
      </c>
      <c r="S26" s="227">
        <f t="shared" si="63"/>
        <v>0</v>
      </c>
      <c r="T26" s="101" t="e">
        <f t="shared" si="64"/>
        <v>#DIV/0!</v>
      </c>
      <c r="U26" s="234"/>
      <c r="V26" s="101" t="e">
        <f t="shared" si="65"/>
        <v>#DIV/0!</v>
      </c>
      <c r="W26" s="234"/>
      <c r="X26" s="101" t="e">
        <f t="shared" si="66"/>
        <v>#DIV/0!</v>
      </c>
      <c r="Y26" s="234"/>
      <c r="Z26" s="101" t="e">
        <f t="shared" si="67"/>
        <v>#DIV/0!</v>
      </c>
      <c r="AA26" s="234"/>
      <c r="AB26" s="101" t="e">
        <f t="shared" si="68"/>
        <v>#DIV/0!</v>
      </c>
      <c r="AC26" s="227">
        <f t="shared" si="69"/>
        <v>0</v>
      </c>
      <c r="AD26" s="101" t="e">
        <f t="shared" si="70"/>
        <v>#DIV/0!</v>
      </c>
      <c r="AE26" s="234"/>
      <c r="AF26" s="101" t="e">
        <f t="shared" si="71"/>
        <v>#DIV/0!</v>
      </c>
      <c r="AG26" s="234"/>
      <c r="AH26" s="101" t="e">
        <f t="shared" si="72"/>
        <v>#DIV/0!</v>
      </c>
      <c r="AI26" s="234"/>
      <c r="AJ26" s="101" t="e">
        <f t="shared" si="73"/>
        <v>#DIV/0!</v>
      </c>
      <c r="AK26" s="234"/>
      <c r="AL26" s="101" t="e">
        <f t="shared" si="74"/>
        <v>#DIV/0!</v>
      </c>
    </row>
    <row r="27" spans="2:38" ht="14.25">
      <c r="B27" s="98"/>
      <c r="C27" s="98"/>
      <c r="D27" s="474">
        <f t="shared" si="19"/>
        <v>46133</v>
      </c>
      <c r="E27" s="474" t="s">
        <v>524</v>
      </c>
      <c r="F27" s="228">
        <f t="shared" si="20"/>
        <v>0</v>
      </c>
      <c r="G27" s="323">
        <f>SUM(F27:F33)</f>
        <v>0</v>
      </c>
      <c r="H27" s="351"/>
      <c r="I27" s="234"/>
      <c r="J27" s="101" t="e">
        <f t="shared" si="57"/>
        <v>#DIV/0!</v>
      </c>
      <c r="K27" s="234"/>
      <c r="L27" s="101" t="e">
        <f t="shared" si="58"/>
        <v>#DIV/0!</v>
      </c>
      <c r="M27" s="227">
        <f t="shared" si="59"/>
        <v>0</v>
      </c>
      <c r="N27" s="101" t="e">
        <f t="shared" si="60"/>
        <v>#DIV/0!</v>
      </c>
      <c r="O27" s="234"/>
      <c r="P27" s="101" t="e">
        <f t="shared" si="61"/>
        <v>#DIV/0!</v>
      </c>
      <c r="Q27" s="234"/>
      <c r="R27" s="101" t="e">
        <f t="shared" si="62"/>
        <v>#DIV/0!</v>
      </c>
      <c r="S27" s="227">
        <f t="shared" si="63"/>
        <v>0</v>
      </c>
      <c r="T27" s="101" t="e">
        <f t="shared" si="64"/>
        <v>#DIV/0!</v>
      </c>
      <c r="U27" s="234"/>
      <c r="V27" s="101" t="e">
        <f t="shared" si="65"/>
        <v>#DIV/0!</v>
      </c>
      <c r="W27" s="234"/>
      <c r="X27" s="101" t="e">
        <f t="shared" si="66"/>
        <v>#DIV/0!</v>
      </c>
      <c r="Y27" s="234"/>
      <c r="Z27" s="101" t="e">
        <f t="shared" si="67"/>
        <v>#DIV/0!</v>
      </c>
      <c r="AA27" s="234"/>
      <c r="AB27" s="101" t="e">
        <f t="shared" si="68"/>
        <v>#DIV/0!</v>
      </c>
      <c r="AC27" s="227">
        <f t="shared" si="69"/>
        <v>0</v>
      </c>
      <c r="AD27" s="101" t="e">
        <f t="shared" si="70"/>
        <v>#DIV/0!</v>
      </c>
      <c r="AE27" s="234"/>
      <c r="AF27" s="101" t="e">
        <f t="shared" si="71"/>
        <v>#DIV/0!</v>
      </c>
      <c r="AG27" s="234"/>
      <c r="AH27" s="101" t="e">
        <f t="shared" si="72"/>
        <v>#DIV/0!</v>
      </c>
      <c r="AI27" s="234"/>
      <c r="AJ27" s="101" t="e">
        <f t="shared" si="73"/>
        <v>#DIV/0!</v>
      </c>
      <c r="AK27" s="234"/>
      <c r="AL27" s="101" t="e">
        <f t="shared" si="74"/>
        <v>#DIV/0!</v>
      </c>
    </row>
    <row r="28" spans="2:38" ht="14.25">
      <c r="B28" s="98"/>
      <c r="C28" s="98"/>
      <c r="D28" s="474">
        <f t="shared" si="19"/>
        <v>46134</v>
      </c>
      <c r="E28" s="474" t="s">
        <v>525</v>
      </c>
      <c r="F28" s="228">
        <f t="shared" si="20"/>
        <v>0</v>
      </c>
      <c r="G28" s="323"/>
      <c r="H28" s="351"/>
      <c r="I28" s="234"/>
      <c r="J28" s="101" t="e">
        <f t="shared" si="57"/>
        <v>#DIV/0!</v>
      </c>
      <c r="K28" s="234"/>
      <c r="L28" s="101" t="e">
        <f t="shared" si="58"/>
        <v>#DIV/0!</v>
      </c>
      <c r="M28" s="227">
        <f t="shared" si="59"/>
        <v>0</v>
      </c>
      <c r="N28" s="101" t="e">
        <f t="shared" si="60"/>
        <v>#DIV/0!</v>
      </c>
      <c r="O28" s="234"/>
      <c r="P28" s="101" t="e">
        <f t="shared" si="61"/>
        <v>#DIV/0!</v>
      </c>
      <c r="Q28" s="234"/>
      <c r="R28" s="101" t="e">
        <f t="shared" si="62"/>
        <v>#DIV/0!</v>
      </c>
      <c r="S28" s="227">
        <f t="shared" si="63"/>
        <v>0</v>
      </c>
      <c r="T28" s="101" t="e">
        <f t="shared" si="64"/>
        <v>#DIV/0!</v>
      </c>
      <c r="U28" s="234"/>
      <c r="V28" s="101" t="e">
        <f t="shared" si="65"/>
        <v>#DIV/0!</v>
      </c>
      <c r="W28" s="234"/>
      <c r="X28" s="101" t="e">
        <f t="shared" si="66"/>
        <v>#DIV/0!</v>
      </c>
      <c r="Y28" s="234"/>
      <c r="Z28" s="101" t="e">
        <f t="shared" si="67"/>
        <v>#DIV/0!</v>
      </c>
      <c r="AA28" s="234"/>
      <c r="AB28" s="101" t="e">
        <f t="shared" si="68"/>
        <v>#DIV/0!</v>
      </c>
      <c r="AC28" s="227">
        <f t="shared" si="69"/>
        <v>0</v>
      </c>
      <c r="AD28" s="101" t="e">
        <f t="shared" si="70"/>
        <v>#DIV/0!</v>
      </c>
      <c r="AE28" s="234"/>
      <c r="AF28" s="101" t="e">
        <f t="shared" si="71"/>
        <v>#DIV/0!</v>
      </c>
      <c r="AG28" s="234"/>
      <c r="AH28" s="101" t="e">
        <f t="shared" si="72"/>
        <v>#DIV/0!</v>
      </c>
      <c r="AI28" s="234"/>
      <c r="AJ28" s="101" t="e">
        <f t="shared" si="73"/>
        <v>#DIV/0!</v>
      </c>
      <c r="AK28" s="234"/>
      <c r="AL28" s="101" t="e">
        <f t="shared" si="74"/>
        <v>#DIV/0!</v>
      </c>
    </row>
    <row r="29" spans="2:38" ht="14.25">
      <c r="B29" s="98"/>
      <c r="C29" s="98"/>
      <c r="D29" s="474">
        <f t="shared" si="19"/>
        <v>46135</v>
      </c>
      <c r="E29" s="474" t="s">
        <v>526</v>
      </c>
      <c r="F29" s="228">
        <f t="shared" si="20"/>
        <v>0</v>
      </c>
      <c r="G29" s="323"/>
      <c r="H29" s="351"/>
      <c r="I29" s="234"/>
      <c r="J29" s="101" t="e">
        <f t="shared" si="57"/>
        <v>#DIV/0!</v>
      </c>
      <c r="K29" s="234"/>
      <c r="L29" s="101" t="e">
        <f t="shared" si="58"/>
        <v>#DIV/0!</v>
      </c>
      <c r="M29" s="227">
        <f t="shared" si="59"/>
        <v>0</v>
      </c>
      <c r="N29" s="101" t="e">
        <f t="shared" si="60"/>
        <v>#DIV/0!</v>
      </c>
      <c r="O29" s="234"/>
      <c r="P29" s="101" t="e">
        <f t="shared" si="61"/>
        <v>#DIV/0!</v>
      </c>
      <c r="Q29" s="234"/>
      <c r="R29" s="101" t="e">
        <f t="shared" si="62"/>
        <v>#DIV/0!</v>
      </c>
      <c r="S29" s="227">
        <f t="shared" si="63"/>
        <v>0</v>
      </c>
      <c r="T29" s="101" t="e">
        <f t="shared" si="64"/>
        <v>#DIV/0!</v>
      </c>
      <c r="U29" s="234"/>
      <c r="V29" s="101" t="e">
        <f t="shared" si="65"/>
        <v>#DIV/0!</v>
      </c>
      <c r="W29" s="234"/>
      <c r="X29" s="101" t="e">
        <f t="shared" si="66"/>
        <v>#DIV/0!</v>
      </c>
      <c r="Y29" s="234"/>
      <c r="Z29" s="101" t="e">
        <f t="shared" si="67"/>
        <v>#DIV/0!</v>
      </c>
      <c r="AA29" s="234"/>
      <c r="AB29" s="101" t="e">
        <f t="shared" si="68"/>
        <v>#DIV/0!</v>
      </c>
      <c r="AC29" s="227">
        <f t="shared" si="69"/>
        <v>0</v>
      </c>
      <c r="AD29" s="101" t="e">
        <f t="shared" si="70"/>
        <v>#DIV/0!</v>
      </c>
      <c r="AE29" s="234"/>
      <c r="AF29" s="101" t="e">
        <f t="shared" si="71"/>
        <v>#DIV/0!</v>
      </c>
      <c r="AG29" s="234"/>
      <c r="AH29" s="101" t="e">
        <f t="shared" si="72"/>
        <v>#DIV/0!</v>
      </c>
      <c r="AI29" s="234"/>
      <c r="AJ29" s="101" t="e">
        <f t="shared" si="73"/>
        <v>#DIV/0!</v>
      </c>
      <c r="AK29" s="234"/>
      <c r="AL29" s="101" t="e">
        <f t="shared" si="74"/>
        <v>#DIV/0!</v>
      </c>
    </row>
    <row r="30" spans="2:38" ht="14.25">
      <c r="B30" s="98"/>
      <c r="C30" s="98"/>
      <c r="D30" s="474">
        <f t="shared" si="19"/>
        <v>46136</v>
      </c>
      <c r="E30" s="474" t="s">
        <v>527</v>
      </c>
      <c r="F30" s="228">
        <f t="shared" si="20"/>
        <v>0</v>
      </c>
      <c r="G30" s="323"/>
      <c r="H30" s="351"/>
      <c r="I30" s="234"/>
      <c r="J30" s="101" t="e">
        <f t="shared" si="57"/>
        <v>#DIV/0!</v>
      </c>
      <c r="K30" s="234"/>
      <c r="L30" s="101" t="e">
        <f t="shared" si="58"/>
        <v>#DIV/0!</v>
      </c>
      <c r="M30" s="227">
        <f t="shared" si="59"/>
        <v>0</v>
      </c>
      <c r="N30" s="101" t="e">
        <f t="shared" si="60"/>
        <v>#DIV/0!</v>
      </c>
      <c r="O30" s="234"/>
      <c r="P30" s="101" t="e">
        <f t="shared" si="61"/>
        <v>#DIV/0!</v>
      </c>
      <c r="Q30" s="234"/>
      <c r="R30" s="101" t="e">
        <f t="shared" si="62"/>
        <v>#DIV/0!</v>
      </c>
      <c r="S30" s="227">
        <f t="shared" si="63"/>
        <v>0</v>
      </c>
      <c r="T30" s="101" t="e">
        <f t="shared" si="64"/>
        <v>#DIV/0!</v>
      </c>
      <c r="U30" s="234"/>
      <c r="V30" s="101" t="e">
        <f t="shared" si="65"/>
        <v>#DIV/0!</v>
      </c>
      <c r="W30" s="234"/>
      <c r="X30" s="101" t="e">
        <f t="shared" si="66"/>
        <v>#DIV/0!</v>
      </c>
      <c r="Y30" s="234"/>
      <c r="Z30" s="101" t="e">
        <f t="shared" si="67"/>
        <v>#DIV/0!</v>
      </c>
      <c r="AA30" s="234"/>
      <c r="AB30" s="101" t="e">
        <f t="shared" si="68"/>
        <v>#DIV/0!</v>
      </c>
      <c r="AC30" s="227">
        <f t="shared" si="69"/>
        <v>0</v>
      </c>
      <c r="AD30" s="101" t="e">
        <f t="shared" si="70"/>
        <v>#DIV/0!</v>
      </c>
      <c r="AE30" s="234"/>
      <c r="AF30" s="101" t="e">
        <f t="shared" si="71"/>
        <v>#DIV/0!</v>
      </c>
      <c r="AG30" s="234"/>
      <c r="AH30" s="101" t="e">
        <f t="shared" si="72"/>
        <v>#DIV/0!</v>
      </c>
      <c r="AI30" s="234"/>
      <c r="AJ30" s="101" t="e">
        <f t="shared" si="73"/>
        <v>#DIV/0!</v>
      </c>
      <c r="AK30" s="234"/>
      <c r="AL30" s="101" t="e">
        <f t="shared" si="74"/>
        <v>#DIV/0!</v>
      </c>
    </row>
    <row r="31" spans="2:38" ht="14.25">
      <c r="B31" s="98"/>
      <c r="C31" s="98"/>
      <c r="D31" s="474">
        <f t="shared" si="19"/>
        <v>46137</v>
      </c>
      <c r="E31" s="474" t="s">
        <v>528</v>
      </c>
      <c r="F31" s="228">
        <f t="shared" si="20"/>
        <v>0</v>
      </c>
      <c r="G31" s="323"/>
      <c r="H31" s="351"/>
      <c r="I31" s="234"/>
      <c r="J31" s="101" t="e">
        <f t="shared" si="57"/>
        <v>#DIV/0!</v>
      </c>
      <c r="K31" s="234"/>
      <c r="L31" s="101" t="e">
        <f t="shared" si="58"/>
        <v>#DIV/0!</v>
      </c>
      <c r="M31" s="227">
        <f t="shared" si="59"/>
        <v>0</v>
      </c>
      <c r="N31" s="101" t="e">
        <f t="shared" si="60"/>
        <v>#DIV/0!</v>
      </c>
      <c r="O31" s="234"/>
      <c r="P31" s="101" t="e">
        <f t="shared" si="61"/>
        <v>#DIV/0!</v>
      </c>
      <c r="Q31" s="234"/>
      <c r="R31" s="101" t="e">
        <f t="shared" si="62"/>
        <v>#DIV/0!</v>
      </c>
      <c r="S31" s="227">
        <f t="shared" si="63"/>
        <v>0</v>
      </c>
      <c r="T31" s="101" t="e">
        <f t="shared" si="64"/>
        <v>#DIV/0!</v>
      </c>
      <c r="U31" s="234"/>
      <c r="V31" s="101" t="e">
        <f t="shared" si="65"/>
        <v>#DIV/0!</v>
      </c>
      <c r="W31" s="234"/>
      <c r="X31" s="101" t="e">
        <f t="shared" si="66"/>
        <v>#DIV/0!</v>
      </c>
      <c r="Y31" s="234"/>
      <c r="Z31" s="101" t="e">
        <f t="shared" si="67"/>
        <v>#DIV/0!</v>
      </c>
      <c r="AA31" s="234"/>
      <c r="AB31" s="101" t="e">
        <f t="shared" si="68"/>
        <v>#DIV/0!</v>
      </c>
      <c r="AC31" s="227">
        <f t="shared" si="69"/>
        <v>0</v>
      </c>
      <c r="AD31" s="101" t="e">
        <f t="shared" si="70"/>
        <v>#DIV/0!</v>
      </c>
      <c r="AE31" s="234"/>
      <c r="AF31" s="101" t="e">
        <f t="shared" si="71"/>
        <v>#DIV/0!</v>
      </c>
      <c r="AG31" s="234"/>
      <c r="AH31" s="101" t="e">
        <f t="shared" si="72"/>
        <v>#DIV/0!</v>
      </c>
      <c r="AI31" s="234"/>
      <c r="AJ31" s="101" t="e">
        <f t="shared" si="73"/>
        <v>#DIV/0!</v>
      </c>
      <c r="AK31" s="234"/>
      <c r="AL31" s="101" t="e">
        <f t="shared" si="74"/>
        <v>#DIV/0!</v>
      </c>
    </row>
    <row r="32" spans="2:38" ht="14.25">
      <c r="B32" s="98"/>
      <c r="C32" s="98"/>
      <c r="D32" s="474">
        <f t="shared" si="19"/>
        <v>46138</v>
      </c>
      <c r="E32" s="474" t="s">
        <v>529</v>
      </c>
      <c r="F32" s="228">
        <f t="shared" si="20"/>
        <v>0</v>
      </c>
      <c r="G32" s="323"/>
      <c r="H32" s="351"/>
      <c r="I32" s="234"/>
      <c r="J32" s="101" t="e">
        <f t="shared" si="57"/>
        <v>#DIV/0!</v>
      </c>
      <c r="K32" s="234"/>
      <c r="L32" s="101" t="e">
        <f t="shared" si="58"/>
        <v>#DIV/0!</v>
      </c>
      <c r="M32" s="227">
        <f t="shared" si="59"/>
        <v>0</v>
      </c>
      <c r="N32" s="101" t="e">
        <f t="shared" si="60"/>
        <v>#DIV/0!</v>
      </c>
      <c r="O32" s="234"/>
      <c r="P32" s="101" t="e">
        <f t="shared" si="61"/>
        <v>#DIV/0!</v>
      </c>
      <c r="Q32" s="234"/>
      <c r="R32" s="101" t="e">
        <f t="shared" si="62"/>
        <v>#DIV/0!</v>
      </c>
      <c r="S32" s="227">
        <f t="shared" si="63"/>
        <v>0</v>
      </c>
      <c r="T32" s="101" t="e">
        <f t="shared" si="64"/>
        <v>#DIV/0!</v>
      </c>
      <c r="U32" s="234"/>
      <c r="V32" s="101" t="e">
        <f t="shared" si="65"/>
        <v>#DIV/0!</v>
      </c>
      <c r="W32" s="234"/>
      <c r="X32" s="101" t="e">
        <f t="shared" si="66"/>
        <v>#DIV/0!</v>
      </c>
      <c r="Y32" s="234"/>
      <c r="Z32" s="101" t="e">
        <f t="shared" si="67"/>
        <v>#DIV/0!</v>
      </c>
      <c r="AA32" s="234"/>
      <c r="AB32" s="101" t="e">
        <f t="shared" si="68"/>
        <v>#DIV/0!</v>
      </c>
      <c r="AC32" s="227">
        <f t="shared" si="69"/>
        <v>0</v>
      </c>
      <c r="AD32" s="101" t="e">
        <f t="shared" si="70"/>
        <v>#DIV/0!</v>
      </c>
      <c r="AE32" s="234"/>
      <c r="AF32" s="101" t="e">
        <f t="shared" si="71"/>
        <v>#DIV/0!</v>
      </c>
      <c r="AG32" s="234"/>
      <c r="AH32" s="101" t="e">
        <f t="shared" si="72"/>
        <v>#DIV/0!</v>
      </c>
      <c r="AI32" s="234"/>
      <c r="AJ32" s="101" t="e">
        <f t="shared" si="73"/>
        <v>#DIV/0!</v>
      </c>
      <c r="AK32" s="234"/>
      <c r="AL32" s="101" t="e">
        <f t="shared" si="74"/>
        <v>#DIV/0!</v>
      </c>
    </row>
    <row r="33" spans="2:38" ht="14.25">
      <c r="B33" s="98"/>
      <c r="C33" s="98"/>
      <c r="D33" s="474">
        <f t="shared" si="19"/>
        <v>46139</v>
      </c>
      <c r="E33" s="474" t="s">
        <v>523</v>
      </c>
      <c r="F33" s="228">
        <f t="shared" si="20"/>
        <v>0</v>
      </c>
      <c r="G33" s="323"/>
      <c r="H33" s="351"/>
      <c r="I33" s="234"/>
      <c r="J33" s="101" t="e">
        <f t="shared" si="57"/>
        <v>#DIV/0!</v>
      </c>
      <c r="K33" s="234"/>
      <c r="L33" s="101" t="e">
        <f t="shared" si="58"/>
        <v>#DIV/0!</v>
      </c>
      <c r="M33" s="227">
        <f t="shared" si="59"/>
        <v>0</v>
      </c>
      <c r="N33" s="101" t="e">
        <f t="shared" si="60"/>
        <v>#DIV/0!</v>
      </c>
      <c r="O33" s="234"/>
      <c r="P33" s="101" t="e">
        <f t="shared" si="61"/>
        <v>#DIV/0!</v>
      </c>
      <c r="Q33" s="234"/>
      <c r="R33" s="101" t="e">
        <f t="shared" si="62"/>
        <v>#DIV/0!</v>
      </c>
      <c r="S33" s="227">
        <f t="shared" si="63"/>
        <v>0</v>
      </c>
      <c r="T33" s="101" t="e">
        <f t="shared" si="64"/>
        <v>#DIV/0!</v>
      </c>
      <c r="U33" s="234"/>
      <c r="V33" s="101" t="e">
        <f t="shared" si="65"/>
        <v>#DIV/0!</v>
      </c>
      <c r="W33" s="234"/>
      <c r="X33" s="101" t="e">
        <f t="shared" si="66"/>
        <v>#DIV/0!</v>
      </c>
      <c r="Y33" s="234"/>
      <c r="Z33" s="101" t="e">
        <f t="shared" si="67"/>
        <v>#DIV/0!</v>
      </c>
      <c r="AA33" s="234"/>
      <c r="AB33" s="101" t="e">
        <f t="shared" si="68"/>
        <v>#DIV/0!</v>
      </c>
      <c r="AC33" s="227">
        <f t="shared" si="69"/>
        <v>0</v>
      </c>
      <c r="AD33" s="101" t="e">
        <f t="shared" si="70"/>
        <v>#DIV/0!</v>
      </c>
      <c r="AE33" s="234"/>
      <c r="AF33" s="101" t="e">
        <f t="shared" si="71"/>
        <v>#DIV/0!</v>
      </c>
      <c r="AG33" s="234"/>
      <c r="AH33" s="101" t="e">
        <f t="shared" si="72"/>
        <v>#DIV/0!</v>
      </c>
      <c r="AI33" s="234"/>
      <c r="AJ33" s="101" t="e">
        <f t="shared" si="73"/>
        <v>#DIV/0!</v>
      </c>
      <c r="AK33" s="234"/>
      <c r="AL33" s="101" t="e">
        <f t="shared" si="74"/>
        <v>#DIV/0!</v>
      </c>
    </row>
    <row r="34" spans="2:38" ht="14.25">
      <c r="B34" s="98"/>
      <c r="C34" s="98"/>
      <c r="D34" s="325">
        <f t="shared" si="19"/>
        <v>46140</v>
      </c>
      <c r="E34" s="325" t="s">
        <v>524</v>
      </c>
      <c r="F34" s="228">
        <f t="shared" si="20"/>
        <v>0</v>
      </c>
      <c r="G34" s="323">
        <f>SUM(F34:F40)</f>
        <v>0</v>
      </c>
      <c r="H34" s="351"/>
      <c r="I34" s="234"/>
      <c r="J34" s="101" t="e">
        <f t="shared" si="57"/>
        <v>#DIV/0!</v>
      </c>
      <c r="K34" s="234"/>
      <c r="L34" s="101" t="e">
        <f t="shared" si="58"/>
        <v>#DIV/0!</v>
      </c>
      <c r="M34" s="227">
        <f t="shared" si="59"/>
        <v>0</v>
      </c>
      <c r="N34" s="101" t="e">
        <f t="shared" si="60"/>
        <v>#DIV/0!</v>
      </c>
      <c r="O34" s="234"/>
      <c r="P34" s="101" t="e">
        <f t="shared" si="61"/>
        <v>#DIV/0!</v>
      </c>
      <c r="Q34" s="234"/>
      <c r="R34" s="101" t="e">
        <f t="shared" si="62"/>
        <v>#DIV/0!</v>
      </c>
      <c r="S34" s="227">
        <f t="shared" si="63"/>
        <v>0</v>
      </c>
      <c r="T34" s="101" t="e">
        <f t="shared" si="64"/>
        <v>#DIV/0!</v>
      </c>
      <c r="U34" s="234"/>
      <c r="V34" s="101" t="e">
        <f t="shared" si="65"/>
        <v>#DIV/0!</v>
      </c>
      <c r="W34" s="234"/>
      <c r="X34" s="101" t="e">
        <f t="shared" si="66"/>
        <v>#DIV/0!</v>
      </c>
      <c r="Y34" s="234"/>
      <c r="Z34" s="101" t="e">
        <f t="shared" si="67"/>
        <v>#DIV/0!</v>
      </c>
      <c r="AA34" s="234"/>
      <c r="AB34" s="101" t="e">
        <f t="shared" si="68"/>
        <v>#DIV/0!</v>
      </c>
      <c r="AC34" s="227">
        <f t="shared" si="69"/>
        <v>0</v>
      </c>
      <c r="AD34" s="101" t="e">
        <f t="shared" si="70"/>
        <v>#DIV/0!</v>
      </c>
      <c r="AE34" s="234"/>
      <c r="AF34" s="101" t="e">
        <f t="shared" si="71"/>
        <v>#DIV/0!</v>
      </c>
      <c r="AG34" s="234"/>
      <c r="AH34" s="101" t="e">
        <f t="shared" si="72"/>
        <v>#DIV/0!</v>
      </c>
      <c r="AI34" s="234"/>
      <c r="AJ34" s="101" t="e">
        <f t="shared" si="73"/>
        <v>#DIV/0!</v>
      </c>
      <c r="AK34" s="234"/>
      <c r="AL34" s="101" t="e">
        <f t="shared" si="74"/>
        <v>#DIV/0!</v>
      </c>
    </row>
    <row r="35" spans="2:38" ht="14.25">
      <c r="B35" s="98"/>
      <c r="C35" s="98"/>
      <c r="D35" s="325">
        <f t="shared" si="19"/>
        <v>46141</v>
      </c>
      <c r="E35" s="325" t="s">
        <v>525</v>
      </c>
      <c r="F35" s="228">
        <f t="shared" si="20"/>
        <v>0</v>
      </c>
      <c r="G35" s="323"/>
      <c r="H35" s="351"/>
      <c r="I35" s="234"/>
      <c r="J35" s="101" t="e">
        <f t="shared" si="57"/>
        <v>#DIV/0!</v>
      </c>
      <c r="K35" s="234"/>
      <c r="L35" s="101" t="e">
        <f t="shared" si="58"/>
        <v>#DIV/0!</v>
      </c>
      <c r="M35" s="227">
        <f t="shared" si="59"/>
        <v>0</v>
      </c>
      <c r="N35" s="101" t="e">
        <f t="shared" si="60"/>
        <v>#DIV/0!</v>
      </c>
      <c r="O35" s="234"/>
      <c r="P35" s="101" t="e">
        <f t="shared" si="61"/>
        <v>#DIV/0!</v>
      </c>
      <c r="Q35" s="234"/>
      <c r="R35" s="101" t="e">
        <f t="shared" si="62"/>
        <v>#DIV/0!</v>
      </c>
      <c r="S35" s="227">
        <f t="shared" si="63"/>
        <v>0</v>
      </c>
      <c r="T35" s="101" t="e">
        <f t="shared" si="64"/>
        <v>#DIV/0!</v>
      </c>
      <c r="U35" s="234"/>
      <c r="V35" s="101" t="e">
        <f t="shared" si="65"/>
        <v>#DIV/0!</v>
      </c>
      <c r="W35" s="234"/>
      <c r="X35" s="101" t="e">
        <f t="shared" si="66"/>
        <v>#DIV/0!</v>
      </c>
      <c r="Y35" s="234"/>
      <c r="Z35" s="101" t="e">
        <f t="shared" si="67"/>
        <v>#DIV/0!</v>
      </c>
      <c r="AA35" s="234"/>
      <c r="AB35" s="101" t="e">
        <f t="shared" si="68"/>
        <v>#DIV/0!</v>
      </c>
      <c r="AC35" s="227">
        <f t="shared" si="69"/>
        <v>0</v>
      </c>
      <c r="AD35" s="101" t="e">
        <f t="shared" si="70"/>
        <v>#DIV/0!</v>
      </c>
      <c r="AE35" s="234"/>
      <c r="AF35" s="101" t="e">
        <f t="shared" si="71"/>
        <v>#DIV/0!</v>
      </c>
      <c r="AG35" s="234"/>
      <c r="AH35" s="101" t="e">
        <f t="shared" si="72"/>
        <v>#DIV/0!</v>
      </c>
      <c r="AI35" s="234"/>
      <c r="AJ35" s="101" t="e">
        <f t="shared" si="73"/>
        <v>#DIV/0!</v>
      </c>
      <c r="AK35" s="234"/>
      <c r="AL35" s="101" t="e">
        <f t="shared" si="74"/>
        <v>#DIV/0!</v>
      </c>
    </row>
    <row r="36" spans="2:38" ht="14.25">
      <c r="B36" s="98"/>
      <c r="C36" s="98"/>
      <c r="D36" s="325">
        <f t="shared" si="19"/>
        <v>46142</v>
      </c>
      <c r="E36" s="325" t="s">
        <v>526</v>
      </c>
      <c r="F36" s="228">
        <f t="shared" si="20"/>
        <v>0</v>
      </c>
      <c r="G36" s="323"/>
      <c r="H36" s="351"/>
      <c r="I36" s="234"/>
      <c r="J36" s="101" t="e">
        <f t="shared" si="57"/>
        <v>#DIV/0!</v>
      </c>
      <c r="K36" s="234"/>
      <c r="L36" s="101" t="e">
        <f t="shared" si="58"/>
        <v>#DIV/0!</v>
      </c>
      <c r="M36" s="227">
        <f t="shared" si="59"/>
        <v>0</v>
      </c>
      <c r="N36" s="101" t="e">
        <f t="shared" si="60"/>
        <v>#DIV/0!</v>
      </c>
      <c r="O36" s="234"/>
      <c r="P36" s="101" t="e">
        <f t="shared" si="61"/>
        <v>#DIV/0!</v>
      </c>
      <c r="Q36" s="234"/>
      <c r="R36" s="101" t="e">
        <f t="shared" si="62"/>
        <v>#DIV/0!</v>
      </c>
      <c r="S36" s="227">
        <f t="shared" si="63"/>
        <v>0</v>
      </c>
      <c r="T36" s="101" t="e">
        <f t="shared" si="64"/>
        <v>#DIV/0!</v>
      </c>
      <c r="U36" s="234"/>
      <c r="V36" s="101" t="e">
        <f t="shared" si="65"/>
        <v>#DIV/0!</v>
      </c>
      <c r="W36" s="234"/>
      <c r="X36" s="101" t="e">
        <f t="shared" si="66"/>
        <v>#DIV/0!</v>
      </c>
      <c r="Y36" s="234"/>
      <c r="Z36" s="101" t="e">
        <f t="shared" si="67"/>
        <v>#DIV/0!</v>
      </c>
      <c r="AA36" s="234"/>
      <c r="AB36" s="101" t="e">
        <f t="shared" si="68"/>
        <v>#DIV/0!</v>
      </c>
      <c r="AC36" s="227">
        <f t="shared" si="69"/>
        <v>0</v>
      </c>
      <c r="AD36" s="101" t="e">
        <f t="shared" si="70"/>
        <v>#DIV/0!</v>
      </c>
      <c r="AE36" s="234"/>
      <c r="AF36" s="101" t="e">
        <f t="shared" si="71"/>
        <v>#DIV/0!</v>
      </c>
      <c r="AG36" s="234"/>
      <c r="AH36" s="101" t="e">
        <f t="shared" si="72"/>
        <v>#DIV/0!</v>
      </c>
      <c r="AI36" s="234"/>
      <c r="AJ36" s="101" t="e">
        <f t="shared" si="73"/>
        <v>#DIV/0!</v>
      </c>
      <c r="AK36" s="234"/>
      <c r="AL36" s="101" t="e">
        <f t="shared" si="74"/>
        <v>#DIV/0!</v>
      </c>
    </row>
    <row r="37" spans="2:38" ht="14.25">
      <c r="B37" s="98"/>
      <c r="C37" s="98"/>
      <c r="D37" s="325">
        <f>D36+1</f>
        <v>46143</v>
      </c>
      <c r="E37" s="325" t="s">
        <v>527</v>
      </c>
      <c r="F37" s="228">
        <f t="shared" si="20"/>
        <v>0</v>
      </c>
      <c r="G37" s="323"/>
      <c r="H37" s="351"/>
      <c r="I37" s="234"/>
      <c r="J37" s="101" t="e">
        <f t="shared" si="57"/>
        <v>#DIV/0!</v>
      </c>
      <c r="K37" s="234"/>
      <c r="L37" s="101" t="e">
        <f t="shared" si="58"/>
        <v>#DIV/0!</v>
      </c>
      <c r="M37" s="227">
        <f t="shared" si="59"/>
        <v>0</v>
      </c>
      <c r="N37" s="101" t="e">
        <f t="shared" si="60"/>
        <v>#DIV/0!</v>
      </c>
      <c r="O37" s="234"/>
      <c r="P37" s="101" t="e">
        <f t="shared" si="61"/>
        <v>#DIV/0!</v>
      </c>
      <c r="Q37" s="234"/>
      <c r="R37" s="101" t="e">
        <f t="shared" si="62"/>
        <v>#DIV/0!</v>
      </c>
      <c r="S37" s="227">
        <f t="shared" si="63"/>
        <v>0</v>
      </c>
      <c r="T37" s="101" t="e">
        <f t="shared" si="64"/>
        <v>#DIV/0!</v>
      </c>
      <c r="U37" s="234"/>
      <c r="V37" s="101" t="e">
        <f t="shared" si="65"/>
        <v>#DIV/0!</v>
      </c>
      <c r="W37" s="234"/>
      <c r="X37" s="101" t="e">
        <f t="shared" si="66"/>
        <v>#DIV/0!</v>
      </c>
      <c r="Y37" s="234"/>
      <c r="Z37" s="101" t="e">
        <f t="shared" si="67"/>
        <v>#DIV/0!</v>
      </c>
      <c r="AA37" s="234"/>
      <c r="AB37" s="101" t="e">
        <f t="shared" si="68"/>
        <v>#DIV/0!</v>
      </c>
      <c r="AC37" s="227">
        <f t="shared" si="69"/>
        <v>0</v>
      </c>
      <c r="AD37" s="101" t="e">
        <f t="shared" si="70"/>
        <v>#DIV/0!</v>
      </c>
      <c r="AE37" s="234"/>
      <c r="AF37" s="101" t="e">
        <f t="shared" si="71"/>
        <v>#DIV/0!</v>
      </c>
      <c r="AG37" s="234"/>
      <c r="AH37" s="101" t="e">
        <f t="shared" si="72"/>
        <v>#DIV/0!</v>
      </c>
      <c r="AI37" s="234"/>
      <c r="AJ37" s="101" t="e">
        <f t="shared" si="73"/>
        <v>#DIV/0!</v>
      </c>
      <c r="AK37" s="234"/>
      <c r="AL37" s="101" t="e">
        <f t="shared" si="74"/>
        <v>#DIV/0!</v>
      </c>
    </row>
    <row r="38" spans="2:38" ht="14.25">
      <c r="B38" s="98"/>
      <c r="C38" s="98"/>
      <c r="D38" s="325">
        <f t="shared" ref="D38:D40" si="75">D37+1</f>
        <v>46144</v>
      </c>
      <c r="E38" s="325" t="s">
        <v>528</v>
      </c>
      <c r="F38" s="228">
        <f t="shared" si="20"/>
        <v>0</v>
      </c>
      <c r="G38" s="323"/>
      <c r="H38" s="351"/>
      <c r="I38" s="234"/>
      <c r="J38" s="101" t="e">
        <f t="shared" si="57"/>
        <v>#DIV/0!</v>
      </c>
      <c r="K38" s="234"/>
      <c r="L38" s="101" t="e">
        <f t="shared" si="58"/>
        <v>#DIV/0!</v>
      </c>
      <c r="M38" s="227">
        <f t="shared" si="59"/>
        <v>0</v>
      </c>
      <c r="N38" s="101" t="e">
        <f t="shared" si="60"/>
        <v>#DIV/0!</v>
      </c>
      <c r="O38" s="234"/>
      <c r="P38" s="101" t="e">
        <f t="shared" si="61"/>
        <v>#DIV/0!</v>
      </c>
      <c r="Q38" s="234"/>
      <c r="R38" s="101" t="e">
        <f t="shared" si="62"/>
        <v>#DIV/0!</v>
      </c>
      <c r="S38" s="227">
        <f t="shared" si="63"/>
        <v>0</v>
      </c>
      <c r="T38" s="101" t="e">
        <f t="shared" si="64"/>
        <v>#DIV/0!</v>
      </c>
      <c r="U38" s="234"/>
      <c r="V38" s="101" t="e">
        <f t="shared" si="65"/>
        <v>#DIV/0!</v>
      </c>
      <c r="W38" s="234"/>
      <c r="X38" s="101" t="e">
        <f t="shared" si="66"/>
        <v>#DIV/0!</v>
      </c>
      <c r="Y38" s="234"/>
      <c r="Z38" s="101" t="e">
        <f t="shared" si="67"/>
        <v>#DIV/0!</v>
      </c>
      <c r="AA38" s="234"/>
      <c r="AB38" s="101" t="e">
        <f t="shared" si="68"/>
        <v>#DIV/0!</v>
      </c>
      <c r="AC38" s="227">
        <f t="shared" si="69"/>
        <v>0</v>
      </c>
      <c r="AD38" s="101" t="e">
        <f t="shared" si="70"/>
        <v>#DIV/0!</v>
      </c>
      <c r="AE38" s="234"/>
      <c r="AF38" s="101" t="e">
        <f t="shared" si="71"/>
        <v>#DIV/0!</v>
      </c>
      <c r="AG38" s="234"/>
      <c r="AH38" s="101" t="e">
        <f t="shared" si="72"/>
        <v>#DIV/0!</v>
      </c>
      <c r="AI38" s="234"/>
      <c r="AJ38" s="101" t="e">
        <f t="shared" si="73"/>
        <v>#DIV/0!</v>
      </c>
      <c r="AK38" s="234"/>
      <c r="AL38" s="101" t="e">
        <f t="shared" si="74"/>
        <v>#DIV/0!</v>
      </c>
    </row>
    <row r="39" spans="2:38" ht="14.25">
      <c r="B39" s="98"/>
      <c r="C39" s="83"/>
      <c r="D39" s="325">
        <f t="shared" si="75"/>
        <v>46145</v>
      </c>
      <c r="E39" s="325" t="s">
        <v>529</v>
      </c>
      <c r="F39" s="228">
        <f t="shared" si="20"/>
        <v>0</v>
      </c>
      <c r="G39" s="323"/>
      <c r="H39" s="97"/>
      <c r="I39" s="234"/>
      <c r="J39" s="101" t="e">
        <f t="shared" si="57"/>
        <v>#DIV/0!</v>
      </c>
      <c r="K39" s="234"/>
      <c r="L39" s="101" t="e">
        <f t="shared" si="58"/>
        <v>#DIV/0!</v>
      </c>
      <c r="M39" s="227">
        <f t="shared" si="59"/>
        <v>0</v>
      </c>
      <c r="N39" s="101" t="e">
        <f t="shared" si="60"/>
        <v>#DIV/0!</v>
      </c>
      <c r="O39" s="234"/>
      <c r="P39" s="101" t="e">
        <f t="shared" si="61"/>
        <v>#DIV/0!</v>
      </c>
      <c r="Q39" s="234"/>
      <c r="R39" s="101" t="e">
        <f t="shared" si="62"/>
        <v>#DIV/0!</v>
      </c>
      <c r="S39" s="227">
        <f t="shared" si="63"/>
        <v>0</v>
      </c>
      <c r="T39" s="101" t="e">
        <f t="shared" si="64"/>
        <v>#DIV/0!</v>
      </c>
      <c r="U39" s="234"/>
      <c r="V39" s="101" t="e">
        <f t="shared" si="65"/>
        <v>#DIV/0!</v>
      </c>
      <c r="W39" s="234"/>
      <c r="X39" s="101" t="e">
        <f t="shared" si="66"/>
        <v>#DIV/0!</v>
      </c>
      <c r="Y39" s="234"/>
      <c r="Z39" s="101" t="e">
        <f t="shared" si="67"/>
        <v>#DIV/0!</v>
      </c>
      <c r="AA39" s="234"/>
      <c r="AB39" s="101" t="e">
        <f t="shared" si="68"/>
        <v>#DIV/0!</v>
      </c>
      <c r="AC39" s="227">
        <f t="shared" si="69"/>
        <v>0</v>
      </c>
      <c r="AD39" s="101" t="e">
        <f t="shared" si="70"/>
        <v>#DIV/0!</v>
      </c>
      <c r="AE39" s="234"/>
      <c r="AF39" s="101" t="e">
        <f t="shared" si="71"/>
        <v>#DIV/0!</v>
      </c>
      <c r="AG39" s="234"/>
      <c r="AH39" s="101" t="e">
        <f t="shared" si="72"/>
        <v>#DIV/0!</v>
      </c>
      <c r="AI39" s="234"/>
      <c r="AJ39" s="101" t="e">
        <f t="shared" si="73"/>
        <v>#DIV/0!</v>
      </c>
      <c r="AK39" s="234"/>
      <c r="AL39" s="101" t="e">
        <f t="shared" si="74"/>
        <v>#DIV/0!</v>
      </c>
    </row>
    <row r="40" spans="2:38" ht="14.25">
      <c r="B40" s="98"/>
      <c r="C40" s="83"/>
      <c r="D40" s="325">
        <f t="shared" si="75"/>
        <v>46146</v>
      </c>
      <c r="E40" s="325" t="s">
        <v>523</v>
      </c>
      <c r="F40" s="228">
        <f t="shared" si="20"/>
        <v>0</v>
      </c>
      <c r="G40" s="323"/>
      <c r="H40" s="97"/>
      <c r="I40" s="234"/>
      <c r="J40" s="101" t="e">
        <f t="shared" si="57"/>
        <v>#DIV/0!</v>
      </c>
      <c r="K40" s="234"/>
      <c r="L40" s="101" t="e">
        <f t="shared" si="58"/>
        <v>#DIV/0!</v>
      </c>
      <c r="M40" s="227">
        <f t="shared" si="59"/>
        <v>0</v>
      </c>
      <c r="N40" s="101" t="e">
        <f t="shared" si="60"/>
        <v>#DIV/0!</v>
      </c>
      <c r="O40" s="234"/>
      <c r="P40" s="101" t="e">
        <f t="shared" si="61"/>
        <v>#DIV/0!</v>
      </c>
      <c r="Q40" s="234"/>
      <c r="R40" s="101" t="e">
        <f t="shared" si="62"/>
        <v>#DIV/0!</v>
      </c>
      <c r="S40" s="227">
        <f t="shared" si="63"/>
        <v>0</v>
      </c>
      <c r="T40" s="101" t="e">
        <f t="shared" si="64"/>
        <v>#DIV/0!</v>
      </c>
      <c r="U40" s="234"/>
      <c r="V40" s="101" t="e">
        <f t="shared" si="65"/>
        <v>#DIV/0!</v>
      </c>
      <c r="W40" s="234"/>
      <c r="X40" s="101" t="e">
        <f t="shared" si="66"/>
        <v>#DIV/0!</v>
      </c>
      <c r="Y40" s="234"/>
      <c r="Z40" s="101" t="e">
        <f t="shared" si="67"/>
        <v>#DIV/0!</v>
      </c>
      <c r="AA40" s="234"/>
      <c r="AB40" s="101" t="e">
        <f t="shared" si="68"/>
        <v>#DIV/0!</v>
      </c>
      <c r="AC40" s="227">
        <f t="shared" si="69"/>
        <v>0</v>
      </c>
      <c r="AD40" s="101" t="e">
        <f t="shared" si="70"/>
        <v>#DIV/0!</v>
      </c>
      <c r="AE40" s="234"/>
      <c r="AF40" s="101" t="e">
        <f t="shared" si="71"/>
        <v>#DIV/0!</v>
      </c>
      <c r="AG40" s="234"/>
      <c r="AH40" s="101" t="e">
        <f t="shared" si="72"/>
        <v>#DIV/0!</v>
      </c>
      <c r="AI40" s="234"/>
      <c r="AJ40" s="101" t="e">
        <f t="shared" si="73"/>
        <v>#DIV/0!</v>
      </c>
      <c r="AK40" s="234"/>
      <c r="AL40" s="101" t="e">
        <f t="shared" si="74"/>
        <v>#DIV/0!</v>
      </c>
    </row>
    <row r="41" spans="2:38" ht="14.25">
      <c r="B41" s="98"/>
      <c r="C41" s="83"/>
      <c r="D41" s="325"/>
      <c r="E41" s="496"/>
      <c r="F41" s="228">
        <f t="shared" si="20"/>
        <v>0</v>
      </c>
      <c r="G41" s="323"/>
      <c r="H41" s="97"/>
      <c r="I41" s="234"/>
      <c r="J41" s="101" t="e">
        <f t="shared" si="57"/>
        <v>#DIV/0!</v>
      </c>
      <c r="K41" s="234"/>
      <c r="L41" s="101" t="e">
        <f t="shared" si="58"/>
        <v>#DIV/0!</v>
      </c>
      <c r="M41" s="227">
        <f t="shared" si="59"/>
        <v>0</v>
      </c>
      <c r="N41" s="101" t="e">
        <f t="shared" si="60"/>
        <v>#DIV/0!</v>
      </c>
      <c r="O41" s="234"/>
      <c r="P41" s="101" t="e">
        <f t="shared" si="61"/>
        <v>#DIV/0!</v>
      </c>
      <c r="Q41" s="234"/>
      <c r="R41" s="101" t="e">
        <f t="shared" si="62"/>
        <v>#DIV/0!</v>
      </c>
      <c r="S41" s="227">
        <f t="shared" si="63"/>
        <v>0</v>
      </c>
      <c r="T41" s="101" t="e">
        <f t="shared" si="64"/>
        <v>#DIV/0!</v>
      </c>
      <c r="U41" s="234"/>
      <c r="V41" s="101" t="e">
        <f t="shared" si="65"/>
        <v>#DIV/0!</v>
      </c>
      <c r="W41" s="234"/>
      <c r="X41" s="101" t="e">
        <f t="shared" si="66"/>
        <v>#DIV/0!</v>
      </c>
      <c r="Y41" s="234"/>
      <c r="Z41" s="101" t="e">
        <f t="shared" si="67"/>
        <v>#DIV/0!</v>
      </c>
      <c r="AA41" s="234"/>
      <c r="AB41" s="101" t="e">
        <f t="shared" si="68"/>
        <v>#DIV/0!</v>
      </c>
      <c r="AC41" s="227">
        <f t="shared" si="69"/>
        <v>0</v>
      </c>
      <c r="AD41" s="101" t="e">
        <f t="shared" si="70"/>
        <v>#DIV/0!</v>
      </c>
      <c r="AE41" s="234"/>
      <c r="AF41" s="101" t="e">
        <f t="shared" si="71"/>
        <v>#DIV/0!</v>
      </c>
      <c r="AG41" s="234"/>
      <c r="AH41" s="101" t="e">
        <f t="shared" si="72"/>
        <v>#DIV/0!</v>
      </c>
      <c r="AI41" s="234"/>
      <c r="AJ41" s="101" t="e">
        <f t="shared" si="73"/>
        <v>#DIV/0!</v>
      </c>
      <c r="AK41" s="234"/>
      <c r="AL41" s="101" t="e">
        <f t="shared" si="74"/>
        <v>#DIV/0!</v>
      </c>
    </row>
    <row r="42" spans="2:38" ht="14.25">
      <c r="B42" s="98"/>
      <c r="C42" s="83"/>
      <c r="D42" s="325"/>
      <c r="E42" s="496"/>
      <c r="F42" s="228">
        <f t="shared" si="20"/>
        <v>0</v>
      </c>
      <c r="G42" s="323"/>
      <c r="H42" s="97"/>
      <c r="I42" s="234"/>
      <c r="J42" s="101" t="e">
        <f>I42/F42</f>
        <v>#DIV/0!</v>
      </c>
      <c r="K42" s="234"/>
      <c r="L42" s="101" t="e">
        <f>K42/F42</f>
        <v>#DIV/0!</v>
      </c>
      <c r="M42" s="227">
        <f>SUM(I42+K42)</f>
        <v>0</v>
      </c>
      <c r="N42" s="101" t="e">
        <f>M42/F42</f>
        <v>#DIV/0!</v>
      </c>
      <c r="O42" s="234"/>
      <c r="P42" s="101" t="e">
        <f>O42/F42</f>
        <v>#DIV/0!</v>
      </c>
      <c r="Q42" s="234"/>
      <c r="R42" s="101" t="e">
        <f t="shared" si="62"/>
        <v>#DIV/0!</v>
      </c>
      <c r="S42" s="227">
        <f t="shared" si="63"/>
        <v>0</v>
      </c>
      <c r="T42" s="101" t="e">
        <f>S42/F42</f>
        <v>#DIV/0!</v>
      </c>
      <c r="U42" s="234"/>
      <c r="V42" s="101" t="e">
        <f>U42/F42</f>
        <v>#DIV/0!</v>
      </c>
      <c r="W42" s="234"/>
      <c r="X42" s="101" t="e">
        <f>W42/F42</f>
        <v>#DIV/0!</v>
      </c>
      <c r="Y42" s="234"/>
      <c r="Z42" s="101" t="e">
        <f>Y42/F42</f>
        <v>#DIV/0!</v>
      </c>
      <c r="AA42" s="234"/>
      <c r="AB42" s="101" t="e">
        <f t="shared" si="68"/>
        <v>#DIV/0!</v>
      </c>
      <c r="AC42" s="227">
        <f>SUM(Y42+AA42)</f>
        <v>0</v>
      </c>
      <c r="AD42" s="101" t="e">
        <f>AC42/F42</f>
        <v>#DIV/0!</v>
      </c>
      <c r="AE42" s="234"/>
      <c r="AF42" s="101" t="e">
        <f>AE42/F42</f>
        <v>#DIV/0!</v>
      </c>
      <c r="AG42" s="234"/>
      <c r="AH42" s="101" t="e">
        <f>AG42/F42</f>
        <v>#DIV/0!</v>
      </c>
      <c r="AI42" s="234"/>
      <c r="AJ42" s="101" t="e">
        <f>AI42/F42</f>
        <v>#DIV/0!</v>
      </c>
      <c r="AK42" s="234"/>
      <c r="AL42" s="101" t="e">
        <f>AK42/F42</f>
        <v>#DIV/0!</v>
      </c>
    </row>
    <row r="43" spans="2:38" ht="14.25">
      <c r="B43" s="98"/>
      <c r="C43" s="83"/>
      <c r="D43" s="325"/>
      <c r="E43" s="496"/>
      <c r="F43" s="228">
        <f t="shared" si="20"/>
        <v>0</v>
      </c>
      <c r="G43" s="323"/>
      <c r="H43" s="97"/>
      <c r="I43" s="234"/>
      <c r="J43" s="101" t="e">
        <f>I43/F43</f>
        <v>#DIV/0!</v>
      </c>
      <c r="K43" s="234"/>
      <c r="L43" s="101" t="e">
        <f>K43/F43</f>
        <v>#DIV/0!</v>
      </c>
      <c r="M43" s="227">
        <f>SUM(I43+K43)</f>
        <v>0</v>
      </c>
      <c r="N43" s="101" t="e">
        <f>M43/F43</f>
        <v>#DIV/0!</v>
      </c>
      <c r="O43" s="234"/>
      <c r="P43" s="101" t="e">
        <f>O43/F43</f>
        <v>#DIV/0!</v>
      </c>
      <c r="Q43" s="234"/>
      <c r="R43" s="101" t="e">
        <f t="shared" si="62"/>
        <v>#DIV/0!</v>
      </c>
      <c r="S43" s="227">
        <f t="shared" si="63"/>
        <v>0</v>
      </c>
      <c r="T43" s="101" t="e">
        <f>S43/F43</f>
        <v>#DIV/0!</v>
      </c>
      <c r="U43" s="234"/>
      <c r="V43" s="101" t="e">
        <f>U43/F43</f>
        <v>#DIV/0!</v>
      </c>
      <c r="W43" s="234"/>
      <c r="X43" s="101" t="e">
        <f>W43/F43</f>
        <v>#DIV/0!</v>
      </c>
      <c r="Y43" s="234"/>
      <c r="Z43" s="101" t="e">
        <f>Y43/F43</f>
        <v>#DIV/0!</v>
      </c>
      <c r="AA43" s="234"/>
      <c r="AB43" s="101" t="e">
        <f t="shared" si="68"/>
        <v>#DIV/0!</v>
      </c>
      <c r="AC43" s="227">
        <f>SUM(Y43+AA43)</f>
        <v>0</v>
      </c>
      <c r="AD43" s="101" t="e">
        <f>AC43/F43</f>
        <v>#DIV/0!</v>
      </c>
      <c r="AE43" s="234"/>
      <c r="AF43" s="101" t="e">
        <f>AE43/F43</f>
        <v>#DIV/0!</v>
      </c>
      <c r="AG43" s="234"/>
      <c r="AH43" s="101" t="e">
        <f>AG43/F43</f>
        <v>#DIV/0!</v>
      </c>
      <c r="AI43" s="234"/>
      <c r="AJ43" s="101" t="e">
        <f>AI43/F43</f>
        <v>#DIV/0!</v>
      </c>
      <c r="AK43" s="234"/>
      <c r="AL43" s="101" t="e">
        <f>AK43/F43</f>
        <v>#DIV/0!</v>
      </c>
    </row>
    <row r="44" spans="2:38" ht="14.25">
      <c r="B44" s="98"/>
      <c r="C44" s="83"/>
      <c r="D44" s="86"/>
      <c r="E44" s="86"/>
      <c r="F44" s="228">
        <f t="shared" si="20"/>
        <v>0</v>
      </c>
      <c r="G44" s="228"/>
      <c r="H44" s="97"/>
      <c r="I44" s="234"/>
      <c r="J44" s="101" t="e">
        <f>I44/F44</f>
        <v>#DIV/0!</v>
      </c>
      <c r="K44" s="234"/>
      <c r="L44" s="101" t="e">
        <f>K44/F44</f>
        <v>#DIV/0!</v>
      </c>
      <c r="M44" s="227">
        <f>SUM(I44+K44)</f>
        <v>0</v>
      </c>
      <c r="N44" s="101" t="e">
        <f>M44/F44</f>
        <v>#DIV/0!</v>
      </c>
      <c r="O44" s="234"/>
      <c r="P44" s="101" t="e">
        <f>O44/F44</f>
        <v>#DIV/0!</v>
      </c>
      <c r="Q44" s="234"/>
      <c r="R44" s="101" t="e">
        <f t="shared" si="62"/>
        <v>#DIV/0!</v>
      </c>
      <c r="S44" s="227">
        <f t="shared" si="63"/>
        <v>0</v>
      </c>
      <c r="T44" s="101" t="e">
        <f>S44/F44</f>
        <v>#DIV/0!</v>
      </c>
      <c r="U44" s="234"/>
      <c r="V44" s="101" t="e">
        <f>U44/F44</f>
        <v>#DIV/0!</v>
      </c>
      <c r="W44" s="234"/>
      <c r="X44" s="101" t="e">
        <f>W44/F44</f>
        <v>#DIV/0!</v>
      </c>
      <c r="Y44" s="234"/>
      <c r="Z44" s="101" t="e">
        <f>Y44/F44</f>
        <v>#DIV/0!</v>
      </c>
      <c r="AA44" s="234"/>
      <c r="AB44" s="101" t="e">
        <f t="shared" si="68"/>
        <v>#DIV/0!</v>
      </c>
      <c r="AC44" s="227">
        <f>SUM(Y44+AA44)</f>
        <v>0</v>
      </c>
      <c r="AD44" s="101" t="e">
        <f>AC44/F44</f>
        <v>#DIV/0!</v>
      </c>
      <c r="AE44" s="234"/>
      <c r="AF44" s="101" t="e">
        <f>AE44/F44</f>
        <v>#DIV/0!</v>
      </c>
      <c r="AG44" s="234"/>
      <c r="AH44" s="101" t="e">
        <f>AG44/F44</f>
        <v>#DIV/0!</v>
      </c>
      <c r="AI44" s="234"/>
      <c r="AJ44" s="101" t="e">
        <f>AI44/F44</f>
        <v>#DIV/0!</v>
      </c>
      <c r="AK44" s="234"/>
      <c r="AL44" s="101" t="e">
        <f>AK44/F44</f>
        <v>#DIV/0!</v>
      </c>
    </row>
    <row r="45" spans="2:38" ht="14.25">
      <c r="B45" s="98"/>
      <c r="C45" s="83"/>
      <c r="D45" s="86"/>
      <c r="E45" s="86"/>
      <c r="F45" s="228">
        <f t="shared" si="20"/>
        <v>0</v>
      </c>
      <c r="G45" s="228"/>
      <c r="H45" s="97"/>
      <c r="I45" s="234"/>
      <c r="J45" s="101" t="e">
        <f>I45/F45</f>
        <v>#DIV/0!</v>
      </c>
      <c r="K45" s="234"/>
      <c r="L45" s="101" t="e">
        <f>K45/F45</f>
        <v>#DIV/0!</v>
      </c>
      <c r="M45" s="227">
        <f>SUM(I45+K45)</f>
        <v>0</v>
      </c>
      <c r="N45" s="101" t="e">
        <f>M45/F45</f>
        <v>#DIV/0!</v>
      </c>
      <c r="O45" s="234"/>
      <c r="P45" s="101" t="e">
        <f>O45/F45</f>
        <v>#DIV/0!</v>
      </c>
      <c r="Q45" s="234"/>
      <c r="R45" s="101" t="e">
        <f t="shared" si="62"/>
        <v>#DIV/0!</v>
      </c>
      <c r="S45" s="227">
        <f t="shared" si="63"/>
        <v>0</v>
      </c>
      <c r="T45" s="101" t="e">
        <f>S45/F45</f>
        <v>#DIV/0!</v>
      </c>
      <c r="U45" s="234"/>
      <c r="V45" s="101" t="e">
        <f>U45/F45</f>
        <v>#DIV/0!</v>
      </c>
      <c r="W45" s="234"/>
      <c r="X45" s="101" t="e">
        <f>W45/F45</f>
        <v>#DIV/0!</v>
      </c>
      <c r="Y45" s="234"/>
      <c r="Z45" s="101" t="e">
        <f>Y45/F45</f>
        <v>#DIV/0!</v>
      </c>
      <c r="AA45" s="234"/>
      <c r="AB45" s="101" t="e">
        <f t="shared" si="68"/>
        <v>#DIV/0!</v>
      </c>
      <c r="AC45" s="227">
        <f>SUM(Y45+AA45)</f>
        <v>0</v>
      </c>
      <c r="AD45" s="101" t="e">
        <f>AC45/F45</f>
        <v>#DIV/0!</v>
      </c>
      <c r="AE45" s="234"/>
      <c r="AF45" s="101" t="e">
        <f>AE45/F45</f>
        <v>#DIV/0!</v>
      </c>
      <c r="AG45" s="234"/>
      <c r="AH45" s="101" t="e">
        <f>AG45/F45</f>
        <v>#DIV/0!</v>
      </c>
      <c r="AI45" s="234"/>
      <c r="AJ45" s="101" t="e">
        <f>AI45/F45</f>
        <v>#DIV/0!</v>
      </c>
      <c r="AK45" s="234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3">
        <f>SUM(I7:I45)</f>
        <v>6199916.9961517639</v>
      </c>
      <c r="J46" s="289">
        <f>I46/$H$12</f>
        <v>6.0500424998260971E-2</v>
      </c>
      <c r="K46" s="293">
        <f>SUM(K7:K45)</f>
        <v>9896952.2518076468</v>
      </c>
      <c r="L46" s="289">
        <f>K46/$H$12</f>
        <v>9.6577069950050928E-2</v>
      </c>
      <c r="M46" s="293">
        <f>SUM(M8:M45)</f>
        <v>14877133.402140968</v>
      </c>
      <c r="N46" s="289" t="e">
        <f>M46/$H$8</f>
        <v>#DIV/0!</v>
      </c>
      <c r="O46" s="293">
        <f>SUM(O7:O45)</f>
        <v>2403484.5434883144</v>
      </c>
      <c r="P46" s="289">
        <f>O46/$H$12</f>
        <v>2.3453835986522103E-2</v>
      </c>
      <c r="Q46" s="293">
        <f>SUM(Q7:Q45)</f>
        <v>1095026.3881029803</v>
      </c>
      <c r="R46" s="289">
        <f>Q46/$H$12</f>
        <v>1.0685556259166295E-2</v>
      </c>
      <c r="S46" s="293">
        <f>SUM(S8:S45)</f>
        <v>3178975.4208170725</v>
      </c>
      <c r="T46" s="289" t="e">
        <f>S46/$H$8</f>
        <v>#DIV/0!</v>
      </c>
      <c r="U46" s="293">
        <f>SUM(U7:U45)</f>
        <v>12922478.120091746</v>
      </c>
      <c r="V46" s="289">
        <f>U46/$H$12</f>
        <v>0.12610094921940815</v>
      </c>
      <c r="W46" s="293">
        <f>SUM(W7:W45)</f>
        <v>738853.9221503213</v>
      </c>
      <c r="X46" s="289">
        <f>W46/$H$12</f>
        <v>7.2099314118998659E-3</v>
      </c>
      <c r="Y46" s="293">
        <f>SUM(Y7:Y45)</f>
        <v>10683039.242133388</v>
      </c>
      <c r="Z46" s="289">
        <f>Y46/$H$12</f>
        <v>0.10424791409680813</v>
      </c>
      <c r="AA46" s="293">
        <f>SUM(AA7:AA45)</f>
        <v>14925928.502525387</v>
      </c>
      <c r="AB46" s="289">
        <f>AA46/$H$12</f>
        <v>0.14565114637130511</v>
      </c>
      <c r="AC46" s="293">
        <f>SUM(AC8:AC45)</f>
        <v>23714557.772207122</v>
      </c>
      <c r="AD46" s="289" t="e">
        <f>AC46/$H$8</f>
        <v>#DIV/0!</v>
      </c>
      <c r="AE46" s="293">
        <f>SUM(AE7:AE45)</f>
        <v>16880540.715730693</v>
      </c>
      <c r="AF46" s="289">
        <f>AE46/$H$12</f>
        <v>0.16472476778899703</v>
      </c>
      <c r="AG46" s="293">
        <f>SUM(AG7:AG45)</f>
        <v>4886233.922131394</v>
      </c>
      <c r="AH46" s="289">
        <f>AG46/$H$12</f>
        <v>4.7681159137026717E-2</v>
      </c>
      <c r="AI46" s="293">
        <f>SUM(AI7:AI45)</f>
        <v>13959105.950917697</v>
      </c>
      <c r="AJ46" s="289">
        <f>AI46/$H$12</f>
        <v>0.13621663695666705</v>
      </c>
      <c r="AK46" s="293">
        <f>SUM(AK7:AK45)</f>
        <v>7885686.4447686654</v>
      </c>
      <c r="AL46" s="289">
        <f>AK46/$H$12</f>
        <v>7.6950607823887629E-2</v>
      </c>
    </row>
    <row r="47" spans="2:38" ht="14.25">
      <c r="B47" s="98"/>
      <c r="C47" s="83"/>
      <c r="D47" s="84"/>
      <c r="F47" s="97"/>
      <c r="G47" s="97"/>
      <c r="H47" s="97"/>
      <c r="I47" s="290"/>
      <c r="J47" s="291"/>
      <c r="K47" s="290"/>
      <c r="L47" s="291"/>
      <c r="M47" s="292">
        <f>M46</f>
        <v>14877133.402140968</v>
      </c>
      <c r="N47" s="291"/>
      <c r="O47" s="290"/>
      <c r="P47" s="291"/>
      <c r="Q47" s="290"/>
      <c r="R47" s="291"/>
      <c r="S47" s="292">
        <f>S46</f>
        <v>3178975.4208170725</v>
      </c>
      <c r="T47" s="291"/>
      <c r="U47" s="292">
        <f>U46</f>
        <v>12922478.120091746</v>
      </c>
      <c r="V47" s="291"/>
      <c r="W47" s="292">
        <f>W46</f>
        <v>738853.9221503213</v>
      </c>
      <c r="X47" s="291"/>
      <c r="Y47" s="290"/>
      <c r="Z47" s="291"/>
      <c r="AA47" s="290"/>
      <c r="AB47" s="291"/>
      <c r="AC47" s="292">
        <f>AC46</f>
        <v>23714557.772207122</v>
      </c>
      <c r="AD47" s="291"/>
      <c r="AE47" s="292">
        <f>AE46</f>
        <v>16880540.715730693</v>
      </c>
      <c r="AF47" s="291"/>
      <c r="AG47" s="292">
        <f>AG46</f>
        <v>4886233.922131394</v>
      </c>
      <c r="AH47" s="291"/>
      <c r="AI47" s="292">
        <f>AI46</f>
        <v>13959105.950917697</v>
      </c>
      <c r="AJ47" s="291"/>
      <c r="AK47" s="292">
        <f>AK46</f>
        <v>7885686.4447686654</v>
      </c>
      <c r="AL47" s="291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3" sqref="AK13:AK19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84" t="s">
        <v>320</v>
      </c>
      <c r="C2" s="584"/>
      <c r="D2" s="584"/>
      <c r="E2" s="584"/>
      <c r="F2" s="584"/>
      <c r="G2" s="584"/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  <c r="AA2" s="584"/>
      <c r="AB2" s="584"/>
      <c r="AC2" s="584"/>
      <c r="AD2" s="584"/>
      <c r="AE2" s="584"/>
      <c r="AF2" s="584"/>
      <c r="AG2" s="584"/>
      <c r="AH2" s="584"/>
      <c r="AI2" s="584"/>
      <c r="AJ2" s="584"/>
      <c r="AK2" s="584"/>
      <c r="AL2" s="584"/>
    </row>
    <row r="3" spans="1:38" ht="25.35" customHeight="1">
      <c r="B3" s="98"/>
      <c r="C3" s="585" t="s">
        <v>139</v>
      </c>
      <c r="D3" s="586" t="s">
        <v>105</v>
      </c>
      <c r="E3" s="586"/>
      <c r="F3" s="593" t="s">
        <v>148</v>
      </c>
      <c r="G3" s="594"/>
      <c r="H3" s="594"/>
      <c r="I3" s="592" t="s">
        <v>318</v>
      </c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592"/>
      <c r="U3" s="592"/>
      <c r="V3" s="592"/>
      <c r="W3" s="592"/>
      <c r="X3" s="592"/>
      <c r="Y3" s="592"/>
      <c r="Z3" s="592"/>
      <c r="AA3" s="592"/>
      <c r="AB3" s="592"/>
      <c r="AC3" s="592"/>
      <c r="AD3" s="592"/>
      <c r="AE3" s="592"/>
      <c r="AF3" s="592"/>
      <c r="AG3" s="592"/>
      <c r="AH3" s="592"/>
      <c r="AI3" s="592"/>
      <c r="AJ3" s="592"/>
      <c r="AK3" s="592"/>
      <c r="AL3" s="592"/>
    </row>
    <row r="4" spans="1:38" ht="25.35" customHeight="1">
      <c r="B4" s="98"/>
      <c r="C4" s="585"/>
      <c r="D4" s="586"/>
      <c r="E4" s="586"/>
      <c r="F4" s="594"/>
      <c r="G4" s="594"/>
      <c r="H4" s="594"/>
      <c r="I4" s="589" t="s">
        <v>140</v>
      </c>
      <c r="J4" s="589"/>
      <c r="K4" s="589"/>
      <c r="L4" s="589"/>
      <c r="M4" s="589"/>
      <c r="N4" s="589"/>
      <c r="O4" s="589" t="s">
        <v>141</v>
      </c>
      <c r="P4" s="589"/>
      <c r="Q4" s="589"/>
      <c r="R4" s="589"/>
      <c r="S4" s="589"/>
      <c r="T4" s="589"/>
      <c r="U4" s="589" t="s">
        <v>142</v>
      </c>
      <c r="V4" s="589"/>
      <c r="W4" s="589" t="s">
        <v>143</v>
      </c>
      <c r="X4" s="589"/>
      <c r="Y4" s="589" t="s">
        <v>134</v>
      </c>
      <c r="Z4" s="589"/>
      <c r="AA4" s="589"/>
      <c r="AB4" s="589"/>
      <c r="AC4" s="589"/>
      <c r="AD4" s="589"/>
      <c r="AE4" s="589" t="s">
        <v>132</v>
      </c>
      <c r="AF4" s="589"/>
      <c r="AG4" s="589" t="s">
        <v>144</v>
      </c>
      <c r="AH4" s="589"/>
      <c r="AI4" s="589" t="s">
        <v>145</v>
      </c>
      <c r="AJ4" s="589"/>
      <c r="AK4" s="589" t="s">
        <v>138</v>
      </c>
      <c r="AL4" s="589"/>
    </row>
    <row r="5" spans="1:38" ht="25.35" customHeight="1">
      <c r="B5" s="98"/>
      <c r="C5" s="585"/>
      <c r="D5" s="586"/>
      <c r="E5" s="586"/>
      <c r="F5" s="591" t="s">
        <v>115</v>
      </c>
      <c r="G5" s="591" t="s">
        <v>117</v>
      </c>
      <c r="H5" s="591" t="s">
        <v>118</v>
      </c>
      <c r="I5" s="589" t="s">
        <v>129</v>
      </c>
      <c r="J5" s="589"/>
      <c r="K5" s="589" t="s">
        <v>130</v>
      </c>
      <c r="L5" s="589"/>
      <c r="M5" s="590" t="s">
        <v>146</v>
      </c>
      <c r="N5" s="589"/>
      <c r="O5" s="589" t="s">
        <v>129</v>
      </c>
      <c r="P5" s="589"/>
      <c r="Q5" s="589" t="s">
        <v>130</v>
      </c>
      <c r="R5" s="589"/>
      <c r="S5" s="590" t="s">
        <v>146</v>
      </c>
      <c r="T5" s="589"/>
      <c r="U5" s="589" t="s">
        <v>129</v>
      </c>
      <c r="V5" s="589"/>
      <c r="W5" s="589" t="s">
        <v>129</v>
      </c>
      <c r="X5" s="589"/>
      <c r="Y5" s="589" t="s">
        <v>129</v>
      </c>
      <c r="Z5" s="589"/>
      <c r="AA5" s="589" t="s">
        <v>130</v>
      </c>
      <c r="AB5" s="589"/>
      <c r="AC5" s="590" t="s">
        <v>146</v>
      </c>
      <c r="AD5" s="589"/>
      <c r="AE5" s="589" t="s">
        <v>129</v>
      </c>
      <c r="AF5" s="589"/>
      <c r="AG5" s="589" t="s">
        <v>129</v>
      </c>
      <c r="AH5" s="589"/>
      <c r="AI5" s="589" t="s">
        <v>129</v>
      </c>
      <c r="AJ5" s="589"/>
      <c r="AK5" s="589" t="s">
        <v>129</v>
      </c>
      <c r="AL5" s="589"/>
    </row>
    <row r="6" spans="1:38" s="80" customFormat="1" ht="23.45" customHeight="1">
      <c r="B6" s="98"/>
      <c r="C6" s="585"/>
      <c r="D6" s="586"/>
      <c r="E6" s="586"/>
      <c r="F6" s="591"/>
      <c r="G6" s="591"/>
      <c r="H6" s="591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325">
        <v>46113</v>
      </c>
      <c r="E7" s="325" t="s">
        <v>525</v>
      </c>
      <c r="F7" s="88">
        <f t="shared" ref="F7" si="0">SUM(M7,S7,U7,W7,AC7,AE7,AG7,AI7,AK7)</f>
        <v>240873</v>
      </c>
      <c r="G7" s="332"/>
      <c r="H7" s="88"/>
      <c r="I7" s="235">
        <v>27460</v>
      </c>
      <c r="J7" s="101">
        <f t="shared" ref="J7:J8" si="1">I7/F7</f>
        <v>0.11400198444823621</v>
      </c>
      <c r="K7" s="235">
        <v>38156</v>
      </c>
      <c r="L7" s="101">
        <f t="shared" ref="L7:L8" si="2">K7/F7</f>
        <v>0.15840712740738896</v>
      </c>
      <c r="M7" s="106">
        <f t="shared" ref="M7:M8" si="3">SUM(I7+K7)</f>
        <v>65616</v>
      </c>
      <c r="N7" s="101">
        <f t="shared" ref="N7:N8" si="4">M7/F7</f>
        <v>0.27240911185562516</v>
      </c>
      <c r="O7" s="235">
        <v>6597</v>
      </c>
      <c r="P7" s="101">
        <f t="shared" ref="P7:P8" si="5">O7/F7</f>
        <v>2.7387876598871604E-2</v>
      </c>
      <c r="Q7" s="235">
        <v>7172</v>
      </c>
      <c r="R7" s="101">
        <f t="shared" ref="R7:R8" si="6">Q7/F7</f>
        <v>2.977502667380736E-2</v>
      </c>
      <c r="S7" s="106">
        <f t="shared" ref="S7:S8" si="7">SUM(O7+Q7)</f>
        <v>13769</v>
      </c>
      <c r="T7" s="101">
        <f t="shared" ref="T7:T8" si="8">S7/F7</f>
        <v>5.7162903272678964E-2</v>
      </c>
      <c r="U7" s="235">
        <v>29598</v>
      </c>
      <c r="V7" s="101">
        <f t="shared" ref="V7:V8" si="9">U7/F7</f>
        <v>0.1228780311616495</v>
      </c>
      <c r="W7" s="235">
        <v>1833</v>
      </c>
      <c r="X7" s="101">
        <f t="shared" ref="X7:X8" si="10">W7/F7</f>
        <v>7.609819282360414E-3</v>
      </c>
      <c r="Y7" s="235">
        <v>27449</v>
      </c>
      <c r="Z7" s="101">
        <f t="shared" ref="Z7:Z8" si="11">Y7/F7</f>
        <v>0.11395631722941135</v>
      </c>
      <c r="AA7" s="235">
        <v>20133</v>
      </c>
      <c r="AB7" s="101">
        <f t="shared" ref="AB7:AB8" si="12">AA7/F7</f>
        <v>8.3583465145533123E-2</v>
      </c>
      <c r="AC7" s="106">
        <f t="shared" ref="AC7:AC8" si="13">SUM(Y7+AA7)</f>
        <v>47582</v>
      </c>
      <c r="AD7" s="101">
        <f t="shared" ref="AD7:AD8" si="14">AC7/F7</f>
        <v>0.19753978237494446</v>
      </c>
      <c r="AE7" s="235">
        <v>23653</v>
      </c>
      <c r="AF7" s="101">
        <f t="shared" ref="AF7:AF8" si="15">AE7/F7</f>
        <v>9.8196975169487652E-2</v>
      </c>
      <c r="AG7" s="235">
        <v>4262</v>
      </c>
      <c r="AH7" s="101">
        <f t="shared" ref="AH7:AH8" si="16">AG7/F7</f>
        <v>1.7693971511958582E-2</v>
      </c>
      <c r="AI7" s="235">
        <v>28294</v>
      </c>
      <c r="AJ7" s="101">
        <f t="shared" ref="AJ7:AJ8" si="17">AI7/F7</f>
        <v>0.11746438994822998</v>
      </c>
      <c r="AK7" s="235">
        <v>26266</v>
      </c>
      <c r="AL7" s="101">
        <f t="shared" ref="AL7:AL8" si="18">AK7/F7</f>
        <v>0.10904501542306527</v>
      </c>
    </row>
    <row r="8" spans="1:38" ht="14.25">
      <c r="B8" s="98"/>
      <c r="C8" s="83"/>
      <c r="D8" s="325">
        <f t="shared" ref="D8:D36" si="19">D7+1</f>
        <v>46114</v>
      </c>
      <c r="E8" s="325" t="s">
        <v>526</v>
      </c>
      <c r="F8" s="88">
        <f>SUM(M8,S8,U8,W8,AC8,AE8,AG8,AI8,AK8)</f>
        <v>219733</v>
      </c>
      <c r="G8" s="332">
        <f>SUM(F7:F12)</f>
        <v>1352026</v>
      </c>
      <c r="H8" s="350"/>
      <c r="I8" s="235">
        <v>23616</v>
      </c>
      <c r="J8" s="101">
        <f t="shared" si="1"/>
        <v>0.1074758911952233</v>
      </c>
      <c r="K8" s="235">
        <v>35584</v>
      </c>
      <c r="L8" s="101">
        <f t="shared" si="2"/>
        <v>0.16194199323724703</v>
      </c>
      <c r="M8" s="106">
        <f t="shared" si="3"/>
        <v>59200</v>
      </c>
      <c r="N8" s="101">
        <f t="shared" si="4"/>
        <v>0.26941788443247033</v>
      </c>
      <c r="O8" s="235">
        <v>5301</v>
      </c>
      <c r="P8" s="101">
        <f t="shared" si="5"/>
        <v>2.412473319892779E-2</v>
      </c>
      <c r="Q8" s="235">
        <v>6378</v>
      </c>
      <c r="R8" s="101">
        <f t="shared" si="6"/>
        <v>2.9026136265376618E-2</v>
      </c>
      <c r="S8" s="106">
        <f t="shared" si="7"/>
        <v>11679</v>
      </c>
      <c r="T8" s="101">
        <f t="shared" si="8"/>
        <v>5.3150869464304404E-2</v>
      </c>
      <c r="U8" s="235">
        <v>27498</v>
      </c>
      <c r="V8" s="101">
        <f t="shared" si="9"/>
        <v>0.12514278692777142</v>
      </c>
      <c r="W8" s="235">
        <v>1787</v>
      </c>
      <c r="X8" s="101">
        <f t="shared" si="10"/>
        <v>8.1325972885274399E-3</v>
      </c>
      <c r="Y8" s="235">
        <v>25089</v>
      </c>
      <c r="Z8" s="101">
        <f t="shared" si="11"/>
        <v>0.11417948146159203</v>
      </c>
      <c r="AA8" s="235">
        <v>18412</v>
      </c>
      <c r="AB8" s="101">
        <f t="shared" si="12"/>
        <v>8.3792602840720334E-2</v>
      </c>
      <c r="AC8" s="106">
        <f t="shared" si="13"/>
        <v>43501</v>
      </c>
      <c r="AD8" s="101">
        <f t="shared" si="14"/>
        <v>0.19797208430231236</v>
      </c>
      <c r="AE8" s="235">
        <v>21227</v>
      </c>
      <c r="AF8" s="101">
        <f t="shared" si="15"/>
        <v>9.6603605284595398E-2</v>
      </c>
      <c r="AG8" s="235">
        <v>3324</v>
      </c>
      <c r="AH8" s="101">
        <f t="shared" si="16"/>
        <v>1.5127450132661003E-2</v>
      </c>
      <c r="AI8" s="235">
        <v>27623</v>
      </c>
      <c r="AJ8" s="101">
        <f t="shared" si="17"/>
        <v>0.12571165914996837</v>
      </c>
      <c r="AK8" s="235">
        <v>23894</v>
      </c>
      <c r="AL8" s="101">
        <f t="shared" si="18"/>
        <v>0.10874106301738928</v>
      </c>
    </row>
    <row r="9" spans="1:38" ht="14.25">
      <c r="B9" s="98"/>
      <c r="C9" s="83"/>
      <c r="D9" s="325">
        <f t="shared" si="19"/>
        <v>46115</v>
      </c>
      <c r="E9" s="325" t="s">
        <v>527</v>
      </c>
      <c r="F9" s="88">
        <f t="shared" ref="F9:F45" si="20">SUM(M9,S9,U9,W9,AC9,AE9,AG9,AI9,AK9)</f>
        <v>208291</v>
      </c>
      <c r="G9" s="332"/>
      <c r="I9" s="235">
        <v>22988</v>
      </c>
      <c r="J9" s="101">
        <f t="shared" ref="J9:J13" si="21">I9/F9</f>
        <v>0.11036482613267015</v>
      </c>
      <c r="K9" s="235">
        <v>33784</v>
      </c>
      <c r="L9" s="101">
        <f t="shared" ref="L9:L13" si="22">K9/F9</f>
        <v>0.16219615825935829</v>
      </c>
      <c r="M9" s="106">
        <f t="shared" ref="M9:M13" si="23">SUM(I9+K9)</f>
        <v>56772</v>
      </c>
      <c r="N9" s="101">
        <f t="shared" ref="N9:N13" si="24">M9/F9</f>
        <v>0.27256098439202847</v>
      </c>
      <c r="O9" s="235">
        <v>5121</v>
      </c>
      <c r="P9" s="101">
        <f t="shared" ref="P9:P13" si="25">O9/F9</f>
        <v>2.4585795833713411E-2</v>
      </c>
      <c r="Q9" s="235">
        <v>5531</v>
      </c>
      <c r="R9" s="101">
        <f t="shared" ref="R9:R45" si="26">Q9/F9</f>
        <v>2.6554195812589117E-2</v>
      </c>
      <c r="S9" s="106">
        <f t="shared" ref="S9:S14" si="27">SUM(O9+Q9)</f>
        <v>10652</v>
      </c>
      <c r="T9" s="101">
        <f t="shared" ref="T9:T13" si="28">S9/F9</f>
        <v>5.1139991646302528E-2</v>
      </c>
      <c r="U9" s="235">
        <v>24463</v>
      </c>
      <c r="V9" s="101">
        <f t="shared" ref="V9:V13" si="29">U9/F9</f>
        <v>0.11744626508106447</v>
      </c>
      <c r="W9" s="235">
        <v>1480</v>
      </c>
      <c r="X9" s="101">
        <f t="shared" ref="X9:X13" si="30">W9/F9</f>
        <v>7.1054438261854806E-3</v>
      </c>
      <c r="Y9" s="235">
        <v>25119</v>
      </c>
      <c r="Z9" s="101">
        <f t="shared" ref="Z9:Z13" si="31">Y9/F9</f>
        <v>0.12059570504726561</v>
      </c>
      <c r="AA9" s="235">
        <v>20726</v>
      </c>
      <c r="AB9" s="101">
        <f t="shared" ref="AB9:AB45" si="32">AA9/F9</f>
        <v>9.9505019419946134E-2</v>
      </c>
      <c r="AC9" s="106">
        <f t="shared" ref="AC9:AC13" si="33">SUM(Y9+AA9)</f>
        <v>45845</v>
      </c>
      <c r="AD9" s="101">
        <f t="shared" ref="AD9:AD13" si="34">AC9/F9</f>
        <v>0.22010072446721174</v>
      </c>
      <c r="AE9" s="235">
        <v>17761</v>
      </c>
      <c r="AF9" s="101">
        <f t="shared" ref="AF9:AF13" si="35">AE9/F9</f>
        <v>8.5270126889783998E-2</v>
      </c>
      <c r="AG9" s="235">
        <v>9153</v>
      </c>
      <c r="AH9" s="101">
        <f t="shared" ref="AH9:AH13" si="36">AG9/F9</f>
        <v>4.3943329284510613E-2</v>
      </c>
      <c r="AI9" s="235">
        <v>23207</v>
      </c>
      <c r="AJ9" s="101">
        <f t="shared" ref="AJ9:AJ13" si="37">AI9/F9</f>
        <v>0.11141623977992328</v>
      </c>
      <c r="AK9" s="235">
        <v>18958</v>
      </c>
      <c r="AL9" s="101">
        <f t="shared" ref="AL9:AL13" si="38">AK9/F9</f>
        <v>9.1016894632989426E-2</v>
      </c>
    </row>
    <row r="10" spans="1:38" ht="14.25">
      <c r="B10" s="98"/>
      <c r="C10" s="83"/>
      <c r="D10" s="325">
        <f t="shared" si="19"/>
        <v>46116</v>
      </c>
      <c r="E10" s="325" t="s">
        <v>528</v>
      </c>
      <c r="F10" s="88">
        <f t="shared" si="20"/>
        <v>206015</v>
      </c>
      <c r="G10" s="332"/>
      <c r="H10" s="431"/>
      <c r="I10" s="235">
        <v>21763</v>
      </c>
      <c r="J10" s="101">
        <f t="shared" si="21"/>
        <v>0.10563793898502537</v>
      </c>
      <c r="K10" s="235">
        <v>33619</v>
      </c>
      <c r="L10" s="101">
        <f t="shared" si="22"/>
        <v>0.16318714656699754</v>
      </c>
      <c r="M10" s="106">
        <f t="shared" si="23"/>
        <v>55382</v>
      </c>
      <c r="N10" s="101">
        <f t="shared" si="24"/>
        <v>0.26882508555202289</v>
      </c>
      <c r="O10" s="235">
        <v>4728</v>
      </c>
      <c r="P10" s="101">
        <f t="shared" si="25"/>
        <v>2.2949785209814819E-2</v>
      </c>
      <c r="Q10" s="235">
        <v>4419</v>
      </c>
      <c r="R10" s="101">
        <f t="shared" si="26"/>
        <v>2.1449894425163218E-2</v>
      </c>
      <c r="S10" s="106">
        <f t="shared" si="27"/>
        <v>9147</v>
      </c>
      <c r="T10" s="101">
        <f t="shared" si="28"/>
        <v>4.4399679634978033E-2</v>
      </c>
      <c r="U10" s="235">
        <v>26817</v>
      </c>
      <c r="V10" s="101">
        <f t="shared" si="29"/>
        <v>0.13017013324272506</v>
      </c>
      <c r="W10" s="235">
        <v>1708</v>
      </c>
      <c r="X10" s="101">
        <f t="shared" si="30"/>
        <v>8.2906584472004462E-3</v>
      </c>
      <c r="Y10" s="235">
        <v>20756</v>
      </c>
      <c r="Z10" s="101">
        <f t="shared" si="31"/>
        <v>0.1007499453923258</v>
      </c>
      <c r="AA10" s="235">
        <v>20544</v>
      </c>
      <c r="AB10" s="101">
        <f t="shared" si="32"/>
        <v>9.9720894109652208E-2</v>
      </c>
      <c r="AC10" s="106">
        <f t="shared" si="33"/>
        <v>41300</v>
      </c>
      <c r="AD10" s="101">
        <f t="shared" si="34"/>
        <v>0.200470839501978</v>
      </c>
      <c r="AE10" s="235">
        <v>19003</v>
      </c>
      <c r="AF10" s="101">
        <f t="shared" si="35"/>
        <v>9.2240856248331435E-2</v>
      </c>
      <c r="AG10" s="235">
        <v>9325</v>
      </c>
      <c r="AH10" s="101">
        <f t="shared" si="36"/>
        <v>4.5263694391185105E-2</v>
      </c>
      <c r="AI10" s="235">
        <v>24907</v>
      </c>
      <c r="AJ10" s="101">
        <f t="shared" si="37"/>
        <v>0.12089896366769411</v>
      </c>
      <c r="AK10" s="235">
        <v>18426</v>
      </c>
      <c r="AL10" s="101">
        <f t="shared" si="38"/>
        <v>8.9440089313884905E-2</v>
      </c>
    </row>
    <row r="11" spans="1:38" ht="14.25">
      <c r="B11" s="98"/>
      <c r="C11" s="83"/>
      <c r="D11" s="325">
        <f t="shared" si="19"/>
        <v>46117</v>
      </c>
      <c r="E11" s="325" t="s">
        <v>529</v>
      </c>
      <c r="F11" s="88">
        <f t="shared" si="20"/>
        <v>218068</v>
      </c>
      <c r="G11" s="332"/>
      <c r="H11" s="431"/>
      <c r="I11" s="419">
        <v>22161</v>
      </c>
      <c r="J11" s="420">
        <f t="shared" si="21"/>
        <v>0.10162426399104867</v>
      </c>
      <c r="K11" s="419">
        <v>37099</v>
      </c>
      <c r="L11" s="420">
        <f t="shared" si="22"/>
        <v>0.17012583230918796</v>
      </c>
      <c r="M11" s="421">
        <f t="shared" si="23"/>
        <v>59260</v>
      </c>
      <c r="N11" s="420">
        <f t="shared" si="24"/>
        <v>0.27175009630023661</v>
      </c>
      <c r="O11" s="419">
        <v>5045</v>
      </c>
      <c r="P11" s="420">
        <f t="shared" si="25"/>
        <v>2.3134985417392739E-2</v>
      </c>
      <c r="Q11" s="419">
        <v>5098</v>
      </c>
      <c r="R11" s="420">
        <f t="shared" si="26"/>
        <v>2.3378028871728084E-2</v>
      </c>
      <c r="S11" s="421">
        <f t="shared" si="27"/>
        <v>10143</v>
      </c>
      <c r="T11" s="420">
        <f t="shared" si="28"/>
        <v>4.6513014289120823E-2</v>
      </c>
      <c r="U11" s="419">
        <v>27397</v>
      </c>
      <c r="V11" s="420">
        <f t="shared" si="29"/>
        <v>0.12563512298915935</v>
      </c>
      <c r="W11" s="419">
        <v>1448</v>
      </c>
      <c r="X11" s="420">
        <f t="shared" si="30"/>
        <v>6.6401306014637635E-3</v>
      </c>
      <c r="Y11" s="419">
        <v>23545</v>
      </c>
      <c r="Z11" s="420">
        <f t="shared" si="31"/>
        <v>0.10797090815708861</v>
      </c>
      <c r="AA11" s="419">
        <v>22582</v>
      </c>
      <c r="AB11" s="420">
        <f t="shared" si="32"/>
        <v>0.10355485444907093</v>
      </c>
      <c r="AC11" s="421">
        <f t="shared" si="33"/>
        <v>46127</v>
      </c>
      <c r="AD11" s="420">
        <f t="shared" si="34"/>
        <v>0.21152576260615955</v>
      </c>
      <c r="AE11" s="419">
        <v>20817</v>
      </c>
      <c r="AF11" s="420">
        <f t="shared" si="35"/>
        <v>9.5461048847148594E-2</v>
      </c>
      <c r="AG11" s="419">
        <v>8797</v>
      </c>
      <c r="AH11" s="420">
        <f t="shared" si="36"/>
        <v>4.0340627694113763E-2</v>
      </c>
      <c r="AI11" s="419">
        <v>23399</v>
      </c>
      <c r="AJ11" s="420">
        <f t="shared" si="37"/>
        <v>0.10730139222627805</v>
      </c>
      <c r="AK11" s="419">
        <v>20680</v>
      </c>
      <c r="AL11" s="420">
        <f t="shared" si="38"/>
        <v>9.4832804446319502E-2</v>
      </c>
    </row>
    <row r="12" spans="1:38" ht="14.25">
      <c r="B12" s="98"/>
      <c r="C12" s="83"/>
      <c r="D12" s="325">
        <f t="shared" si="19"/>
        <v>46118</v>
      </c>
      <c r="E12" s="325" t="s">
        <v>523</v>
      </c>
      <c r="F12" s="88">
        <f t="shared" si="20"/>
        <v>259046</v>
      </c>
      <c r="G12" s="332"/>
      <c r="H12" s="431">
        <f>SUM(F7:F36)</f>
        <v>3104723</v>
      </c>
      <c r="I12" s="235">
        <v>27562</v>
      </c>
      <c r="J12" s="101">
        <f t="shared" si="21"/>
        <v>0.10639809145865985</v>
      </c>
      <c r="K12" s="235">
        <v>44049</v>
      </c>
      <c r="L12" s="101">
        <f t="shared" si="22"/>
        <v>0.17004315835797504</v>
      </c>
      <c r="M12" s="106">
        <f t="shared" si="23"/>
        <v>71611</v>
      </c>
      <c r="N12" s="101">
        <f t="shared" si="24"/>
        <v>0.27644124981663487</v>
      </c>
      <c r="O12" s="235">
        <v>5906</v>
      </c>
      <c r="P12" s="101">
        <f t="shared" si="25"/>
        <v>2.2799039552820734E-2</v>
      </c>
      <c r="Q12" s="235">
        <v>2769</v>
      </c>
      <c r="R12" s="101">
        <f t="shared" si="26"/>
        <v>1.0689221219397327E-2</v>
      </c>
      <c r="S12" s="106">
        <f t="shared" si="27"/>
        <v>8675</v>
      </c>
      <c r="T12" s="101">
        <f t="shared" si="28"/>
        <v>3.3488260772218059E-2</v>
      </c>
      <c r="U12" s="235">
        <v>34445</v>
      </c>
      <c r="V12" s="101">
        <f t="shared" si="29"/>
        <v>0.13296866193649004</v>
      </c>
      <c r="W12" s="235">
        <v>1903</v>
      </c>
      <c r="X12" s="101">
        <f t="shared" si="30"/>
        <v>7.3461856195424753E-3</v>
      </c>
      <c r="Y12" s="235">
        <v>27831</v>
      </c>
      <c r="Z12" s="101">
        <f t="shared" si="31"/>
        <v>0.10743651706646697</v>
      </c>
      <c r="AA12" s="235">
        <v>25025</v>
      </c>
      <c r="AB12" s="101">
        <f t="shared" si="32"/>
        <v>9.6604464072018101E-2</v>
      </c>
      <c r="AC12" s="106">
        <f t="shared" si="33"/>
        <v>52856</v>
      </c>
      <c r="AD12" s="101">
        <f t="shared" si="34"/>
        <v>0.20404098113848507</v>
      </c>
      <c r="AE12" s="235">
        <v>25680</v>
      </c>
      <c r="AF12" s="101">
        <f t="shared" si="35"/>
        <v>9.9132972522254739E-2</v>
      </c>
      <c r="AG12" s="235">
        <v>9097</v>
      </c>
      <c r="AH12" s="101">
        <f t="shared" si="36"/>
        <v>3.5117315071454491E-2</v>
      </c>
      <c r="AI12" s="235">
        <v>31733</v>
      </c>
      <c r="AJ12" s="101">
        <f t="shared" si="37"/>
        <v>0.12249947885703698</v>
      </c>
      <c r="AK12" s="235">
        <v>23046</v>
      </c>
      <c r="AL12" s="101">
        <f t="shared" si="38"/>
        <v>8.8964894265883276E-2</v>
      </c>
    </row>
    <row r="13" spans="1:38" ht="14.25">
      <c r="B13" s="98"/>
      <c r="C13" s="83"/>
      <c r="D13" s="474">
        <f t="shared" si="19"/>
        <v>46119</v>
      </c>
      <c r="E13" s="474" t="s">
        <v>524</v>
      </c>
      <c r="F13" s="88">
        <f t="shared" si="20"/>
        <v>253131</v>
      </c>
      <c r="G13" s="332">
        <f>SUM(F13:F19)</f>
        <v>1752697</v>
      </c>
      <c r="H13" s="431"/>
      <c r="I13" s="235">
        <v>27398</v>
      </c>
      <c r="J13" s="101">
        <f t="shared" si="21"/>
        <v>0.10823644674101553</v>
      </c>
      <c r="K13" s="235">
        <v>42714</v>
      </c>
      <c r="L13" s="101">
        <f t="shared" si="22"/>
        <v>0.16874266684048972</v>
      </c>
      <c r="M13" s="106">
        <f t="shared" si="23"/>
        <v>70112</v>
      </c>
      <c r="N13" s="101">
        <f t="shared" si="24"/>
        <v>0.27697911358150523</v>
      </c>
      <c r="O13" s="235">
        <v>10426</v>
      </c>
      <c r="P13" s="101">
        <f t="shared" si="25"/>
        <v>4.1188159490540471E-2</v>
      </c>
      <c r="Q13" s="235">
        <v>2747</v>
      </c>
      <c r="R13" s="101">
        <f t="shared" si="26"/>
        <v>1.0852088444323294E-2</v>
      </c>
      <c r="S13" s="106">
        <f t="shared" si="27"/>
        <v>13173</v>
      </c>
      <c r="T13" s="101">
        <f t="shared" si="28"/>
        <v>5.2040247934863768E-2</v>
      </c>
      <c r="U13" s="235">
        <v>31966</v>
      </c>
      <c r="V13" s="101">
        <f t="shared" si="29"/>
        <v>0.12628243873725462</v>
      </c>
      <c r="W13" s="235">
        <v>1587</v>
      </c>
      <c r="X13" s="101">
        <f t="shared" si="30"/>
        <v>6.2694810197091626E-3</v>
      </c>
      <c r="Y13" s="235">
        <v>28240</v>
      </c>
      <c r="Z13" s="101">
        <f t="shared" si="31"/>
        <v>0.11156278764750267</v>
      </c>
      <c r="AA13" s="235">
        <v>23240</v>
      </c>
      <c r="AB13" s="101">
        <f t="shared" si="32"/>
        <v>9.1810169437958999E-2</v>
      </c>
      <c r="AC13" s="106">
        <f t="shared" si="33"/>
        <v>51480</v>
      </c>
      <c r="AD13" s="101">
        <f t="shared" si="34"/>
        <v>0.20337295708546169</v>
      </c>
      <c r="AE13" s="235">
        <v>24160</v>
      </c>
      <c r="AF13" s="101">
        <f t="shared" si="35"/>
        <v>9.5444651188515042E-2</v>
      </c>
      <c r="AG13" s="235">
        <v>8286</v>
      </c>
      <c r="AH13" s="101">
        <f t="shared" si="36"/>
        <v>3.2734038896855777E-2</v>
      </c>
      <c r="AI13" s="235">
        <v>30544</v>
      </c>
      <c r="AJ13" s="101">
        <f t="shared" si="37"/>
        <v>0.1206647941184604</v>
      </c>
      <c r="AK13" s="235">
        <v>21823</v>
      </c>
      <c r="AL13" s="101">
        <f t="shared" si="38"/>
        <v>8.6212277437374321E-2</v>
      </c>
    </row>
    <row r="14" spans="1:38" ht="14.25">
      <c r="B14" s="98"/>
      <c r="C14" s="83"/>
      <c r="D14" s="474">
        <f t="shared" si="19"/>
        <v>46120</v>
      </c>
      <c r="E14" s="474" t="s">
        <v>525</v>
      </c>
      <c r="F14" s="88">
        <f t="shared" si="20"/>
        <v>245780</v>
      </c>
      <c r="G14" s="332"/>
      <c r="H14" s="431"/>
      <c r="I14" s="235">
        <v>27932</v>
      </c>
      <c r="J14" s="101">
        <f>I14/F14</f>
        <v>0.11364635039466189</v>
      </c>
      <c r="K14" s="235">
        <v>41814</v>
      </c>
      <c r="L14" s="101">
        <f>K14/F14</f>
        <v>0.1701277565302303</v>
      </c>
      <c r="M14" s="106">
        <f>SUM(I14+K14)</f>
        <v>69746</v>
      </c>
      <c r="N14" s="101">
        <f>M14/F14</f>
        <v>0.28377410692489219</v>
      </c>
      <c r="O14" s="235">
        <v>7131</v>
      </c>
      <c r="P14" s="101">
        <f>O14/F14</f>
        <v>2.9013752136056635E-2</v>
      </c>
      <c r="Q14" s="235">
        <v>2630</v>
      </c>
      <c r="R14" s="101">
        <f t="shared" si="26"/>
        <v>1.0700626576613231E-2</v>
      </c>
      <c r="S14" s="106">
        <f t="shared" si="27"/>
        <v>9761</v>
      </c>
      <c r="T14" s="101">
        <f>S14/F14</f>
        <v>3.9714378712669869E-2</v>
      </c>
      <c r="U14" s="235">
        <v>30478</v>
      </c>
      <c r="V14" s="101">
        <f>U14/F14</f>
        <v>0.12400520790951257</v>
      </c>
      <c r="W14" s="235">
        <v>1674</v>
      </c>
      <c r="X14" s="101">
        <f>W14/F14</f>
        <v>6.8109691594108552E-3</v>
      </c>
      <c r="Y14" s="235">
        <v>27363</v>
      </c>
      <c r="Z14" s="101">
        <f>Y14/F14</f>
        <v>0.11133127186915127</v>
      </c>
      <c r="AA14" s="235">
        <v>22343</v>
      </c>
      <c r="AB14" s="101">
        <f t="shared" si="32"/>
        <v>9.0906501749532104E-2</v>
      </c>
      <c r="AC14" s="106">
        <f>SUM(Y14+AA14)</f>
        <v>49706</v>
      </c>
      <c r="AD14" s="101">
        <f>AC14/F14</f>
        <v>0.20223777361868336</v>
      </c>
      <c r="AE14" s="235">
        <v>23942</v>
      </c>
      <c r="AF14" s="101">
        <f>AE14/F14</f>
        <v>9.7412319960940685E-2</v>
      </c>
      <c r="AG14" s="235">
        <v>8976</v>
      </c>
      <c r="AH14" s="101">
        <f>AG14/F14</f>
        <v>3.6520465456912683E-2</v>
      </c>
      <c r="AI14" s="235">
        <v>29861</v>
      </c>
      <c r="AJ14" s="101">
        <f>AI14/F14</f>
        <v>0.1214948327772805</v>
      </c>
      <c r="AK14" s="235">
        <v>21636</v>
      </c>
      <c r="AL14" s="101">
        <f>AK14/F14</f>
        <v>8.8029945479697294E-2</v>
      </c>
    </row>
    <row r="15" spans="1:38" ht="14.25">
      <c r="B15" s="98"/>
      <c r="C15" s="83"/>
      <c r="D15" s="474">
        <f t="shared" si="19"/>
        <v>46121</v>
      </c>
      <c r="E15" s="474" t="s">
        <v>526</v>
      </c>
      <c r="F15" s="88">
        <f t="shared" si="20"/>
        <v>232518</v>
      </c>
      <c r="G15" s="332"/>
      <c r="H15" s="431"/>
      <c r="I15" s="235">
        <v>27247</v>
      </c>
      <c r="J15" s="101">
        <f t="shared" ref="J15" si="39">I15/F15</f>
        <v>0.11718232566941054</v>
      </c>
      <c r="K15" s="235">
        <v>39658</v>
      </c>
      <c r="L15" s="101">
        <f t="shared" ref="L15" si="40">K15/F15</f>
        <v>0.17055883845551742</v>
      </c>
      <c r="M15" s="106">
        <f t="shared" ref="M15" si="41">SUM(I15+K15)</f>
        <v>66905</v>
      </c>
      <c r="N15" s="101">
        <f t="shared" ref="N15" si="42">M15/F15</f>
        <v>0.28774116412492795</v>
      </c>
      <c r="O15" s="235">
        <v>7119</v>
      </c>
      <c r="P15" s="101">
        <f t="shared" ref="P15" si="43">O15/F15</f>
        <v>3.0616984491523239E-2</v>
      </c>
      <c r="Q15" s="235">
        <v>2349</v>
      </c>
      <c r="R15" s="101">
        <f t="shared" si="26"/>
        <v>1.0102443681779476E-2</v>
      </c>
      <c r="S15" s="106">
        <f t="shared" ref="S15" si="44">SUM(O15+Q15)</f>
        <v>9468</v>
      </c>
      <c r="T15" s="101">
        <f t="shared" ref="T15" si="45">S15/F15</f>
        <v>4.0719428173302714E-2</v>
      </c>
      <c r="U15" s="235">
        <v>29826</v>
      </c>
      <c r="V15" s="101">
        <f t="shared" ref="V15" si="46">U15/F15</f>
        <v>0.12827394008205817</v>
      </c>
      <c r="W15" s="235">
        <v>1824</v>
      </c>
      <c r="X15" s="101">
        <f t="shared" ref="X15" si="47">W15/F15</f>
        <v>7.844553970015225E-3</v>
      </c>
      <c r="Y15" s="235">
        <v>26261</v>
      </c>
      <c r="Z15" s="101">
        <f t="shared" ref="Z15" si="48">Y15/F15</f>
        <v>0.11294179375360187</v>
      </c>
      <c r="AA15" s="235">
        <v>20219</v>
      </c>
      <c r="AB15" s="101">
        <f t="shared" si="32"/>
        <v>8.6956708727926435E-2</v>
      </c>
      <c r="AC15" s="106">
        <f t="shared" ref="AC15" si="49">SUM(Y15+AA15)</f>
        <v>46480</v>
      </c>
      <c r="AD15" s="101">
        <f t="shared" ref="AD15" si="50">AC15/F15</f>
        <v>0.19989850248152832</v>
      </c>
      <c r="AE15" s="235">
        <v>22584</v>
      </c>
      <c r="AF15" s="101">
        <f t="shared" ref="AF15" si="51">AE15/F15</f>
        <v>9.7127964286635879E-2</v>
      </c>
      <c r="AG15" s="235">
        <v>9289</v>
      </c>
      <c r="AH15" s="101">
        <f t="shared" ref="AH15" si="52">AG15/F15</f>
        <v>3.9949595300148806E-2</v>
      </c>
      <c r="AI15" s="235">
        <v>24259</v>
      </c>
      <c r="AJ15" s="101">
        <f t="shared" ref="AJ15" si="53">AI15/F15</f>
        <v>0.10433170765274086</v>
      </c>
      <c r="AK15" s="235">
        <v>21883</v>
      </c>
      <c r="AL15" s="101">
        <f t="shared" ref="AL15" si="54">AK15/F15</f>
        <v>9.411314392864209E-2</v>
      </c>
    </row>
    <row r="16" spans="1:38" ht="14.25">
      <c r="B16" s="98"/>
      <c r="C16" s="83"/>
      <c r="D16" s="474">
        <f t="shared" si="19"/>
        <v>46122</v>
      </c>
      <c r="E16" s="474" t="s">
        <v>527</v>
      </c>
      <c r="F16" s="88">
        <f t="shared" si="20"/>
        <v>224499</v>
      </c>
      <c r="G16" s="332"/>
      <c r="H16" s="431"/>
      <c r="I16" s="235">
        <v>24323</v>
      </c>
      <c r="J16" s="101">
        <f t="shared" ref="J16:J41" si="55">I16/F16</f>
        <v>0.10834346700876173</v>
      </c>
      <c r="K16" s="235">
        <v>38727</v>
      </c>
      <c r="L16" s="101">
        <f t="shared" ref="L16:L41" si="56">K16/F16</f>
        <v>0.17250410914970668</v>
      </c>
      <c r="M16" s="106">
        <f t="shared" ref="M16:M41" si="57">SUM(I16+K16)</f>
        <v>63050</v>
      </c>
      <c r="N16" s="101">
        <f t="shared" ref="N16:N41" si="58">M16/F16</f>
        <v>0.28084757615846839</v>
      </c>
      <c r="O16" s="235">
        <v>8836</v>
      </c>
      <c r="P16" s="101">
        <f t="shared" ref="P16:P41" si="59">O16/F16</f>
        <v>3.9358749927616607E-2</v>
      </c>
      <c r="Q16" s="235">
        <v>2102</v>
      </c>
      <c r="R16" s="101">
        <f t="shared" si="26"/>
        <v>9.3630706595575035E-3</v>
      </c>
      <c r="S16" s="106">
        <f t="shared" ref="S16:S45" si="60">SUM(O16+Q16)</f>
        <v>10938</v>
      </c>
      <c r="T16" s="101">
        <f t="shared" ref="T16:T41" si="61">S16/F16</f>
        <v>4.8721820587174107E-2</v>
      </c>
      <c r="U16" s="235">
        <v>27939</v>
      </c>
      <c r="V16" s="101">
        <f t="shared" ref="V16:V41" si="62">U16/F16</f>
        <v>0.12445044298638301</v>
      </c>
      <c r="W16" s="235">
        <v>1415</v>
      </c>
      <c r="X16" s="101">
        <f t="shared" ref="X16:X41" si="63">W16/F16</f>
        <v>6.3029233983224872E-3</v>
      </c>
      <c r="Y16" s="235">
        <v>24667</v>
      </c>
      <c r="Z16" s="101">
        <f t="shared" ref="Z16:Z41" si="64">Y16/F16</f>
        <v>0.10987576782079207</v>
      </c>
      <c r="AA16" s="235">
        <v>21898</v>
      </c>
      <c r="AB16" s="101">
        <f t="shared" si="32"/>
        <v>9.7541637156512942E-2</v>
      </c>
      <c r="AC16" s="106">
        <f t="shared" ref="AC16:AC41" si="65">SUM(Y16+AA16)</f>
        <v>46565</v>
      </c>
      <c r="AD16" s="101">
        <f t="shared" ref="AD16:AD41" si="66">AC16/F16</f>
        <v>0.20741740497730501</v>
      </c>
      <c r="AE16" s="235">
        <v>21337</v>
      </c>
      <c r="AF16" s="101">
        <f t="shared" ref="AF16:AF41" si="67">AE16/F16</f>
        <v>9.5042739611312294E-2</v>
      </c>
      <c r="AG16" s="235">
        <v>8112</v>
      </c>
      <c r="AH16" s="101">
        <f t="shared" ref="AH16:AH41" si="68">AG16/F16</f>
        <v>3.613379124183181E-2</v>
      </c>
      <c r="AI16" s="235">
        <v>25134</v>
      </c>
      <c r="AJ16" s="101">
        <f t="shared" ref="AJ16:AJ41" si="69">AI16/F16</f>
        <v>0.11195595526037978</v>
      </c>
      <c r="AK16" s="235">
        <v>20009</v>
      </c>
      <c r="AL16" s="101">
        <f t="shared" ref="AL16:AL41" si="70">AK16/F16</f>
        <v>8.9127345778823072E-2</v>
      </c>
    </row>
    <row r="17" spans="2:38" ht="14.25">
      <c r="B17" s="98"/>
      <c r="C17" s="83"/>
      <c r="D17" s="474">
        <f t="shared" si="19"/>
        <v>46123</v>
      </c>
      <c r="E17" s="474" t="s">
        <v>528</v>
      </c>
      <c r="F17" s="88">
        <f t="shared" si="20"/>
        <v>237989</v>
      </c>
      <c r="G17" s="332"/>
      <c r="H17" s="431"/>
      <c r="I17" s="235">
        <v>23333</v>
      </c>
      <c r="J17" s="101">
        <f t="shared" si="55"/>
        <v>9.8042346495006066E-2</v>
      </c>
      <c r="K17" s="235">
        <v>41504</v>
      </c>
      <c r="L17" s="101">
        <f t="shared" si="56"/>
        <v>0.17439461487715818</v>
      </c>
      <c r="M17" s="106">
        <f t="shared" si="57"/>
        <v>64837</v>
      </c>
      <c r="N17" s="101">
        <f t="shared" si="58"/>
        <v>0.27243696137216428</v>
      </c>
      <c r="O17" s="235">
        <v>8220</v>
      </c>
      <c r="P17" s="101">
        <f t="shared" si="59"/>
        <v>3.4539411485404785E-2</v>
      </c>
      <c r="Q17" s="235">
        <v>1838</v>
      </c>
      <c r="R17" s="101">
        <f t="shared" si="26"/>
        <v>7.7230460231355229E-3</v>
      </c>
      <c r="S17" s="106">
        <f t="shared" si="60"/>
        <v>10058</v>
      </c>
      <c r="T17" s="101">
        <f t="shared" si="61"/>
        <v>4.226245750854031E-2</v>
      </c>
      <c r="U17" s="235">
        <v>29819</v>
      </c>
      <c r="V17" s="101">
        <f t="shared" si="62"/>
        <v>0.12529570694443862</v>
      </c>
      <c r="W17" s="235">
        <v>1656</v>
      </c>
      <c r="X17" s="101">
        <f t="shared" si="63"/>
        <v>6.9583047955997963E-3</v>
      </c>
      <c r="Y17" s="235">
        <v>25441</v>
      </c>
      <c r="Z17" s="101">
        <f t="shared" si="64"/>
        <v>0.10689989873481548</v>
      </c>
      <c r="AA17" s="235">
        <v>22528</v>
      </c>
      <c r="AB17" s="101">
        <f t="shared" si="32"/>
        <v>9.4659837219367285E-2</v>
      </c>
      <c r="AC17" s="106">
        <f t="shared" si="65"/>
        <v>47969</v>
      </c>
      <c r="AD17" s="101">
        <f t="shared" si="66"/>
        <v>0.20155973595418275</v>
      </c>
      <c r="AE17" s="235">
        <v>23174</v>
      </c>
      <c r="AF17" s="101">
        <f t="shared" si="67"/>
        <v>9.7374248389631449E-2</v>
      </c>
      <c r="AG17" s="235">
        <v>8611</v>
      </c>
      <c r="AH17" s="101">
        <f t="shared" si="68"/>
        <v>3.6182344562143628E-2</v>
      </c>
      <c r="AI17" s="235">
        <v>31535</v>
      </c>
      <c r="AJ17" s="101">
        <f t="shared" si="69"/>
        <v>0.13250612423263261</v>
      </c>
      <c r="AK17" s="235">
        <v>20330</v>
      </c>
      <c r="AL17" s="101">
        <f t="shared" si="70"/>
        <v>8.5424116240666592E-2</v>
      </c>
    </row>
    <row r="18" spans="2:38" ht="14.25">
      <c r="B18" s="98"/>
      <c r="C18" s="83"/>
      <c r="D18" s="474">
        <f t="shared" si="19"/>
        <v>46124</v>
      </c>
      <c r="E18" s="474" t="s">
        <v>529</v>
      </c>
      <c r="F18" s="88">
        <f t="shared" si="20"/>
        <v>277628</v>
      </c>
      <c r="G18" s="332"/>
      <c r="H18" s="431"/>
      <c r="I18" s="235">
        <v>29163</v>
      </c>
      <c r="J18" s="101">
        <f t="shared" si="55"/>
        <v>0.10504343942253663</v>
      </c>
      <c r="K18" s="235">
        <v>44273</v>
      </c>
      <c r="L18" s="101">
        <f t="shared" si="56"/>
        <v>0.1594687855691789</v>
      </c>
      <c r="M18" s="106">
        <f t="shared" si="57"/>
        <v>73436</v>
      </c>
      <c r="N18" s="101">
        <f t="shared" si="58"/>
        <v>0.26451222499171551</v>
      </c>
      <c r="O18" s="235">
        <v>11737</v>
      </c>
      <c r="P18" s="101">
        <f t="shared" si="59"/>
        <v>4.2275995216620801E-2</v>
      </c>
      <c r="Q18" s="235">
        <v>2283</v>
      </c>
      <c r="R18" s="101">
        <f t="shared" si="26"/>
        <v>8.2232339677554139E-3</v>
      </c>
      <c r="S18" s="106">
        <f t="shared" si="60"/>
        <v>14020</v>
      </c>
      <c r="T18" s="101">
        <f t="shared" si="61"/>
        <v>5.0499229184376215E-2</v>
      </c>
      <c r="U18" s="235">
        <v>35774</v>
      </c>
      <c r="V18" s="101">
        <f t="shared" si="62"/>
        <v>0.12885587909000534</v>
      </c>
      <c r="W18" s="235">
        <v>1461</v>
      </c>
      <c r="X18" s="101">
        <f t="shared" si="63"/>
        <v>5.2624375063033985E-3</v>
      </c>
      <c r="Y18" s="235">
        <v>30219</v>
      </c>
      <c r="Z18" s="101">
        <f t="shared" si="64"/>
        <v>0.10884709035111732</v>
      </c>
      <c r="AA18" s="235">
        <v>24016</v>
      </c>
      <c r="AB18" s="101">
        <f t="shared" si="32"/>
        <v>8.6504243087872981E-2</v>
      </c>
      <c r="AC18" s="106">
        <f t="shared" si="65"/>
        <v>54235</v>
      </c>
      <c r="AD18" s="101">
        <f t="shared" si="66"/>
        <v>0.1953513334389903</v>
      </c>
      <c r="AE18" s="235">
        <v>27913</v>
      </c>
      <c r="AF18" s="101">
        <f t="shared" si="67"/>
        <v>0.10054101171351593</v>
      </c>
      <c r="AG18" s="235">
        <v>10203</v>
      </c>
      <c r="AH18" s="101">
        <f t="shared" si="68"/>
        <v>3.6750615932110597E-2</v>
      </c>
      <c r="AI18" s="235">
        <v>37980</v>
      </c>
      <c r="AJ18" s="101">
        <f t="shared" si="69"/>
        <v>0.13680176351088508</v>
      </c>
      <c r="AK18" s="235">
        <v>22606</v>
      </c>
      <c r="AL18" s="101">
        <f t="shared" si="70"/>
        <v>8.1425504632097634E-2</v>
      </c>
    </row>
    <row r="19" spans="2:38" ht="14.25">
      <c r="B19" s="98"/>
      <c r="C19" s="83"/>
      <c r="D19" s="474">
        <f t="shared" si="19"/>
        <v>46125</v>
      </c>
      <c r="E19" s="474" t="s">
        <v>523</v>
      </c>
      <c r="F19" s="88">
        <f t="shared" si="20"/>
        <v>281152</v>
      </c>
      <c r="G19" s="332"/>
      <c r="H19" s="431"/>
      <c r="I19" s="235">
        <v>29253</v>
      </c>
      <c r="J19" s="101">
        <f t="shared" si="55"/>
        <v>0.10404692123833371</v>
      </c>
      <c r="K19" s="235">
        <v>52697</v>
      </c>
      <c r="L19" s="101">
        <f t="shared" si="56"/>
        <v>0.18743242089688139</v>
      </c>
      <c r="M19" s="106">
        <f t="shared" si="57"/>
        <v>81950</v>
      </c>
      <c r="N19" s="101">
        <f t="shared" si="58"/>
        <v>0.29147934213521509</v>
      </c>
      <c r="O19" s="235">
        <v>8819</v>
      </c>
      <c r="P19" s="101">
        <f t="shared" si="59"/>
        <v>3.1367374231732303E-2</v>
      </c>
      <c r="Q19" s="235">
        <v>1807</v>
      </c>
      <c r="R19" s="101">
        <f t="shared" si="26"/>
        <v>6.4271283860687454E-3</v>
      </c>
      <c r="S19" s="106">
        <f t="shared" si="60"/>
        <v>10626</v>
      </c>
      <c r="T19" s="101">
        <f t="shared" si="61"/>
        <v>3.7794502617801047E-2</v>
      </c>
      <c r="U19" s="235">
        <v>34838</v>
      </c>
      <c r="V19" s="101">
        <f t="shared" si="62"/>
        <v>0.12391162076030048</v>
      </c>
      <c r="W19" s="235">
        <v>1818</v>
      </c>
      <c r="X19" s="101">
        <f t="shared" si="63"/>
        <v>6.4662531299795132E-3</v>
      </c>
      <c r="Y19" s="235">
        <v>28645</v>
      </c>
      <c r="Z19" s="101">
        <f t="shared" si="64"/>
        <v>0.10188438993853859</v>
      </c>
      <c r="AA19" s="235">
        <v>23262</v>
      </c>
      <c r="AB19" s="101">
        <f t="shared" si="32"/>
        <v>8.2738162986569538E-2</v>
      </c>
      <c r="AC19" s="106">
        <f t="shared" si="65"/>
        <v>51907</v>
      </c>
      <c r="AD19" s="101">
        <f t="shared" si="66"/>
        <v>0.18462255292510812</v>
      </c>
      <c r="AE19" s="235">
        <v>26380</v>
      </c>
      <c r="AF19" s="101">
        <f t="shared" si="67"/>
        <v>9.3828249487821536E-2</v>
      </c>
      <c r="AG19" s="235">
        <v>10289</v>
      </c>
      <c r="AH19" s="101">
        <f t="shared" si="68"/>
        <v>3.6595862736171179E-2</v>
      </c>
      <c r="AI19" s="235">
        <v>39761</v>
      </c>
      <c r="AJ19" s="101">
        <f t="shared" si="69"/>
        <v>0.14142172205781925</v>
      </c>
      <c r="AK19" s="235">
        <v>23583</v>
      </c>
      <c r="AL19" s="101">
        <f t="shared" si="70"/>
        <v>8.3879894149783751E-2</v>
      </c>
    </row>
    <row r="20" spans="2:38" ht="14.25">
      <c r="B20" s="98"/>
      <c r="C20" s="83"/>
      <c r="D20" s="325">
        <f t="shared" si="19"/>
        <v>46126</v>
      </c>
      <c r="E20" s="325" t="s">
        <v>524</v>
      </c>
      <c r="F20" s="88">
        <f t="shared" si="20"/>
        <v>0</v>
      </c>
      <c r="G20" s="332">
        <f>SUM(F20:F26)</f>
        <v>0</v>
      </c>
      <c r="H20" s="431"/>
      <c r="I20" s="235"/>
      <c r="J20" s="101" t="e">
        <f t="shared" si="55"/>
        <v>#DIV/0!</v>
      </c>
      <c r="K20" s="235"/>
      <c r="L20" s="101" t="e">
        <f t="shared" si="56"/>
        <v>#DIV/0!</v>
      </c>
      <c r="M20" s="106">
        <f t="shared" si="57"/>
        <v>0</v>
      </c>
      <c r="N20" s="101" t="e">
        <f t="shared" si="58"/>
        <v>#DIV/0!</v>
      </c>
      <c r="O20" s="235"/>
      <c r="P20" s="101" t="e">
        <f t="shared" si="59"/>
        <v>#DIV/0!</v>
      </c>
      <c r="Q20" s="235"/>
      <c r="R20" s="101" t="e">
        <f t="shared" si="26"/>
        <v>#DIV/0!</v>
      </c>
      <c r="S20" s="106">
        <f t="shared" si="60"/>
        <v>0</v>
      </c>
      <c r="T20" s="101" t="e">
        <f t="shared" si="61"/>
        <v>#DIV/0!</v>
      </c>
      <c r="U20" s="235"/>
      <c r="V20" s="101" t="e">
        <f t="shared" si="62"/>
        <v>#DIV/0!</v>
      </c>
      <c r="W20" s="235"/>
      <c r="X20" s="101" t="e">
        <f t="shared" si="63"/>
        <v>#DIV/0!</v>
      </c>
      <c r="Y20" s="235"/>
      <c r="Z20" s="101" t="e">
        <f t="shared" si="64"/>
        <v>#DIV/0!</v>
      </c>
      <c r="AA20" s="235"/>
      <c r="AB20" s="101" t="e">
        <f t="shared" si="32"/>
        <v>#DIV/0!</v>
      </c>
      <c r="AC20" s="106">
        <f t="shared" si="65"/>
        <v>0</v>
      </c>
      <c r="AD20" s="101" t="e">
        <f t="shared" si="66"/>
        <v>#DIV/0!</v>
      </c>
      <c r="AE20" s="235"/>
      <c r="AF20" s="101" t="e">
        <f t="shared" si="67"/>
        <v>#DIV/0!</v>
      </c>
      <c r="AG20" s="235"/>
      <c r="AH20" s="101" t="e">
        <f t="shared" si="68"/>
        <v>#DIV/0!</v>
      </c>
      <c r="AI20" s="235"/>
      <c r="AJ20" s="101" t="e">
        <f t="shared" si="69"/>
        <v>#DIV/0!</v>
      </c>
      <c r="AK20" s="235"/>
      <c r="AL20" s="101" t="e">
        <f t="shared" si="70"/>
        <v>#DIV/0!</v>
      </c>
    </row>
    <row r="21" spans="2:38" ht="14.25">
      <c r="B21" s="98"/>
      <c r="C21" s="83"/>
      <c r="D21" s="325">
        <f t="shared" si="19"/>
        <v>46127</v>
      </c>
      <c r="E21" s="325" t="s">
        <v>525</v>
      </c>
      <c r="F21" s="88">
        <f t="shared" si="20"/>
        <v>0</v>
      </c>
      <c r="G21" s="332"/>
      <c r="H21" s="431"/>
      <c r="I21" s="235"/>
      <c r="J21" s="101" t="e">
        <f t="shared" si="55"/>
        <v>#DIV/0!</v>
      </c>
      <c r="K21" s="235"/>
      <c r="L21" s="101" t="e">
        <f t="shared" si="56"/>
        <v>#DIV/0!</v>
      </c>
      <c r="M21" s="106">
        <f t="shared" si="57"/>
        <v>0</v>
      </c>
      <c r="N21" s="101" t="e">
        <f t="shared" si="58"/>
        <v>#DIV/0!</v>
      </c>
      <c r="O21" s="235"/>
      <c r="P21" s="101" t="e">
        <f t="shared" si="59"/>
        <v>#DIV/0!</v>
      </c>
      <c r="Q21" s="235"/>
      <c r="R21" s="101" t="e">
        <f t="shared" si="26"/>
        <v>#DIV/0!</v>
      </c>
      <c r="S21" s="106">
        <f t="shared" si="60"/>
        <v>0</v>
      </c>
      <c r="T21" s="101" t="e">
        <f t="shared" si="61"/>
        <v>#DIV/0!</v>
      </c>
      <c r="U21" s="235"/>
      <c r="V21" s="101" t="e">
        <f t="shared" si="62"/>
        <v>#DIV/0!</v>
      </c>
      <c r="W21" s="235"/>
      <c r="X21" s="101" t="e">
        <f t="shared" si="63"/>
        <v>#DIV/0!</v>
      </c>
      <c r="Y21" s="235"/>
      <c r="Z21" s="101" t="e">
        <f t="shared" si="64"/>
        <v>#DIV/0!</v>
      </c>
      <c r="AA21" s="235"/>
      <c r="AB21" s="101" t="e">
        <f t="shared" si="32"/>
        <v>#DIV/0!</v>
      </c>
      <c r="AC21" s="106">
        <f t="shared" si="65"/>
        <v>0</v>
      </c>
      <c r="AD21" s="101" t="e">
        <f t="shared" si="66"/>
        <v>#DIV/0!</v>
      </c>
      <c r="AE21" s="235"/>
      <c r="AF21" s="101" t="e">
        <f t="shared" si="67"/>
        <v>#DIV/0!</v>
      </c>
      <c r="AG21" s="235"/>
      <c r="AH21" s="101" t="e">
        <f t="shared" si="68"/>
        <v>#DIV/0!</v>
      </c>
      <c r="AI21" s="235"/>
      <c r="AJ21" s="101" t="e">
        <f t="shared" si="69"/>
        <v>#DIV/0!</v>
      </c>
      <c r="AK21" s="235"/>
      <c r="AL21" s="101" t="e">
        <f t="shared" si="70"/>
        <v>#DIV/0!</v>
      </c>
    </row>
    <row r="22" spans="2:38" ht="14.25">
      <c r="B22" s="98"/>
      <c r="C22" s="83"/>
      <c r="D22" s="325">
        <f t="shared" si="19"/>
        <v>46128</v>
      </c>
      <c r="E22" s="325" t="s">
        <v>526</v>
      </c>
      <c r="F22" s="88">
        <f t="shared" si="20"/>
        <v>0</v>
      </c>
      <c r="G22" s="332"/>
      <c r="H22" s="431"/>
      <c r="I22" s="235"/>
      <c r="J22" s="101" t="e">
        <f t="shared" si="55"/>
        <v>#DIV/0!</v>
      </c>
      <c r="K22" s="235"/>
      <c r="L22" s="101" t="e">
        <f t="shared" si="56"/>
        <v>#DIV/0!</v>
      </c>
      <c r="M22" s="106">
        <f t="shared" si="57"/>
        <v>0</v>
      </c>
      <c r="N22" s="101" t="e">
        <f t="shared" si="58"/>
        <v>#DIV/0!</v>
      </c>
      <c r="O22" s="235"/>
      <c r="P22" s="101" t="e">
        <f t="shared" si="59"/>
        <v>#DIV/0!</v>
      </c>
      <c r="Q22" s="235"/>
      <c r="R22" s="101" t="e">
        <f t="shared" si="26"/>
        <v>#DIV/0!</v>
      </c>
      <c r="S22" s="106">
        <f t="shared" si="60"/>
        <v>0</v>
      </c>
      <c r="T22" s="101" t="e">
        <f t="shared" si="61"/>
        <v>#DIV/0!</v>
      </c>
      <c r="U22" s="235"/>
      <c r="V22" s="101" t="e">
        <f t="shared" si="62"/>
        <v>#DIV/0!</v>
      </c>
      <c r="W22" s="235"/>
      <c r="X22" s="101" t="e">
        <f t="shared" si="63"/>
        <v>#DIV/0!</v>
      </c>
      <c r="Y22" s="235"/>
      <c r="Z22" s="101" t="e">
        <f t="shared" si="64"/>
        <v>#DIV/0!</v>
      </c>
      <c r="AA22" s="235"/>
      <c r="AB22" s="101" t="e">
        <f t="shared" si="32"/>
        <v>#DIV/0!</v>
      </c>
      <c r="AC22" s="106">
        <f t="shared" si="65"/>
        <v>0</v>
      </c>
      <c r="AD22" s="101" t="e">
        <f t="shared" si="66"/>
        <v>#DIV/0!</v>
      </c>
      <c r="AE22" s="235"/>
      <c r="AF22" s="101" t="e">
        <f t="shared" si="67"/>
        <v>#DIV/0!</v>
      </c>
      <c r="AG22" s="235"/>
      <c r="AH22" s="101" t="e">
        <f t="shared" si="68"/>
        <v>#DIV/0!</v>
      </c>
      <c r="AI22" s="235"/>
      <c r="AJ22" s="101" t="e">
        <f t="shared" si="69"/>
        <v>#DIV/0!</v>
      </c>
      <c r="AK22" s="235"/>
      <c r="AL22" s="101" t="e">
        <f t="shared" si="70"/>
        <v>#DIV/0!</v>
      </c>
    </row>
    <row r="23" spans="2:38" ht="14.25">
      <c r="B23" s="98"/>
      <c r="C23" s="83"/>
      <c r="D23" s="325">
        <f t="shared" si="19"/>
        <v>46129</v>
      </c>
      <c r="E23" s="325" t="s">
        <v>527</v>
      </c>
      <c r="F23" s="88">
        <f t="shared" si="20"/>
        <v>0</v>
      </c>
      <c r="G23" s="332"/>
      <c r="H23" s="431"/>
      <c r="I23" s="235"/>
      <c r="J23" s="101" t="e">
        <f t="shared" si="55"/>
        <v>#DIV/0!</v>
      </c>
      <c r="K23" s="235"/>
      <c r="L23" s="101" t="e">
        <f t="shared" si="56"/>
        <v>#DIV/0!</v>
      </c>
      <c r="M23" s="106">
        <f t="shared" si="57"/>
        <v>0</v>
      </c>
      <c r="N23" s="101" t="e">
        <f t="shared" si="58"/>
        <v>#DIV/0!</v>
      </c>
      <c r="O23" s="235"/>
      <c r="P23" s="101" t="e">
        <f t="shared" si="59"/>
        <v>#DIV/0!</v>
      </c>
      <c r="Q23" s="235"/>
      <c r="R23" s="101" t="e">
        <f t="shared" si="26"/>
        <v>#DIV/0!</v>
      </c>
      <c r="S23" s="106">
        <f t="shared" si="60"/>
        <v>0</v>
      </c>
      <c r="T23" s="101" t="e">
        <f t="shared" si="61"/>
        <v>#DIV/0!</v>
      </c>
      <c r="U23" s="235"/>
      <c r="V23" s="101" t="e">
        <f t="shared" si="62"/>
        <v>#DIV/0!</v>
      </c>
      <c r="W23" s="235"/>
      <c r="X23" s="101" t="e">
        <f t="shared" si="63"/>
        <v>#DIV/0!</v>
      </c>
      <c r="Y23" s="235"/>
      <c r="Z23" s="101" t="e">
        <f t="shared" si="64"/>
        <v>#DIV/0!</v>
      </c>
      <c r="AA23" s="235"/>
      <c r="AB23" s="101" t="e">
        <f t="shared" si="32"/>
        <v>#DIV/0!</v>
      </c>
      <c r="AC23" s="106">
        <f t="shared" si="65"/>
        <v>0</v>
      </c>
      <c r="AD23" s="101" t="e">
        <f t="shared" si="66"/>
        <v>#DIV/0!</v>
      </c>
      <c r="AE23" s="235"/>
      <c r="AF23" s="101" t="e">
        <f t="shared" si="67"/>
        <v>#DIV/0!</v>
      </c>
      <c r="AG23" s="235"/>
      <c r="AH23" s="101" t="e">
        <f t="shared" si="68"/>
        <v>#DIV/0!</v>
      </c>
      <c r="AI23" s="235"/>
      <c r="AJ23" s="101" t="e">
        <f t="shared" si="69"/>
        <v>#DIV/0!</v>
      </c>
      <c r="AK23" s="235"/>
      <c r="AL23" s="101" t="e">
        <f t="shared" si="70"/>
        <v>#DIV/0!</v>
      </c>
    </row>
    <row r="24" spans="2:38" ht="14.25">
      <c r="B24" s="98"/>
      <c r="C24" s="83"/>
      <c r="D24" s="325">
        <f t="shared" si="19"/>
        <v>46130</v>
      </c>
      <c r="E24" s="325" t="s">
        <v>528</v>
      </c>
      <c r="F24" s="88">
        <f t="shared" si="20"/>
        <v>0</v>
      </c>
      <c r="G24" s="332"/>
      <c r="H24" s="431"/>
      <c r="I24" s="235"/>
      <c r="J24" s="101" t="e">
        <f t="shared" si="55"/>
        <v>#DIV/0!</v>
      </c>
      <c r="K24" s="235"/>
      <c r="L24" s="101" t="e">
        <f t="shared" si="56"/>
        <v>#DIV/0!</v>
      </c>
      <c r="M24" s="106">
        <f t="shared" si="57"/>
        <v>0</v>
      </c>
      <c r="N24" s="101" t="e">
        <f t="shared" si="58"/>
        <v>#DIV/0!</v>
      </c>
      <c r="O24" s="235"/>
      <c r="P24" s="101" t="e">
        <f t="shared" si="59"/>
        <v>#DIV/0!</v>
      </c>
      <c r="Q24" s="235"/>
      <c r="R24" s="101" t="e">
        <f t="shared" si="26"/>
        <v>#DIV/0!</v>
      </c>
      <c r="S24" s="106">
        <f t="shared" si="60"/>
        <v>0</v>
      </c>
      <c r="T24" s="101" t="e">
        <f t="shared" si="61"/>
        <v>#DIV/0!</v>
      </c>
      <c r="U24" s="235"/>
      <c r="V24" s="101" t="e">
        <f t="shared" si="62"/>
        <v>#DIV/0!</v>
      </c>
      <c r="W24" s="235"/>
      <c r="X24" s="101" t="e">
        <f t="shared" si="63"/>
        <v>#DIV/0!</v>
      </c>
      <c r="Y24" s="235"/>
      <c r="Z24" s="101" t="e">
        <f t="shared" si="64"/>
        <v>#DIV/0!</v>
      </c>
      <c r="AA24" s="235"/>
      <c r="AB24" s="101" t="e">
        <f t="shared" si="32"/>
        <v>#DIV/0!</v>
      </c>
      <c r="AC24" s="106">
        <f t="shared" si="65"/>
        <v>0</v>
      </c>
      <c r="AD24" s="101" t="e">
        <f t="shared" si="66"/>
        <v>#DIV/0!</v>
      </c>
      <c r="AE24" s="235"/>
      <c r="AF24" s="101" t="e">
        <f t="shared" si="67"/>
        <v>#DIV/0!</v>
      </c>
      <c r="AG24" s="235"/>
      <c r="AH24" s="101" t="e">
        <f t="shared" si="68"/>
        <v>#DIV/0!</v>
      </c>
      <c r="AI24" s="235"/>
      <c r="AJ24" s="101" t="e">
        <f t="shared" si="69"/>
        <v>#DIV/0!</v>
      </c>
      <c r="AK24" s="235"/>
      <c r="AL24" s="101" t="e">
        <f t="shared" si="70"/>
        <v>#DIV/0!</v>
      </c>
    </row>
    <row r="25" spans="2:38" ht="14.25">
      <c r="B25" s="98"/>
      <c r="C25" s="83"/>
      <c r="D25" s="325">
        <f t="shared" si="19"/>
        <v>46131</v>
      </c>
      <c r="E25" s="325" t="s">
        <v>529</v>
      </c>
      <c r="F25" s="88">
        <f t="shared" si="20"/>
        <v>0</v>
      </c>
      <c r="G25" s="332"/>
      <c r="H25" s="431"/>
      <c r="I25" s="235"/>
      <c r="J25" s="101" t="e">
        <f t="shared" si="55"/>
        <v>#DIV/0!</v>
      </c>
      <c r="K25" s="235"/>
      <c r="L25" s="101" t="e">
        <f t="shared" si="56"/>
        <v>#DIV/0!</v>
      </c>
      <c r="M25" s="106">
        <f t="shared" si="57"/>
        <v>0</v>
      </c>
      <c r="N25" s="101" t="e">
        <f t="shared" si="58"/>
        <v>#DIV/0!</v>
      </c>
      <c r="O25" s="235"/>
      <c r="P25" s="101" t="e">
        <f t="shared" si="59"/>
        <v>#DIV/0!</v>
      </c>
      <c r="Q25" s="235"/>
      <c r="R25" s="101" t="e">
        <f t="shared" si="26"/>
        <v>#DIV/0!</v>
      </c>
      <c r="S25" s="106">
        <f t="shared" si="60"/>
        <v>0</v>
      </c>
      <c r="T25" s="101" t="e">
        <f t="shared" si="61"/>
        <v>#DIV/0!</v>
      </c>
      <c r="U25" s="235"/>
      <c r="V25" s="101" t="e">
        <f t="shared" si="62"/>
        <v>#DIV/0!</v>
      </c>
      <c r="W25" s="235"/>
      <c r="X25" s="101" t="e">
        <f t="shared" si="63"/>
        <v>#DIV/0!</v>
      </c>
      <c r="Y25" s="235"/>
      <c r="Z25" s="101" t="e">
        <f t="shared" si="64"/>
        <v>#DIV/0!</v>
      </c>
      <c r="AA25" s="235"/>
      <c r="AB25" s="101" t="e">
        <f t="shared" si="32"/>
        <v>#DIV/0!</v>
      </c>
      <c r="AC25" s="106">
        <f t="shared" si="65"/>
        <v>0</v>
      </c>
      <c r="AD25" s="101" t="e">
        <f t="shared" si="66"/>
        <v>#DIV/0!</v>
      </c>
      <c r="AE25" s="235"/>
      <c r="AF25" s="101" t="e">
        <f t="shared" si="67"/>
        <v>#DIV/0!</v>
      </c>
      <c r="AG25" s="235"/>
      <c r="AH25" s="101" t="e">
        <f t="shared" si="68"/>
        <v>#DIV/0!</v>
      </c>
      <c r="AI25" s="235"/>
      <c r="AJ25" s="101" t="e">
        <f t="shared" si="69"/>
        <v>#DIV/0!</v>
      </c>
      <c r="AK25" s="235"/>
      <c r="AL25" s="101" t="e">
        <f t="shared" si="70"/>
        <v>#DIV/0!</v>
      </c>
    </row>
    <row r="26" spans="2:38" ht="14.25">
      <c r="B26" s="98"/>
      <c r="C26" s="83"/>
      <c r="D26" s="325">
        <f t="shared" si="19"/>
        <v>46132</v>
      </c>
      <c r="E26" s="325" t="s">
        <v>523</v>
      </c>
      <c r="F26" s="88">
        <f t="shared" si="20"/>
        <v>0</v>
      </c>
      <c r="G26" s="332"/>
      <c r="H26" s="431"/>
      <c r="I26" s="235"/>
      <c r="J26" s="101" t="e">
        <f t="shared" si="55"/>
        <v>#DIV/0!</v>
      </c>
      <c r="K26" s="235"/>
      <c r="L26" s="101" t="e">
        <f t="shared" si="56"/>
        <v>#DIV/0!</v>
      </c>
      <c r="M26" s="106">
        <f t="shared" si="57"/>
        <v>0</v>
      </c>
      <c r="N26" s="101" t="e">
        <f t="shared" si="58"/>
        <v>#DIV/0!</v>
      </c>
      <c r="O26" s="235"/>
      <c r="P26" s="101" t="e">
        <f t="shared" si="59"/>
        <v>#DIV/0!</v>
      </c>
      <c r="Q26" s="235"/>
      <c r="R26" s="101" t="e">
        <f t="shared" si="26"/>
        <v>#DIV/0!</v>
      </c>
      <c r="S26" s="106">
        <f t="shared" si="60"/>
        <v>0</v>
      </c>
      <c r="T26" s="101" t="e">
        <f t="shared" si="61"/>
        <v>#DIV/0!</v>
      </c>
      <c r="U26" s="235"/>
      <c r="V26" s="101" t="e">
        <f t="shared" si="62"/>
        <v>#DIV/0!</v>
      </c>
      <c r="W26" s="235"/>
      <c r="X26" s="101" t="e">
        <f t="shared" si="63"/>
        <v>#DIV/0!</v>
      </c>
      <c r="Y26" s="235"/>
      <c r="Z26" s="101" t="e">
        <f t="shared" si="64"/>
        <v>#DIV/0!</v>
      </c>
      <c r="AA26" s="235"/>
      <c r="AB26" s="101" t="e">
        <f t="shared" si="32"/>
        <v>#DIV/0!</v>
      </c>
      <c r="AC26" s="106">
        <f t="shared" si="65"/>
        <v>0</v>
      </c>
      <c r="AD26" s="101" t="e">
        <f t="shared" si="66"/>
        <v>#DIV/0!</v>
      </c>
      <c r="AE26" s="235"/>
      <c r="AF26" s="101" t="e">
        <f t="shared" si="67"/>
        <v>#DIV/0!</v>
      </c>
      <c r="AG26" s="235"/>
      <c r="AH26" s="101" t="e">
        <f t="shared" si="68"/>
        <v>#DIV/0!</v>
      </c>
      <c r="AI26" s="235"/>
      <c r="AJ26" s="101" t="e">
        <f t="shared" si="69"/>
        <v>#DIV/0!</v>
      </c>
      <c r="AK26" s="235"/>
      <c r="AL26" s="101" t="e">
        <f t="shared" si="70"/>
        <v>#DIV/0!</v>
      </c>
    </row>
    <row r="27" spans="2:38" ht="14.25">
      <c r="B27" s="98"/>
      <c r="C27" s="83"/>
      <c r="D27" s="474">
        <f t="shared" si="19"/>
        <v>46133</v>
      </c>
      <c r="E27" s="474" t="s">
        <v>524</v>
      </c>
      <c r="F27" s="88">
        <f t="shared" si="20"/>
        <v>0</v>
      </c>
      <c r="G27" s="332">
        <f>SUM(F27:F33)</f>
        <v>0</v>
      </c>
      <c r="H27" s="431"/>
      <c r="I27" s="235"/>
      <c r="J27" s="101" t="e">
        <f t="shared" si="55"/>
        <v>#DIV/0!</v>
      </c>
      <c r="K27" s="235"/>
      <c r="L27" s="101" t="e">
        <f t="shared" si="56"/>
        <v>#DIV/0!</v>
      </c>
      <c r="M27" s="106">
        <f t="shared" si="57"/>
        <v>0</v>
      </c>
      <c r="N27" s="101" t="e">
        <f t="shared" si="58"/>
        <v>#DIV/0!</v>
      </c>
      <c r="O27" s="235"/>
      <c r="P27" s="101" t="e">
        <f t="shared" si="59"/>
        <v>#DIV/0!</v>
      </c>
      <c r="Q27" s="235"/>
      <c r="R27" s="101" t="e">
        <f t="shared" si="26"/>
        <v>#DIV/0!</v>
      </c>
      <c r="S27" s="106">
        <f t="shared" si="60"/>
        <v>0</v>
      </c>
      <c r="T27" s="101" t="e">
        <f t="shared" si="61"/>
        <v>#DIV/0!</v>
      </c>
      <c r="U27" s="235"/>
      <c r="V27" s="101" t="e">
        <f t="shared" si="62"/>
        <v>#DIV/0!</v>
      </c>
      <c r="W27" s="235"/>
      <c r="X27" s="101" t="e">
        <f t="shared" si="63"/>
        <v>#DIV/0!</v>
      </c>
      <c r="Y27" s="235"/>
      <c r="Z27" s="101" t="e">
        <f t="shared" si="64"/>
        <v>#DIV/0!</v>
      </c>
      <c r="AA27" s="235"/>
      <c r="AB27" s="101" t="e">
        <f t="shared" si="32"/>
        <v>#DIV/0!</v>
      </c>
      <c r="AC27" s="106">
        <f t="shared" si="65"/>
        <v>0</v>
      </c>
      <c r="AD27" s="101" t="e">
        <f t="shared" si="66"/>
        <v>#DIV/0!</v>
      </c>
      <c r="AE27" s="235"/>
      <c r="AF27" s="101" t="e">
        <f t="shared" si="67"/>
        <v>#DIV/0!</v>
      </c>
      <c r="AG27" s="235"/>
      <c r="AH27" s="101" t="e">
        <f t="shared" si="68"/>
        <v>#DIV/0!</v>
      </c>
      <c r="AI27" s="235"/>
      <c r="AJ27" s="101" t="e">
        <f t="shared" si="69"/>
        <v>#DIV/0!</v>
      </c>
      <c r="AK27" s="235"/>
      <c r="AL27" s="101" t="e">
        <f t="shared" si="70"/>
        <v>#DIV/0!</v>
      </c>
    </row>
    <row r="28" spans="2:38" ht="14.25">
      <c r="B28" s="98"/>
      <c r="C28" s="83"/>
      <c r="D28" s="474">
        <f t="shared" si="19"/>
        <v>46134</v>
      </c>
      <c r="E28" s="474" t="s">
        <v>525</v>
      </c>
      <c r="F28" s="88">
        <f t="shared" si="20"/>
        <v>0</v>
      </c>
      <c r="G28" s="332"/>
      <c r="H28" s="431"/>
      <c r="I28" s="235"/>
      <c r="J28" s="101" t="e">
        <f t="shared" si="55"/>
        <v>#DIV/0!</v>
      </c>
      <c r="K28" s="235"/>
      <c r="L28" s="101" t="e">
        <f t="shared" si="56"/>
        <v>#DIV/0!</v>
      </c>
      <c r="M28" s="106">
        <f t="shared" si="57"/>
        <v>0</v>
      </c>
      <c r="N28" s="101" t="e">
        <f t="shared" si="58"/>
        <v>#DIV/0!</v>
      </c>
      <c r="O28" s="235"/>
      <c r="P28" s="101" t="e">
        <f t="shared" si="59"/>
        <v>#DIV/0!</v>
      </c>
      <c r="Q28" s="235"/>
      <c r="R28" s="101" t="e">
        <f t="shared" si="26"/>
        <v>#DIV/0!</v>
      </c>
      <c r="S28" s="106">
        <f t="shared" si="60"/>
        <v>0</v>
      </c>
      <c r="T28" s="101" t="e">
        <f t="shared" si="61"/>
        <v>#DIV/0!</v>
      </c>
      <c r="U28" s="235"/>
      <c r="V28" s="101" t="e">
        <f t="shared" si="62"/>
        <v>#DIV/0!</v>
      </c>
      <c r="W28" s="235"/>
      <c r="X28" s="101" t="e">
        <f t="shared" si="63"/>
        <v>#DIV/0!</v>
      </c>
      <c r="Y28" s="235"/>
      <c r="Z28" s="101" t="e">
        <f t="shared" si="64"/>
        <v>#DIV/0!</v>
      </c>
      <c r="AA28" s="235"/>
      <c r="AB28" s="101" t="e">
        <f t="shared" si="32"/>
        <v>#DIV/0!</v>
      </c>
      <c r="AC28" s="106">
        <f t="shared" si="65"/>
        <v>0</v>
      </c>
      <c r="AD28" s="101" t="e">
        <f t="shared" si="66"/>
        <v>#DIV/0!</v>
      </c>
      <c r="AE28" s="235"/>
      <c r="AF28" s="101" t="e">
        <f t="shared" si="67"/>
        <v>#DIV/0!</v>
      </c>
      <c r="AG28" s="235"/>
      <c r="AH28" s="101" t="e">
        <f t="shared" si="68"/>
        <v>#DIV/0!</v>
      </c>
      <c r="AI28" s="235"/>
      <c r="AJ28" s="101" t="e">
        <f t="shared" si="69"/>
        <v>#DIV/0!</v>
      </c>
      <c r="AK28" s="235"/>
      <c r="AL28" s="101" t="e">
        <f t="shared" si="70"/>
        <v>#DIV/0!</v>
      </c>
    </row>
    <row r="29" spans="2:38" ht="14.25">
      <c r="B29" s="98"/>
      <c r="C29" s="83"/>
      <c r="D29" s="474">
        <f t="shared" si="19"/>
        <v>46135</v>
      </c>
      <c r="E29" s="474" t="s">
        <v>526</v>
      </c>
      <c r="F29" s="88">
        <f t="shared" si="20"/>
        <v>0</v>
      </c>
      <c r="G29" s="332"/>
      <c r="H29" s="431"/>
      <c r="I29" s="235"/>
      <c r="J29" s="101" t="e">
        <f t="shared" si="55"/>
        <v>#DIV/0!</v>
      </c>
      <c r="K29" s="235"/>
      <c r="L29" s="101" t="e">
        <f t="shared" si="56"/>
        <v>#DIV/0!</v>
      </c>
      <c r="M29" s="106">
        <f t="shared" si="57"/>
        <v>0</v>
      </c>
      <c r="N29" s="101" t="e">
        <f t="shared" si="58"/>
        <v>#DIV/0!</v>
      </c>
      <c r="O29" s="235"/>
      <c r="P29" s="101" t="e">
        <f t="shared" si="59"/>
        <v>#DIV/0!</v>
      </c>
      <c r="Q29" s="235"/>
      <c r="R29" s="101" t="e">
        <f t="shared" si="26"/>
        <v>#DIV/0!</v>
      </c>
      <c r="S29" s="106">
        <f t="shared" si="60"/>
        <v>0</v>
      </c>
      <c r="T29" s="101" t="e">
        <f t="shared" si="61"/>
        <v>#DIV/0!</v>
      </c>
      <c r="U29" s="235"/>
      <c r="V29" s="101" t="e">
        <f t="shared" si="62"/>
        <v>#DIV/0!</v>
      </c>
      <c r="W29" s="235"/>
      <c r="X29" s="101" t="e">
        <f t="shared" si="63"/>
        <v>#DIV/0!</v>
      </c>
      <c r="Y29" s="235"/>
      <c r="Z29" s="101" t="e">
        <f t="shared" si="64"/>
        <v>#DIV/0!</v>
      </c>
      <c r="AA29" s="235"/>
      <c r="AB29" s="101" t="e">
        <f t="shared" si="32"/>
        <v>#DIV/0!</v>
      </c>
      <c r="AC29" s="106">
        <f t="shared" si="65"/>
        <v>0</v>
      </c>
      <c r="AD29" s="101" t="e">
        <f t="shared" si="66"/>
        <v>#DIV/0!</v>
      </c>
      <c r="AE29" s="235"/>
      <c r="AF29" s="101" t="e">
        <f t="shared" si="67"/>
        <v>#DIV/0!</v>
      </c>
      <c r="AG29" s="235"/>
      <c r="AH29" s="101" t="e">
        <f t="shared" si="68"/>
        <v>#DIV/0!</v>
      </c>
      <c r="AI29" s="235"/>
      <c r="AJ29" s="101" t="e">
        <f t="shared" si="69"/>
        <v>#DIV/0!</v>
      </c>
      <c r="AK29" s="235"/>
      <c r="AL29" s="101" t="e">
        <f t="shared" si="70"/>
        <v>#DIV/0!</v>
      </c>
    </row>
    <row r="30" spans="2:38" ht="14.25">
      <c r="B30" s="98"/>
      <c r="C30" s="83"/>
      <c r="D30" s="474">
        <f t="shared" si="19"/>
        <v>46136</v>
      </c>
      <c r="E30" s="474" t="s">
        <v>527</v>
      </c>
      <c r="F30" s="88">
        <f t="shared" si="20"/>
        <v>0</v>
      </c>
      <c r="G30" s="332"/>
      <c r="H30" s="431"/>
      <c r="I30" s="235"/>
      <c r="J30" s="101" t="e">
        <f t="shared" si="55"/>
        <v>#DIV/0!</v>
      </c>
      <c r="K30" s="235"/>
      <c r="L30" s="101" t="e">
        <f t="shared" si="56"/>
        <v>#DIV/0!</v>
      </c>
      <c r="M30" s="106">
        <f t="shared" si="57"/>
        <v>0</v>
      </c>
      <c r="N30" s="101" t="e">
        <f t="shared" si="58"/>
        <v>#DIV/0!</v>
      </c>
      <c r="O30" s="235"/>
      <c r="P30" s="101" t="e">
        <f t="shared" si="59"/>
        <v>#DIV/0!</v>
      </c>
      <c r="Q30" s="235"/>
      <c r="R30" s="101" t="e">
        <f t="shared" si="26"/>
        <v>#DIV/0!</v>
      </c>
      <c r="S30" s="106">
        <f t="shared" si="60"/>
        <v>0</v>
      </c>
      <c r="T30" s="101" t="e">
        <f t="shared" si="61"/>
        <v>#DIV/0!</v>
      </c>
      <c r="U30" s="235"/>
      <c r="V30" s="101" t="e">
        <f t="shared" si="62"/>
        <v>#DIV/0!</v>
      </c>
      <c r="W30" s="235"/>
      <c r="X30" s="101" t="e">
        <f t="shared" si="63"/>
        <v>#DIV/0!</v>
      </c>
      <c r="Y30" s="235"/>
      <c r="Z30" s="101" t="e">
        <f t="shared" si="64"/>
        <v>#DIV/0!</v>
      </c>
      <c r="AA30" s="235"/>
      <c r="AB30" s="101" t="e">
        <f t="shared" si="32"/>
        <v>#DIV/0!</v>
      </c>
      <c r="AC30" s="106">
        <f t="shared" si="65"/>
        <v>0</v>
      </c>
      <c r="AD30" s="101" t="e">
        <f t="shared" si="66"/>
        <v>#DIV/0!</v>
      </c>
      <c r="AE30" s="235"/>
      <c r="AF30" s="101" t="e">
        <f t="shared" si="67"/>
        <v>#DIV/0!</v>
      </c>
      <c r="AG30" s="235"/>
      <c r="AH30" s="101" t="e">
        <f t="shared" si="68"/>
        <v>#DIV/0!</v>
      </c>
      <c r="AI30" s="235"/>
      <c r="AJ30" s="101" t="e">
        <f t="shared" si="69"/>
        <v>#DIV/0!</v>
      </c>
      <c r="AK30" s="235"/>
      <c r="AL30" s="101" t="e">
        <f t="shared" si="70"/>
        <v>#DIV/0!</v>
      </c>
    </row>
    <row r="31" spans="2:38" ht="14.25">
      <c r="B31" s="98"/>
      <c r="C31" s="83"/>
      <c r="D31" s="474">
        <f t="shared" si="19"/>
        <v>46137</v>
      </c>
      <c r="E31" s="474" t="s">
        <v>528</v>
      </c>
      <c r="F31" s="88">
        <f t="shared" si="20"/>
        <v>0</v>
      </c>
      <c r="G31" s="332"/>
      <c r="H31" s="431"/>
      <c r="I31" s="235"/>
      <c r="J31" s="101" t="e">
        <f t="shared" si="55"/>
        <v>#DIV/0!</v>
      </c>
      <c r="K31" s="235"/>
      <c r="L31" s="101" t="e">
        <f t="shared" si="56"/>
        <v>#DIV/0!</v>
      </c>
      <c r="M31" s="106">
        <f t="shared" si="57"/>
        <v>0</v>
      </c>
      <c r="N31" s="101" t="e">
        <f t="shared" si="58"/>
        <v>#DIV/0!</v>
      </c>
      <c r="O31" s="235"/>
      <c r="P31" s="101" t="e">
        <f t="shared" si="59"/>
        <v>#DIV/0!</v>
      </c>
      <c r="Q31" s="235"/>
      <c r="R31" s="101" t="e">
        <f t="shared" si="26"/>
        <v>#DIV/0!</v>
      </c>
      <c r="S31" s="106">
        <f t="shared" si="60"/>
        <v>0</v>
      </c>
      <c r="T31" s="101" t="e">
        <f t="shared" si="61"/>
        <v>#DIV/0!</v>
      </c>
      <c r="U31" s="235"/>
      <c r="V31" s="101" t="e">
        <f t="shared" si="62"/>
        <v>#DIV/0!</v>
      </c>
      <c r="W31" s="235"/>
      <c r="X31" s="101" t="e">
        <f t="shared" si="63"/>
        <v>#DIV/0!</v>
      </c>
      <c r="Y31" s="235"/>
      <c r="Z31" s="101" t="e">
        <f t="shared" si="64"/>
        <v>#DIV/0!</v>
      </c>
      <c r="AA31" s="235"/>
      <c r="AB31" s="101" t="e">
        <f t="shared" si="32"/>
        <v>#DIV/0!</v>
      </c>
      <c r="AC31" s="106">
        <f t="shared" si="65"/>
        <v>0</v>
      </c>
      <c r="AD31" s="101" t="e">
        <f t="shared" si="66"/>
        <v>#DIV/0!</v>
      </c>
      <c r="AE31" s="235"/>
      <c r="AF31" s="101" t="e">
        <f t="shared" si="67"/>
        <v>#DIV/0!</v>
      </c>
      <c r="AG31" s="235"/>
      <c r="AH31" s="101" t="e">
        <f t="shared" si="68"/>
        <v>#DIV/0!</v>
      </c>
      <c r="AI31" s="235"/>
      <c r="AJ31" s="101" t="e">
        <f t="shared" si="69"/>
        <v>#DIV/0!</v>
      </c>
      <c r="AK31" s="235"/>
      <c r="AL31" s="101" t="e">
        <f t="shared" si="70"/>
        <v>#DIV/0!</v>
      </c>
    </row>
    <row r="32" spans="2:38" ht="14.25">
      <c r="B32" s="98"/>
      <c r="C32" s="83"/>
      <c r="D32" s="474">
        <f t="shared" si="19"/>
        <v>46138</v>
      </c>
      <c r="E32" s="474" t="s">
        <v>529</v>
      </c>
      <c r="F32" s="88">
        <f t="shared" si="20"/>
        <v>0</v>
      </c>
      <c r="G32" s="332"/>
      <c r="H32" s="431"/>
      <c r="I32" s="235"/>
      <c r="J32" s="101" t="e">
        <f t="shared" si="55"/>
        <v>#DIV/0!</v>
      </c>
      <c r="K32" s="235"/>
      <c r="L32" s="101" t="e">
        <f t="shared" si="56"/>
        <v>#DIV/0!</v>
      </c>
      <c r="M32" s="106">
        <f t="shared" si="57"/>
        <v>0</v>
      </c>
      <c r="N32" s="101" t="e">
        <f t="shared" si="58"/>
        <v>#DIV/0!</v>
      </c>
      <c r="O32" s="235"/>
      <c r="P32" s="101" t="e">
        <f t="shared" si="59"/>
        <v>#DIV/0!</v>
      </c>
      <c r="Q32" s="235"/>
      <c r="R32" s="101" t="e">
        <f t="shared" si="26"/>
        <v>#DIV/0!</v>
      </c>
      <c r="S32" s="106">
        <f t="shared" si="60"/>
        <v>0</v>
      </c>
      <c r="T32" s="101" t="e">
        <f t="shared" si="61"/>
        <v>#DIV/0!</v>
      </c>
      <c r="U32" s="235"/>
      <c r="V32" s="101" t="e">
        <f t="shared" si="62"/>
        <v>#DIV/0!</v>
      </c>
      <c r="W32" s="235"/>
      <c r="X32" s="101" t="e">
        <f t="shared" si="63"/>
        <v>#DIV/0!</v>
      </c>
      <c r="Y32" s="235"/>
      <c r="Z32" s="101" t="e">
        <f t="shared" si="64"/>
        <v>#DIV/0!</v>
      </c>
      <c r="AA32" s="235"/>
      <c r="AB32" s="101" t="e">
        <f t="shared" si="32"/>
        <v>#DIV/0!</v>
      </c>
      <c r="AC32" s="106">
        <f t="shared" si="65"/>
        <v>0</v>
      </c>
      <c r="AD32" s="101" t="e">
        <f t="shared" si="66"/>
        <v>#DIV/0!</v>
      </c>
      <c r="AE32" s="235"/>
      <c r="AF32" s="101" t="e">
        <f t="shared" si="67"/>
        <v>#DIV/0!</v>
      </c>
      <c r="AG32" s="235"/>
      <c r="AH32" s="101" t="e">
        <f t="shared" si="68"/>
        <v>#DIV/0!</v>
      </c>
      <c r="AI32" s="235"/>
      <c r="AJ32" s="101" t="e">
        <f t="shared" si="69"/>
        <v>#DIV/0!</v>
      </c>
      <c r="AK32" s="235"/>
      <c r="AL32" s="101" t="e">
        <f t="shared" si="70"/>
        <v>#DIV/0!</v>
      </c>
    </row>
    <row r="33" spans="2:38" ht="14.25">
      <c r="B33" s="98"/>
      <c r="C33" s="83"/>
      <c r="D33" s="474">
        <f t="shared" si="19"/>
        <v>46139</v>
      </c>
      <c r="E33" s="474" t="s">
        <v>523</v>
      </c>
      <c r="F33" s="88">
        <f t="shared" si="20"/>
        <v>0</v>
      </c>
      <c r="G33" s="332"/>
      <c r="H33" s="431"/>
      <c r="I33" s="235"/>
      <c r="J33" s="101" t="e">
        <f t="shared" si="55"/>
        <v>#DIV/0!</v>
      </c>
      <c r="K33" s="235"/>
      <c r="L33" s="101" t="e">
        <f t="shared" si="56"/>
        <v>#DIV/0!</v>
      </c>
      <c r="M33" s="106">
        <f t="shared" si="57"/>
        <v>0</v>
      </c>
      <c r="N33" s="101" t="e">
        <f t="shared" si="58"/>
        <v>#DIV/0!</v>
      </c>
      <c r="O33" s="235"/>
      <c r="P33" s="101" t="e">
        <f t="shared" si="59"/>
        <v>#DIV/0!</v>
      </c>
      <c r="Q33" s="235"/>
      <c r="R33" s="101" t="e">
        <f t="shared" si="26"/>
        <v>#DIV/0!</v>
      </c>
      <c r="S33" s="106">
        <f t="shared" si="60"/>
        <v>0</v>
      </c>
      <c r="T33" s="101" t="e">
        <f t="shared" si="61"/>
        <v>#DIV/0!</v>
      </c>
      <c r="U33" s="235"/>
      <c r="V33" s="101" t="e">
        <f t="shared" si="62"/>
        <v>#DIV/0!</v>
      </c>
      <c r="W33" s="235"/>
      <c r="X33" s="101" t="e">
        <f t="shared" si="63"/>
        <v>#DIV/0!</v>
      </c>
      <c r="Y33" s="235"/>
      <c r="Z33" s="101" t="e">
        <f t="shared" si="64"/>
        <v>#DIV/0!</v>
      </c>
      <c r="AA33" s="235"/>
      <c r="AB33" s="101" t="e">
        <f t="shared" si="32"/>
        <v>#DIV/0!</v>
      </c>
      <c r="AC33" s="106">
        <f t="shared" si="65"/>
        <v>0</v>
      </c>
      <c r="AD33" s="101" t="e">
        <f t="shared" si="66"/>
        <v>#DIV/0!</v>
      </c>
      <c r="AE33" s="235"/>
      <c r="AF33" s="101" t="e">
        <f t="shared" si="67"/>
        <v>#DIV/0!</v>
      </c>
      <c r="AG33" s="235"/>
      <c r="AH33" s="101" t="e">
        <f t="shared" si="68"/>
        <v>#DIV/0!</v>
      </c>
      <c r="AI33" s="235"/>
      <c r="AJ33" s="101" t="e">
        <f t="shared" si="69"/>
        <v>#DIV/0!</v>
      </c>
      <c r="AK33" s="235"/>
      <c r="AL33" s="101" t="e">
        <f t="shared" si="70"/>
        <v>#DIV/0!</v>
      </c>
    </row>
    <row r="34" spans="2:38" ht="14.25">
      <c r="B34" s="98"/>
      <c r="C34" s="83"/>
      <c r="D34" s="325">
        <f t="shared" si="19"/>
        <v>46140</v>
      </c>
      <c r="E34" s="325" t="s">
        <v>524</v>
      </c>
      <c r="F34" s="88">
        <f t="shared" si="20"/>
        <v>0</v>
      </c>
      <c r="G34" s="332">
        <f>SUM(F34:F40)</f>
        <v>0</v>
      </c>
      <c r="H34" s="431"/>
      <c r="I34" s="235"/>
      <c r="J34" s="101" t="e">
        <f t="shared" si="55"/>
        <v>#DIV/0!</v>
      </c>
      <c r="K34" s="235"/>
      <c r="L34" s="101" t="e">
        <f t="shared" si="56"/>
        <v>#DIV/0!</v>
      </c>
      <c r="M34" s="106">
        <f t="shared" si="57"/>
        <v>0</v>
      </c>
      <c r="N34" s="101" t="e">
        <f t="shared" si="58"/>
        <v>#DIV/0!</v>
      </c>
      <c r="O34" s="235"/>
      <c r="P34" s="101" t="e">
        <f t="shared" si="59"/>
        <v>#DIV/0!</v>
      </c>
      <c r="Q34" s="235"/>
      <c r="R34" s="101" t="e">
        <f t="shared" si="26"/>
        <v>#DIV/0!</v>
      </c>
      <c r="S34" s="106">
        <f t="shared" si="60"/>
        <v>0</v>
      </c>
      <c r="T34" s="101" t="e">
        <f t="shared" si="61"/>
        <v>#DIV/0!</v>
      </c>
      <c r="U34" s="235"/>
      <c r="V34" s="101" t="e">
        <f t="shared" si="62"/>
        <v>#DIV/0!</v>
      </c>
      <c r="W34" s="235"/>
      <c r="X34" s="101" t="e">
        <f t="shared" si="63"/>
        <v>#DIV/0!</v>
      </c>
      <c r="Y34" s="235"/>
      <c r="Z34" s="101" t="e">
        <f t="shared" si="64"/>
        <v>#DIV/0!</v>
      </c>
      <c r="AA34" s="235"/>
      <c r="AB34" s="101" t="e">
        <f t="shared" si="32"/>
        <v>#DIV/0!</v>
      </c>
      <c r="AC34" s="106">
        <f t="shared" si="65"/>
        <v>0</v>
      </c>
      <c r="AD34" s="101" t="e">
        <f t="shared" si="66"/>
        <v>#DIV/0!</v>
      </c>
      <c r="AE34" s="235"/>
      <c r="AF34" s="101" t="e">
        <f t="shared" si="67"/>
        <v>#DIV/0!</v>
      </c>
      <c r="AG34" s="235"/>
      <c r="AH34" s="101" t="e">
        <f t="shared" si="68"/>
        <v>#DIV/0!</v>
      </c>
      <c r="AI34" s="235"/>
      <c r="AJ34" s="101" t="e">
        <f t="shared" si="69"/>
        <v>#DIV/0!</v>
      </c>
      <c r="AK34" s="235"/>
      <c r="AL34" s="101" t="e">
        <f t="shared" si="70"/>
        <v>#DIV/0!</v>
      </c>
    </row>
    <row r="35" spans="2:38" ht="14.25">
      <c r="B35" s="98"/>
      <c r="C35" s="83"/>
      <c r="D35" s="325">
        <f t="shared" si="19"/>
        <v>46141</v>
      </c>
      <c r="E35" s="325" t="s">
        <v>525</v>
      </c>
      <c r="F35" s="88">
        <f t="shared" si="20"/>
        <v>0</v>
      </c>
      <c r="G35" s="332"/>
      <c r="H35" s="431"/>
      <c r="I35" s="235"/>
      <c r="J35" s="101" t="e">
        <f t="shared" si="55"/>
        <v>#DIV/0!</v>
      </c>
      <c r="K35" s="235"/>
      <c r="L35" s="101" t="e">
        <f t="shared" si="56"/>
        <v>#DIV/0!</v>
      </c>
      <c r="M35" s="106">
        <f t="shared" si="57"/>
        <v>0</v>
      </c>
      <c r="N35" s="101" t="e">
        <f t="shared" si="58"/>
        <v>#DIV/0!</v>
      </c>
      <c r="O35" s="235"/>
      <c r="P35" s="101" t="e">
        <f t="shared" si="59"/>
        <v>#DIV/0!</v>
      </c>
      <c r="Q35" s="235"/>
      <c r="R35" s="101" t="e">
        <f t="shared" si="26"/>
        <v>#DIV/0!</v>
      </c>
      <c r="S35" s="106">
        <f t="shared" si="60"/>
        <v>0</v>
      </c>
      <c r="T35" s="101" t="e">
        <f t="shared" si="61"/>
        <v>#DIV/0!</v>
      </c>
      <c r="U35" s="235"/>
      <c r="V35" s="101" t="e">
        <f t="shared" si="62"/>
        <v>#DIV/0!</v>
      </c>
      <c r="W35" s="235"/>
      <c r="X35" s="101" t="e">
        <f t="shared" si="63"/>
        <v>#DIV/0!</v>
      </c>
      <c r="Y35" s="235"/>
      <c r="Z35" s="101" t="e">
        <f t="shared" si="64"/>
        <v>#DIV/0!</v>
      </c>
      <c r="AA35" s="235"/>
      <c r="AB35" s="101" t="e">
        <f t="shared" si="32"/>
        <v>#DIV/0!</v>
      </c>
      <c r="AC35" s="106">
        <f t="shared" si="65"/>
        <v>0</v>
      </c>
      <c r="AD35" s="101" t="e">
        <f t="shared" si="66"/>
        <v>#DIV/0!</v>
      </c>
      <c r="AE35" s="235"/>
      <c r="AF35" s="101" t="e">
        <f t="shared" si="67"/>
        <v>#DIV/0!</v>
      </c>
      <c r="AG35" s="235"/>
      <c r="AH35" s="101" t="e">
        <f t="shared" si="68"/>
        <v>#DIV/0!</v>
      </c>
      <c r="AI35" s="235"/>
      <c r="AJ35" s="101" t="e">
        <f t="shared" si="69"/>
        <v>#DIV/0!</v>
      </c>
      <c r="AK35" s="235"/>
      <c r="AL35" s="101" t="e">
        <f t="shared" si="70"/>
        <v>#DIV/0!</v>
      </c>
    </row>
    <row r="36" spans="2:38" ht="14.25">
      <c r="B36" s="98"/>
      <c r="C36" s="83"/>
      <c r="D36" s="325">
        <f t="shared" si="19"/>
        <v>46142</v>
      </c>
      <c r="E36" s="325" t="s">
        <v>526</v>
      </c>
      <c r="F36" s="88">
        <f t="shared" si="20"/>
        <v>0</v>
      </c>
      <c r="G36" s="332"/>
      <c r="H36" s="431"/>
      <c r="I36" s="235"/>
      <c r="J36" s="101" t="e">
        <f t="shared" si="55"/>
        <v>#DIV/0!</v>
      </c>
      <c r="K36" s="235"/>
      <c r="L36" s="101" t="e">
        <f t="shared" si="56"/>
        <v>#DIV/0!</v>
      </c>
      <c r="M36" s="106">
        <f t="shared" si="57"/>
        <v>0</v>
      </c>
      <c r="N36" s="101" t="e">
        <f t="shared" si="58"/>
        <v>#DIV/0!</v>
      </c>
      <c r="O36" s="235"/>
      <c r="P36" s="101" t="e">
        <f t="shared" si="59"/>
        <v>#DIV/0!</v>
      </c>
      <c r="Q36" s="235"/>
      <c r="R36" s="101" t="e">
        <f t="shared" si="26"/>
        <v>#DIV/0!</v>
      </c>
      <c r="S36" s="106">
        <f t="shared" si="60"/>
        <v>0</v>
      </c>
      <c r="T36" s="101" t="e">
        <f t="shared" si="61"/>
        <v>#DIV/0!</v>
      </c>
      <c r="U36" s="235"/>
      <c r="V36" s="101" t="e">
        <f t="shared" si="62"/>
        <v>#DIV/0!</v>
      </c>
      <c r="W36" s="235"/>
      <c r="X36" s="101" t="e">
        <f t="shared" si="63"/>
        <v>#DIV/0!</v>
      </c>
      <c r="Y36" s="235"/>
      <c r="Z36" s="101" t="e">
        <f t="shared" si="64"/>
        <v>#DIV/0!</v>
      </c>
      <c r="AA36" s="235"/>
      <c r="AB36" s="101" t="e">
        <f t="shared" si="32"/>
        <v>#DIV/0!</v>
      </c>
      <c r="AC36" s="106">
        <f t="shared" si="65"/>
        <v>0</v>
      </c>
      <c r="AD36" s="101" t="e">
        <f t="shared" si="66"/>
        <v>#DIV/0!</v>
      </c>
      <c r="AE36" s="235"/>
      <c r="AF36" s="101" t="e">
        <f t="shared" si="67"/>
        <v>#DIV/0!</v>
      </c>
      <c r="AG36" s="235"/>
      <c r="AH36" s="101" t="e">
        <f t="shared" si="68"/>
        <v>#DIV/0!</v>
      </c>
      <c r="AI36" s="235"/>
      <c r="AJ36" s="101" t="e">
        <f t="shared" si="69"/>
        <v>#DIV/0!</v>
      </c>
      <c r="AK36" s="235"/>
      <c r="AL36" s="101" t="e">
        <f t="shared" si="70"/>
        <v>#DIV/0!</v>
      </c>
    </row>
    <row r="37" spans="2:38" ht="14.25">
      <c r="B37" s="98"/>
      <c r="C37" s="83"/>
      <c r="D37" s="325">
        <f>D36+1</f>
        <v>46143</v>
      </c>
      <c r="E37" s="325" t="s">
        <v>527</v>
      </c>
      <c r="F37" s="88">
        <f t="shared" si="20"/>
        <v>0</v>
      </c>
      <c r="G37" s="332"/>
      <c r="H37" s="431"/>
      <c r="I37" s="235"/>
      <c r="J37" s="101" t="e">
        <f t="shared" si="55"/>
        <v>#DIV/0!</v>
      </c>
      <c r="K37" s="235"/>
      <c r="L37" s="101" t="e">
        <f t="shared" si="56"/>
        <v>#DIV/0!</v>
      </c>
      <c r="M37" s="106">
        <f t="shared" si="57"/>
        <v>0</v>
      </c>
      <c r="N37" s="101" t="e">
        <f t="shared" si="58"/>
        <v>#DIV/0!</v>
      </c>
      <c r="O37" s="235"/>
      <c r="P37" s="101" t="e">
        <f t="shared" si="59"/>
        <v>#DIV/0!</v>
      </c>
      <c r="Q37" s="235"/>
      <c r="R37" s="101" t="e">
        <f t="shared" si="26"/>
        <v>#DIV/0!</v>
      </c>
      <c r="S37" s="106">
        <f t="shared" si="60"/>
        <v>0</v>
      </c>
      <c r="T37" s="101" t="e">
        <f t="shared" si="61"/>
        <v>#DIV/0!</v>
      </c>
      <c r="U37" s="235"/>
      <c r="V37" s="101" t="e">
        <f t="shared" si="62"/>
        <v>#DIV/0!</v>
      </c>
      <c r="W37" s="235"/>
      <c r="X37" s="101" t="e">
        <f t="shared" si="63"/>
        <v>#DIV/0!</v>
      </c>
      <c r="Y37" s="235"/>
      <c r="Z37" s="101" t="e">
        <f t="shared" si="64"/>
        <v>#DIV/0!</v>
      </c>
      <c r="AA37" s="235"/>
      <c r="AB37" s="101" t="e">
        <f t="shared" si="32"/>
        <v>#DIV/0!</v>
      </c>
      <c r="AC37" s="106">
        <f t="shared" si="65"/>
        <v>0</v>
      </c>
      <c r="AD37" s="101" t="e">
        <f t="shared" si="66"/>
        <v>#DIV/0!</v>
      </c>
      <c r="AE37" s="235"/>
      <c r="AF37" s="101" t="e">
        <f t="shared" si="67"/>
        <v>#DIV/0!</v>
      </c>
      <c r="AG37" s="235"/>
      <c r="AH37" s="101" t="e">
        <f t="shared" si="68"/>
        <v>#DIV/0!</v>
      </c>
      <c r="AI37" s="235"/>
      <c r="AJ37" s="101" t="e">
        <f t="shared" si="69"/>
        <v>#DIV/0!</v>
      </c>
      <c r="AK37" s="235"/>
      <c r="AL37" s="101" t="e">
        <f t="shared" si="70"/>
        <v>#DIV/0!</v>
      </c>
    </row>
    <row r="38" spans="2:38" ht="14.25">
      <c r="B38" s="98"/>
      <c r="C38" s="83"/>
      <c r="D38" s="325">
        <f t="shared" ref="D38:D40" si="71">D37+1</f>
        <v>46144</v>
      </c>
      <c r="E38" s="325" t="s">
        <v>528</v>
      </c>
      <c r="F38" s="88">
        <f t="shared" si="20"/>
        <v>0</v>
      </c>
      <c r="G38" s="332"/>
      <c r="H38" s="431"/>
      <c r="I38" s="235"/>
      <c r="J38" s="101" t="e">
        <f t="shared" si="55"/>
        <v>#DIV/0!</v>
      </c>
      <c r="K38" s="235"/>
      <c r="L38" s="101" t="e">
        <f t="shared" si="56"/>
        <v>#DIV/0!</v>
      </c>
      <c r="M38" s="106">
        <f t="shared" si="57"/>
        <v>0</v>
      </c>
      <c r="N38" s="101" t="e">
        <f t="shared" si="58"/>
        <v>#DIV/0!</v>
      </c>
      <c r="O38" s="235"/>
      <c r="P38" s="101" t="e">
        <f t="shared" si="59"/>
        <v>#DIV/0!</v>
      </c>
      <c r="Q38" s="235"/>
      <c r="R38" s="101" t="e">
        <f t="shared" si="26"/>
        <v>#DIV/0!</v>
      </c>
      <c r="S38" s="106">
        <f t="shared" si="60"/>
        <v>0</v>
      </c>
      <c r="T38" s="101" t="e">
        <f t="shared" si="61"/>
        <v>#DIV/0!</v>
      </c>
      <c r="U38" s="235"/>
      <c r="V38" s="101" t="e">
        <f t="shared" si="62"/>
        <v>#DIV/0!</v>
      </c>
      <c r="W38" s="235"/>
      <c r="X38" s="101" t="e">
        <f t="shared" si="63"/>
        <v>#DIV/0!</v>
      </c>
      <c r="Y38" s="235"/>
      <c r="Z38" s="101" t="e">
        <f t="shared" si="64"/>
        <v>#DIV/0!</v>
      </c>
      <c r="AA38" s="235"/>
      <c r="AB38" s="101" t="e">
        <f t="shared" si="32"/>
        <v>#DIV/0!</v>
      </c>
      <c r="AC38" s="106">
        <f t="shared" si="65"/>
        <v>0</v>
      </c>
      <c r="AD38" s="101" t="e">
        <f t="shared" si="66"/>
        <v>#DIV/0!</v>
      </c>
      <c r="AE38" s="235"/>
      <c r="AF38" s="101" t="e">
        <f t="shared" si="67"/>
        <v>#DIV/0!</v>
      </c>
      <c r="AG38" s="235"/>
      <c r="AH38" s="101" t="e">
        <f t="shared" si="68"/>
        <v>#DIV/0!</v>
      </c>
      <c r="AI38" s="235"/>
      <c r="AJ38" s="101" t="e">
        <f t="shared" si="69"/>
        <v>#DIV/0!</v>
      </c>
      <c r="AK38" s="235"/>
      <c r="AL38" s="101" t="e">
        <f t="shared" si="70"/>
        <v>#DIV/0!</v>
      </c>
    </row>
    <row r="39" spans="2:38" s="422" customFormat="1" ht="14.25">
      <c r="B39" s="415"/>
      <c r="C39" s="416"/>
      <c r="D39" s="325">
        <f t="shared" si="71"/>
        <v>46145</v>
      </c>
      <c r="E39" s="325" t="s">
        <v>529</v>
      </c>
      <c r="F39" s="417">
        <f t="shared" si="20"/>
        <v>0</v>
      </c>
      <c r="G39" s="418"/>
      <c r="H39" s="431"/>
      <c r="I39" s="419"/>
      <c r="J39" s="420" t="e">
        <f t="shared" si="55"/>
        <v>#DIV/0!</v>
      </c>
      <c r="K39" s="419"/>
      <c r="L39" s="420" t="e">
        <f t="shared" si="56"/>
        <v>#DIV/0!</v>
      </c>
      <c r="M39" s="421">
        <f t="shared" si="57"/>
        <v>0</v>
      </c>
      <c r="N39" s="420" t="e">
        <f t="shared" si="58"/>
        <v>#DIV/0!</v>
      </c>
      <c r="O39" s="419"/>
      <c r="P39" s="420" t="e">
        <f t="shared" si="59"/>
        <v>#DIV/0!</v>
      </c>
      <c r="Q39" s="419"/>
      <c r="R39" s="420" t="e">
        <f t="shared" si="26"/>
        <v>#DIV/0!</v>
      </c>
      <c r="S39" s="421">
        <f t="shared" si="60"/>
        <v>0</v>
      </c>
      <c r="T39" s="420" t="e">
        <f t="shared" si="61"/>
        <v>#DIV/0!</v>
      </c>
      <c r="U39" s="419"/>
      <c r="V39" s="420" t="e">
        <f t="shared" si="62"/>
        <v>#DIV/0!</v>
      </c>
      <c r="W39" s="419"/>
      <c r="X39" s="420" t="e">
        <f t="shared" si="63"/>
        <v>#DIV/0!</v>
      </c>
      <c r="Y39" s="419"/>
      <c r="Z39" s="420" t="e">
        <f t="shared" si="64"/>
        <v>#DIV/0!</v>
      </c>
      <c r="AA39" s="419"/>
      <c r="AB39" s="420" t="e">
        <f t="shared" si="32"/>
        <v>#DIV/0!</v>
      </c>
      <c r="AC39" s="421">
        <f t="shared" si="65"/>
        <v>0</v>
      </c>
      <c r="AD39" s="420" t="e">
        <f t="shared" si="66"/>
        <v>#DIV/0!</v>
      </c>
      <c r="AE39" s="419"/>
      <c r="AF39" s="420" t="e">
        <f t="shared" si="67"/>
        <v>#DIV/0!</v>
      </c>
      <c r="AG39" s="419"/>
      <c r="AH39" s="420" t="e">
        <f t="shared" si="68"/>
        <v>#DIV/0!</v>
      </c>
      <c r="AI39" s="419"/>
      <c r="AJ39" s="420" t="e">
        <f t="shared" si="69"/>
        <v>#DIV/0!</v>
      </c>
      <c r="AK39" s="419"/>
      <c r="AL39" s="420" t="e">
        <f t="shared" si="70"/>
        <v>#DIV/0!</v>
      </c>
    </row>
    <row r="40" spans="2:38" ht="14.25">
      <c r="B40" s="98"/>
      <c r="C40" s="83"/>
      <c r="D40" s="325">
        <f t="shared" si="71"/>
        <v>46146</v>
      </c>
      <c r="E40" s="325" t="s">
        <v>523</v>
      </c>
      <c r="F40" s="88">
        <f t="shared" si="20"/>
        <v>0</v>
      </c>
      <c r="G40" s="332"/>
      <c r="H40" s="88"/>
      <c r="I40" s="235"/>
      <c r="J40" s="101" t="e">
        <f t="shared" si="55"/>
        <v>#DIV/0!</v>
      </c>
      <c r="K40" s="235"/>
      <c r="L40" s="101" t="e">
        <f t="shared" si="56"/>
        <v>#DIV/0!</v>
      </c>
      <c r="M40" s="106">
        <f t="shared" si="57"/>
        <v>0</v>
      </c>
      <c r="N40" s="101" t="e">
        <f t="shared" si="58"/>
        <v>#DIV/0!</v>
      </c>
      <c r="O40" s="235"/>
      <c r="P40" s="101" t="e">
        <f t="shared" si="59"/>
        <v>#DIV/0!</v>
      </c>
      <c r="Q40" s="235"/>
      <c r="R40" s="101" t="e">
        <f t="shared" si="26"/>
        <v>#DIV/0!</v>
      </c>
      <c r="S40" s="106">
        <f t="shared" si="60"/>
        <v>0</v>
      </c>
      <c r="T40" s="101" t="e">
        <f t="shared" si="61"/>
        <v>#DIV/0!</v>
      </c>
      <c r="U40" s="235"/>
      <c r="V40" s="101" t="e">
        <f t="shared" si="62"/>
        <v>#DIV/0!</v>
      </c>
      <c r="W40" s="235"/>
      <c r="X40" s="101" t="e">
        <f t="shared" si="63"/>
        <v>#DIV/0!</v>
      </c>
      <c r="Y40" s="235"/>
      <c r="Z40" s="101" t="e">
        <f t="shared" si="64"/>
        <v>#DIV/0!</v>
      </c>
      <c r="AA40" s="235"/>
      <c r="AB40" s="101" t="e">
        <f t="shared" si="32"/>
        <v>#DIV/0!</v>
      </c>
      <c r="AC40" s="106">
        <f t="shared" si="65"/>
        <v>0</v>
      </c>
      <c r="AD40" s="101" t="e">
        <f t="shared" si="66"/>
        <v>#DIV/0!</v>
      </c>
      <c r="AE40" s="235"/>
      <c r="AF40" s="101" t="e">
        <f t="shared" si="67"/>
        <v>#DIV/0!</v>
      </c>
      <c r="AG40" s="235"/>
      <c r="AH40" s="101" t="e">
        <f t="shared" si="68"/>
        <v>#DIV/0!</v>
      </c>
      <c r="AI40" s="235"/>
      <c r="AJ40" s="101" t="e">
        <f t="shared" si="69"/>
        <v>#DIV/0!</v>
      </c>
      <c r="AK40" s="235"/>
      <c r="AL40" s="101" t="e">
        <f t="shared" si="70"/>
        <v>#DIV/0!</v>
      </c>
    </row>
    <row r="41" spans="2:38" ht="14.25">
      <c r="B41" s="98"/>
      <c r="C41" s="83"/>
      <c r="D41" s="325"/>
      <c r="E41" s="496"/>
      <c r="F41" s="88">
        <f t="shared" si="20"/>
        <v>0</v>
      </c>
      <c r="G41" s="332"/>
      <c r="H41" s="88"/>
      <c r="I41" s="235"/>
      <c r="J41" s="101" t="e">
        <f t="shared" si="55"/>
        <v>#DIV/0!</v>
      </c>
      <c r="K41" s="235"/>
      <c r="L41" s="101" t="e">
        <f t="shared" si="56"/>
        <v>#DIV/0!</v>
      </c>
      <c r="M41" s="106">
        <f t="shared" si="57"/>
        <v>0</v>
      </c>
      <c r="N41" s="101" t="e">
        <f t="shared" si="58"/>
        <v>#DIV/0!</v>
      </c>
      <c r="O41" s="235"/>
      <c r="P41" s="101" t="e">
        <f t="shared" si="59"/>
        <v>#DIV/0!</v>
      </c>
      <c r="Q41" s="235"/>
      <c r="R41" s="101" t="e">
        <f t="shared" si="26"/>
        <v>#DIV/0!</v>
      </c>
      <c r="S41" s="106">
        <f t="shared" si="60"/>
        <v>0</v>
      </c>
      <c r="T41" s="101" t="e">
        <f t="shared" si="61"/>
        <v>#DIV/0!</v>
      </c>
      <c r="U41" s="235"/>
      <c r="V41" s="101" t="e">
        <f t="shared" si="62"/>
        <v>#DIV/0!</v>
      </c>
      <c r="W41" s="235"/>
      <c r="X41" s="101" t="e">
        <f t="shared" si="63"/>
        <v>#DIV/0!</v>
      </c>
      <c r="Y41" s="235"/>
      <c r="Z41" s="101" t="e">
        <f t="shared" si="64"/>
        <v>#DIV/0!</v>
      </c>
      <c r="AA41" s="235"/>
      <c r="AB41" s="101" t="e">
        <f t="shared" si="32"/>
        <v>#DIV/0!</v>
      </c>
      <c r="AC41" s="106">
        <f t="shared" si="65"/>
        <v>0</v>
      </c>
      <c r="AD41" s="101" t="e">
        <f t="shared" si="66"/>
        <v>#DIV/0!</v>
      </c>
      <c r="AE41" s="235"/>
      <c r="AF41" s="101" t="e">
        <f t="shared" si="67"/>
        <v>#DIV/0!</v>
      </c>
      <c r="AG41" s="235"/>
      <c r="AH41" s="101" t="e">
        <f t="shared" si="68"/>
        <v>#DIV/0!</v>
      </c>
      <c r="AI41" s="235"/>
      <c r="AJ41" s="101" t="e">
        <f t="shared" si="69"/>
        <v>#DIV/0!</v>
      </c>
      <c r="AK41" s="235"/>
      <c r="AL41" s="101" t="e">
        <f t="shared" si="70"/>
        <v>#DIV/0!</v>
      </c>
    </row>
    <row r="42" spans="2:38" ht="14.25">
      <c r="B42" s="98"/>
      <c r="C42" s="83"/>
      <c r="D42" s="325"/>
      <c r="E42" s="496"/>
      <c r="F42" s="88">
        <f t="shared" si="20"/>
        <v>0</v>
      </c>
      <c r="G42" s="332"/>
      <c r="H42" s="88"/>
      <c r="I42" s="235"/>
      <c r="J42" s="101" t="e">
        <f>I42/F42</f>
        <v>#DIV/0!</v>
      </c>
      <c r="K42" s="235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26"/>
        <v>#DIV/0!</v>
      </c>
      <c r="S42" s="106">
        <f t="shared" si="60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32"/>
        <v>#DIV/0!</v>
      </c>
      <c r="AC42" s="106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25"/>
      <c r="E43" s="496"/>
      <c r="F43" s="88">
        <f t="shared" ref="F43" si="72">SUM(M43,S43,U43,W43,AC43,AE43,AG43,AI43,AK43)</f>
        <v>0</v>
      </c>
      <c r="G43" s="332"/>
      <c r="H43" s="88"/>
      <c r="I43" s="235"/>
      <c r="J43" s="101" t="e">
        <f>I43/F43</f>
        <v>#DIV/0!</v>
      </c>
      <c r="K43" s="235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26"/>
        <v>#DIV/0!</v>
      </c>
      <c r="S43" s="106">
        <f t="shared" ref="S43" si="73">SUM(O43+Q43)</f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32"/>
        <v>#DIV/0!</v>
      </c>
      <c r="AC43" s="106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32"/>
      <c r="H44" s="88"/>
      <c r="I44" s="235"/>
      <c r="J44" s="101" t="e">
        <f>I44/F44</f>
        <v>#DIV/0!</v>
      </c>
      <c r="K44" s="235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26"/>
        <v>#DIV/0!</v>
      </c>
      <c r="S44" s="106">
        <f t="shared" si="60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32"/>
        <v>#DIV/0!</v>
      </c>
      <c r="AC44" s="106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32"/>
      <c r="H45" s="88"/>
      <c r="I45" s="235"/>
      <c r="J45" s="101" t="e">
        <f>I45/F45</f>
        <v>#DIV/0!</v>
      </c>
      <c r="K45" s="235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26"/>
        <v>#DIV/0!</v>
      </c>
      <c r="S45" s="106">
        <f t="shared" si="60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32"/>
        <v>#DIV/0!</v>
      </c>
      <c r="AC45" s="106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7">
        <f>SUM(I7:I44)</f>
        <v>334199</v>
      </c>
      <c r="J46" s="286">
        <f>I46/$H$12</f>
        <v>0.10764213103713278</v>
      </c>
      <c r="K46" s="287">
        <f>SUM(K7:K44)</f>
        <v>523678</v>
      </c>
      <c r="L46" s="286">
        <f>K46/$H$12</f>
        <v>0.16867140804509775</v>
      </c>
      <c r="M46" s="287">
        <f>SUM(M7:M44)</f>
        <v>857877</v>
      </c>
      <c r="N46" s="286">
        <f>M46/$H$12</f>
        <v>0.2763135390822305</v>
      </c>
      <c r="O46" s="287">
        <f>SUM(O7:O44)</f>
        <v>94986</v>
      </c>
      <c r="P46" s="286">
        <f>O46/$H$12</f>
        <v>3.059403367063664E-2</v>
      </c>
      <c r="Q46" s="287">
        <f>SUM(Q7:Q44)</f>
        <v>47123</v>
      </c>
      <c r="R46" s="286">
        <f>Q46/$H$12</f>
        <v>1.5177843562855687E-2</v>
      </c>
      <c r="S46" s="287">
        <f>SUM(S7:S44)</f>
        <v>142109</v>
      </c>
      <c r="T46" s="286">
        <f>S46/$H$12</f>
        <v>4.5771877233492325E-2</v>
      </c>
      <c r="U46" s="287">
        <f>SUM(U7:U44)</f>
        <v>390858</v>
      </c>
      <c r="V46" s="286">
        <f>U46/$H$12</f>
        <v>0.12589142413026863</v>
      </c>
      <c r="W46" s="287">
        <f>SUM(W7:W44)</f>
        <v>21594</v>
      </c>
      <c r="X46" s="286">
        <f>W46/$H$12</f>
        <v>6.9552098528596592E-3</v>
      </c>
      <c r="Y46" s="287">
        <f>SUM(Y7:Y44)</f>
        <v>340625</v>
      </c>
      <c r="Z46" s="286">
        <f>Y46/$H$12</f>
        <v>0.10971188089887568</v>
      </c>
      <c r="AA46" s="287">
        <f>SUM(AA7:AA44)</f>
        <v>284928</v>
      </c>
      <c r="AB46" s="286">
        <f>AA46/$H$12</f>
        <v>9.1772438314142682E-2</v>
      </c>
      <c r="AC46" s="287">
        <f>SUM(AC7:AC44)</f>
        <v>625553</v>
      </c>
      <c r="AD46" s="286">
        <f>AC46/$H$12</f>
        <v>0.20148431921301835</v>
      </c>
      <c r="AE46" s="287">
        <f>SUM(AE7:AE44)</f>
        <v>297631</v>
      </c>
      <c r="AF46" s="286">
        <f>AE46/$H$12</f>
        <v>9.5863946638717848E-2</v>
      </c>
      <c r="AG46" s="287">
        <f>SUM(AG7:AG44)</f>
        <v>107724</v>
      </c>
      <c r="AH46" s="286">
        <f>AG46/$H$12</f>
        <v>3.4696815142606925E-2</v>
      </c>
      <c r="AI46" s="287">
        <f>SUM(AI7:AI44)</f>
        <v>378237</v>
      </c>
      <c r="AJ46" s="286">
        <f>AI46/$H$12</f>
        <v>0.12182632717959058</v>
      </c>
      <c r="AK46" s="287">
        <f>SUM(AK7:AK44)</f>
        <v>283140</v>
      </c>
      <c r="AL46" s="286">
        <f>AK46/$H$12</f>
        <v>9.1196541527215153E-2</v>
      </c>
    </row>
    <row r="47" spans="2:38" ht="14.25">
      <c r="B47" s="98"/>
      <c r="C47" s="83"/>
      <c r="D47" s="84"/>
      <c r="F47" s="88"/>
      <c r="G47" s="88"/>
      <c r="H47" s="88"/>
      <c r="M47" s="288">
        <f>M46</f>
        <v>857877</v>
      </c>
      <c r="S47" s="288">
        <f>S46</f>
        <v>142109</v>
      </c>
      <c r="U47" s="288">
        <f>U46</f>
        <v>390858</v>
      </c>
      <c r="W47" s="288">
        <f>W46</f>
        <v>21594</v>
      </c>
      <c r="Y47" s="288"/>
      <c r="AA47" s="288"/>
      <c r="AC47" s="288">
        <f>AC46</f>
        <v>625553</v>
      </c>
      <c r="AE47" s="288">
        <f>AE46</f>
        <v>297631</v>
      </c>
      <c r="AG47" s="288">
        <f>AG46</f>
        <v>107724</v>
      </c>
      <c r="AI47" s="288">
        <f>AI46</f>
        <v>378237</v>
      </c>
      <c r="AK47" s="288">
        <f>AK46</f>
        <v>283140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zoomScale="40" zoomScaleNormal="40" workbookViewId="0">
      <pane xSplit="15" topLeftCell="P1" activePane="topRight" state="frozen"/>
      <selection activeCell="P2" sqref="P2:AN2"/>
      <selection pane="topRight" activeCell="T42" activeCellId="6" sqref="AW42:AX71 AR42:AS71 AM42:AN71 AH42:AI71 AC42:AD71 X42:Y71 S42:T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333</v>
      </c>
      <c r="C1" s="220">
        <f>AVERAGE(L7,L42,L77,L112,L147,L182)</f>
        <v>753.90179872979888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21" t="s">
        <v>158</v>
      </c>
      <c r="Q3" s="622"/>
      <c r="R3" s="622"/>
      <c r="S3" s="622"/>
      <c r="T3" s="622"/>
      <c r="U3" s="621" t="s">
        <v>114</v>
      </c>
      <c r="V3" s="622"/>
      <c r="W3" s="622"/>
      <c r="X3" s="622"/>
      <c r="Y3" s="622"/>
      <c r="Z3" s="621" t="s">
        <v>159</v>
      </c>
      <c r="AA3" s="622"/>
      <c r="AB3" s="622"/>
      <c r="AC3" s="622"/>
      <c r="AD3" s="622"/>
      <c r="AE3" s="621" t="s">
        <v>157</v>
      </c>
      <c r="AF3" s="622"/>
      <c r="AG3" s="622"/>
      <c r="AH3" s="622"/>
      <c r="AI3" s="622"/>
      <c r="AJ3" s="621" t="s">
        <v>160</v>
      </c>
      <c r="AK3" s="622"/>
      <c r="AL3" s="622"/>
      <c r="AM3" s="622"/>
      <c r="AN3" s="622"/>
      <c r="AO3" s="621" t="s">
        <v>115</v>
      </c>
      <c r="AP3" s="622"/>
      <c r="AQ3" s="622"/>
      <c r="AR3" s="622"/>
      <c r="AS3" s="622"/>
      <c r="AT3" s="621" t="s">
        <v>162</v>
      </c>
      <c r="AU3" s="622"/>
      <c r="AV3" s="622"/>
      <c r="AW3" s="622"/>
      <c r="AX3" s="622"/>
    </row>
    <row r="4" spans="1:53" ht="14.25">
      <c r="A4" s="81"/>
      <c r="B4" s="614" t="s">
        <v>398</v>
      </c>
      <c r="C4" s="614" t="s">
        <v>408</v>
      </c>
      <c r="D4" s="614"/>
      <c r="E4" s="614" t="s">
        <v>399</v>
      </c>
      <c r="F4" s="614"/>
      <c r="G4" s="614"/>
      <c r="H4" s="630" t="s">
        <v>395</v>
      </c>
      <c r="I4" s="598" t="s">
        <v>428</v>
      </c>
      <c r="J4" s="598"/>
      <c r="K4" s="598"/>
      <c r="L4" s="599" t="s">
        <v>395</v>
      </c>
      <c r="M4" s="605" t="s">
        <v>429</v>
      </c>
      <c r="N4" s="614"/>
      <c r="O4" s="614" t="s">
        <v>401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432</v>
      </c>
      <c r="F5" s="614"/>
      <c r="G5" s="614"/>
      <c r="H5" s="631"/>
      <c r="I5" s="598" t="s">
        <v>432</v>
      </c>
      <c r="J5" s="598"/>
      <c r="K5" s="598"/>
      <c r="L5" s="600"/>
      <c r="M5" s="606"/>
      <c r="N5" s="614"/>
      <c r="O5" s="614"/>
      <c r="P5" s="611" t="s">
        <v>403</v>
      </c>
      <c r="Q5" s="612"/>
      <c r="R5" s="612"/>
      <c r="S5" s="613"/>
      <c r="T5" s="614"/>
      <c r="U5" s="611" t="s">
        <v>403</v>
      </c>
      <c r="V5" s="612"/>
      <c r="W5" s="612"/>
      <c r="X5" s="613"/>
      <c r="Y5" s="614"/>
      <c r="Z5" s="611" t="s">
        <v>403</v>
      </c>
      <c r="AA5" s="612"/>
      <c r="AB5" s="612"/>
      <c r="AC5" s="613"/>
      <c r="AD5" s="614"/>
      <c r="AE5" s="611" t="s">
        <v>403</v>
      </c>
      <c r="AF5" s="612"/>
      <c r="AG5" s="612"/>
      <c r="AH5" s="613"/>
      <c r="AI5" s="614"/>
      <c r="AJ5" s="611" t="s">
        <v>403</v>
      </c>
      <c r="AK5" s="612"/>
      <c r="AL5" s="612"/>
      <c r="AM5" s="613"/>
      <c r="AN5" s="614"/>
      <c r="AO5" s="611" t="s">
        <v>403</v>
      </c>
      <c r="AP5" s="612"/>
      <c r="AQ5" s="612"/>
      <c r="AR5" s="613"/>
      <c r="AS5" s="614"/>
      <c r="AT5" s="611" t="s">
        <v>403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93" t="s">
        <v>434</v>
      </c>
      <c r="F6" s="493" t="s">
        <v>405</v>
      </c>
      <c r="G6" s="493" t="s">
        <v>406</v>
      </c>
      <c r="H6" s="632"/>
      <c r="I6" s="494" t="s">
        <v>434</v>
      </c>
      <c r="J6" s="494" t="s">
        <v>405</v>
      </c>
      <c r="K6" s="494" t="s">
        <v>406</v>
      </c>
      <c r="L6" s="601"/>
      <c r="M6" s="607"/>
      <c r="N6" s="614"/>
      <c r="O6" s="614"/>
      <c r="P6" s="493" t="s">
        <v>434</v>
      </c>
      <c r="Q6" s="493" t="s">
        <v>405</v>
      </c>
      <c r="R6" s="493" t="s">
        <v>406</v>
      </c>
      <c r="S6" s="493" t="s">
        <v>429</v>
      </c>
      <c r="T6" s="614"/>
      <c r="U6" s="493" t="s">
        <v>434</v>
      </c>
      <c r="V6" s="493" t="s">
        <v>405</v>
      </c>
      <c r="W6" s="493" t="s">
        <v>406</v>
      </c>
      <c r="X6" s="493" t="s">
        <v>429</v>
      </c>
      <c r="Y6" s="614"/>
      <c r="Z6" s="493" t="s">
        <v>434</v>
      </c>
      <c r="AA6" s="493" t="s">
        <v>405</v>
      </c>
      <c r="AB6" s="493" t="s">
        <v>406</v>
      </c>
      <c r="AC6" s="493" t="s">
        <v>429</v>
      </c>
      <c r="AD6" s="614"/>
      <c r="AE6" s="493" t="s">
        <v>434</v>
      </c>
      <c r="AF6" s="493" t="s">
        <v>405</v>
      </c>
      <c r="AG6" s="493" t="s">
        <v>406</v>
      </c>
      <c r="AH6" s="493" t="s">
        <v>429</v>
      </c>
      <c r="AI6" s="614"/>
      <c r="AJ6" s="493" t="s">
        <v>434</v>
      </c>
      <c r="AK6" s="493" t="s">
        <v>405</v>
      </c>
      <c r="AL6" s="493" t="s">
        <v>406</v>
      </c>
      <c r="AM6" s="493" t="s">
        <v>429</v>
      </c>
      <c r="AN6" s="614"/>
      <c r="AO6" s="493" t="s">
        <v>434</v>
      </c>
      <c r="AP6" s="493" t="s">
        <v>405</v>
      </c>
      <c r="AQ6" s="493" t="s">
        <v>406</v>
      </c>
      <c r="AR6" s="493" t="s">
        <v>429</v>
      </c>
      <c r="AS6" s="614"/>
      <c r="AT6" s="493" t="s">
        <v>434</v>
      </c>
      <c r="AU6" s="493" t="s">
        <v>405</v>
      </c>
      <c r="AV6" s="493" t="s">
        <v>406</v>
      </c>
      <c r="AW6" s="493" t="s">
        <v>429</v>
      </c>
      <c r="AX6" s="614"/>
      <c r="AZ6" s="530" t="s">
        <v>396</v>
      </c>
      <c r="BA6" s="614"/>
    </row>
    <row r="7" spans="1:53" ht="14.25">
      <c r="A7" s="81"/>
      <c r="B7" s="622" t="s">
        <v>150</v>
      </c>
      <c r="C7" s="490">
        <v>1</v>
      </c>
      <c r="D7" s="505" t="s">
        <v>358</v>
      </c>
      <c r="E7" s="505">
        <v>3</v>
      </c>
      <c r="F7" s="505">
        <v>3200</v>
      </c>
      <c r="G7" s="182">
        <v>1066.6666666666667</v>
      </c>
      <c r="H7" s="623">
        <f>AVERAGE(G7:G36)</f>
        <v>716.09848484848487</v>
      </c>
      <c r="I7" s="492">
        <f>IFERROR(AVERAGE(P7,U7,Z7,AE7,AJ7,AO7,AT7),"-")</f>
        <v>3</v>
      </c>
      <c r="J7" s="492">
        <f>IFERROR(AVERAGE(Q7,V7,AA7,AF7,AK7,AP7,AU7),"-")</f>
        <v>3225.2761582060079</v>
      </c>
      <c r="K7" s="200">
        <f>IFERROR(AVERAGE(R7,W7,AB7,AG7,AL7,AQ7,AV7),"-")</f>
        <v>1075.092052735336</v>
      </c>
      <c r="L7" s="595">
        <f>IFERROR(AVERAGE(K7:K36),"-")</f>
        <v>745.73597135820273</v>
      </c>
      <c r="M7" s="492">
        <f>RANK(K7, K$7:$K$36)</f>
        <v>3</v>
      </c>
      <c r="N7" s="614"/>
      <c r="O7" s="614"/>
      <c r="P7" s="182">
        <v>3</v>
      </c>
      <c r="Q7" s="182">
        <v>3212.0689655172391</v>
      </c>
      <c r="R7" s="182">
        <v>1070.689655172413</v>
      </c>
      <c r="S7" s="490">
        <f>RANK(R7, R$7:R$36)</f>
        <v>1</v>
      </c>
      <c r="T7" s="636">
        <f>AVERAGE(R7:R36)</f>
        <v>732.33803664053391</v>
      </c>
      <c r="U7" s="182">
        <v>3</v>
      </c>
      <c r="V7" s="182">
        <v>3324.0000000000009</v>
      </c>
      <c r="W7" s="182">
        <v>1108.0000000000002</v>
      </c>
      <c r="X7" s="490">
        <f>RANK(W7, W$7:W$36)</f>
        <v>3</v>
      </c>
      <c r="Y7" s="636">
        <f>AVERAGE(W7:W36)</f>
        <v>766.90536984143444</v>
      </c>
      <c r="Z7" s="182">
        <v>3</v>
      </c>
      <c r="AA7" s="182">
        <v>3187.8260869565161</v>
      </c>
      <c r="AB7" s="182">
        <v>1062.6086956521719</v>
      </c>
      <c r="AC7" s="490">
        <f>RANK(AB7, AB$7:AB$36)</f>
        <v>3</v>
      </c>
      <c r="AD7" s="636">
        <f>AVERAGE(AB7:AB36)</f>
        <v>735.97777497051163</v>
      </c>
      <c r="AE7" s="182">
        <v>3</v>
      </c>
      <c r="AF7" s="182">
        <v>3210.666666666667</v>
      </c>
      <c r="AG7" s="182">
        <v>1070.2222222222224</v>
      </c>
      <c r="AH7" s="490">
        <f>RANK(AG7, AG$7:AG$36)</f>
        <v>5</v>
      </c>
      <c r="AI7" s="636">
        <f>AVERAGE(AG7:AG36)</f>
        <v>750.52757486944768</v>
      </c>
      <c r="AJ7" s="182">
        <v>3</v>
      </c>
      <c r="AK7" s="182">
        <v>3277.6744186046508</v>
      </c>
      <c r="AL7" s="182">
        <v>1092.5581395348836</v>
      </c>
      <c r="AM7" s="490">
        <f>RANK(AL7, AL$7:AL$36)</f>
        <v>2</v>
      </c>
      <c r="AN7" s="636">
        <f>AVERAGE(AL7:AL36)</f>
        <v>756.05684711165475</v>
      </c>
      <c r="AO7" s="182">
        <v>3</v>
      </c>
      <c r="AP7" s="182">
        <v>3211.3636363636419</v>
      </c>
      <c r="AQ7" s="182">
        <v>1070.4545454545473</v>
      </c>
      <c r="AR7" s="490">
        <f>RANK(AQ7, AQ$7:AQ$36)</f>
        <v>5</v>
      </c>
      <c r="AS7" s="636">
        <f>AVERAGE(AQ7:AQ36)</f>
        <v>751.12441341710439</v>
      </c>
      <c r="AT7" s="182">
        <v>3</v>
      </c>
      <c r="AU7" s="182">
        <v>3153.3333333333399</v>
      </c>
      <c r="AV7" s="182">
        <v>1051.1111111111134</v>
      </c>
      <c r="AW7" s="490">
        <f>RANK(AV7, AV$7:AV$36)</f>
        <v>5</v>
      </c>
      <c r="AX7" s="636">
        <f>AVERAGE(AV7:AV36)</f>
        <v>728.43642536827736</v>
      </c>
      <c r="AZ7" s="529" t="e">
        <f>RANK(AY7, AY$7:AY$36)</f>
        <v>#N/A</v>
      </c>
      <c r="BA7" s="636" t="e">
        <f>AVERAGE(AY7:AY36)</f>
        <v>#DIV/0!</v>
      </c>
    </row>
    <row r="8" spans="1:53" ht="15" customHeight="1">
      <c r="A8" s="81"/>
      <c r="B8" s="622"/>
      <c r="C8" s="490">
        <v>2</v>
      </c>
      <c r="D8" s="507" t="s">
        <v>359</v>
      </c>
      <c r="E8" s="505">
        <v>3</v>
      </c>
      <c r="F8" s="505">
        <v>3200</v>
      </c>
      <c r="G8" s="182">
        <v>1066.6666666666667</v>
      </c>
      <c r="H8" s="624"/>
      <c r="I8" s="516">
        <f t="shared" ref="I8:I36" si="0">IFERROR(AVERAGE(P8,U8,Z8,AE8,AJ8,AO8,AT8),"-")</f>
        <v>3</v>
      </c>
      <c r="J8" s="516">
        <f t="shared" ref="J8:J36" si="1">IFERROR(AVERAGE(Q8,V8,AA8,AF8,AK8,AP8,AU8),"-")</f>
        <v>3258.1715609320649</v>
      </c>
      <c r="K8" s="200">
        <f t="shared" ref="K8:K36" si="2">IFERROR(AVERAGE(R8,W8,AB8,AG8,AL8,AQ8,AV8),"-")</f>
        <v>1086.0571869773551</v>
      </c>
      <c r="L8" s="596"/>
      <c r="M8" s="516">
        <f>RANK(K8, K$7:$K$36)</f>
        <v>1</v>
      </c>
      <c r="N8" s="614"/>
      <c r="O8" s="614"/>
      <c r="P8" s="182">
        <v>3</v>
      </c>
      <c r="Q8" s="182">
        <v>3066.6666666666501</v>
      </c>
      <c r="R8" s="182">
        <v>1022.2222222222167</v>
      </c>
      <c r="S8" s="490">
        <f t="shared" ref="S8:S36" si="3">RANK(R8, R$7:R$36)</f>
        <v>6</v>
      </c>
      <c r="T8" s="636"/>
      <c r="U8" s="182">
        <v>3</v>
      </c>
      <c r="V8" s="182">
        <v>3367.4999999999955</v>
      </c>
      <c r="W8" s="182">
        <v>1122.4999999999984</v>
      </c>
      <c r="X8" s="490">
        <f t="shared" ref="X8:X36" si="4">RANK(W8, W$7:W$36)</f>
        <v>2</v>
      </c>
      <c r="Y8" s="636"/>
      <c r="Z8" s="182">
        <v>3</v>
      </c>
      <c r="AA8" s="182">
        <v>3184.0000000000114</v>
      </c>
      <c r="AB8" s="182">
        <v>1061.3333333333371</v>
      </c>
      <c r="AC8" s="490">
        <f t="shared" ref="AC8:AC36" si="5">RANK(AB8, AB$7:AB$36)</f>
        <v>4</v>
      </c>
      <c r="AD8" s="636"/>
      <c r="AE8" s="182">
        <v>3</v>
      </c>
      <c r="AF8" s="182">
        <v>3377.1428571428692</v>
      </c>
      <c r="AG8" s="182">
        <v>1125.7142857142896</v>
      </c>
      <c r="AH8" s="490">
        <f t="shared" ref="AH8:AH36" si="6">RANK(AG8, AG$7:AG$36)</f>
        <v>1</v>
      </c>
      <c r="AI8" s="636"/>
      <c r="AJ8" s="182">
        <v>3</v>
      </c>
      <c r="AK8" s="182">
        <v>3341.5384615384528</v>
      </c>
      <c r="AL8" s="182">
        <v>1113.8461538461509</v>
      </c>
      <c r="AM8" s="490">
        <f t="shared" ref="AM8:AM36" si="7">RANK(AL8, AL$7:AL$36)</f>
        <v>1</v>
      </c>
      <c r="AN8" s="636"/>
      <c r="AO8" s="182">
        <v>3</v>
      </c>
      <c r="AP8" s="182">
        <v>3308.0000000000118</v>
      </c>
      <c r="AQ8" s="182">
        <v>1102.6666666666706</v>
      </c>
      <c r="AR8" s="490">
        <f t="shared" ref="AR8:AR36" si="8">RANK(AQ8, AQ$7:AQ$36)</f>
        <v>2</v>
      </c>
      <c r="AS8" s="636"/>
      <c r="AT8" s="182">
        <v>3</v>
      </c>
      <c r="AU8" s="182">
        <v>3162.3529411764666</v>
      </c>
      <c r="AV8" s="182">
        <v>1054.1176470588223</v>
      </c>
      <c r="AW8" s="490">
        <f t="shared" ref="AW8:AW36" si="9">RANK(AV8, AV$7:AV$36)</f>
        <v>3</v>
      </c>
      <c r="AX8" s="636"/>
      <c r="AZ8" s="529" t="e">
        <f t="shared" ref="AZ8:AZ36" si="10">RANK(AY8, AY$7:AY$36)</f>
        <v>#N/A</v>
      </c>
      <c r="BA8" s="636"/>
    </row>
    <row r="9" spans="1:53" ht="14.25">
      <c r="A9" s="81"/>
      <c r="B9" s="622"/>
      <c r="C9" s="490">
        <v>3</v>
      </c>
      <c r="D9" s="505" t="s">
        <v>348</v>
      </c>
      <c r="E9" s="505">
        <v>4</v>
      </c>
      <c r="F9" s="505">
        <v>3200</v>
      </c>
      <c r="G9" s="182">
        <v>800</v>
      </c>
      <c r="H9" s="624"/>
      <c r="I9" s="516">
        <f t="shared" si="0"/>
        <v>4</v>
      </c>
      <c r="J9" s="516">
        <f t="shared" si="1"/>
        <v>3213.2360365198788</v>
      </c>
      <c r="K9" s="200">
        <f t="shared" si="2"/>
        <v>803.3090091299697</v>
      </c>
      <c r="L9" s="596"/>
      <c r="M9" s="516">
        <f>RANK(K9, K$7:$K$36)</f>
        <v>11</v>
      </c>
      <c r="N9" s="614"/>
      <c r="O9" s="614"/>
      <c r="P9" s="182">
        <v>4</v>
      </c>
      <c r="Q9" s="182">
        <v>3195.7894736842222</v>
      </c>
      <c r="R9" s="182">
        <v>798.94736842105556</v>
      </c>
      <c r="S9" s="490">
        <f t="shared" si="3"/>
        <v>8</v>
      </c>
      <c r="T9" s="636"/>
      <c r="U9" s="182">
        <v>4</v>
      </c>
      <c r="V9" s="182">
        <v>3289.9999999999977</v>
      </c>
      <c r="W9" s="182">
        <v>822.49999999999943</v>
      </c>
      <c r="X9" s="490">
        <f t="shared" si="4"/>
        <v>10</v>
      </c>
      <c r="Y9" s="636"/>
      <c r="Z9" s="182">
        <v>4</v>
      </c>
      <c r="AA9" s="182">
        <v>3063.7500000000109</v>
      </c>
      <c r="AB9" s="182">
        <v>765.93750000000273</v>
      </c>
      <c r="AC9" s="490">
        <f t="shared" si="5"/>
        <v>12</v>
      </c>
      <c r="AD9" s="636"/>
      <c r="AE9" s="182">
        <v>4</v>
      </c>
      <c r="AF9" s="182">
        <v>3292.0000000000114</v>
      </c>
      <c r="AG9" s="182">
        <v>823.00000000000284</v>
      </c>
      <c r="AH9" s="490">
        <f t="shared" si="6"/>
        <v>9</v>
      </c>
      <c r="AI9" s="636"/>
      <c r="AJ9" s="182">
        <v>4</v>
      </c>
      <c r="AK9" s="182">
        <v>3321.4285714285834</v>
      </c>
      <c r="AL9" s="182">
        <v>830.35714285714585</v>
      </c>
      <c r="AM9" s="490">
        <f t="shared" si="7"/>
        <v>9</v>
      </c>
      <c r="AN9" s="636"/>
      <c r="AO9" s="182">
        <v>4</v>
      </c>
      <c r="AP9" s="182">
        <v>3216.0000000000118</v>
      </c>
      <c r="AQ9" s="182">
        <v>804.00000000000296</v>
      </c>
      <c r="AR9" s="490">
        <f t="shared" si="8"/>
        <v>12</v>
      </c>
      <c r="AS9" s="636"/>
      <c r="AT9" s="182">
        <v>4</v>
      </c>
      <c r="AU9" s="182">
        <v>3113.6842105263136</v>
      </c>
      <c r="AV9" s="182">
        <v>778.42105263157839</v>
      </c>
      <c r="AW9" s="490">
        <f t="shared" si="9"/>
        <v>11</v>
      </c>
      <c r="AX9" s="636"/>
      <c r="AZ9" s="529" t="e">
        <f t="shared" si="10"/>
        <v>#N/A</v>
      </c>
      <c r="BA9" s="636"/>
    </row>
    <row r="10" spans="1:53" ht="14.25">
      <c r="A10" s="81"/>
      <c r="B10" s="622"/>
      <c r="C10" s="490">
        <v>4</v>
      </c>
      <c r="D10" s="505" t="s">
        <v>360</v>
      </c>
      <c r="E10" s="505">
        <v>3</v>
      </c>
      <c r="F10" s="505">
        <v>3200</v>
      </c>
      <c r="G10" s="182">
        <v>1066.6666666666667</v>
      </c>
      <c r="H10" s="624"/>
      <c r="I10" s="516">
        <f t="shared" si="0"/>
        <v>3</v>
      </c>
      <c r="J10" s="516">
        <f t="shared" si="1"/>
        <v>3223.2580629810404</v>
      </c>
      <c r="K10" s="200">
        <f t="shared" si="2"/>
        <v>1074.4193543270135</v>
      </c>
      <c r="L10" s="596"/>
      <c r="M10" s="516">
        <f>RANK(K10, K$7:$K$36)</f>
        <v>5</v>
      </c>
      <c r="N10" s="614"/>
      <c r="O10" s="614"/>
      <c r="P10" s="182">
        <v>3</v>
      </c>
      <c r="Q10" s="182">
        <v>3191.8604651162818</v>
      </c>
      <c r="R10" s="182">
        <v>1063.9534883720939</v>
      </c>
      <c r="S10" s="490">
        <f t="shared" si="3"/>
        <v>2</v>
      </c>
      <c r="T10" s="636"/>
      <c r="U10" s="182">
        <v>3</v>
      </c>
      <c r="V10" s="182">
        <v>3296.2500000000018</v>
      </c>
      <c r="W10" s="182">
        <v>1098.7500000000007</v>
      </c>
      <c r="X10" s="490">
        <f t="shared" si="4"/>
        <v>5</v>
      </c>
      <c r="Y10" s="636"/>
      <c r="Z10" s="182">
        <v>3</v>
      </c>
      <c r="AA10" s="182">
        <v>3170.5714285714325</v>
      </c>
      <c r="AB10" s="182">
        <v>1056.8571428571443</v>
      </c>
      <c r="AC10" s="490">
        <f t="shared" si="5"/>
        <v>5</v>
      </c>
      <c r="AD10" s="636"/>
      <c r="AE10" s="182">
        <v>3</v>
      </c>
      <c r="AF10" s="182">
        <v>3226.3636363636397</v>
      </c>
      <c r="AG10" s="182">
        <v>1075.4545454545466</v>
      </c>
      <c r="AH10" s="490">
        <f t="shared" si="6"/>
        <v>4</v>
      </c>
      <c r="AI10" s="636"/>
      <c r="AJ10" s="182">
        <v>3</v>
      </c>
      <c r="AK10" s="182">
        <v>3245.806451612902</v>
      </c>
      <c r="AL10" s="182">
        <v>1081.9354838709673</v>
      </c>
      <c r="AM10" s="490">
        <f t="shared" si="7"/>
        <v>4</v>
      </c>
      <c r="AN10" s="636"/>
      <c r="AO10" s="182">
        <v>3</v>
      </c>
      <c r="AP10" s="182">
        <v>3255.4838709677369</v>
      </c>
      <c r="AQ10" s="182">
        <v>1085.1612903225789</v>
      </c>
      <c r="AR10" s="490">
        <f t="shared" si="8"/>
        <v>4</v>
      </c>
      <c r="AS10" s="636"/>
      <c r="AT10" s="182">
        <v>3</v>
      </c>
      <c r="AU10" s="182">
        <v>3176.4705882352905</v>
      </c>
      <c r="AV10" s="182">
        <v>1058.8235294117635</v>
      </c>
      <c r="AW10" s="490">
        <f t="shared" si="9"/>
        <v>1</v>
      </c>
      <c r="AX10" s="636"/>
      <c r="AZ10" s="529" t="e">
        <f t="shared" si="10"/>
        <v>#N/A</v>
      </c>
      <c r="BA10" s="636"/>
    </row>
    <row r="11" spans="1:53" ht="14.25">
      <c r="A11" s="81"/>
      <c r="B11" s="622"/>
      <c r="C11" s="490">
        <v>5</v>
      </c>
      <c r="D11" s="505" t="s">
        <v>773</v>
      </c>
      <c r="E11" s="505">
        <v>4</v>
      </c>
      <c r="F11" s="505">
        <v>3200</v>
      </c>
      <c r="G11" s="182">
        <v>800</v>
      </c>
      <c r="H11" s="624"/>
      <c r="I11" s="516">
        <f t="shared" si="0"/>
        <v>4</v>
      </c>
      <c r="J11" s="516">
        <f t="shared" si="1"/>
        <v>3221.6113246200803</v>
      </c>
      <c r="K11" s="200">
        <f t="shared" si="2"/>
        <v>805.40283115502007</v>
      </c>
      <c r="L11" s="596"/>
      <c r="M11" s="516">
        <f>RANK(K11, K$7:$K$36)</f>
        <v>10</v>
      </c>
      <c r="N11" s="614"/>
      <c r="O11" s="614"/>
      <c r="P11" s="182">
        <v>4</v>
      </c>
      <c r="Q11" s="182">
        <v>3185.4545454545414</v>
      </c>
      <c r="R11" s="182">
        <v>796.36363636363535</v>
      </c>
      <c r="S11" s="490">
        <f t="shared" si="3"/>
        <v>10</v>
      </c>
      <c r="T11" s="636"/>
      <c r="U11" s="182">
        <v>4</v>
      </c>
      <c r="V11" s="182">
        <v>3265.161290322575</v>
      </c>
      <c r="W11" s="182">
        <v>816.29032258064376</v>
      </c>
      <c r="X11" s="490">
        <f t="shared" si="4"/>
        <v>11</v>
      </c>
      <c r="Y11" s="636"/>
      <c r="Z11" s="182">
        <v>4</v>
      </c>
      <c r="AA11" s="182">
        <v>3117.8571428571449</v>
      </c>
      <c r="AB11" s="182">
        <v>779.46428571428623</v>
      </c>
      <c r="AC11" s="490">
        <f t="shared" si="5"/>
        <v>9</v>
      </c>
      <c r="AD11" s="636"/>
      <c r="AE11" s="182">
        <v>4</v>
      </c>
      <c r="AF11" s="182">
        <v>3244.6153846153961</v>
      </c>
      <c r="AG11" s="182">
        <v>811.15384615384903</v>
      </c>
      <c r="AH11" s="490">
        <f t="shared" si="6"/>
        <v>11</v>
      </c>
      <c r="AI11" s="636"/>
      <c r="AJ11" s="182">
        <v>4</v>
      </c>
      <c r="AK11" s="182">
        <v>3227.49999999999</v>
      </c>
      <c r="AL11" s="182">
        <v>806.8749999999975</v>
      </c>
      <c r="AM11" s="490">
        <f t="shared" si="7"/>
        <v>13</v>
      </c>
      <c r="AN11" s="636"/>
      <c r="AO11" s="182">
        <v>4</v>
      </c>
      <c r="AP11" s="182">
        <v>3321.6000000000008</v>
      </c>
      <c r="AQ11" s="182">
        <v>830.4000000000002</v>
      </c>
      <c r="AR11" s="490">
        <f t="shared" si="8"/>
        <v>10</v>
      </c>
      <c r="AS11" s="636"/>
      <c r="AT11" s="182">
        <v>4</v>
      </c>
      <c r="AU11" s="182">
        <v>3189.0909090909122</v>
      </c>
      <c r="AV11" s="182">
        <v>797.27272727272805</v>
      </c>
      <c r="AW11" s="490">
        <f t="shared" si="9"/>
        <v>9</v>
      </c>
      <c r="AX11" s="636"/>
      <c r="AZ11" s="529" t="e">
        <f t="shared" si="10"/>
        <v>#N/A</v>
      </c>
      <c r="BA11" s="636"/>
    </row>
    <row r="12" spans="1:53" ht="14.25">
      <c r="A12" s="81"/>
      <c r="B12" s="622"/>
      <c r="C12" s="490">
        <v>6</v>
      </c>
      <c r="D12" s="505" t="s">
        <v>774</v>
      </c>
      <c r="E12" s="505">
        <v>4</v>
      </c>
      <c r="F12" s="505">
        <v>3200</v>
      </c>
      <c r="G12" s="182">
        <v>800</v>
      </c>
      <c r="H12" s="624"/>
      <c r="I12" s="516">
        <f t="shared" si="0"/>
        <v>4</v>
      </c>
      <c r="J12" s="516">
        <f t="shared" si="1"/>
        <v>3283.6831739688887</v>
      </c>
      <c r="K12" s="200">
        <f t="shared" si="2"/>
        <v>820.92079349222217</v>
      </c>
      <c r="L12" s="596"/>
      <c r="M12" s="516">
        <f>RANK(K12, K$7:$K$36)</f>
        <v>8</v>
      </c>
      <c r="N12" s="614"/>
      <c r="O12" s="614"/>
      <c r="P12" s="182">
        <v>4</v>
      </c>
      <c r="Q12" s="182">
        <v>3143.9999999999945</v>
      </c>
      <c r="R12" s="182">
        <v>785.99999999999864</v>
      </c>
      <c r="S12" s="490">
        <f t="shared" si="3"/>
        <v>13</v>
      </c>
      <c r="T12" s="636"/>
      <c r="U12" s="182">
        <v>4</v>
      </c>
      <c r="V12" s="182">
        <v>3530.7692307692214</v>
      </c>
      <c r="W12" s="182">
        <v>882.69230769230535</v>
      </c>
      <c r="X12" s="490">
        <f t="shared" si="4"/>
        <v>8</v>
      </c>
      <c r="Y12" s="636"/>
      <c r="Z12" s="182">
        <v>4</v>
      </c>
      <c r="AA12" s="182">
        <v>3079.9999999999905</v>
      </c>
      <c r="AB12" s="182">
        <v>769.99999999999761</v>
      </c>
      <c r="AC12" s="490">
        <f t="shared" si="5"/>
        <v>11</v>
      </c>
      <c r="AD12" s="636"/>
      <c r="AE12" s="182">
        <v>4</v>
      </c>
      <c r="AF12" s="182">
        <v>3212.7272727272843</v>
      </c>
      <c r="AG12" s="182">
        <v>803.18181818182109</v>
      </c>
      <c r="AH12" s="490">
        <f t="shared" si="6"/>
        <v>12</v>
      </c>
      <c r="AI12" s="636"/>
      <c r="AJ12" s="182">
        <v>4</v>
      </c>
      <c r="AK12" s="182">
        <v>3336.0000000000118</v>
      </c>
      <c r="AL12" s="182">
        <v>834.00000000000296</v>
      </c>
      <c r="AM12" s="490">
        <f t="shared" si="7"/>
        <v>8</v>
      </c>
      <c r="AN12" s="636"/>
      <c r="AO12" s="182">
        <v>4</v>
      </c>
      <c r="AP12" s="182">
        <v>3468.0000000000123</v>
      </c>
      <c r="AQ12" s="182">
        <v>867.00000000000307</v>
      </c>
      <c r="AR12" s="490">
        <f t="shared" si="8"/>
        <v>8</v>
      </c>
      <c r="AS12" s="636"/>
      <c r="AT12" s="182">
        <v>4</v>
      </c>
      <c r="AU12" s="182">
        <v>3214.2857142857074</v>
      </c>
      <c r="AV12" s="182">
        <v>803.57142857142685</v>
      </c>
      <c r="AW12" s="490">
        <f t="shared" si="9"/>
        <v>8</v>
      </c>
      <c r="AX12" s="636"/>
      <c r="AZ12" s="529" t="e">
        <f t="shared" si="10"/>
        <v>#N/A</v>
      </c>
      <c r="BA12" s="636"/>
    </row>
    <row r="13" spans="1:53" ht="14.25">
      <c r="A13" s="81"/>
      <c r="B13" s="622"/>
      <c r="C13" s="490">
        <v>7</v>
      </c>
      <c r="D13" s="505" t="s">
        <v>361</v>
      </c>
      <c r="E13" s="505">
        <v>4</v>
      </c>
      <c r="F13" s="505">
        <v>2800</v>
      </c>
      <c r="G13" s="182">
        <v>700</v>
      </c>
      <c r="H13" s="624"/>
      <c r="I13" s="516">
        <f t="shared" si="0"/>
        <v>4</v>
      </c>
      <c r="J13" s="516">
        <f t="shared" si="1"/>
        <v>3231.0313971742557</v>
      </c>
      <c r="K13" s="200">
        <f t="shared" si="2"/>
        <v>807.75784929356394</v>
      </c>
      <c r="L13" s="596"/>
      <c r="M13" s="516">
        <f>RANK(K13, K$7:$K$36)</f>
        <v>9</v>
      </c>
      <c r="N13" s="614"/>
      <c r="O13" s="614"/>
      <c r="P13" s="182">
        <v>4</v>
      </c>
      <c r="Q13" s="182">
        <v>3184.2857142857256</v>
      </c>
      <c r="R13" s="182">
        <v>796.0714285714314</v>
      </c>
      <c r="S13" s="490">
        <f t="shared" si="3"/>
        <v>11</v>
      </c>
      <c r="T13" s="636"/>
      <c r="U13" s="182">
        <v>4</v>
      </c>
      <c r="V13" s="182">
        <v>3323.0769230769142</v>
      </c>
      <c r="W13" s="182">
        <v>830.76923076922856</v>
      </c>
      <c r="X13" s="490">
        <f t="shared" si="4"/>
        <v>9</v>
      </c>
      <c r="Y13" s="636"/>
      <c r="Z13" s="182">
        <v>4</v>
      </c>
      <c r="AA13" s="182">
        <v>3004.9999999999909</v>
      </c>
      <c r="AB13" s="182">
        <v>751.24999999999773</v>
      </c>
      <c r="AC13" s="490">
        <f t="shared" si="5"/>
        <v>13</v>
      </c>
      <c r="AD13" s="636"/>
      <c r="AE13" s="182">
        <v>4</v>
      </c>
      <c r="AF13" s="182">
        <v>3432.0000000000123</v>
      </c>
      <c r="AG13" s="182">
        <v>858.00000000000307</v>
      </c>
      <c r="AH13" s="490">
        <f t="shared" si="6"/>
        <v>8</v>
      </c>
      <c r="AI13" s="636"/>
      <c r="AJ13" s="182">
        <v>4</v>
      </c>
      <c r="AK13" s="182">
        <v>3245.9999999999986</v>
      </c>
      <c r="AL13" s="182">
        <v>811.49999999999966</v>
      </c>
      <c r="AM13" s="490">
        <f t="shared" si="7"/>
        <v>11</v>
      </c>
      <c r="AN13" s="636"/>
      <c r="AO13" s="182">
        <v>4</v>
      </c>
      <c r="AP13" s="182">
        <v>3444.0000000000123</v>
      </c>
      <c r="AQ13" s="182">
        <v>861.00000000000307</v>
      </c>
      <c r="AR13" s="490">
        <f t="shared" si="8"/>
        <v>9</v>
      </c>
      <c r="AS13" s="636"/>
      <c r="AT13" s="182">
        <v>4</v>
      </c>
      <c r="AU13" s="182">
        <v>2982.8571428571368</v>
      </c>
      <c r="AV13" s="182">
        <v>745.71428571428419</v>
      </c>
      <c r="AW13" s="490">
        <f t="shared" si="9"/>
        <v>12</v>
      </c>
      <c r="AX13" s="636"/>
      <c r="AZ13" s="529" t="e">
        <f t="shared" si="10"/>
        <v>#N/A</v>
      </c>
      <c r="BA13" s="636"/>
    </row>
    <row r="14" spans="1:53" ht="14.25">
      <c r="A14" s="81"/>
      <c r="B14" s="622"/>
      <c r="C14" s="490">
        <v>8</v>
      </c>
      <c r="D14" s="505" t="s">
        <v>362</v>
      </c>
      <c r="E14" s="505">
        <v>3</v>
      </c>
      <c r="F14" s="505">
        <v>3200</v>
      </c>
      <c r="G14" s="182">
        <v>1066.6666666666667</v>
      </c>
      <c r="H14" s="624"/>
      <c r="I14" s="516">
        <f t="shared" si="0"/>
        <v>3</v>
      </c>
      <c r="J14" s="516">
        <f t="shared" si="1"/>
        <v>3234.7800453514728</v>
      </c>
      <c r="K14" s="200">
        <f t="shared" si="2"/>
        <v>1078.2600151171578</v>
      </c>
      <c r="L14" s="596"/>
      <c r="M14" s="516">
        <f>RANK(K14, K$7:$K$36)</f>
        <v>2</v>
      </c>
      <c r="N14" s="614"/>
      <c r="O14" s="614"/>
      <c r="P14" s="182">
        <v>3</v>
      </c>
      <c r="Q14" s="182">
        <v>3137.9999999999941</v>
      </c>
      <c r="R14" s="182">
        <v>1045.999999999998</v>
      </c>
      <c r="S14" s="490">
        <f t="shared" si="3"/>
        <v>4</v>
      </c>
      <c r="T14" s="636"/>
      <c r="U14" s="182">
        <v>3</v>
      </c>
      <c r="V14" s="182">
        <v>3308.5714285714307</v>
      </c>
      <c r="W14" s="182">
        <v>1102.8571428571436</v>
      </c>
      <c r="X14" s="490">
        <f t="shared" si="4"/>
        <v>4</v>
      </c>
      <c r="Y14" s="636"/>
      <c r="Z14" s="182">
        <v>3</v>
      </c>
      <c r="AA14" s="182">
        <v>3168.8888888888814</v>
      </c>
      <c r="AB14" s="182">
        <v>1056.2962962962938</v>
      </c>
      <c r="AC14" s="490">
        <f t="shared" si="5"/>
        <v>6</v>
      </c>
      <c r="AD14" s="636"/>
      <c r="AE14" s="182">
        <v>3</v>
      </c>
      <c r="AF14" s="182">
        <v>3288.0000000000009</v>
      </c>
      <c r="AG14" s="182">
        <v>1096.0000000000002</v>
      </c>
      <c r="AH14" s="490">
        <f t="shared" si="6"/>
        <v>3</v>
      </c>
      <c r="AI14" s="636"/>
      <c r="AJ14" s="182">
        <v>3</v>
      </c>
      <c r="AK14" s="182">
        <v>3265.0000000000118</v>
      </c>
      <c r="AL14" s="182">
        <v>1088.3333333333374</v>
      </c>
      <c r="AM14" s="490">
        <f t="shared" si="7"/>
        <v>3</v>
      </c>
      <c r="AN14" s="636"/>
      <c r="AO14" s="182">
        <v>3</v>
      </c>
      <c r="AP14" s="182">
        <v>3304.99999999999</v>
      </c>
      <c r="AQ14" s="182">
        <v>1101.6666666666633</v>
      </c>
      <c r="AR14" s="490">
        <f t="shared" si="8"/>
        <v>3</v>
      </c>
      <c r="AS14" s="636"/>
      <c r="AT14" s="182">
        <v>3</v>
      </c>
      <c r="AU14" s="182">
        <v>3170.0000000000032</v>
      </c>
      <c r="AV14" s="182">
        <v>1056.6666666666677</v>
      </c>
      <c r="AW14" s="490">
        <f t="shared" si="9"/>
        <v>2</v>
      </c>
      <c r="AX14" s="636"/>
      <c r="AZ14" s="529" t="e">
        <f t="shared" si="10"/>
        <v>#N/A</v>
      </c>
      <c r="BA14" s="636"/>
    </row>
    <row r="15" spans="1:53" ht="14.25">
      <c r="A15" s="81"/>
      <c r="B15" s="622"/>
      <c r="C15" s="490">
        <v>9</v>
      </c>
      <c r="D15" s="505" t="s">
        <v>363</v>
      </c>
      <c r="E15" s="505">
        <v>3</v>
      </c>
      <c r="F15" s="505">
        <v>2800</v>
      </c>
      <c r="G15" s="182">
        <v>933.33333333333337</v>
      </c>
      <c r="H15" s="624"/>
      <c r="I15" s="516">
        <f t="shared" si="0"/>
        <v>3</v>
      </c>
      <c r="J15" s="516">
        <f t="shared" si="1"/>
        <v>3224.6214289911777</v>
      </c>
      <c r="K15" s="200">
        <f t="shared" si="2"/>
        <v>1074.873809663726</v>
      </c>
      <c r="L15" s="596"/>
      <c r="M15" s="516">
        <f>RANK(K15, K$7:$K$36)</f>
        <v>4</v>
      </c>
      <c r="N15" s="614"/>
      <c r="O15" s="614"/>
      <c r="P15" s="182">
        <v>3</v>
      </c>
      <c r="Q15" s="182">
        <v>3128.8235294117685</v>
      </c>
      <c r="R15" s="182">
        <v>1042.9411764705894</v>
      </c>
      <c r="S15" s="490">
        <f t="shared" si="3"/>
        <v>5</v>
      </c>
      <c r="T15" s="636"/>
      <c r="U15" s="182">
        <v>3</v>
      </c>
      <c r="V15" s="182">
        <v>3221.8181818181774</v>
      </c>
      <c r="W15" s="182">
        <v>1073.9393939393924</v>
      </c>
      <c r="X15" s="490">
        <f t="shared" si="4"/>
        <v>6</v>
      </c>
      <c r="Y15" s="636"/>
      <c r="Z15" s="182">
        <v>3</v>
      </c>
      <c r="AA15" s="182">
        <v>3201.4285714285738</v>
      </c>
      <c r="AB15" s="182">
        <v>1067.142857142858</v>
      </c>
      <c r="AC15" s="490">
        <f t="shared" si="5"/>
        <v>2</v>
      </c>
      <c r="AD15" s="636"/>
      <c r="AE15" s="182">
        <v>3</v>
      </c>
      <c r="AF15" s="182">
        <v>3300.0000000000018</v>
      </c>
      <c r="AG15" s="182">
        <v>1100.0000000000007</v>
      </c>
      <c r="AH15" s="490">
        <f t="shared" si="6"/>
        <v>2</v>
      </c>
      <c r="AI15" s="636"/>
      <c r="AJ15" s="182">
        <v>3</v>
      </c>
      <c r="AK15" s="182">
        <v>3242.3076923076942</v>
      </c>
      <c r="AL15" s="182">
        <v>1080.7692307692314</v>
      </c>
      <c r="AM15" s="490">
        <f t="shared" si="7"/>
        <v>5</v>
      </c>
      <c r="AN15" s="636"/>
      <c r="AO15" s="182">
        <v>3</v>
      </c>
      <c r="AP15" s="182">
        <v>3316.1538461538426</v>
      </c>
      <c r="AQ15" s="182">
        <v>1105.3846153846141</v>
      </c>
      <c r="AR15" s="490">
        <f t="shared" si="8"/>
        <v>1</v>
      </c>
      <c r="AS15" s="636"/>
      <c r="AT15" s="182">
        <v>3</v>
      </c>
      <c r="AU15" s="182">
        <v>3161.8181818181852</v>
      </c>
      <c r="AV15" s="182">
        <v>1053.9393939393951</v>
      </c>
      <c r="AW15" s="490">
        <f t="shared" si="9"/>
        <v>4</v>
      </c>
      <c r="AX15" s="636"/>
      <c r="AZ15" s="529" t="e">
        <f t="shared" si="10"/>
        <v>#N/A</v>
      </c>
      <c r="BA15" s="636"/>
    </row>
    <row r="16" spans="1:53" ht="14.25">
      <c r="A16" s="81"/>
      <c r="B16" s="622"/>
      <c r="C16" s="490">
        <v>10</v>
      </c>
      <c r="D16" s="505" t="s">
        <v>364</v>
      </c>
      <c r="E16" s="505">
        <v>4</v>
      </c>
      <c r="F16" s="505">
        <v>2800</v>
      </c>
      <c r="G16" s="182">
        <v>700</v>
      </c>
      <c r="H16" s="624"/>
      <c r="I16" s="516">
        <f t="shared" si="0"/>
        <v>4</v>
      </c>
      <c r="J16" s="516">
        <f t="shared" si="1"/>
        <v>3139.9155537876213</v>
      </c>
      <c r="K16" s="200">
        <f t="shared" si="2"/>
        <v>784.97888844690533</v>
      </c>
      <c r="L16" s="596"/>
      <c r="M16" s="516">
        <f>RANK(K16, K$7:$K$36)</f>
        <v>12</v>
      </c>
      <c r="N16" s="614"/>
      <c r="O16" s="614"/>
      <c r="P16" s="182">
        <v>4</v>
      </c>
      <c r="Q16" s="182">
        <v>3155.7894736842109</v>
      </c>
      <c r="R16" s="182">
        <v>788.94736842105272</v>
      </c>
      <c r="S16" s="490">
        <f t="shared" si="3"/>
        <v>12</v>
      </c>
      <c r="T16" s="636"/>
      <c r="U16" s="182">
        <v>4</v>
      </c>
      <c r="V16" s="182">
        <v>3245.6603773584893</v>
      </c>
      <c r="W16" s="182">
        <v>811.41509433962233</v>
      </c>
      <c r="X16" s="490">
        <f t="shared" si="4"/>
        <v>12</v>
      </c>
      <c r="Y16" s="636"/>
      <c r="Z16" s="182">
        <v>4</v>
      </c>
      <c r="AA16" s="182">
        <v>2642.4999999999986</v>
      </c>
      <c r="AB16" s="182">
        <v>660.62499999999966</v>
      </c>
      <c r="AC16" s="490">
        <f t="shared" si="5"/>
        <v>17</v>
      </c>
      <c r="AD16" s="636"/>
      <c r="AE16" s="182">
        <v>4</v>
      </c>
      <c r="AF16" s="182">
        <v>3270.666666666667</v>
      </c>
      <c r="AG16" s="182">
        <v>817.66666666666674</v>
      </c>
      <c r="AH16" s="490">
        <f t="shared" si="6"/>
        <v>10</v>
      </c>
      <c r="AI16" s="636"/>
      <c r="AJ16" s="182">
        <v>4</v>
      </c>
      <c r="AK16" s="182">
        <v>3245.7142857142844</v>
      </c>
      <c r="AL16" s="182">
        <v>811.4285714285711</v>
      </c>
      <c r="AM16" s="490">
        <f t="shared" si="7"/>
        <v>12</v>
      </c>
      <c r="AN16" s="636"/>
      <c r="AO16" s="182">
        <v>4</v>
      </c>
      <c r="AP16" s="182">
        <v>3263.7209302325573</v>
      </c>
      <c r="AQ16" s="182">
        <v>815.93023255813932</v>
      </c>
      <c r="AR16" s="490">
        <f t="shared" si="8"/>
        <v>11</v>
      </c>
      <c r="AS16" s="636"/>
      <c r="AT16" s="182">
        <v>4</v>
      </c>
      <c r="AU16" s="182">
        <v>3155.3571428571431</v>
      </c>
      <c r="AV16" s="182">
        <v>788.83928571428578</v>
      </c>
      <c r="AW16" s="490">
        <f t="shared" si="9"/>
        <v>10</v>
      </c>
      <c r="AX16" s="636"/>
      <c r="AZ16" s="529" t="e">
        <f t="shared" si="10"/>
        <v>#N/A</v>
      </c>
      <c r="BA16" s="636"/>
    </row>
    <row r="17" spans="2:53">
      <c r="B17" s="622"/>
      <c r="C17" s="490">
        <v>11</v>
      </c>
      <c r="D17" s="505" t="s">
        <v>775</v>
      </c>
      <c r="E17" s="505">
        <v>4</v>
      </c>
      <c r="F17" s="505">
        <v>2800</v>
      </c>
      <c r="G17" s="182">
        <v>700</v>
      </c>
      <c r="H17" s="624"/>
      <c r="I17" s="516">
        <f t="shared" si="0"/>
        <v>4</v>
      </c>
      <c r="J17" s="516">
        <f t="shared" si="1"/>
        <v>2814.5791116132609</v>
      </c>
      <c r="K17" s="200">
        <f t="shared" si="2"/>
        <v>703.64477790331523</v>
      </c>
      <c r="L17" s="596"/>
      <c r="M17" s="516">
        <f>RANK(K17, K$7:$K$36)</f>
        <v>16</v>
      </c>
      <c r="N17" s="614"/>
      <c r="O17" s="614"/>
      <c r="P17" s="182">
        <v>4</v>
      </c>
      <c r="Q17" s="182">
        <v>2789.9999999999982</v>
      </c>
      <c r="R17" s="182">
        <v>697.49999999999955</v>
      </c>
      <c r="S17" s="490">
        <f t="shared" si="3"/>
        <v>14</v>
      </c>
      <c r="T17" s="636"/>
      <c r="U17" s="182">
        <v>4</v>
      </c>
      <c r="V17" s="182">
        <v>2805.4545454545469</v>
      </c>
      <c r="W17" s="182">
        <v>701.36363636363672</v>
      </c>
      <c r="X17" s="490">
        <f t="shared" si="4"/>
        <v>17</v>
      </c>
      <c r="Y17" s="636"/>
      <c r="Z17" s="182">
        <v>4</v>
      </c>
      <c r="AA17" s="182">
        <v>2778.6206896551707</v>
      </c>
      <c r="AB17" s="182">
        <v>694.65517241379268</v>
      </c>
      <c r="AC17" s="490">
        <f t="shared" si="5"/>
        <v>15</v>
      </c>
      <c r="AD17" s="636"/>
      <c r="AE17" s="182">
        <v>4</v>
      </c>
      <c r="AF17" s="182">
        <v>2866.6666666666642</v>
      </c>
      <c r="AG17" s="182">
        <v>716.66666666666606</v>
      </c>
      <c r="AH17" s="490">
        <f t="shared" si="6"/>
        <v>15</v>
      </c>
      <c r="AI17" s="636"/>
      <c r="AJ17" s="182">
        <v>4</v>
      </c>
      <c r="AK17" s="182">
        <v>2869.4117647058815</v>
      </c>
      <c r="AL17" s="182">
        <v>717.35294117647038</v>
      </c>
      <c r="AM17" s="490">
        <f t="shared" si="7"/>
        <v>15</v>
      </c>
      <c r="AN17" s="636"/>
      <c r="AO17" s="182">
        <v>4</v>
      </c>
      <c r="AP17" s="182">
        <v>2821.1538461538457</v>
      </c>
      <c r="AQ17" s="182">
        <v>705.28846153846143</v>
      </c>
      <c r="AR17" s="490">
        <f t="shared" si="8"/>
        <v>15</v>
      </c>
      <c r="AS17" s="636"/>
      <c r="AT17" s="182">
        <v>4</v>
      </c>
      <c r="AU17" s="182">
        <v>2770.7462686567183</v>
      </c>
      <c r="AV17" s="182">
        <v>692.68656716417956</v>
      </c>
      <c r="AW17" s="490">
        <f t="shared" si="9"/>
        <v>15</v>
      </c>
      <c r="AX17" s="636"/>
      <c r="AZ17" s="529" t="e">
        <f t="shared" si="10"/>
        <v>#N/A</v>
      </c>
      <c r="BA17" s="636"/>
    </row>
    <row r="18" spans="2:53">
      <c r="B18" s="622"/>
      <c r="C18" s="490">
        <v>12</v>
      </c>
      <c r="D18" s="505" t="s">
        <v>776</v>
      </c>
      <c r="E18" s="505">
        <v>4</v>
      </c>
      <c r="F18" s="505">
        <v>2800</v>
      </c>
      <c r="G18" s="182">
        <v>700</v>
      </c>
      <c r="H18" s="624"/>
      <c r="I18" s="516">
        <f t="shared" si="0"/>
        <v>4</v>
      </c>
      <c r="J18" s="516">
        <f t="shared" si="1"/>
        <v>2853.8571428571472</v>
      </c>
      <c r="K18" s="200">
        <f t="shared" si="2"/>
        <v>713.4642857142868</v>
      </c>
      <c r="L18" s="596"/>
      <c r="M18" s="516">
        <f>RANK(K18, K$7:$K$36)</f>
        <v>14</v>
      </c>
      <c r="N18" s="614"/>
      <c r="O18" s="614"/>
      <c r="P18" s="182">
        <v>4</v>
      </c>
      <c r="Q18" s="182">
        <v>3186.0000000000114</v>
      </c>
      <c r="R18" s="182">
        <v>796.50000000000284</v>
      </c>
      <c r="S18" s="490">
        <f t="shared" si="3"/>
        <v>9</v>
      </c>
      <c r="T18" s="636"/>
      <c r="U18" s="182">
        <v>4</v>
      </c>
      <c r="V18" s="182">
        <v>3057.0000000000109</v>
      </c>
      <c r="W18" s="182">
        <v>764.25000000000273</v>
      </c>
      <c r="X18" s="490">
        <f t="shared" si="4"/>
        <v>13</v>
      </c>
      <c r="Y18" s="636"/>
      <c r="Z18" s="182">
        <v>4</v>
      </c>
      <c r="AA18" s="182">
        <v>2949.0000000000105</v>
      </c>
      <c r="AB18" s="182">
        <v>737.25000000000261</v>
      </c>
      <c r="AC18" s="490">
        <f t="shared" si="5"/>
        <v>14</v>
      </c>
      <c r="AD18" s="636"/>
      <c r="AE18" s="182">
        <v>4</v>
      </c>
      <c r="AF18" s="182">
        <v>2682.0000000000095</v>
      </c>
      <c r="AG18" s="182">
        <v>670.50000000000239</v>
      </c>
      <c r="AH18" s="490">
        <f t="shared" si="6"/>
        <v>17</v>
      </c>
      <c r="AI18" s="636"/>
      <c r="AJ18" s="182">
        <v>4</v>
      </c>
      <c r="AK18" s="182">
        <v>2619.0000000000091</v>
      </c>
      <c r="AL18" s="182">
        <v>654.75000000000227</v>
      </c>
      <c r="AM18" s="490">
        <f t="shared" si="7"/>
        <v>17</v>
      </c>
      <c r="AN18" s="636"/>
      <c r="AO18" s="182">
        <v>4</v>
      </c>
      <c r="AP18" s="182">
        <v>2903.9999999999873</v>
      </c>
      <c r="AQ18" s="182">
        <v>725.99999999999682</v>
      </c>
      <c r="AR18" s="490">
        <f t="shared" si="8"/>
        <v>14</v>
      </c>
      <c r="AS18" s="636"/>
      <c r="AT18" s="182">
        <v>4</v>
      </c>
      <c r="AU18" s="182">
        <v>2579.9999999999927</v>
      </c>
      <c r="AV18" s="182">
        <v>644.99999999999818</v>
      </c>
      <c r="AW18" s="490">
        <f t="shared" si="9"/>
        <v>16</v>
      </c>
      <c r="AX18" s="636"/>
      <c r="AZ18" s="529" t="e">
        <f t="shared" si="10"/>
        <v>#N/A</v>
      </c>
      <c r="BA18" s="636"/>
    </row>
    <row r="19" spans="2:53">
      <c r="B19" s="622"/>
      <c r="C19" s="490">
        <v>13</v>
      </c>
      <c r="D19" s="505" t="s">
        <v>365</v>
      </c>
      <c r="E19" s="505">
        <v>4</v>
      </c>
      <c r="F19" s="505">
        <v>2800</v>
      </c>
      <c r="G19" s="182">
        <v>700</v>
      </c>
      <c r="H19" s="624"/>
      <c r="I19" s="516">
        <f t="shared" si="0"/>
        <v>4</v>
      </c>
      <c r="J19" s="516">
        <f t="shared" si="1"/>
        <v>2806.8571428571527</v>
      </c>
      <c r="K19" s="200">
        <f t="shared" si="2"/>
        <v>701.71428571428817</v>
      </c>
      <c r="L19" s="596"/>
      <c r="M19" s="516">
        <f>RANK(K19, K$7:$K$36)</f>
        <v>17</v>
      </c>
      <c r="N19" s="614"/>
      <c r="O19" s="614"/>
      <c r="P19" s="182">
        <v>4</v>
      </c>
      <c r="Q19" s="182">
        <v>2324.0000000000082</v>
      </c>
      <c r="R19" s="182">
        <v>581.00000000000205</v>
      </c>
      <c r="S19" s="490">
        <f t="shared" si="3"/>
        <v>17</v>
      </c>
      <c r="T19" s="636"/>
      <c r="U19" s="182">
        <v>4</v>
      </c>
      <c r="V19" s="182">
        <v>2850.00000000001</v>
      </c>
      <c r="W19" s="182">
        <v>712.5000000000025</v>
      </c>
      <c r="X19" s="490">
        <f t="shared" si="4"/>
        <v>16</v>
      </c>
      <c r="Y19" s="636"/>
      <c r="Z19" s="182">
        <v>4</v>
      </c>
      <c r="AA19" s="182">
        <v>3142.5000000000109</v>
      </c>
      <c r="AB19" s="182">
        <v>785.62500000000273</v>
      </c>
      <c r="AC19" s="490">
        <f t="shared" si="5"/>
        <v>8</v>
      </c>
      <c r="AD19" s="636"/>
      <c r="AE19" s="182">
        <v>4</v>
      </c>
      <c r="AF19" s="182">
        <v>2957.1428571428678</v>
      </c>
      <c r="AG19" s="182">
        <v>739.28571428571695</v>
      </c>
      <c r="AH19" s="490">
        <f t="shared" si="6"/>
        <v>14</v>
      </c>
      <c r="AI19" s="636"/>
      <c r="AJ19" s="182">
        <v>4</v>
      </c>
      <c r="AK19" s="182">
        <v>2767.50000000001</v>
      </c>
      <c r="AL19" s="182">
        <v>691.8750000000025</v>
      </c>
      <c r="AM19" s="490">
        <f t="shared" si="7"/>
        <v>16</v>
      </c>
      <c r="AN19" s="636"/>
      <c r="AO19" s="182">
        <v>4</v>
      </c>
      <c r="AP19" s="182">
        <v>2800.00000000001</v>
      </c>
      <c r="AQ19" s="182">
        <v>700.0000000000025</v>
      </c>
      <c r="AR19" s="490">
        <f t="shared" si="8"/>
        <v>17</v>
      </c>
      <c r="AS19" s="636"/>
      <c r="AT19" s="182" t="s">
        <v>839</v>
      </c>
      <c r="AU19" s="182" t="s">
        <v>839</v>
      </c>
      <c r="AV19" s="182" t="s">
        <v>839</v>
      </c>
      <c r="AW19" s="490" t="e">
        <f t="shared" si="9"/>
        <v>#VALUE!</v>
      </c>
      <c r="AX19" s="636"/>
      <c r="AZ19" s="529" t="e">
        <f t="shared" si="10"/>
        <v>#N/A</v>
      </c>
      <c r="BA19" s="636"/>
    </row>
    <row r="20" spans="2:53">
      <c r="B20" s="622"/>
      <c r="C20" s="490">
        <v>14</v>
      </c>
      <c r="D20" s="505" t="s">
        <v>777</v>
      </c>
      <c r="E20" s="505">
        <v>3</v>
      </c>
      <c r="F20" s="505">
        <v>2800</v>
      </c>
      <c r="G20" s="182">
        <v>933.33333333333337</v>
      </c>
      <c r="H20" s="624"/>
      <c r="I20" s="516">
        <f t="shared" si="0"/>
        <v>3</v>
      </c>
      <c r="J20" s="516">
        <f t="shared" si="1"/>
        <v>3065.9552795030968</v>
      </c>
      <c r="K20" s="200">
        <f t="shared" si="2"/>
        <v>1021.9850931676989</v>
      </c>
      <c r="L20" s="596"/>
      <c r="M20" s="516">
        <f>RANK(K20, K$7:$K$36)</f>
        <v>6</v>
      </c>
      <c r="N20" s="614"/>
      <c r="O20" s="614"/>
      <c r="P20" s="182">
        <v>3</v>
      </c>
      <c r="Q20" s="182">
        <v>3146.0869565217504</v>
      </c>
      <c r="R20" s="182">
        <v>1048.6956521739169</v>
      </c>
      <c r="S20" s="490">
        <f t="shared" si="3"/>
        <v>3</v>
      </c>
      <c r="T20" s="636"/>
      <c r="U20" s="182">
        <v>3</v>
      </c>
      <c r="V20" s="182">
        <v>3410.9999999999845</v>
      </c>
      <c r="W20" s="182">
        <v>1136.9999999999948</v>
      </c>
      <c r="X20" s="490">
        <f t="shared" si="4"/>
        <v>1</v>
      </c>
      <c r="Y20" s="636"/>
      <c r="Z20" s="182">
        <v>3</v>
      </c>
      <c r="AA20" s="182">
        <v>3278.9999999999854</v>
      </c>
      <c r="AB20" s="182">
        <v>1092.9999999999952</v>
      </c>
      <c r="AC20" s="490">
        <f t="shared" si="5"/>
        <v>1</v>
      </c>
      <c r="AD20" s="636"/>
      <c r="AE20" s="182">
        <v>3</v>
      </c>
      <c r="AF20" s="182">
        <v>3023.9999999999868</v>
      </c>
      <c r="AG20" s="182">
        <v>1007.9999999999956</v>
      </c>
      <c r="AH20" s="490">
        <f t="shared" si="6"/>
        <v>6</v>
      </c>
      <c r="AI20" s="636"/>
      <c r="AJ20" s="182">
        <v>3</v>
      </c>
      <c r="AK20" s="182">
        <v>3107.9999999999864</v>
      </c>
      <c r="AL20" s="182">
        <v>1035.9999999999955</v>
      </c>
      <c r="AM20" s="490">
        <f t="shared" si="7"/>
        <v>6</v>
      </c>
      <c r="AN20" s="636"/>
      <c r="AO20" s="182">
        <v>3</v>
      </c>
      <c r="AP20" s="182">
        <v>2709.5999999999922</v>
      </c>
      <c r="AQ20" s="182">
        <v>903.19999999999743</v>
      </c>
      <c r="AR20" s="490">
        <f t="shared" si="8"/>
        <v>7</v>
      </c>
      <c r="AS20" s="636"/>
      <c r="AT20" s="182">
        <v>3</v>
      </c>
      <c r="AU20" s="182">
        <v>2783.9999999999923</v>
      </c>
      <c r="AV20" s="182">
        <v>927.99999999999739</v>
      </c>
      <c r="AW20" s="490">
        <f t="shared" si="9"/>
        <v>6</v>
      </c>
      <c r="AX20" s="636"/>
      <c r="AZ20" s="529" t="e">
        <f t="shared" si="10"/>
        <v>#N/A</v>
      </c>
      <c r="BA20" s="636"/>
    </row>
    <row r="21" spans="2:53">
      <c r="B21" s="622"/>
      <c r="C21" s="490">
        <v>15</v>
      </c>
      <c r="D21" s="505" t="s">
        <v>778</v>
      </c>
      <c r="E21" s="505">
        <v>4</v>
      </c>
      <c r="F21" s="505">
        <v>2200</v>
      </c>
      <c r="G21" s="182">
        <v>550</v>
      </c>
      <c r="H21" s="624"/>
      <c r="I21" s="516">
        <f t="shared" si="0"/>
        <v>3</v>
      </c>
      <c r="J21" s="516">
        <f t="shared" si="1"/>
        <v>2232.9952380952368</v>
      </c>
      <c r="K21" s="200">
        <f t="shared" si="2"/>
        <v>744.33174603174564</v>
      </c>
      <c r="L21" s="596"/>
      <c r="M21" s="516">
        <f>RANK(K21, K$7:$K$36)</f>
        <v>13</v>
      </c>
      <c r="N21" s="614"/>
      <c r="O21" s="614"/>
      <c r="P21" s="182">
        <v>3</v>
      </c>
      <c r="Q21" s="182">
        <v>2080.7999999999938</v>
      </c>
      <c r="R21" s="182">
        <v>693.59999999999798</v>
      </c>
      <c r="S21" s="490">
        <f t="shared" si="3"/>
        <v>16</v>
      </c>
      <c r="T21" s="636"/>
      <c r="U21" s="182">
        <v>3</v>
      </c>
      <c r="V21" s="182">
        <v>2152</v>
      </c>
      <c r="W21" s="182">
        <v>717.33333333333337</v>
      </c>
      <c r="X21" s="490">
        <f t="shared" si="4"/>
        <v>14</v>
      </c>
      <c r="Y21" s="636"/>
      <c r="Z21" s="182">
        <v>3</v>
      </c>
      <c r="AA21" s="182">
        <v>2326.4999999999991</v>
      </c>
      <c r="AB21" s="182">
        <v>775.49999999999966</v>
      </c>
      <c r="AC21" s="490">
        <f t="shared" si="5"/>
        <v>10</v>
      </c>
      <c r="AD21" s="636"/>
      <c r="AE21" s="182">
        <v>3</v>
      </c>
      <c r="AF21" s="182">
        <v>2240.9999999999991</v>
      </c>
      <c r="AG21" s="182">
        <v>746.99999999999966</v>
      </c>
      <c r="AH21" s="490">
        <f t="shared" si="6"/>
        <v>13</v>
      </c>
      <c r="AI21" s="636"/>
      <c r="AJ21" s="182">
        <v>3</v>
      </c>
      <c r="AK21" s="182">
        <v>2447.9999999999977</v>
      </c>
      <c r="AL21" s="182">
        <v>815.9999999999992</v>
      </c>
      <c r="AM21" s="490">
        <f t="shared" si="7"/>
        <v>10</v>
      </c>
      <c r="AN21" s="636"/>
      <c r="AO21" s="182">
        <v>3</v>
      </c>
      <c r="AP21" s="182">
        <v>2190.666666666667</v>
      </c>
      <c r="AQ21" s="182">
        <v>730.22222222222229</v>
      </c>
      <c r="AR21" s="490">
        <f t="shared" si="8"/>
        <v>13</v>
      </c>
      <c r="AS21" s="636"/>
      <c r="AT21" s="182">
        <v>3</v>
      </c>
      <c r="AU21" s="182">
        <v>2192</v>
      </c>
      <c r="AV21" s="182">
        <v>730.66666666666663</v>
      </c>
      <c r="AW21" s="490">
        <f t="shared" si="9"/>
        <v>13</v>
      </c>
      <c r="AX21" s="636"/>
      <c r="AZ21" s="529" t="e">
        <f t="shared" si="10"/>
        <v>#N/A</v>
      </c>
      <c r="BA21" s="636"/>
    </row>
    <row r="22" spans="2:53">
      <c r="B22" s="622"/>
      <c r="C22" s="490">
        <v>16</v>
      </c>
      <c r="D22" s="505" t="s">
        <v>642</v>
      </c>
      <c r="E22" s="505">
        <v>8</v>
      </c>
      <c r="F22" s="505">
        <v>1500</v>
      </c>
      <c r="G22" s="182">
        <v>187.5</v>
      </c>
      <c r="H22" s="624"/>
      <c r="I22" s="516">
        <f t="shared" si="0"/>
        <v>9.7142857142857135</v>
      </c>
      <c r="J22" s="516">
        <f t="shared" si="1"/>
        <v>1468.6080123266559</v>
      </c>
      <c r="K22" s="200">
        <f t="shared" si="2"/>
        <v>151.85171032357465</v>
      </c>
      <c r="L22" s="596"/>
      <c r="M22" s="516">
        <f>RANK(K22, K$7:$K$36)</f>
        <v>20</v>
      </c>
      <c r="N22" s="614"/>
      <c r="O22" s="614"/>
      <c r="P22" s="182">
        <v>10</v>
      </c>
      <c r="Q22" s="182">
        <v>1543.7288135593233</v>
      </c>
      <c r="R22" s="182">
        <v>154.37288135593232</v>
      </c>
      <c r="S22" s="490">
        <f t="shared" si="3"/>
        <v>20</v>
      </c>
      <c r="T22" s="636"/>
      <c r="U22" s="182">
        <v>10</v>
      </c>
      <c r="V22" s="182">
        <v>1484.0000000000014</v>
      </c>
      <c r="W22" s="182">
        <v>148.40000000000015</v>
      </c>
      <c r="X22" s="490">
        <f t="shared" si="4"/>
        <v>20</v>
      </c>
      <c r="Y22" s="636"/>
      <c r="Z22" s="182">
        <v>10</v>
      </c>
      <c r="AA22" s="182">
        <v>1456.3636363636331</v>
      </c>
      <c r="AB22" s="182">
        <v>145.63636363636331</v>
      </c>
      <c r="AC22" s="490">
        <f t="shared" si="5"/>
        <v>20</v>
      </c>
      <c r="AD22" s="636"/>
      <c r="AE22" s="182">
        <v>10</v>
      </c>
      <c r="AF22" s="182">
        <v>1438.9090909090919</v>
      </c>
      <c r="AG22" s="182">
        <v>143.89090909090919</v>
      </c>
      <c r="AH22" s="490">
        <f t="shared" si="6"/>
        <v>20</v>
      </c>
      <c r="AI22" s="636"/>
      <c r="AJ22" s="182">
        <v>10</v>
      </c>
      <c r="AK22" s="182">
        <v>1498.7999999999981</v>
      </c>
      <c r="AL22" s="182">
        <v>149.87999999999982</v>
      </c>
      <c r="AM22" s="490">
        <f t="shared" si="7"/>
        <v>20</v>
      </c>
      <c r="AN22" s="636"/>
      <c r="AO22" s="182">
        <v>8</v>
      </c>
      <c r="AP22" s="182">
        <v>1397.4545454545444</v>
      </c>
      <c r="AQ22" s="182">
        <v>174.68181818181804</v>
      </c>
      <c r="AR22" s="490">
        <f t="shared" si="8"/>
        <v>20</v>
      </c>
      <c r="AS22" s="636"/>
      <c r="AT22" s="182">
        <v>10</v>
      </c>
      <c r="AU22" s="182">
        <v>1460.9999999999973</v>
      </c>
      <c r="AV22" s="182">
        <v>146.09999999999974</v>
      </c>
      <c r="AW22" s="490">
        <f t="shared" si="9"/>
        <v>19</v>
      </c>
      <c r="AX22" s="636"/>
      <c r="AZ22" s="529" t="e">
        <f t="shared" si="10"/>
        <v>#N/A</v>
      </c>
      <c r="BA22" s="636"/>
    </row>
    <row r="23" spans="2:53">
      <c r="B23" s="622"/>
      <c r="C23" s="490">
        <v>17</v>
      </c>
      <c r="D23" s="505" t="s">
        <v>679</v>
      </c>
      <c r="E23" s="505">
        <v>4</v>
      </c>
      <c r="F23" s="505">
        <v>2200</v>
      </c>
      <c r="G23" s="182">
        <v>550</v>
      </c>
      <c r="H23" s="624"/>
      <c r="I23" s="516">
        <f t="shared" si="0"/>
        <v>4</v>
      </c>
      <c r="J23" s="516">
        <f t="shared" si="1"/>
        <v>2191.9714285714294</v>
      </c>
      <c r="K23" s="200">
        <f t="shared" si="2"/>
        <v>547.99285714285736</v>
      </c>
      <c r="L23" s="596"/>
      <c r="M23" s="516">
        <f>RANK(K23, K$7:$K$36)</f>
        <v>18</v>
      </c>
      <c r="N23" s="614"/>
      <c r="O23" s="614"/>
      <c r="P23" s="182">
        <v>4</v>
      </c>
      <c r="Q23" s="182">
        <v>2104.7999999999938</v>
      </c>
      <c r="R23" s="182">
        <v>526.19999999999845</v>
      </c>
      <c r="S23" s="490">
        <f t="shared" si="3"/>
        <v>19</v>
      </c>
      <c r="T23" s="636"/>
      <c r="U23" s="182">
        <v>4</v>
      </c>
      <c r="V23" s="182">
        <v>2295.0000000000082</v>
      </c>
      <c r="W23" s="182">
        <v>573.75000000000205</v>
      </c>
      <c r="X23" s="490">
        <f t="shared" si="4"/>
        <v>18</v>
      </c>
      <c r="Y23" s="636"/>
      <c r="Z23" s="182">
        <v>4</v>
      </c>
      <c r="AA23" s="182">
        <v>2243.99999999999</v>
      </c>
      <c r="AB23" s="182">
        <v>560.9999999999975</v>
      </c>
      <c r="AC23" s="490">
        <f t="shared" si="5"/>
        <v>18</v>
      </c>
      <c r="AD23" s="636"/>
      <c r="AE23" s="182">
        <v>4</v>
      </c>
      <c r="AF23" s="182">
        <v>2111.9999999999909</v>
      </c>
      <c r="AG23" s="182">
        <v>527.99999999999773</v>
      </c>
      <c r="AH23" s="490">
        <f t="shared" si="6"/>
        <v>18</v>
      </c>
      <c r="AI23" s="636"/>
      <c r="AJ23" s="182">
        <v>4</v>
      </c>
      <c r="AK23" s="182">
        <v>2076.0000000000073</v>
      </c>
      <c r="AL23" s="182">
        <v>519.00000000000182</v>
      </c>
      <c r="AM23" s="490">
        <f t="shared" si="7"/>
        <v>19</v>
      </c>
      <c r="AN23" s="636"/>
      <c r="AO23" s="182">
        <v>4</v>
      </c>
      <c r="AP23" s="182">
        <v>2208.0000000000077</v>
      </c>
      <c r="AQ23" s="182">
        <v>552.00000000000193</v>
      </c>
      <c r="AR23" s="490">
        <f t="shared" si="8"/>
        <v>18</v>
      </c>
      <c r="AS23" s="636"/>
      <c r="AT23" s="182">
        <v>4</v>
      </c>
      <c r="AU23" s="182">
        <v>2304.0000000000082</v>
      </c>
      <c r="AV23" s="182">
        <v>576.00000000000205</v>
      </c>
      <c r="AW23" s="490">
        <f t="shared" si="9"/>
        <v>17</v>
      </c>
      <c r="AX23" s="636"/>
      <c r="AZ23" s="529" t="e">
        <f t="shared" si="10"/>
        <v>#N/A</v>
      </c>
      <c r="BA23" s="636"/>
    </row>
    <row r="24" spans="2:53">
      <c r="B24" s="622"/>
      <c r="C24" s="490">
        <v>18</v>
      </c>
      <c r="D24" s="505" t="s">
        <v>779</v>
      </c>
      <c r="E24" s="505">
        <v>3</v>
      </c>
      <c r="F24" s="505">
        <v>2800</v>
      </c>
      <c r="G24" s="182">
        <v>933.33333333333337</v>
      </c>
      <c r="H24" s="624"/>
      <c r="I24" s="516">
        <f t="shared" si="0"/>
        <v>3</v>
      </c>
      <c r="J24" s="516">
        <f t="shared" si="1"/>
        <v>2817.5599710430179</v>
      </c>
      <c r="K24" s="200">
        <f t="shared" si="2"/>
        <v>939.18665701433929</v>
      </c>
      <c r="L24" s="596"/>
      <c r="M24" s="516">
        <f>RANK(K24, K$7:$K$36)</f>
        <v>7</v>
      </c>
      <c r="N24" s="614"/>
      <c r="O24" s="614"/>
      <c r="P24" s="182">
        <v>3</v>
      </c>
      <c r="Q24" s="182">
        <v>2769.7959183673479</v>
      </c>
      <c r="R24" s="182">
        <v>923.26530612244926</v>
      </c>
      <c r="S24" s="490">
        <f t="shared" si="3"/>
        <v>7</v>
      </c>
      <c r="T24" s="636"/>
      <c r="U24" s="182">
        <v>3</v>
      </c>
      <c r="V24" s="182">
        <v>2853.913043478261</v>
      </c>
      <c r="W24" s="182">
        <v>951.304347826087</v>
      </c>
      <c r="X24" s="490">
        <f t="shared" si="4"/>
        <v>7</v>
      </c>
      <c r="Y24" s="636"/>
      <c r="Z24" s="182">
        <v>3</v>
      </c>
      <c r="AA24" s="182">
        <v>2775.7142857142849</v>
      </c>
      <c r="AB24" s="182">
        <v>925.23809523809496</v>
      </c>
      <c r="AC24" s="490">
        <f t="shared" si="5"/>
        <v>7</v>
      </c>
      <c r="AD24" s="636"/>
      <c r="AE24" s="182">
        <v>3</v>
      </c>
      <c r="AF24" s="182">
        <v>2809.4999999999991</v>
      </c>
      <c r="AG24" s="182">
        <v>936.49999999999966</v>
      </c>
      <c r="AH24" s="490">
        <f t="shared" si="6"/>
        <v>7</v>
      </c>
      <c r="AI24" s="636"/>
      <c r="AJ24" s="182">
        <v>3</v>
      </c>
      <c r="AK24" s="182">
        <v>2868.6486486486529</v>
      </c>
      <c r="AL24" s="182">
        <v>956.21621621621762</v>
      </c>
      <c r="AM24" s="490">
        <f t="shared" si="7"/>
        <v>7</v>
      </c>
      <c r="AN24" s="636"/>
      <c r="AO24" s="182">
        <v>3</v>
      </c>
      <c r="AP24" s="182">
        <v>2875.1351351351332</v>
      </c>
      <c r="AQ24" s="182">
        <v>958.37837837837776</v>
      </c>
      <c r="AR24" s="490">
        <f t="shared" si="8"/>
        <v>6</v>
      </c>
      <c r="AS24" s="636"/>
      <c r="AT24" s="182">
        <v>3</v>
      </c>
      <c r="AU24" s="182">
        <v>2770.2127659574471</v>
      </c>
      <c r="AV24" s="182">
        <v>923.404255319149</v>
      </c>
      <c r="AW24" s="490">
        <f t="shared" si="9"/>
        <v>7</v>
      </c>
      <c r="AX24" s="636"/>
      <c r="AZ24" s="529" t="e">
        <f t="shared" si="10"/>
        <v>#N/A</v>
      </c>
      <c r="BA24" s="636"/>
    </row>
    <row r="25" spans="2:53">
      <c r="B25" s="622"/>
      <c r="C25" s="490">
        <v>19</v>
      </c>
      <c r="D25" s="505" t="s">
        <v>780</v>
      </c>
      <c r="E25" s="505">
        <v>4</v>
      </c>
      <c r="F25" s="505">
        <v>2200</v>
      </c>
      <c r="G25" s="182">
        <v>550</v>
      </c>
      <c r="H25" s="624"/>
      <c r="I25" s="516">
        <f t="shared" si="0"/>
        <v>4</v>
      </c>
      <c r="J25" s="516">
        <f t="shared" si="1"/>
        <v>2190.8816326530582</v>
      </c>
      <c r="K25" s="200">
        <f t="shared" si="2"/>
        <v>547.72040816326455</v>
      </c>
      <c r="L25" s="596"/>
      <c r="M25" s="516">
        <f>RANK(K25, K$7:$K$36)</f>
        <v>19</v>
      </c>
      <c r="N25" s="614"/>
      <c r="O25" s="614"/>
      <c r="P25" s="182">
        <v>4</v>
      </c>
      <c r="Q25" s="182">
        <v>2201.9999999999991</v>
      </c>
      <c r="R25" s="182">
        <v>550.49999999999977</v>
      </c>
      <c r="S25" s="490">
        <f t="shared" si="3"/>
        <v>18</v>
      </c>
      <c r="T25" s="636"/>
      <c r="U25" s="182">
        <v>4</v>
      </c>
      <c r="V25" s="182">
        <v>2182.2857142857019</v>
      </c>
      <c r="W25" s="182">
        <v>545.57142857142549</v>
      </c>
      <c r="X25" s="490">
        <f t="shared" si="4"/>
        <v>19</v>
      </c>
      <c r="Y25" s="636"/>
      <c r="Z25" s="182">
        <v>4</v>
      </c>
      <c r="AA25" s="182">
        <v>2141.9999999999964</v>
      </c>
      <c r="AB25" s="182">
        <v>535.49999999999909</v>
      </c>
      <c r="AC25" s="490">
        <f t="shared" si="5"/>
        <v>19</v>
      </c>
      <c r="AD25" s="636"/>
      <c r="AE25" s="182">
        <v>4</v>
      </c>
      <c r="AF25" s="182">
        <v>2045.9999999999964</v>
      </c>
      <c r="AG25" s="182">
        <v>511.49999999999909</v>
      </c>
      <c r="AH25" s="490">
        <f t="shared" si="6"/>
        <v>19</v>
      </c>
      <c r="AI25" s="636"/>
      <c r="AJ25" s="182">
        <v>4</v>
      </c>
      <c r="AK25" s="182">
        <v>2433.600000000024</v>
      </c>
      <c r="AL25" s="182">
        <v>608.400000000006</v>
      </c>
      <c r="AM25" s="490">
        <f t="shared" si="7"/>
        <v>18</v>
      </c>
      <c r="AN25" s="636"/>
      <c r="AO25" s="182">
        <v>4</v>
      </c>
      <c r="AP25" s="182">
        <v>2081.1428571428455</v>
      </c>
      <c r="AQ25" s="182">
        <v>520.28571428571138</v>
      </c>
      <c r="AR25" s="490">
        <f t="shared" si="8"/>
        <v>19</v>
      </c>
      <c r="AS25" s="636"/>
      <c r="AT25" s="182">
        <v>4</v>
      </c>
      <c r="AU25" s="182">
        <v>2249.1428571428446</v>
      </c>
      <c r="AV25" s="182">
        <v>562.28571428571115</v>
      </c>
      <c r="AW25" s="490">
        <f t="shared" si="9"/>
        <v>18</v>
      </c>
      <c r="AX25" s="636"/>
      <c r="AZ25" s="529" t="e">
        <f t="shared" si="10"/>
        <v>#N/A</v>
      </c>
      <c r="BA25" s="636"/>
    </row>
    <row r="26" spans="2:53">
      <c r="B26" s="622"/>
      <c r="C26" s="490">
        <v>20</v>
      </c>
      <c r="D26" s="505" t="s">
        <v>781</v>
      </c>
      <c r="E26" s="505">
        <v>4</v>
      </c>
      <c r="F26" s="505">
        <v>2800</v>
      </c>
      <c r="G26" s="182">
        <v>700</v>
      </c>
      <c r="H26" s="624"/>
      <c r="I26" s="516">
        <f t="shared" si="0"/>
        <v>4</v>
      </c>
      <c r="J26" s="516">
        <f t="shared" si="1"/>
        <v>2818.1127960406839</v>
      </c>
      <c r="K26" s="200">
        <f t="shared" si="2"/>
        <v>704.52819901017097</v>
      </c>
      <c r="L26" s="596"/>
      <c r="M26" s="516">
        <f>RANK(K26, K$7:$K$36)</f>
        <v>15</v>
      </c>
      <c r="N26" s="614"/>
      <c r="O26" s="614"/>
      <c r="P26" s="182">
        <v>4</v>
      </c>
      <c r="Q26" s="182">
        <v>2784.9056603773574</v>
      </c>
      <c r="R26" s="182">
        <v>696.22641509433936</v>
      </c>
      <c r="S26" s="490">
        <f t="shared" si="3"/>
        <v>15</v>
      </c>
      <c r="T26" s="636"/>
      <c r="U26" s="182">
        <v>4</v>
      </c>
      <c r="V26" s="182">
        <v>2855.9999999999986</v>
      </c>
      <c r="W26" s="182">
        <v>713.99999999999966</v>
      </c>
      <c r="X26" s="490">
        <f t="shared" si="4"/>
        <v>15</v>
      </c>
      <c r="Y26" s="636"/>
      <c r="Z26" s="182">
        <v>4</v>
      </c>
      <c r="AA26" s="182">
        <v>2741.9999999999991</v>
      </c>
      <c r="AB26" s="182">
        <v>685.49999999999977</v>
      </c>
      <c r="AC26" s="490">
        <f t="shared" si="5"/>
        <v>16</v>
      </c>
      <c r="AD26" s="636"/>
      <c r="AE26" s="182">
        <v>4</v>
      </c>
      <c r="AF26" s="182">
        <v>2821.578947368419</v>
      </c>
      <c r="AG26" s="182">
        <v>705.39473684210475</v>
      </c>
      <c r="AH26" s="490">
        <f t="shared" si="6"/>
        <v>16</v>
      </c>
      <c r="AI26" s="636"/>
      <c r="AJ26" s="182">
        <v>4</v>
      </c>
      <c r="AK26" s="182">
        <v>2911.666666666667</v>
      </c>
      <c r="AL26" s="182">
        <v>727.91666666666674</v>
      </c>
      <c r="AM26" s="490">
        <f t="shared" si="7"/>
        <v>14</v>
      </c>
      <c r="AN26" s="636"/>
      <c r="AO26" s="182">
        <v>4</v>
      </c>
      <c r="AP26" s="182">
        <v>2820.0000000000036</v>
      </c>
      <c r="AQ26" s="182">
        <v>705.00000000000091</v>
      </c>
      <c r="AR26" s="490">
        <f t="shared" si="8"/>
        <v>16</v>
      </c>
      <c r="AS26" s="636"/>
      <c r="AT26" s="182">
        <v>4</v>
      </c>
      <c r="AU26" s="182">
        <v>2790.6382978723409</v>
      </c>
      <c r="AV26" s="182">
        <v>697.65957446808522</v>
      </c>
      <c r="AW26" s="490">
        <f t="shared" si="9"/>
        <v>14</v>
      </c>
      <c r="AX26" s="636"/>
      <c r="AZ26" s="529" t="e">
        <f t="shared" si="10"/>
        <v>#N/A</v>
      </c>
      <c r="BA26" s="636"/>
    </row>
    <row r="27" spans="2:53">
      <c r="B27" s="622"/>
      <c r="C27" s="490">
        <v>21</v>
      </c>
      <c r="D27" s="508" t="s">
        <v>802</v>
      </c>
      <c r="E27" s="505">
        <v>12</v>
      </c>
      <c r="F27" s="505">
        <v>1500</v>
      </c>
      <c r="G27" s="182">
        <v>125</v>
      </c>
      <c r="H27" s="624"/>
      <c r="I27" s="516">
        <f t="shared" si="0"/>
        <v>11.714285714285714</v>
      </c>
      <c r="J27" s="516">
        <f t="shared" si="1"/>
        <v>1268.7495371423945</v>
      </c>
      <c r="K27" s="200">
        <f t="shared" si="2"/>
        <v>108.14671051278197</v>
      </c>
      <c r="L27" s="596"/>
      <c r="M27" s="516">
        <f>RANK(K27, K$7:$K$36)</f>
        <v>22</v>
      </c>
      <c r="N27" s="614"/>
      <c r="O27" s="614"/>
      <c r="P27" s="182">
        <v>12</v>
      </c>
      <c r="Q27" s="182">
        <v>1378.3783783783772</v>
      </c>
      <c r="R27" s="182">
        <v>114.86486486486477</v>
      </c>
      <c r="S27" s="490">
        <f t="shared" si="3"/>
        <v>22</v>
      </c>
      <c r="T27" s="636"/>
      <c r="U27" s="182">
        <v>12</v>
      </c>
      <c r="V27" s="182">
        <v>1435.7142857142826</v>
      </c>
      <c r="W27" s="182">
        <v>119.64285714285688</v>
      </c>
      <c r="X27" s="490">
        <f t="shared" si="4"/>
        <v>21</v>
      </c>
      <c r="Y27" s="636"/>
      <c r="Z27" s="182">
        <v>10</v>
      </c>
      <c r="AA27" s="182">
        <v>1015.3846153846129</v>
      </c>
      <c r="AB27" s="182">
        <v>101.53846153846129</v>
      </c>
      <c r="AC27" s="490">
        <f t="shared" si="5"/>
        <v>22</v>
      </c>
      <c r="AD27" s="636"/>
      <c r="AE27" s="182">
        <v>12</v>
      </c>
      <c r="AF27" s="182">
        <v>1361.250000000005</v>
      </c>
      <c r="AG27" s="182">
        <v>113.43750000000041</v>
      </c>
      <c r="AH27" s="490">
        <f t="shared" si="6"/>
        <v>21</v>
      </c>
      <c r="AI27" s="636"/>
      <c r="AJ27" s="182">
        <v>12</v>
      </c>
      <c r="AK27" s="182">
        <v>1200.0000000000043</v>
      </c>
      <c r="AL27" s="182">
        <v>100.00000000000036</v>
      </c>
      <c r="AM27" s="490">
        <f t="shared" si="7"/>
        <v>22</v>
      </c>
      <c r="AN27" s="636"/>
      <c r="AO27" s="182">
        <v>12</v>
      </c>
      <c r="AP27" s="182">
        <v>1211.4285714285757</v>
      </c>
      <c r="AQ27" s="182">
        <v>100.9523809523813</v>
      </c>
      <c r="AR27" s="490">
        <f t="shared" si="8"/>
        <v>22</v>
      </c>
      <c r="AS27" s="636"/>
      <c r="AT27" s="182">
        <v>12</v>
      </c>
      <c r="AU27" s="182">
        <v>1279.0909090909042</v>
      </c>
      <c r="AV27" s="182">
        <v>106.59090909090868</v>
      </c>
      <c r="AW27" s="490">
        <f t="shared" si="9"/>
        <v>20</v>
      </c>
      <c r="AX27" s="636"/>
      <c r="AZ27" s="529" t="e">
        <f t="shared" si="10"/>
        <v>#N/A</v>
      </c>
      <c r="BA27" s="636"/>
    </row>
    <row r="28" spans="2:53">
      <c r="B28" s="622"/>
      <c r="C28" s="490">
        <v>22</v>
      </c>
      <c r="D28" s="505" t="s">
        <v>820</v>
      </c>
      <c r="E28" s="505">
        <v>12</v>
      </c>
      <c r="F28" s="505">
        <v>1500</v>
      </c>
      <c r="G28" s="505">
        <v>125</v>
      </c>
      <c r="H28" s="624"/>
      <c r="I28" s="516">
        <f t="shared" si="0"/>
        <v>12</v>
      </c>
      <c r="J28" s="516">
        <f t="shared" si="1"/>
        <v>1326.6341861264129</v>
      </c>
      <c r="K28" s="200">
        <f t="shared" si="2"/>
        <v>110.55284884386775</v>
      </c>
      <c r="L28" s="596"/>
      <c r="M28" s="516">
        <f>RANK(K28, K$7:$K$36)</f>
        <v>21</v>
      </c>
      <c r="N28" s="614"/>
      <c r="O28" s="614"/>
      <c r="P28" s="182">
        <v>12</v>
      </c>
      <c r="Q28" s="182">
        <v>1398.9041095890414</v>
      </c>
      <c r="R28" s="182">
        <v>116.57534246575345</v>
      </c>
      <c r="S28" s="490">
        <f t="shared" si="3"/>
        <v>21</v>
      </c>
      <c r="T28" s="636"/>
      <c r="U28" s="182">
        <v>12</v>
      </c>
      <c r="V28" s="182">
        <v>1405.0684931506853</v>
      </c>
      <c r="W28" s="182">
        <v>117.08904109589044</v>
      </c>
      <c r="X28" s="490">
        <f t="shared" si="4"/>
        <v>22</v>
      </c>
      <c r="Y28" s="636"/>
      <c r="Z28" s="182">
        <v>12</v>
      </c>
      <c r="AA28" s="182">
        <v>1434.6341463414631</v>
      </c>
      <c r="AB28" s="182">
        <v>119.55284552845525</v>
      </c>
      <c r="AC28" s="490">
        <f t="shared" si="5"/>
        <v>21</v>
      </c>
      <c r="AD28" s="636"/>
      <c r="AE28" s="182">
        <v>12</v>
      </c>
      <c r="AF28" s="182">
        <v>1332.4528301886799</v>
      </c>
      <c r="AG28" s="182">
        <v>111.03773584905666</v>
      </c>
      <c r="AH28" s="490">
        <f t="shared" si="6"/>
        <v>22</v>
      </c>
      <c r="AI28" s="636"/>
      <c r="AJ28" s="182">
        <v>12</v>
      </c>
      <c r="AK28" s="182">
        <v>1251.0810810810829</v>
      </c>
      <c r="AL28" s="182">
        <v>104.2567567567569</v>
      </c>
      <c r="AM28" s="490">
        <f t="shared" si="7"/>
        <v>21</v>
      </c>
      <c r="AN28" s="636"/>
      <c r="AO28" s="182">
        <v>12</v>
      </c>
      <c r="AP28" s="182">
        <v>1260.76923076923</v>
      </c>
      <c r="AQ28" s="182">
        <v>105.0641025641025</v>
      </c>
      <c r="AR28" s="490">
        <f t="shared" si="8"/>
        <v>21</v>
      </c>
      <c r="AS28" s="636"/>
      <c r="AT28" s="182">
        <v>12</v>
      </c>
      <c r="AU28" s="182">
        <v>1203.5294117647077</v>
      </c>
      <c r="AV28" s="182">
        <v>100.29411764705897</v>
      </c>
      <c r="AW28" s="490">
        <f t="shared" si="9"/>
        <v>21</v>
      </c>
      <c r="AX28" s="636"/>
      <c r="AZ28" s="529" t="e">
        <f t="shared" si="10"/>
        <v>#N/A</v>
      </c>
      <c r="BA28" s="636"/>
    </row>
    <row r="29" spans="2:53">
      <c r="B29" s="622"/>
      <c r="C29" s="490">
        <v>23</v>
      </c>
      <c r="D29" s="505"/>
      <c r="E29" s="505"/>
      <c r="F29" s="505"/>
      <c r="G29" s="505"/>
      <c r="H29" s="624"/>
      <c r="I29" s="516" t="str">
        <f t="shared" si="0"/>
        <v>-</v>
      </c>
      <c r="J29" s="516" t="str">
        <f t="shared" si="1"/>
        <v>-</v>
      </c>
      <c r="K29" s="200" t="str">
        <f t="shared" si="2"/>
        <v>-</v>
      </c>
      <c r="L29" s="596"/>
      <c r="M29" s="516" t="e">
        <f>RANK(K29, K$7:$K$36)</f>
        <v>#VALUE!</v>
      </c>
      <c r="N29" s="614"/>
      <c r="O29" s="614"/>
      <c r="P29" s="490"/>
      <c r="Q29" s="490"/>
      <c r="R29" s="491"/>
      <c r="S29" s="490" t="e">
        <f t="shared" si="3"/>
        <v>#N/A</v>
      </c>
      <c r="T29" s="636"/>
      <c r="U29" s="514"/>
      <c r="V29" s="514"/>
      <c r="W29" s="515"/>
      <c r="X29" s="490" t="e">
        <f t="shared" si="4"/>
        <v>#N/A</v>
      </c>
      <c r="Y29" s="636"/>
      <c r="Z29" s="514"/>
      <c r="AA29" s="514"/>
      <c r="AB29" s="515"/>
      <c r="AC29" s="490" t="e">
        <f t="shared" si="5"/>
        <v>#N/A</v>
      </c>
      <c r="AD29" s="636"/>
      <c r="AE29" s="514"/>
      <c r="AF29" s="514"/>
      <c r="AG29" s="515"/>
      <c r="AH29" s="490" t="e">
        <f t="shared" si="6"/>
        <v>#N/A</v>
      </c>
      <c r="AI29" s="636"/>
      <c r="AJ29" s="514"/>
      <c r="AK29" s="514"/>
      <c r="AL29" s="515"/>
      <c r="AM29" s="490" t="e">
        <f t="shared" si="7"/>
        <v>#N/A</v>
      </c>
      <c r="AN29" s="636"/>
      <c r="AO29" s="514"/>
      <c r="AP29" s="514"/>
      <c r="AQ29" s="515"/>
      <c r="AR29" s="490" t="e">
        <f t="shared" si="8"/>
        <v>#N/A</v>
      </c>
      <c r="AS29" s="636"/>
      <c r="AT29" s="514"/>
      <c r="AU29" s="514"/>
      <c r="AV29" s="515"/>
      <c r="AW29" s="490" t="e">
        <f t="shared" si="9"/>
        <v>#N/A</v>
      </c>
      <c r="AX29" s="636"/>
      <c r="AZ29" s="529" t="e">
        <f t="shared" si="10"/>
        <v>#N/A</v>
      </c>
      <c r="BA29" s="636"/>
    </row>
    <row r="30" spans="2:53">
      <c r="B30" s="622"/>
      <c r="C30" s="490">
        <v>24</v>
      </c>
      <c r="D30" s="505"/>
      <c r="E30" s="505"/>
      <c r="F30" s="505"/>
      <c r="G30" s="505"/>
      <c r="H30" s="624"/>
      <c r="I30" s="516" t="str">
        <f t="shared" si="0"/>
        <v>-</v>
      </c>
      <c r="J30" s="516" t="str">
        <f t="shared" si="1"/>
        <v>-</v>
      </c>
      <c r="K30" s="200" t="str">
        <f t="shared" si="2"/>
        <v>-</v>
      </c>
      <c r="L30" s="596"/>
      <c r="M30" s="516" t="e">
        <f>RANK(K30, K$7:$K$36)</f>
        <v>#VALUE!</v>
      </c>
      <c r="N30" s="614"/>
      <c r="O30" s="614"/>
      <c r="P30" s="490"/>
      <c r="Q30" s="490"/>
      <c r="R30" s="490"/>
      <c r="S30" s="490" t="e">
        <f t="shared" si="3"/>
        <v>#N/A</v>
      </c>
      <c r="T30" s="636"/>
      <c r="U30" s="514"/>
      <c r="V30" s="514"/>
      <c r="W30" s="514"/>
      <c r="X30" s="490" t="e">
        <f t="shared" si="4"/>
        <v>#N/A</v>
      </c>
      <c r="Y30" s="636"/>
      <c r="Z30" s="514"/>
      <c r="AA30" s="514"/>
      <c r="AB30" s="514"/>
      <c r="AC30" s="490" t="e">
        <f t="shared" si="5"/>
        <v>#N/A</v>
      </c>
      <c r="AD30" s="636"/>
      <c r="AE30" s="514"/>
      <c r="AF30" s="514"/>
      <c r="AG30" s="514"/>
      <c r="AH30" s="490" t="e">
        <f t="shared" si="6"/>
        <v>#N/A</v>
      </c>
      <c r="AI30" s="636"/>
      <c r="AJ30" s="514"/>
      <c r="AK30" s="514"/>
      <c r="AL30" s="514"/>
      <c r="AM30" s="490" t="e">
        <f t="shared" si="7"/>
        <v>#N/A</v>
      </c>
      <c r="AN30" s="636"/>
      <c r="AO30" s="514"/>
      <c r="AP30" s="514"/>
      <c r="AQ30" s="514"/>
      <c r="AR30" s="490" t="e">
        <f t="shared" si="8"/>
        <v>#N/A</v>
      </c>
      <c r="AS30" s="636"/>
      <c r="AT30" s="514"/>
      <c r="AU30" s="514"/>
      <c r="AV30" s="514"/>
      <c r="AW30" s="490" t="e">
        <f t="shared" si="9"/>
        <v>#N/A</v>
      </c>
      <c r="AX30" s="636"/>
      <c r="AZ30" s="529" t="e">
        <f t="shared" si="10"/>
        <v>#N/A</v>
      </c>
      <c r="BA30" s="636"/>
    </row>
    <row r="31" spans="2:53">
      <c r="B31" s="622"/>
      <c r="C31" s="490">
        <v>25</v>
      </c>
      <c r="D31" s="505"/>
      <c r="E31" s="505"/>
      <c r="F31" s="505"/>
      <c r="G31" s="505"/>
      <c r="H31" s="624"/>
      <c r="I31" s="516" t="str">
        <f t="shared" si="0"/>
        <v>-</v>
      </c>
      <c r="J31" s="516" t="str">
        <f t="shared" si="1"/>
        <v>-</v>
      </c>
      <c r="K31" s="200" t="str">
        <f t="shared" si="2"/>
        <v>-</v>
      </c>
      <c r="L31" s="596"/>
      <c r="M31" s="516" t="e">
        <f>RANK(K31, K$7:$K$36)</f>
        <v>#VALUE!</v>
      </c>
      <c r="N31" s="614"/>
      <c r="O31" s="614"/>
      <c r="P31" s="490"/>
      <c r="Q31" s="490"/>
      <c r="R31" s="490"/>
      <c r="S31" s="490" t="e">
        <f t="shared" si="3"/>
        <v>#N/A</v>
      </c>
      <c r="T31" s="636"/>
      <c r="U31" s="514"/>
      <c r="V31" s="514"/>
      <c r="W31" s="514"/>
      <c r="X31" s="490" t="e">
        <f t="shared" si="4"/>
        <v>#N/A</v>
      </c>
      <c r="Y31" s="636"/>
      <c r="Z31" s="514"/>
      <c r="AA31" s="514"/>
      <c r="AB31" s="514"/>
      <c r="AC31" s="490" t="e">
        <f t="shared" si="5"/>
        <v>#N/A</v>
      </c>
      <c r="AD31" s="636"/>
      <c r="AE31" s="514"/>
      <c r="AF31" s="514"/>
      <c r="AG31" s="514"/>
      <c r="AH31" s="490" t="e">
        <f t="shared" si="6"/>
        <v>#N/A</v>
      </c>
      <c r="AI31" s="636"/>
      <c r="AJ31" s="514"/>
      <c r="AK31" s="514"/>
      <c r="AL31" s="514"/>
      <c r="AM31" s="490" t="e">
        <f t="shared" si="7"/>
        <v>#N/A</v>
      </c>
      <c r="AN31" s="636"/>
      <c r="AO31" s="514"/>
      <c r="AP31" s="514"/>
      <c r="AQ31" s="514"/>
      <c r="AR31" s="490" t="e">
        <f t="shared" si="8"/>
        <v>#N/A</v>
      </c>
      <c r="AS31" s="636"/>
      <c r="AT31" s="514"/>
      <c r="AU31" s="514"/>
      <c r="AV31" s="514"/>
      <c r="AW31" s="490" t="e">
        <f t="shared" si="9"/>
        <v>#N/A</v>
      </c>
      <c r="AX31" s="636"/>
      <c r="AZ31" s="529" t="e">
        <f t="shared" si="10"/>
        <v>#N/A</v>
      </c>
      <c r="BA31" s="636"/>
    </row>
    <row r="32" spans="2:53">
      <c r="B32" s="622"/>
      <c r="C32" s="490">
        <v>26</v>
      </c>
      <c r="D32" s="505"/>
      <c r="E32" s="505"/>
      <c r="F32" s="505"/>
      <c r="G32" s="505"/>
      <c r="H32" s="624"/>
      <c r="I32" s="516" t="str">
        <f t="shared" si="0"/>
        <v>-</v>
      </c>
      <c r="J32" s="516" t="str">
        <f t="shared" si="1"/>
        <v>-</v>
      </c>
      <c r="K32" s="200" t="str">
        <f t="shared" si="2"/>
        <v>-</v>
      </c>
      <c r="L32" s="596"/>
      <c r="M32" s="516" t="e">
        <f>RANK(K32, K$7:$K$36)</f>
        <v>#VALUE!</v>
      </c>
      <c r="N32" s="614"/>
      <c r="O32" s="614"/>
      <c r="P32" s="490"/>
      <c r="Q32" s="490"/>
      <c r="R32" s="490"/>
      <c r="S32" s="490" t="e">
        <f t="shared" si="3"/>
        <v>#N/A</v>
      </c>
      <c r="T32" s="636"/>
      <c r="U32" s="514"/>
      <c r="V32" s="514"/>
      <c r="W32" s="514"/>
      <c r="X32" s="490" t="e">
        <f t="shared" si="4"/>
        <v>#N/A</v>
      </c>
      <c r="Y32" s="636"/>
      <c r="Z32" s="514"/>
      <c r="AA32" s="514"/>
      <c r="AB32" s="514"/>
      <c r="AC32" s="490" t="e">
        <f t="shared" si="5"/>
        <v>#N/A</v>
      </c>
      <c r="AD32" s="636"/>
      <c r="AE32" s="514"/>
      <c r="AF32" s="514"/>
      <c r="AG32" s="514"/>
      <c r="AH32" s="490" t="e">
        <f t="shared" si="6"/>
        <v>#N/A</v>
      </c>
      <c r="AI32" s="636"/>
      <c r="AJ32" s="514"/>
      <c r="AK32" s="514"/>
      <c r="AL32" s="514"/>
      <c r="AM32" s="490" t="e">
        <f t="shared" si="7"/>
        <v>#N/A</v>
      </c>
      <c r="AN32" s="636"/>
      <c r="AO32" s="514"/>
      <c r="AP32" s="514"/>
      <c r="AQ32" s="514"/>
      <c r="AR32" s="490" t="e">
        <f t="shared" si="8"/>
        <v>#N/A</v>
      </c>
      <c r="AS32" s="636"/>
      <c r="AT32" s="514"/>
      <c r="AU32" s="514"/>
      <c r="AV32" s="514"/>
      <c r="AW32" s="490" t="e">
        <f t="shared" si="9"/>
        <v>#N/A</v>
      </c>
      <c r="AX32" s="636"/>
      <c r="AZ32" s="529" t="e">
        <f t="shared" si="10"/>
        <v>#N/A</v>
      </c>
      <c r="BA32" s="636"/>
    </row>
    <row r="33" spans="2:53">
      <c r="B33" s="622"/>
      <c r="C33" s="490">
        <v>27</v>
      </c>
      <c r="D33" s="505"/>
      <c r="E33" s="505"/>
      <c r="F33" s="505"/>
      <c r="G33" s="505"/>
      <c r="H33" s="624"/>
      <c r="I33" s="516" t="str">
        <f t="shared" si="0"/>
        <v>-</v>
      </c>
      <c r="J33" s="516" t="str">
        <f t="shared" si="1"/>
        <v>-</v>
      </c>
      <c r="K33" s="200" t="str">
        <f t="shared" si="2"/>
        <v>-</v>
      </c>
      <c r="L33" s="596"/>
      <c r="M33" s="516" t="e">
        <f>RANK(K33, K$7:$K$36)</f>
        <v>#VALUE!</v>
      </c>
      <c r="N33" s="614"/>
      <c r="O33" s="614"/>
      <c r="P33" s="490"/>
      <c r="Q33" s="490"/>
      <c r="R33" s="490"/>
      <c r="S33" s="490" t="e">
        <f t="shared" si="3"/>
        <v>#N/A</v>
      </c>
      <c r="T33" s="636"/>
      <c r="U33" s="514"/>
      <c r="V33" s="514"/>
      <c r="W33" s="514"/>
      <c r="X33" s="490" t="e">
        <f t="shared" si="4"/>
        <v>#N/A</v>
      </c>
      <c r="Y33" s="636"/>
      <c r="Z33" s="514"/>
      <c r="AA33" s="514"/>
      <c r="AB33" s="514"/>
      <c r="AC33" s="490" t="e">
        <f t="shared" si="5"/>
        <v>#N/A</v>
      </c>
      <c r="AD33" s="636"/>
      <c r="AE33" s="514"/>
      <c r="AF33" s="514"/>
      <c r="AG33" s="514"/>
      <c r="AH33" s="490" t="e">
        <f t="shared" si="6"/>
        <v>#N/A</v>
      </c>
      <c r="AI33" s="636"/>
      <c r="AJ33" s="514"/>
      <c r="AK33" s="514"/>
      <c r="AL33" s="514"/>
      <c r="AM33" s="490" t="e">
        <f t="shared" si="7"/>
        <v>#N/A</v>
      </c>
      <c r="AN33" s="636"/>
      <c r="AO33" s="514"/>
      <c r="AP33" s="514"/>
      <c r="AQ33" s="514"/>
      <c r="AR33" s="490" t="e">
        <f t="shared" si="8"/>
        <v>#N/A</v>
      </c>
      <c r="AS33" s="636"/>
      <c r="AT33" s="514"/>
      <c r="AU33" s="514"/>
      <c r="AV33" s="514"/>
      <c r="AW33" s="490" t="e">
        <f t="shared" si="9"/>
        <v>#N/A</v>
      </c>
      <c r="AX33" s="636"/>
      <c r="AZ33" s="529" t="e">
        <f t="shared" si="10"/>
        <v>#N/A</v>
      </c>
      <c r="BA33" s="636"/>
    </row>
    <row r="34" spans="2:53">
      <c r="B34" s="622"/>
      <c r="C34" s="490">
        <v>28</v>
      </c>
      <c r="D34" s="505"/>
      <c r="E34" s="505"/>
      <c r="F34" s="505"/>
      <c r="G34" s="505"/>
      <c r="H34" s="624"/>
      <c r="I34" s="516" t="str">
        <f t="shared" si="0"/>
        <v>-</v>
      </c>
      <c r="J34" s="516" t="str">
        <f t="shared" si="1"/>
        <v>-</v>
      </c>
      <c r="K34" s="200" t="str">
        <f t="shared" si="2"/>
        <v>-</v>
      </c>
      <c r="L34" s="596"/>
      <c r="M34" s="516" t="e">
        <f>RANK(K34, K$7:$K$36)</f>
        <v>#VALUE!</v>
      </c>
      <c r="N34" s="614"/>
      <c r="O34" s="614"/>
      <c r="P34" s="490"/>
      <c r="Q34" s="490"/>
      <c r="R34" s="490"/>
      <c r="S34" s="490" t="e">
        <f t="shared" si="3"/>
        <v>#N/A</v>
      </c>
      <c r="T34" s="636"/>
      <c r="U34" s="514"/>
      <c r="V34" s="514"/>
      <c r="W34" s="514"/>
      <c r="X34" s="490" t="e">
        <f t="shared" si="4"/>
        <v>#N/A</v>
      </c>
      <c r="Y34" s="636"/>
      <c r="Z34" s="514"/>
      <c r="AA34" s="514"/>
      <c r="AB34" s="514"/>
      <c r="AC34" s="490" t="e">
        <f t="shared" si="5"/>
        <v>#N/A</v>
      </c>
      <c r="AD34" s="636"/>
      <c r="AE34" s="514"/>
      <c r="AF34" s="514"/>
      <c r="AG34" s="514"/>
      <c r="AH34" s="490" t="e">
        <f t="shared" si="6"/>
        <v>#N/A</v>
      </c>
      <c r="AI34" s="636"/>
      <c r="AJ34" s="514"/>
      <c r="AK34" s="514"/>
      <c r="AL34" s="514"/>
      <c r="AM34" s="490" t="e">
        <f t="shared" si="7"/>
        <v>#N/A</v>
      </c>
      <c r="AN34" s="636"/>
      <c r="AO34" s="514"/>
      <c r="AP34" s="514"/>
      <c r="AQ34" s="514"/>
      <c r="AR34" s="490" t="e">
        <f t="shared" si="8"/>
        <v>#N/A</v>
      </c>
      <c r="AS34" s="636"/>
      <c r="AT34" s="514"/>
      <c r="AU34" s="514"/>
      <c r="AV34" s="514"/>
      <c r="AW34" s="490" t="e">
        <f t="shared" si="9"/>
        <v>#N/A</v>
      </c>
      <c r="AX34" s="636"/>
      <c r="AZ34" s="529" t="e">
        <f t="shared" si="10"/>
        <v>#N/A</v>
      </c>
      <c r="BA34" s="636"/>
    </row>
    <row r="35" spans="2:53">
      <c r="B35" s="622"/>
      <c r="C35" s="490">
        <v>29</v>
      </c>
      <c r="D35" s="505"/>
      <c r="E35" s="505"/>
      <c r="F35" s="505"/>
      <c r="G35" s="505"/>
      <c r="H35" s="624"/>
      <c r="I35" s="516" t="str">
        <f t="shared" si="0"/>
        <v>-</v>
      </c>
      <c r="J35" s="516" t="str">
        <f t="shared" si="1"/>
        <v>-</v>
      </c>
      <c r="K35" s="200" t="str">
        <f t="shared" si="2"/>
        <v>-</v>
      </c>
      <c r="L35" s="596"/>
      <c r="M35" s="516" t="e">
        <f>RANK(K35, K$7:$K$36)</f>
        <v>#VALUE!</v>
      </c>
      <c r="N35" s="614"/>
      <c r="O35" s="614"/>
      <c r="P35" s="490"/>
      <c r="Q35" s="490"/>
      <c r="R35" s="490"/>
      <c r="S35" s="490" t="e">
        <f t="shared" si="3"/>
        <v>#N/A</v>
      </c>
      <c r="T35" s="636"/>
      <c r="U35" s="514"/>
      <c r="V35" s="514"/>
      <c r="W35" s="514"/>
      <c r="X35" s="490" t="e">
        <f t="shared" si="4"/>
        <v>#N/A</v>
      </c>
      <c r="Y35" s="636"/>
      <c r="Z35" s="514"/>
      <c r="AA35" s="514"/>
      <c r="AB35" s="514"/>
      <c r="AC35" s="490" t="e">
        <f t="shared" si="5"/>
        <v>#N/A</v>
      </c>
      <c r="AD35" s="636"/>
      <c r="AE35" s="514"/>
      <c r="AF35" s="514"/>
      <c r="AG35" s="514"/>
      <c r="AH35" s="490" t="e">
        <f t="shared" si="6"/>
        <v>#N/A</v>
      </c>
      <c r="AI35" s="636"/>
      <c r="AJ35" s="514"/>
      <c r="AK35" s="514"/>
      <c r="AL35" s="514"/>
      <c r="AM35" s="490" t="e">
        <f t="shared" si="7"/>
        <v>#N/A</v>
      </c>
      <c r="AN35" s="636"/>
      <c r="AO35" s="514"/>
      <c r="AP35" s="514"/>
      <c r="AQ35" s="514"/>
      <c r="AR35" s="490" t="e">
        <f t="shared" si="8"/>
        <v>#N/A</v>
      </c>
      <c r="AS35" s="636"/>
      <c r="AT35" s="514"/>
      <c r="AU35" s="514"/>
      <c r="AV35" s="514"/>
      <c r="AW35" s="490" t="e">
        <f t="shared" si="9"/>
        <v>#N/A</v>
      </c>
      <c r="AX35" s="636"/>
      <c r="AZ35" s="529" t="e">
        <f t="shared" si="10"/>
        <v>#N/A</v>
      </c>
      <c r="BA35" s="636"/>
    </row>
    <row r="36" spans="2:53">
      <c r="B36" s="622"/>
      <c r="C36" s="490">
        <v>30</v>
      </c>
      <c r="D36" s="505"/>
      <c r="E36" s="505"/>
      <c r="F36" s="505"/>
      <c r="G36" s="505"/>
      <c r="H36" s="625"/>
      <c r="I36" s="516" t="str">
        <f t="shared" si="0"/>
        <v>-</v>
      </c>
      <c r="J36" s="516" t="str">
        <f t="shared" si="1"/>
        <v>-</v>
      </c>
      <c r="K36" s="200" t="str">
        <f t="shared" si="2"/>
        <v>-</v>
      </c>
      <c r="L36" s="597"/>
      <c r="M36" s="516" t="e">
        <f>RANK(K36, K$7:$K$36)</f>
        <v>#VALUE!</v>
      </c>
      <c r="N36" s="614"/>
      <c r="O36" s="614"/>
      <c r="P36" s="490"/>
      <c r="Q36" s="490"/>
      <c r="R36" s="490"/>
      <c r="S36" s="490" t="e">
        <f t="shared" si="3"/>
        <v>#N/A</v>
      </c>
      <c r="T36" s="636"/>
      <c r="U36" s="514"/>
      <c r="V36" s="514"/>
      <c r="W36" s="514"/>
      <c r="X36" s="490" t="e">
        <f t="shared" si="4"/>
        <v>#N/A</v>
      </c>
      <c r="Y36" s="636"/>
      <c r="Z36" s="514"/>
      <c r="AA36" s="514"/>
      <c r="AB36" s="514"/>
      <c r="AC36" s="490" t="e">
        <f t="shared" si="5"/>
        <v>#N/A</v>
      </c>
      <c r="AD36" s="636"/>
      <c r="AE36" s="514"/>
      <c r="AF36" s="514"/>
      <c r="AG36" s="514"/>
      <c r="AH36" s="490" t="e">
        <f t="shared" si="6"/>
        <v>#N/A</v>
      </c>
      <c r="AI36" s="636"/>
      <c r="AJ36" s="514"/>
      <c r="AK36" s="514"/>
      <c r="AL36" s="514"/>
      <c r="AM36" s="490" t="e">
        <f t="shared" si="7"/>
        <v>#N/A</v>
      </c>
      <c r="AN36" s="636"/>
      <c r="AO36" s="514"/>
      <c r="AP36" s="514"/>
      <c r="AQ36" s="514"/>
      <c r="AR36" s="490" t="e">
        <f t="shared" si="8"/>
        <v>#N/A</v>
      </c>
      <c r="AS36" s="636"/>
      <c r="AT36" s="514"/>
      <c r="AU36" s="514"/>
      <c r="AV36" s="514"/>
      <c r="AW36" s="490" t="e">
        <f t="shared" si="9"/>
        <v>#N/A</v>
      </c>
      <c r="AX36" s="636"/>
      <c r="AZ36" s="529" t="e">
        <f t="shared" si="10"/>
        <v>#N/A</v>
      </c>
      <c r="BA36" s="636"/>
    </row>
    <row r="37" spans="2:53" ht="15.75">
      <c r="B37" s="640" t="s">
        <v>163</v>
      </c>
      <c r="C37" s="641"/>
      <c r="D37" s="641"/>
      <c r="E37" s="641"/>
      <c r="F37" s="641"/>
      <c r="G37" s="641"/>
      <c r="H37" s="641"/>
      <c r="I37" s="203"/>
      <c r="J37" s="203"/>
      <c r="K37" s="203"/>
      <c r="L37" s="203"/>
      <c r="M37" s="204"/>
      <c r="N37" s="615" t="s">
        <v>156</v>
      </c>
      <c r="O37" s="615" t="s">
        <v>155</v>
      </c>
      <c r="P37" s="621">
        <f>P2+7</f>
        <v>46119</v>
      </c>
      <c r="Q37" s="622"/>
      <c r="R37" s="622"/>
      <c r="S37" s="622"/>
      <c r="T37" s="622"/>
      <c r="U37" s="621">
        <f>P37+1</f>
        <v>46120</v>
      </c>
      <c r="V37" s="622"/>
      <c r="W37" s="622"/>
      <c r="X37" s="622"/>
      <c r="Y37" s="622"/>
      <c r="Z37" s="621">
        <f>U37+1</f>
        <v>46121</v>
      </c>
      <c r="AA37" s="622"/>
      <c r="AB37" s="622"/>
      <c r="AC37" s="622"/>
      <c r="AD37" s="622"/>
      <c r="AE37" s="621">
        <f>Z37+1</f>
        <v>46122</v>
      </c>
      <c r="AF37" s="622"/>
      <c r="AG37" s="622"/>
      <c r="AH37" s="622"/>
      <c r="AI37" s="622"/>
      <c r="AJ37" s="621">
        <f>AE37+1</f>
        <v>46123</v>
      </c>
      <c r="AK37" s="622"/>
      <c r="AL37" s="622"/>
      <c r="AM37" s="622"/>
      <c r="AN37" s="622"/>
      <c r="AO37" s="621">
        <f>AJ37+1</f>
        <v>46124</v>
      </c>
      <c r="AP37" s="622"/>
      <c r="AQ37" s="622"/>
      <c r="AR37" s="622"/>
      <c r="AS37" s="622"/>
      <c r="AT37" s="621">
        <f>AO37+1</f>
        <v>46125</v>
      </c>
      <c r="AU37" s="622"/>
      <c r="AV37" s="622"/>
      <c r="AW37" s="622"/>
      <c r="AX37" s="622"/>
    </row>
    <row r="38" spans="2:53" ht="15.75">
      <c r="B38" s="629"/>
      <c r="C38" s="629"/>
      <c r="D38" s="629"/>
      <c r="E38" s="629"/>
      <c r="F38" s="629"/>
      <c r="G38" s="629"/>
      <c r="H38" s="629"/>
      <c r="I38" s="205"/>
      <c r="J38" s="205"/>
      <c r="K38" s="205"/>
      <c r="L38" s="205"/>
      <c r="M38" s="206"/>
      <c r="N38" s="617"/>
      <c r="O38" s="617"/>
      <c r="P38" s="621" t="s">
        <v>336</v>
      </c>
      <c r="Q38" s="622"/>
      <c r="R38" s="622"/>
      <c r="S38" s="622"/>
      <c r="T38" s="622"/>
      <c r="U38" s="621" t="s">
        <v>337</v>
      </c>
      <c r="V38" s="622"/>
      <c r="W38" s="622"/>
      <c r="X38" s="622"/>
      <c r="Y38" s="622"/>
      <c r="Z38" s="621" t="s">
        <v>338</v>
      </c>
      <c r="AA38" s="622"/>
      <c r="AB38" s="622"/>
      <c r="AC38" s="622"/>
      <c r="AD38" s="622"/>
      <c r="AE38" s="621" t="s">
        <v>339</v>
      </c>
      <c r="AF38" s="622"/>
      <c r="AG38" s="622"/>
      <c r="AH38" s="622"/>
      <c r="AI38" s="622"/>
      <c r="AJ38" s="621" t="s">
        <v>340</v>
      </c>
      <c r="AK38" s="622"/>
      <c r="AL38" s="622"/>
      <c r="AM38" s="622"/>
      <c r="AN38" s="622"/>
      <c r="AO38" s="621" t="s">
        <v>341</v>
      </c>
      <c r="AP38" s="622"/>
      <c r="AQ38" s="622"/>
      <c r="AR38" s="622"/>
      <c r="AS38" s="622"/>
      <c r="AT38" s="621" t="s">
        <v>342</v>
      </c>
      <c r="AU38" s="622"/>
      <c r="AV38" s="622"/>
      <c r="AW38" s="622"/>
      <c r="AX38" s="622"/>
    </row>
    <row r="39" spans="2:53">
      <c r="B39" s="615" t="s">
        <v>466</v>
      </c>
      <c r="C39" s="630" t="s">
        <v>467</v>
      </c>
      <c r="D39" s="633"/>
      <c r="E39" s="611" t="s">
        <v>468</v>
      </c>
      <c r="F39" s="612"/>
      <c r="G39" s="613"/>
      <c r="H39" s="615" t="s">
        <v>395</v>
      </c>
      <c r="I39" s="602" t="s">
        <v>400</v>
      </c>
      <c r="J39" s="603"/>
      <c r="K39" s="604"/>
      <c r="L39" s="605" t="s">
        <v>395</v>
      </c>
      <c r="M39" s="605" t="s">
        <v>396</v>
      </c>
      <c r="N39" s="615"/>
      <c r="O39" s="615" t="s">
        <v>469</v>
      </c>
      <c r="P39" s="611" t="s">
        <v>470</v>
      </c>
      <c r="Q39" s="612"/>
      <c r="R39" s="612"/>
      <c r="S39" s="613"/>
      <c r="T39" s="615" t="s">
        <v>395</v>
      </c>
      <c r="U39" s="611" t="s">
        <v>397</v>
      </c>
      <c r="V39" s="612"/>
      <c r="W39" s="612"/>
      <c r="X39" s="613"/>
      <c r="Y39" s="615" t="s">
        <v>395</v>
      </c>
      <c r="Z39" s="611" t="s">
        <v>397</v>
      </c>
      <c r="AA39" s="612"/>
      <c r="AB39" s="612"/>
      <c r="AC39" s="613"/>
      <c r="AD39" s="615" t="s">
        <v>471</v>
      </c>
      <c r="AE39" s="611" t="s">
        <v>397</v>
      </c>
      <c r="AF39" s="612"/>
      <c r="AG39" s="612"/>
      <c r="AH39" s="613"/>
      <c r="AI39" s="615" t="s">
        <v>395</v>
      </c>
      <c r="AJ39" s="611" t="s">
        <v>397</v>
      </c>
      <c r="AK39" s="612"/>
      <c r="AL39" s="612"/>
      <c r="AM39" s="613"/>
      <c r="AN39" s="615" t="s">
        <v>471</v>
      </c>
      <c r="AO39" s="611" t="s">
        <v>470</v>
      </c>
      <c r="AP39" s="612"/>
      <c r="AQ39" s="612"/>
      <c r="AR39" s="613"/>
      <c r="AS39" s="615" t="s">
        <v>471</v>
      </c>
      <c r="AT39" s="611" t="s">
        <v>470</v>
      </c>
      <c r="AU39" s="612"/>
      <c r="AV39" s="612"/>
      <c r="AW39" s="613"/>
      <c r="AX39" s="615" t="s">
        <v>471</v>
      </c>
      <c r="BA39" s="615" t="s">
        <v>395</v>
      </c>
    </row>
    <row r="40" spans="2:53">
      <c r="B40" s="616"/>
      <c r="C40" s="631"/>
      <c r="D40" s="634"/>
      <c r="E40" s="611" t="s">
        <v>402</v>
      </c>
      <c r="F40" s="612"/>
      <c r="G40" s="613"/>
      <c r="H40" s="616"/>
      <c r="I40" s="602" t="s">
        <v>402</v>
      </c>
      <c r="J40" s="603"/>
      <c r="K40" s="604"/>
      <c r="L40" s="606"/>
      <c r="M40" s="606"/>
      <c r="N40" s="616"/>
      <c r="O40" s="616"/>
      <c r="P40" s="611" t="s">
        <v>403</v>
      </c>
      <c r="Q40" s="612"/>
      <c r="R40" s="612"/>
      <c r="S40" s="613"/>
      <c r="T40" s="616"/>
      <c r="U40" s="611" t="s">
        <v>472</v>
      </c>
      <c r="V40" s="612"/>
      <c r="W40" s="612"/>
      <c r="X40" s="613"/>
      <c r="Y40" s="616"/>
      <c r="Z40" s="611" t="s">
        <v>472</v>
      </c>
      <c r="AA40" s="612"/>
      <c r="AB40" s="612"/>
      <c r="AC40" s="613"/>
      <c r="AD40" s="616"/>
      <c r="AE40" s="611" t="s">
        <v>403</v>
      </c>
      <c r="AF40" s="612"/>
      <c r="AG40" s="612"/>
      <c r="AH40" s="613"/>
      <c r="AI40" s="616"/>
      <c r="AJ40" s="611" t="s">
        <v>403</v>
      </c>
      <c r="AK40" s="612"/>
      <c r="AL40" s="612"/>
      <c r="AM40" s="613"/>
      <c r="AN40" s="616"/>
      <c r="AO40" s="611" t="s">
        <v>403</v>
      </c>
      <c r="AP40" s="612"/>
      <c r="AQ40" s="612"/>
      <c r="AR40" s="613"/>
      <c r="AS40" s="616"/>
      <c r="AT40" s="611" t="s">
        <v>403</v>
      </c>
      <c r="AU40" s="612"/>
      <c r="AV40" s="612"/>
      <c r="AW40" s="613"/>
      <c r="AX40" s="616"/>
      <c r="BA40" s="616"/>
    </row>
    <row r="41" spans="2:53">
      <c r="B41" s="617"/>
      <c r="C41" s="632"/>
      <c r="D41" s="635"/>
      <c r="E41" s="317" t="s">
        <v>404</v>
      </c>
      <c r="F41" s="317" t="s">
        <v>405</v>
      </c>
      <c r="G41" s="317" t="s">
        <v>473</v>
      </c>
      <c r="H41" s="617"/>
      <c r="I41" s="316" t="s">
        <v>404</v>
      </c>
      <c r="J41" s="316" t="s">
        <v>405</v>
      </c>
      <c r="K41" s="316" t="s">
        <v>406</v>
      </c>
      <c r="L41" s="607"/>
      <c r="M41" s="607"/>
      <c r="N41" s="616"/>
      <c r="O41" s="616"/>
      <c r="P41" s="317" t="s">
        <v>404</v>
      </c>
      <c r="Q41" s="317" t="s">
        <v>474</v>
      </c>
      <c r="R41" s="317" t="s">
        <v>406</v>
      </c>
      <c r="S41" s="317" t="s">
        <v>396</v>
      </c>
      <c r="T41" s="617"/>
      <c r="U41" s="317" t="s">
        <v>404</v>
      </c>
      <c r="V41" s="317" t="s">
        <v>405</v>
      </c>
      <c r="W41" s="317" t="s">
        <v>406</v>
      </c>
      <c r="X41" s="317" t="s">
        <v>475</v>
      </c>
      <c r="Y41" s="617"/>
      <c r="Z41" s="317" t="s">
        <v>476</v>
      </c>
      <c r="AA41" s="317" t="s">
        <v>405</v>
      </c>
      <c r="AB41" s="317" t="s">
        <v>406</v>
      </c>
      <c r="AC41" s="317" t="s">
        <v>475</v>
      </c>
      <c r="AD41" s="617"/>
      <c r="AE41" s="317" t="s">
        <v>404</v>
      </c>
      <c r="AF41" s="317" t="s">
        <v>405</v>
      </c>
      <c r="AG41" s="317" t="s">
        <v>406</v>
      </c>
      <c r="AH41" s="317" t="s">
        <v>475</v>
      </c>
      <c r="AI41" s="617"/>
      <c r="AJ41" s="317" t="s">
        <v>476</v>
      </c>
      <c r="AK41" s="317" t="s">
        <v>405</v>
      </c>
      <c r="AL41" s="317" t="s">
        <v>406</v>
      </c>
      <c r="AM41" s="317" t="s">
        <v>396</v>
      </c>
      <c r="AN41" s="617"/>
      <c r="AO41" s="317" t="s">
        <v>476</v>
      </c>
      <c r="AP41" s="317" t="s">
        <v>405</v>
      </c>
      <c r="AQ41" s="317" t="s">
        <v>406</v>
      </c>
      <c r="AR41" s="317" t="s">
        <v>475</v>
      </c>
      <c r="AS41" s="617"/>
      <c r="AT41" s="317" t="s">
        <v>476</v>
      </c>
      <c r="AU41" s="317" t="s">
        <v>405</v>
      </c>
      <c r="AV41" s="317" t="s">
        <v>406</v>
      </c>
      <c r="AW41" s="317" t="s">
        <v>475</v>
      </c>
      <c r="AX41" s="617"/>
      <c r="AZ41" s="530" t="s">
        <v>396</v>
      </c>
      <c r="BA41" s="617"/>
    </row>
    <row r="42" spans="2:53">
      <c r="B42" s="637" t="s">
        <v>150</v>
      </c>
      <c r="C42" s="318">
        <v>1</v>
      </c>
      <c r="D42" s="505" t="s">
        <v>358</v>
      </c>
      <c r="E42" s="505">
        <v>3</v>
      </c>
      <c r="F42" s="505">
        <v>3200</v>
      </c>
      <c r="G42" s="182">
        <v>1066.6666666666667</v>
      </c>
      <c r="H42" s="623">
        <f>AVERAGE(G42:G71)</f>
        <v>726.7045454545455</v>
      </c>
      <c r="I42" s="516">
        <f>IFERROR(AVERAGE(P42,U42,Z42,AE42,AJ42,AO42,AT42),"-")</f>
        <v>3</v>
      </c>
      <c r="J42" s="516">
        <f>IFERROR(AVERAGE(Q42,V42,AA42,AF42,AK42,AP42,AU42),"-")</f>
        <v>3262.1005532857553</v>
      </c>
      <c r="K42" s="200">
        <f>IFERROR(AVERAGE(R42,W42,AB42,AG42,AL42,AQ42,AV42),"-")</f>
        <v>1087.3668510952518</v>
      </c>
      <c r="L42" s="595">
        <f>IFERROR(AVERAGE(K42:K71),"-")</f>
        <v>762.06762610139492</v>
      </c>
      <c r="M42" s="199">
        <f>RANK(K42, K$42:$K$71)</f>
        <v>2</v>
      </c>
      <c r="N42" s="616"/>
      <c r="O42" s="616"/>
      <c r="P42" s="529">
        <v>3</v>
      </c>
      <c r="Q42" s="533">
        <v>3258.4615384615349</v>
      </c>
      <c r="R42" s="533">
        <v>1086.1538461538451</v>
      </c>
      <c r="S42" s="529">
        <f t="shared" ref="S42:S71" si="11">RANK(R42, R$42:R$71)</f>
        <v>5</v>
      </c>
      <c r="T42" s="623">
        <f t="shared" ref="T42" si="12">AVERAGE(R42:R71)</f>
        <v>753.61645887631585</v>
      </c>
      <c r="U42" s="529">
        <v>3</v>
      </c>
      <c r="V42" s="533">
        <v>3351.6000000000067</v>
      </c>
      <c r="W42" s="533">
        <v>1117.2000000000023</v>
      </c>
      <c r="X42" s="529">
        <f t="shared" ref="X42:X71" si="13">RANK(W42, W$42:W$71)</f>
        <v>1</v>
      </c>
      <c r="Y42" s="623">
        <f t="shared" ref="Y42" si="14">AVERAGE(W42:W71)</f>
        <v>747.07816541769546</v>
      </c>
      <c r="Z42" s="529">
        <v>3</v>
      </c>
      <c r="AA42" s="533">
        <v>3282.0000000000064</v>
      </c>
      <c r="AB42" s="533">
        <v>1094.000000000002</v>
      </c>
      <c r="AC42" s="529">
        <f t="shared" ref="AC42:AC71" si="15">RANK(AB42, AB$42:AB$71)</f>
        <v>3</v>
      </c>
      <c r="AD42" s="623">
        <f t="shared" ref="AD42" si="16">AVERAGE(AB42:AB71)</f>
        <v>757.48919149656047</v>
      </c>
      <c r="AE42" s="529">
        <v>3</v>
      </c>
      <c r="AF42" s="533">
        <v>3247.8260869565279</v>
      </c>
      <c r="AG42" s="533">
        <v>1082.608695652176</v>
      </c>
      <c r="AH42" s="529">
        <f t="shared" ref="AH42:AH71" si="17">RANK(AG42, AG$42:AG$71)</f>
        <v>4</v>
      </c>
      <c r="AI42" s="623">
        <f t="shared" ref="AI42" si="18">AVERAGE(AG42:AG71)</f>
        <v>766.96236156772511</v>
      </c>
      <c r="AJ42" s="529">
        <v>3</v>
      </c>
      <c r="AK42" s="533">
        <v>3149.36170212766</v>
      </c>
      <c r="AL42" s="533">
        <v>1049.7872340425533</v>
      </c>
      <c r="AM42" s="529">
        <f t="shared" ref="AM42:AM71" si="19">RANK(AL42, AL$42:AL$71)</f>
        <v>3</v>
      </c>
      <c r="AN42" s="623">
        <f t="shared" ref="AN42" si="20">AVERAGE(AL42:AL71)</f>
        <v>719.56175573319808</v>
      </c>
      <c r="AO42" s="529">
        <v>3</v>
      </c>
      <c r="AP42" s="533">
        <v>3240.0000000000023</v>
      </c>
      <c r="AQ42" s="533">
        <v>1080.0000000000007</v>
      </c>
      <c r="AR42" s="529">
        <f t="shared" ref="AR42:AR71" si="21">RANK(AQ42, AQ$42:AQ$71)</f>
        <v>2</v>
      </c>
      <c r="AS42" s="623">
        <f t="shared" ref="AS42" si="22">AVERAGE(AQ42:AQ71)</f>
        <v>749.67629088164824</v>
      </c>
      <c r="AT42" s="529">
        <v>3</v>
      </c>
      <c r="AU42" s="533">
        <v>3305.4545454545478</v>
      </c>
      <c r="AV42" s="533">
        <v>1101.8181818181827</v>
      </c>
      <c r="AW42" s="529">
        <f t="shared" ref="AW42:AW71" si="23">RANK(AV42, AV$42:AV$71)</f>
        <v>1</v>
      </c>
      <c r="AX42" s="623">
        <f t="shared" ref="AX42" si="24">AVERAGE(AV42:AV71)</f>
        <v>767.62935073540064</v>
      </c>
      <c r="AZ42" s="529" t="e">
        <f t="shared" ref="AZ42:AZ71" si="25">RANK(AY42, AY$42:AY$71)</f>
        <v>#N/A</v>
      </c>
      <c r="BA42" s="623" t="e">
        <f t="shared" ref="BA42" si="26">AVERAGE(AY42:AY71)</f>
        <v>#DIV/0!</v>
      </c>
    </row>
    <row r="43" spans="2:53">
      <c r="B43" s="638"/>
      <c r="C43" s="318">
        <v>2</v>
      </c>
      <c r="D43" s="507" t="s">
        <v>359</v>
      </c>
      <c r="E43" s="505">
        <v>3</v>
      </c>
      <c r="F43" s="505">
        <v>3200</v>
      </c>
      <c r="G43" s="182">
        <v>1066.6666666666667</v>
      </c>
      <c r="H43" s="624"/>
      <c r="I43" s="516">
        <f t="shared" ref="I43:I71" si="27">IFERROR(AVERAGE(P43,U43,Z43,AE43,AJ43,AO43,AT43),"-")</f>
        <v>3</v>
      </c>
      <c r="J43" s="516">
        <f t="shared" ref="J43:J71" si="28">IFERROR(AVERAGE(Q43,V43,AA43,AF43,AK43,AP43,AU43),"-")</f>
        <v>3227.7787114845883</v>
      </c>
      <c r="K43" s="200">
        <f t="shared" ref="K43:K71" si="29">IFERROR(AVERAGE(R43,W43,AB43,AG43,AL43,AQ43,AV43),"-")</f>
        <v>1075.9262371615293</v>
      </c>
      <c r="L43" s="596"/>
      <c r="M43" s="199">
        <f>RANK(K43, K$42:$K$71)</f>
        <v>4</v>
      </c>
      <c r="N43" s="616"/>
      <c r="O43" s="616"/>
      <c r="P43" s="529">
        <v>3</v>
      </c>
      <c r="Q43" s="533">
        <v>3296.2499999999959</v>
      </c>
      <c r="R43" s="533">
        <v>1098.7499999999986</v>
      </c>
      <c r="S43" s="529">
        <f t="shared" si="11"/>
        <v>1</v>
      </c>
      <c r="T43" s="624"/>
      <c r="U43" s="529">
        <v>3</v>
      </c>
      <c r="V43" s="533">
        <v>3211.7647058823341</v>
      </c>
      <c r="W43" s="533">
        <v>1070.5882352941114</v>
      </c>
      <c r="X43" s="529">
        <f t="shared" si="13"/>
        <v>5</v>
      </c>
      <c r="Y43" s="624"/>
      <c r="Z43" s="529">
        <v>3</v>
      </c>
      <c r="AA43" s="533">
        <v>3348.7499999999959</v>
      </c>
      <c r="AB43" s="533">
        <v>1116.2499999999986</v>
      </c>
      <c r="AC43" s="529">
        <f t="shared" si="15"/>
        <v>1</v>
      </c>
      <c r="AD43" s="624"/>
      <c r="AE43" s="529">
        <v>3</v>
      </c>
      <c r="AF43" s="533">
        <v>3220.0000000000114</v>
      </c>
      <c r="AG43" s="533">
        <v>1073.3333333333371</v>
      </c>
      <c r="AH43" s="529">
        <f t="shared" si="17"/>
        <v>5</v>
      </c>
      <c r="AI43" s="624"/>
      <c r="AJ43" s="529">
        <v>3</v>
      </c>
      <c r="AK43" s="533">
        <v>3011.9999999999945</v>
      </c>
      <c r="AL43" s="533">
        <v>1003.9999999999982</v>
      </c>
      <c r="AM43" s="529">
        <f t="shared" si="19"/>
        <v>5</v>
      </c>
      <c r="AN43" s="624"/>
      <c r="AO43" s="529">
        <v>3</v>
      </c>
      <c r="AP43" s="533">
        <v>3223.3333333333162</v>
      </c>
      <c r="AQ43" s="533">
        <v>1074.4444444444387</v>
      </c>
      <c r="AR43" s="529">
        <f t="shared" si="21"/>
        <v>3</v>
      </c>
      <c r="AS43" s="624"/>
      <c r="AT43" s="529">
        <v>3</v>
      </c>
      <c r="AU43" s="533">
        <v>3282.3529411764666</v>
      </c>
      <c r="AV43" s="533">
        <v>1094.1176470588223</v>
      </c>
      <c r="AW43" s="529">
        <f t="shared" si="23"/>
        <v>3</v>
      </c>
      <c r="AX43" s="624"/>
      <c r="AZ43" s="529" t="e">
        <f t="shared" si="25"/>
        <v>#N/A</v>
      </c>
      <c r="BA43" s="624"/>
    </row>
    <row r="44" spans="2:53">
      <c r="B44" s="638"/>
      <c r="C44" s="318">
        <v>3</v>
      </c>
      <c r="D44" s="505" t="s">
        <v>348</v>
      </c>
      <c r="E44" s="505">
        <v>4</v>
      </c>
      <c r="F44" s="505">
        <v>3200</v>
      </c>
      <c r="G44" s="182">
        <v>800</v>
      </c>
      <c r="H44" s="624"/>
      <c r="I44" s="516">
        <f t="shared" si="27"/>
        <v>4</v>
      </c>
      <c r="J44" s="516">
        <f t="shared" si="28"/>
        <v>3252.769107643061</v>
      </c>
      <c r="K44" s="200">
        <f t="shared" si="29"/>
        <v>813.19227691076526</v>
      </c>
      <c r="L44" s="596"/>
      <c r="M44" s="199">
        <f>RANK(K44, K$42:$K$71)</f>
        <v>12</v>
      </c>
      <c r="N44" s="616"/>
      <c r="O44" s="616"/>
      <c r="P44" s="529">
        <v>4</v>
      </c>
      <c r="Q44" s="533">
        <v>3236.6666666666779</v>
      </c>
      <c r="R44" s="533">
        <v>809.16666666666947</v>
      </c>
      <c r="S44" s="529">
        <f t="shared" si="11"/>
        <v>11</v>
      </c>
      <c r="T44" s="624"/>
      <c r="U44" s="529">
        <v>4</v>
      </c>
      <c r="V44" s="533">
        <v>3222.8571428571295</v>
      </c>
      <c r="W44" s="533">
        <v>805.71428571428237</v>
      </c>
      <c r="X44" s="529">
        <f t="shared" si="13"/>
        <v>11</v>
      </c>
      <c r="Y44" s="624"/>
      <c r="Z44" s="529">
        <v>4</v>
      </c>
      <c r="AA44" s="533">
        <v>3245.7142857142971</v>
      </c>
      <c r="AB44" s="533">
        <v>811.42857142857429</v>
      </c>
      <c r="AC44" s="529">
        <f t="shared" si="15"/>
        <v>12</v>
      </c>
      <c r="AD44" s="624"/>
      <c r="AE44" s="529">
        <v>4</v>
      </c>
      <c r="AF44" s="533">
        <v>3486.6666666666638</v>
      </c>
      <c r="AG44" s="533">
        <v>871.66666666666595</v>
      </c>
      <c r="AH44" s="529">
        <f t="shared" si="17"/>
        <v>9</v>
      </c>
      <c r="AI44" s="624"/>
      <c r="AJ44" s="529">
        <v>4</v>
      </c>
      <c r="AK44" s="533">
        <v>3151.7647058823641</v>
      </c>
      <c r="AL44" s="533">
        <v>787.94117647059102</v>
      </c>
      <c r="AM44" s="529">
        <f t="shared" si="19"/>
        <v>9</v>
      </c>
      <c r="AN44" s="624"/>
      <c r="AO44" s="529">
        <v>4</v>
      </c>
      <c r="AP44" s="533">
        <v>3214.2857142857133</v>
      </c>
      <c r="AQ44" s="533">
        <v>803.57142857142833</v>
      </c>
      <c r="AR44" s="529">
        <f t="shared" si="21"/>
        <v>12</v>
      </c>
      <c r="AS44" s="624"/>
      <c r="AT44" s="529">
        <v>4</v>
      </c>
      <c r="AU44" s="533">
        <v>3211.4285714285829</v>
      </c>
      <c r="AV44" s="533">
        <v>802.85714285714573</v>
      </c>
      <c r="AW44" s="529">
        <f t="shared" si="23"/>
        <v>13</v>
      </c>
      <c r="AX44" s="624"/>
      <c r="AZ44" s="529" t="e">
        <f t="shared" si="25"/>
        <v>#N/A</v>
      </c>
      <c r="BA44" s="624"/>
    </row>
    <row r="45" spans="2:53">
      <c r="B45" s="638"/>
      <c r="C45" s="318">
        <v>4</v>
      </c>
      <c r="D45" s="505" t="s">
        <v>360</v>
      </c>
      <c r="E45" s="505">
        <v>3</v>
      </c>
      <c r="F45" s="505">
        <v>3200</v>
      </c>
      <c r="G45" s="182">
        <v>1066.6666666666667</v>
      </c>
      <c r="H45" s="624"/>
      <c r="I45" s="516">
        <f t="shared" si="27"/>
        <v>3</v>
      </c>
      <c r="J45" s="516">
        <f t="shared" si="28"/>
        <v>3243.2689864279332</v>
      </c>
      <c r="K45" s="200">
        <f t="shared" si="29"/>
        <v>1081.0896621426443</v>
      </c>
      <c r="L45" s="596"/>
      <c r="M45" s="199">
        <f>RANK(K45, K$42:$K$71)</f>
        <v>3</v>
      </c>
      <c r="N45" s="616"/>
      <c r="O45" s="616"/>
      <c r="P45" s="529">
        <v>3</v>
      </c>
      <c r="Q45" s="533">
        <v>3269.2682926829257</v>
      </c>
      <c r="R45" s="533">
        <v>1089.7560975609751</v>
      </c>
      <c r="S45" s="529">
        <f t="shared" si="11"/>
        <v>4</v>
      </c>
      <c r="T45" s="624"/>
      <c r="U45" s="529">
        <v>3</v>
      </c>
      <c r="V45" s="533">
        <v>3279.5121951219503</v>
      </c>
      <c r="W45" s="533">
        <v>1093.1707317073167</v>
      </c>
      <c r="X45" s="529">
        <f t="shared" si="13"/>
        <v>4</v>
      </c>
      <c r="Y45" s="624"/>
      <c r="Z45" s="529">
        <v>3</v>
      </c>
      <c r="AA45" s="533">
        <v>3267.6923076923094</v>
      </c>
      <c r="AB45" s="533">
        <v>1089.2307692307697</v>
      </c>
      <c r="AC45" s="529">
        <f t="shared" si="15"/>
        <v>4</v>
      </c>
      <c r="AD45" s="624"/>
      <c r="AE45" s="529">
        <v>3</v>
      </c>
      <c r="AF45" s="533">
        <v>3263.8235294117649</v>
      </c>
      <c r="AG45" s="533">
        <v>1087.9411764705883</v>
      </c>
      <c r="AH45" s="529">
        <f t="shared" si="17"/>
        <v>3</v>
      </c>
      <c r="AI45" s="624"/>
      <c r="AJ45" s="529">
        <v>3</v>
      </c>
      <c r="AK45" s="533">
        <v>3164.5714285714294</v>
      </c>
      <c r="AL45" s="533">
        <v>1054.8571428571431</v>
      </c>
      <c r="AM45" s="529">
        <f t="shared" si="19"/>
        <v>2</v>
      </c>
      <c r="AN45" s="624"/>
      <c r="AO45" s="529">
        <v>3</v>
      </c>
      <c r="AP45" s="533">
        <v>3210.681818181818</v>
      </c>
      <c r="AQ45" s="533">
        <v>1070.2272727272727</v>
      </c>
      <c r="AR45" s="529">
        <f t="shared" si="21"/>
        <v>4</v>
      </c>
      <c r="AS45" s="624"/>
      <c r="AT45" s="529">
        <v>3</v>
      </c>
      <c r="AU45" s="533">
        <v>3247.333333333333</v>
      </c>
      <c r="AV45" s="533">
        <v>1082.4444444444443</v>
      </c>
      <c r="AW45" s="529">
        <f t="shared" si="23"/>
        <v>5</v>
      </c>
      <c r="AX45" s="624"/>
      <c r="AZ45" s="529" t="e">
        <f t="shared" si="25"/>
        <v>#N/A</v>
      </c>
      <c r="BA45" s="624"/>
    </row>
    <row r="46" spans="2:53">
      <c r="B46" s="638"/>
      <c r="C46" s="318">
        <v>5</v>
      </c>
      <c r="D46" s="505" t="s">
        <v>773</v>
      </c>
      <c r="E46" s="505">
        <v>4</v>
      </c>
      <c r="F46" s="505">
        <v>3200</v>
      </c>
      <c r="G46" s="182">
        <v>800</v>
      </c>
      <c r="H46" s="624"/>
      <c r="I46" s="516">
        <f t="shared" si="27"/>
        <v>4</v>
      </c>
      <c r="J46" s="516">
        <f t="shared" si="28"/>
        <v>3250.2037194188028</v>
      </c>
      <c r="K46" s="200">
        <f t="shared" si="29"/>
        <v>812.55092985470071</v>
      </c>
      <c r="L46" s="596"/>
      <c r="M46" s="199">
        <f>RANK(K46, K$42:$K$71)</f>
        <v>13</v>
      </c>
      <c r="N46" s="616"/>
      <c r="O46" s="616"/>
      <c r="P46" s="529">
        <v>4</v>
      </c>
      <c r="Q46" s="533">
        <v>3213.7500000000036</v>
      </c>
      <c r="R46" s="533">
        <v>803.43750000000091</v>
      </c>
      <c r="S46" s="529">
        <f t="shared" si="11"/>
        <v>12</v>
      </c>
      <c r="T46" s="624"/>
      <c r="U46" s="529">
        <v>4</v>
      </c>
      <c r="V46" s="533">
        <v>3294.8571428571395</v>
      </c>
      <c r="W46" s="533">
        <v>823.71428571428487</v>
      </c>
      <c r="X46" s="529">
        <f t="shared" si="13"/>
        <v>10</v>
      </c>
      <c r="Y46" s="624"/>
      <c r="Z46" s="529">
        <v>4</v>
      </c>
      <c r="AA46" s="533">
        <v>3248.8235294117685</v>
      </c>
      <c r="AB46" s="533">
        <v>812.20588235294213</v>
      </c>
      <c r="AC46" s="529">
        <f t="shared" si="15"/>
        <v>11</v>
      </c>
      <c r="AD46" s="624"/>
      <c r="AE46" s="529">
        <v>4</v>
      </c>
      <c r="AF46" s="533">
        <v>3374.482758620692</v>
      </c>
      <c r="AG46" s="533">
        <v>843.62068965517301</v>
      </c>
      <c r="AH46" s="529">
        <f t="shared" si="17"/>
        <v>10</v>
      </c>
      <c r="AI46" s="624"/>
      <c r="AJ46" s="529">
        <v>4</v>
      </c>
      <c r="AK46" s="533">
        <v>3072.0000000000027</v>
      </c>
      <c r="AL46" s="533">
        <v>768.00000000000068</v>
      </c>
      <c r="AM46" s="529">
        <f t="shared" si="19"/>
        <v>11</v>
      </c>
      <c r="AN46" s="624"/>
      <c r="AO46" s="529">
        <v>4</v>
      </c>
      <c r="AP46" s="533">
        <v>3284.5714285714253</v>
      </c>
      <c r="AQ46" s="533">
        <v>821.14285714285631</v>
      </c>
      <c r="AR46" s="529">
        <f t="shared" si="21"/>
        <v>9</v>
      </c>
      <c r="AS46" s="624"/>
      <c r="AT46" s="529">
        <v>4</v>
      </c>
      <c r="AU46" s="533">
        <v>3262.9411764705924</v>
      </c>
      <c r="AV46" s="533">
        <v>815.7352941176481</v>
      </c>
      <c r="AW46" s="529">
        <f t="shared" si="23"/>
        <v>10</v>
      </c>
      <c r="AX46" s="624"/>
      <c r="AZ46" s="529" t="e">
        <f t="shared" si="25"/>
        <v>#N/A</v>
      </c>
      <c r="BA46" s="624"/>
    </row>
    <row r="47" spans="2:53">
      <c r="B47" s="638"/>
      <c r="C47" s="318">
        <v>6</v>
      </c>
      <c r="D47" s="505" t="s">
        <v>774</v>
      </c>
      <c r="E47" s="505">
        <v>4</v>
      </c>
      <c r="F47" s="505">
        <v>3200</v>
      </c>
      <c r="G47" s="182">
        <v>800</v>
      </c>
      <c r="H47" s="624"/>
      <c r="I47" s="516">
        <f t="shared" si="27"/>
        <v>4</v>
      </c>
      <c r="J47" s="516">
        <f t="shared" si="28"/>
        <v>3360.9501800720209</v>
      </c>
      <c r="K47" s="200">
        <f t="shared" si="29"/>
        <v>840.23754501800522</v>
      </c>
      <c r="L47" s="596"/>
      <c r="M47" s="199">
        <f>RANK(K47, K$42:$K$71)</f>
        <v>9</v>
      </c>
      <c r="N47" s="616"/>
      <c r="O47" s="616"/>
      <c r="P47" s="529">
        <v>4</v>
      </c>
      <c r="Q47" s="533">
        <v>3295.7142857142785</v>
      </c>
      <c r="R47" s="533">
        <v>823.92857142856963</v>
      </c>
      <c r="S47" s="529">
        <f t="shared" si="11"/>
        <v>10</v>
      </c>
      <c r="T47" s="624"/>
      <c r="U47" s="529">
        <v>4</v>
      </c>
      <c r="V47" s="533">
        <v>3458.8235294117444</v>
      </c>
      <c r="W47" s="533">
        <v>864.7058823529361</v>
      </c>
      <c r="X47" s="529">
        <f t="shared" si="13"/>
        <v>8</v>
      </c>
      <c r="Y47" s="624"/>
      <c r="Z47" s="529">
        <v>4</v>
      </c>
      <c r="AA47" s="533">
        <v>3655.9999999999936</v>
      </c>
      <c r="AB47" s="533">
        <v>913.99999999999841</v>
      </c>
      <c r="AC47" s="529">
        <f t="shared" si="15"/>
        <v>8</v>
      </c>
      <c r="AD47" s="624"/>
      <c r="AE47" s="529">
        <v>4</v>
      </c>
      <c r="AF47" s="533">
        <v>3359.9999999999941</v>
      </c>
      <c r="AG47" s="533">
        <v>839.99999999999852</v>
      </c>
      <c r="AH47" s="529">
        <f t="shared" si="17"/>
        <v>11</v>
      </c>
      <c r="AI47" s="624"/>
      <c r="AJ47" s="529">
        <v>4</v>
      </c>
      <c r="AK47" s="533">
        <v>3107.1428571428501</v>
      </c>
      <c r="AL47" s="533">
        <v>776.78571428571252</v>
      </c>
      <c r="AM47" s="529">
        <f t="shared" si="19"/>
        <v>10</v>
      </c>
      <c r="AN47" s="624"/>
      <c r="AO47" s="529">
        <v>4</v>
      </c>
      <c r="AP47" s="533">
        <v>3412.4999999999955</v>
      </c>
      <c r="AQ47" s="533">
        <v>853.12499999999886</v>
      </c>
      <c r="AR47" s="529">
        <f t="shared" si="21"/>
        <v>8</v>
      </c>
      <c r="AS47" s="624"/>
      <c r="AT47" s="529">
        <v>4</v>
      </c>
      <c r="AU47" s="533">
        <v>3236.4705882352901</v>
      </c>
      <c r="AV47" s="533">
        <v>809.11764705882251</v>
      </c>
      <c r="AW47" s="529">
        <f t="shared" si="23"/>
        <v>12</v>
      </c>
      <c r="AX47" s="624"/>
      <c r="AZ47" s="529" t="e">
        <f t="shared" si="25"/>
        <v>#N/A</v>
      </c>
      <c r="BA47" s="624"/>
    </row>
    <row r="48" spans="2:53">
      <c r="B48" s="638"/>
      <c r="C48" s="318">
        <v>7</v>
      </c>
      <c r="D48" s="505" t="s">
        <v>361</v>
      </c>
      <c r="E48" s="505">
        <v>4</v>
      </c>
      <c r="F48" s="505">
        <v>2800</v>
      </c>
      <c r="G48" s="182">
        <v>700</v>
      </c>
      <c r="H48" s="624"/>
      <c r="I48" s="516">
        <f t="shared" si="27"/>
        <v>4</v>
      </c>
      <c r="J48" s="516">
        <f t="shared" si="28"/>
        <v>3326.7742257742252</v>
      </c>
      <c r="K48" s="200">
        <f t="shared" si="29"/>
        <v>831.6935564435563</v>
      </c>
      <c r="L48" s="596"/>
      <c r="M48" s="199">
        <f>RANK(K48, K$42:$K$71)</f>
        <v>10</v>
      </c>
      <c r="N48" s="616"/>
      <c r="O48" s="616"/>
      <c r="P48" s="529">
        <v>4</v>
      </c>
      <c r="Q48" s="533">
        <v>3475.0000000000123</v>
      </c>
      <c r="R48" s="533">
        <v>868.75000000000307</v>
      </c>
      <c r="S48" s="529">
        <f t="shared" si="11"/>
        <v>8</v>
      </c>
      <c r="T48" s="624"/>
      <c r="U48" s="529">
        <v>4</v>
      </c>
      <c r="V48" s="533">
        <v>3444.9999999999891</v>
      </c>
      <c r="W48" s="533">
        <v>861.24999999999727</v>
      </c>
      <c r="X48" s="529">
        <f t="shared" si="13"/>
        <v>9</v>
      </c>
      <c r="Y48" s="624"/>
      <c r="Z48" s="529">
        <v>4</v>
      </c>
      <c r="AA48" s="533">
        <v>3274.99999999999</v>
      </c>
      <c r="AB48" s="533">
        <v>818.7499999999975</v>
      </c>
      <c r="AC48" s="529">
        <f t="shared" si="15"/>
        <v>9</v>
      </c>
      <c r="AD48" s="624"/>
      <c r="AE48" s="529">
        <v>4</v>
      </c>
      <c r="AF48" s="533">
        <v>3272.7272727272843</v>
      </c>
      <c r="AG48" s="533">
        <v>818.18181818182109</v>
      </c>
      <c r="AH48" s="529">
        <f t="shared" si="17"/>
        <v>13</v>
      </c>
      <c r="AI48" s="624"/>
      <c r="AJ48" s="529">
        <v>4</v>
      </c>
      <c r="AK48" s="533">
        <v>3191.9999999999854</v>
      </c>
      <c r="AL48" s="533">
        <v>797.99999999999636</v>
      </c>
      <c r="AM48" s="529">
        <f t="shared" si="19"/>
        <v>7</v>
      </c>
      <c r="AN48" s="624"/>
      <c r="AO48" s="529">
        <v>4</v>
      </c>
      <c r="AP48" s="533">
        <v>3267.692307692319</v>
      </c>
      <c r="AQ48" s="533">
        <v>816.92307692307975</v>
      </c>
      <c r="AR48" s="529">
        <f t="shared" si="21"/>
        <v>10</v>
      </c>
      <c r="AS48" s="624"/>
      <c r="AT48" s="529">
        <v>4</v>
      </c>
      <c r="AU48" s="533">
        <v>3359.9999999999914</v>
      </c>
      <c r="AV48" s="533">
        <v>839.99999999999784</v>
      </c>
      <c r="AW48" s="529">
        <f t="shared" si="23"/>
        <v>9</v>
      </c>
      <c r="AX48" s="624"/>
      <c r="AZ48" s="529" t="e">
        <f t="shared" si="25"/>
        <v>#N/A</v>
      </c>
      <c r="BA48" s="624"/>
    </row>
    <row r="49" spans="2:53">
      <c r="B49" s="638"/>
      <c r="C49" s="318">
        <v>8</v>
      </c>
      <c r="D49" s="505" t="s">
        <v>362</v>
      </c>
      <c r="E49" s="505">
        <v>3</v>
      </c>
      <c r="F49" s="505">
        <v>3200</v>
      </c>
      <c r="G49" s="182">
        <v>1066.6666666666667</v>
      </c>
      <c r="H49" s="624"/>
      <c r="I49" s="516">
        <f t="shared" si="27"/>
        <v>3</v>
      </c>
      <c r="J49" s="516">
        <f t="shared" si="28"/>
        <v>3286.069073783362</v>
      </c>
      <c r="K49" s="200">
        <f t="shared" si="29"/>
        <v>1095.3563579277873</v>
      </c>
      <c r="L49" s="596"/>
      <c r="M49" s="199">
        <f>RANK(K49, K$42:$K$71)</f>
        <v>1</v>
      </c>
      <c r="N49" s="616"/>
      <c r="O49" s="616"/>
      <c r="P49" s="529">
        <v>3</v>
      </c>
      <c r="Q49" s="533">
        <v>3285.0000000000027</v>
      </c>
      <c r="R49" s="533">
        <v>1095.0000000000009</v>
      </c>
      <c r="S49" s="529">
        <f t="shared" si="11"/>
        <v>2</v>
      </c>
      <c r="T49" s="624"/>
      <c r="U49" s="529">
        <v>3</v>
      </c>
      <c r="V49" s="533">
        <v>3345.0000000000027</v>
      </c>
      <c r="W49" s="533">
        <v>1115.0000000000009</v>
      </c>
      <c r="X49" s="529">
        <f t="shared" si="13"/>
        <v>2</v>
      </c>
      <c r="Y49" s="624"/>
      <c r="Z49" s="529">
        <v>3</v>
      </c>
      <c r="AA49" s="533">
        <v>3325.7142857142885</v>
      </c>
      <c r="AB49" s="533">
        <v>1108.5714285714296</v>
      </c>
      <c r="AC49" s="529">
        <f t="shared" si="15"/>
        <v>2</v>
      </c>
      <c r="AD49" s="624"/>
      <c r="AE49" s="529">
        <v>3</v>
      </c>
      <c r="AF49" s="533">
        <v>3293.0769230769247</v>
      </c>
      <c r="AG49" s="533">
        <v>1097.6923076923083</v>
      </c>
      <c r="AH49" s="529">
        <f t="shared" si="17"/>
        <v>2</v>
      </c>
      <c r="AI49" s="624"/>
      <c r="AJ49" s="529">
        <v>3</v>
      </c>
      <c r="AK49" s="533">
        <v>3147.6923076923094</v>
      </c>
      <c r="AL49" s="533">
        <v>1049.2307692307697</v>
      </c>
      <c r="AM49" s="529">
        <f t="shared" si="19"/>
        <v>4</v>
      </c>
      <c r="AN49" s="624"/>
      <c r="AO49" s="529">
        <v>3</v>
      </c>
      <c r="AP49" s="533">
        <v>3306.0000000000032</v>
      </c>
      <c r="AQ49" s="533">
        <v>1102.0000000000011</v>
      </c>
      <c r="AR49" s="529">
        <f t="shared" si="21"/>
        <v>1</v>
      </c>
      <c r="AS49" s="624"/>
      <c r="AT49" s="529">
        <v>3</v>
      </c>
      <c r="AU49" s="533">
        <v>3300.0000000000032</v>
      </c>
      <c r="AV49" s="533">
        <v>1100.0000000000011</v>
      </c>
      <c r="AW49" s="529">
        <f t="shared" si="23"/>
        <v>2</v>
      </c>
      <c r="AX49" s="624"/>
      <c r="AZ49" s="529" t="e">
        <f t="shared" si="25"/>
        <v>#N/A</v>
      </c>
      <c r="BA49" s="624"/>
    </row>
    <row r="50" spans="2:53">
      <c r="B50" s="638"/>
      <c r="C50" s="318">
        <v>9</v>
      </c>
      <c r="D50" s="505" t="s">
        <v>363</v>
      </c>
      <c r="E50" s="505">
        <v>3</v>
      </c>
      <c r="F50" s="505">
        <v>2800</v>
      </c>
      <c r="G50" s="182">
        <v>933.33333333333337</v>
      </c>
      <c r="H50" s="624"/>
      <c r="I50" s="516">
        <f t="shared" si="27"/>
        <v>3</v>
      </c>
      <c r="J50" s="516">
        <f t="shared" si="28"/>
        <v>3073.0056958772147</v>
      </c>
      <c r="K50" s="200">
        <f t="shared" si="29"/>
        <v>1024.3352319590715</v>
      </c>
      <c r="L50" s="596"/>
      <c r="M50" s="199">
        <f>RANK(K50, K$42:$K$71)</f>
        <v>5</v>
      </c>
      <c r="N50" s="616"/>
      <c r="O50" s="616"/>
      <c r="P50" s="529">
        <v>3</v>
      </c>
      <c r="Q50" s="533">
        <v>3277.5000000000036</v>
      </c>
      <c r="R50" s="533">
        <v>1092.5000000000011</v>
      </c>
      <c r="S50" s="529">
        <f t="shared" si="11"/>
        <v>3</v>
      </c>
      <c r="T50" s="624"/>
      <c r="U50" s="529">
        <v>3</v>
      </c>
      <c r="V50" s="533">
        <v>3314.9999999999959</v>
      </c>
      <c r="W50" s="533">
        <v>1104.9999999999986</v>
      </c>
      <c r="X50" s="529">
        <f t="shared" si="13"/>
        <v>3</v>
      </c>
      <c r="Y50" s="624"/>
      <c r="Z50" s="529">
        <v>3</v>
      </c>
      <c r="AA50" s="533">
        <v>2802.1621621621598</v>
      </c>
      <c r="AB50" s="533">
        <v>934.05405405405327</v>
      </c>
      <c r="AC50" s="529">
        <f t="shared" si="15"/>
        <v>7</v>
      </c>
      <c r="AD50" s="624"/>
      <c r="AE50" s="529">
        <v>3</v>
      </c>
      <c r="AF50" s="533">
        <v>3360.0000000000027</v>
      </c>
      <c r="AG50" s="533">
        <v>1120.0000000000009</v>
      </c>
      <c r="AH50" s="529">
        <f t="shared" si="17"/>
        <v>1</v>
      </c>
      <c r="AI50" s="624"/>
      <c r="AJ50" s="529">
        <v>3</v>
      </c>
      <c r="AK50" s="533">
        <v>2295.789473684214</v>
      </c>
      <c r="AL50" s="533">
        <v>765.26315789473801</v>
      </c>
      <c r="AM50" s="529">
        <f t="shared" si="19"/>
        <v>12</v>
      </c>
      <c r="AN50" s="624"/>
      <c r="AO50" s="529">
        <v>3</v>
      </c>
      <c r="AP50" s="533">
        <v>3210.0000000000036</v>
      </c>
      <c r="AQ50" s="533">
        <v>1070.0000000000011</v>
      </c>
      <c r="AR50" s="529">
        <f t="shared" si="21"/>
        <v>5</v>
      </c>
      <c r="AS50" s="624"/>
      <c r="AT50" s="529">
        <v>3</v>
      </c>
      <c r="AU50" s="533">
        <v>3250.5882352941217</v>
      </c>
      <c r="AV50" s="533">
        <v>1083.5294117647072</v>
      </c>
      <c r="AW50" s="529">
        <f t="shared" si="23"/>
        <v>4</v>
      </c>
      <c r="AX50" s="624"/>
      <c r="AZ50" s="529" t="e">
        <f t="shared" si="25"/>
        <v>#N/A</v>
      </c>
      <c r="BA50" s="624"/>
    </row>
    <row r="51" spans="2:53">
      <c r="B51" s="638"/>
      <c r="C51" s="318">
        <v>10</v>
      </c>
      <c r="D51" s="505" t="s">
        <v>364</v>
      </c>
      <c r="E51" s="505">
        <v>4</v>
      </c>
      <c r="F51" s="505">
        <v>2800</v>
      </c>
      <c r="G51" s="182">
        <v>700</v>
      </c>
      <c r="H51" s="624"/>
      <c r="I51" s="516">
        <f t="shared" si="27"/>
        <v>4</v>
      </c>
      <c r="J51" s="516">
        <f t="shared" si="28"/>
        <v>3257.8975102994982</v>
      </c>
      <c r="K51" s="200">
        <f t="shared" si="29"/>
        <v>814.47437757487455</v>
      </c>
      <c r="L51" s="596"/>
      <c r="M51" s="199">
        <f>RANK(K51, K$42:$K$71)</f>
        <v>11</v>
      </c>
      <c r="N51" s="616"/>
      <c r="O51" s="616"/>
      <c r="P51" s="529">
        <v>4</v>
      </c>
      <c r="Q51" s="533">
        <v>3304.5283018867945</v>
      </c>
      <c r="R51" s="533">
        <v>826.13207547169861</v>
      </c>
      <c r="S51" s="529">
        <f t="shared" si="11"/>
        <v>9</v>
      </c>
      <c r="T51" s="624"/>
      <c r="U51" s="529">
        <v>4</v>
      </c>
      <c r="V51" s="533">
        <v>3205.090909090909</v>
      </c>
      <c r="W51" s="533">
        <v>801.27272727272725</v>
      </c>
      <c r="X51" s="529">
        <f t="shared" si="13"/>
        <v>12</v>
      </c>
      <c r="Y51" s="624"/>
      <c r="Z51" s="529">
        <v>4</v>
      </c>
      <c r="AA51" s="533">
        <v>3272.8301886792447</v>
      </c>
      <c r="AB51" s="533">
        <v>818.20754716981116</v>
      </c>
      <c r="AC51" s="529">
        <f t="shared" si="15"/>
        <v>10</v>
      </c>
      <c r="AD51" s="624"/>
      <c r="AE51" s="529">
        <v>4</v>
      </c>
      <c r="AF51" s="533">
        <v>3338.666666666667</v>
      </c>
      <c r="AG51" s="533">
        <v>834.66666666666674</v>
      </c>
      <c r="AH51" s="529">
        <f t="shared" si="17"/>
        <v>12</v>
      </c>
      <c r="AI51" s="624"/>
      <c r="AJ51" s="529">
        <v>4</v>
      </c>
      <c r="AK51" s="533">
        <v>3163.4042553191498</v>
      </c>
      <c r="AL51" s="533">
        <v>790.85106382978745</v>
      </c>
      <c r="AM51" s="529">
        <f t="shared" si="19"/>
        <v>8</v>
      </c>
      <c r="AN51" s="624"/>
      <c r="AO51" s="529">
        <v>4</v>
      </c>
      <c r="AP51" s="533">
        <v>3264.2105263157891</v>
      </c>
      <c r="AQ51" s="533">
        <v>816.05263157894728</v>
      </c>
      <c r="AR51" s="529">
        <f t="shared" si="21"/>
        <v>11</v>
      </c>
      <c r="AS51" s="624"/>
      <c r="AT51" s="529">
        <v>4</v>
      </c>
      <c r="AU51" s="533">
        <v>3256.5517241379312</v>
      </c>
      <c r="AV51" s="533">
        <v>814.13793103448279</v>
      </c>
      <c r="AW51" s="529">
        <f t="shared" si="23"/>
        <v>11</v>
      </c>
      <c r="AX51" s="624"/>
      <c r="AZ51" s="529" t="e">
        <f t="shared" si="25"/>
        <v>#N/A</v>
      </c>
      <c r="BA51" s="624"/>
    </row>
    <row r="52" spans="2:53">
      <c r="B52" s="638"/>
      <c r="C52" s="318">
        <v>11</v>
      </c>
      <c r="D52" s="505" t="s">
        <v>775</v>
      </c>
      <c r="E52" s="505">
        <v>4</v>
      </c>
      <c r="F52" s="505">
        <v>2800</v>
      </c>
      <c r="G52" s="182">
        <v>700</v>
      </c>
      <c r="H52" s="624"/>
      <c r="I52" s="516">
        <f t="shared" si="27"/>
        <v>4</v>
      </c>
      <c r="J52" s="516">
        <f t="shared" si="28"/>
        <v>2834.9148469012193</v>
      </c>
      <c r="K52" s="200">
        <f t="shared" si="29"/>
        <v>708.72871172530483</v>
      </c>
      <c r="L52" s="596"/>
      <c r="M52" s="199">
        <f>RANK(K52, K$42:$K$71)</f>
        <v>17</v>
      </c>
      <c r="N52" s="616"/>
      <c r="O52" s="616"/>
      <c r="P52" s="529">
        <v>4</v>
      </c>
      <c r="Q52" s="533">
        <v>2858.76923076923</v>
      </c>
      <c r="R52" s="533">
        <v>714.69230769230751</v>
      </c>
      <c r="S52" s="529">
        <f t="shared" si="11"/>
        <v>16</v>
      </c>
      <c r="T52" s="624"/>
      <c r="U52" s="529">
        <v>4</v>
      </c>
      <c r="V52" s="533">
        <v>2865.9375000000014</v>
      </c>
      <c r="W52" s="533">
        <v>716.48437500000034</v>
      </c>
      <c r="X52" s="529">
        <f t="shared" si="13"/>
        <v>13</v>
      </c>
      <c r="Y52" s="624"/>
      <c r="Z52" s="529">
        <v>4</v>
      </c>
      <c r="AA52" s="533">
        <v>2752.7272727272739</v>
      </c>
      <c r="AB52" s="533">
        <v>688.18181818181847</v>
      </c>
      <c r="AC52" s="529">
        <f t="shared" si="15"/>
        <v>16</v>
      </c>
      <c r="AD52" s="624"/>
      <c r="AE52" s="529">
        <v>4</v>
      </c>
      <c r="AF52" s="533">
        <v>2877.8571428571408</v>
      </c>
      <c r="AG52" s="533">
        <v>719.46428571428521</v>
      </c>
      <c r="AH52" s="529">
        <f t="shared" si="17"/>
        <v>15</v>
      </c>
      <c r="AI52" s="624"/>
      <c r="AJ52" s="529">
        <v>4</v>
      </c>
      <c r="AK52" s="533">
        <v>2773.684210526314</v>
      </c>
      <c r="AL52" s="533">
        <v>693.4210526315785</v>
      </c>
      <c r="AM52" s="529">
        <f t="shared" si="19"/>
        <v>15</v>
      </c>
      <c r="AN52" s="624"/>
      <c r="AO52" s="529">
        <v>4</v>
      </c>
      <c r="AP52" s="533">
        <v>2868.8571428571449</v>
      </c>
      <c r="AQ52" s="533">
        <v>717.21428571428623</v>
      </c>
      <c r="AR52" s="529">
        <f t="shared" si="21"/>
        <v>15</v>
      </c>
      <c r="AS52" s="624"/>
      <c r="AT52" s="529">
        <v>4</v>
      </c>
      <c r="AU52" s="533">
        <v>2846.5714285714303</v>
      </c>
      <c r="AV52" s="533">
        <v>711.64285714285757</v>
      </c>
      <c r="AW52" s="529">
        <f t="shared" si="23"/>
        <v>16</v>
      </c>
      <c r="AX52" s="624"/>
      <c r="AZ52" s="529" t="e">
        <f t="shared" si="25"/>
        <v>#N/A</v>
      </c>
      <c r="BA52" s="624"/>
    </row>
    <row r="53" spans="2:53">
      <c r="B53" s="638"/>
      <c r="C53" s="318">
        <v>12</v>
      </c>
      <c r="D53" s="505" t="s">
        <v>776</v>
      </c>
      <c r="E53" s="505">
        <v>4</v>
      </c>
      <c r="F53" s="505">
        <v>2800</v>
      </c>
      <c r="G53" s="182">
        <v>700</v>
      </c>
      <c r="H53" s="624"/>
      <c r="I53" s="516">
        <f t="shared" si="27"/>
        <v>4</v>
      </c>
      <c r="J53" s="516">
        <f t="shared" si="28"/>
        <v>2887.0285714285696</v>
      </c>
      <c r="K53" s="200">
        <f t="shared" si="29"/>
        <v>721.75714285714241</v>
      </c>
      <c r="L53" s="596"/>
      <c r="M53" s="199">
        <f>RANK(K53, K$42:$K$71)</f>
        <v>15</v>
      </c>
      <c r="N53" s="616"/>
      <c r="O53" s="616"/>
      <c r="P53" s="529">
        <v>4</v>
      </c>
      <c r="Q53" s="533">
        <v>2954.9999999999868</v>
      </c>
      <c r="R53" s="533">
        <v>738.7499999999967</v>
      </c>
      <c r="S53" s="529">
        <f t="shared" si="11"/>
        <v>14</v>
      </c>
      <c r="T53" s="624"/>
      <c r="U53" s="529">
        <v>4</v>
      </c>
      <c r="V53" s="533">
        <v>2861.9999999999873</v>
      </c>
      <c r="W53" s="533">
        <v>715.49999999999682</v>
      </c>
      <c r="X53" s="529">
        <f t="shared" si="13"/>
        <v>14</v>
      </c>
      <c r="Y53" s="624"/>
      <c r="Z53" s="529">
        <v>4</v>
      </c>
      <c r="AA53" s="533">
        <v>2877.0000000000105</v>
      </c>
      <c r="AB53" s="533">
        <v>719.25000000000261</v>
      </c>
      <c r="AC53" s="529">
        <f t="shared" si="15"/>
        <v>15</v>
      </c>
      <c r="AD53" s="624"/>
      <c r="AE53" s="529">
        <v>4</v>
      </c>
      <c r="AF53" s="533">
        <v>2853.00000000001</v>
      </c>
      <c r="AG53" s="533">
        <v>713.2500000000025</v>
      </c>
      <c r="AH53" s="529">
        <f t="shared" si="17"/>
        <v>16</v>
      </c>
      <c r="AI53" s="624"/>
      <c r="AJ53" s="529">
        <v>4</v>
      </c>
      <c r="AK53" s="533">
        <v>2871.0000000000105</v>
      </c>
      <c r="AL53" s="533">
        <v>717.75000000000261</v>
      </c>
      <c r="AM53" s="529">
        <f t="shared" si="19"/>
        <v>14</v>
      </c>
      <c r="AN53" s="624"/>
      <c r="AO53" s="529">
        <v>4</v>
      </c>
      <c r="AP53" s="533">
        <v>3071.9999999999864</v>
      </c>
      <c r="AQ53" s="533">
        <v>767.99999999999659</v>
      </c>
      <c r="AR53" s="529">
        <f t="shared" si="21"/>
        <v>13</v>
      </c>
      <c r="AS53" s="624"/>
      <c r="AT53" s="529">
        <v>4</v>
      </c>
      <c r="AU53" s="533">
        <v>2719.1999999999925</v>
      </c>
      <c r="AV53" s="533">
        <v>679.79999999999814</v>
      </c>
      <c r="AW53" s="529">
        <f t="shared" si="23"/>
        <v>17</v>
      </c>
      <c r="AX53" s="624"/>
      <c r="AZ53" s="529" t="e">
        <f t="shared" si="25"/>
        <v>#N/A</v>
      </c>
      <c r="BA53" s="624"/>
    </row>
    <row r="54" spans="2:53">
      <c r="B54" s="638"/>
      <c r="C54" s="318">
        <v>13</v>
      </c>
      <c r="D54" s="505" t="s">
        <v>777</v>
      </c>
      <c r="E54" s="505">
        <v>3</v>
      </c>
      <c r="F54" s="505">
        <v>2800</v>
      </c>
      <c r="G54" s="182">
        <v>933.33333333333337</v>
      </c>
      <c r="H54" s="624"/>
      <c r="I54" s="516">
        <f t="shared" si="27"/>
        <v>3</v>
      </c>
      <c r="J54" s="516">
        <f t="shared" si="28"/>
        <v>2985.0857142857035</v>
      </c>
      <c r="K54" s="200">
        <f t="shared" si="29"/>
        <v>995.02857142856794</v>
      </c>
      <c r="L54" s="596"/>
      <c r="M54" s="199">
        <f>RANK(K54, K$42:$K$71)</f>
        <v>7</v>
      </c>
      <c r="N54" s="616"/>
      <c r="O54" s="616"/>
      <c r="P54" s="529">
        <v>3</v>
      </c>
      <c r="Q54" s="533">
        <v>2702.3999999999924</v>
      </c>
      <c r="R54" s="533">
        <v>900.79999999999745</v>
      </c>
      <c r="S54" s="529">
        <f t="shared" si="11"/>
        <v>7</v>
      </c>
      <c r="T54" s="624"/>
      <c r="U54" s="529">
        <v>3</v>
      </c>
      <c r="V54" s="533">
        <v>2721.5999999999922</v>
      </c>
      <c r="W54" s="533">
        <v>907.19999999999743</v>
      </c>
      <c r="X54" s="529">
        <f t="shared" si="13"/>
        <v>7</v>
      </c>
      <c r="Y54" s="624"/>
      <c r="Z54" s="529">
        <v>3</v>
      </c>
      <c r="AA54" s="533">
        <v>3248.9999999999854</v>
      </c>
      <c r="AB54" s="533">
        <v>1082.9999999999952</v>
      </c>
      <c r="AC54" s="529">
        <f t="shared" si="15"/>
        <v>5</v>
      </c>
      <c r="AD54" s="624"/>
      <c r="AE54" s="529">
        <v>3</v>
      </c>
      <c r="AF54" s="533">
        <v>3089.9999999999864</v>
      </c>
      <c r="AG54" s="533">
        <v>1029.9999999999955</v>
      </c>
      <c r="AH54" s="529">
        <f t="shared" si="17"/>
        <v>6</v>
      </c>
      <c r="AI54" s="624"/>
      <c r="AJ54" s="529">
        <v>3</v>
      </c>
      <c r="AK54" s="533">
        <v>3290.9999999999854</v>
      </c>
      <c r="AL54" s="533">
        <v>1096.9999999999952</v>
      </c>
      <c r="AM54" s="529">
        <f t="shared" si="19"/>
        <v>1</v>
      </c>
      <c r="AN54" s="624"/>
      <c r="AO54" s="529">
        <v>3</v>
      </c>
      <c r="AP54" s="533">
        <v>2798.3999999999919</v>
      </c>
      <c r="AQ54" s="533">
        <v>932.79999999999734</v>
      </c>
      <c r="AR54" s="529">
        <f t="shared" si="21"/>
        <v>7</v>
      </c>
      <c r="AS54" s="624"/>
      <c r="AT54" s="529">
        <v>3</v>
      </c>
      <c r="AU54" s="533">
        <v>3043.1999999999916</v>
      </c>
      <c r="AV54" s="533">
        <v>1014.3999999999972</v>
      </c>
      <c r="AW54" s="529">
        <f t="shared" si="23"/>
        <v>7</v>
      </c>
      <c r="AX54" s="624"/>
      <c r="AZ54" s="529" t="e">
        <f t="shared" si="25"/>
        <v>#N/A</v>
      </c>
      <c r="BA54" s="624"/>
    </row>
    <row r="55" spans="2:53">
      <c r="B55" s="638"/>
      <c r="C55" s="318">
        <v>14</v>
      </c>
      <c r="D55" s="505" t="s">
        <v>778</v>
      </c>
      <c r="E55" s="505">
        <v>4</v>
      </c>
      <c r="F55" s="505">
        <v>2200</v>
      </c>
      <c r="G55" s="182">
        <v>550</v>
      </c>
      <c r="H55" s="624"/>
      <c r="I55" s="516">
        <f t="shared" si="27"/>
        <v>3</v>
      </c>
      <c r="J55" s="516">
        <f t="shared" si="28"/>
        <v>2274.0428571428561</v>
      </c>
      <c r="K55" s="200">
        <f t="shared" si="29"/>
        <v>758.01428571428539</v>
      </c>
      <c r="L55" s="596"/>
      <c r="M55" s="199">
        <f>RANK(K55, K$42:$K$71)</f>
        <v>14</v>
      </c>
      <c r="N55" s="616"/>
      <c r="O55" s="616"/>
      <c r="P55" s="529">
        <v>3</v>
      </c>
      <c r="Q55" s="533">
        <v>2222.6666666666665</v>
      </c>
      <c r="R55" s="533">
        <v>740.8888888888888</v>
      </c>
      <c r="S55" s="529">
        <f t="shared" si="11"/>
        <v>13</v>
      </c>
      <c r="T55" s="624"/>
      <c r="U55" s="529">
        <v>3</v>
      </c>
      <c r="V55" s="533">
        <v>2104</v>
      </c>
      <c r="W55" s="533">
        <v>701.33333333333337</v>
      </c>
      <c r="X55" s="529">
        <f t="shared" si="13"/>
        <v>16</v>
      </c>
      <c r="Y55" s="624"/>
      <c r="Z55" s="529">
        <v>3</v>
      </c>
      <c r="AA55" s="533">
        <v>2327.9999999999991</v>
      </c>
      <c r="AB55" s="533">
        <v>775.99999999999966</v>
      </c>
      <c r="AC55" s="529">
        <f t="shared" si="15"/>
        <v>13</v>
      </c>
      <c r="AD55" s="624"/>
      <c r="AE55" s="529">
        <v>3</v>
      </c>
      <c r="AF55" s="533">
        <v>2689.4999999999991</v>
      </c>
      <c r="AG55" s="533">
        <v>896.49999999999966</v>
      </c>
      <c r="AH55" s="529">
        <f t="shared" si="17"/>
        <v>8</v>
      </c>
      <c r="AI55" s="624"/>
      <c r="AJ55" s="529">
        <v>3</v>
      </c>
      <c r="AK55" s="533">
        <v>2193.3333333333335</v>
      </c>
      <c r="AL55" s="533">
        <v>731.1111111111112</v>
      </c>
      <c r="AM55" s="529">
        <f t="shared" si="19"/>
        <v>13</v>
      </c>
      <c r="AN55" s="624"/>
      <c r="AO55" s="529">
        <v>3</v>
      </c>
      <c r="AP55" s="533">
        <v>2116.7999999999943</v>
      </c>
      <c r="AQ55" s="533">
        <v>705.59999999999809</v>
      </c>
      <c r="AR55" s="529">
        <f t="shared" si="21"/>
        <v>16</v>
      </c>
      <c r="AS55" s="624"/>
      <c r="AT55" s="529">
        <v>3</v>
      </c>
      <c r="AU55" s="533">
        <v>2264</v>
      </c>
      <c r="AV55" s="533">
        <v>754.66666666666663</v>
      </c>
      <c r="AW55" s="529">
        <f t="shared" si="23"/>
        <v>14</v>
      </c>
      <c r="AX55" s="624"/>
      <c r="AZ55" s="529" t="e">
        <f t="shared" si="25"/>
        <v>#N/A</v>
      </c>
      <c r="BA55" s="624"/>
    </row>
    <row r="56" spans="2:53">
      <c r="B56" s="638"/>
      <c r="C56" s="318">
        <v>15</v>
      </c>
      <c r="D56" s="505" t="s">
        <v>642</v>
      </c>
      <c r="E56" s="505">
        <v>8</v>
      </c>
      <c r="F56" s="505">
        <v>1500</v>
      </c>
      <c r="G56" s="182">
        <v>187.5</v>
      </c>
      <c r="H56" s="624"/>
      <c r="I56" s="516">
        <f t="shared" si="27"/>
        <v>12</v>
      </c>
      <c r="J56" s="516">
        <f t="shared" si="28"/>
        <v>1286.0577770803882</v>
      </c>
      <c r="K56" s="200">
        <f t="shared" si="29"/>
        <v>107.17148142336568</v>
      </c>
      <c r="L56" s="596"/>
      <c r="M56" s="199">
        <f>RANK(K56, K$42:$K$71)</f>
        <v>21</v>
      </c>
      <c r="N56" s="616"/>
      <c r="O56" s="616"/>
      <c r="P56" s="529">
        <v>12</v>
      </c>
      <c r="Q56" s="533">
        <v>1238.399999999999</v>
      </c>
      <c r="R56" s="533">
        <v>103.19999999999992</v>
      </c>
      <c r="S56" s="529">
        <f t="shared" si="11"/>
        <v>21</v>
      </c>
      <c r="T56" s="624"/>
      <c r="U56" s="529">
        <v>12</v>
      </c>
      <c r="V56" s="533">
        <v>1244.1666666666683</v>
      </c>
      <c r="W56" s="533">
        <v>103.6805555555557</v>
      </c>
      <c r="X56" s="529">
        <f t="shared" si="13"/>
        <v>21</v>
      </c>
      <c r="Y56" s="624"/>
      <c r="Z56" s="529">
        <v>12</v>
      </c>
      <c r="AA56" s="533">
        <v>1318.2089552238822</v>
      </c>
      <c r="AB56" s="533">
        <v>109.85074626865685</v>
      </c>
      <c r="AC56" s="529">
        <f t="shared" si="15"/>
        <v>20</v>
      </c>
      <c r="AD56" s="624"/>
      <c r="AE56" s="529">
        <v>12</v>
      </c>
      <c r="AF56" s="533">
        <v>1311.0000000000011</v>
      </c>
      <c r="AG56" s="533">
        <v>109.2500000000001</v>
      </c>
      <c r="AH56" s="529">
        <f t="shared" si="17"/>
        <v>20</v>
      </c>
      <c r="AI56" s="624"/>
      <c r="AJ56" s="529">
        <v>12</v>
      </c>
      <c r="AK56" s="533">
        <v>1305.263157894738</v>
      </c>
      <c r="AL56" s="533">
        <v>108.7719298245615</v>
      </c>
      <c r="AM56" s="529">
        <f t="shared" si="19"/>
        <v>20</v>
      </c>
      <c r="AN56" s="624"/>
      <c r="AO56" s="529">
        <v>12</v>
      </c>
      <c r="AP56" s="533">
        <v>1356.176470588237</v>
      </c>
      <c r="AQ56" s="533">
        <v>113.01470588235308</v>
      </c>
      <c r="AR56" s="529">
        <f t="shared" si="21"/>
        <v>19</v>
      </c>
      <c r="AS56" s="624"/>
      <c r="AT56" s="529">
        <v>12</v>
      </c>
      <c r="AU56" s="533">
        <v>1229.1891891891908</v>
      </c>
      <c r="AV56" s="533">
        <v>102.43243243243256</v>
      </c>
      <c r="AW56" s="529">
        <f t="shared" si="23"/>
        <v>21</v>
      </c>
      <c r="AX56" s="624"/>
      <c r="AZ56" s="529" t="e">
        <f t="shared" si="25"/>
        <v>#N/A</v>
      </c>
      <c r="BA56" s="624"/>
    </row>
    <row r="57" spans="2:53">
      <c r="B57" s="638"/>
      <c r="C57" s="318">
        <v>16</v>
      </c>
      <c r="D57" s="505" t="s">
        <v>679</v>
      </c>
      <c r="E57" s="505">
        <v>4</v>
      </c>
      <c r="F57" s="505">
        <v>2200</v>
      </c>
      <c r="G57" s="182">
        <v>550</v>
      </c>
      <c r="H57" s="624"/>
      <c r="I57" s="516">
        <f t="shared" si="27"/>
        <v>4</v>
      </c>
      <c r="J57" s="516">
        <f t="shared" si="28"/>
        <v>2197.5714285714316</v>
      </c>
      <c r="K57" s="200">
        <f t="shared" si="29"/>
        <v>549.39285714285791</v>
      </c>
      <c r="L57" s="596"/>
      <c r="M57" s="199">
        <f>RANK(K57, K$42:$K$71)</f>
        <v>19</v>
      </c>
      <c r="N57" s="616"/>
      <c r="O57" s="616"/>
      <c r="P57" s="529">
        <v>4</v>
      </c>
      <c r="Q57" s="533">
        <v>2355.0000000000086</v>
      </c>
      <c r="R57" s="533">
        <v>588.75000000000216</v>
      </c>
      <c r="S57" s="529">
        <f t="shared" si="11"/>
        <v>17</v>
      </c>
      <c r="T57" s="624"/>
      <c r="U57" s="529">
        <v>4</v>
      </c>
      <c r="V57" s="533">
        <v>1784.0000000000061</v>
      </c>
      <c r="W57" s="533">
        <v>446.00000000000153</v>
      </c>
      <c r="X57" s="529">
        <f t="shared" si="13"/>
        <v>18</v>
      </c>
      <c r="Y57" s="624"/>
      <c r="Z57" s="529">
        <v>4</v>
      </c>
      <c r="AA57" s="533">
        <v>2180.9999999999905</v>
      </c>
      <c r="AB57" s="533">
        <v>545.24999999999761</v>
      </c>
      <c r="AC57" s="529">
        <f t="shared" si="15"/>
        <v>18</v>
      </c>
      <c r="AD57" s="624"/>
      <c r="AE57" s="529">
        <v>4</v>
      </c>
      <c r="AF57" s="533">
        <v>2180.9999999999905</v>
      </c>
      <c r="AG57" s="533">
        <v>545.24999999999761</v>
      </c>
      <c r="AH57" s="529">
        <f t="shared" si="17"/>
        <v>17</v>
      </c>
      <c r="AI57" s="624"/>
      <c r="AJ57" s="529">
        <v>4</v>
      </c>
      <c r="AK57" s="533">
        <v>2151.0000000000077</v>
      </c>
      <c r="AL57" s="533">
        <v>537.75000000000193</v>
      </c>
      <c r="AM57" s="529">
        <f t="shared" si="19"/>
        <v>18</v>
      </c>
      <c r="AN57" s="624"/>
      <c r="AO57" s="529">
        <v>4</v>
      </c>
      <c r="AP57" s="533">
        <v>2376.0000000000086</v>
      </c>
      <c r="AQ57" s="533">
        <v>594.00000000000216</v>
      </c>
      <c r="AR57" s="529">
        <f t="shared" si="21"/>
        <v>17</v>
      </c>
      <c r="AS57" s="624"/>
      <c r="AT57" s="529">
        <v>4</v>
      </c>
      <c r="AU57" s="533">
        <v>2355.0000000000086</v>
      </c>
      <c r="AV57" s="533">
        <v>588.75000000000216</v>
      </c>
      <c r="AW57" s="529">
        <f t="shared" si="23"/>
        <v>18</v>
      </c>
      <c r="AX57" s="624"/>
      <c r="AZ57" s="529" t="e">
        <f t="shared" si="25"/>
        <v>#N/A</v>
      </c>
      <c r="BA57" s="624"/>
    </row>
    <row r="58" spans="2:53">
      <c r="B58" s="638"/>
      <c r="C58" s="318">
        <v>17</v>
      </c>
      <c r="D58" s="505" t="s">
        <v>779</v>
      </c>
      <c r="E58" s="505">
        <v>3</v>
      </c>
      <c r="F58" s="505">
        <v>2800</v>
      </c>
      <c r="G58" s="182">
        <v>933.33333333333337</v>
      </c>
      <c r="H58" s="624"/>
      <c r="I58" s="516">
        <f t="shared" si="27"/>
        <v>3</v>
      </c>
      <c r="J58" s="516">
        <f t="shared" si="28"/>
        <v>2843.6630434782605</v>
      </c>
      <c r="K58" s="200">
        <f t="shared" si="29"/>
        <v>947.88768115942025</v>
      </c>
      <c r="L58" s="596"/>
      <c r="M58" s="199">
        <f>RANK(K58, K$42:$K$71)</f>
        <v>8</v>
      </c>
      <c r="N58" s="616"/>
      <c r="O58" s="616"/>
      <c r="P58" s="529">
        <v>3</v>
      </c>
      <c r="Q58" s="533">
        <v>2861.3333333333335</v>
      </c>
      <c r="R58" s="533">
        <v>953.77777777777783</v>
      </c>
      <c r="S58" s="529">
        <f t="shared" si="11"/>
        <v>6</v>
      </c>
      <c r="T58" s="624"/>
      <c r="U58" s="529">
        <v>3</v>
      </c>
      <c r="V58" s="533">
        <v>2893.3333333333335</v>
      </c>
      <c r="W58" s="533">
        <v>964.44444444444446</v>
      </c>
      <c r="X58" s="529">
        <f t="shared" si="13"/>
        <v>6</v>
      </c>
      <c r="Y58" s="624"/>
      <c r="Z58" s="529">
        <v>3</v>
      </c>
      <c r="AA58" s="533">
        <v>2813.333333333333</v>
      </c>
      <c r="AB58" s="533">
        <v>937.77777777777771</v>
      </c>
      <c r="AC58" s="529">
        <f t="shared" si="15"/>
        <v>6</v>
      </c>
      <c r="AD58" s="624"/>
      <c r="AE58" s="529">
        <v>3</v>
      </c>
      <c r="AF58" s="533">
        <v>2804.9999999999991</v>
      </c>
      <c r="AG58" s="533">
        <v>934.99999999999966</v>
      </c>
      <c r="AH58" s="529">
        <f t="shared" si="17"/>
        <v>7</v>
      </c>
      <c r="AI58" s="624"/>
      <c r="AJ58" s="529">
        <v>3</v>
      </c>
      <c r="AK58" s="533">
        <v>2768.9999999999991</v>
      </c>
      <c r="AL58" s="533">
        <v>922.99999999999966</v>
      </c>
      <c r="AM58" s="529">
        <f t="shared" si="19"/>
        <v>6</v>
      </c>
      <c r="AN58" s="624"/>
      <c r="AO58" s="529">
        <v>3</v>
      </c>
      <c r="AP58" s="533">
        <v>2856.2500000000009</v>
      </c>
      <c r="AQ58" s="533">
        <v>952.0833333333336</v>
      </c>
      <c r="AR58" s="529">
        <f t="shared" si="21"/>
        <v>6</v>
      </c>
      <c r="AS58" s="624"/>
      <c r="AT58" s="529">
        <v>3</v>
      </c>
      <c r="AU58" s="533">
        <v>2907.391304347826</v>
      </c>
      <c r="AV58" s="533">
        <v>969.13043478260863</v>
      </c>
      <c r="AW58" s="529">
        <f t="shared" si="23"/>
        <v>8</v>
      </c>
      <c r="AX58" s="624"/>
      <c r="AZ58" s="529" t="e">
        <f t="shared" si="25"/>
        <v>#N/A</v>
      </c>
      <c r="BA58" s="624"/>
    </row>
    <row r="59" spans="2:53">
      <c r="B59" s="638"/>
      <c r="C59" s="318">
        <v>18</v>
      </c>
      <c r="D59" s="505" t="s">
        <v>780</v>
      </c>
      <c r="E59" s="505">
        <v>4</v>
      </c>
      <c r="F59" s="505">
        <v>2200</v>
      </c>
      <c r="G59" s="182">
        <v>550</v>
      </c>
      <c r="H59" s="624"/>
      <c r="I59" s="516">
        <f t="shared" si="27"/>
        <v>4</v>
      </c>
      <c r="J59" s="516">
        <f t="shared" si="28"/>
        <v>2212.1632653061179</v>
      </c>
      <c r="K59" s="200">
        <f t="shared" si="29"/>
        <v>553.04081632652947</v>
      </c>
      <c r="L59" s="596"/>
      <c r="M59" s="199">
        <f>RANK(K59, K$42:$K$71)</f>
        <v>18</v>
      </c>
      <c r="N59" s="616"/>
      <c r="O59" s="616"/>
      <c r="P59" s="529">
        <v>4</v>
      </c>
      <c r="Q59" s="533">
        <v>2206.2857142857015</v>
      </c>
      <c r="R59" s="533">
        <v>551.57142857142537</v>
      </c>
      <c r="S59" s="529">
        <f t="shared" si="11"/>
        <v>18</v>
      </c>
      <c r="T59" s="624"/>
      <c r="U59" s="529">
        <v>4</v>
      </c>
      <c r="V59" s="533">
        <v>2158.2857142857019</v>
      </c>
      <c r="W59" s="533">
        <v>539.57142857142549</v>
      </c>
      <c r="X59" s="529">
        <f t="shared" si="13"/>
        <v>17</v>
      </c>
      <c r="Y59" s="624"/>
      <c r="Z59" s="529">
        <v>4</v>
      </c>
      <c r="AA59" s="533">
        <v>2339.9999999999959</v>
      </c>
      <c r="AB59" s="533">
        <v>584.99999999999898</v>
      </c>
      <c r="AC59" s="529">
        <f t="shared" si="15"/>
        <v>17</v>
      </c>
      <c r="AD59" s="624"/>
      <c r="AE59" s="529">
        <v>4</v>
      </c>
      <c r="AF59" s="533">
        <v>2111.9999999999964</v>
      </c>
      <c r="AG59" s="533">
        <v>527.99999999999909</v>
      </c>
      <c r="AH59" s="529">
        <f t="shared" si="17"/>
        <v>18</v>
      </c>
      <c r="AI59" s="624"/>
      <c r="AJ59" s="529">
        <v>4</v>
      </c>
      <c r="AK59" s="533">
        <v>2281.9999999999959</v>
      </c>
      <c r="AL59" s="533">
        <v>570.49999999999898</v>
      </c>
      <c r="AM59" s="529">
        <f t="shared" si="19"/>
        <v>17</v>
      </c>
      <c r="AN59" s="624"/>
      <c r="AO59" s="529">
        <v>4</v>
      </c>
      <c r="AP59" s="533">
        <v>2084.5714285714362</v>
      </c>
      <c r="AQ59" s="533">
        <v>521.14285714285904</v>
      </c>
      <c r="AR59" s="529">
        <f t="shared" si="21"/>
        <v>18</v>
      </c>
      <c r="AS59" s="624"/>
      <c r="AT59" s="529">
        <v>4</v>
      </c>
      <c r="AU59" s="533">
        <v>2301.9999999999959</v>
      </c>
      <c r="AV59" s="533">
        <v>575.49999999999898</v>
      </c>
      <c r="AW59" s="529">
        <f t="shared" si="23"/>
        <v>19</v>
      </c>
      <c r="AX59" s="624"/>
      <c r="AZ59" s="529" t="e">
        <f t="shared" si="25"/>
        <v>#N/A</v>
      </c>
      <c r="BA59" s="624"/>
    </row>
    <row r="60" spans="2:53">
      <c r="B60" s="638"/>
      <c r="C60" s="318">
        <v>19</v>
      </c>
      <c r="D60" s="505" t="s">
        <v>781</v>
      </c>
      <c r="E60" s="505">
        <v>4</v>
      </c>
      <c r="F60" s="505">
        <v>2800</v>
      </c>
      <c r="G60" s="182">
        <v>700</v>
      </c>
      <c r="H60" s="624"/>
      <c r="I60" s="516">
        <f t="shared" si="27"/>
        <v>4</v>
      </c>
      <c r="J60" s="516">
        <f t="shared" si="28"/>
        <v>2856.8612228245029</v>
      </c>
      <c r="K60" s="200">
        <f t="shared" si="29"/>
        <v>714.21530570612572</v>
      </c>
      <c r="L60" s="596"/>
      <c r="M60" s="199">
        <f>RANK(K60, K$42:$K$71)</f>
        <v>16</v>
      </c>
      <c r="N60" s="616"/>
      <c r="O60" s="616"/>
      <c r="P60" s="529">
        <v>4</v>
      </c>
      <c r="Q60" s="533">
        <v>2861.3333333333335</v>
      </c>
      <c r="R60" s="533">
        <v>715.33333333333337</v>
      </c>
      <c r="S60" s="529">
        <f t="shared" si="11"/>
        <v>15</v>
      </c>
      <c r="T60" s="624"/>
      <c r="U60" s="529">
        <v>4</v>
      </c>
      <c r="V60" s="533">
        <v>2840</v>
      </c>
      <c r="W60" s="533">
        <v>710</v>
      </c>
      <c r="X60" s="529">
        <f t="shared" si="13"/>
        <v>15</v>
      </c>
      <c r="Y60" s="624"/>
      <c r="Z60" s="529">
        <v>4</v>
      </c>
      <c r="AA60" s="533">
        <v>2905.1162790697667</v>
      </c>
      <c r="AB60" s="533">
        <v>726.27906976744168</v>
      </c>
      <c r="AC60" s="529">
        <f t="shared" si="15"/>
        <v>14</v>
      </c>
      <c r="AD60" s="624"/>
      <c r="AE60" s="529">
        <v>4</v>
      </c>
      <c r="AF60" s="533">
        <v>2936.8421052631556</v>
      </c>
      <c r="AG60" s="533">
        <v>734.21052631578891</v>
      </c>
      <c r="AH60" s="529">
        <f t="shared" si="17"/>
        <v>14</v>
      </c>
      <c r="AI60" s="624"/>
      <c r="AJ60" s="529">
        <v>4</v>
      </c>
      <c r="AK60" s="533">
        <v>2734.7368421052611</v>
      </c>
      <c r="AL60" s="533">
        <v>683.68421052631527</v>
      </c>
      <c r="AM60" s="529">
        <f t="shared" si="19"/>
        <v>16</v>
      </c>
      <c r="AN60" s="624"/>
      <c r="AO60" s="529">
        <v>4</v>
      </c>
      <c r="AP60" s="533">
        <v>2872</v>
      </c>
      <c r="AQ60" s="533">
        <v>718</v>
      </c>
      <c r="AR60" s="529">
        <f t="shared" si="21"/>
        <v>14</v>
      </c>
      <c r="AS60" s="624"/>
      <c r="AT60" s="529">
        <v>4</v>
      </c>
      <c r="AU60" s="533">
        <v>2848</v>
      </c>
      <c r="AV60" s="533">
        <v>712</v>
      </c>
      <c r="AW60" s="529">
        <f t="shared" si="23"/>
        <v>15</v>
      </c>
      <c r="AX60" s="624"/>
      <c r="AZ60" s="529" t="e">
        <f t="shared" si="25"/>
        <v>#N/A</v>
      </c>
      <c r="BA60" s="624"/>
    </row>
    <row r="61" spans="2:53">
      <c r="B61" s="638"/>
      <c r="C61" s="318">
        <v>20</v>
      </c>
      <c r="D61" s="505" t="s">
        <v>802</v>
      </c>
      <c r="E61" s="505">
        <v>12</v>
      </c>
      <c r="F61" s="505">
        <v>1500</v>
      </c>
      <c r="G61" s="182">
        <v>125</v>
      </c>
      <c r="H61" s="624"/>
      <c r="I61" s="516">
        <f t="shared" si="27"/>
        <v>12.142857142857142</v>
      </c>
      <c r="J61" s="516">
        <f t="shared" si="28"/>
        <v>1253.5496390402056</v>
      </c>
      <c r="K61" s="200">
        <f t="shared" si="29"/>
        <v>103.23709152482742</v>
      </c>
      <c r="L61" s="596"/>
      <c r="M61" s="199">
        <f>RANK(K61, K$42:$K$71)</f>
        <v>22</v>
      </c>
      <c r="N61" s="616"/>
      <c r="O61" s="616"/>
      <c r="P61" s="529">
        <v>12</v>
      </c>
      <c r="Q61" s="533">
        <v>1275.0000000000045</v>
      </c>
      <c r="R61" s="533">
        <v>106.25000000000038</v>
      </c>
      <c r="S61" s="529">
        <f t="shared" si="11"/>
        <v>20</v>
      </c>
      <c r="T61" s="624"/>
      <c r="U61" s="529">
        <v>12</v>
      </c>
      <c r="V61" s="533">
        <v>1287.2727272727318</v>
      </c>
      <c r="W61" s="533">
        <v>107.27272727272765</v>
      </c>
      <c r="X61" s="529">
        <f t="shared" si="13"/>
        <v>20</v>
      </c>
      <c r="Y61" s="624"/>
      <c r="Z61" s="529">
        <v>13</v>
      </c>
      <c r="AA61" s="533">
        <v>1338.1132075471744</v>
      </c>
      <c r="AB61" s="533">
        <v>102.9317851959365</v>
      </c>
      <c r="AC61" s="529">
        <f t="shared" si="15"/>
        <v>21</v>
      </c>
      <c r="AD61" s="624"/>
      <c r="AE61" s="529">
        <v>12</v>
      </c>
      <c r="AF61" s="533">
        <v>1306.153846153851</v>
      </c>
      <c r="AG61" s="533">
        <v>108.84615384615425</v>
      </c>
      <c r="AH61" s="529">
        <f t="shared" si="17"/>
        <v>21</v>
      </c>
      <c r="AI61" s="624"/>
      <c r="AJ61" s="529">
        <v>12</v>
      </c>
      <c r="AK61" s="533">
        <v>1112.3076923076826</v>
      </c>
      <c r="AL61" s="533">
        <v>92.692307692306883</v>
      </c>
      <c r="AM61" s="529">
        <f t="shared" si="19"/>
        <v>21</v>
      </c>
      <c r="AN61" s="624"/>
      <c r="AO61" s="529">
        <v>12</v>
      </c>
      <c r="AP61" s="533">
        <v>1255.9999999999911</v>
      </c>
      <c r="AQ61" s="533">
        <v>104.66666666666593</v>
      </c>
      <c r="AR61" s="529">
        <f t="shared" si="21"/>
        <v>21</v>
      </c>
      <c r="AS61" s="624"/>
      <c r="AT61" s="529">
        <v>12</v>
      </c>
      <c r="AU61" s="533">
        <v>1200.0000000000043</v>
      </c>
      <c r="AV61" s="533">
        <v>100.00000000000036</v>
      </c>
      <c r="AW61" s="529">
        <f t="shared" si="23"/>
        <v>22</v>
      </c>
      <c r="AX61" s="624"/>
      <c r="AZ61" s="529" t="e">
        <f t="shared" si="25"/>
        <v>#N/A</v>
      </c>
      <c r="BA61" s="624"/>
    </row>
    <row r="62" spans="2:53">
      <c r="B62" s="638"/>
      <c r="C62" s="318">
        <v>21</v>
      </c>
      <c r="D62" s="508" t="s">
        <v>820</v>
      </c>
      <c r="E62" s="505">
        <v>12</v>
      </c>
      <c r="F62" s="505">
        <v>1500</v>
      </c>
      <c r="G62" s="182">
        <v>125</v>
      </c>
      <c r="H62" s="624"/>
      <c r="I62" s="516">
        <f t="shared" si="27"/>
        <v>12</v>
      </c>
      <c r="J62" s="516">
        <f t="shared" si="28"/>
        <v>1392.4896376089384</v>
      </c>
      <c r="K62" s="200">
        <f t="shared" si="29"/>
        <v>116.04080313407817</v>
      </c>
      <c r="L62" s="596"/>
      <c r="M62" s="199">
        <f>RANK(K62, K$42:$K$71)</f>
        <v>20</v>
      </c>
      <c r="N62" s="616"/>
      <c r="O62" s="616"/>
      <c r="P62" s="529">
        <v>12</v>
      </c>
      <c r="Q62" s="533">
        <v>1420.2857142857197</v>
      </c>
      <c r="R62" s="533">
        <v>118.3571428571433</v>
      </c>
      <c r="S62" s="529">
        <f t="shared" si="11"/>
        <v>19</v>
      </c>
      <c r="T62" s="624"/>
      <c r="U62" s="529">
        <v>12</v>
      </c>
      <c r="V62" s="533">
        <v>1434.4615384615399</v>
      </c>
      <c r="W62" s="533">
        <v>119.53846153846166</v>
      </c>
      <c r="X62" s="529">
        <f t="shared" si="13"/>
        <v>19</v>
      </c>
      <c r="Y62" s="624"/>
      <c r="Z62" s="529">
        <v>12</v>
      </c>
      <c r="AA62" s="533">
        <v>1404.6428571428582</v>
      </c>
      <c r="AB62" s="533">
        <v>117.05357142857152</v>
      </c>
      <c r="AC62" s="529">
        <f t="shared" si="15"/>
        <v>19</v>
      </c>
      <c r="AD62" s="624"/>
      <c r="AE62" s="529">
        <v>12</v>
      </c>
      <c r="AF62" s="533">
        <v>1400.7272727272737</v>
      </c>
      <c r="AG62" s="533">
        <v>116.7272727272728</v>
      </c>
      <c r="AH62" s="529">
        <f t="shared" si="17"/>
        <v>19</v>
      </c>
      <c r="AI62" s="624"/>
      <c r="AJ62" s="529">
        <v>12</v>
      </c>
      <c r="AK62" s="533">
        <v>1324.800000000009</v>
      </c>
      <c r="AL62" s="533">
        <v>110.40000000000076</v>
      </c>
      <c r="AM62" s="529">
        <f t="shared" si="19"/>
        <v>19</v>
      </c>
      <c r="AN62" s="624"/>
      <c r="AO62" s="529">
        <v>12</v>
      </c>
      <c r="AP62" s="533">
        <v>1310.322580645166</v>
      </c>
      <c r="AQ62" s="533">
        <v>109.19354838709717</v>
      </c>
      <c r="AR62" s="529">
        <f t="shared" si="21"/>
        <v>20</v>
      </c>
      <c r="AS62" s="624"/>
      <c r="AT62" s="529">
        <v>12</v>
      </c>
      <c r="AU62" s="533">
        <v>1452.1875000000018</v>
      </c>
      <c r="AV62" s="533">
        <v>121.01562500000016</v>
      </c>
      <c r="AW62" s="529">
        <f t="shared" si="23"/>
        <v>20</v>
      </c>
      <c r="AX62" s="624"/>
      <c r="AZ62" s="529" t="e">
        <f t="shared" si="25"/>
        <v>#N/A</v>
      </c>
      <c r="BA62" s="624"/>
    </row>
    <row r="63" spans="2:53">
      <c r="B63" s="638"/>
      <c r="C63" s="318">
        <v>22</v>
      </c>
      <c r="D63" s="505" t="s">
        <v>842</v>
      </c>
      <c r="E63" s="505">
        <v>3</v>
      </c>
      <c r="F63" s="505">
        <v>3000</v>
      </c>
      <c r="G63" s="505">
        <v>933.33333333333337</v>
      </c>
      <c r="H63" s="624"/>
      <c r="I63" s="516">
        <f t="shared" si="27"/>
        <v>3</v>
      </c>
      <c r="J63" s="516">
        <f t="shared" si="28"/>
        <v>3044.2499999999991</v>
      </c>
      <c r="K63" s="200">
        <f t="shared" si="29"/>
        <v>1014.7499999999997</v>
      </c>
      <c r="L63" s="596"/>
      <c r="M63" s="199">
        <f>RANK(K63, K$42:$K$71)</f>
        <v>6</v>
      </c>
      <c r="N63" s="616"/>
      <c r="O63" s="616"/>
      <c r="P63" s="529" t="s">
        <v>839</v>
      </c>
      <c r="Q63" s="533" t="s">
        <v>839</v>
      </c>
      <c r="R63" s="533" t="s">
        <v>839</v>
      </c>
      <c r="S63" s="529" t="e">
        <f t="shared" si="11"/>
        <v>#VALUE!</v>
      </c>
      <c r="T63" s="624"/>
      <c r="U63" s="529" t="s">
        <v>839</v>
      </c>
      <c r="V63" s="533" t="s">
        <v>839</v>
      </c>
      <c r="W63" s="533" t="s">
        <v>839</v>
      </c>
      <c r="X63" s="529" t="e">
        <f t="shared" si="13"/>
        <v>#VALUE!</v>
      </c>
      <c r="Y63" s="624"/>
      <c r="Z63" s="529" t="s">
        <v>839</v>
      </c>
      <c r="AA63" s="533" t="s">
        <v>839</v>
      </c>
      <c r="AB63" s="533" t="s">
        <v>839</v>
      </c>
      <c r="AC63" s="529" t="e">
        <f t="shared" si="15"/>
        <v>#VALUE!</v>
      </c>
      <c r="AD63" s="624"/>
      <c r="AE63" s="529" t="s">
        <v>839</v>
      </c>
      <c r="AF63" s="533" t="s">
        <v>839</v>
      </c>
      <c r="AG63" s="533" t="s">
        <v>839</v>
      </c>
      <c r="AH63" s="529" t="e">
        <f t="shared" si="17"/>
        <v>#VALUE!</v>
      </c>
      <c r="AI63" s="624"/>
      <c r="AJ63" s="529" t="s">
        <v>839</v>
      </c>
      <c r="AK63" s="533" t="s">
        <v>839</v>
      </c>
      <c r="AL63" s="533" t="s">
        <v>839</v>
      </c>
      <c r="AM63" s="529" t="e">
        <f t="shared" si="19"/>
        <v>#VALUE!</v>
      </c>
      <c r="AN63" s="624"/>
      <c r="AO63" s="529" t="s">
        <v>839</v>
      </c>
      <c r="AP63" s="533" t="s">
        <v>839</v>
      </c>
      <c r="AQ63" s="533" t="s">
        <v>839</v>
      </c>
      <c r="AR63" s="529" t="e">
        <f t="shared" si="21"/>
        <v>#VALUE!</v>
      </c>
      <c r="AS63" s="624"/>
      <c r="AT63" s="529">
        <v>3</v>
      </c>
      <c r="AU63" s="533">
        <v>3044.2499999999991</v>
      </c>
      <c r="AV63" s="533">
        <v>1014.7499999999997</v>
      </c>
      <c r="AW63" s="529">
        <f t="shared" si="23"/>
        <v>6</v>
      </c>
      <c r="AX63" s="624"/>
      <c r="AZ63" s="529" t="e">
        <f t="shared" si="25"/>
        <v>#N/A</v>
      </c>
      <c r="BA63" s="624"/>
    </row>
    <row r="64" spans="2:53">
      <c r="B64" s="638"/>
      <c r="C64" s="318">
        <v>23</v>
      </c>
      <c r="D64" s="505"/>
      <c r="E64" s="505"/>
      <c r="F64" s="505"/>
      <c r="G64" s="505"/>
      <c r="H64" s="624"/>
      <c r="I64" s="516" t="str">
        <f t="shared" si="27"/>
        <v>-</v>
      </c>
      <c r="J64" s="516" t="str">
        <f t="shared" si="28"/>
        <v>-</v>
      </c>
      <c r="K64" s="200" t="str">
        <f t="shared" si="29"/>
        <v>-</v>
      </c>
      <c r="L64" s="596"/>
      <c r="M64" s="199" t="e">
        <f>RANK(K64, K$42:$K$71)</f>
        <v>#VALUE!</v>
      </c>
      <c r="N64" s="616"/>
      <c r="O64" s="616"/>
      <c r="P64" s="529" t="s">
        <v>839</v>
      </c>
      <c r="Q64" s="533" t="s">
        <v>839</v>
      </c>
      <c r="R64" s="533" t="s">
        <v>839</v>
      </c>
      <c r="S64" s="529" t="e">
        <f t="shared" si="11"/>
        <v>#VALUE!</v>
      </c>
      <c r="T64" s="624"/>
      <c r="U64" s="529" t="s">
        <v>839</v>
      </c>
      <c r="V64" s="533" t="s">
        <v>839</v>
      </c>
      <c r="W64" s="533" t="s">
        <v>839</v>
      </c>
      <c r="X64" s="529" t="e">
        <f t="shared" si="13"/>
        <v>#VALUE!</v>
      </c>
      <c r="Y64" s="624"/>
      <c r="Z64" s="529" t="s">
        <v>839</v>
      </c>
      <c r="AA64" s="533" t="s">
        <v>839</v>
      </c>
      <c r="AB64" s="533" t="s">
        <v>839</v>
      </c>
      <c r="AC64" s="529" t="e">
        <f t="shared" si="15"/>
        <v>#VALUE!</v>
      </c>
      <c r="AD64" s="624"/>
      <c r="AE64" s="529" t="s">
        <v>839</v>
      </c>
      <c r="AF64" s="533" t="s">
        <v>839</v>
      </c>
      <c r="AG64" s="533" t="s">
        <v>839</v>
      </c>
      <c r="AH64" s="529" t="e">
        <f t="shared" si="17"/>
        <v>#VALUE!</v>
      </c>
      <c r="AI64" s="624"/>
      <c r="AJ64" s="529" t="s">
        <v>839</v>
      </c>
      <c r="AK64" s="533" t="s">
        <v>839</v>
      </c>
      <c r="AL64" s="533" t="s">
        <v>839</v>
      </c>
      <c r="AM64" s="529" t="e">
        <f t="shared" si="19"/>
        <v>#VALUE!</v>
      </c>
      <c r="AN64" s="624"/>
      <c r="AO64" s="529" t="s">
        <v>839</v>
      </c>
      <c r="AP64" s="533" t="s">
        <v>839</v>
      </c>
      <c r="AQ64" s="533" t="s">
        <v>839</v>
      </c>
      <c r="AR64" s="529" t="e">
        <f t="shared" si="21"/>
        <v>#VALUE!</v>
      </c>
      <c r="AS64" s="624"/>
      <c r="AT64" s="529" t="s">
        <v>839</v>
      </c>
      <c r="AU64" s="533" t="s">
        <v>839</v>
      </c>
      <c r="AV64" s="533" t="s">
        <v>839</v>
      </c>
      <c r="AW64" s="529" t="e">
        <f t="shared" si="23"/>
        <v>#VALUE!</v>
      </c>
      <c r="AX64" s="624"/>
      <c r="AZ64" s="529" t="e">
        <f t="shared" si="25"/>
        <v>#N/A</v>
      </c>
      <c r="BA64" s="624"/>
    </row>
    <row r="65" spans="2:53">
      <c r="B65" s="638"/>
      <c r="C65" s="318">
        <v>24</v>
      </c>
      <c r="D65" s="505"/>
      <c r="E65" s="505"/>
      <c r="F65" s="505"/>
      <c r="G65" s="505"/>
      <c r="H65" s="624"/>
      <c r="I65" s="516" t="str">
        <f t="shared" si="27"/>
        <v>-</v>
      </c>
      <c r="J65" s="516" t="str">
        <f t="shared" si="28"/>
        <v>-</v>
      </c>
      <c r="K65" s="200" t="str">
        <f t="shared" si="29"/>
        <v>-</v>
      </c>
      <c r="L65" s="596"/>
      <c r="M65" s="199" t="e">
        <f>RANK(K65, K$42:$K$71)</f>
        <v>#VALUE!</v>
      </c>
      <c r="N65" s="616"/>
      <c r="O65" s="616"/>
      <c r="P65" s="529" t="s">
        <v>839</v>
      </c>
      <c r="Q65" s="533" t="s">
        <v>839</v>
      </c>
      <c r="R65" s="533" t="s">
        <v>839</v>
      </c>
      <c r="S65" s="529" t="e">
        <f t="shared" si="11"/>
        <v>#VALUE!</v>
      </c>
      <c r="T65" s="624"/>
      <c r="U65" s="529" t="s">
        <v>839</v>
      </c>
      <c r="V65" s="533" t="s">
        <v>839</v>
      </c>
      <c r="W65" s="533" t="s">
        <v>839</v>
      </c>
      <c r="X65" s="529" t="e">
        <f t="shared" si="13"/>
        <v>#VALUE!</v>
      </c>
      <c r="Y65" s="624"/>
      <c r="Z65" s="529" t="s">
        <v>839</v>
      </c>
      <c r="AA65" s="533" t="s">
        <v>839</v>
      </c>
      <c r="AB65" s="533" t="s">
        <v>839</v>
      </c>
      <c r="AC65" s="529" t="e">
        <f t="shared" si="15"/>
        <v>#VALUE!</v>
      </c>
      <c r="AD65" s="624"/>
      <c r="AE65" s="529" t="s">
        <v>839</v>
      </c>
      <c r="AF65" s="533" t="s">
        <v>839</v>
      </c>
      <c r="AG65" s="533" t="s">
        <v>839</v>
      </c>
      <c r="AH65" s="529" t="e">
        <f t="shared" si="17"/>
        <v>#VALUE!</v>
      </c>
      <c r="AI65" s="624"/>
      <c r="AJ65" s="529" t="s">
        <v>839</v>
      </c>
      <c r="AK65" s="533" t="s">
        <v>839</v>
      </c>
      <c r="AL65" s="533" t="s">
        <v>839</v>
      </c>
      <c r="AM65" s="529" t="e">
        <f t="shared" si="19"/>
        <v>#VALUE!</v>
      </c>
      <c r="AN65" s="624"/>
      <c r="AO65" s="529" t="s">
        <v>839</v>
      </c>
      <c r="AP65" s="533" t="s">
        <v>839</v>
      </c>
      <c r="AQ65" s="533" t="s">
        <v>839</v>
      </c>
      <c r="AR65" s="529" t="e">
        <f t="shared" si="21"/>
        <v>#VALUE!</v>
      </c>
      <c r="AS65" s="624"/>
      <c r="AT65" s="529" t="s">
        <v>839</v>
      </c>
      <c r="AU65" s="533" t="s">
        <v>839</v>
      </c>
      <c r="AV65" s="533" t="s">
        <v>839</v>
      </c>
      <c r="AW65" s="529" t="e">
        <f t="shared" si="23"/>
        <v>#VALUE!</v>
      </c>
      <c r="AX65" s="624"/>
      <c r="AZ65" s="529" t="e">
        <f t="shared" si="25"/>
        <v>#N/A</v>
      </c>
      <c r="BA65" s="624"/>
    </row>
    <row r="66" spans="2:53">
      <c r="B66" s="638"/>
      <c r="C66" s="318">
        <v>25</v>
      </c>
      <c r="D66" s="505"/>
      <c r="E66" s="505"/>
      <c r="F66" s="505"/>
      <c r="G66" s="505"/>
      <c r="H66" s="624"/>
      <c r="I66" s="516" t="str">
        <f t="shared" si="27"/>
        <v>-</v>
      </c>
      <c r="J66" s="516" t="str">
        <f t="shared" si="28"/>
        <v>-</v>
      </c>
      <c r="K66" s="200" t="str">
        <f t="shared" si="29"/>
        <v>-</v>
      </c>
      <c r="L66" s="596"/>
      <c r="M66" s="199" t="e">
        <f>RANK(K66, K$42:$K$71)</f>
        <v>#VALUE!</v>
      </c>
      <c r="N66" s="616"/>
      <c r="O66" s="616"/>
      <c r="P66" s="529" t="s">
        <v>839</v>
      </c>
      <c r="Q66" s="533" t="s">
        <v>839</v>
      </c>
      <c r="R66" s="533" t="s">
        <v>839</v>
      </c>
      <c r="S66" s="529" t="e">
        <f t="shared" si="11"/>
        <v>#VALUE!</v>
      </c>
      <c r="T66" s="624"/>
      <c r="U66" s="529" t="s">
        <v>839</v>
      </c>
      <c r="V66" s="533" t="s">
        <v>839</v>
      </c>
      <c r="W66" s="533" t="s">
        <v>839</v>
      </c>
      <c r="X66" s="529" t="e">
        <f t="shared" si="13"/>
        <v>#VALUE!</v>
      </c>
      <c r="Y66" s="624"/>
      <c r="Z66" s="529" t="s">
        <v>839</v>
      </c>
      <c r="AA66" s="533" t="s">
        <v>839</v>
      </c>
      <c r="AB66" s="533" t="s">
        <v>839</v>
      </c>
      <c r="AC66" s="529" t="e">
        <f t="shared" si="15"/>
        <v>#VALUE!</v>
      </c>
      <c r="AD66" s="624"/>
      <c r="AE66" s="529" t="s">
        <v>839</v>
      </c>
      <c r="AF66" s="533" t="s">
        <v>839</v>
      </c>
      <c r="AG66" s="533" t="s">
        <v>839</v>
      </c>
      <c r="AH66" s="529" t="e">
        <f t="shared" si="17"/>
        <v>#VALUE!</v>
      </c>
      <c r="AI66" s="624"/>
      <c r="AJ66" s="529" t="s">
        <v>839</v>
      </c>
      <c r="AK66" s="533" t="s">
        <v>839</v>
      </c>
      <c r="AL66" s="533" t="s">
        <v>839</v>
      </c>
      <c r="AM66" s="529" t="e">
        <f t="shared" si="19"/>
        <v>#VALUE!</v>
      </c>
      <c r="AN66" s="624"/>
      <c r="AO66" s="529" t="s">
        <v>839</v>
      </c>
      <c r="AP66" s="533" t="s">
        <v>839</v>
      </c>
      <c r="AQ66" s="533" t="s">
        <v>839</v>
      </c>
      <c r="AR66" s="529" t="e">
        <f t="shared" si="21"/>
        <v>#VALUE!</v>
      </c>
      <c r="AS66" s="624"/>
      <c r="AT66" s="529" t="s">
        <v>839</v>
      </c>
      <c r="AU66" s="533" t="s">
        <v>839</v>
      </c>
      <c r="AV66" s="533" t="s">
        <v>839</v>
      </c>
      <c r="AW66" s="529" t="e">
        <f t="shared" si="23"/>
        <v>#VALUE!</v>
      </c>
      <c r="AX66" s="624"/>
      <c r="AZ66" s="529" t="e">
        <f t="shared" si="25"/>
        <v>#N/A</v>
      </c>
      <c r="BA66" s="624"/>
    </row>
    <row r="67" spans="2:53">
      <c r="B67" s="638"/>
      <c r="C67" s="318">
        <v>26</v>
      </c>
      <c r="D67" s="505"/>
      <c r="E67" s="505"/>
      <c r="F67" s="505"/>
      <c r="G67" s="505"/>
      <c r="H67" s="624"/>
      <c r="I67" s="516" t="str">
        <f t="shared" si="27"/>
        <v>-</v>
      </c>
      <c r="J67" s="516" t="str">
        <f t="shared" si="28"/>
        <v>-</v>
      </c>
      <c r="K67" s="200" t="str">
        <f t="shared" si="29"/>
        <v>-</v>
      </c>
      <c r="L67" s="596"/>
      <c r="M67" s="199" t="e">
        <f>RANK(K67, K$42:$K$71)</f>
        <v>#VALUE!</v>
      </c>
      <c r="N67" s="616"/>
      <c r="O67" s="616"/>
      <c r="P67" s="529" t="s">
        <v>839</v>
      </c>
      <c r="Q67" s="533" t="s">
        <v>839</v>
      </c>
      <c r="R67" s="533" t="s">
        <v>839</v>
      </c>
      <c r="S67" s="529" t="e">
        <f t="shared" si="11"/>
        <v>#VALUE!</v>
      </c>
      <c r="T67" s="624"/>
      <c r="U67" s="529" t="s">
        <v>839</v>
      </c>
      <c r="V67" s="533" t="s">
        <v>839</v>
      </c>
      <c r="W67" s="533" t="s">
        <v>839</v>
      </c>
      <c r="X67" s="529" t="e">
        <f t="shared" si="13"/>
        <v>#VALUE!</v>
      </c>
      <c r="Y67" s="624"/>
      <c r="Z67" s="529" t="s">
        <v>839</v>
      </c>
      <c r="AA67" s="533" t="s">
        <v>839</v>
      </c>
      <c r="AB67" s="533" t="s">
        <v>839</v>
      </c>
      <c r="AC67" s="529" t="e">
        <f t="shared" si="15"/>
        <v>#VALUE!</v>
      </c>
      <c r="AD67" s="624"/>
      <c r="AE67" s="529" t="s">
        <v>839</v>
      </c>
      <c r="AF67" s="533" t="s">
        <v>839</v>
      </c>
      <c r="AG67" s="533" t="s">
        <v>839</v>
      </c>
      <c r="AH67" s="529" t="e">
        <f t="shared" si="17"/>
        <v>#VALUE!</v>
      </c>
      <c r="AI67" s="624"/>
      <c r="AJ67" s="529" t="s">
        <v>839</v>
      </c>
      <c r="AK67" s="533" t="s">
        <v>839</v>
      </c>
      <c r="AL67" s="533" t="s">
        <v>839</v>
      </c>
      <c r="AM67" s="529" t="e">
        <f t="shared" si="19"/>
        <v>#VALUE!</v>
      </c>
      <c r="AN67" s="624"/>
      <c r="AO67" s="529" t="s">
        <v>839</v>
      </c>
      <c r="AP67" s="533" t="s">
        <v>839</v>
      </c>
      <c r="AQ67" s="533" t="s">
        <v>839</v>
      </c>
      <c r="AR67" s="529" t="e">
        <f t="shared" si="21"/>
        <v>#VALUE!</v>
      </c>
      <c r="AS67" s="624"/>
      <c r="AT67" s="529" t="s">
        <v>839</v>
      </c>
      <c r="AU67" s="533" t="s">
        <v>839</v>
      </c>
      <c r="AV67" s="533" t="s">
        <v>839</v>
      </c>
      <c r="AW67" s="529" t="e">
        <f t="shared" si="23"/>
        <v>#VALUE!</v>
      </c>
      <c r="AX67" s="624"/>
      <c r="AZ67" s="529" t="e">
        <f t="shared" si="25"/>
        <v>#N/A</v>
      </c>
      <c r="BA67" s="624"/>
    </row>
    <row r="68" spans="2:53">
      <c r="B68" s="638"/>
      <c r="C68" s="318">
        <v>27</v>
      </c>
      <c r="D68" s="505"/>
      <c r="E68" s="505"/>
      <c r="F68" s="505"/>
      <c r="G68" s="505"/>
      <c r="H68" s="624"/>
      <c r="I68" s="516" t="str">
        <f t="shared" si="27"/>
        <v>-</v>
      </c>
      <c r="J68" s="516" t="str">
        <f t="shared" si="28"/>
        <v>-</v>
      </c>
      <c r="K68" s="200" t="str">
        <f t="shared" si="29"/>
        <v>-</v>
      </c>
      <c r="L68" s="596"/>
      <c r="M68" s="199" t="e">
        <f>RANK(K68, K$42:$K$71)</f>
        <v>#VALUE!</v>
      </c>
      <c r="N68" s="616"/>
      <c r="O68" s="616"/>
      <c r="P68" s="529" t="s">
        <v>839</v>
      </c>
      <c r="Q68" s="533" t="s">
        <v>839</v>
      </c>
      <c r="R68" s="533" t="s">
        <v>839</v>
      </c>
      <c r="S68" s="529" t="e">
        <f t="shared" si="11"/>
        <v>#VALUE!</v>
      </c>
      <c r="T68" s="624"/>
      <c r="U68" s="529" t="s">
        <v>839</v>
      </c>
      <c r="V68" s="533" t="s">
        <v>839</v>
      </c>
      <c r="W68" s="533" t="s">
        <v>839</v>
      </c>
      <c r="X68" s="529" t="e">
        <f t="shared" si="13"/>
        <v>#VALUE!</v>
      </c>
      <c r="Y68" s="624"/>
      <c r="Z68" s="529" t="s">
        <v>839</v>
      </c>
      <c r="AA68" s="533" t="s">
        <v>839</v>
      </c>
      <c r="AB68" s="533" t="s">
        <v>839</v>
      </c>
      <c r="AC68" s="529" t="e">
        <f t="shared" si="15"/>
        <v>#VALUE!</v>
      </c>
      <c r="AD68" s="624"/>
      <c r="AE68" s="529" t="s">
        <v>839</v>
      </c>
      <c r="AF68" s="533" t="s">
        <v>839</v>
      </c>
      <c r="AG68" s="533" t="s">
        <v>839</v>
      </c>
      <c r="AH68" s="529" t="e">
        <f t="shared" si="17"/>
        <v>#VALUE!</v>
      </c>
      <c r="AI68" s="624"/>
      <c r="AJ68" s="529" t="s">
        <v>839</v>
      </c>
      <c r="AK68" s="533" t="s">
        <v>839</v>
      </c>
      <c r="AL68" s="533" t="s">
        <v>839</v>
      </c>
      <c r="AM68" s="529" t="e">
        <f t="shared" si="19"/>
        <v>#VALUE!</v>
      </c>
      <c r="AN68" s="624"/>
      <c r="AO68" s="529" t="s">
        <v>839</v>
      </c>
      <c r="AP68" s="533" t="s">
        <v>839</v>
      </c>
      <c r="AQ68" s="533" t="s">
        <v>839</v>
      </c>
      <c r="AR68" s="529" t="e">
        <f t="shared" si="21"/>
        <v>#VALUE!</v>
      </c>
      <c r="AS68" s="624"/>
      <c r="AT68" s="529" t="s">
        <v>839</v>
      </c>
      <c r="AU68" s="533" t="s">
        <v>839</v>
      </c>
      <c r="AV68" s="533" t="s">
        <v>839</v>
      </c>
      <c r="AW68" s="529" t="e">
        <f t="shared" si="23"/>
        <v>#VALUE!</v>
      </c>
      <c r="AX68" s="624"/>
      <c r="AZ68" s="529" t="e">
        <f t="shared" si="25"/>
        <v>#N/A</v>
      </c>
      <c r="BA68" s="624"/>
    </row>
    <row r="69" spans="2:53">
      <c r="B69" s="638"/>
      <c r="C69" s="318">
        <v>28</v>
      </c>
      <c r="D69" s="505"/>
      <c r="E69" s="505"/>
      <c r="F69" s="505"/>
      <c r="G69" s="505"/>
      <c r="H69" s="624"/>
      <c r="I69" s="516" t="str">
        <f t="shared" si="27"/>
        <v>-</v>
      </c>
      <c r="J69" s="516" t="str">
        <f t="shared" si="28"/>
        <v>-</v>
      </c>
      <c r="K69" s="200" t="str">
        <f t="shared" si="29"/>
        <v>-</v>
      </c>
      <c r="L69" s="596"/>
      <c r="M69" s="199" t="e">
        <f>RANK(K69, K$42:$K$71)</f>
        <v>#VALUE!</v>
      </c>
      <c r="N69" s="616"/>
      <c r="O69" s="616"/>
      <c r="P69" s="529" t="s">
        <v>839</v>
      </c>
      <c r="Q69" s="533" t="s">
        <v>839</v>
      </c>
      <c r="R69" s="533" t="s">
        <v>839</v>
      </c>
      <c r="S69" s="529" t="e">
        <f t="shared" si="11"/>
        <v>#VALUE!</v>
      </c>
      <c r="T69" s="624"/>
      <c r="U69" s="529" t="s">
        <v>839</v>
      </c>
      <c r="V69" s="533" t="s">
        <v>839</v>
      </c>
      <c r="W69" s="533" t="s">
        <v>839</v>
      </c>
      <c r="X69" s="529" t="e">
        <f t="shared" si="13"/>
        <v>#VALUE!</v>
      </c>
      <c r="Y69" s="624"/>
      <c r="Z69" s="529" t="s">
        <v>839</v>
      </c>
      <c r="AA69" s="533" t="s">
        <v>839</v>
      </c>
      <c r="AB69" s="533" t="s">
        <v>839</v>
      </c>
      <c r="AC69" s="529" t="e">
        <f t="shared" si="15"/>
        <v>#VALUE!</v>
      </c>
      <c r="AD69" s="624"/>
      <c r="AE69" s="529" t="s">
        <v>839</v>
      </c>
      <c r="AF69" s="533" t="s">
        <v>839</v>
      </c>
      <c r="AG69" s="533" t="s">
        <v>839</v>
      </c>
      <c r="AH69" s="529" t="e">
        <f t="shared" si="17"/>
        <v>#VALUE!</v>
      </c>
      <c r="AI69" s="624"/>
      <c r="AJ69" s="529" t="s">
        <v>839</v>
      </c>
      <c r="AK69" s="533" t="s">
        <v>839</v>
      </c>
      <c r="AL69" s="533" t="s">
        <v>839</v>
      </c>
      <c r="AM69" s="529" t="e">
        <f t="shared" si="19"/>
        <v>#VALUE!</v>
      </c>
      <c r="AN69" s="624"/>
      <c r="AO69" s="529" t="s">
        <v>839</v>
      </c>
      <c r="AP69" s="533" t="s">
        <v>839</v>
      </c>
      <c r="AQ69" s="533" t="s">
        <v>839</v>
      </c>
      <c r="AR69" s="529" t="e">
        <f t="shared" si="21"/>
        <v>#VALUE!</v>
      </c>
      <c r="AS69" s="624"/>
      <c r="AT69" s="529" t="s">
        <v>839</v>
      </c>
      <c r="AU69" s="533" t="s">
        <v>839</v>
      </c>
      <c r="AV69" s="533" t="s">
        <v>839</v>
      </c>
      <c r="AW69" s="529" t="e">
        <f t="shared" si="23"/>
        <v>#VALUE!</v>
      </c>
      <c r="AX69" s="624"/>
      <c r="AZ69" s="529" t="e">
        <f t="shared" si="25"/>
        <v>#N/A</v>
      </c>
      <c r="BA69" s="624"/>
    </row>
    <row r="70" spans="2:53">
      <c r="B70" s="638"/>
      <c r="C70" s="318">
        <v>29</v>
      </c>
      <c r="D70" s="505"/>
      <c r="E70" s="505"/>
      <c r="F70" s="505"/>
      <c r="G70" s="505"/>
      <c r="H70" s="624"/>
      <c r="I70" s="516" t="str">
        <f t="shared" si="27"/>
        <v>-</v>
      </c>
      <c r="J70" s="516" t="str">
        <f t="shared" si="28"/>
        <v>-</v>
      </c>
      <c r="K70" s="200" t="str">
        <f t="shared" si="29"/>
        <v>-</v>
      </c>
      <c r="L70" s="596"/>
      <c r="M70" s="199" t="e">
        <f>RANK(K70, K$42:$K$71)</f>
        <v>#VALUE!</v>
      </c>
      <c r="N70" s="616"/>
      <c r="O70" s="616"/>
      <c r="P70" s="529" t="s">
        <v>839</v>
      </c>
      <c r="Q70" s="533" t="s">
        <v>839</v>
      </c>
      <c r="R70" s="533" t="s">
        <v>839</v>
      </c>
      <c r="S70" s="529" t="e">
        <f t="shared" si="11"/>
        <v>#VALUE!</v>
      </c>
      <c r="T70" s="624"/>
      <c r="U70" s="529" t="s">
        <v>839</v>
      </c>
      <c r="V70" s="533" t="s">
        <v>839</v>
      </c>
      <c r="W70" s="533" t="s">
        <v>839</v>
      </c>
      <c r="X70" s="529" t="e">
        <f t="shared" si="13"/>
        <v>#VALUE!</v>
      </c>
      <c r="Y70" s="624"/>
      <c r="Z70" s="529" t="s">
        <v>839</v>
      </c>
      <c r="AA70" s="533" t="s">
        <v>839</v>
      </c>
      <c r="AB70" s="533" t="s">
        <v>839</v>
      </c>
      <c r="AC70" s="529" t="e">
        <f t="shared" si="15"/>
        <v>#VALUE!</v>
      </c>
      <c r="AD70" s="624"/>
      <c r="AE70" s="529" t="s">
        <v>839</v>
      </c>
      <c r="AF70" s="533" t="s">
        <v>839</v>
      </c>
      <c r="AG70" s="533" t="s">
        <v>839</v>
      </c>
      <c r="AH70" s="529" t="e">
        <f t="shared" si="17"/>
        <v>#VALUE!</v>
      </c>
      <c r="AI70" s="624"/>
      <c r="AJ70" s="529" t="s">
        <v>839</v>
      </c>
      <c r="AK70" s="533" t="s">
        <v>839</v>
      </c>
      <c r="AL70" s="533" t="s">
        <v>839</v>
      </c>
      <c r="AM70" s="529" t="e">
        <f t="shared" si="19"/>
        <v>#VALUE!</v>
      </c>
      <c r="AN70" s="624"/>
      <c r="AO70" s="529" t="s">
        <v>839</v>
      </c>
      <c r="AP70" s="533" t="s">
        <v>839</v>
      </c>
      <c r="AQ70" s="533" t="s">
        <v>839</v>
      </c>
      <c r="AR70" s="529" t="e">
        <f t="shared" si="21"/>
        <v>#VALUE!</v>
      </c>
      <c r="AS70" s="624"/>
      <c r="AT70" s="529" t="s">
        <v>839</v>
      </c>
      <c r="AU70" s="533" t="s">
        <v>839</v>
      </c>
      <c r="AV70" s="533" t="s">
        <v>839</v>
      </c>
      <c r="AW70" s="529" t="e">
        <f t="shared" si="23"/>
        <v>#VALUE!</v>
      </c>
      <c r="AX70" s="624"/>
      <c r="AZ70" s="529" t="e">
        <f t="shared" si="25"/>
        <v>#N/A</v>
      </c>
      <c r="BA70" s="624"/>
    </row>
    <row r="71" spans="2:53">
      <c r="B71" s="639"/>
      <c r="C71" s="318">
        <v>30</v>
      </c>
      <c r="D71" s="505"/>
      <c r="E71" s="505"/>
      <c r="F71" s="505"/>
      <c r="G71" s="505"/>
      <c r="H71" s="625"/>
      <c r="I71" s="516" t="str">
        <f t="shared" si="27"/>
        <v>-</v>
      </c>
      <c r="J71" s="516" t="str">
        <f t="shared" si="28"/>
        <v>-</v>
      </c>
      <c r="K71" s="200" t="str">
        <f t="shared" si="29"/>
        <v>-</v>
      </c>
      <c r="L71" s="597"/>
      <c r="M71" s="199" t="e">
        <f>RANK(K71, K$42:$K$71)</f>
        <v>#VALUE!</v>
      </c>
      <c r="N71" s="617"/>
      <c r="O71" s="617"/>
      <c r="P71" s="529" t="s">
        <v>839</v>
      </c>
      <c r="Q71" s="533" t="s">
        <v>839</v>
      </c>
      <c r="R71" s="533" t="s">
        <v>839</v>
      </c>
      <c r="S71" s="529" t="e">
        <f t="shared" si="11"/>
        <v>#VALUE!</v>
      </c>
      <c r="T71" s="625"/>
      <c r="U71" s="529" t="s">
        <v>839</v>
      </c>
      <c r="V71" s="533" t="s">
        <v>839</v>
      </c>
      <c r="W71" s="533" t="s">
        <v>839</v>
      </c>
      <c r="X71" s="529" t="e">
        <f t="shared" si="13"/>
        <v>#VALUE!</v>
      </c>
      <c r="Y71" s="625"/>
      <c r="Z71" s="529" t="s">
        <v>839</v>
      </c>
      <c r="AA71" s="533" t="s">
        <v>839</v>
      </c>
      <c r="AB71" s="533" t="s">
        <v>839</v>
      </c>
      <c r="AC71" s="529" t="e">
        <f t="shared" si="15"/>
        <v>#VALUE!</v>
      </c>
      <c r="AD71" s="625"/>
      <c r="AE71" s="529" t="s">
        <v>839</v>
      </c>
      <c r="AF71" s="533" t="s">
        <v>839</v>
      </c>
      <c r="AG71" s="533" t="s">
        <v>839</v>
      </c>
      <c r="AH71" s="529" t="e">
        <f t="shared" si="17"/>
        <v>#VALUE!</v>
      </c>
      <c r="AI71" s="625"/>
      <c r="AJ71" s="529" t="s">
        <v>839</v>
      </c>
      <c r="AK71" s="533" t="s">
        <v>839</v>
      </c>
      <c r="AL71" s="533" t="s">
        <v>839</v>
      </c>
      <c r="AM71" s="529" t="e">
        <f t="shared" si="19"/>
        <v>#VALUE!</v>
      </c>
      <c r="AN71" s="625"/>
      <c r="AO71" s="529" t="s">
        <v>839</v>
      </c>
      <c r="AP71" s="533" t="s">
        <v>839</v>
      </c>
      <c r="AQ71" s="533" t="s">
        <v>839</v>
      </c>
      <c r="AR71" s="529" t="e">
        <f t="shared" si="21"/>
        <v>#VALUE!</v>
      </c>
      <c r="AS71" s="625"/>
      <c r="AT71" s="529" t="s">
        <v>839</v>
      </c>
      <c r="AU71" s="533" t="s">
        <v>839</v>
      </c>
      <c r="AV71" s="533" t="s">
        <v>839</v>
      </c>
      <c r="AW71" s="529" t="e">
        <f t="shared" si="23"/>
        <v>#VALUE!</v>
      </c>
      <c r="AX71" s="625"/>
      <c r="AZ71" s="529" t="e">
        <f t="shared" si="25"/>
        <v>#N/A</v>
      </c>
      <c r="BA71" s="625"/>
    </row>
    <row r="72" spans="2:53" ht="15.75">
      <c r="B72" s="640" t="s">
        <v>163</v>
      </c>
      <c r="C72" s="641"/>
      <c r="D72" s="641"/>
      <c r="E72" s="641"/>
      <c r="F72" s="641"/>
      <c r="G72" s="641"/>
      <c r="H72" s="641"/>
      <c r="I72" s="208"/>
      <c r="J72" s="203"/>
      <c r="K72" s="208"/>
      <c r="L72" s="208"/>
      <c r="M72" s="204"/>
      <c r="N72" s="615" t="s">
        <v>156</v>
      </c>
      <c r="O72" s="615" t="s">
        <v>155</v>
      </c>
      <c r="P72" s="621">
        <f>P37+7</f>
        <v>46126</v>
      </c>
      <c r="Q72" s="622"/>
      <c r="R72" s="622"/>
      <c r="S72" s="622"/>
      <c r="T72" s="622"/>
      <c r="U72" s="618">
        <f>P72+1</f>
        <v>46127</v>
      </c>
      <c r="V72" s="619"/>
      <c r="W72" s="619"/>
      <c r="X72" s="619"/>
      <c r="Y72" s="620"/>
      <c r="Z72" s="618">
        <f>U72+1</f>
        <v>46128</v>
      </c>
      <c r="AA72" s="619"/>
      <c r="AB72" s="619"/>
      <c r="AC72" s="619"/>
      <c r="AD72" s="620"/>
      <c r="AE72" s="618">
        <f>Z72+1</f>
        <v>46129</v>
      </c>
      <c r="AF72" s="619"/>
      <c r="AG72" s="619"/>
      <c r="AH72" s="619"/>
      <c r="AI72" s="620"/>
      <c r="AJ72" s="618">
        <f>AE72+1</f>
        <v>46130</v>
      </c>
      <c r="AK72" s="619"/>
      <c r="AL72" s="619"/>
      <c r="AM72" s="619"/>
      <c r="AN72" s="620"/>
      <c r="AO72" s="618">
        <f>AJ72+1</f>
        <v>46131</v>
      </c>
      <c r="AP72" s="619"/>
      <c r="AQ72" s="619"/>
      <c r="AR72" s="619"/>
      <c r="AS72" s="620"/>
      <c r="AT72" s="618">
        <f>AO72+1</f>
        <v>46132</v>
      </c>
      <c r="AU72" s="619"/>
      <c r="AV72" s="619"/>
      <c r="AW72" s="619"/>
      <c r="AX72" s="620"/>
    </row>
    <row r="73" spans="2:53" ht="15.75">
      <c r="B73" s="629"/>
      <c r="C73" s="629"/>
      <c r="D73" s="629"/>
      <c r="E73" s="629"/>
      <c r="F73" s="629"/>
      <c r="G73" s="629"/>
      <c r="H73" s="629"/>
      <c r="I73" s="205"/>
      <c r="J73" s="205"/>
      <c r="K73" s="205"/>
      <c r="L73" s="205"/>
      <c r="M73" s="206"/>
      <c r="N73" s="617"/>
      <c r="O73" s="617"/>
      <c r="P73" s="621" t="s">
        <v>336</v>
      </c>
      <c r="Q73" s="622"/>
      <c r="R73" s="622"/>
      <c r="S73" s="622"/>
      <c r="T73" s="622"/>
      <c r="U73" s="621" t="s">
        <v>337</v>
      </c>
      <c r="V73" s="622"/>
      <c r="W73" s="622"/>
      <c r="X73" s="622"/>
      <c r="Y73" s="622"/>
      <c r="Z73" s="621" t="s">
        <v>338</v>
      </c>
      <c r="AA73" s="622"/>
      <c r="AB73" s="622"/>
      <c r="AC73" s="622"/>
      <c r="AD73" s="622"/>
      <c r="AE73" s="621" t="s">
        <v>339</v>
      </c>
      <c r="AF73" s="622"/>
      <c r="AG73" s="622"/>
      <c r="AH73" s="622"/>
      <c r="AI73" s="622"/>
      <c r="AJ73" s="621" t="s">
        <v>340</v>
      </c>
      <c r="AK73" s="622"/>
      <c r="AL73" s="622"/>
      <c r="AM73" s="622"/>
      <c r="AN73" s="622"/>
      <c r="AO73" s="621" t="s">
        <v>341</v>
      </c>
      <c r="AP73" s="622"/>
      <c r="AQ73" s="622"/>
      <c r="AR73" s="622"/>
      <c r="AS73" s="622"/>
      <c r="AT73" s="621" t="s">
        <v>342</v>
      </c>
      <c r="AU73" s="622"/>
      <c r="AV73" s="622"/>
      <c r="AW73" s="622"/>
      <c r="AX73" s="622"/>
    </row>
    <row r="74" spans="2:53">
      <c r="B74" s="615" t="s">
        <v>531</v>
      </c>
      <c r="C74" s="630" t="s">
        <v>532</v>
      </c>
      <c r="D74" s="633"/>
      <c r="E74" s="611" t="s">
        <v>533</v>
      </c>
      <c r="F74" s="612"/>
      <c r="G74" s="613"/>
      <c r="H74" s="615" t="s">
        <v>534</v>
      </c>
      <c r="I74" s="602" t="s">
        <v>535</v>
      </c>
      <c r="J74" s="603"/>
      <c r="K74" s="604"/>
      <c r="L74" s="605" t="s">
        <v>534</v>
      </c>
      <c r="M74" s="605" t="s">
        <v>536</v>
      </c>
      <c r="N74" s="615"/>
      <c r="O74" s="615" t="s">
        <v>537</v>
      </c>
      <c r="P74" s="611" t="s">
        <v>538</v>
      </c>
      <c r="Q74" s="612"/>
      <c r="R74" s="612"/>
      <c r="S74" s="613"/>
      <c r="T74" s="615" t="s">
        <v>534</v>
      </c>
      <c r="U74" s="611" t="s">
        <v>538</v>
      </c>
      <c r="V74" s="612"/>
      <c r="W74" s="612"/>
      <c r="X74" s="613"/>
      <c r="Y74" s="615" t="s">
        <v>534</v>
      </c>
      <c r="Z74" s="611" t="s">
        <v>538</v>
      </c>
      <c r="AA74" s="612"/>
      <c r="AB74" s="612"/>
      <c r="AC74" s="613"/>
      <c r="AD74" s="615" t="s">
        <v>534</v>
      </c>
      <c r="AE74" s="611" t="s">
        <v>538</v>
      </c>
      <c r="AF74" s="612"/>
      <c r="AG74" s="612"/>
      <c r="AH74" s="613"/>
      <c r="AI74" s="615" t="s">
        <v>534</v>
      </c>
      <c r="AJ74" s="611" t="s">
        <v>538</v>
      </c>
      <c r="AK74" s="612"/>
      <c r="AL74" s="612"/>
      <c r="AM74" s="613"/>
      <c r="AN74" s="615" t="s">
        <v>534</v>
      </c>
      <c r="AO74" s="611" t="s">
        <v>538</v>
      </c>
      <c r="AP74" s="612"/>
      <c r="AQ74" s="612"/>
      <c r="AR74" s="613"/>
      <c r="AS74" s="615" t="s">
        <v>534</v>
      </c>
      <c r="AT74" s="611" t="s">
        <v>538</v>
      </c>
      <c r="AU74" s="612"/>
      <c r="AV74" s="612"/>
      <c r="AW74" s="613"/>
      <c r="AX74" s="615" t="s">
        <v>534</v>
      </c>
      <c r="BA74" s="615" t="s">
        <v>395</v>
      </c>
    </row>
    <row r="75" spans="2:53">
      <c r="B75" s="616"/>
      <c r="C75" s="631"/>
      <c r="D75" s="634"/>
      <c r="E75" s="611" t="s">
        <v>539</v>
      </c>
      <c r="F75" s="612"/>
      <c r="G75" s="613"/>
      <c r="H75" s="616"/>
      <c r="I75" s="602" t="s">
        <v>539</v>
      </c>
      <c r="J75" s="603"/>
      <c r="K75" s="604"/>
      <c r="L75" s="606"/>
      <c r="M75" s="606"/>
      <c r="N75" s="616"/>
      <c r="O75" s="616"/>
      <c r="P75" s="611" t="s">
        <v>540</v>
      </c>
      <c r="Q75" s="612"/>
      <c r="R75" s="612"/>
      <c r="S75" s="613"/>
      <c r="T75" s="616"/>
      <c r="U75" s="611" t="s">
        <v>540</v>
      </c>
      <c r="V75" s="612"/>
      <c r="W75" s="612"/>
      <c r="X75" s="613"/>
      <c r="Y75" s="616"/>
      <c r="Z75" s="611" t="s">
        <v>540</v>
      </c>
      <c r="AA75" s="612"/>
      <c r="AB75" s="612"/>
      <c r="AC75" s="613"/>
      <c r="AD75" s="616"/>
      <c r="AE75" s="611" t="s">
        <v>540</v>
      </c>
      <c r="AF75" s="612"/>
      <c r="AG75" s="612"/>
      <c r="AH75" s="613"/>
      <c r="AI75" s="616"/>
      <c r="AJ75" s="611" t="s">
        <v>540</v>
      </c>
      <c r="AK75" s="612"/>
      <c r="AL75" s="612"/>
      <c r="AM75" s="613"/>
      <c r="AN75" s="616"/>
      <c r="AO75" s="611" t="s">
        <v>540</v>
      </c>
      <c r="AP75" s="612"/>
      <c r="AQ75" s="612"/>
      <c r="AR75" s="613"/>
      <c r="AS75" s="616"/>
      <c r="AT75" s="611" t="s">
        <v>540</v>
      </c>
      <c r="AU75" s="612"/>
      <c r="AV75" s="612"/>
      <c r="AW75" s="613"/>
      <c r="AX75" s="616"/>
      <c r="BA75" s="616"/>
    </row>
    <row r="76" spans="2:53">
      <c r="B76" s="617"/>
      <c r="C76" s="632"/>
      <c r="D76" s="635"/>
      <c r="E76" s="320" t="s">
        <v>541</v>
      </c>
      <c r="F76" s="320" t="s">
        <v>542</v>
      </c>
      <c r="G76" s="320" t="s">
        <v>543</v>
      </c>
      <c r="H76" s="617"/>
      <c r="I76" s="319" t="s">
        <v>541</v>
      </c>
      <c r="J76" s="319" t="s">
        <v>542</v>
      </c>
      <c r="K76" s="319" t="s">
        <v>543</v>
      </c>
      <c r="L76" s="607"/>
      <c r="M76" s="607"/>
      <c r="N76" s="616"/>
      <c r="O76" s="616"/>
      <c r="P76" s="320" t="s">
        <v>541</v>
      </c>
      <c r="Q76" s="320" t="s">
        <v>542</v>
      </c>
      <c r="R76" s="320" t="s">
        <v>543</v>
      </c>
      <c r="S76" s="320" t="s">
        <v>536</v>
      </c>
      <c r="T76" s="617"/>
      <c r="U76" s="320" t="s">
        <v>541</v>
      </c>
      <c r="V76" s="320" t="s">
        <v>542</v>
      </c>
      <c r="W76" s="320" t="s">
        <v>543</v>
      </c>
      <c r="X76" s="320" t="s">
        <v>536</v>
      </c>
      <c r="Y76" s="617"/>
      <c r="Z76" s="320" t="s">
        <v>541</v>
      </c>
      <c r="AA76" s="320" t="s">
        <v>542</v>
      </c>
      <c r="AB76" s="320" t="s">
        <v>543</v>
      </c>
      <c r="AC76" s="320" t="s">
        <v>536</v>
      </c>
      <c r="AD76" s="617"/>
      <c r="AE76" s="320" t="s">
        <v>541</v>
      </c>
      <c r="AF76" s="320" t="s">
        <v>542</v>
      </c>
      <c r="AG76" s="320" t="s">
        <v>543</v>
      </c>
      <c r="AH76" s="320" t="s">
        <v>536</v>
      </c>
      <c r="AI76" s="617"/>
      <c r="AJ76" s="320" t="s">
        <v>541</v>
      </c>
      <c r="AK76" s="320" t="s">
        <v>542</v>
      </c>
      <c r="AL76" s="320" t="s">
        <v>543</v>
      </c>
      <c r="AM76" s="320" t="s">
        <v>536</v>
      </c>
      <c r="AN76" s="617"/>
      <c r="AO76" s="320" t="s">
        <v>541</v>
      </c>
      <c r="AP76" s="320" t="s">
        <v>542</v>
      </c>
      <c r="AQ76" s="320" t="s">
        <v>543</v>
      </c>
      <c r="AR76" s="320" t="s">
        <v>536</v>
      </c>
      <c r="AS76" s="617"/>
      <c r="AT76" s="320" t="s">
        <v>541</v>
      </c>
      <c r="AU76" s="320" t="s">
        <v>542</v>
      </c>
      <c r="AV76" s="320" t="s">
        <v>543</v>
      </c>
      <c r="AW76" s="320" t="s">
        <v>536</v>
      </c>
      <c r="AX76" s="617"/>
      <c r="AZ76" s="530" t="s">
        <v>396</v>
      </c>
      <c r="BA76" s="617"/>
    </row>
    <row r="77" spans="2:53">
      <c r="B77" s="637" t="s">
        <v>150</v>
      </c>
      <c r="C77" s="321">
        <v>1</v>
      </c>
      <c r="D77" s="514"/>
      <c r="E77" s="514"/>
      <c r="F77" s="514"/>
      <c r="G77" s="182"/>
      <c r="H77" s="623" t="e">
        <f>AVERAGE(G77:G106)</f>
        <v>#DIV/0!</v>
      </c>
      <c r="I77" s="516" t="str">
        <f>IFERROR(AVERAGE(P77,U77,Z77,AE77,AJ77,AO77,AT77),"-")</f>
        <v>-</v>
      </c>
      <c r="J77" s="516" t="str">
        <f>IFERROR(AVERAGE(Q77,V77,AA77,AF77,AK77,AP77,AU77),"-")</f>
        <v>-</v>
      </c>
      <c r="K77" s="200" t="str">
        <f>IFERROR(AVERAGE(R77,W77,AB77,AG77,AL77,AQ77,AV77),"-")</f>
        <v>-</v>
      </c>
      <c r="L77" s="608" t="str">
        <f>IFERROR(AVERAGE(K77:K106),"-")</f>
        <v>-</v>
      </c>
      <c r="M77" s="199" t="e">
        <f>RANK(K77, K$77:$K$106)</f>
        <v>#VALUE!</v>
      </c>
      <c r="N77" s="616"/>
      <c r="O77" s="616"/>
      <c r="P77" s="182"/>
      <c r="Q77" s="182"/>
      <c r="R77" s="182"/>
      <c r="S77" s="321" t="e">
        <f>RANK(R77, R$77:R$106)</f>
        <v>#N/A</v>
      </c>
      <c r="T77" s="623" t="e">
        <f>AVERAGE(R77:R106)</f>
        <v>#DIV/0!</v>
      </c>
      <c r="U77" s="182"/>
      <c r="V77" s="182"/>
      <c r="W77" s="182"/>
      <c r="X77" s="442" t="e">
        <f t="shared" ref="X77:X92" si="30">RANK(W77, W$77:W$106)</f>
        <v>#N/A</v>
      </c>
      <c r="Y77" s="623" t="e">
        <f t="shared" ref="Y77" si="31">AVERAGE(W77:W106)</f>
        <v>#DIV/0!</v>
      </c>
      <c r="Z77" s="182"/>
      <c r="AA77" s="182"/>
      <c r="AB77" s="182"/>
      <c r="AC77" s="442" t="e">
        <f t="shared" ref="AC77:AC92" si="32">RANK(AB77, AB$77:AB$106)</f>
        <v>#N/A</v>
      </c>
      <c r="AD77" s="623" t="e">
        <f t="shared" ref="AD77" si="33">AVERAGE(AB77:AB106)</f>
        <v>#DIV/0!</v>
      </c>
      <c r="AE77" s="182"/>
      <c r="AF77" s="182"/>
      <c r="AG77" s="182"/>
      <c r="AH77" s="442" t="e">
        <f t="shared" ref="AH77:AH92" si="34">RANK(AG77, AG$77:AG$106)</f>
        <v>#N/A</v>
      </c>
      <c r="AI77" s="623" t="e">
        <f t="shared" ref="AI77" si="35">AVERAGE(AG77:AG106)</f>
        <v>#DIV/0!</v>
      </c>
      <c r="AJ77" s="182"/>
      <c r="AK77" s="182"/>
      <c r="AL77" s="182"/>
      <c r="AM77" s="442" t="e">
        <f t="shared" ref="AM77:AM92" si="36">RANK(AL77, AL$77:AL$106)</f>
        <v>#N/A</v>
      </c>
      <c r="AN77" s="623" t="e">
        <f t="shared" ref="AN77" si="37">AVERAGE(AL77:AL106)</f>
        <v>#DIV/0!</v>
      </c>
      <c r="AO77" s="182"/>
      <c r="AP77" s="182"/>
      <c r="AQ77" s="182"/>
      <c r="AR77" s="442" t="e">
        <f t="shared" ref="AR77:AR92" si="38">RANK(AQ77, AQ$77:AQ$106)</f>
        <v>#N/A</v>
      </c>
      <c r="AS77" s="623" t="e">
        <f t="shared" ref="AS77" si="39">AVERAGE(AQ77:AQ106)</f>
        <v>#DIV/0!</v>
      </c>
      <c r="AT77" s="182"/>
      <c r="AU77" s="182"/>
      <c r="AV77" s="182"/>
      <c r="AW77" s="442" t="e">
        <f t="shared" ref="AW77:AW92" si="40">RANK(AV77, AV$77:AV$106)</f>
        <v>#N/A</v>
      </c>
      <c r="AX77" s="623" t="e">
        <f t="shared" ref="AX77" si="41">AVERAGE(AV77:AV106)</f>
        <v>#DIV/0!</v>
      </c>
      <c r="AZ77" s="529" t="e">
        <f t="shared" ref="AZ77:AZ106" si="42">RANK(AY77, AY$77:AY$106)</f>
        <v>#N/A</v>
      </c>
      <c r="BA77" s="623" t="e">
        <f t="shared" ref="BA77" si="43">AVERAGE(AY77:AY106)</f>
        <v>#DIV/0!</v>
      </c>
    </row>
    <row r="78" spans="2:53">
      <c r="B78" s="638"/>
      <c r="C78" s="321">
        <v>2</v>
      </c>
      <c r="D78" s="518"/>
      <c r="E78" s="514"/>
      <c r="F78" s="514"/>
      <c r="G78" s="182"/>
      <c r="H78" s="624"/>
      <c r="I78" s="516" t="str">
        <f t="shared" ref="I78:I106" si="44">IFERROR(AVERAGE(P78,U78,Z78,AE78,AJ78,AO78,AT78),"-")</f>
        <v>-</v>
      </c>
      <c r="J78" s="516" t="str">
        <f t="shared" ref="J78:J106" si="45">IFERROR(AVERAGE(Q78,V78,AA78,AF78,AK78,AP78,AU78),"-")</f>
        <v>-</v>
      </c>
      <c r="K78" s="200" t="str">
        <f t="shared" ref="K78:K106" si="46">IFERROR(AVERAGE(R78,W78,AB78,AG78,AL78,AQ78,AV78),"-")</f>
        <v>-</v>
      </c>
      <c r="L78" s="609"/>
      <c r="M78" s="199" t="e">
        <f>RANK(K78, K$77:$K$106)</f>
        <v>#VALUE!</v>
      </c>
      <c r="N78" s="616"/>
      <c r="O78" s="616"/>
      <c r="P78" s="182"/>
      <c r="Q78" s="182"/>
      <c r="R78" s="182"/>
      <c r="S78" s="327" t="e">
        <f t="shared" ref="S78:S106" si="47">RANK(R78, R$77:R$106)</f>
        <v>#N/A</v>
      </c>
      <c r="T78" s="624"/>
      <c r="U78" s="182"/>
      <c r="V78" s="182"/>
      <c r="W78" s="182"/>
      <c r="X78" s="442" t="e">
        <f t="shared" si="30"/>
        <v>#N/A</v>
      </c>
      <c r="Y78" s="624"/>
      <c r="Z78" s="182"/>
      <c r="AA78" s="182"/>
      <c r="AB78" s="182"/>
      <c r="AC78" s="442" t="e">
        <f t="shared" si="32"/>
        <v>#N/A</v>
      </c>
      <c r="AD78" s="624"/>
      <c r="AE78" s="182"/>
      <c r="AF78" s="182"/>
      <c r="AG78" s="182"/>
      <c r="AH78" s="442" t="e">
        <f t="shared" si="34"/>
        <v>#N/A</v>
      </c>
      <c r="AI78" s="624"/>
      <c r="AJ78" s="182"/>
      <c r="AK78" s="182"/>
      <c r="AL78" s="182"/>
      <c r="AM78" s="442" t="e">
        <f t="shared" si="36"/>
        <v>#N/A</v>
      </c>
      <c r="AN78" s="624"/>
      <c r="AO78" s="182"/>
      <c r="AP78" s="182"/>
      <c r="AQ78" s="182"/>
      <c r="AR78" s="442" t="e">
        <f t="shared" si="38"/>
        <v>#N/A</v>
      </c>
      <c r="AS78" s="624"/>
      <c r="AT78" s="182"/>
      <c r="AU78" s="182"/>
      <c r="AV78" s="182"/>
      <c r="AW78" s="442" t="e">
        <f t="shared" si="40"/>
        <v>#N/A</v>
      </c>
      <c r="AX78" s="624"/>
      <c r="AZ78" s="529" t="e">
        <f t="shared" si="42"/>
        <v>#N/A</v>
      </c>
      <c r="BA78" s="624"/>
    </row>
    <row r="79" spans="2:53">
      <c r="B79" s="638"/>
      <c r="C79" s="321">
        <v>3</v>
      </c>
      <c r="D79" s="514"/>
      <c r="E79" s="514"/>
      <c r="F79" s="514"/>
      <c r="G79" s="182"/>
      <c r="H79" s="624"/>
      <c r="I79" s="516" t="str">
        <f t="shared" si="44"/>
        <v>-</v>
      </c>
      <c r="J79" s="516" t="str">
        <f t="shared" si="45"/>
        <v>-</v>
      </c>
      <c r="K79" s="200" t="str">
        <f t="shared" si="46"/>
        <v>-</v>
      </c>
      <c r="L79" s="609"/>
      <c r="M79" s="199" t="e">
        <f>RANK(K79, K$77:$K$106)</f>
        <v>#VALUE!</v>
      </c>
      <c r="N79" s="616"/>
      <c r="O79" s="616"/>
      <c r="P79" s="182"/>
      <c r="Q79" s="182"/>
      <c r="R79" s="182"/>
      <c r="S79" s="327" t="e">
        <f t="shared" si="47"/>
        <v>#N/A</v>
      </c>
      <c r="T79" s="624"/>
      <c r="U79" s="182"/>
      <c r="V79" s="182"/>
      <c r="W79" s="182"/>
      <c r="X79" s="442" t="e">
        <f t="shared" si="30"/>
        <v>#N/A</v>
      </c>
      <c r="Y79" s="624"/>
      <c r="Z79" s="182"/>
      <c r="AA79" s="182"/>
      <c r="AB79" s="182"/>
      <c r="AC79" s="442" t="e">
        <f t="shared" si="32"/>
        <v>#N/A</v>
      </c>
      <c r="AD79" s="624"/>
      <c r="AE79" s="182"/>
      <c r="AF79" s="182"/>
      <c r="AG79" s="182"/>
      <c r="AH79" s="442" t="e">
        <f t="shared" si="34"/>
        <v>#N/A</v>
      </c>
      <c r="AI79" s="624"/>
      <c r="AJ79" s="182"/>
      <c r="AK79" s="182"/>
      <c r="AL79" s="182"/>
      <c r="AM79" s="442" t="e">
        <f t="shared" si="36"/>
        <v>#N/A</v>
      </c>
      <c r="AN79" s="624"/>
      <c r="AO79" s="182"/>
      <c r="AP79" s="182"/>
      <c r="AQ79" s="182"/>
      <c r="AR79" s="442" t="e">
        <f t="shared" si="38"/>
        <v>#N/A</v>
      </c>
      <c r="AS79" s="624"/>
      <c r="AT79" s="182"/>
      <c r="AU79" s="182"/>
      <c r="AV79" s="182"/>
      <c r="AW79" s="442" t="e">
        <f t="shared" si="40"/>
        <v>#N/A</v>
      </c>
      <c r="AX79" s="624"/>
      <c r="AZ79" s="529" t="e">
        <f t="shared" si="42"/>
        <v>#N/A</v>
      </c>
      <c r="BA79" s="624"/>
    </row>
    <row r="80" spans="2:53">
      <c r="B80" s="638"/>
      <c r="C80" s="321">
        <v>4</v>
      </c>
      <c r="D80" s="514"/>
      <c r="E80" s="514"/>
      <c r="F80" s="514"/>
      <c r="G80" s="182"/>
      <c r="H80" s="624"/>
      <c r="I80" s="516" t="str">
        <f t="shared" si="44"/>
        <v>-</v>
      </c>
      <c r="J80" s="516" t="str">
        <f t="shared" si="45"/>
        <v>-</v>
      </c>
      <c r="K80" s="200" t="str">
        <f t="shared" si="46"/>
        <v>-</v>
      </c>
      <c r="L80" s="609"/>
      <c r="M80" s="199" t="e">
        <f>RANK(K80, K$77:$K$106)</f>
        <v>#VALUE!</v>
      </c>
      <c r="N80" s="616"/>
      <c r="O80" s="616"/>
      <c r="P80" s="182"/>
      <c r="Q80" s="182"/>
      <c r="R80" s="182"/>
      <c r="S80" s="327" t="e">
        <f t="shared" si="47"/>
        <v>#N/A</v>
      </c>
      <c r="T80" s="624"/>
      <c r="U80" s="182"/>
      <c r="V80" s="182"/>
      <c r="W80" s="182"/>
      <c r="X80" s="442" t="e">
        <f t="shared" si="30"/>
        <v>#N/A</v>
      </c>
      <c r="Y80" s="624"/>
      <c r="Z80" s="182"/>
      <c r="AA80" s="182"/>
      <c r="AB80" s="182"/>
      <c r="AC80" s="442" t="e">
        <f t="shared" si="32"/>
        <v>#N/A</v>
      </c>
      <c r="AD80" s="624"/>
      <c r="AE80" s="182"/>
      <c r="AF80" s="182"/>
      <c r="AG80" s="182"/>
      <c r="AH80" s="442" t="e">
        <f t="shared" si="34"/>
        <v>#N/A</v>
      </c>
      <c r="AI80" s="624"/>
      <c r="AJ80" s="182"/>
      <c r="AK80" s="182"/>
      <c r="AL80" s="182"/>
      <c r="AM80" s="442" t="e">
        <f t="shared" si="36"/>
        <v>#N/A</v>
      </c>
      <c r="AN80" s="624"/>
      <c r="AO80" s="182"/>
      <c r="AP80" s="182"/>
      <c r="AQ80" s="182"/>
      <c r="AR80" s="442" t="e">
        <f t="shared" si="38"/>
        <v>#N/A</v>
      </c>
      <c r="AS80" s="624"/>
      <c r="AT80" s="182"/>
      <c r="AU80" s="182"/>
      <c r="AV80" s="182"/>
      <c r="AW80" s="442" t="e">
        <f t="shared" si="40"/>
        <v>#N/A</v>
      </c>
      <c r="AX80" s="624"/>
      <c r="AZ80" s="529" t="e">
        <f t="shared" si="42"/>
        <v>#N/A</v>
      </c>
      <c r="BA80" s="624"/>
    </row>
    <row r="81" spans="2:53">
      <c r="B81" s="638"/>
      <c r="C81" s="321">
        <v>5</v>
      </c>
      <c r="D81" s="514"/>
      <c r="E81" s="514"/>
      <c r="F81" s="514"/>
      <c r="G81" s="182"/>
      <c r="H81" s="624"/>
      <c r="I81" s="516" t="str">
        <f t="shared" si="44"/>
        <v>-</v>
      </c>
      <c r="J81" s="516" t="str">
        <f t="shared" si="45"/>
        <v>-</v>
      </c>
      <c r="K81" s="200" t="str">
        <f t="shared" si="46"/>
        <v>-</v>
      </c>
      <c r="L81" s="609"/>
      <c r="M81" s="199" t="e">
        <f>RANK(K81, K$77:$K$106)</f>
        <v>#VALUE!</v>
      </c>
      <c r="N81" s="616"/>
      <c r="O81" s="616"/>
      <c r="P81" s="182"/>
      <c r="Q81" s="182"/>
      <c r="R81" s="182"/>
      <c r="S81" s="327" t="e">
        <f t="shared" si="47"/>
        <v>#N/A</v>
      </c>
      <c r="T81" s="624"/>
      <c r="U81" s="182"/>
      <c r="V81" s="182"/>
      <c r="W81" s="182"/>
      <c r="X81" s="442" t="e">
        <f t="shared" si="30"/>
        <v>#N/A</v>
      </c>
      <c r="Y81" s="624"/>
      <c r="Z81" s="182"/>
      <c r="AA81" s="182"/>
      <c r="AB81" s="182"/>
      <c r="AC81" s="442" t="e">
        <f t="shared" si="32"/>
        <v>#N/A</v>
      </c>
      <c r="AD81" s="624"/>
      <c r="AE81" s="182"/>
      <c r="AF81" s="182"/>
      <c r="AG81" s="182"/>
      <c r="AH81" s="442" t="e">
        <f t="shared" si="34"/>
        <v>#N/A</v>
      </c>
      <c r="AI81" s="624"/>
      <c r="AJ81" s="182"/>
      <c r="AK81" s="182"/>
      <c r="AL81" s="182"/>
      <c r="AM81" s="442" t="e">
        <f t="shared" si="36"/>
        <v>#N/A</v>
      </c>
      <c r="AN81" s="624"/>
      <c r="AO81" s="182"/>
      <c r="AP81" s="182"/>
      <c r="AQ81" s="182"/>
      <c r="AR81" s="442" t="e">
        <f t="shared" si="38"/>
        <v>#N/A</v>
      </c>
      <c r="AS81" s="624"/>
      <c r="AT81" s="182"/>
      <c r="AU81" s="182"/>
      <c r="AV81" s="182"/>
      <c r="AW81" s="442" t="e">
        <f t="shared" si="40"/>
        <v>#N/A</v>
      </c>
      <c r="AX81" s="624"/>
      <c r="AZ81" s="529" t="e">
        <f t="shared" si="42"/>
        <v>#N/A</v>
      </c>
      <c r="BA81" s="624"/>
    </row>
    <row r="82" spans="2:53">
      <c r="B82" s="638"/>
      <c r="C82" s="321">
        <v>6</v>
      </c>
      <c r="D82" s="514"/>
      <c r="E82" s="514"/>
      <c r="F82" s="514"/>
      <c r="G82" s="182"/>
      <c r="H82" s="624"/>
      <c r="I82" s="516" t="str">
        <f t="shared" si="44"/>
        <v>-</v>
      </c>
      <c r="J82" s="516" t="str">
        <f t="shared" si="45"/>
        <v>-</v>
      </c>
      <c r="K82" s="200" t="str">
        <f t="shared" si="46"/>
        <v>-</v>
      </c>
      <c r="L82" s="609"/>
      <c r="M82" s="199" t="e">
        <f>RANK(K82, K$77:$K$106)</f>
        <v>#VALUE!</v>
      </c>
      <c r="N82" s="616"/>
      <c r="O82" s="616"/>
      <c r="P82" s="182"/>
      <c r="Q82" s="182"/>
      <c r="R82" s="182"/>
      <c r="S82" s="327" t="e">
        <f t="shared" si="47"/>
        <v>#N/A</v>
      </c>
      <c r="T82" s="624"/>
      <c r="U82" s="182"/>
      <c r="V82" s="182"/>
      <c r="W82" s="182"/>
      <c r="X82" s="442" t="e">
        <f t="shared" si="30"/>
        <v>#N/A</v>
      </c>
      <c r="Y82" s="624"/>
      <c r="Z82" s="182"/>
      <c r="AA82" s="182"/>
      <c r="AB82" s="182"/>
      <c r="AC82" s="442" t="e">
        <f t="shared" si="32"/>
        <v>#N/A</v>
      </c>
      <c r="AD82" s="624"/>
      <c r="AE82" s="182"/>
      <c r="AF82" s="182"/>
      <c r="AG82" s="182"/>
      <c r="AH82" s="442" t="e">
        <f t="shared" si="34"/>
        <v>#N/A</v>
      </c>
      <c r="AI82" s="624"/>
      <c r="AJ82" s="182"/>
      <c r="AK82" s="182"/>
      <c r="AL82" s="182"/>
      <c r="AM82" s="442" t="e">
        <f t="shared" si="36"/>
        <v>#N/A</v>
      </c>
      <c r="AN82" s="624"/>
      <c r="AO82" s="182"/>
      <c r="AP82" s="182"/>
      <c r="AQ82" s="182"/>
      <c r="AR82" s="442" t="e">
        <f t="shared" si="38"/>
        <v>#N/A</v>
      </c>
      <c r="AS82" s="624"/>
      <c r="AT82" s="182"/>
      <c r="AU82" s="182"/>
      <c r="AV82" s="182"/>
      <c r="AW82" s="442" t="e">
        <f t="shared" si="40"/>
        <v>#N/A</v>
      </c>
      <c r="AX82" s="624"/>
      <c r="AZ82" s="529" t="e">
        <f t="shared" si="42"/>
        <v>#N/A</v>
      </c>
      <c r="BA82" s="624"/>
    </row>
    <row r="83" spans="2:53">
      <c r="B83" s="638"/>
      <c r="C83" s="321">
        <v>7</v>
      </c>
      <c r="D83" s="514"/>
      <c r="E83" s="514"/>
      <c r="F83" s="514"/>
      <c r="G83" s="182"/>
      <c r="H83" s="624"/>
      <c r="I83" s="516" t="str">
        <f t="shared" si="44"/>
        <v>-</v>
      </c>
      <c r="J83" s="516" t="str">
        <f t="shared" si="45"/>
        <v>-</v>
      </c>
      <c r="K83" s="200" t="str">
        <f t="shared" si="46"/>
        <v>-</v>
      </c>
      <c r="L83" s="609"/>
      <c r="M83" s="199" t="e">
        <f>RANK(K83, K$77:$K$106)</f>
        <v>#VALUE!</v>
      </c>
      <c r="N83" s="616"/>
      <c r="O83" s="616"/>
      <c r="P83" s="182"/>
      <c r="Q83" s="182"/>
      <c r="R83" s="182"/>
      <c r="S83" s="327" t="e">
        <f t="shared" si="47"/>
        <v>#N/A</v>
      </c>
      <c r="T83" s="624"/>
      <c r="U83" s="182"/>
      <c r="V83" s="182"/>
      <c r="W83" s="182"/>
      <c r="X83" s="442" t="e">
        <f t="shared" si="30"/>
        <v>#N/A</v>
      </c>
      <c r="Y83" s="624"/>
      <c r="Z83" s="182"/>
      <c r="AA83" s="182"/>
      <c r="AB83" s="182"/>
      <c r="AC83" s="442" t="e">
        <f t="shared" si="32"/>
        <v>#N/A</v>
      </c>
      <c r="AD83" s="624"/>
      <c r="AE83" s="182"/>
      <c r="AF83" s="182"/>
      <c r="AG83" s="182"/>
      <c r="AH83" s="442" t="e">
        <f t="shared" si="34"/>
        <v>#N/A</v>
      </c>
      <c r="AI83" s="624"/>
      <c r="AJ83" s="182"/>
      <c r="AK83" s="182"/>
      <c r="AL83" s="182"/>
      <c r="AM83" s="442" t="e">
        <f t="shared" si="36"/>
        <v>#N/A</v>
      </c>
      <c r="AN83" s="624"/>
      <c r="AO83" s="182"/>
      <c r="AP83" s="182"/>
      <c r="AQ83" s="182"/>
      <c r="AR83" s="442" t="e">
        <f t="shared" si="38"/>
        <v>#N/A</v>
      </c>
      <c r="AS83" s="624"/>
      <c r="AT83" s="182"/>
      <c r="AU83" s="182"/>
      <c r="AV83" s="182"/>
      <c r="AW83" s="442" t="e">
        <f t="shared" si="40"/>
        <v>#N/A</v>
      </c>
      <c r="AX83" s="624"/>
      <c r="AZ83" s="529" t="e">
        <f t="shared" si="42"/>
        <v>#N/A</v>
      </c>
      <c r="BA83" s="624"/>
    </row>
    <row r="84" spans="2:53">
      <c r="B84" s="638"/>
      <c r="C84" s="321">
        <v>8</v>
      </c>
      <c r="D84" s="514"/>
      <c r="E84" s="514"/>
      <c r="F84" s="514"/>
      <c r="G84" s="182"/>
      <c r="H84" s="624"/>
      <c r="I84" s="516" t="str">
        <f t="shared" si="44"/>
        <v>-</v>
      </c>
      <c r="J84" s="516" t="str">
        <f t="shared" si="45"/>
        <v>-</v>
      </c>
      <c r="K84" s="200" t="str">
        <f t="shared" si="46"/>
        <v>-</v>
      </c>
      <c r="L84" s="609"/>
      <c r="M84" s="199" t="e">
        <f>RANK(K84, K$77:$K$106)</f>
        <v>#VALUE!</v>
      </c>
      <c r="N84" s="616"/>
      <c r="O84" s="616"/>
      <c r="P84" s="182"/>
      <c r="Q84" s="182"/>
      <c r="R84" s="182"/>
      <c r="S84" s="327" t="e">
        <f t="shared" si="47"/>
        <v>#N/A</v>
      </c>
      <c r="T84" s="624"/>
      <c r="U84" s="182"/>
      <c r="V84" s="182"/>
      <c r="W84" s="182"/>
      <c r="X84" s="442" t="e">
        <f t="shared" si="30"/>
        <v>#N/A</v>
      </c>
      <c r="Y84" s="624"/>
      <c r="Z84" s="182"/>
      <c r="AA84" s="182"/>
      <c r="AB84" s="182"/>
      <c r="AC84" s="442" t="e">
        <f t="shared" si="32"/>
        <v>#N/A</v>
      </c>
      <c r="AD84" s="624"/>
      <c r="AE84" s="182"/>
      <c r="AF84" s="182"/>
      <c r="AG84" s="182"/>
      <c r="AH84" s="442" t="e">
        <f t="shared" si="34"/>
        <v>#N/A</v>
      </c>
      <c r="AI84" s="624"/>
      <c r="AJ84" s="182"/>
      <c r="AK84" s="182"/>
      <c r="AL84" s="182"/>
      <c r="AM84" s="442" t="e">
        <f t="shared" si="36"/>
        <v>#N/A</v>
      </c>
      <c r="AN84" s="624"/>
      <c r="AO84" s="182"/>
      <c r="AP84" s="182"/>
      <c r="AQ84" s="182"/>
      <c r="AR84" s="442" t="e">
        <f t="shared" si="38"/>
        <v>#N/A</v>
      </c>
      <c r="AS84" s="624"/>
      <c r="AT84" s="182"/>
      <c r="AU84" s="182"/>
      <c r="AV84" s="182"/>
      <c r="AW84" s="442" t="e">
        <f t="shared" si="40"/>
        <v>#N/A</v>
      </c>
      <c r="AX84" s="624"/>
      <c r="AZ84" s="529" t="e">
        <f t="shared" si="42"/>
        <v>#N/A</v>
      </c>
      <c r="BA84" s="624"/>
    </row>
    <row r="85" spans="2:53">
      <c r="B85" s="638"/>
      <c r="C85" s="321">
        <v>9</v>
      </c>
      <c r="D85" s="514"/>
      <c r="E85" s="514"/>
      <c r="F85" s="514"/>
      <c r="G85" s="182"/>
      <c r="H85" s="624"/>
      <c r="I85" s="516" t="str">
        <f t="shared" si="44"/>
        <v>-</v>
      </c>
      <c r="J85" s="516" t="str">
        <f t="shared" si="45"/>
        <v>-</v>
      </c>
      <c r="K85" s="200" t="str">
        <f t="shared" si="46"/>
        <v>-</v>
      </c>
      <c r="L85" s="609"/>
      <c r="M85" s="199" t="e">
        <f>RANK(K85, K$77:$K$106)</f>
        <v>#VALUE!</v>
      </c>
      <c r="N85" s="616"/>
      <c r="O85" s="616"/>
      <c r="P85" s="182"/>
      <c r="Q85" s="182"/>
      <c r="R85" s="182"/>
      <c r="S85" s="327" t="e">
        <f t="shared" si="47"/>
        <v>#N/A</v>
      </c>
      <c r="T85" s="624"/>
      <c r="U85" s="182"/>
      <c r="V85" s="182"/>
      <c r="W85" s="182"/>
      <c r="X85" s="442" t="e">
        <f t="shared" si="30"/>
        <v>#N/A</v>
      </c>
      <c r="Y85" s="624"/>
      <c r="Z85" s="182"/>
      <c r="AA85" s="182"/>
      <c r="AB85" s="182"/>
      <c r="AC85" s="442" t="e">
        <f t="shared" si="32"/>
        <v>#N/A</v>
      </c>
      <c r="AD85" s="624"/>
      <c r="AE85" s="182"/>
      <c r="AF85" s="182"/>
      <c r="AG85" s="182"/>
      <c r="AH85" s="442" t="e">
        <f t="shared" si="34"/>
        <v>#N/A</v>
      </c>
      <c r="AI85" s="624"/>
      <c r="AJ85" s="182"/>
      <c r="AK85" s="182"/>
      <c r="AL85" s="182"/>
      <c r="AM85" s="442" t="e">
        <f t="shared" si="36"/>
        <v>#N/A</v>
      </c>
      <c r="AN85" s="624"/>
      <c r="AO85" s="182"/>
      <c r="AP85" s="182"/>
      <c r="AQ85" s="182"/>
      <c r="AR85" s="442" t="e">
        <f t="shared" si="38"/>
        <v>#N/A</v>
      </c>
      <c r="AS85" s="624"/>
      <c r="AT85" s="182"/>
      <c r="AU85" s="182"/>
      <c r="AV85" s="182"/>
      <c r="AW85" s="442" t="e">
        <f t="shared" si="40"/>
        <v>#N/A</v>
      </c>
      <c r="AX85" s="624"/>
      <c r="AZ85" s="529" t="e">
        <f t="shared" si="42"/>
        <v>#N/A</v>
      </c>
      <c r="BA85" s="624"/>
    </row>
    <row r="86" spans="2:53">
      <c r="B86" s="638"/>
      <c r="C86" s="321">
        <v>10</v>
      </c>
      <c r="D86" s="514"/>
      <c r="E86" s="514"/>
      <c r="F86" s="514"/>
      <c r="G86" s="182"/>
      <c r="H86" s="624"/>
      <c r="I86" s="516" t="str">
        <f t="shared" si="44"/>
        <v>-</v>
      </c>
      <c r="J86" s="516" t="str">
        <f t="shared" si="45"/>
        <v>-</v>
      </c>
      <c r="K86" s="200" t="str">
        <f t="shared" si="46"/>
        <v>-</v>
      </c>
      <c r="L86" s="609"/>
      <c r="M86" s="199" t="e">
        <f>RANK(K86, K$77:$K$106)</f>
        <v>#VALUE!</v>
      </c>
      <c r="N86" s="616"/>
      <c r="O86" s="616"/>
      <c r="P86" s="182"/>
      <c r="Q86" s="182"/>
      <c r="R86" s="182"/>
      <c r="S86" s="327" t="e">
        <f t="shared" si="47"/>
        <v>#N/A</v>
      </c>
      <c r="T86" s="624"/>
      <c r="U86" s="182"/>
      <c r="V86" s="182"/>
      <c r="W86" s="182"/>
      <c r="X86" s="442" t="e">
        <f t="shared" si="30"/>
        <v>#N/A</v>
      </c>
      <c r="Y86" s="624"/>
      <c r="Z86" s="182"/>
      <c r="AA86" s="182"/>
      <c r="AB86" s="182"/>
      <c r="AC86" s="442" t="e">
        <f t="shared" si="32"/>
        <v>#N/A</v>
      </c>
      <c r="AD86" s="624"/>
      <c r="AE86" s="182"/>
      <c r="AF86" s="182"/>
      <c r="AG86" s="182"/>
      <c r="AH86" s="442" t="e">
        <f t="shared" si="34"/>
        <v>#N/A</v>
      </c>
      <c r="AI86" s="624"/>
      <c r="AJ86" s="182"/>
      <c r="AK86" s="182"/>
      <c r="AL86" s="182"/>
      <c r="AM86" s="442" t="e">
        <f t="shared" si="36"/>
        <v>#N/A</v>
      </c>
      <c r="AN86" s="624"/>
      <c r="AO86" s="182"/>
      <c r="AP86" s="182"/>
      <c r="AQ86" s="182"/>
      <c r="AR86" s="442" t="e">
        <f t="shared" si="38"/>
        <v>#N/A</v>
      </c>
      <c r="AS86" s="624"/>
      <c r="AT86" s="182"/>
      <c r="AU86" s="182"/>
      <c r="AV86" s="182"/>
      <c r="AW86" s="442" t="e">
        <f t="shared" si="40"/>
        <v>#N/A</v>
      </c>
      <c r="AX86" s="624"/>
      <c r="AZ86" s="529" t="e">
        <f t="shared" si="42"/>
        <v>#N/A</v>
      </c>
      <c r="BA86" s="624"/>
    </row>
    <row r="87" spans="2:53">
      <c r="B87" s="638"/>
      <c r="C87" s="321">
        <v>11</v>
      </c>
      <c r="D87" s="514"/>
      <c r="E87" s="514"/>
      <c r="F87" s="514"/>
      <c r="G87" s="182"/>
      <c r="H87" s="624"/>
      <c r="I87" s="516" t="str">
        <f t="shared" si="44"/>
        <v>-</v>
      </c>
      <c r="J87" s="516" t="str">
        <f t="shared" si="45"/>
        <v>-</v>
      </c>
      <c r="K87" s="200" t="str">
        <f t="shared" si="46"/>
        <v>-</v>
      </c>
      <c r="L87" s="609"/>
      <c r="M87" s="199" t="e">
        <f>RANK(K87, K$77:$K$106)</f>
        <v>#VALUE!</v>
      </c>
      <c r="N87" s="616"/>
      <c r="O87" s="616"/>
      <c r="P87" s="182"/>
      <c r="Q87" s="182"/>
      <c r="R87" s="182"/>
      <c r="S87" s="327" t="e">
        <f t="shared" si="47"/>
        <v>#N/A</v>
      </c>
      <c r="T87" s="624"/>
      <c r="U87" s="182"/>
      <c r="V87" s="182"/>
      <c r="W87" s="182"/>
      <c r="X87" s="442" t="e">
        <f t="shared" si="30"/>
        <v>#N/A</v>
      </c>
      <c r="Y87" s="624"/>
      <c r="Z87" s="182"/>
      <c r="AA87" s="182"/>
      <c r="AB87" s="182"/>
      <c r="AC87" s="442" t="e">
        <f t="shared" si="32"/>
        <v>#N/A</v>
      </c>
      <c r="AD87" s="624"/>
      <c r="AE87" s="182"/>
      <c r="AF87" s="182"/>
      <c r="AG87" s="182"/>
      <c r="AH87" s="442" t="e">
        <f t="shared" si="34"/>
        <v>#N/A</v>
      </c>
      <c r="AI87" s="624"/>
      <c r="AJ87" s="182"/>
      <c r="AK87" s="182"/>
      <c r="AL87" s="182"/>
      <c r="AM87" s="442" t="e">
        <f t="shared" si="36"/>
        <v>#N/A</v>
      </c>
      <c r="AN87" s="624"/>
      <c r="AO87" s="182"/>
      <c r="AP87" s="182"/>
      <c r="AQ87" s="182"/>
      <c r="AR87" s="442" t="e">
        <f t="shared" si="38"/>
        <v>#N/A</v>
      </c>
      <c r="AS87" s="624"/>
      <c r="AT87" s="182"/>
      <c r="AU87" s="182"/>
      <c r="AV87" s="182"/>
      <c r="AW87" s="442" t="e">
        <f t="shared" si="40"/>
        <v>#N/A</v>
      </c>
      <c r="AX87" s="624"/>
      <c r="AZ87" s="529" t="e">
        <f t="shared" si="42"/>
        <v>#N/A</v>
      </c>
      <c r="BA87" s="624"/>
    </row>
    <row r="88" spans="2:53">
      <c r="B88" s="638"/>
      <c r="C88" s="321">
        <v>12</v>
      </c>
      <c r="D88" s="514"/>
      <c r="E88" s="514"/>
      <c r="F88" s="514"/>
      <c r="G88" s="182"/>
      <c r="H88" s="624"/>
      <c r="I88" s="516" t="str">
        <f t="shared" si="44"/>
        <v>-</v>
      </c>
      <c r="J88" s="516" t="str">
        <f t="shared" si="45"/>
        <v>-</v>
      </c>
      <c r="K88" s="200" t="str">
        <f t="shared" si="46"/>
        <v>-</v>
      </c>
      <c r="L88" s="609"/>
      <c r="M88" s="199" t="e">
        <f>RANK(K88, K$77:$K$106)</f>
        <v>#VALUE!</v>
      </c>
      <c r="N88" s="616"/>
      <c r="O88" s="616"/>
      <c r="P88" s="182"/>
      <c r="Q88" s="182"/>
      <c r="R88" s="182"/>
      <c r="S88" s="327" t="e">
        <f t="shared" si="47"/>
        <v>#N/A</v>
      </c>
      <c r="T88" s="624"/>
      <c r="U88" s="182"/>
      <c r="V88" s="182"/>
      <c r="W88" s="182"/>
      <c r="X88" s="442" t="e">
        <f t="shared" si="30"/>
        <v>#N/A</v>
      </c>
      <c r="Y88" s="624"/>
      <c r="Z88" s="182"/>
      <c r="AA88" s="182"/>
      <c r="AB88" s="182"/>
      <c r="AC88" s="442" t="e">
        <f t="shared" si="32"/>
        <v>#N/A</v>
      </c>
      <c r="AD88" s="624"/>
      <c r="AE88" s="182"/>
      <c r="AF88" s="182"/>
      <c r="AG88" s="182"/>
      <c r="AH88" s="442" t="e">
        <f t="shared" si="34"/>
        <v>#N/A</v>
      </c>
      <c r="AI88" s="624"/>
      <c r="AJ88" s="182"/>
      <c r="AK88" s="182"/>
      <c r="AL88" s="182"/>
      <c r="AM88" s="442" t="e">
        <f t="shared" si="36"/>
        <v>#N/A</v>
      </c>
      <c r="AN88" s="624"/>
      <c r="AO88" s="182"/>
      <c r="AP88" s="182"/>
      <c r="AQ88" s="182"/>
      <c r="AR88" s="442" t="e">
        <f t="shared" si="38"/>
        <v>#N/A</v>
      </c>
      <c r="AS88" s="624"/>
      <c r="AT88" s="182"/>
      <c r="AU88" s="182"/>
      <c r="AV88" s="182"/>
      <c r="AW88" s="442" t="e">
        <f t="shared" si="40"/>
        <v>#N/A</v>
      </c>
      <c r="AX88" s="624"/>
      <c r="AZ88" s="529" t="e">
        <f t="shared" si="42"/>
        <v>#N/A</v>
      </c>
      <c r="BA88" s="624"/>
    </row>
    <row r="89" spans="2:53">
      <c r="B89" s="638"/>
      <c r="C89" s="321">
        <v>13</v>
      </c>
      <c r="D89" s="514"/>
      <c r="E89" s="514"/>
      <c r="F89" s="514"/>
      <c r="G89" s="182"/>
      <c r="H89" s="624"/>
      <c r="I89" s="516" t="str">
        <f t="shared" si="44"/>
        <v>-</v>
      </c>
      <c r="J89" s="516" t="str">
        <f t="shared" si="45"/>
        <v>-</v>
      </c>
      <c r="K89" s="200" t="str">
        <f t="shared" si="46"/>
        <v>-</v>
      </c>
      <c r="L89" s="609"/>
      <c r="M89" s="199" t="e">
        <f>RANK(K89, K$77:$K$106)</f>
        <v>#VALUE!</v>
      </c>
      <c r="N89" s="616"/>
      <c r="O89" s="616"/>
      <c r="P89" s="182"/>
      <c r="Q89" s="182"/>
      <c r="R89" s="182"/>
      <c r="S89" s="327" t="e">
        <f t="shared" si="47"/>
        <v>#N/A</v>
      </c>
      <c r="T89" s="624"/>
      <c r="U89" s="182"/>
      <c r="V89" s="182"/>
      <c r="W89" s="182"/>
      <c r="X89" s="442" t="e">
        <f t="shared" si="30"/>
        <v>#N/A</v>
      </c>
      <c r="Y89" s="624"/>
      <c r="Z89" s="182"/>
      <c r="AA89" s="182"/>
      <c r="AB89" s="182"/>
      <c r="AC89" s="442" t="e">
        <f t="shared" si="32"/>
        <v>#N/A</v>
      </c>
      <c r="AD89" s="624"/>
      <c r="AE89" s="182"/>
      <c r="AF89" s="182"/>
      <c r="AG89" s="182"/>
      <c r="AH89" s="442" t="e">
        <f t="shared" si="34"/>
        <v>#N/A</v>
      </c>
      <c r="AI89" s="624"/>
      <c r="AJ89" s="182"/>
      <c r="AK89" s="182"/>
      <c r="AL89" s="182"/>
      <c r="AM89" s="442" t="e">
        <f t="shared" si="36"/>
        <v>#N/A</v>
      </c>
      <c r="AN89" s="624"/>
      <c r="AO89" s="182"/>
      <c r="AP89" s="182"/>
      <c r="AQ89" s="182"/>
      <c r="AR89" s="442" t="e">
        <f t="shared" si="38"/>
        <v>#N/A</v>
      </c>
      <c r="AS89" s="624"/>
      <c r="AT89" s="182"/>
      <c r="AU89" s="182"/>
      <c r="AV89" s="182"/>
      <c r="AW89" s="442" t="e">
        <f t="shared" si="40"/>
        <v>#N/A</v>
      </c>
      <c r="AX89" s="624"/>
      <c r="AZ89" s="529" t="e">
        <f t="shared" si="42"/>
        <v>#N/A</v>
      </c>
      <c r="BA89" s="624"/>
    </row>
    <row r="90" spans="2:53">
      <c r="B90" s="638"/>
      <c r="C90" s="321">
        <v>14</v>
      </c>
      <c r="D90" s="514"/>
      <c r="E90" s="514"/>
      <c r="F90" s="514"/>
      <c r="G90" s="182"/>
      <c r="H90" s="624"/>
      <c r="I90" s="516" t="str">
        <f t="shared" si="44"/>
        <v>-</v>
      </c>
      <c r="J90" s="516" t="str">
        <f t="shared" si="45"/>
        <v>-</v>
      </c>
      <c r="K90" s="200" t="str">
        <f t="shared" si="46"/>
        <v>-</v>
      </c>
      <c r="L90" s="609"/>
      <c r="M90" s="199" t="e">
        <f>RANK(K90, K$77:$K$106)</f>
        <v>#VALUE!</v>
      </c>
      <c r="N90" s="616"/>
      <c r="O90" s="616"/>
      <c r="P90" s="182"/>
      <c r="Q90" s="182"/>
      <c r="R90" s="182"/>
      <c r="S90" s="327" t="e">
        <f t="shared" si="47"/>
        <v>#N/A</v>
      </c>
      <c r="T90" s="624"/>
      <c r="U90" s="182"/>
      <c r="V90" s="182"/>
      <c r="W90" s="182"/>
      <c r="X90" s="442" t="e">
        <f t="shared" si="30"/>
        <v>#N/A</v>
      </c>
      <c r="Y90" s="624"/>
      <c r="Z90" s="182"/>
      <c r="AA90" s="182"/>
      <c r="AB90" s="182"/>
      <c r="AC90" s="442" t="e">
        <f t="shared" si="32"/>
        <v>#N/A</v>
      </c>
      <c r="AD90" s="624"/>
      <c r="AE90" s="182"/>
      <c r="AF90" s="182"/>
      <c r="AG90" s="182"/>
      <c r="AH90" s="442" t="e">
        <f t="shared" si="34"/>
        <v>#N/A</v>
      </c>
      <c r="AI90" s="624"/>
      <c r="AJ90" s="182"/>
      <c r="AK90" s="182"/>
      <c r="AL90" s="182"/>
      <c r="AM90" s="442" t="e">
        <f t="shared" si="36"/>
        <v>#N/A</v>
      </c>
      <c r="AN90" s="624"/>
      <c r="AO90" s="182"/>
      <c r="AP90" s="182"/>
      <c r="AQ90" s="182"/>
      <c r="AR90" s="442" t="e">
        <f t="shared" si="38"/>
        <v>#N/A</v>
      </c>
      <c r="AS90" s="624"/>
      <c r="AT90" s="182"/>
      <c r="AU90" s="182"/>
      <c r="AV90" s="182"/>
      <c r="AW90" s="442" t="e">
        <f t="shared" si="40"/>
        <v>#N/A</v>
      </c>
      <c r="AX90" s="624"/>
      <c r="AZ90" s="529" t="e">
        <f t="shared" si="42"/>
        <v>#N/A</v>
      </c>
      <c r="BA90" s="624"/>
    </row>
    <row r="91" spans="2:53">
      <c r="B91" s="638"/>
      <c r="C91" s="321">
        <v>15</v>
      </c>
      <c r="D91" s="514"/>
      <c r="E91" s="514"/>
      <c r="F91" s="514"/>
      <c r="G91" s="182"/>
      <c r="H91" s="624"/>
      <c r="I91" s="516" t="str">
        <f t="shared" si="44"/>
        <v>-</v>
      </c>
      <c r="J91" s="516" t="str">
        <f t="shared" si="45"/>
        <v>-</v>
      </c>
      <c r="K91" s="200" t="str">
        <f t="shared" si="46"/>
        <v>-</v>
      </c>
      <c r="L91" s="609"/>
      <c r="M91" s="199" t="e">
        <f>RANK(K91, K$77:$K$106)</f>
        <v>#VALUE!</v>
      </c>
      <c r="N91" s="616"/>
      <c r="O91" s="616"/>
      <c r="P91" s="182"/>
      <c r="Q91" s="182"/>
      <c r="R91" s="182"/>
      <c r="S91" s="327" t="e">
        <f t="shared" si="47"/>
        <v>#N/A</v>
      </c>
      <c r="T91" s="624"/>
      <c r="U91" s="182"/>
      <c r="V91" s="182"/>
      <c r="W91" s="182"/>
      <c r="X91" s="442" t="e">
        <f t="shared" si="30"/>
        <v>#N/A</v>
      </c>
      <c r="Y91" s="624"/>
      <c r="Z91" s="182"/>
      <c r="AA91" s="182"/>
      <c r="AB91" s="182"/>
      <c r="AC91" s="442" t="e">
        <f t="shared" si="32"/>
        <v>#N/A</v>
      </c>
      <c r="AD91" s="624"/>
      <c r="AE91" s="182"/>
      <c r="AF91" s="182"/>
      <c r="AG91" s="182"/>
      <c r="AH91" s="442" t="e">
        <f t="shared" si="34"/>
        <v>#N/A</v>
      </c>
      <c r="AI91" s="624"/>
      <c r="AJ91" s="182"/>
      <c r="AK91" s="182"/>
      <c r="AL91" s="182"/>
      <c r="AM91" s="442" t="e">
        <f t="shared" si="36"/>
        <v>#N/A</v>
      </c>
      <c r="AN91" s="624"/>
      <c r="AO91" s="182"/>
      <c r="AP91" s="182"/>
      <c r="AQ91" s="182"/>
      <c r="AR91" s="442" t="e">
        <f t="shared" si="38"/>
        <v>#N/A</v>
      </c>
      <c r="AS91" s="624"/>
      <c r="AT91" s="182"/>
      <c r="AU91" s="182"/>
      <c r="AV91" s="182"/>
      <c r="AW91" s="442" t="e">
        <f t="shared" si="40"/>
        <v>#N/A</v>
      </c>
      <c r="AX91" s="624"/>
      <c r="AZ91" s="529" t="e">
        <f t="shared" si="42"/>
        <v>#N/A</v>
      </c>
      <c r="BA91" s="624"/>
    </row>
    <row r="92" spans="2:53">
      <c r="B92" s="638"/>
      <c r="C92" s="321">
        <v>16</v>
      </c>
      <c r="D92" s="514"/>
      <c r="E92" s="514"/>
      <c r="F92" s="514"/>
      <c r="G92" s="182"/>
      <c r="H92" s="624"/>
      <c r="I92" s="516" t="str">
        <f t="shared" si="44"/>
        <v>-</v>
      </c>
      <c r="J92" s="516" t="str">
        <f t="shared" si="45"/>
        <v>-</v>
      </c>
      <c r="K92" s="200" t="str">
        <f t="shared" si="46"/>
        <v>-</v>
      </c>
      <c r="L92" s="609"/>
      <c r="M92" s="199" t="e">
        <f>RANK(K92, K$77:$K$106)</f>
        <v>#VALUE!</v>
      </c>
      <c r="N92" s="616"/>
      <c r="O92" s="616"/>
      <c r="P92" s="182"/>
      <c r="Q92" s="182"/>
      <c r="R92" s="182"/>
      <c r="S92" s="327" t="e">
        <f t="shared" si="47"/>
        <v>#N/A</v>
      </c>
      <c r="T92" s="624"/>
      <c r="U92" s="182"/>
      <c r="V92" s="182"/>
      <c r="W92" s="182"/>
      <c r="X92" s="442" t="e">
        <f t="shared" si="30"/>
        <v>#N/A</v>
      </c>
      <c r="Y92" s="624"/>
      <c r="Z92" s="182"/>
      <c r="AA92" s="182"/>
      <c r="AB92" s="182"/>
      <c r="AC92" s="442" t="e">
        <f t="shared" si="32"/>
        <v>#N/A</v>
      </c>
      <c r="AD92" s="624"/>
      <c r="AE92" s="182"/>
      <c r="AF92" s="182"/>
      <c r="AG92" s="182"/>
      <c r="AH92" s="442" t="e">
        <f t="shared" si="34"/>
        <v>#N/A</v>
      </c>
      <c r="AI92" s="624"/>
      <c r="AJ92" s="182"/>
      <c r="AK92" s="182"/>
      <c r="AL92" s="182"/>
      <c r="AM92" s="442" t="e">
        <f t="shared" si="36"/>
        <v>#N/A</v>
      </c>
      <c r="AN92" s="624"/>
      <c r="AO92" s="182"/>
      <c r="AP92" s="182"/>
      <c r="AQ92" s="182"/>
      <c r="AR92" s="442" t="e">
        <f t="shared" si="38"/>
        <v>#N/A</v>
      </c>
      <c r="AS92" s="624"/>
      <c r="AT92" s="182"/>
      <c r="AU92" s="182"/>
      <c r="AV92" s="182"/>
      <c r="AW92" s="442" t="e">
        <f t="shared" si="40"/>
        <v>#N/A</v>
      </c>
      <c r="AX92" s="624"/>
      <c r="AZ92" s="529" t="e">
        <f t="shared" si="42"/>
        <v>#N/A</v>
      </c>
      <c r="BA92" s="624"/>
    </row>
    <row r="93" spans="2:53">
      <c r="B93" s="638"/>
      <c r="C93" s="321">
        <v>17</v>
      </c>
      <c r="D93" s="514"/>
      <c r="E93" s="514"/>
      <c r="F93" s="514"/>
      <c r="G93" s="182"/>
      <c r="H93" s="624"/>
      <c r="I93" s="516" t="str">
        <f t="shared" si="44"/>
        <v>-</v>
      </c>
      <c r="J93" s="516" t="str">
        <f t="shared" si="45"/>
        <v>-</v>
      </c>
      <c r="K93" s="200" t="str">
        <f t="shared" si="46"/>
        <v>-</v>
      </c>
      <c r="L93" s="609"/>
      <c r="M93" s="199" t="e">
        <f>RANK(K93, K$77:$K$106)</f>
        <v>#VALUE!</v>
      </c>
      <c r="N93" s="616"/>
      <c r="O93" s="616"/>
      <c r="P93" s="182"/>
      <c r="Q93" s="182"/>
      <c r="R93" s="182"/>
      <c r="S93" s="327" t="e">
        <f t="shared" si="47"/>
        <v>#N/A</v>
      </c>
      <c r="T93" s="624"/>
      <c r="U93" s="182"/>
      <c r="V93" s="182"/>
      <c r="W93" s="182"/>
      <c r="X93" s="442" t="e">
        <f t="shared" ref="X93:X106" si="48">RANK(W93, W$77:W$106)</f>
        <v>#N/A</v>
      </c>
      <c r="Y93" s="624"/>
      <c r="Z93" s="182"/>
      <c r="AA93" s="182"/>
      <c r="AB93" s="182"/>
      <c r="AC93" s="442" t="e">
        <f t="shared" ref="AC93:AC106" si="49">RANK(AB93, AB$77:AB$106)</f>
        <v>#N/A</v>
      </c>
      <c r="AD93" s="624"/>
      <c r="AE93" s="182"/>
      <c r="AF93" s="182"/>
      <c r="AG93" s="182"/>
      <c r="AH93" s="442" t="e">
        <f t="shared" ref="AH93:AH106" si="50">RANK(AG93, AG$77:AG$106)</f>
        <v>#N/A</v>
      </c>
      <c r="AI93" s="624"/>
      <c r="AJ93" s="182"/>
      <c r="AK93" s="182"/>
      <c r="AL93" s="182"/>
      <c r="AM93" s="442" t="e">
        <f t="shared" ref="AM93:AM106" si="51">RANK(AL93, AL$77:AL$106)</f>
        <v>#N/A</v>
      </c>
      <c r="AN93" s="624"/>
      <c r="AO93" s="182"/>
      <c r="AP93" s="182"/>
      <c r="AQ93" s="182"/>
      <c r="AR93" s="442" t="e">
        <f t="shared" ref="AR93:AR106" si="52">RANK(AQ93, AQ$77:AQ$106)</f>
        <v>#N/A</v>
      </c>
      <c r="AS93" s="624"/>
      <c r="AT93" s="182"/>
      <c r="AU93" s="182"/>
      <c r="AV93" s="182"/>
      <c r="AW93" s="442" t="e">
        <f t="shared" ref="AW93:AW106" si="53">RANK(AV93, AV$77:AV$106)</f>
        <v>#N/A</v>
      </c>
      <c r="AX93" s="624"/>
      <c r="AZ93" s="529" t="e">
        <f t="shared" si="42"/>
        <v>#N/A</v>
      </c>
      <c r="BA93" s="624"/>
    </row>
    <row r="94" spans="2:53">
      <c r="B94" s="638"/>
      <c r="C94" s="321">
        <v>18</v>
      </c>
      <c r="D94" s="514"/>
      <c r="E94" s="514"/>
      <c r="F94" s="514"/>
      <c r="G94" s="182"/>
      <c r="H94" s="624"/>
      <c r="I94" s="516" t="str">
        <f t="shared" si="44"/>
        <v>-</v>
      </c>
      <c r="J94" s="516" t="str">
        <f t="shared" si="45"/>
        <v>-</v>
      </c>
      <c r="K94" s="200" t="str">
        <f t="shared" si="46"/>
        <v>-</v>
      </c>
      <c r="L94" s="609"/>
      <c r="M94" s="199" t="e">
        <f>RANK(K94, K$77:$K$106)</f>
        <v>#VALUE!</v>
      </c>
      <c r="N94" s="616"/>
      <c r="O94" s="616"/>
      <c r="P94" s="182"/>
      <c r="Q94" s="182"/>
      <c r="R94" s="182"/>
      <c r="S94" s="327" t="e">
        <f t="shared" si="47"/>
        <v>#N/A</v>
      </c>
      <c r="T94" s="624"/>
      <c r="U94" s="182"/>
      <c r="V94" s="182"/>
      <c r="W94" s="182"/>
      <c r="X94" s="442" t="e">
        <f t="shared" si="48"/>
        <v>#N/A</v>
      </c>
      <c r="Y94" s="624"/>
      <c r="Z94" s="182"/>
      <c r="AA94" s="182"/>
      <c r="AB94" s="182"/>
      <c r="AC94" s="442" t="e">
        <f t="shared" si="49"/>
        <v>#N/A</v>
      </c>
      <c r="AD94" s="624"/>
      <c r="AE94" s="182"/>
      <c r="AF94" s="182"/>
      <c r="AG94" s="182"/>
      <c r="AH94" s="442" t="e">
        <f t="shared" si="50"/>
        <v>#N/A</v>
      </c>
      <c r="AI94" s="624"/>
      <c r="AJ94" s="182"/>
      <c r="AK94" s="182"/>
      <c r="AL94" s="182"/>
      <c r="AM94" s="442" t="e">
        <f t="shared" si="51"/>
        <v>#N/A</v>
      </c>
      <c r="AN94" s="624"/>
      <c r="AO94" s="182"/>
      <c r="AP94" s="182"/>
      <c r="AQ94" s="182"/>
      <c r="AR94" s="442" t="e">
        <f t="shared" si="52"/>
        <v>#N/A</v>
      </c>
      <c r="AS94" s="624"/>
      <c r="AT94" s="182"/>
      <c r="AU94" s="182"/>
      <c r="AV94" s="182"/>
      <c r="AW94" s="442" t="e">
        <f t="shared" si="53"/>
        <v>#N/A</v>
      </c>
      <c r="AX94" s="624"/>
      <c r="AZ94" s="529" t="e">
        <f t="shared" si="42"/>
        <v>#N/A</v>
      </c>
      <c r="BA94" s="624"/>
    </row>
    <row r="95" spans="2:53">
      <c r="B95" s="638"/>
      <c r="C95" s="321">
        <v>19</v>
      </c>
      <c r="D95" s="514"/>
      <c r="E95" s="514"/>
      <c r="F95" s="514"/>
      <c r="G95" s="182"/>
      <c r="H95" s="624"/>
      <c r="I95" s="516" t="str">
        <f t="shared" si="44"/>
        <v>-</v>
      </c>
      <c r="J95" s="516" t="str">
        <f t="shared" si="45"/>
        <v>-</v>
      </c>
      <c r="K95" s="200" t="str">
        <f t="shared" si="46"/>
        <v>-</v>
      </c>
      <c r="L95" s="609"/>
      <c r="M95" s="199" t="e">
        <f>RANK(K95, K$77:$K$106)</f>
        <v>#VALUE!</v>
      </c>
      <c r="N95" s="616"/>
      <c r="O95" s="616"/>
      <c r="P95" s="182"/>
      <c r="Q95" s="182"/>
      <c r="R95" s="182"/>
      <c r="S95" s="327" t="e">
        <f t="shared" si="47"/>
        <v>#N/A</v>
      </c>
      <c r="T95" s="624"/>
      <c r="U95" s="182"/>
      <c r="V95" s="182"/>
      <c r="W95" s="182"/>
      <c r="X95" s="442" t="e">
        <f t="shared" si="48"/>
        <v>#N/A</v>
      </c>
      <c r="Y95" s="624"/>
      <c r="Z95" s="182"/>
      <c r="AA95" s="182"/>
      <c r="AB95" s="182"/>
      <c r="AC95" s="442" t="e">
        <f t="shared" si="49"/>
        <v>#N/A</v>
      </c>
      <c r="AD95" s="624"/>
      <c r="AE95" s="182"/>
      <c r="AF95" s="182"/>
      <c r="AG95" s="182"/>
      <c r="AH95" s="442" t="e">
        <f t="shared" si="50"/>
        <v>#N/A</v>
      </c>
      <c r="AI95" s="624"/>
      <c r="AJ95" s="182"/>
      <c r="AK95" s="182"/>
      <c r="AL95" s="182"/>
      <c r="AM95" s="442" t="e">
        <f t="shared" si="51"/>
        <v>#N/A</v>
      </c>
      <c r="AN95" s="624"/>
      <c r="AO95" s="182"/>
      <c r="AP95" s="182"/>
      <c r="AQ95" s="182"/>
      <c r="AR95" s="442" t="e">
        <f t="shared" si="52"/>
        <v>#N/A</v>
      </c>
      <c r="AS95" s="624"/>
      <c r="AT95" s="182"/>
      <c r="AU95" s="182"/>
      <c r="AV95" s="182"/>
      <c r="AW95" s="442" t="e">
        <f t="shared" si="53"/>
        <v>#N/A</v>
      </c>
      <c r="AX95" s="624"/>
      <c r="AZ95" s="529" t="e">
        <f t="shared" si="42"/>
        <v>#N/A</v>
      </c>
      <c r="BA95" s="624"/>
    </row>
    <row r="96" spans="2:53">
      <c r="B96" s="638"/>
      <c r="C96" s="321">
        <v>20</v>
      </c>
      <c r="D96" s="514"/>
      <c r="E96" s="514"/>
      <c r="F96" s="514"/>
      <c r="G96" s="182"/>
      <c r="H96" s="624"/>
      <c r="I96" s="516" t="str">
        <f t="shared" si="44"/>
        <v>-</v>
      </c>
      <c r="J96" s="516" t="str">
        <f t="shared" si="45"/>
        <v>-</v>
      </c>
      <c r="K96" s="200" t="str">
        <f t="shared" si="46"/>
        <v>-</v>
      </c>
      <c r="L96" s="609"/>
      <c r="M96" s="199" t="e">
        <f>RANK(K96, K$77:$K$106)</f>
        <v>#VALUE!</v>
      </c>
      <c r="N96" s="616"/>
      <c r="O96" s="616"/>
      <c r="P96" s="182"/>
      <c r="Q96" s="182"/>
      <c r="R96" s="182"/>
      <c r="S96" s="327" t="e">
        <f t="shared" si="47"/>
        <v>#N/A</v>
      </c>
      <c r="T96" s="624"/>
      <c r="U96" s="182"/>
      <c r="V96" s="182"/>
      <c r="W96" s="182"/>
      <c r="X96" s="442" t="e">
        <f t="shared" si="48"/>
        <v>#N/A</v>
      </c>
      <c r="Y96" s="624"/>
      <c r="Z96" s="182"/>
      <c r="AA96" s="182"/>
      <c r="AB96" s="182"/>
      <c r="AC96" s="442" t="e">
        <f t="shared" si="49"/>
        <v>#N/A</v>
      </c>
      <c r="AD96" s="624"/>
      <c r="AE96" s="182"/>
      <c r="AF96" s="182"/>
      <c r="AG96" s="182"/>
      <c r="AH96" s="442" t="e">
        <f t="shared" si="50"/>
        <v>#N/A</v>
      </c>
      <c r="AI96" s="624"/>
      <c r="AJ96" s="182"/>
      <c r="AK96" s="182"/>
      <c r="AL96" s="182"/>
      <c r="AM96" s="442" t="e">
        <f t="shared" si="51"/>
        <v>#N/A</v>
      </c>
      <c r="AN96" s="624"/>
      <c r="AO96" s="182"/>
      <c r="AP96" s="182"/>
      <c r="AQ96" s="182"/>
      <c r="AR96" s="442" t="e">
        <f t="shared" si="52"/>
        <v>#N/A</v>
      </c>
      <c r="AS96" s="624"/>
      <c r="AT96" s="182"/>
      <c r="AU96" s="182"/>
      <c r="AV96" s="182"/>
      <c r="AW96" s="442" t="e">
        <f t="shared" si="53"/>
        <v>#N/A</v>
      </c>
      <c r="AX96" s="624"/>
      <c r="AZ96" s="529" t="e">
        <f t="shared" si="42"/>
        <v>#N/A</v>
      </c>
      <c r="BA96" s="624"/>
    </row>
    <row r="97" spans="2:53">
      <c r="B97" s="638"/>
      <c r="C97" s="321">
        <v>21</v>
      </c>
      <c r="D97" s="519"/>
      <c r="E97" s="514"/>
      <c r="F97" s="514"/>
      <c r="G97" s="182"/>
      <c r="H97" s="624"/>
      <c r="I97" s="516" t="str">
        <f t="shared" si="44"/>
        <v>-</v>
      </c>
      <c r="J97" s="516" t="str">
        <f t="shared" si="45"/>
        <v>-</v>
      </c>
      <c r="K97" s="200" t="str">
        <f t="shared" si="46"/>
        <v>-</v>
      </c>
      <c r="L97" s="609"/>
      <c r="M97" s="199" t="e">
        <f>RANK(K97, K$77:$K$106)</f>
        <v>#VALUE!</v>
      </c>
      <c r="N97" s="616"/>
      <c r="O97" s="616"/>
      <c r="P97" s="182"/>
      <c r="Q97" s="182"/>
      <c r="R97" s="182"/>
      <c r="S97" s="327" t="e">
        <f t="shared" si="47"/>
        <v>#N/A</v>
      </c>
      <c r="T97" s="624"/>
      <c r="U97" s="182"/>
      <c r="V97" s="182"/>
      <c r="W97" s="182"/>
      <c r="X97" s="442" t="e">
        <f t="shared" si="48"/>
        <v>#N/A</v>
      </c>
      <c r="Y97" s="624"/>
      <c r="Z97" s="182"/>
      <c r="AA97" s="182"/>
      <c r="AB97" s="182"/>
      <c r="AC97" s="442" t="e">
        <f t="shared" si="49"/>
        <v>#N/A</v>
      </c>
      <c r="AD97" s="624"/>
      <c r="AE97" s="182"/>
      <c r="AF97" s="182"/>
      <c r="AG97" s="182"/>
      <c r="AH97" s="442" t="e">
        <f t="shared" si="50"/>
        <v>#N/A</v>
      </c>
      <c r="AI97" s="624"/>
      <c r="AJ97" s="182"/>
      <c r="AK97" s="182"/>
      <c r="AL97" s="182"/>
      <c r="AM97" s="442" t="e">
        <f t="shared" si="51"/>
        <v>#N/A</v>
      </c>
      <c r="AN97" s="624"/>
      <c r="AO97" s="182"/>
      <c r="AP97" s="182"/>
      <c r="AQ97" s="182"/>
      <c r="AR97" s="442" t="e">
        <f t="shared" si="52"/>
        <v>#N/A</v>
      </c>
      <c r="AS97" s="624"/>
      <c r="AT97" s="182"/>
      <c r="AU97" s="182"/>
      <c r="AV97" s="182"/>
      <c r="AW97" s="442" t="e">
        <f t="shared" si="53"/>
        <v>#N/A</v>
      </c>
      <c r="AX97" s="624"/>
      <c r="AZ97" s="529" t="e">
        <f t="shared" si="42"/>
        <v>#N/A</v>
      </c>
      <c r="BA97" s="624"/>
    </row>
    <row r="98" spans="2:53">
      <c r="B98" s="638"/>
      <c r="C98" s="321">
        <v>22</v>
      </c>
      <c r="D98" s="514"/>
      <c r="E98" s="514"/>
      <c r="F98" s="514"/>
      <c r="G98" s="514"/>
      <c r="H98" s="624"/>
      <c r="I98" s="516" t="str">
        <f t="shared" si="44"/>
        <v>-</v>
      </c>
      <c r="J98" s="516" t="str">
        <f t="shared" si="45"/>
        <v>-</v>
      </c>
      <c r="K98" s="200" t="str">
        <f t="shared" si="46"/>
        <v>-</v>
      </c>
      <c r="L98" s="609"/>
      <c r="M98" s="199" t="e">
        <f>RANK(K98, K$77:$K$106)</f>
        <v>#VALUE!</v>
      </c>
      <c r="N98" s="616"/>
      <c r="O98" s="616"/>
      <c r="P98" s="182"/>
      <c r="Q98" s="182"/>
      <c r="R98" s="182"/>
      <c r="S98" s="327" t="e">
        <f t="shared" si="47"/>
        <v>#N/A</v>
      </c>
      <c r="T98" s="624"/>
      <c r="U98" s="182"/>
      <c r="V98" s="182"/>
      <c r="W98" s="182"/>
      <c r="X98" s="442" t="e">
        <f t="shared" si="48"/>
        <v>#N/A</v>
      </c>
      <c r="Y98" s="624"/>
      <c r="Z98" s="182"/>
      <c r="AA98" s="182"/>
      <c r="AB98" s="182"/>
      <c r="AC98" s="442" t="e">
        <f t="shared" si="49"/>
        <v>#N/A</v>
      </c>
      <c r="AD98" s="624"/>
      <c r="AE98" s="182"/>
      <c r="AF98" s="182"/>
      <c r="AG98" s="182"/>
      <c r="AH98" s="442" t="e">
        <f t="shared" si="50"/>
        <v>#N/A</v>
      </c>
      <c r="AI98" s="624"/>
      <c r="AJ98" s="182"/>
      <c r="AK98" s="182"/>
      <c r="AL98" s="182"/>
      <c r="AM98" s="442" t="e">
        <f t="shared" si="51"/>
        <v>#N/A</v>
      </c>
      <c r="AN98" s="624"/>
      <c r="AO98" s="182"/>
      <c r="AP98" s="182"/>
      <c r="AQ98" s="182"/>
      <c r="AR98" s="442" t="e">
        <f t="shared" si="52"/>
        <v>#N/A</v>
      </c>
      <c r="AS98" s="624"/>
      <c r="AT98" s="182"/>
      <c r="AU98" s="182"/>
      <c r="AV98" s="182"/>
      <c r="AW98" s="442" t="e">
        <f t="shared" si="53"/>
        <v>#N/A</v>
      </c>
      <c r="AX98" s="624"/>
      <c r="AZ98" s="529" t="e">
        <f t="shared" si="42"/>
        <v>#N/A</v>
      </c>
      <c r="BA98" s="624"/>
    </row>
    <row r="99" spans="2:53">
      <c r="B99" s="638"/>
      <c r="C99" s="321">
        <v>23</v>
      </c>
      <c r="D99" s="514"/>
      <c r="E99" s="514"/>
      <c r="F99" s="514"/>
      <c r="G99" s="514"/>
      <c r="H99" s="624"/>
      <c r="I99" s="516" t="str">
        <f t="shared" si="44"/>
        <v>-</v>
      </c>
      <c r="J99" s="516" t="str">
        <f t="shared" si="45"/>
        <v>-</v>
      </c>
      <c r="K99" s="200" t="str">
        <f t="shared" si="46"/>
        <v>-</v>
      </c>
      <c r="L99" s="609"/>
      <c r="M99" s="199" t="e">
        <f>RANK(K99, K$77:$K$106)</f>
        <v>#VALUE!</v>
      </c>
      <c r="N99" s="616"/>
      <c r="O99" s="616"/>
      <c r="P99" s="514"/>
      <c r="Q99" s="514"/>
      <c r="R99" s="515"/>
      <c r="S99" s="327" t="e">
        <f t="shared" si="47"/>
        <v>#N/A</v>
      </c>
      <c r="T99" s="624"/>
      <c r="U99" s="514"/>
      <c r="V99" s="514"/>
      <c r="W99" s="515"/>
      <c r="X99" s="442" t="e">
        <f t="shared" si="48"/>
        <v>#N/A</v>
      </c>
      <c r="Y99" s="624"/>
      <c r="Z99" s="514"/>
      <c r="AA99" s="514"/>
      <c r="AB99" s="515"/>
      <c r="AC99" s="442" t="e">
        <f t="shared" si="49"/>
        <v>#N/A</v>
      </c>
      <c r="AD99" s="624"/>
      <c r="AE99" s="514"/>
      <c r="AF99" s="514"/>
      <c r="AG99" s="515"/>
      <c r="AH99" s="442" t="e">
        <f t="shared" si="50"/>
        <v>#N/A</v>
      </c>
      <c r="AI99" s="624"/>
      <c r="AJ99" s="514"/>
      <c r="AK99" s="514"/>
      <c r="AL99" s="515"/>
      <c r="AM99" s="442" t="e">
        <f t="shared" si="51"/>
        <v>#N/A</v>
      </c>
      <c r="AN99" s="624"/>
      <c r="AO99" s="514"/>
      <c r="AP99" s="514"/>
      <c r="AQ99" s="515"/>
      <c r="AR99" s="442" t="e">
        <f t="shared" si="52"/>
        <v>#N/A</v>
      </c>
      <c r="AS99" s="624"/>
      <c r="AT99" s="514"/>
      <c r="AU99" s="514"/>
      <c r="AV99" s="515"/>
      <c r="AW99" s="442" t="e">
        <f t="shared" si="53"/>
        <v>#N/A</v>
      </c>
      <c r="AX99" s="624"/>
      <c r="AZ99" s="529" t="e">
        <f t="shared" si="42"/>
        <v>#N/A</v>
      </c>
      <c r="BA99" s="624"/>
    </row>
    <row r="100" spans="2:53">
      <c r="B100" s="638"/>
      <c r="C100" s="321">
        <v>24</v>
      </c>
      <c r="D100" s="514"/>
      <c r="E100" s="514"/>
      <c r="F100" s="514"/>
      <c r="G100" s="514"/>
      <c r="H100" s="624"/>
      <c r="I100" s="516" t="str">
        <f t="shared" si="44"/>
        <v>-</v>
      </c>
      <c r="J100" s="516" t="str">
        <f t="shared" si="45"/>
        <v>-</v>
      </c>
      <c r="K100" s="200" t="str">
        <f t="shared" si="46"/>
        <v>-</v>
      </c>
      <c r="L100" s="609"/>
      <c r="M100" s="199" t="e">
        <f>RANK(K100, K$77:$K$106)</f>
        <v>#VALUE!</v>
      </c>
      <c r="N100" s="616"/>
      <c r="O100" s="616"/>
      <c r="P100" s="514"/>
      <c r="Q100" s="514"/>
      <c r="R100" s="514"/>
      <c r="S100" s="327" t="e">
        <f t="shared" si="47"/>
        <v>#N/A</v>
      </c>
      <c r="T100" s="624"/>
      <c r="U100" s="514"/>
      <c r="V100" s="514"/>
      <c r="W100" s="514"/>
      <c r="X100" s="442" t="e">
        <f t="shared" si="48"/>
        <v>#N/A</v>
      </c>
      <c r="Y100" s="624"/>
      <c r="Z100" s="514"/>
      <c r="AA100" s="514"/>
      <c r="AB100" s="514"/>
      <c r="AC100" s="442" t="e">
        <f t="shared" si="49"/>
        <v>#N/A</v>
      </c>
      <c r="AD100" s="624"/>
      <c r="AE100" s="514"/>
      <c r="AF100" s="514"/>
      <c r="AG100" s="514"/>
      <c r="AH100" s="442" t="e">
        <f t="shared" si="50"/>
        <v>#N/A</v>
      </c>
      <c r="AI100" s="624"/>
      <c r="AJ100" s="514"/>
      <c r="AK100" s="514"/>
      <c r="AL100" s="514"/>
      <c r="AM100" s="442" t="e">
        <f t="shared" si="51"/>
        <v>#N/A</v>
      </c>
      <c r="AN100" s="624"/>
      <c r="AO100" s="514"/>
      <c r="AP100" s="514"/>
      <c r="AQ100" s="514"/>
      <c r="AR100" s="442" t="e">
        <f t="shared" si="52"/>
        <v>#N/A</v>
      </c>
      <c r="AS100" s="624"/>
      <c r="AT100" s="514"/>
      <c r="AU100" s="514"/>
      <c r="AV100" s="514"/>
      <c r="AW100" s="442" t="e">
        <f t="shared" si="53"/>
        <v>#N/A</v>
      </c>
      <c r="AX100" s="624"/>
      <c r="AZ100" s="529" t="e">
        <f t="shared" si="42"/>
        <v>#N/A</v>
      </c>
      <c r="BA100" s="624"/>
    </row>
    <row r="101" spans="2:53">
      <c r="B101" s="638"/>
      <c r="C101" s="321">
        <v>25</v>
      </c>
      <c r="D101" s="514"/>
      <c r="E101" s="514"/>
      <c r="F101" s="514"/>
      <c r="G101" s="514"/>
      <c r="H101" s="624"/>
      <c r="I101" s="516" t="str">
        <f t="shared" si="44"/>
        <v>-</v>
      </c>
      <c r="J101" s="516" t="str">
        <f t="shared" si="45"/>
        <v>-</v>
      </c>
      <c r="K101" s="200" t="str">
        <f t="shared" si="46"/>
        <v>-</v>
      </c>
      <c r="L101" s="609"/>
      <c r="M101" s="199" t="e">
        <f>RANK(K101, K$77:$K$106)</f>
        <v>#VALUE!</v>
      </c>
      <c r="N101" s="616"/>
      <c r="O101" s="616"/>
      <c r="P101" s="514"/>
      <c r="Q101" s="514"/>
      <c r="R101" s="514"/>
      <c r="S101" s="327" t="e">
        <f t="shared" si="47"/>
        <v>#N/A</v>
      </c>
      <c r="T101" s="624"/>
      <c r="U101" s="514"/>
      <c r="V101" s="514"/>
      <c r="W101" s="514"/>
      <c r="X101" s="442" t="e">
        <f t="shared" si="48"/>
        <v>#N/A</v>
      </c>
      <c r="Y101" s="624"/>
      <c r="Z101" s="514"/>
      <c r="AA101" s="514"/>
      <c r="AB101" s="514"/>
      <c r="AC101" s="442" t="e">
        <f t="shared" si="49"/>
        <v>#N/A</v>
      </c>
      <c r="AD101" s="624"/>
      <c r="AE101" s="514"/>
      <c r="AF101" s="514"/>
      <c r="AG101" s="514"/>
      <c r="AH101" s="442" t="e">
        <f t="shared" si="50"/>
        <v>#N/A</v>
      </c>
      <c r="AI101" s="624"/>
      <c r="AJ101" s="514"/>
      <c r="AK101" s="514"/>
      <c r="AL101" s="514"/>
      <c r="AM101" s="442" t="e">
        <f t="shared" si="51"/>
        <v>#N/A</v>
      </c>
      <c r="AN101" s="624"/>
      <c r="AO101" s="514"/>
      <c r="AP101" s="514"/>
      <c r="AQ101" s="514"/>
      <c r="AR101" s="442" t="e">
        <f t="shared" si="52"/>
        <v>#N/A</v>
      </c>
      <c r="AS101" s="624"/>
      <c r="AT101" s="514"/>
      <c r="AU101" s="514"/>
      <c r="AV101" s="514"/>
      <c r="AW101" s="442" t="e">
        <f t="shared" si="53"/>
        <v>#N/A</v>
      </c>
      <c r="AX101" s="624"/>
      <c r="AZ101" s="529" t="e">
        <f t="shared" si="42"/>
        <v>#N/A</v>
      </c>
      <c r="BA101" s="624"/>
    </row>
    <row r="102" spans="2:53">
      <c r="B102" s="638"/>
      <c r="C102" s="321">
        <v>26</v>
      </c>
      <c r="D102" s="514"/>
      <c r="E102" s="514"/>
      <c r="F102" s="514"/>
      <c r="G102" s="514"/>
      <c r="H102" s="624"/>
      <c r="I102" s="516" t="str">
        <f t="shared" si="44"/>
        <v>-</v>
      </c>
      <c r="J102" s="516" t="str">
        <f t="shared" si="45"/>
        <v>-</v>
      </c>
      <c r="K102" s="200" t="str">
        <f t="shared" si="46"/>
        <v>-</v>
      </c>
      <c r="L102" s="609"/>
      <c r="M102" s="199" t="e">
        <f>RANK(K102, K$77:$K$106)</f>
        <v>#VALUE!</v>
      </c>
      <c r="N102" s="616"/>
      <c r="O102" s="616"/>
      <c r="P102" s="514"/>
      <c r="Q102" s="514"/>
      <c r="R102" s="514"/>
      <c r="S102" s="327" t="e">
        <f t="shared" si="47"/>
        <v>#N/A</v>
      </c>
      <c r="T102" s="624"/>
      <c r="U102" s="514"/>
      <c r="V102" s="514"/>
      <c r="W102" s="514"/>
      <c r="X102" s="442" t="e">
        <f t="shared" si="48"/>
        <v>#N/A</v>
      </c>
      <c r="Y102" s="624"/>
      <c r="Z102" s="514"/>
      <c r="AA102" s="514"/>
      <c r="AB102" s="514"/>
      <c r="AC102" s="442" t="e">
        <f t="shared" si="49"/>
        <v>#N/A</v>
      </c>
      <c r="AD102" s="624"/>
      <c r="AE102" s="514"/>
      <c r="AF102" s="514"/>
      <c r="AG102" s="514"/>
      <c r="AH102" s="442" t="e">
        <f t="shared" si="50"/>
        <v>#N/A</v>
      </c>
      <c r="AI102" s="624"/>
      <c r="AJ102" s="514"/>
      <c r="AK102" s="514"/>
      <c r="AL102" s="514"/>
      <c r="AM102" s="442" t="e">
        <f t="shared" si="51"/>
        <v>#N/A</v>
      </c>
      <c r="AN102" s="624"/>
      <c r="AO102" s="514"/>
      <c r="AP102" s="514"/>
      <c r="AQ102" s="514"/>
      <c r="AR102" s="442" t="e">
        <f t="shared" si="52"/>
        <v>#N/A</v>
      </c>
      <c r="AS102" s="624"/>
      <c r="AT102" s="514"/>
      <c r="AU102" s="514"/>
      <c r="AV102" s="514"/>
      <c r="AW102" s="442" t="e">
        <f t="shared" si="53"/>
        <v>#N/A</v>
      </c>
      <c r="AX102" s="624"/>
      <c r="AZ102" s="529" t="e">
        <f t="shared" si="42"/>
        <v>#N/A</v>
      </c>
      <c r="BA102" s="624"/>
    </row>
    <row r="103" spans="2:53">
      <c r="B103" s="638"/>
      <c r="C103" s="321">
        <v>27</v>
      </c>
      <c r="D103" s="514"/>
      <c r="E103" s="514"/>
      <c r="F103" s="514"/>
      <c r="G103" s="514"/>
      <c r="H103" s="624"/>
      <c r="I103" s="516" t="str">
        <f t="shared" si="44"/>
        <v>-</v>
      </c>
      <c r="J103" s="516" t="str">
        <f t="shared" si="45"/>
        <v>-</v>
      </c>
      <c r="K103" s="200" t="str">
        <f t="shared" si="46"/>
        <v>-</v>
      </c>
      <c r="L103" s="609"/>
      <c r="M103" s="199" t="e">
        <f>RANK(K103, K$77:$K$106)</f>
        <v>#VALUE!</v>
      </c>
      <c r="N103" s="616"/>
      <c r="O103" s="616"/>
      <c r="P103" s="514"/>
      <c r="Q103" s="514"/>
      <c r="R103" s="514"/>
      <c r="S103" s="327" t="e">
        <f t="shared" si="47"/>
        <v>#N/A</v>
      </c>
      <c r="T103" s="624"/>
      <c r="U103" s="514"/>
      <c r="V103" s="514"/>
      <c r="W103" s="514"/>
      <c r="X103" s="442" t="e">
        <f t="shared" si="48"/>
        <v>#N/A</v>
      </c>
      <c r="Y103" s="624"/>
      <c r="Z103" s="514"/>
      <c r="AA103" s="514"/>
      <c r="AB103" s="514"/>
      <c r="AC103" s="442" t="e">
        <f t="shared" si="49"/>
        <v>#N/A</v>
      </c>
      <c r="AD103" s="624"/>
      <c r="AE103" s="514"/>
      <c r="AF103" s="514"/>
      <c r="AG103" s="514"/>
      <c r="AH103" s="442" t="e">
        <f t="shared" si="50"/>
        <v>#N/A</v>
      </c>
      <c r="AI103" s="624"/>
      <c r="AJ103" s="514"/>
      <c r="AK103" s="514"/>
      <c r="AL103" s="514"/>
      <c r="AM103" s="442" t="e">
        <f t="shared" si="51"/>
        <v>#N/A</v>
      </c>
      <c r="AN103" s="624"/>
      <c r="AO103" s="514"/>
      <c r="AP103" s="514"/>
      <c r="AQ103" s="514"/>
      <c r="AR103" s="442" t="e">
        <f t="shared" si="52"/>
        <v>#N/A</v>
      </c>
      <c r="AS103" s="624"/>
      <c r="AT103" s="514"/>
      <c r="AU103" s="514"/>
      <c r="AV103" s="514"/>
      <c r="AW103" s="442" t="e">
        <f t="shared" si="53"/>
        <v>#N/A</v>
      </c>
      <c r="AX103" s="624"/>
      <c r="AZ103" s="529" t="e">
        <f t="shared" si="42"/>
        <v>#N/A</v>
      </c>
      <c r="BA103" s="624"/>
    </row>
    <row r="104" spans="2:53">
      <c r="B104" s="638"/>
      <c r="C104" s="321">
        <v>28</v>
      </c>
      <c r="D104" s="514"/>
      <c r="E104" s="514"/>
      <c r="F104" s="514"/>
      <c r="G104" s="514"/>
      <c r="H104" s="624"/>
      <c r="I104" s="516" t="str">
        <f t="shared" si="44"/>
        <v>-</v>
      </c>
      <c r="J104" s="516" t="str">
        <f t="shared" si="45"/>
        <v>-</v>
      </c>
      <c r="K104" s="200" t="str">
        <f t="shared" si="46"/>
        <v>-</v>
      </c>
      <c r="L104" s="609"/>
      <c r="M104" s="199" t="e">
        <f>RANK(K104, K$77:$K$106)</f>
        <v>#VALUE!</v>
      </c>
      <c r="N104" s="616"/>
      <c r="O104" s="616"/>
      <c r="P104" s="514"/>
      <c r="Q104" s="514"/>
      <c r="R104" s="514"/>
      <c r="S104" s="327" t="e">
        <f t="shared" si="47"/>
        <v>#N/A</v>
      </c>
      <c r="T104" s="624"/>
      <c r="U104" s="514"/>
      <c r="V104" s="514"/>
      <c r="W104" s="514"/>
      <c r="X104" s="442" t="e">
        <f t="shared" si="48"/>
        <v>#N/A</v>
      </c>
      <c r="Y104" s="624"/>
      <c r="Z104" s="514"/>
      <c r="AA104" s="514"/>
      <c r="AB104" s="514"/>
      <c r="AC104" s="442" t="e">
        <f t="shared" si="49"/>
        <v>#N/A</v>
      </c>
      <c r="AD104" s="624"/>
      <c r="AE104" s="514"/>
      <c r="AF104" s="514"/>
      <c r="AG104" s="514"/>
      <c r="AH104" s="442" t="e">
        <f t="shared" si="50"/>
        <v>#N/A</v>
      </c>
      <c r="AI104" s="624"/>
      <c r="AJ104" s="514"/>
      <c r="AK104" s="514"/>
      <c r="AL104" s="514"/>
      <c r="AM104" s="442" t="e">
        <f t="shared" si="51"/>
        <v>#N/A</v>
      </c>
      <c r="AN104" s="624"/>
      <c r="AO104" s="514"/>
      <c r="AP104" s="514"/>
      <c r="AQ104" s="514"/>
      <c r="AR104" s="442" t="e">
        <f t="shared" si="52"/>
        <v>#N/A</v>
      </c>
      <c r="AS104" s="624"/>
      <c r="AT104" s="514"/>
      <c r="AU104" s="514"/>
      <c r="AV104" s="514"/>
      <c r="AW104" s="442" t="e">
        <f t="shared" si="53"/>
        <v>#N/A</v>
      </c>
      <c r="AX104" s="624"/>
      <c r="AZ104" s="529" t="e">
        <f t="shared" si="42"/>
        <v>#N/A</v>
      </c>
      <c r="BA104" s="624"/>
    </row>
    <row r="105" spans="2:53">
      <c r="B105" s="638"/>
      <c r="C105" s="321">
        <v>29</v>
      </c>
      <c r="D105" s="514"/>
      <c r="E105" s="514"/>
      <c r="F105" s="514"/>
      <c r="G105" s="514"/>
      <c r="H105" s="624"/>
      <c r="I105" s="516" t="str">
        <f t="shared" si="44"/>
        <v>-</v>
      </c>
      <c r="J105" s="516" t="str">
        <f t="shared" si="45"/>
        <v>-</v>
      </c>
      <c r="K105" s="200" t="str">
        <f t="shared" si="46"/>
        <v>-</v>
      </c>
      <c r="L105" s="609"/>
      <c r="M105" s="199" t="e">
        <f>RANK(K105, K$77:$K$106)</f>
        <v>#VALUE!</v>
      </c>
      <c r="N105" s="616"/>
      <c r="O105" s="616"/>
      <c r="P105" s="514"/>
      <c r="Q105" s="514"/>
      <c r="R105" s="514"/>
      <c r="S105" s="327" t="e">
        <f t="shared" si="47"/>
        <v>#N/A</v>
      </c>
      <c r="T105" s="624"/>
      <c r="U105" s="514"/>
      <c r="V105" s="514"/>
      <c r="W105" s="514"/>
      <c r="X105" s="442" t="e">
        <f t="shared" si="48"/>
        <v>#N/A</v>
      </c>
      <c r="Y105" s="624"/>
      <c r="Z105" s="514"/>
      <c r="AA105" s="514"/>
      <c r="AB105" s="514"/>
      <c r="AC105" s="442" t="e">
        <f t="shared" si="49"/>
        <v>#N/A</v>
      </c>
      <c r="AD105" s="624"/>
      <c r="AE105" s="514"/>
      <c r="AF105" s="514"/>
      <c r="AG105" s="514"/>
      <c r="AH105" s="442" t="e">
        <f t="shared" si="50"/>
        <v>#N/A</v>
      </c>
      <c r="AI105" s="624"/>
      <c r="AJ105" s="514"/>
      <c r="AK105" s="514"/>
      <c r="AL105" s="514"/>
      <c r="AM105" s="442" t="e">
        <f t="shared" si="51"/>
        <v>#N/A</v>
      </c>
      <c r="AN105" s="624"/>
      <c r="AO105" s="514"/>
      <c r="AP105" s="514"/>
      <c r="AQ105" s="514"/>
      <c r="AR105" s="442" t="e">
        <f t="shared" si="52"/>
        <v>#N/A</v>
      </c>
      <c r="AS105" s="624"/>
      <c r="AT105" s="514"/>
      <c r="AU105" s="514"/>
      <c r="AV105" s="514"/>
      <c r="AW105" s="442" t="e">
        <f t="shared" si="53"/>
        <v>#N/A</v>
      </c>
      <c r="AX105" s="624"/>
      <c r="AZ105" s="529" t="e">
        <f t="shared" si="42"/>
        <v>#N/A</v>
      </c>
      <c r="BA105" s="624"/>
    </row>
    <row r="106" spans="2:53">
      <c r="B106" s="639"/>
      <c r="C106" s="321">
        <v>30</v>
      </c>
      <c r="D106" s="514"/>
      <c r="E106" s="514"/>
      <c r="F106" s="514"/>
      <c r="G106" s="514"/>
      <c r="H106" s="625"/>
      <c r="I106" s="516" t="str">
        <f t="shared" si="44"/>
        <v>-</v>
      </c>
      <c r="J106" s="516" t="str">
        <f t="shared" si="45"/>
        <v>-</v>
      </c>
      <c r="K106" s="200" t="str">
        <f t="shared" si="46"/>
        <v>-</v>
      </c>
      <c r="L106" s="610"/>
      <c r="M106" s="199" t="e">
        <f>RANK(K106, K$77:$K$106)</f>
        <v>#VALUE!</v>
      </c>
      <c r="N106" s="617"/>
      <c r="O106" s="617"/>
      <c r="P106" s="514"/>
      <c r="Q106" s="514"/>
      <c r="R106" s="514"/>
      <c r="S106" s="327" t="e">
        <f t="shared" si="47"/>
        <v>#N/A</v>
      </c>
      <c r="T106" s="625"/>
      <c r="U106" s="514"/>
      <c r="V106" s="514"/>
      <c r="W106" s="514"/>
      <c r="X106" s="442" t="e">
        <f t="shared" si="48"/>
        <v>#N/A</v>
      </c>
      <c r="Y106" s="625"/>
      <c r="Z106" s="514"/>
      <c r="AA106" s="514"/>
      <c r="AB106" s="514"/>
      <c r="AC106" s="442" t="e">
        <f t="shared" si="49"/>
        <v>#N/A</v>
      </c>
      <c r="AD106" s="625"/>
      <c r="AE106" s="514"/>
      <c r="AF106" s="514"/>
      <c r="AG106" s="514"/>
      <c r="AH106" s="442" t="e">
        <f t="shared" si="50"/>
        <v>#N/A</v>
      </c>
      <c r="AI106" s="625"/>
      <c r="AJ106" s="514"/>
      <c r="AK106" s="514"/>
      <c r="AL106" s="514"/>
      <c r="AM106" s="442" t="e">
        <f t="shared" si="51"/>
        <v>#N/A</v>
      </c>
      <c r="AN106" s="625"/>
      <c r="AO106" s="514"/>
      <c r="AP106" s="514"/>
      <c r="AQ106" s="514"/>
      <c r="AR106" s="442" t="e">
        <f t="shared" si="52"/>
        <v>#N/A</v>
      </c>
      <c r="AS106" s="625"/>
      <c r="AT106" s="514"/>
      <c r="AU106" s="514"/>
      <c r="AV106" s="514"/>
      <c r="AW106" s="442" t="e">
        <f t="shared" si="53"/>
        <v>#N/A</v>
      </c>
      <c r="AX106" s="625"/>
      <c r="AZ106" s="529" t="e">
        <f t="shared" si="42"/>
        <v>#N/A</v>
      </c>
      <c r="BA106" s="625"/>
    </row>
    <row r="107" spans="2:53" ht="15.75">
      <c r="B107" s="626" t="s">
        <v>163</v>
      </c>
      <c r="C107" s="627"/>
      <c r="D107" s="627"/>
      <c r="E107" s="627"/>
      <c r="F107" s="627"/>
      <c r="G107" s="627"/>
      <c r="H107" s="628"/>
      <c r="I107" s="208"/>
      <c r="J107" s="208"/>
      <c r="K107" s="208"/>
      <c r="L107" s="208"/>
      <c r="M107" s="207"/>
      <c r="N107" s="615" t="s">
        <v>156</v>
      </c>
      <c r="O107" s="615" t="s">
        <v>155</v>
      </c>
      <c r="P107" s="621">
        <f>P72+7</f>
        <v>46133</v>
      </c>
      <c r="Q107" s="622"/>
      <c r="R107" s="622"/>
      <c r="S107" s="622"/>
      <c r="T107" s="622"/>
      <c r="U107" s="618">
        <f>P107+1</f>
        <v>46134</v>
      </c>
      <c r="V107" s="619"/>
      <c r="W107" s="619"/>
      <c r="X107" s="619"/>
      <c r="Y107" s="620"/>
      <c r="Z107" s="618">
        <f>U107+1</f>
        <v>46135</v>
      </c>
      <c r="AA107" s="619"/>
      <c r="AB107" s="619"/>
      <c r="AC107" s="619"/>
      <c r="AD107" s="620"/>
      <c r="AE107" s="618">
        <f>Z107+1</f>
        <v>46136</v>
      </c>
      <c r="AF107" s="619"/>
      <c r="AG107" s="619"/>
      <c r="AH107" s="619"/>
      <c r="AI107" s="620"/>
      <c r="AJ107" s="618">
        <f>AE107+1</f>
        <v>46137</v>
      </c>
      <c r="AK107" s="619"/>
      <c r="AL107" s="619"/>
      <c r="AM107" s="619"/>
      <c r="AN107" s="620"/>
      <c r="AO107" s="618">
        <f>AJ107+1</f>
        <v>46138</v>
      </c>
      <c r="AP107" s="619"/>
      <c r="AQ107" s="619"/>
      <c r="AR107" s="619"/>
      <c r="AS107" s="620"/>
      <c r="AT107" s="618">
        <f>AO107+1</f>
        <v>46139</v>
      </c>
      <c r="AU107" s="619"/>
      <c r="AV107" s="619"/>
      <c r="AW107" s="619"/>
      <c r="AX107" s="620"/>
    </row>
    <row r="108" spans="2:53" ht="15.75">
      <c r="B108" s="629"/>
      <c r="C108" s="629"/>
      <c r="D108" s="629"/>
      <c r="E108" s="629"/>
      <c r="F108" s="629"/>
      <c r="G108" s="629"/>
      <c r="H108" s="629"/>
      <c r="I108" s="205"/>
      <c r="J108" s="205"/>
      <c r="K108" s="205"/>
      <c r="L108" s="205"/>
      <c r="M108" s="206"/>
      <c r="N108" s="617"/>
      <c r="O108" s="617"/>
      <c r="P108" s="621" t="s">
        <v>336</v>
      </c>
      <c r="Q108" s="622"/>
      <c r="R108" s="622"/>
      <c r="S108" s="622"/>
      <c r="T108" s="622"/>
      <c r="U108" s="621" t="s">
        <v>337</v>
      </c>
      <c r="V108" s="622"/>
      <c r="W108" s="622"/>
      <c r="X108" s="622"/>
      <c r="Y108" s="622"/>
      <c r="Z108" s="621" t="s">
        <v>338</v>
      </c>
      <c r="AA108" s="622"/>
      <c r="AB108" s="622"/>
      <c r="AC108" s="622"/>
      <c r="AD108" s="622"/>
      <c r="AE108" s="621" t="s">
        <v>339</v>
      </c>
      <c r="AF108" s="622"/>
      <c r="AG108" s="622"/>
      <c r="AH108" s="622"/>
      <c r="AI108" s="622"/>
      <c r="AJ108" s="621" t="s">
        <v>340</v>
      </c>
      <c r="AK108" s="622"/>
      <c r="AL108" s="622"/>
      <c r="AM108" s="622"/>
      <c r="AN108" s="622"/>
      <c r="AO108" s="621" t="s">
        <v>341</v>
      </c>
      <c r="AP108" s="622"/>
      <c r="AQ108" s="622"/>
      <c r="AR108" s="622"/>
      <c r="AS108" s="622"/>
      <c r="AT108" s="621" t="s">
        <v>342</v>
      </c>
      <c r="AU108" s="622"/>
      <c r="AV108" s="622"/>
      <c r="AW108" s="622"/>
      <c r="AX108" s="622"/>
    </row>
    <row r="109" spans="2:53">
      <c r="B109" s="614" t="s">
        <v>398</v>
      </c>
      <c r="C109" s="614" t="s">
        <v>408</v>
      </c>
      <c r="D109" s="614"/>
      <c r="E109" s="614" t="s">
        <v>399</v>
      </c>
      <c r="F109" s="614"/>
      <c r="G109" s="614"/>
      <c r="H109" s="630" t="s">
        <v>395</v>
      </c>
      <c r="I109" s="598" t="s">
        <v>400</v>
      </c>
      <c r="J109" s="598"/>
      <c r="K109" s="598"/>
      <c r="L109" s="599" t="s">
        <v>395</v>
      </c>
      <c r="M109" s="605" t="s">
        <v>396</v>
      </c>
      <c r="N109" s="614"/>
      <c r="O109" s="614" t="s">
        <v>401</v>
      </c>
      <c r="P109" s="611" t="s">
        <v>397</v>
      </c>
      <c r="Q109" s="612"/>
      <c r="R109" s="612"/>
      <c r="S109" s="613"/>
      <c r="T109" s="614" t="s">
        <v>395</v>
      </c>
      <c r="U109" s="611" t="s">
        <v>397</v>
      </c>
      <c r="V109" s="612"/>
      <c r="W109" s="612"/>
      <c r="X109" s="613"/>
      <c r="Y109" s="614" t="s">
        <v>395</v>
      </c>
      <c r="Z109" s="611" t="s">
        <v>397</v>
      </c>
      <c r="AA109" s="612"/>
      <c r="AB109" s="612"/>
      <c r="AC109" s="613"/>
      <c r="AD109" s="614" t="s">
        <v>395</v>
      </c>
      <c r="AE109" s="611" t="s">
        <v>397</v>
      </c>
      <c r="AF109" s="612"/>
      <c r="AG109" s="612"/>
      <c r="AH109" s="613"/>
      <c r="AI109" s="614" t="s">
        <v>395</v>
      </c>
      <c r="AJ109" s="611" t="s">
        <v>397</v>
      </c>
      <c r="AK109" s="612"/>
      <c r="AL109" s="612"/>
      <c r="AM109" s="613"/>
      <c r="AN109" s="614" t="s">
        <v>395</v>
      </c>
      <c r="AO109" s="611" t="s">
        <v>397</v>
      </c>
      <c r="AP109" s="612"/>
      <c r="AQ109" s="612"/>
      <c r="AR109" s="613"/>
      <c r="AS109" s="614" t="s">
        <v>395</v>
      </c>
      <c r="AT109" s="611" t="s">
        <v>397</v>
      </c>
      <c r="AU109" s="612"/>
      <c r="AV109" s="612"/>
      <c r="AW109" s="613"/>
      <c r="AX109" s="614" t="s">
        <v>395</v>
      </c>
      <c r="BA109" s="614" t="s">
        <v>395</v>
      </c>
    </row>
    <row r="110" spans="2:53">
      <c r="B110" s="614"/>
      <c r="C110" s="614"/>
      <c r="D110" s="614"/>
      <c r="E110" s="614" t="s">
        <v>402</v>
      </c>
      <c r="F110" s="614"/>
      <c r="G110" s="614"/>
      <c r="H110" s="631"/>
      <c r="I110" s="598" t="s">
        <v>402</v>
      </c>
      <c r="J110" s="598"/>
      <c r="K110" s="598"/>
      <c r="L110" s="600"/>
      <c r="M110" s="606"/>
      <c r="N110" s="614"/>
      <c r="O110" s="614"/>
      <c r="P110" s="611" t="s">
        <v>403</v>
      </c>
      <c r="Q110" s="612"/>
      <c r="R110" s="612"/>
      <c r="S110" s="613"/>
      <c r="T110" s="614"/>
      <c r="U110" s="611" t="s">
        <v>403</v>
      </c>
      <c r="V110" s="612"/>
      <c r="W110" s="612"/>
      <c r="X110" s="613"/>
      <c r="Y110" s="614"/>
      <c r="Z110" s="611" t="s">
        <v>403</v>
      </c>
      <c r="AA110" s="612"/>
      <c r="AB110" s="612"/>
      <c r="AC110" s="613"/>
      <c r="AD110" s="614"/>
      <c r="AE110" s="611" t="s">
        <v>403</v>
      </c>
      <c r="AF110" s="612"/>
      <c r="AG110" s="612"/>
      <c r="AH110" s="613"/>
      <c r="AI110" s="614"/>
      <c r="AJ110" s="611" t="s">
        <v>403</v>
      </c>
      <c r="AK110" s="612"/>
      <c r="AL110" s="612"/>
      <c r="AM110" s="613"/>
      <c r="AN110" s="614"/>
      <c r="AO110" s="611" t="s">
        <v>403</v>
      </c>
      <c r="AP110" s="612"/>
      <c r="AQ110" s="612"/>
      <c r="AR110" s="613"/>
      <c r="AS110" s="614"/>
      <c r="AT110" s="611" t="s">
        <v>403</v>
      </c>
      <c r="AU110" s="612"/>
      <c r="AV110" s="612"/>
      <c r="AW110" s="613"/>
      <c r="AX110" s="614"/>
      <c r="BA110" s="614"/>
    </row>
    <row r="111" spans="2:53">
      <c r="B111" s="614"/>
      <c r="C111" s="614"/>
      <c r="D111" s="614"/>
      <c r="E111" s="305" t="s">
        <v>404</v>
      </c>
      <c r="F111" s="305" t="s">
        <v>405</v>
      </c>
      <c r="G111" s="305" t="s">
        <v>406</v>
      </c>
      <c r="H111" s="632"/>
      <c r="I111" s="304" t="s">
        <v>404</v>
      </c>
      <c r="J111" s="304" t="s">
        <v>405</v>
      </c>
      <c r="K111" s="304" t="s">
        <v>406</v>
      </c>
      <c r="L111" s="601"/>
      <c r="M111" s="607"/>
      <c r="N111" s="614"/>
      <c r="O111" s="614"/>
      <c r="P111" s="305" t="s">
        <v>404</v>
      </c>
      <c r="Q111" s="305" t="s">
        <v>405</v>
      </c>
      <c r="R111" s="305" t="s">
        <v>406</v>
      </c>
      <c r="S111" s="305" t="s">
        <v>396</v>
      </c>
      <c r="T111" s="614"/>
      <c r="U111" s="305" t="s">
        <v>404</v>
      </c>
      <c r="V111" s="305" t="s">
        <v>405</v>
      </c>
      <c r="W111" s="305" t="s">
        <v>406</v>
      </c>
      <c r="X111" s="305" t="s">
        <v>396</v>
      </c>
      <c r="Y111" s="614"/>
      <c r="Z111" s="305" t="s">
        <v>404</v>
      </c>
      <c r="AA111" s="305" t="s">
        <v>405</v>
      </c>
      <c r="AB111" s="305" t="s">
        <v>406</v>
      </c>
      <c r="AC111" s="305" t="s">
        <v>396</v>
      </c>
      <c r="AD111" s="614"/>
      <c r="AE111" s="305" t="s">
        <v>404</v>
      </c>
      <c r="AF111" s="305" t="s">
        <v>405</v>
      </c>
      <c r="AG111" s="305" t="s">
        <v>406</v>
      </c>
      <c r="AH111" s="305" t="s">
        <v>396</v>
      </c>
      <c r="AI111" s="614"/>
      <c r="AJ111" s="305" t="s">
        <v>404</v>
      </c>
      <c r="AK111" s="305" t="s">
        <v>405</v>
      </c>
      <c r="AL111" s="305" t="s">
        <v>406</v>
      </c>
      <c r="AM111" s="305" t="s">
        <v>396</v>
      </c>
      <c r="AN111" s="614"/>
      <c r="AO111" s="305" t="s">
        <v>404</v>
      </c>
      <c r="AP111" s="305" t="s">
        <v>405</v>
      </c>
      <c r="AQ111" s="305" t="s">
        <v>406</v>
      </c>
      <c r="AR111" s="305" t="s">
        <v>396</v>
      </c>
      <c r="AS111" s="614"/>
      <c r="AT111" s="305" t="s">
        <v>404</v>
      </c>
      <c r="AU111" s="305" t="s">
        <v>405</v>
      </c>
      <c r="AV111" s="305" t="s">
        <v>406</v>
      </c>
      <c r="AW111" s="305" t="s">
        <v>396</v>
      </c>
      <c r="AX111" s="614"/>
      <c r="AZ111" s="530" t="s">
        <v>396</v>
      </c>
      <c r="BA111" s="614"/>
    </row>
    <row r="112" spans="2:53">
      <c r="B112" s="622" t="s">
        <v>150</v>
      </c>
      <c r="C112" s="306">
        <v>1</v>
      </c>
      <c r="D112" s="514"/>
      <c r="E112" s="514"/>
      <c r="F112" s="514"/>
      <c r="G112" s="182"/>
      <c r="H112" s="623" t="e">
        <f>AVERAGE(G112:G141)</f>
        <v>#DIV/0!</v>
      </c>
      <c r="I112" s="516" t="str">
        <f>IFERROR(AVERAGE(P112,U112,Z112,AE112,AJ112,AO112,AT112),"-")</f>
        <v>-</v>
      </c>
      <c r="J112" s="516" t="str">
        <f>IFERROR(AVERAGE(Q112,V112,AA112,AF112,AK112,AP112,AU112),"-")</f>
        <v>-</v>
      </c>
      <c r="K112" s="200" t="str">
        <f>IFERROR(AVERAGE(R112,W112,AB112,AG112,AL112,AQ112,AV112),"-")</f>
        <v>-</v>
      </c>
      <c r="L112" s="595" t="str">
        <f>IFERROR(AVERAGE(K112:K141),"-")</f>
        <v>-</v>
      </c>
      <c r="M112" s="199" t="e">
        <f>RANK(K112, K$112:$K$141)</f>
        <v>#VALUE!</v>
      </c>
      <c r="N112" s="614"/>
      <c r="O112" s="614"/>
      <c r="P112" s="182"/>
      <c r="Q112" s="182"/>
      <c r="R112" s="182"/>
      <c r="S112" s="306" t="e">
        <f>RANK(R112, R$112:R$141)</f>
        <v>#N/A</v>
      </c>
      <c r="T112" s="623" t="e">
        <f>AVERAGE(R112:R141)</f>
        <v>#DIV/0!</v>
      </c>
      <c r="U112" s="182"/>
      <c r="V112" s="182"/>
      <c r="W112" s="182"/>
      <c r="X112" s="442" t="e">
        <f t="shared" ref="X112:X127" si="54">RANK(W112, W$112:W$141)</f>
        <v>#N/A</v>
      </c>
      <c r="Y112" s="623" t="e">
        <f t="shared" ref="Y112" si="55">AVERAGE(W112:W141)</f>
        <v>#DIV/0!</v>
      </c>
      <c r="Z112" s="182"/>
      <c r="AA112" s="182"/>
      <c r="AB112" s="182"/>
      <c r="AC112" s="442" t="e">
        <f t="shared" ref="AC112:AC127" si="56">RANK(AB112, AB$112:AB$141)</f>
        <v>#N/A</v>
      </c>
      <c r="AD112" s="623" t="e">
        <f t="shared" ref="AD112" si="57">AVERAGE(AB112:AB141)</f>
        <v>#DIV/0!</v>
      </c>
      <c r="AE112" s="182"/>
      <c r="AF112" s="182"/>
      <c r="AG112" s="182"/>
      <c r="AH112" s="442" t="e">
        <f t="shared" ref="AH112:AH127" si="58">RANK(AG112, AG$112:AG$141)</f>
        <v>#N/A</v>
      </c>
      <c r="AI112" s="623" t="e">
        <f t="shared" ref="AI112" si="59">AVERAGE(AG112:AG141)</f>
        <v>#DIV/0!</v>
      </c>
      <c r="AJ112" s="182"/>
      <c r="AK112" s="182"/>
      <c r="AL112" s="182"/>
      <c r="AM112" s="442" t="e">
        <f t="shared" ref="AM112:AM127" si="60">RANK(AL112, AL$112:AL$141)</f>
        <v>#N/A</v>
      </c>
      <c r="AN112" s="623" t="e">
        <f t="shared" ref="AN112" si="61">AVERAGE(AL112:AL141)</f>
        <v>#DIV/0!</v>
      </c>
      <c r="AO112" s="182"/>
      <c r="AP112" s="182"/>
      <c r="AQ112" s="182"/>
      <c r="AR112" s="442" t="e">
        <f t="shared" ref="AR112:AR127" si="62">RANK(AQ112, AQ$112:AQ$141)</f>
        <v>#N/A</v>
      </c>
      <c r="AS112" s="623" t="e">
        <f t="shared" ref="AS112" si="63">AVERAGE(AQ112:AQ141)</f>
        <v>#DIV/0!</v>
      </c>
      <c r="AT112" s="182"/>
      <c r="AU112" s="182"/>
      <c r="AV112" s="182"/>
      <c r="AW112" s="442" t="e">
        <f t="shared" ref="AW112:AW127" si="64">RANK(AV112, AV$112:AV$141)</f>
        <v>#N/A</v>
      </c>
      <c r="AX112" s="623" t="e">
        <f t="shared" ref="AX112" si="65">AVERAGE(AV112:AV141)</f>
        <v>#DIV/0!</v>
      </c>
      <c r="AZ112" s="529" t="e">
        <f t="shared" ref="AZ112:AZ141" si="66">RANK(AY112, AY$112:AY$141)</f>
        <v>#N/A</v>
      </c>
      <c r="BA112" s="623" t="e">
        <f t="shared" ref="BA112" si="67">AVERAGE(AY112:AY141)</f>
        <v>#DIV/0!</v>
      </c>
    </row>
    <row r="113" spans="2:53">
      <c r="B113" s="622"/>
      <c r="C113" s="306">
        <v>2</v>
      </c>
      <c r="D113" s="518"/>
      <c r="E113" s="514"/>
      <c r="F113" s="514"/>
      <c r="G113" s="182"/>
      <c r="H113" s="624"/>
      <c r="I113" s="516" t="str">
        <f t="shared" ref="I113:I141" si="68">IFERROR(AVERAGE(P113,U113,Z113,AE113,AJ113,AO113,AT113),"-")</f>
        <v>-</v>
      </c>
      <c r="J113" s="516" t="str">
        <f t="shared" ref="J113:J141" si="69">IFERROR(AVERAGE(Q113,V113,AA113,AF113,AK113,AP113,AU113),"-")</f>
        <v>-</v>
      </c>
      <c r="K113" s="200" t="str">
        <f t="shared" ref="K113:K141" si="70">IFERROR(AVERAGE(R113,W113,AB113,AG113,AL113,AQ113,AV113),"-")</f>
        <v>-</v>
      </c>
      <c r="L113" s="596"/>
      <c r="M113" s="199" t="e">
        <f>RANK(K113, K$112:$K$141)</f>
        <v>#VALUE!</v>
      </c>
      <c r="N113" s="614"/>
      <c r="O113" s="614"/>
      <c r="P113" s="182"/>
      <c r="Q113" s="182"/>
      <c r="R113" s="182"/>
      <c r="S113" s="331" t="e">
        <f t="shared" ref="S113:S141" si="71">RANK(R113, R$112:R$141)</f>
        <v>#N/A</v>
      </c>
      <c r="T113" s="624"/>
      <c r="U113" s="182"/>
      <c r="V113" s="182"/>
      <c r="W113" s="182"/>
      <c r="X113" s="442" t="e">
        <f t="shared" si="54"/>
        <v>#N/A</v>
      </c>
      <c r="Y113" s="624"/>
      <c r="Z113" s="182"/>
      <c r="AA113" s="182"/>
      <c r="AB113" s="182"/>
      <c r="AC113" s="442" t="e">
        <f t="shared" si="56"/>
        <v>#N/A</v>
      </c>
      <c r="AD113" s="624"/>
      <c r="AE113" s="182"/>
      <c r="AF113" s="182"/>
      <c r="AG113" s="182"/>
      <c r="AH113" s="442" t="e">
        <f t="shared" si="58"/>
        <v>#N/A</v>
      </c>
      <c r="AI113" s="624"/>
      <c r="AJ113" s="182"/>
      <c r="AK113" s="182"/>
      <c r="AL113" s="182"/>
      <c r="AM113" s="442" t="e">
        <f t="shared" si="60"/>
        <v>#N/A</v>
      </c>
      <c r="AN113" s="624"/>
      <c r="AO113" s="182"/>
      <c r="AP113" s="182"/>
      <c r="AQ113" s="182"/>
      <c r="AR113" s="442" t="e">
        <f t="shared" si="62"/>
        <v>#N/A</v>
      </c>
      <c r="AS113" s="624"/>
      <c r="AT113" s="182"/>
      <c r="AU113" s="182"/>
      <c r="AV113" s="182"/>
      <c r="AW113" s="442" t="e">
        <f t="shared" si="64"/>
        <v>#N/A</v>
      </c>
      <c r="AX113" s="624"/>
      <c r="AZ113" s="529" t="e">
        <f t="shared" si="66"/>
        <v>#N/A</v>
      </c>
      <c r="BA113" s="624"/>
    </row>
    <row r="114" spans="2:53">
      <c r="B114" s="622"/>
      <c r="C114" s="306">
        <v>3</v>
      </c>
      <c r="D114" s="514"/>
      <c r="E114" s="514"/>
      <c r="F114" s="514"/>
      <c r="G114" s="182"/>
      <c r="H114" s="624"/>
      <c r="I114" s="516" t="str">
        <f t="shared" si="68"/>
        <v>-</v>
      </c>
      <c r="J114" s="516" t="str">
        <f t="shared" si="69"/>
        <v>-</v>
      </c>
      <c r="K114" s="200" t="str">
        <f t="shared" si="70"/>
        <v>-</v>
      </c>
      <c r="L114" s="596"/>
      <c r="M114" s="199" t="e">
        <f>RANK(K114, K$112:$K$141)</f>
        <v>#VALUE!</v>
      </c>
      <c r="N114" s="614"/>
      <c r="O114" s="614"/>
      <c r="P114" s="182"/>
      <c r="Q114" s="182"/>
      <c r="R114" s="182"/>
      <c r="S114" s="331" t="e">
        <f t="shared" si="71"/>
        <v>#N/A</v>
      </c>
      <c r="T114" s="624"/>
      <c r="U114" s="182"/>
      <c r="V114" s="182"/>
      <c r="W114" s="182"/>
      <c r="X114" s="442" t="e">
        <f t="shared" si="54"/>
        <v>#N/A</v>
      </c>
      <c r="Y114" s="624"/>
      <c r="Z114" s="182"/>
      <c r="AA114" s="182"/>
      <c r="AB114" s="182"/>
      <c r="AC114" s="442" t="e">
        <f t="shared" si="56"/>
        <v>#N/A</v>
      </c>
      <c r="AD114" s="624"/>
      <c r="AE114" s="182"/>
      <c r="AF114" s="182"/>
      <c r="AG114" s="182"/>
      <c r="AH114" s="442" t="e">
        <f t="shared" si="58"/>
        <v>#N/A</v>
      </c>
      <c r="AI114" s="624"/>
      <c r="AJ114" s="182"/>
      <c r="AK114" s="182"/>
      <c r="AL114" s="182"/>
      <c r="AM114" s="442" t="e">
        <f t="shared" si="60"/>
        <v>#N/A</v>
      </c>
      <c r="AN114" s="624"/>
      <c r="AO114" s="182"/>
      <c r="AP114" s="182"/>
      <c r="AQ114" s="182"/>
      <c r="AR114" s="442" t="e">
        <f t="shared" si="62"/>
        <v>#N/A</v>
      </c>
      <c r="AS114" s="624"/>
      <c r="AT114" s="182"/>
      <c r="AU114" s="182"/>
      <c r="AV114" s="182"/>
      <c r="AW114" s="442" t="e">
        <f t="shared" si="64"/>
        <v>#N/A</v>
      </c>
      <c r="AX114" s="624"/>
      <c r="AZ114" s="529" t="e">
        <f t="shared" si="66"/>
        <v>#N/A</v>
      </c>
      <c r="BA114" s="624"/>
    </row>
    <row r="115" spans="2:53">
      <c r="B115" s="622"/>
      <c r="C115" s="306">
        <v>4</v>
      </c>
      <c r="D115" s="514"/>
      <c r="E115" s="514"/>
      <c r="F115" s="514"/>
      <c r="G115" s="182"/>
      <c r="H115" s="624"/>
      <c r="I115" s="516" t="str">
        <f t="shared" si="68"/>
        <v>-</v>
      </c>
      <c r="J115" s="516" t="str">
        <f t="shared" si="69"/>
        <v>-</v>
      </c>
      <c r="K115" s="200" t="str">
        <f t="shared" si="70"/>
        <v>-</v>
      </c>
      <c r="L115" s="596"/>
      <c r="M115" s="199" t="e">
        <f>RANK(K115, K$112:$K$141)</f>
        <v>#VALUE!</v>
      </c>
      <c r="N115" s="614"/>
      <c r="O115" s="614"/>
      <c r="P115" s="182"/>
      <c r="Q115" s="182"/>
      <c r="R115" s="182"/>
      <c r="S115" s="331" t="e">
        <f t="shared" si="71"/>
        <v>#N/A</v>
      </c>
      <c r="T115" s="624"/>
      <c r="U115" s="182"/>
      <c r="V115" s="182"/>
      <c r="W115" s="182"/>
      <c r="X115" s="442" t="e">
        <f t="shared" si="54"/>
        <v>#N/A</v>
      </c>
      <c r="Y115" s="624"/>
      <c r="Z115" s="182"/>
      <c r="AA115" s="182"/>
      <c r="AB115" s="182"/>
      <c r="AC115" s="442" t="e">
        <f t="shared" si="56"/>
        <v>#N/A</v>
      </c>
      <c r="AD115" s="624"/>
      <c r="AE115" s="182"/>
      <c r="AF115" s="182"/>
      <c r="AG115" s="182"/>
      <c r="AH115" s="442" t="e">
        <f t="shared" si="58"/>
        <v>#N/A</v>
      </c>
      <c r="AI115" s="624"/>
      <c r="AJ115" s="182"/>
      <c r="AK115" s="182"/>
      <c r="AL115" s="182"/>
      <c r="AM115" s="442" t="e">
        <f t="shared" si="60"/>
        <v>#N/A</v>
      </c>
      <c r="AN115" s="624"/>
      <c r="AO115" s="182"/>
      <c r="AP115" s="182"/>
      <c r="AQ115" s="182"/>
      <c r="AR115" s="442" t="e">
        <f t="shared" si="62"/>
        <v>#N/A</v>
      </c>
      <c r="AS115" s="624"/>
      <c r="AT115" s="182"/>
      <c r="AU115" s="182"/>
      <c r="AV115" s="182"/>
      <c r="AW115" s="442" t="e">
        <f t="shared" si="64"/>
        <v>#N/A</v>
      </c>
      <c r="AX115" s="624"/>
      <c r="AZ115" s="529" t="e">
        <f t="shared" si="66"/>
        <v>#N/A</v>
      </c>
      <c r="BA115" s="624"/>
    </row>
    <row r="116" spans="2:53">
      <c r="B116" s="622"/>
      <c r="C116" s="306">
        <v>5</v>
      </c>
      <c r="D116" s="514"/>
      <c r="E116" s="514"/>
      <c r="F116" s="514"/>
      <c r="G116" s="182"/>
      <c r="H116" s="624"/>
      <c r="I116" s="516" t="str">
        <f t="shared" si="68"/>
        <v>-</v>
      </c>
      <c r="J116" s="516" t="str">
        <f t="shared" si="69"/>
        <v>-</v>
      </c>
      <c r="K116" s="200" t="str">
        <f t="shared" si="70"/>
        <v>-</v>
      </c>
      <c r="L116" s="596"/>
      <c r="M116" s="199" t="e">
        <f>RANK(K116, K$112:$K$141)</f>
        <v>#VALUE!</v>
      </c>
      <c r="N116" s="614"/>
      <c r="O116" s="614"/>
      <c r="P116" s="182"/>
      <c r="Q116" s="182"/>
      <c r="R116" s="182"/>
      <c r="S116" s="331" t="e">
        <f t="shared" si="71"/>
        <v>#N/A</v>
      </c>
      <c r="T116" s="624"/>
      <c r="U116" s="182"/>
      <c r="V116" s="182"/>
      <c r="W116" s="182"/>
      <c r="X116" s="442" t="e">
        <f t="shared" si="54"/>
        <v>#N/A</v>
      </c>
      <c r="Y116" s="624"/>
      <c r="Z116" s="182"/>
      <c r="AA116" s="182"/>
      <c r="AB116" s="182"/>
      <c r="AC116" s="442" t="e">
        <f t="shared" si="56"/>
        <v>#N/A</v>
      </c>
      <c r="AD116" s="624"/>
      <c r="AE116" s="182"/>
      <c r="AF116" s="182"/>
      <c r="AG116" s="182"/>
      <c r="AH116" s="442" t="e">
        <f t="shared" si="58"/>
        <v>#N/A</v>
      </c>
      <c r="AI116" s="624"/>
      <c r="AJ116" s="182"/>
      <c r="AK116" s="182"/>
      <c r="AL116" s="182"/>
      <c r="AM116" s="442" t="e">
        <f t="shared" si="60"/>
        <v>#N/A</v>
      </c>
      <c r="AN116" s="624"/>
      <c r="AO116" s="182"/>
      <c r="AP116" s="182"/>
      <c r="AQ116" s="182"/>
      <c r="AR116" s="442" t="e">
        <f t="shared" si="62"/>
        <v>#N/A</v>
      </c>
      <c r="AS116" s="624"/>
      <c r="AT116" s="182"/>
      <c r="AU116" s="182"/>
      <c r="AV116" s="182"/>
      <c r="AW116" s="442" t="e">
        <f t="shared" si="64"/>
        <v>#N/A</v>
      </c>
      <c r="AX116" s="624"/>
      <c r="AZ116" s="529" t="e">
        <f t="shared" si="66"/>
        <v>#N/A</v>
      </c>
      <c r="BA116" s="624"/>
    </row>
    <row r="117" spans="2:53">
      <c r="B117" s="622"/>
      <c r="C117" s="306">
        <v>6</v>
      </c>
      <c r="D117" s="514"/>
      <c r="E117" s="514"/>
      <c r="F117" s="514"/>
      <c r="G117" s="182"/>
      <c r="H117" s="624"/>
      <c r="I117" s="516" t="str">
        <f t="shared" si="68"/>
        <v>-</v>
      </c>
      <c r="J117" s="516" t="str">
        <f t="shared" si="69"/>
        <v>-</v>
      </c>
      <c r="K117" s="200" t="str">
        <f t="shared" si="70"/>
        <v>-</v>
      </c>
      <c r="L117" s="596"/>
      <c r="M117" s="199" t="e">
        <f>RANK(K117, K$112:$K$141)</f>
        <v>#VALUE!</v>
      </c>
      <c r="N117" s="614"/>
      <c r="O117" s="614"/>
      <c r="P117" s="182"/>
      <c r="Q117" s="182"/>
      <c r="R117" s="182"/>
      <c r="S117" s="331" t="e">
        <f t="shared" si="71"/>
        <v>#N/A</v>
      </c>
      <c r="T117" s="624"/>
      <c r="U117" s="182"/>
      <c r="V117" s="182"/>
      <c r="W117" s="182"/>
      <c r="X117" s="442" t="e">
        <f t="shared" si="54"/>
        <v>#N/A</v>
      </c>
      <c r="Y117" s="624"/>
      <c r="Z117" s="182"/>
      <c r="AA117" s="182"/>
      <c r="AB117" s="182"/>
      <c r="AC117" s="442" t="e">
        <f t="shared" si="56"/>
        <v>#N/A</v>
      </c>
      <c r="AD117" s="624"/>
      <c r="AE117" s="182"/>
      <c r="AF117" s="182"/>
      <c r="AG117" s="182"/>
      <c r="AH117" s="442" t="e">
        <f t="shared" si="58"/>
        <v>#N/A</v>
      </c>
      <c r="AI117" s="624"/>
      <c r="AJ117" s="182"/>
      <c r="AK117" s="182"/>
      <c r="AL117" s="182"/>
      <c r="AM117" s="442" t="e">
        <f t="shared" si="60"/>
        <v>#N/A</v>
      </c>
      <c r="AN117" s="624"/>
      <c r="AO117" s="182"/>
      <c r="AP117" s="182"/>
      <c r="AQ117" s="182"/>
      <c r="AR117" s="442" t="e">
        <f t="shared" si="62"/>
        <v>#N/A</v>
      </c>
      <c r="AS117" s="624"/>
      <c r="AT117" s="182"/>
      <c r="AU117" s="182"/>
      <c r="AV117" s="182"/>
      <c r="AW117" s="442" t="e">
        <f t="shared" si="64"/>
        <v>#N/A</v>
      </c>
      <c r="AX117" s="624"/>
      <c r="AZ117" s="529" t="e">
        <f t="shared" si="66"/>
        <v>#N/A</v>
      </c>
      <c r="BA117" s="624"/>
    </row>
    <row r="118" spans="2:53">
      <c r="B118" s="622"/>
      <c r="C118" s="306">
        <v>7</v>
      </c>
      <c r="D118" s="514"/>
      <c r="E118" s="514"/>
      <c r="F118" s="514"/>
      <c r="G118" s="182"/>
      <c r="H118" s="624"/>
      <c r="I118" s="516" t="str">
        <f t="shared" si="68"/>
        <v>-</v>
      </c>
      <c r="J118" s="516" t="str">
        <f t="shared" si="69"/>
        <v>-</v>
      </c>
      <c r="K118" s="200" t="str">
        <f t="shared" si="70"/>
        <v>-</v>
      </c>
      <c r="L118" s="596"/>
      <c r="M118" s="199" t="e">
        <f>RANK(K118, K$112:$K$141)</f>
        <v>#VALUE!</v>
      </c>
      <c r="N118" s="614"/>
      <c r="O118" s="614"/>
      <c r="P118" s="182"/>
      <c r="Q118" s="182"/>
      <c r="R118" s="182"/>
      <c r="S118" s="331" t="e">
        <f t="shared" si="71"/>
        <v>#N/A</v>
      </c>
      <c r="T118" s="624"/>
      <c r="U118" s="182"/>
      <c r="V118" s="182"/>
      <c r="W118" s="182"/>
      <c r="X118" s="442" t="e">
        <f t="shared" si="54"/>
        <v>#N/A</v>
      </c>
      <c r="Y118" s="624"/>
      <c r="Z118" s="182"/>
      <c r="AA118" s="182"/>
      <c r="AB118" s="182"/>
      <c r="AC118" s="442" t="e">
        <f t="shared" si="56"/>
        <v>#N/A</v>
      </c>
      <c r="AD118" s="624"/>
      <c r="AE118" s="182"/>
      <c r="AF118" s="182"/>
      <c r="AG118" s="182"/>
      <c r="AH118" s="442" t="e">
        <f t="shared" si="58"/>
        <v>#N/A</v>
      </c>
      <c r="AI118" s="624"/>
      <c r="AJ118" s="182"/>
      <c r="AK118" s="182"/>
      <c r="AL118" s="182"/>
      <c r="AM118" s="442" t="e">
        <f t="shared" si="60"/>
        <v>#N/A</v>
      </c>
      <c r="AN118" s="624"/>
      <c r="AO118" s="182"/>
      <c r="AP118" s="182"/>
      <c r="AQ118" s="182"/>
      <c r="AR118" s="442" t="e">
        <f t="shared" si="62"/>
        <v>#N/A</v>
      </c>
      <c r="AS118" s="624"/>
      <c r="AT118" s="182"/>
      <c r="AU118" s="182"/>
      <c r="AV118" s="182"/>
      <c r="AW118" s="442" t="e">
        <f t="shared" si="64"/>
        <v>#N/A</v>
      </c>
      <c r="AX118" s="624"/>
      <c r="AZ118" s="529" t="e">
        <f t="shared" si="66"/>
        <v>#N/A</v>
      </c>
      <c r="BA118" s="624"/>
    </row>
    <row r="119" spans="2:53">
      <c r="B119" s="622"/>
      <c r="C119" s="306">
        <v>8</v>
      </c>
      <c r="D119" s="514"/>
      <c r="E119" s="514"/>
      <c r="F119" s="514"/>
      <c r="G119" s="182"/>
      <c r="H119" s="624"/>
      <c r="I119" s="516" t="str">
        <f t="shared" si="68"/>
        <v>-</v>
      </c>
      <c r="J119" s="516" t="str">
        <f t="shared" si="69"/>
        <v>-</v>
      </c>
      <c r="K119" s="200" t="str">
        <f t="shared" si="70"/>
        <v>-</v>
      </c>
      <c r="L119" s="596"/>
      <c r="M119" s="199" t="e">
        <f>RANK(K119, K$112:$K$141)</f>
        <v>#VALUE!</v>
      </c>
      <c r="N119" s="614"/>
      <c r="O119" s="614"/>
      <c r="P119" s="182"/>
      <c r="Q119" s="182"/>
      <c r="R119" s="182"/>
      <c r="S119" s="331" t="e">
        <f t="shared" si="71"/>
        <v>#N/A</v>
      </c>
      <c r="T119" s="624"/>
      <c r="U119" s="182"/>
      <c r="V119" s="182"/>
      <c r="W119" s="182"/>
      <c r="X119" s="442" t="e">
        <f t="shared" si="54"/>
        <v>#N/A</v>
      </c>
      <c r="Y119" s="624"/>
      <c r="Z119" s="182"/>
      <c r="AA119" s="182"/>
      <c r="AB119" s="182"/>
      <c r="AC119" s="442" t="e">
        <f t="shared" si="56"/>
        <v>#N/A</v>
      </c>
      <c r="AD119" s="624"/>
      <c r="AE119" s="182"/>
      <c r="AF119" s="182"/>
      <c r="AG119" s="182"/>
      <c r="AH119" s="442" t="e">
        <f t="shared" si="58"/>
        <v>#N/A</v>
      </c>
      <c r="AI119" s="624"/>
      <c r="AJ119" s="182"/>
      <c r="AK119" s="182"/>
      <c r="AL119" s="182"/>
      <c r="AM119" s="442" t="e">
        <f t="shared" si="60"/>
        <v>#N/A</v>
      </c>
      <c r="AN119" s="624"/>
      <c r="AO119" s="182"/>
      <c r="AP119" s="182"/>
      <c r="AQ119" s="182"/>
      <c r="AR119" s="442" t="e">
        <f t="shared" si="62"/>
        <v>#N/A</v>
      </c>
      <c r="AS119" s="624"/>
      <c r="AT119" s="182"/>
      <c r="AU119" s="182"/>
      <c r="AV119" s="182"/>
      <c r="AW119" s="442" t="e">
        <f t="shared" si="64"/>
        <v>#N/A</v>
      </c>
      <c r="AX119" s="624"/>
      <c r="AZ119" s="529" t="e">
        <f t="shared" si="66"/>
        <v>#N/A</v>
      </c>
      <c r="BA119" s="624"/>
    </row>
    <row r="120" spans="2:53">
      <c r="B120" s="622"/>
      <c r="C120" s="306">
        <v>9</v>
      </c>
      <c r="D120" s="514"/>
      <c r="E120" s="514"/>
      <c r="F120" s="514"/>
      <c r="G120" s="182"/>
      <c r="H120" s="624"/>
      <c r="I120" s="516" t="str">
        <f t="shared" si="68"/>
        <v>-</v>
      </c>
      <c r="J120" s="516" t="str">
        <f t="shared" si="69"/>
        <v>-</v>
      </c>
      <c r="K120" s="200" t="str">
        <f t="shared" si="70"/>
        <v>-</v>
      </c>
      <c r="L120" s="596"/>
      <c r="M120" s="199" t="e">
        <f>RANK(K120, K$112:$K$141)</f>
        <v>#VALUE!</v>
      </c>
      <c r="N120" s="614"/>
      <c r="O120" s="614"/>
      <c r="P120" s="182"/>
      <c r="Q120" s="182"/>
      <c r="R120" s="182"/>
      <c r="S120" s="331" t="e">
        <f t="shared" si="71"/>
        <v>#N/A</v>
      </c>
      <c r="T120" s="624"/>
      <c r="U120" s="182"/>
      <c r="V120" s="182"/>
      <c r="W120" s="182"/>
      <c r="X120" s="442" t="e">
        <f t="shared" si="54"/>
        <v>#N/A</v>
      </c>
      <c r="Y120" s="624"/>
      <c r="Z120" s="182"/>
      <c r="AA120" s="182"/>
      <c r="AB120" s="182"/>
      <c r="AC120" s="442" t="e">
        <f t="shared" si="56"/>
        <v>#N/A</v>
      </c>
      <c r="AD120" s="624"/>
      <c r="AE120" s="182"/>
      <c r="AF120" s="182"/>
      <c r="AG120" s="182"/>
      <c r="AH120" s="442" t="e">
        <f t="shared" si="58"/>
        <v>#N/A</v>
      </c>
      <c r="AI120" s="624"/>
      <c r="AJ120" s="182"/>
      <c r="AK120" s="182"/>
      <c r="AL120" s="182"/>
      <c r="AM120" s="442" t="e">
        <f t="shared" si="60"/>
        <v>#N/A</v>
      </c>
      <c r="AN120" s="624"/>
      <c r="AO120" s="182"/>
      <c r="AP120" s="182"/>
      <c r="AQ120" s="182"/>
      <c r="AR120" s="442" t="e">
        <f t="shared" si="62"/>
        <v>#N/A</v>
      </c>
      <c r="AS120" s="624"/>
      <c r="AT120" s="182"/>
      <c r="AU120" s="182"/>
      <c r="AV120" s="182"/>
      <c r="AW120" s="442" t="e">
        <f t="shared" si="64"/>
        <v>#N/A</v>
      </c>
      <c r="AX120" s="624"/>
      <c r="AZ120" s="529" t="e">
        <f t="shared" si="66"/>
        <v>#N/A</v>
      </c>
      <c r="BA120" s="624"/>
    </row>
    <row r="121" spans="2:53">
      <c r="B121" s="622"/>
      <c r="C121" s="306">
        <v>10</v>
      </c>
      <c r="D121" s="514"/>
      <c r="E121" s="514"/>
      <c r="F121" s="514"/>
      <c r="G121" s="182"/>
      <c r="H121" s="624"/>
      <c r="I121" s="516" t="str">
        <f t="shared" si="68"/>
        <v>-</v>
      </c>
      <c r="J121" s="516" t="str">
        <f t="shared" si="69"/>
        <v>-</v>
      </c>
      <c r="K121" s="200" t="str">
        <f t="shared" si="70"/>
        <v>-</v>
      </c>
      <c r="L121" s="596"/>
      <c r="M121" s="199" t="e">
        <f>RANK(K121, K$112:$K$141)</f>
        <v>#VALUE!</v>
      </c>
      <c r="N121" s="614"/>
      <c r="O121" s="614"/>
      <c r="P121" s="182"/>
      <c r="Q121" s="182"/>
      <c r="R121" s="182"/>
      <c r="S121" s="331" t="e">
        <f t="shared" si="71"/>
        <v>#N/A</v>
      </c>
      <c r="T121" s="624"/>
      <c r="U121" s="182"/>
      <c r="V121" s="182"/>
      <c r="W121" s="182"/>
      <c r="X121" s="442" t="e">
        <f t="shared" si="54"/>
        <v>#N/A</v>
      </c>
      <c r="Y121" s="624"/>
      <c r="Z121" s="182"/>
      <c r="AA121" s="182"/>
      <c r="AB121" s="182"/>
      <c r="AC121" s="442" t="e">
        <f t="shared" si="56"/>
        <v>#N/A</v>
      </c>
      <c r="AD121" s="624"/>
      <c r="AE121" s="182"/>
      <c r="AF121" s="182"/>
      <c r="AG121" s="182"/>
      <c r="AH121" s="442" t="e">
        <f t="shared" si="58"/>
        <v>#N/A</v>
      </c>
      <c r="AI121" s="624"/>
      <c r="AJ121" s="182"/>
      <c r="AK121" s="182"/>
      <c r="AL121" s="182"/>
      <c r="AM121" s="442" t="e">
        <f t="shared" si="60"/>
        <v>#N/A</v>
      </c>
      <c r="AN121" s="624"/>
      <c r="AO121" s="182"/>
      <c r="AP121" s="182"/>
      <c r="AQ121" s="182"/>
      <c r="AR121" s="442" t="e">
        <f t="shared" si="62"/>
        <v>#N/A</v>
      </c>
      <c r="AS121" s="624"/>
      <c r="AT121" s="182"/>
      <c r="AU121" s="182"/>
      <c r="AV121" s="182"/>
      <c r="AW121" s="442" t="e">
        <f t="shared" si="64"/>
        <v>#N/A</v>
      </c>
      <c r="AX121" s="624"/>
      <c r="AZ121" s="529" t="e">
        <f t="shared" si="66"/>
        <v>#N/A</v>
      </c>
      <c r="BA121" s="624"/>
    </row>
    <row r="122" spans="2:53">
      <c r="B122" s="622"/>
      <c r="C122" s="306">
        <v>11</v>
      </c>
      <c r="D122" s="514"/>
      <c r="E122" s="514"/>
      <c r="F122" s="514"/>
      <c r="G122" s="182"/>
      <c r="H122" s="624"/>
      <c r="I122" s="516" t="str">
        <f t="shared" si="68"/>
        <v>-</v>
      </c>
      <c r="J122" s="516" t="str">
        <f t="shared" si="69"/>
        <v>-</v>
      </c>
      <c r="K122" s="200" t="str">
        <f t="shared" si="70"/>
        <v>-</v>
      </c>
      <c r="L122" s="596"/>
      <c r="M122" s="199" t="e">
        <f>RANK(K122, K$112:$K$141)</f>
        <v>#VALUE!</v>
      </c>
      <c r="N122" s="614"/>
      <c r="O122" s="614"/>
      <c r="P122" s="182"/>
      <c r="Q122" s="182"/>
      <c r="R122" s="182"/>
      <c r="S122" s="331" t="e">
        <f t="shared" si="71"/>
        <v>#N/A</v>
      </c>
      <c r="T122" s="624"/>
      <c r="U122" s="182"/>
      <c r="V122" s="182"/>
      <c r="W122" s="182"/>
      <c r="X122" s="442" t="e">
        <f t="shared" si="54"/>
        <v>#N/A</v>
      </c>
      <c r="Y122" s="624"/>
      <c r="Z122" s="182"/>
      <c r="AA122" s="182"/>
      <c r="AB122" s="182"/>
      <c r="AC122" s="442" t="e">
        <f t="shared" si="56"/>
        <v>#N/A</v>
      </c>
      <c r="AD122" s="624"/>
      <c r="AE122" s="182"/>
      <c r="AF122" s="182"/>
      <c r="AG122" s="182"/>
      <c r="AH122" s="442" t="e">
        <f t="shared" si="58"/>
        <v>#N/A</v>
      </c>
      <c r="AI122" s="624"/>
      <c r="AJ122" s="182"/>
      <c r="AK122" s="182"/>
      <c r="AL122" s="182"/>
      <c r="AM122" s="442" t="e">
        <f t="shared" si="60"/>
        <v>#N/A</v>
      </c>
      <c r="AN122" s="624"/>
      <c r="AO122" s="182"/>
      <c r="AP122" s="182"/>
      <c r="AQ122" s="182"/>
      <c r="AR122" s="442" t="e">
        <f t="shared" si="62"/>
        <v>#N/A</v>
      </c>
      <c r="AS122" s="624"/>
      <c r="AT122" s="182"/>
      <c r="AU122" s="182"/>
      <c r="AV122" s="182"/>
      <c r="AW122" s="442" t="e">
        <f t="shared" si="64"/>
        <v>#N/A</v>
      </c>
      <c r="AX122" s="624"/>
      <c r="AZ122" s="529" t="e">
        <f t="shared" si="66"/>
        <v>#N/A</v>
      </c>
      <c r="BA122" s="624"/>
    </row>
    <row r="123" spans="2:53">
      <c r="B123" s="622"/>
      <c r="C123" s="306">
        <v>12</v>
      </c>
      <c r="D123" s="514"/>
      <c r="E123" s="514"/>
      <c r="F123" s="514"/>
      <c r="G123" s="182"/>
      <c r="H123" s="624"/>
      <c r="I123" s="516" t="str">
        <f t="shared" si="68"/>
        <v>-</v>
      </c>
      <c r="J123" s="516" t="str">
        <f t="shared" si="69"/>
        <v>-</v>
      </c>
      <c r="K123" s="200" t="str">
        <f t="shared" si="70"/>
        <v>-</v>
      </c>
      <c r="L123" s="596"/>
      <c r="M123" s="199" t="e">
        <f>RANK(K123, K$112:$K$141)</f>
        <v>#VALUE!</v>
      </c>
      <c r="N123" s="614"/>
      <c r="O123" s="614"/>
      <c r="P123" s="182"/>
      <c r="Q123" s="182"/>
      <c r="R123" s="182"/>
      <c r="S123" s="331" t="e">
        <f t="shared" si="71"/>
        <v>#N/A</v>
      </c>
      <c r="T123" s="624"/>
      <c r="U123" s="182"/>
      <c r="V123" s="182"/>
      <c r="W123" s="182"/>
      <c r="X123" s="442" t="e">
        <f t="shared" si="54"/>
        <v>#N/A</v>
      </c>
      <c r="Y123" s="624"/>
      <c r="Z123" s="182"/>
      <c r="AA123" s="182"/>
      <c r="AB123" s="182"/>
      <c r="AC123" s="442" t="e">
        <f t="shared" si="56"/>
        <v>#N/A</v>
      </c>
      <c r="AD123" s="624"/>
      <c r="AE123" s="182"/>
      <c r="AF123" s="182"/>
      <c r="AG123" s="182"/>
      <c r="AH123" s="442" t="e">
        <f t="shared" si="58"/>
        <v>#N/A</v>
      </c>
      <c r="AI123" s="624"/>
      <c r="AJ123" s="182"/>
      <c r="AK123" s="182"/>
      <c r="AL123" s="182"/>
      <c r="AM123" s="442" t="e">
        <f t="shared" si="60"/>
        <v>#N/A</v>
      </c>
      <c r="AN123" s="624"/>
      <c r="AO123" s="182"/>
      <c r="AP123" s="182"/>
      <c r="AQ123" s="182"/>
      <c r="AR123" s="442" t="e">
        <f t="shared" si="62"/>
        <v>#N/A</v>
      </c>
      <c r="AS123" s="624"/>
      <c r="AT123" s="182"/>
      <c r="AU123" s="182"/>
      <c r="AV123" s="182"/>
      <c r="AW123" s="442" t="e">
        <f t="shared" si="64"/>
        <v>#N/A</v>
      </c>
      <c r="AX123" s="624"/>
      <c r="AZ123" s="529" t="e">
        <f t="shared" si="66"/>
        <v>#N/A</v>
      </c>
      <c r="BA123" s="624"/>
    </row>
    <row r="124" spans="2:53">
      <c r="B124" s="622"/>
      <c r="C124" s="306">
        <v>13</v>
      </c>
      <c r="D124" s="514"/>
      <c r="E124" s="514"/>
      <c r="F124" s="514"/>
      <c r="G124" s="182"/>
      <c r="H124" s="624"/>
      <c r="I124" s="516" t="str">
        <f t="shared" si="68"/>
        <v>-</v>
      </c>
      <c r="J124" s="516" t="str">
        <f t="shared" si="69"/>
        <v>-</v>
      </c>
      <c r="K124" s="200" t="str">
        <f t="shared" si="70"/>
        <v>-</v>
      </c>
      <c r="L124" s="596"/>
      <c r="M124" s="199" t="e">
        <f>RANK(K124, K$112:$K$141)</f>
        <v>#VALUE!</v>
      </c>
      <c r="N124" s="614"/>
      <c r="O124" s="614"/>
      <c r="P124" s="182"/>
      <c r="Q124" s="182"/>
      <c r="R124" s="182"/>
      <c r="S124" s="331" t="e">
        <f t="shared" si="71"/>
        <v>#N/A</v>
      </c>
      <c r="T124" s="624"/>
      <c r="U124" s="182"/>
      <c r="V124" s="182"/>
      <c r="W124" s="182"/>
      <c r="X124" s="442" t="e">
        <f t="shared" si="54"/>
        <v>#N/A</v>
      </c>
      <c r="Y124" s="624"/>
      <c r="Z124" s="182"/>
      <c r="AA124" s="182"/>
      <c r="AB124" s="182"/>
      <c r="AC124" s="442" t="e">
        <f t="shared" si="56"/>
        <v>#N/A</v>
      </c>
      <c r="AD124" s="624"/>
      <c r="AE124" s="182"/>
      <c r="AF124" s="182"/>
      <c r="AG124" s="182"/>
      <c r="AH124" s="442" t="e">
        <f t="shared" si="58"/>
        <v>#N/A</v>
      </c>
      <c r="AI124" s="624"/>
      <c r="AJ124" s="182"/>
      <c r="AK124" s="182"/>
      <c r="AL124" s="182"/>
      <c r="AM124" s="442" t="e">
        <f t="shared" si="60"/>
        <v>#N/A</v>
      </c>
      <c r="AN124" s="624"/>
      <c r="AO124" s="182"/>
      <c r="AP124" s="182"/>
      <c r="AQ124" s="182"/>
      <c r="AR124" s="442" t="e">
        <f t="shared" si="62"/>
        <v>#N/A</v>
      </c>
      <c r="AS124" s="624"/>
      <c r="AT124" s="182"/>
      <c r="AU124" s="182"/>
      <c r="AV124" s="182"/>
      <c r="AW124" s="442" t="e">
        <f t="shared" si="64"/>
        <v>#N/A</v>
      </c>
      <c r="AX124" s="624"/>
      <c r="AZ124" s="529" t="e">
        <f t="shared" si="66"/>
        <v>#N/A</v>
      </c>
      <c r="BA124" s="624"/>
    </row>
    <row r="125" spans="2:53">
      <c r="B125" s="622"/>
      <c r="C125" s="306">
        <v>14</v>
      </c>
      <c r="D125" s="514"/>
      <c r="E125" s="514"/>
      <c r="F125" s="514"/>
      <c r="G125" s="182"/>
      <c r="H125" s="624"/>
      <c r="I125" s="516" t="str">
        <f t="shared" si="68"/>
        <v>-</v>
      </c>
      <c r="J125" s="516" t="str">
        <f t="shared" si="69"/>
        <v>-</v>
      </c>
      <c r="K125" s="200" t="str">
        <f t="shared" si="70"/>
        <v>-</v>
      </c>
      <c r="L125" s="596"/>
      <c r="M125" s="199" t="e">
        <f>RANK(K125, K$112:$K$141)</f>
        <v>#VALUE!</v>
      </c>
      <c r="N125" s="614"/>
      <c r="O125" s="614"/>
      <c r="P125" s="182"/>
      <c r="Q125" s="182"/>
      <c r="R125" s="182"/>
      <c r="S125" s="331" t="e">
        <f t="shared" si="71"/>
        <v>#N/A</v>
      </c>
      <c r="T125" s="624"/>
      <c r="U125" s="182"/>
      <c r="V125" s="182"/>
      <c r="W125" s="182"/>
      <c r="X125" s="442" t="e">
        <f t="shared" si="54"/>
        <v>#N/A</v>
      </c>
      <c r="Y125" s="624"/>
      <c r="Z125" s="182"/>
      <c r="AA125" s="182"/>
      <c r="AB125" s="182"/>
      <c r="AC125" s="442" t="e">
        <f t="shared" si="56"/>
        <v>#N/A</v>
      </c>
      <c r="AD125" s="624"/>
      <c r="AE125" s="182"/>
      <c r="AF125" s="182"/>
      <c r="AG125" s="182"/>
      <c r="AH125" s="442" t="e">
        <f t="shared" si="58"/>
        <v>#N/A</v>
      </c>
      <c r="AI125" s="624"/>
      <c r="AJ125" s="182"/>
      <c r="AK125" s="182"/>
      <c r="AL125" s="182"/>
      <c r="AM125" s="442" t="e">
        <f t="shared" si="60"/>
        <v>#N/A</v>
      </c>
      <c r="AN125" s="624"/>
      <c r="AO125" s="182"/>
      <c r="AP125" s="182"/>
      <c r="AQ125" s="182"/>
      <c r="AR125" s="442" t="e">
        <f t="shared" si="62"/>
        <v>#N/A</v>
      </c>
      <c r="AS125" s="624"/>
      <c r="AT125" s="182"/>
      <c r="AU125" s="182"/>
      <c r="AV125" s="182"/>
      <c r="AW125" s="442" t="e">
        <f t="shared" si="64"/>
        <v>#N/A</v>
      </c>
      <c r="AX125" s="624"/>
      <c r="AZ125" s="529" t="e">
        <f t="shared" si="66"/>
        <v>#N/A</v>
      </c>
      <c r="BA125" s="624"/>
    </row>
    <row r="126" spans="2:53">
      <c r="B126" s="622"/>
      <c r="C126" s="306">
        <v>15</v>
      </c>
      <c r="D126" s="514"/>
      <c r="E126" s="514"/>
      <c r="F126" s="514"/>
      <c r="G126" s="182"/>
      <c r="H126" s="624"/>
      <c r="I126" s="516" t="str">
        <f t="shared" si="68"/>
        <v>-</v>
      </c>
      <c r="J126" s="516" t="str">
        <f t="shared" si="69"/>
        <v>-</v>
      </c>
      <c r="K126" s="200" t="str">
        <f t="shared" si="70"/>
        <v>-</v>
      </c>
      <c r="L126" s="596"/>
      <c r="M126" s="199" t="e">
        <f>RANK(K126, K$112:$K$141)</f>
        <v>#VALUE!</v>
      </c>
      <c r="N126" s="614"/>
      <c r="O126" s="614"/>
      <c r="P126" s="182"/>
      <c r="Q126" s="182"/>
      <c r="R126" s="182"/>
      <c r="S126" s="331" t="e">
        <f t="shared" si="71"/>
        <v>#N/A</v>
      </c>
      <c r="T126" s="624"/>
      <c r="U126" s="182"/>
      <c r="V126" s="182"/>
      <c r="W126" s="182"/>
      <c r="X126" s="442" t="e">
        <f t="shared" si="54"/>
        <v>#N/A</v>
      </c>
      <c r="Y126" s="624"/>
      <c r="Z126" s="182"/>
      <c r="AA126" s="182"/>
      <c r="AB126" s="182"/>
      <c r="AC126" s="442" t="e">
        <f t="shared" si="56"/>
        <v>#N/A</v>
      </c>
      <c r="AD126" s="624"/>
      <c r="AE126" s="182"/>
      <c r="AF126" s="182"/>
      <c r="AG126" s="182"/>
      <c r="AH126" s="442" t="e">
        <f t="shared" si="58"/>
        <v>#N/A</v>
      </c>
      <c r="AI126" s="624"/>
      <c r="AJ126" s="182"/>
      <c r="AK126" s="182"/>
      <c r="AL126" s="182"/>
      <c r="AM126" s="442" t="e">
        <f t="shared" si="60"/>
        <v>#N/A</v>
      </c>
      <c r="AN126" s="624"/>
      <c r="AO126" s="182"/>
      <c r="AP126" s="182"/>
      <c r="AQ126" s="182"/>
      <c r="AR126" s="442" t="e">
        <f t="shared" si="62"/>
        <v>#N/A</v>
      </c>
      <c r="AS126" s="624"/>
      <c r="AT126" s="182"/>
      <c r="AU126" s="182"/>
      <c r="AV126" s="182"/>
      <c r="AW126" s="442" t="e">
        <f t="shared" si="64"/>
        <v>#N/A</v>
      </c>
      <c r="AX126" s="624"/>
      <c r="AZ126" s="529" t="e">
        <f t="shared" si="66"/>
        <v>#N/A</v>
      </c>
      <c r="BA126" s="624"/>
    </row>
    <row r="127" spans="2:53">
      <c r="B127" s="622"/>
      <c r="C127" s="306">
        <v>16</v>
      </c>
      <c r="D127" s="514"/>
      <c r="E127" s="514"/>
      <c r="F127" s="514"/>
      <c r="G127" s="182"/>
      <c r="H127" s="624"/>
      <c r="I127" s="516" t="str">
        <f t="shared" si="68"/>
        <v>-</v>
      </c>
      <c r="J127" s="516" t="str">
        <f t="shared" si="69"/>
        <v>-</v>
      </c>
      <c r="K127" s="200" t="str">
        <f t="shared" si="70"/>
        <v>-</v>
      </c>
      <c r="L127" s="596"/>
      <c r="M127" s="199" t="e">
        <f>RANK(K127, K$112:$K$141)</f>
        <v>#VALUE!</v>
      </c>
      <c r="N127" s="614"/>
      <c r="O127" s="614"/>
      <c r="P127" s="182"/>
      <c r="Q127" s="182"/>
      <c r="R127" s="182"/>
      <c r="S127" s="331" t="e">
        <f t="shared" si="71"/>
        <v>#N/A</v>
      </c>
      <c r="T127" s="624"/>
      <c r="U127" s="182"/>
      <c r="V127" s="182"/>
      <c r="W127" s="182"/>
      <c r="X127" s="442" t="e">
        <f t="shared" si="54"/>
        <v>#N/A</v>
      </c>
      <c r="Y127" s="624"/>
      <c r="Z127" s="182"/>
      <c r="AA127" s="182"/>
      <c r="AB127" s="182"/>
      <c r="AC127" s="442" t="e">
        <f t="shared" si="56"/>
        <v>#N/A</v>
      </c>
      <c r="AD127" s="624"/>
      <c r="AE127" s="182"/>
      <c r="AF127" s="182"/>
      <c r="AG127" s="182"/>
      <c r="AH127" s="442" t="e">
        <f t="shared" si="58"/>
        <v>#N/A</v>
      </c>
      <c r="AI127" s="624"/>
      <c r="AJ127" s="182"/>
      <c r="AK127" s="182"/>
      <c r="AL127" s="182"/>
      <c r="AM127" s="442" t="e">
        <f t="shared" si="60"/>
        <v>#N/A</v>
      </c>
      <c r="AN127" s="624"/>
      <c r="AO127" s="182"/>
      <c r="AP127" s="182"/>
      <c r="AQ127" s="182"/>
      <c r="AR127" s="442" t="e">
        <f t="shared" si="62"/>
        <v>#N/A</v>
      </c>
      <c r="AS127" s="624"/>
      <c r="AT127" s="182"/>
      <c r="AU127" s="182"/>
      <c r="AV127" s="182"/>
      <c r="AW127" s="442" t="e">
        <f t="shared" si="64"/>
        <v>#N/A</v>
      </c>
      <c r="AX127" s="624"/>
      <c r="AZ127" s="529" t="e">
        <f t="shared" si="66"/>
        <v>#N/A</v>
      </c>
      <c r="BA127" s="624"/>
    </row>
    <row r="128" spans="2:53">
      <c r="B128" s="622"/>
      <c r="C128" s="306">
        <v>17</v>
      </c>
      <c r="D128" s="514"/>
      <c r="E128" s="514"/>
      <c r="F128" s="514"/>
      <c r="G128" s="182"/>
      <c r="H128" s="624"/>
      <c r="I128" s="516" t="str">
        <f t="shared" si="68"/>
        <v>-</v>
      </c>
      <c r="J128" s="516" t="str">
        <f t="shared" si="69"/>
        <v>-</v>
      </c>
      <c r="K128" s="200" t="str">
        <f t="shared" si="70"/>
        <v>-</v>
      </c>
      <c r="L128" s="596"/>
      <c r="M128" s="199" t="e">
        <f>RANK(K128, K$112:$K$141)</f>
        <v>#VALUE!</v>
      </c>
      <c r="N128" s="614"/>
      <c r="O128" s="614"/>
      <c r="P128" s="182"/>
      <c r="Q128" s="182"/>
      <c r="R128" s="182"/>
      <c r="S128" s="331" t="e">
        <f t="shared" si="71"/>
        <v>#N/A</v>
      </c>
      <c r="T128" s="624"/>
      <c r="U128" s="182"/>
      <c r="V128" s="182"/>
      <c r="W128" s="182"/>
      <c r="X128" s="442" t="e">
        <f t="shared" ref="X128:X141" si="72">RANK(W128, W$112:W$141)</f>
        <v>#N/A</v>
      </c>
      <c r="Y128" s="624"/>
      <c r="Z128" s="182"/>
      <c r="AA128" s="182"/>
      <c r="AB128" s="182"/>
      <c r="AC128" s="442" t="e">
        <f t="shared" ref="AC128:AC141" si="73">RANK(AB128, AB$112:AB$141)</f>
        <v>#N/A</v>
      </c>
      <c r="AD128" s="624"/>
      <c r="AE128" s="182"/>
      <c r="AF128" s="182"/>
      <c r="AG128" s="182"/>
      <c r="AH128" s="442" t="e">
        <f t="shared" ref="AH128:AH141" si="74">RANK(AG128, AG$112:AG$141)</f>
        <v>#N/A</v>
      </c>
      <c r="AI128" s="624"/>
      <c r="AJ128" s="182"/>
      <c r="AK128" s="182"/>
      <c r="AL128" s="182"/>
      <c r="AM128" s="442" t="e">
        <f t="shared" ref="AM128:AM141" si="75">RANK(AL128, AL$112:AL$141)</f>
        <v>#N/A</v>
      </c>
      <c r="AN128" s="624"/>
      <c r="AO128" s="182"/>
      <c r="AP128" s="182"/>
      <c r="AQ128" s="182"/>
      <c r="AR128" s="442" t="e">
        <f t="shared" ref="AR128:AR141" si="76">RANK(AQ128, AQ$112:AQ$141)</f>
        <v>#N/A</v>
      </c>
      <c r="AS128" s="624"/>
      <c r="AT128" s="182"/>
      <c r="AU128" s="182"/>
      <c r="AV128" s="182"/>
      <c r="AW128" s="442" t="e">
        <f t="shared" ref="AW128:AW141" si="77">RANK(AV128, AV$112:AV$141)</f>
        <v>#N/A</v>
      </c>
      <c r="AX128" s="624"/>
      <c r="AZ128" s="529" t="e">
        <f t="shared" si="66"/>
        <v>#N/A</v>
      </c>
      <c r="BA128" s="624"/>
    </row>
    <row r="129" spans="2:53">
      <c r="B129" s="622"/>
      <c r="C129" s="306">
        <v>18</v>
      </c>
      <c r="D129" s="514"/>
      <c r="E129" s="514"/>
      <c r="F129" s="514"/>
      <c r="G129" s="182"/>
      <c r="H129" s="624"/>
      <c r="I129" s="516" t="str">
        <f t="shared" si="68"/>
        <v>-</v>
      </c>
      <c r="J129" s="516" t="str">
        <f t="shared" si="69"/>
        <v>-</v>
      </c>
      <c r="K129" s="200" t="str">
        <f t="shared" si="70"/>
        <v>-</v>
      </c>
      <c r="L129" s="596"/>
      <c r="M129" s="199" t="e">
        <f>RANK(K129, K$112:$K$141)</f>
        <v>#VALUE!</v>
      </c>
      <c r="N129" s="614"/>
      <c r="O129" s="614"/>
      <c r="P129" s="182"/>
      <c r="Q129" s="182"/>
      <c r="R129" s="182"/>
      <c r="S129" s="331" t="e">
        <f t="shared" si="71"/>
        <v>#N/A</v>
      </c>
      <c r="T129" s="624"/>
      <c r="U129" s="182"/>
      <c r="V129" s="182"/>
      <c r="W129" s="182"/>
      <c r="X129" s="442" t="e">
        <f t="shared" si="72"/>
        <v>#N/A</v>
      </c>
      <c r="Y129" s="624"/>
      <c r="Z129" s="182"/>
      <c r="AA129" s="182"/>
      <c r="AB129" s="182"/>
      <c r="AC129" s="442" t="e">
        <f t="shared" si="73"/>
        <v>#N/A</v>
      </c>
      <c r="AD129" s="624"/>
      <c r="AE129" s="182"/>
      <c r="AF129" s="182"/>
      <c r="AG129" s="182"/>
      <c r="AH129" s="442" t="e">
        <f t="shared" si="74"/>
        <v>#N/A</v>
      </c>
      <c r="AI129" s="624"/>
      <c r="AJ129" s="182"/>
      <c r="AK129" s="182"/>
      <c r="AL129" s="182"/>
      <c r="AM129" s="442" t="e">
        <f t="shared" si="75"/>
        <v>#N/A</v>
      </c>
      <c r="AN129" s="624"/>
      <c r="AO129" s="182"/>
      <c r="AP129" s="182"/>
      <c r="AQ129" s="182"/>
      <c r="AR129" s="442" t="e">
        <f t="shared" si="76"/>
        <v>#N/A</v>
      </c>
      <c r="AS129" s="624"/>
      <c r="AT129" s="182"/>
      <c r="AU129" s="182"/>
      <c r="AV129" s="182"/>
      <c r="AW129" s="442" t="e">
        <f t="shared" si="77"/>
        <v>#N/A</v>
      </c>
      <c r="AX129" s="624"/>
      <c r="AZ129" s="529" t="e">
        <f t="shared" si="66"/>
        <v>#N/A</v>
      </c>
      <c r="BA129" s="624"/>
    </row>
    <row r="130" spans="2:53">
      <c r="B130" s="622"/>
      <c r="C130" s="306">
        <v>19</v>
      </c>
      <c r="D130" s="514"/>
      <c r="E130" s="514"/>
      <c r="F130" s="514"/>
      <c r="G130" s="182"/>
      <c r="H130" s="624"/>
      <c r="I130" s="516" t="str">
        <f t="shared" si="68"/>
        <v>-</v>
      </c>
      <c r="J130" s="516" t="str">
        <f t="shared" si="69"/>
        <v>-</v>
      </c>
      <c r="K130" s="200" t="str">
        <f t="shared" si="70"/>
        <v>-</v>
      </c>
      <c r="L130" s="596"/>
      <c r="M130" s="199" t="e">
        <f>RANK(K130, K$112:$K$141)</f>
        <v>#VALUE!</v>
      </c>
      <c r="N130" s="614"/>
      <c r="O130" s="614"/>
      <c r="P130" s="182"/>
      <c r="Q130" s="182"/>
      <c r="R130" s="182"/>
      <c r="S130" s="331" t="e">
        <f t="shared" si="71"/>
        <v>#N/A</v>
      </c>
      <c r="T130" s="624"/>
      <c r="U130" s="182"/>
      <c r="V130" s="182"/>
      <c r="W130" s="182"/>
      <c r="X130" s="442" t="e">
        <f t="shared" si="72"/>
        <v>#N/A</v>
      </c>
      <c r="Y130" s="624"/>
      <c r="Z130" s="182"/>
      <c r="AA130" s="182"/>
      <c r="AB130" s="182"/>
      <c r="AC130" s="442" t="e">
        <f t="shared" si="73"/>
        <v>#N/A</v>
      </c>
      <c r="AD130" s="624"/>
      <c r="AE130" s="182"/>
      <c r="AF130" s="182"/>
      <c r="AG130" s="182"/>
      <c r="AH130" s="442" t="e">
        <f t="shared" si="74"/>
        <v>#N/A</v>
      </c>
      <c r="AI130" s="624"/>
      <c r="AJ130" s="182"/>
      <c r="AK130" s="182"/>
      <c r="AL130" s="182"/>
      <c r="AM130" s="442" t="e">
        <f t="shared" si="75"/>
        <v>#N/A</v>
      </c>
      <c r="AN130" s="624"/>
      <c r="AO130" s="182"/>
      <c r="AP130" s="182"/>
      <c r="AQ130" s="182"/>
      <c r="AR130" s="442" t="e">
        <f t="shared" si="76"/>
        <v>#N/A</v>
      </c>
      <c r="AS130" s="624"/>
      <c r="AT130" s="182"/>
      <c r="AU130" s="182"/>
      <c r="AV130" s="182"/>
      <c r="AW130" s="442" t="e">
        <f t="shared" si="77"/>
        <v>#N/A</v>
      </c>
      <c r="AX130" s="624"/>
      <c r="AZ130" s="529" t="e">
        <f t="shared" si="66"/>
        <v>#N/A</v>
      </c>
      <c r="BA130" s="624"/>
    </row>
    <row r="131" spans="2:53">
      <c r="B131" s="622"/>
      <c r="C131" s="306">
        <v>20</v>
      </c>
      <c r="D131" s="514"/>
      <c r="E131" s="514"/>
      <c r="F131" s="514"/>
      <c r="G131" s="182"/>
      <c r="H131" s="624"/>
      <c r="I131" s="516" t="str">
        <f t="shared" si="68"/>
        <v>-</v>
      </c>
      <c r="J131" s="516" t="str">
        <f t="shared" si="69"/>
        <v>-</v>
      </c>
      <c r="K131" s="200" t="str">
        <f t="shared" si="70"/>
        <v>-</v>
      </c>
      <c r="L131" s="596"/>
      <c r="M131" s="199" t="e">
        <f>RANK(K131, K$112:$K$141)</f>
        <v>#VALUE!</v>
      </c>
      <c r="N131" s="614"/>
      <c r="O131" s="614"/>
      <c r="P131" s="182"/>
      <c r="Q131" s="182"/>
      <c r="R131" s="182"/>
      <c r="S131" s="331" t="e">
        <f t="shared" si="71"/>
        <v>#N/A</v>
      </c>
      <c r="T131" s="624"/>
      <c r="U131" s="182"/>
      <c r="V131" s="182"/>
      <c r="W131" s="182"/>
      <c r="X131" s="442" t="e">
        <f t="shared" si="72"/>
        <v>#N/A</v>
      </c>
      <c r="Y131" s="624"/>
      <c r="Z131" s="182"/>
      <c r="AA131" s="182"/>
      <c r="AB131" s="182"/>
      <c r="AC131" s="442" t="e">
        <f t="shared" si="73"/>
        <v>#N/A</v>
      </c>
      <c r="AD131" s="624"/>
      <c r="AE131" s="182"/>
      <c r="AF131" s="182"/>
      <c r="AG131" s="182"/>
      <c r="AH131" s="442" t="e">
        <f t="shared" si="74"/>
        <v>#N/A</v>
      </c>
      <c r="AI131" s="624"/>
      <c r="AJ131" s="182"/>
      <c r="AK131" s="182"/>
      <c r="AL131" s="182"/>
      <c r="AM131" s="442" t="e">
        <f t="shared" si="75"/>
        <v>#N/A</v>
      </c>
      <c r="AN131" s="624"/>
      <c r="AO131" s="182"/>
      <c r="AP131" s="182"/>
      <c r="AQ131" s="182"/>
      <c r="AR131" s="442" t="e">
        <f t="shared" si="76"/>
        <v>#N/A</v>
      </c>
      <c r="AS131" s="624"/>
      <c r="AT131" s="182"/>
      <c r="AU131" s="182"/>
      <c r="AV131" s="182"/>
      <c r="AW131" s="442" t="e">
        <f t="shared" si="77"/>
        <v>#N/A</v>
      </c>
      <c r="AX131" s="624"/>
      <c r="AZ131" s="529" t="e">
        <f t="shared" si="66"/>
        <v>#N/A</v>
      </c>
      <c r="BA131" s="624"/>
    </row>
    <row r="132" spans="2:53">
      <c r="B132" s="622"/>
      <c r="C132" s="306">
        <v>21</v>
      </c>
      <c r="D132" s="519"/>
      <c r="E132" s="514"/>
      <c r="F132" s="514"/>
      <c r="G132" s="182"/>
      <c r="H132" s="624"/>
      <c r="I132" s="516" t="str">
        <f t="shared" si="68"/>
        <v>-</v>
      </c>
      <c r="J132" s="516" t="str">
        <f t="shared" si="69"/>
        <v>-</v>
      </c>
      <c r="K132" s="200" t="str">
        <f t="shared" si="70"/>
        <v>-</v>
      </c>
      <c r="L132" s="596"/>
      <c r="M132" s="199" t="e">
        <f>RANK(K132, K$112:$K$141)</f>
        <v>#VALUE!</v>
      </c>
      <c r="N132" s="614"/>
      <c r="O132" s="614"/>
      <c r="P132" s="182"/>
      <c r="Q132" s="182"/>
      <c r="R132" s="182"/>
      <c r="S132" s="331" t="e">
        <f t="shared" si="71"/>
        <v>#N/A</v>
      </c>
      <c r="T132" s="624"/>
      <c r="U132" s="182"/>
      <c r="V132" s="182"/>
      <c r="W132" s="182"/>
      <c r="X132" s="442" t="e">
        <f t="shared" si="72"/>
        <v>#N/A</v>
      </c>
      <c r="Y132" s="624"/>
      <c r="Z132" s="182"/>
      <c r="AA132" s="182"/>
      <c r="AB132" s="182"/>
      <c r="AC132" s="442" t="e">
        <f t="shared" si="73"/>
        <v>#N/A</v>
      </c>
      <c r="AD132" s="624"/>
      <c r="AE132" s="182"/>
      <c r="AF132" s="182"/>
      <c r="AG132" s="182"/>
      <c r="AH132" s="442" t="e">
        <f t="shared" si="74"/>
        <v>#N/A</v>
      </c>
      <c r="AI132" s="624"/>
      <c r="AJ132" s="182"/>
      <c r="AK132" s="182"/>
      <c r="AL132" s="182"/>
      <c r="AM132" s="442" t="e">
        <f t="shared" si="75"/>
        <v>#N/A</v>
      </c>
      <c r="AN132" s="624"/>
      <c r="AO132" s="182"/>
      <c r="AP132" s="182"/>
      <c r="AQ132" s="182"/>
      <c r="AR132" s="442" t="e">
        <f t="shared" si="76"/>
        <v>#N/A</v>
      </c>
      <c r="AS132" s="624"/>
      <c r="AT132" s="182"/>
      <c r="AU132" s="182"/>
      <c r="AV132" s="182"/>
      <c r="AW132" s="442" t="e">
        <f t="shared" si="77"/>
        <v>#N/A</v>
      </c>
      <c r="AX132" s="624"/>
      <c r="AZ132" s="529" t="e">
        <f t="shared" si="66"/>
        <v>#N/A</v>
      </c>
      <c r="BA132" s="624"/>
    </row>
    <row r="133" spans="2:53">
      <c r="B133" s="622"/>
      <c r="C133" s="306">
        <v>22</v>
      </c>
      <c r="D133" s="514"/>
      <c r="E133" s="514"/>
      <c r="F133" s="514"/>
      <c r="G133" s="514"/>
      <c r="H133" s="624"/>
      <c r="I133" s="516" t="str">
        <f t="shared" si="68"/>
        <v>-</v>
      </c>
      <c r="J133" s="516" t="str">
        <f t="shared" si="69"/>
        <v>-</v>
      </c>
      <c r="K133" s="200" t="str">
        <f t="shared" si="70"/>
        <v>-</v>
      </c>
      <c r="L133" s="596"/>
      <c r="M133" s="199" t="e">
        <f>RANK(K133, K$112:$K$141)</f>
        <v>#VALUE!</v>
      </c>
      <c r="N133" s="614"/>
      <c r="O133" s="614"/>
      <c r="P133" s="182"/>
      <c r="Q133" s="182"/>
      <c r="R133" s="182"/>
      <c r="S133" s="331" t="e">
        <f t="shared" si="71"/>
        <v>#N/A</v>
      </c>
      <c r="T133" s="624"/>
      <c r="U133" s="182"/>
      <c r="V133" s="182"/>
      <c r="W133" s="182"/>
      <c r="X133" s="442" t="e">
        <f t="shared" si="72"/>
        <v>#N/A</v>
      </c>
      <c r="Y133" s="624"/>
      <c r="Z133" s="182"/>
      <c r="AA133" s="182"/>
      <c r="AB133" s="182"/>
      <c r="AC133" s="442" t="e">
        <f t="shared" si="73"/>
        <v>#N/A</v>
      </c>
      <c r="AD133" s="624"/>
      <c r="AE133" s="182"/>
      <c r="AF133" s="182"/>
      <c r="AG133" s="182"/>
      <c r="AH133" s="442" t="e">
        <f t="shared" si="74"/>
        <v>#N/A</v>
      </c>
      <c r="AI133" s="624"/>
      <c r="AJ133" s="182"/>
      <c r="AK133" s="182"/>
      <c r="AL133" s="182"/>
      <c r="AM133" s="442" t="e">
        <f t="shared" si="75"/>
        <v>#N/A</v>
      </c>
      <c r="AN133" s="624"/>
      <c r="AO133" s="182"/>
      <c r="AP133" s="182"/>
      <c r="AQ133" s="182"/>
      <c r="AR133" s="442" t="e">
        <f t="shared" si="76"/>
        <v>#N/A</v>
      </c>
      <c r="AS133" s="624"/>
      <c r="AT133" s="182"/>
      <c r="AU133" s="182"/>
      <c r="AV133" s="182"/>
      <c r="AW133" s="442" t="e">
        <f t="shared" si="77"/>
        <v>#N/A</v>
      </c>
      <c r="AX133" s="624"/>
      <c r="AZ133" s="529" t="e">
        <f t="shared" si="66"/>
        <v>#N/A</v>
      </c>
      <c r="BA133" s="624"/>
    </row>
    <row r="134" spans="2:53">
      <c r="B134" s="622"/>
      <c r="C134" s="306">
        <v>23</v>
      </c>
      <c r="D134" s="514"/>
      <c r="E134" s="514"/>
      <c r="F134" s="514"/>
      <c r="G134" s="514"/>
      <c r="H134" s="624"/>
      <c r="I134" s="516" t="str">
        <f t="shared" si="68"/>
        <v>-</v>
      </c>
      <c r="J134" s="516" t="str">
        <f t="shared" si="69"/>
        <v>-</v>
      </c>
      <c r="K134" s="200" t="str">
        <f t="shared" si="70"/>
        <v>-</v>
      </c>
      <c r="L134" s="596"/>
      <c r="M134" s="199" t="e">
        <f>RANK(K134, K$112:$K$141)</f>
        <v>#VALUE!</v>
      </c>
      <c r="N134" s="614"/>
      <c r="O134" s="614"/>
      <c r="P134" s="514"/>
      <c r="Q134" s="514"/>
      <c r="R134" s="515"/>
      <c r="S134" s="331" t="e">
        <f t="shared" si="71"/>
        <v>#N/A</v>
      </c>
      <c r="T134" s="624"/>
      <c r="U134" s="514"/>
      <c r="V134" s="514"/>
      <c r="W134" s="515"/>
      <c r="X134" s="442" t="e">
        <f t="shared" si="72"/>
        <v>#N/A</v>
      </c>
      <c r="Y134" s="624"/>
      <c r="Z134" s="514"/>
      <c r="AA134" s="514"/>
      <c r="AB134" s="515"/>
      <c r="AC134" s="442" t="e">
        <f t="shared" si="73"/>
        <v>#N/A</v>
      </c>
      <c r="AD134" s="624"/>
      <c r="AE134" s="514"/>
      <c r="AF134" s="514"/>
      <c r="AG134" s="515"/>
      <c r="AH134" s="442" t="e">
        <f t="shared" si="74"/>
        <v>#N/A</v>
      </c>
      <c r="AI134" s="624"/>
      <c r="AJ134" s="514"/>
      <c r="AK134" s="514"/>
      <c r="AL134" s="515"/>
      <c r="AM134" s="442" t="e">
        <f t="shared" si="75"/>
        <v>#N/A</v>
      </c>
      <c r="AN134" s="624"/>
      <c r="AO134" s="514"/>
      <c r="AP134" s="514"/>
      <c r="AQ134" s="515"/>
      <c r="AR134" s="442" t="e">
        <f t="shared" si="76"/>
        <v>#N/A</v>
      </c>
      <c r="AS134" s="624"/>
      <c r="AT134" s="514"/>
      <c r="AU134" s="514"/>
      <c r="AV134" s="515"/>
      <c r="AW134" s="442" t="e">
        <f t="shared" si="77"/>
        <v>#N/A</v>
      </c>
      <c r="AX134" s="624"/>
      <c r="AZ134" s="529" t="e">
        <f t="shared" si="66"/>
        <v>#N/A</v>
      </c>
      <c r="BA134" s="624"/>
    </row>
    <row r="135" spans="2:53">
      <c r="B135" s="622"/>
      <c r="C135" s="306">
        <v>24</v>
      </c>
      <c r="D135" s="514"/>
      <c r="E135" s="514"/>
      <c r="F135" s="514"/>
      <c r="G135" s="514"/>
      <c r="H135" s="624"/>
      <c r="I135" s="516" t="str">
        <f t="shared" si="68"/>
        <v>-</v>
      </c>
      <c r="J135" s="516" t="str">
        <f t="shared" si="69"/>
        <v>-</v>
      </c>
      <c r="K135" s="200" t="str">
        <f t="shared" si="70"/>
        <v>-</v>
      </c>
      <c r="L135" s="596"/>
      <c r="M135" s="199" t="e">
        <f>RANK(K135, K$112:$K$141)</f>
        <v>#VALUE!</v>
      </c>
      <c r="N135" s="614"/>
      <c r="O135" s="614"/>
      <c r="P135" s="514"/>
      <c r="Q135" s="514"/>
      <c r="R135" s="514"/>
      <c r="S135" s="331" t="e">
        <f t="shared" si="71"/>
        <v>#N/A</v>
      </c>
      <c r="T135" s="624"/>
      <c r="U135" s="514"/>
      <c r="V135" s="514"/>
      <c r="W135" s="514"/>
      <c r="X135" s="442" t="e">
        <f t="shared" si="72"/>
        <v>#N/A</v>
      </c>
      <c r="Y135" s="624"/>
      <c r="Z135" s="514"/>
      <c r="AA135" s="514"/>
      <c r="AB135" s="514"/>
      <c r="AC135" s="442" t="e">
        <f t="shared" si="73"/>
        <v>#N/A</v>
      </c>
      <c r="AD135" s="624"/>
      <c r="AE135" s="514"/>
      <c r="AF135" s="514"/>
      <c r="AG135" s="514"/>
      <c r="AH135" s="442" t="e">
        <f t="shared" si="74"/>
        <v>#N/A</v>
      </c>
      <c r="AI135" s="624"/>
      <c r="AJ135" s="514"/>
      <c r="AK135" s="514"/>
      <c r="AL135" s="514"/>
      <c r="AM135" s="442" t="e">
        <f t="shared" si="75"/>
        <v>#N/A</v>
      </c>
      <c r="AN135" s="624"/>
      <c r="AO135" s="514"/>
      <c r="AP135" s="514"/>
      <c r="AQ135" s="514"/>
      <c r="AR135" s="442" t="e">
        <f t="shared" si="76"/>
        <v>#N/A</v>
      </c>
      <c r="AS135" s="624"/>
      <c r="AT135" s="514"/>
      <c r="AU135" s="514"/>
      <c r="AV135" s="514"/>
      <c r="AW135" s="442" t="e">
        <f t="shared" si="77"/>
        <v>#N/A</v>
      </c>
      <c r="AX135" s="624"/>
      <c r="AZ135" s="529" t="e">
        <f t="shared" si="66"/>
        <v>#N/A</v>
      </c>
      <c r="BA135" s="624"/>
    </row>
    <row r="136" spans="2:53">
      <c r="B136" s="622"/>
      <c r="C136" s="306">
        <v>25</v>
      </c>
      <c r="D136" s="514"/>
      <c r="E136" s="514"/>
      <c r="F136" s="514"/>
      <c r="G136" s="514"/>
      <c r="H136" s="624"/>
      <c r="I136" s="516" t="str">
        <f t="shared" si="68"/>
        <v>-</v>
      </c>
      <c r="J136" s="516" t="str">
        <f t="shared" si="69"/>
        <v>-</v>
      </c>
      <c r="K136" s="200" t="str">
        <f t="shared" si="70"/>
        <v>-</v>
      </c>
      <c r="L136" s="596"/>
      <c r="M136" s="199" t="e">
        <f>RANK(K136, K$112:$K$141)</f>
        <v>#VALUE!</v>
      </c>
      <c r="N136" s="614"/>
      <c r="O136" s="614"/>
      <c r="P136" s="514"/>
      <c r="Q136" s="514"/>
      <c r="R136" s="514"/>
      <c r="S136" s="331" t="e">
        <f t="shared" si="71"/>
        <v>#N/A</v>
      </c>
      <c r="T136" s="624"/>
      <c r="U136" s="514"/>
      <c r="V136" s="514"/>
      <c r="W136" s="514"/>
      <c r="X136" s="442" t="e">
        <f t="shared" si="72"/>
        <v>#N/A</v>
      </c>
      <c r="Y136" s="624"/>
      <c r="Z136" s="514"/>
      <c r="AA136" s="514"/>
      <c r="AB136" s="514"/>
      <c r="AC136" s="442" t="e">
        <f t="shared" si="73"/>
        <v>#N/A</v>
      </c>
      <c r="AD136" s="624"/>
      <c r="AE136" s="514"/>
      <c r="AF136" s="514"/>
      <c r="AG136" s="514"/>
      <c r="AH136" s="442" t="e">
        <f t="shared" si="74"/>
        <v>#N/A</v>
      </c>
      <c r="AI136" s="624"/>
      <c r="AJ136" s="514"/>
      <c r="AK136" s="514"/>
      <c r="AL136" s="514"/>
      <c r="AM136" s="442" t="e">
        <f t="shared" si="75"/>
        <v>#N/A</v>
      </c>
      <c r="AN136" s="624"/>
      <c r="AO136" s="514"/>
      <c r="AP136" s="514"/>
      <c r="AQ136" s="514"/>
      <c r="AR136" s="442" t="e">
        <f t="shared" si="76"/>
        <v>#N/A</v>
      </c>
      <c r="AS136" s="624"/>
      <c r="AT136" s="514"/>
      <c r="AU136" s="514"/>
      <c r="AV136" s="514"/>
      <c r="AW136" s="442" t="e">
        <f t="shared" si="77"/>
        <v>#N/A</v>
      </c>
      <c r="AX136" s="624"/>
      <c r="AZ136" s="529" t="e">
        <f t="shared" si="66"/>
        <v>#N/A</v>
      </c>
      <c r="BA136" s="624"/>
    </row>
    <row r="137" spans="2:53">
      <c r="B137" s="622"/>
      <c r="C137" s="306">
        <v>26</v>
      </c>
      <c r="D137" s="514"/>
      <c r="E137" s="514"/>
      <c r="F137" s="514"/>
      <c r="G137" s="514"/>
      <c r="H137" s="624"/>
      <c r="I137" s="516" t="str">
        <f t="shared" si="68"/>
        <v>-</v>
      </c>
      <c r="J137" s="516" t="str">
        <f t="shared" si="69"/>
        <v>-</v>
      </c>
      <c r="K137" s="200" t="str">
        <f t="shared" si="70"/>
        <v>-</v>
      </c>
      <c r="L137" s="596"/>
      <c r="M137" s="199" t="e">
        <f>RANK(K137, K$112:$K$141)</f>
        <v>#VALUE!</v>
      </c>
      <c r="N137" s="614"/>
      <c r="O137" s="614"/>
      <c r="P137" s="514"/>
      <c r="Q137" s="514"/>
      <c r="R137" s="514"/>
      <c r="S137" s="331" t="e">
        <f t="shared" si="71"/>
        <v>#N/A</v>
      </c>
      <c r="T137" s="624"/>
      <c r="U137" s="514"/>
      <c r="V137" s="514"/>
      <c r="W137" s="514"/>
      <c r="X137" s="442" t="e">
        <f t="shared" si="72"/>
        <v>#N/A</v>
      </c>
      <c r="Y137" s="624"/>
      <c r="Z137" s="514"/>
      <c r="AA137" s="514"/>
      <c r="AB137" s="514"/>
      <c r="AC137" s="442" t="e">
        <f t="shared" si="73"/>
        <v>#N/A</v>
      </c>
      <c r="AD137" s="624"/>
      <c r="AE137" s="514"/>
      <c r="AF137" s="514"/>
      <c r="AG137" s="514"/>
      <c r="AH137" s="442" t="e">
        <f t="shared" si="74"/>
        <v>#N/A</v>
      </c>
      <c r="AI137" s="624"/>
      <c r="AJ137" s="514"/>
      <c r="AK137" s="514"/>
      <c r="AL137" s="514"/>
      <c r="AM137" s="442" t="e">
        <f t="shared" si="75"/>
        <v>#N/A</v>
      </c>
      <c r="AN137" s="624"/>
      <c r="AO137" s="514"/>
      <c r="AP137" s="514"/>
      <c r="AQ137" s="514"/>
      <c r="AR137" s="442" t="e">
        <f t="shared" si="76"/>
        <v>#N/A</v>
      </c>
      <c r="AS137" s="624"/>
      <c r="AT137" s="514"/>
      <c r="AU137" s="514"/>
      <c r="AV137" s="514"/>
      <c r="AW137" s="442" t="e">
        <f t="shared" si="77"/>
        <v>#N/A</v>
      </c>
      <c r="AX137" s="624"/>
      <c r="AZ137" s="529" t="e">
        <f t="shared" si="66"/>
        <v>#N/A</v>
      </c>
      <c r="BA137" s="624"/>
    </row>
    <row r="138" spans="2:53">
      <c r="B138" s="622"/>
      <c r="C138" s="306">
        <v>27</v>
      </c>
      <c r="D138" s="514"/>
      <c r="E138" s="514"/>
      <c r="F138" s="514"/>
      <c r="G138" s="514"/>
      <c r="H138" s="624"/>
      <c r="I138" s="516" t="str">
        <f t="shared" si="68"/>
        <v>-</v>
      </c>
      <c r="J138" s="516" t="str">
        <f t="shared" si="69"/>
        <v>-</v>
      </c>
      <c r="K138" s="200" t="str">
        <f t="shared" si="70"/>
        <v>-</v>
      </c>
      <c r="L138" s="596"/>
      <c r="M138" s="199" t="e">
        <f>RANK(K138, K$112:$K$141)</f>
        <v>#VALUE!</v>
      </c>
      <c r="N138" s="614"/>
      <c r="O138" s="614"/>
      <c r="P138" s="514"/>
      <c r="Q138" s="514"/>
      <c r="R138" s="514"/>
      <c r="S138" s="331" t="e">
        <f t="shared" si="71"/>
        <v>#N/A</v>
      </c>
      <c r="T138" s="624"/>
      <c r="U138" s="514"/>
      <c r="V138" s="514"/>
      <c r="W138" s="514"/>
      <c r="X138" s="442" t="e">
        <f t="shared" si="72"/>
        <v>#N/A</v>
      </c>
      <c r="Y138" s="624"/>
      <c r="Z138" s="514"/>
      <c r="AA138" s="514"/>
      <c r="AB138" s="514"/>
      <c r="AC138" s="442" t="e">
        <f t="shared" si="73"/>
        <v>#N/A</v>
      </c>
      <c r="AD138" s="624"/>
      <c r="AE138" s="514"/>
      <c r="AF138" s="514"/>
      <c r="AG138" s="514"/>
      <c r="AH138" s="442" t="e">
        <f t="shared" si="74"/>
        <v>#N/A</v>
      </c>
      <c r="AI138" s="624"/>
      <c r="AJ138" s="514"/>
      <c r="AK138" s="514"/>
      <c r="AL138" s="514"/>
      <c r="AM138" s="442" t="e">
        <f t="shared" si="75"/>
        <v>#N/A</v>
      </c>
      <c r="AN138" s="624"/>
      <c r="AO138" s="514"/>
      <c r="AP138" s="514"/>
      <c r="AQ138" s="514"/>
      <c r="AR138" s="442" t="e">
        <f t="shared" si="76"/>
        <v>#N/A</v>
      </c>
      <c r="AS138" s="624"/>
      <c r="AT138" s="514"/>
      <c r="AU138" s="514"/>
      <c r="AV138" s="514"/>
      <c r="AW138" s="442" t="e">
        <f t="shared" si="77"/>
        <v>#N/A</v>
      </c>
      <c r="AX138" s="624"/>
      <c r="AZ138" s="529" t="e">
        <f t="shared" si="66"/>
        <v>#N/A</v>
      </c>
      <c r="BA138" s="624"/>
    </row>
    <row r="139" spans="2:53">
      <c r="B139" s="622"/>
      <c r="C139" s="306">
        <v>28</v>
      </c>
      <c r="D139" s="514"/>
      <c r="E139" s="514"/>
      <c r="F139" s="514"/>
      <c r="G139" s="514"/>
      <c r="H139" s="624"/>
      <c r="I139" s="516" t="str">
        <f t="shared" si="68"/>
        <v>-</v>
      </c>
      <c r="J139" s="516" t="str">
        <f t="shared" si="69"/>
        <v>-</v>
      </c>
      <c r="K139" s="200" t="str">
        <f t="shared" si="70"/>
        <v>-</v>
      </c>
      <c r="L139" s="596"/>
      <c r="M139" s="199" t="e">
        <f>RANK(K139, K$112:$K$141)</f>
        <v>#VALUE!</v>
      </c>
      <c r="N139" s="614"/>
      <c r="O139" s="614"/>
      <c r="P139" s="514"/>
      <c r="Q139" s="514"/>
      <c r="R139" s="514"/>
      <c r="S139" s="331" t="e">
        <f t="shared" si="71"/>
        <v>#N/A</v>
      </c>
      <c r="T139" s="624"/>
      <c r="U139" s="514"/>
      <c r="V139" s="514"/>
      <c r="W139" s="514"/>
      <c r="X139" s="442" t="e">
        <f t="shared" si="72"/>
        <v>#N/A</v>
      </c>
      <c r="Y139" s="624"/>
      <c r="Z139" s="514"/>
      <c r="AA139" s="514"/>
      <c r="AB139" s="514"/>
      <c r="AC139" s="442" t="e">
        <f t="shared" si="73"/>
        <v>#N/A</v>
      </c>
      <c r="AD139" s="624"/>
      <c r="AE139" s="514"/>
      <c r="AF139" s="514"/>
      <c r="AG139" s="514"/>
      <c r="AH139" s="442" t="e">
        <f t="shared" si="74"/>
        <v>#N/A</v>
      </c>
      <c r="AI139" s="624"/>
      <c r="AJ139" s="514"/>
      <c r="AK139" s="514"/>
      <c r="AL139" s="514"/>
      <c r="AM139" s="442" t="e">
        <f t="shared" si="75"/>
        <v>#N/A</v>
      </c>
      <c r="AN139" s="624"/>
      <c r="AO139" s="514"/>
      <c r="AP139" s="514"/>
      <c r="AQ139" s="514"/>
      <c r="AR139" s="442" t="e">
        <f t="shared" si="76"/>
        <v>#N/A</v>
      </c>
      <c r="AS139" s="624"/>
      <c r="AT139" s="514"/>
      <c r="AU139" s="514"/>
      <c r="AV139" s="514"/>
      <c r="AW139" s="442" t="e">
        <f t="shared" si="77"/>
        <v>#N/A</v>
      </c>
      <c r="AX139" s="624"/>
      <c r="AZ139" s="529" t="e">
        <f t="shared" si="66"/>
        <v>#N/A</v>
      </c>
      <c r="BA139" s="624"/>
    </row>
    <row r="140" spans="2:53">
      <c r="B140" s="622"/>
      <c r="C140" s="306">
        <v>29</v>
      </c>
      <c r="D140" s="514"/>
      <c r="E140" s="514"/>
      <c r="F140" s="514"/>
      <c r="G140" s="514"/>
      <c r="H140" s="624"/>
      <c r="I140" s="516" t="str">
        <f t="shared" si="68"/>
        <v>-</v>
      </c>
      <c r="J140" s="516" t="str">
        <f t="shared" si="69"/>
        <v>-</v>
      </c>
      <c r="K140" s="200" t="str">
        <f t="shared" si="70"/>
        <v>-</v>
      </c>
      <c r="L140" s="596"/>
      <c r="M140" s="199" t="e">
        <f>RANK(K140, K$112:$K$141)</f>
        <v>#VALUE!</v>
      </c>
      <c r="N140" s="614"/>
      <c r="O140" s="614"/>
      <c r="P140" s="514"/>
      <c r="Q140" s="514"/>
      <c r="R140" s="514"/>
      <c r="S140" s="331" t="e">
        <f t="shared" si="71"/>
        <v>#N/A</v>
      </c>
      <c r="T140" s="624"/>
      <c r="U140" s="514"/>
      <c r="V140" s="514"/>
      <c r="W140" s="514"/>
      <c r="X140" s="442" t="e">
        <f t="shared" si="72"/>
        <v>#N/A</v>
      </c>
      <c r="Y140" s="624"/>
      <c r="Z140" s="514"/>
      <c r="AA140" s="514"/>
      <c r="AB140" s="514"/>
      <c r="AC140" s="442" t="e">
        <f t="shared" si="73"/>
        <v>#N/A</v>
      </c>
      <c r="AD140" s="624"/>
      <c r="AE140" s="514"/>
      <c r="AF140" s="514"/>
      <c r="AG140" s="514"/>
      <c r="AH140" s="442" t="e">
        <f t="shared" si="74"/>
        <v>#N/A</v>
      </c>
      <c r="AI140" s="624"/>
      <c r="AJ140" s="514"/>
      <c r="AK140" s="514"/>
      <c r="AL140" s="514"/>
      <c r="AM140" s="442" t="e">
        <f t="shared" si="75"/>
        <v>#N/A</v>
      </c>
      <c r="AN140" s="624"/>
      <c r="AO140" s="514"/>
      <c r="AP140" s="514"/>
      <c r="AQ140" s="514"/>
      <c r="AR140" s="442" t="e">
        <f t="shared" si="76"/>
        <v>#N/A</v>
      </c>
      <c r="AS140" s="624"/>
      <c r="AT140" s="514"/>
      <c r="AU140" s="514"/>
      <c r="AV140" s="514"/>
      <c r="AW140" s="442" t="e">
        <f t="shared" si="77"/>
        <v>#N/A</v>
      </c>
      <c r="AX140" s="624"/>
      <c r="AZ140" s="529" t="e">
        <f t="shared" si="66"/>
        <v>#N/A</v>
      </c>
      <c r="BA140" s="624"/>
    </row>
    <row r="141" spans="2:53">
      <c r="B141" s="622"/>
      <c r="C141" s="306">
        <v>30</v>
      </c>
      <c r="D141" s="514"/>
      <c r="E141" s="514"/>
      <c r="F141" s="514"/>
      <c r="G141" s="514"/>
      <c r="H141" s="625"/>
      <c r="I141" s="516" t="str">
        <f t="shared" si="68"/>
        <v>-</v>
      </c>
      <c r="J141" s="516" t="str">
        <f t="shared" si="69"/>
        <v>-</v>
      </c>
      <c r="K141" s="200" t="str">
        <f t="shared" si="70"/>
        <v>-</v>
      </c>
      <c r="L141" s="597"/>
      <c r="M141" s="199" t="e">
        <f>RANK(K141, K$112:$K$141)</f>
        <v>#VALUE!</v>
      </c>
      <c r="N141" s="614"/>
      <c r="O141" s="614"/>
      <c r="P141" s="514"/>
      <c r="Q141" s="514"/>
      <c r="R141" s="514"/>
      <c r="S141" s="331" t="e">
        <f t="shared" si="71"/>
        <v>#N/A</v>
      </c>
      <c r="T141" s="625"/>
      <c r="U141" s="514"/>
      <c r="V141" s="514"/>
      <c r="W141" s="514"/>
      <c r="X141" s="442" t="e">
        <f t="shared" si="72"/>
        <v>#N/A</v>
      </c>
      <c r="Y141" s="625"/>
      <c r="Z141" s="514"/>
      <c r="AA141" s="514"/>
      <c r="AB141" s="514"/>
      <c r="AC141" s="442" t="e">
        <f t="shared" si="73"/>
        <v>#N/A</v>
      </c>
      <c r="AD141" s="625"/>
      <c r="AE141" s="514"/>
      <c r="AF141" s="514"/>
      <c r="AG141" s="514"/>
      <c r="AH141" s="442" t="e">
        <f t="shared" si="74"/>
        <v>#N/A</v>
      </c>
      <c r="AI141" s="625"/>
      <c r="AJ141" s="514"/>
      <c r="AK141" s="514"/>
      <c r="AL141" s="514"/>
      <c r="AM141" s="442" t="e">
        <f t="shared" si="75"/>
        <v>#N/A</v>
      </c>
      <c r="AN141" s="625"/>
      <c r="AO141" s="514"/>
      <c r="AP141" s="514"/>
      <c r="AQ141" s="514"/>
      <c r="AR141" s="442" t="e">
        <f t="shared" si="76"/>
        <v>#N/A</v>
      </c>
      <c r="AS141" s="625"/>
      <c r="AT141" s="514"/>
      <c r="AU141" s="514"/>
      <c r="AV141" s="514"/>
      <c r="AW141" s="442" t="e">
        <f t="shared" si="77"/>
        <v>#N/A</v>
      </c>
      <c r="AX141" s="625"/>
      <c r="AZ141" s="529" t="e">
        <f t="shared" si="66"/>
        <v>#N/A</v>
      </c>
      <c r="BA141" s="625"/>
    </row>
    <row r="142" spans="2:53" ht="15.75">
      <c r="B142" s="626" t="s">
        <v>163</v>
      </c>
      <c r="C142" s="627"/>
      <c r="D142" s="627"/>
      <c r="E142" s="627"/>
      <c r="F142" s="627"/>
      <c r="G142" s="627"/>
      <c r="H142" s="628"/>
      <c r="I142" s="208"/>
      <c r="J142" s="208"/>
      <c r="K142" s="208"/>
      <c r="L142" s="208"/>
      <c r="M142" s="207"/>
      <c r="N142" s="615" t="s">
        <v>156</v>
      </c>
      <c r="O142" s="615" t="s">
        <v>155</v>
      </c>
      <c r="P142" s="621">
        <f>P107+7</f>
        <v>46140</v>
      </c>
      <c r="Q142" s="622"/>
      <c r="R142" s="622"/>
      <c r="S142" s="622"/>
      <c r="T142" s="622"/>
      <c r="U142" s="618">
        <f>P142+1</f>
        <v>46141</v>
      </c>
      <c r="V142" s="619"/>
      <c r="W142" s="619"/>
      <c r="X142" s="619"/>
      <c r="Y142" s="620"/>
      <c r="Z142" s="618">
        <f>U142+1</f>
        <v>46142</v>
      </c>
      <c r="AA142" s="619"/>
      <c r="AB142" s="619"/>
      <c r="AC142" s="619"/>
      <c r="AD142" s="620"/>
      <c r="AE142" s="618">
        <f>Z142+1</f>
        <v>46143</v>
      </c>
      <c r="AF142" s="619"/>
      <c r="AG142" s="619"/>
      <c r="AH142" s="619"/>
      <c r="AI142" s="620"/>
      <c r="AJ142" s="618">
        <f>AE142+1</f>
        <v>46144</v>
      </c>
      <c r="AK142" s="619"/>
      <c r="AL142" s="619"/>
      <c r="AM142" s="619"/>
      <c r="AN142" s="620"/>
      <c r="AO142" s="618">
        <f>AJ142+1</f>
        <v>46145</v>
      </c>
      <c r="AP142" s="619"/>
      <c r="AQ142" s="619"/>
      <c r="AR142" s="619"/>
      <c r="AS142" s="620"/>
      <c r="AT142" s="618">
        <f>AO142+1</f>
        <v>46146</v>
      </c>
      <c r="AU142" s="619"/>
      <c r="AV142" s="619"/>
      <c r="AW142" s="619"/>
      <c r="AX142" s="620"/>
    </row>
    <row r="143" spans="2:53" ht="15.75">
      <c r="B143" s="629"/>
      <c r="C143" s="629"/>
      <c r="D143" s="629"/>
      <c r="E143" s="629"/>
      <c r="F143" s="629"/>
      <c r="G143" s="629"/>
      <c r="H143" s="629"/>
      <c r="I143" s="205"/>
      <c r="J143" s="205"/>
      <c r="K143" s="205"/>
      <c r="L143" s="205"/>
      <c r="M143" s="206"/>
      <c r="N143" s="617"/>
      <c r="O143" s="617"/>
      <c r="P143" s="621" t="s">
        <v>336</v>
      </c>
      <c r="Q143" s="622"/>
      <c r="R143" s="622"/>
      <c r="S143" s="622"/>
      <c r="T143" s="622"/>
      <c r="U143" s="621" t="s">
        <v>337</v>
      </c>
      <c r="V143" s="622"/>
      <c r="W143" s="622"/>
      <c r="X143" s="622"/>
      <c r="Y143" s="622"/>
      <c r="Z143" s="621" t="s">
        <v>338</v>
      </c>
      <c r="AA143" s="622"/>
      <c r="AB143" s="622"/>
      <c r="AC143" s="622"/>
      <c r="AD143" s="622"/>
      <c r="AE143" s="621" t="s">
        <v>339</v>
      </c>
      <c r="AF143" s="622"/>
      <c r="AG143" s="622"/>
      <c r="AH143" s="622"/>
      <c r="AI143" s="622"/>
      <c r="AJ143" s="621" t="s">
        <v>340</v>
      </c>
      <c r="AK143" s="622"/>
      <c r="AL143" s="622"/>
      <c r="AM143" s="622"/>
      <c r="AN143" s="622"/>
      <c r="AO143" s="621" t="s">
        <v>341</v>
      </c>
      <c r="AP143" s="622"/>
      <c r="AQ143" s="622"/>
      <c r="AR143" s="622"/>
      <c r="AS143" s="622"/>
      <c r="AT143" s="621" t="s">
        <v>342</v>
      </c>
      <c r="AU143" s="622"/>
      <c r="AV143" s="622"/>
      <c r="AW143" s="622"/>
      <c r="AX143" s="622"/>
    </row>
    <row r="144" spans="2:53">
      <c r="B144" s="614" t="s">
        <v>424</v>
      </c>
      <c r="C144" s="614" t="s">
        <v>425</v>
      </c>
      <c r="D144" s="614"/>
      <c r="E144" s="614" t="s">
        <v>426</v>
      </c>
      <c r="F144" s="614"/>
      <c r="G144" s="614"/>
      <c r="H144" s="630" t="s">
        <v>427</v>
      </c>
      <c r="I144" s="598" t="s">
        <v>428</v>
      </c>
      <c r="J144" s="598"/>
      <c r="K144" s="598"/>
      <c r="L144" s="599" t="s">
        <v>427</v>
      </c>
      <c r="M144" s="605" t="s">
        <v>429</v>
      </c>
      <c r="N144" s="614"/>
      <c r="O144" s="614" t="s">
        <v>430</v>
      </c>
      <c r="P144" s="611" t="s">
        <v>431</v>
      </c>
      <c r="Q144" s="612"/>
      <c r="R144" s="612"/>
      <c r="S144" s="613"/>
      <c r="T144" s="614" t="s">
        <v>427</v>
      </c>
      <c r="U144" s="611" t="s">
        <v>431</v>
      </c>
      <c r="V144" s="612"/>
      <c r="W144" s="612"/>
      <c r="X144" s="613"/>
      <c r="Y144" s="614" t="s">
        <v>427</v>
      </c>
      <c r="Z144" s="611" t="s">
        <v>431</v>
      </c>
      <c r="AA144" s="612"/>
      <c r="AB144" s="612"/>
      <c r="AC144" s="613"/>
      <c r="AD144" s="614" t="s">
        <v>427</v>
      </c>
      <c r="AE144" s="611" t="s">
        <v>431</v>
      </c>
      <c r="AF144" s="612"/>
      <c r="AG144" s="612"/>
      <c r="AH144" s="613"/>
      <c r="AI144" s="614" t="s">
        <v>427</v>
      </c>
      <c r="AJ144" s="611" t="s">
        <v>431</v>
      </c>
      <c r="AK144" s="612"/>
      <c r="AL144" s="612"/>
      <c r="AM144" s="613"/>
      <c r="AN144" s="614" t="s">
        <v>427</v>
      </c>
      <c r="AO144" s="611" t="s">
        <v>431</v>
      </c>
      <c r="AP144" s="612"/>
      <c r="AQ144" s="612"/>
      <c r="AR144" s="613"/>
      <c r="AS144" s="614" t="s">
        <v>427</v>
      </c>
      <c r="AT144" s="611" t="s">
        <v>431</v>
      </c>
      <c r="AU144" s="612"/>
      <c r="AV144" s="612"/>
      <c r="AW144" s="613"/>
      <c r="AX144" s="614" t="s">
        <v>427</v>
      </c>
      <c r="BA144" s="614" t="s">
        <v>395</v>
      </c>
    </row>
    <row r="145" spans="2:53">
      <c r="B145" s="614"/>
      <c r="C145" s="614"/>
      <c r="D145" s="614"/>
      <c r="E145" s="614" t="s">
        <v>432</v>
      </c>
      <c r="F145" s="614"/>
      <c r="G145" s="614"/>
      <c r="H145" s="631"/>
      <c r="I145" s="598" t="s">
        <v>432</v>
      </c>
      <c r="J145" s="598"/>
      <c r="K145" s="598"/>
      <c r="L145" s="600"/>
      <c r="M145" s="606"/>
      <c r="N145" s="614"/>
      <c r="O145" s="614"/>
      <c r="P145" s="611" t="s">
        <v>433</v>
      </c>
      <c r="Q145" s="612"/>
      <c r="R145" s="612"/>
      <c r="S145" s="613"/>
      <c r="T145" s="614"/>
      <c r="U145" s="611" t="s">
        <v>433</v>
      </c>
      <c r="V145" s="612"/>
      <c r="W145" s="612"/>
      <c r="X145" s="613"/>
      <c r="Y145" s="614"/>
      <c r="Z145" s="611" t="s">
        <v>433</v>
      </c>
      <c r="AA145" s="612"/>
      <c r="AB145" s="612"/>
      <c r="AC145" s="613"/>
      <c r="AD145" s="614"/>
      <c r="AE145" s="611" t="s">
        <v>433</v>
      </c>
      <c r="AF145" s="612"/>
      <c r="AG145" s="612"/>
      <c r="AH145" s="613"/>
      <c r="AI145" s="614"/>
      <c r="AJ145" s="611" t="s">
        <v>433</v>
      </c>
      <c r="AK145" s="612"/>
      <c r="AL145" s="612"/>
      <c r="AM145" s="613"/>
      <c r="AN145" s="614"/>
      <c r="AO145" s="611" t="s">
        <v>433</v>
      </c>
      <c r="AP145" s="612"/>
      <c r="AQ145" s="612"/>
      <c r="AR145" s="613"/>
      <c r="AS145" s="614"/>
      <c r="AT145" s="611" t="s">
        <v>433</v>
      </c>
      <c r="AU145" s="612"/>
      <c r="AV145" s="612"/>
      <c r="AW145" s="613"/>
      <c r="AX145" s="614"/>
      <c r="BA145" s="614"/>
    </row>
    <row r="146" spans="2:53">
      <c r="B146" s="614"/>
      <c r="C146" s="614"/>
      <c r="D146" s="614"/>
      <c r="E146" s="299" t="s">
        <v>434</v>
      </c>
      <c r="F146" s="299" t="s">
        <v>435</v>
      </c>
      <c r="G146" s="299" t="s">
        <v>436</v>
      </c>
      <c r="H146" s="632"/>
      <c r="I146" s="300" t="s">
        <v>434</v>
      </c>
      <c r="J146" s="300" t="s">
        <v>435</v>
      </c>
      <c r="K146" s="300" t="s">
        <v>436</v>
      </c>
      <c r="L146" s="601"/>
      <c r="M146" s="607"/>
      <c r="N146" s="614"/>
      <c r="O146" s="614"/>
      <c r="P146" s="299" t="s">
        <v>434</v>
      </c>
      <c r="Q146" s="299" t="s">
        <v>435</v>
      </c>
      <c r="R146" s="299" t="s">
        <v>436</v>
      </c>
      <c r="S146" s="299" t="s">
        <v>429</v>
      </c>
      <c r="T146" s="614"/>
      <c r="U146" s="299" t="s">
        <v>434</v>
      </c>
      <c r="V146" s="299" t="s">
        <v>435</v>
      </c>
      <c r="W146" s="299" t="s">
        <v>436</v>
      </c>
      <c r="X146" s="299" t="s">
        <v>429</v>
      </c>
      <c r="Y146" s="614"/>
      <c r="Z146" s="299" t="s">
        <v>434</v>
      </c>
      <c r="AA146" s="299" t="s">
        <v>435</v>
      </c>
      <c r="AB146" s="299" t="s">
        <v>436</v>
      </c>
      <c r="AC146" s="299" t="s">
        <v>429</v>
      </c>
      <c r="AD146" s="614"/>
      <c r="AE146" s="299" t="s">
        <v>434</v>
      </c>
      <c r="AF146" s="299" t="s">
        <v>435</v>
      </c>
      <c r="AG146" s="299" t="s">
        <v>436</v>
      </c>
      <c r="AH146" s="299" t="s">
        <v>429</v>
      </c>
      <c r="AI146" s="614"/>
      <c r="AJ146" s="299" t="s">
        <v>434</v>
      </c>
      <c r="AK146" s="299" t="s">
        <v>435</v>
      </c>
      <c r="AL146" s="299" t="s">
        <v>436</v>
      </c>
      <c r="AM146" s="299" t="s">
        <v>429</v>
      </c>
      <c r="AN146" s="614"/>
      <c r="AO146" s="299" t="s">
        <v>434</v>
      </c>
      <c r="AP146" s="299" t="s">
        <v>435</v>
      </c>
      <c r="AQ146" s="299" t="s">
        <v>436</v>
      </c>
      <c r="AR146" s="299" t="s">
        <v>429</v>
      </c>
      <c r="AS146" s="614"/>
      <c r="AT146" s="299" t="s">
        <v>434</v>
      </c>
      <c r="AU146" s="299" t="s">
        <v>435</v>
      </c>
      <c r="AV146" s="299" t="s">
        <v>436</v>
      </c>
      <c r="AW146" s="299" t="s">
        <v>429</v>
      </c>
      <c r="AX146" s="614"/>
      <c r="AZ146" s="530" t="s">
        <v>396</v>
      </c>
      <c r="BA146" s="614"/>
    </row>
    <row r="147" spans="2:53">
      <c r="B147" s="622" t="s">
        <v>150</v>
      </c>
      <c r="C147" s="298">
        <v>1</v>
      </c>
      <c r="D147" s="502"/>
      <c r="E147" s="502"/>
      <c r="F147" s="502"/>
      <c r="G147" s="182"/>
      <c r="H147" s="623" t="e">
        <f>AVERAGE(G147:G176)</f>
        <v>#DIV/0!</v>
      </c>
      <c r="I147" s="516" t="str">
        <f>IFERROR(AVERAGE(P147,U147,Z147,AE147,AJ147,AO147,AT147),"-")</f>
        <v>-</v>
      </c>
      <c r="J147" s="516" t="str">
        <f>IFERROR(AVERAGE(Q147,V147,AA147,AF147,AK147,AP147,AU147),"-")</f>
        <v>-</v>
      </c>
      <c r="K147" s="200" t="str">
        <f>IFERROR(AVERAGE(R147,W147,AB147,AG147,AL147,AQ147,AV147),"-")</f>
        <v>-</v>
      </c>
      <c r="L147" s="595" t="str">
        <f>IFERROR(AVERAGE(K147:K176),"-")</f>
        <v>-</v>
      </c>
      <c r="M147" s="199" t="e">
        <f>RANK(K147, K$147:$K$176)</f>
        <v>#VALUE!</v>
      </c>
      <c r="N147" s="614"/>
      <c r="O147" s="614"/>
      <c r="P147" s="408"/>
      <c r="Q147" s="182"/>
      <c r="R147" s="182"/>
      <c r="S147" s="298" t="e">
        <f>RANK(R147, R$147:R$176)</f>
        <v>#N/A</v>
      </c>
      <c r="T147" s="623" t="e">
        <f>AVERAGE(R147:R176)</f>
        <v>#DIV/0!</v>
      </c>
      <c r="U147" s="408"/>
      <c r="V147" s="182"/>
      <c r="W147" s="182"/>
      <c r="X147" s="442" t="e">
        <f t="shared" ref="X147:X162" si="78">RANK(W147, W$147:W$176)</f>
        <v>#N/A</v>
      </c>
      <c r="Y147" s="623" t="e">
        <f t="shared" ref="Y147" si="79">AVERAGE(W147:W176)</f>
        <v>#DIV/0!</v>
      </c>
      <c r="Z147" s="408"/>
      <c r="AA147" s="182"/>
      <c r="AB147" s="182"/>
      <c r="AC147" s="442" t="e">
        <f t="shared" ref="AC147:AC162" si="80">RANK(AB147, AB$147:AB$176)</f>
        <v>#N/A</v>
      </c>
      <c r="AD147" s="623" t="e">
        <f t="shared" ref="AD147" si="81">AVERAGE(AB147:AB176)</f>
        <v>#DIV/0!</v>
      </c>
      <c r="AE147" s="408"/>
      <c r="AF147" s="182"/>
      <c r="AG147" s="182"/>
      <c r="AH147" s="442" t="e">
        <f t="shared" ref="AH147:AH162" si="82">RANK(AG147, AG$147:AG$176)</f>
        <v>#N/A</v>
      </c>
      <c r="AI147" s="623" t="e">
        <f t="shared" ref="AI147" si="83">AVERAGE(AG147:AG176)</f>
        <v>#DIV/0!</v>
      </c>
      <c r="AJ147" s="408"/>
      <c r="AK147" s="182"/>
      <c r="AL147" s="182"/>
      <c r="AM147" s="442" t="e">
        <f t="shared" ref="AM147:AM162" si="84">RANK(AL147, AL$147:AL$176)</f>
        <v>#N/A</v>
      </c>
      <c r="AN147" s="623" t="e">
        <f t="shared" ref="AN147" si="85">AVERAGE(AL147:AL176)</f>
        <v>#DIV/0!</v>
      </c>
      <c r="AO147" s="408"/>
      <c r="AP147" s="182"/>
      <c r="AQ147" s="182"/>
      <c r="AR147" s="442" t="e">
        <f t="shared" ref="AR147:AR162" si="86">RANK(AQ147, AQ$147:AQ$176)</f>
        <v>#N/A</v>
      </c>
      <c r="AS147" s="623" t="e">
        <f t="shared" ref="AS147" si="87">AVERAGE(AQ147:AQ176)</f>
        <v>#DIV/0!</v>
      </c>
      <c r="AT147" s="408"/>
      <c r="AU147" s="182"/>
      <c r="AV147" s="182"/>
      <c r="AW147" s="442" t="e">
        <f t="shared" ref="AW147:AW162" si="88">RANK(AV147, AV$147:AV$176)</f>
        <v>#N/A</v>
      </c>
      <c r="AX147" s="623" t="e">
        <f t="shared" ref="AX147" si="89">AVERAGE(AV147:AV176)</f>
        <v>#DIV/0!</v>
      </c>
      <c r="AZ147" s="529" t="e">
        <f t="shared" ref="AZ147:AZ176" si="90">RANK(AY147, AY$147:AY$176)</f>
        <v>#N/A</v>
      </c>
      <c r="BA147" s="623" t="e">
        <f t="shared" ref="BA147" si="91">AVERAGE(AY147:AY176)</f>
        <v>#DIV/0!</v>
      </c>
    </row>
    <row r="148" spans="2:53">
      <c r="B148" s="622"/>
      <c r="C148" s="298">
        <v>2</v>
      </c>
      <c r="D148" s="501"/>
      <c r="E148" s="502"/>
      <c r="F148" s="502"/>
      <c r="G148" s="182"/>
      <c r="H148" s="624"/>
      <c r="I148" s="516" t="str">
        <f t="shared" ref="I148:I176" si="92">IFERROR(AVERAGE(P148,U148,Z148,AE148,AJ148,AO148,AT148),"-")</f>
        <v>-</v>
      </c>
      <c r="J148" s="516" t="str">
        <f t="shared" ref="J148:J176" si="93">IFERROR(AVERAGE(Q148,V148,AA148,AF148,AK148,AP148,AU148),"-")</f>
        <v>-</v>
      </c>
      <c r="K148" s="200" t="str">
        <f t="shared" ref="K148:K176" si="94">IFERROR(AVERAGE(R148,W148,AB148,AG148,AL148,AQ148,AV148),"-")</f>
        <v>-</v>
      </c>
      <c r="L148" s="596"/>
      <c r="M148" s="199" t="e">
        <f>RANK(K148, K$147:$K$176)</f>
        <v>#VALUE!</v>
      </c>
      <c r="N148" s="614"/>
      <c r="O148" s="614"/>
      <c r="P148" s="182"/>
      <c r="Q148" s="182"/>
      <c r="R148" s="182"/>
      <c r="S148" s="298" t="e">
        <f t="shared" ref="S148:S176" si="95">RANK(R148, R$147:R$176)</f>
        <v>#N/A</v>
      </c>
      <c r="T148" s="624"/>
      <c r="U148" s="182"/>
      <c r="V148" s="182"/>
      <c r="W148" s="182"/>
      <c r="X148" s="442" t="e">
        <f t="shared" si="78"/>
        <v>#N/A</v>
      </c>
      <c r="Y148" s="624"/>
      <c r="Z148" s="182"/>
      <c r="AA148" s="182"/>
      <c r="AB148" s="182"/>
      <c r="AC148" s="442" t="e">
        <f t="shared" si="80"/>
        <v>#N/A</v>
      </c>
      <c r="AD148" s="624"/>
      <c r="AE148" s="182"/>
      <c r="AF148" s="182"/>
      <c r="AG148" s="182"/>
      <c r="AH148" s="442" t="e">
        <f t="shared" si="82"/>
        <v>#N/A</v>
      </c>
      <c r="AI148" s="624"/>
      <c r="AJ148" s="182"/>
      <c r="AK148" s="182"/>
      <c r="AL148" s="182"/>
      <c r="AM148" s="442" t="e">
        <f t="shared" si="84"/>
        <v>#N/A</v>
      </c>
      <c r="AN148" s="624"/>
      <c r="AO148" s="182"/>
      <c r="AP148" s="182"/>
      <c r="AQ148" s="182"/>
      <c r="AR148" s="442" t="e">
        <f t="shared" si="86"/>
        <v>#N/A</v>
      </c>
      <c r="AS148" s="624"/>
      <c r="AT148" s="182"/>
      <c r="AU148" s="182"/>
      <c r="AV148" s="182"/>
      <c r="AW148" s="442" t="e">
        <f t="shared" si="88"/>
        <v>#N/A</v>
      </c>
      <c r="AX148" s="624"/>
      <c r="AZ148" s="529" t="e">
        <f t="shared" si="90"/>
        <v>#N/A</v>
      </c>
      <c r="BA148" s="624"/>
    </row>
    <row r="149" spans="2:53">
      <c r="B149" s="622"/>
      <c r="C149" s="298">
        <v>3</v>
      </c>
      <c r="D149" s="502"/>
      <c r="E149" s="502"/>
      <c r="F149" s="502"/>
      <c r="G149" s="182"/>
      <c r="H149" s="624"/>
      <c r="I149" s="516" t="str">
        <f t="shared" si="92"/>
        <v>-</v>
      </c>
      <c r="J149" s="516" t="str">
        <f t="shared" si="93"/>
        <v>-</v>
      </c>
      <c r="K149" s="200" t="str">
        <f t="shared" si="94"/>
        <v>-</v>
      </c>
      <c r="L149" s="596"/>
      <c r="M149" s="199" t="e">
        <f>RANK(K149, K$147:$K$176)</f>
        <v>#VALUE!</v>
      </c>
      <c r="N149" s="614"/>
      <c r="O149" s="614"/>
      <c r="P149" s="182"/>
      <c r="Q149" s="182"/>
      <c r="R149" s="182"/>
      <c r="S149" s="298" t="e">
        <f t="shared" si="95"/>
        <v>#N/A</v>
      </c>
      <c r="T149" s="624"/>
      <c r="U149" s="182"/>
      <c r="V149" s="182"/>
      <c r="W149" s="182"/>
      <c r="X149" s="442" t="e">
        <f t="shared" si="78"/>
        <v>#N/A</v>
      </c>
      <c r="Y149" s="624"/>
      <c r="Z149" s="182"/>
      <c r="AA149" s="182"/>
      <c r="AB149" s="182"/>
      <c r="AC149" s="442" t="e">
        <f t="shared" si="80"/>
        <v>#N/A</v>
      </c>
      <c r="AD149" s="624"/>
      <c r="AE149" s="182"/>
      <c r="AF149" s="182"/>
      <c r="AG149" s="182"/>
      <c r="AH149" s="442" t="e">
        <f t="shared" si="82"/>
        <v>#N/A</v>
      </c>
      <c r="AI149" s="624"/>
      <c r="AJ149" s="182"/>
      <c r="AK149" s="182"/>
      <c r="AL149" s="182"/>
      <c r="AM149" s="442" t="e">
        <f t="shared" si="84"/>
        <v>#N/A</v>
      </c>
      <c r="AN149" s="624"/>
      <c r="AO149" s="182"/>
      <c r="AP149" s="182"/>
      <c r="AQ149" s="182"/>
      <c r="AR149" s="442" t="e">
        <f t="shared" si="86"/>
        <v>#N/A</v>
      </c>
      <c r="AS149" s="624"/>
      <c r="AT149" s="182"/>
      <c r="AU149" s="182"/>
      <c r="AV149" s="182"/>
      <c r="AW149" s="442" t="e">
        <f t="shared" si="88"/>
        <v>#N/A</v>
      </c>
      <c r="AX149" s="624"/>
      <c r="AZ149" s="529" t="e">
        <f t="shared" si="90"/>
        <v>#N/A</v>
      </c>
      <c r="BA149" s="624"/>
    </row>
    <row r="150" spans="2:53">
      <c r="B150" s="622"/>
      <c r="C150" s="298">
        <v>4</v>
      </c>
      <c r="D150" s="502"/>
      <c r="E150" s="502"/>
      <c r="F150" s="502"/>
      <c r="G150" s="182"/>
      <c r="H150" s="624"/>
      <c r="I150" s="516" t="str">
        <f t="shared" si="92"/>
        <v>-</v>
      </c>
      <c r="J150" s="516" t="str">
        <f t="shared" si="93"/>
        <v>-</v>
      </c>
      <c r="K150" s="200" t="str">
        <f t="shared" si="94"/>
        <v>-</v>
      </c>
      <c r="L150" s="596"/>
      <c r="M150" s="199" t="e">
        <f>RANK(K150, K$147:$K$176)</f>
        <v>#VALUE!</v>
      </c>
      <c r="N150" s="614"/>
      <c r="O150" s="614"/>
      <c r="P150" s="182"/>
      <c r="Q150" s="182"/>
      <c r="R150" s="182"/>
      <c r="S150" s="298" t="e">
        <f t="shared" si="95"/>
        <v>#N/A</v>
      </c>
      <c r="T150" s="624"/>
      <c r="U150" s="182"/>
      <c r="V150" s="182"/>
      <c r="W150" s="182"/>
      <c r="X150" s="442" t="e">
        <f t="shared" si="78"/>
        <v>#N/A</v>
      </c>
      <c r="Y150" s="624"/>
      <c r="Z150" s="182"/>
      <c r="AA150" s="182"/>
      <c r="AB150" s="182"/>
      <c r="AC150" s="442" t="e">
        <f t="shared" si="80"/>
        <v>#N/A</v>
      </c>
      <c r="AD150" s="624"/>
      <c r="AE150" s="182"/>
      <c r="AF150" s="182"/>
      <c r="AG150" s="182"/>
      <c r="AH150" s="442" t="e">
        <f t="shared" si="82"/>
        <v>#N/A</v>
      </c>
      <c r="AI150" s="624"/>
      <c r="AJ150" s="182"/>
      <c r="AK150" s="182"/>
      <c r="AL150" s="182"/>
      <c r="AM150" s="442" t="e">
        <f t="shared" si="84"/>
        <v>#N/A</v>
      </c>
      <c r="AN150" s="624"/>
      <c r="AO150" s="182"/>
      <c r="AP150" s="182"/>
      <c r="AQ150" s="182"/>
      <c r="AR150" s="442" t="e">
        <f t="shared" si="86"/>
        <v>#N/A</v>
      </c>
      <c r="AS150" s="624"/>
      <c r="AT150" s="182"/>
      <c r="AU150" s="182"/>
      <c r="AV150" s="182"/>
      <c r="AW150" s="442" t="e">
        <f t="shared" si="88"/>
        <v>#N/A</v>
      </c>
      <c r="AX150" s="624"/>
      <c r="AZ150" s="529" t="e">
        <f t="shared" si="90"/>
        <v>#N/A</v>
      </c>
      <c r="BA150" s="624"/>
    </row>
    <row r="151" spans="2:53">
      <c r="B151" s="622"/>
      <c r="C151" s="298">
        <v>5</v>
      </c>
      <c r="D151" s="502"/>
      <c r="E151" s="502"/>
      <c r="F151" s="502"/>
      <c r="G151" s="182"/>
      <c r="H151" s="624"/>
      <c r="I151" s="516" t="str">
        <f t="shared" si="92"/>
        <v>-</v>
      </c>
      <c r="J151" s="516" t="str">
        <f t="shared" si="93"/>
        <v>-</v>
      </c>
      <c r="K151" s="200" t="str">
        <f t="shared" si="94"/>
        <v>-</v>
      </c>
      <c r="L151" s="596"/>
      <c r="M151" s="199" t="e">
        <f>RANK(K151, K$147:$K$176)</f>
        <v>#VALUE!</v>
      </c>
      <c r="N151" s="614"/>
      <c r="O151" s="614"/>
      <c r="P151" s="182"/>
      <c r="Q151" s="182"/>
      <c r="R151" s="182"/>
      <c r="S151" s="298" t="e">
        <f t="shared" si="95"/>
        <v>#N/A</v>
      </c>
      <c r="T151" s="624"/>
      <c r="U151" s="182"/>
      <c r="V151" s="182"/>
      <c r="W151" s="182"/>
      <c r="X151" s="442" t="e">
        <f t="shared" si="78"/>
        <v>#N/A</v>
      </c>
      <c r="Y151" s="624"/>
      <c r="Z151" s="182"/>
      <c r="AA151" s="182"/>
      <c r="AB151" s="182"/>
      <c r="AC151" s="442" t="e">
        <f t="shared" si="80"/>
        <v>#N/A</v>
      </c>
      <c r="AD151" s="624"/>
      <c r="AE151" s="182"/>
      <c r="AF151" s="182"/>
      <c r="AG151" s="182"/>
      <c r="AH151" s="442" t="e">
        <f t="shared" si="82"/>
        <v>#N/A</v>
      </c>
      <c r="AI151" s="624"/>
      <c r="AJ151" s="182"/>
      <c r="AK151" s="182"/>
      <c r="AL151" s="182"/>
      <c r="AM151" s="442" t="e">
        <f t="shared" si="84"/>
        <v>#N/A</v>
      </c>
      <c r="AN151" s="624"/>
      <c r="AO151" s="182"/>
      <c r="AP151" s="182"/>
      <c r="AQ151" s="182"/>
      <c r="AR151" s="442" t="e">
        <f t="shared" si="86"/>
        <v>#N/A</v>
      </c>
      <c r="AS151" s="624"/>
      <c r="AT151" s="182"/>
      <c r="AU151" s="182"/>
      <c r="AV151" s="182"/>
      <c r="AW151" s="442" t="e">
        <f t="shared" si="88"/>
        <v>#N/A</v>
      </c>
      <c r="AX151" s="624"/>
      <c r="AZ151" s="529" t="e">
        <f t="shared" si="90"/>
        <v>#N/A</v>
      </c>
      <c r="BA151" s="624"/>
    </row>
    <row r="152" spans="2:53">
      <c r="B152" s="622"/>
      <c r="C152" s="298">
        <v>6</v>
      </c>
      <c r="D152" s="502"/>
      <c r="E152" s="502"/>
      <c r="F152" s="502"/>
      <c r="G152" s="182"/>
      <c r="H152" s="624"/>
      <c r="I152" s="516" t="str">
        <f t="shared" si="92"/>
        <v>-</v>
      </c>
      <c r="J152" s="516" t="str">
        <f t="shared" si="93"/>
        <v>-</v>
      </c>
      <c r="K152" s="200" t="str">
        <f t="shared" si="94"/>
        <v>-</v>
      </c>
      <c r="L152" s="596"/>
      <c r="M152" s="199" t="e">
        <f>RANK(K152, K$147:$K$176)</f>
        <v>#VALUE!</v>
      </c>
      <c r="N152" s="614"/>
      <c r="O152" s="614"/>
      <c r="P152" s="182"/>
      <c r="Q152" s="182"/>
      <c r="R152" s="182"/>
      <c r="S152" s="298" t="e">
        <f t="shared" si="95"/>
        <v>#N/A</v>
      </c>
      <c r="T152" s="624"/>
      <c r="U152" s="182"/>
      <c r="V152" s="182"/>
      <c r="W152" s="182"/>
      <c r="X152" s="442" t="e">
        <f t="shared" si="78"/>
        <v>#N/A</v>
      </c>
      <c r="Y152" s="624"/>
      <c r="Z152" s="182"/>
      <c r="AA152" s="182"/>
      <c r="AB152" s="182"/>
      <c r="AC152" s="442" t="e">
        <f t="shared" si="80"/>
        <v>#N/A</v>
      </c>
      <c r="AD152" s="624"/>
      <c r="AE152" s="182"/>
      <c r="AF152" s="182"/>
      <c r="AG152" s="182"/>
      <c r="AH152" s="442" t="e">
        <f t="shared" si="82"/>
        <v>#N/A</v>
      </c>
      <c r="AI152" s="624"/>
      <c r="AJ152" s="182"/>
      <c r="AK152" s="182"/>
      <c r="AL152" s="182"/>
      <c r="AM152" s="442" t="e">
        <f t="shared" si="84"/>
        <v>#N/A</v>
      </c>
      <c r="AN152" s="624"/>
      <c r="AO152" s="182"/>
      <c r="AP152" s="182"/>
      <c r="AQ152" s="182"/>
      <c r="AR152" s="442" t="e">
        <f t="shared" si="86"/>
        <v>#N/A</v>
      </c>
      <c r="AS152" s="624"/>
      <c r="AT152" s="182"/>
      <c r="AU152" s="182"/>
      <c r="AV152" s="182"/>
      <c r="AW152" s="442" t="e">
        <f t="shared" si="88"/>
        <v>#N/A</v>
      </c>
      <c r="AX152" s="624"/>
      <c r="AZ152" s="529" t="e">
        <f t="shared" si="90"/>
        <v>#N/A</v>
      </c>
      <c r="BA152" s="624"/>
    </row>
    <row r="153" spans="2:53">
      <c r="B153" s="622"/>
      <c r="C153" s="298">
        <v>7</v>
      </c>
      <c r="D153" s="502"/>
      <c r="E153" s="502"/>
      <c r="F153" s="502"/>
      <c r="G153" s="182"/>
      <c r="H153" s="624"/>
      <c r="I153" s="516" t="str">
        <f t="shared" si="92"/>
        <v>-</v>
      </c>
      <c r="J153" s="516" t="str">
        <f t="shared" si="93"/>
        <v>-</v>
      </c>
      <c r="K153" s="200" t="str">
        <f t="shared" si="94"/>
        <v>-</v>
      </c>
      <c r="L153" s="596"/>
      <c r="M153" s="199" t="e">
        <f>RANK(K153, K$147:$K$176)</f>
        <v>#VALUE!</v>
      </c>
      <c r="N153" s="614"/>
      <c r="O153" s="614"/>
      <c r="P153" s="182"/>
      <c r="Q153" s="182"/>
      <c r="R153" s="182"/>
      <c r="S153" s="298" t="e">
        <f t="shared" si="95"/>
        <v>#N/A</v>
      </c>
      <c r="T153" s="624"/>
      <c r="U153" s="182"/>
      <c r="V153" s="182"/>
      <c r="W153" s="182"/>
      <c r="X153" s="442" t="e">
        <f t="shared" si="78"/>
        <v>#N/A</v>
      </c>
      <c r="Y153" s="624"/>
      <c r="Z153" s="182"/>
      <c r="AA153" s="182"/>
      <c r="AB153" s="182"/>
      <c r="AC153" s="442" t="e">
        <f t="shared" si="80"/>
        <v>#N/A</v>
      </c>
      <c r="AD153" s="624"/>
      <c r="AE153" s="182"/>
      <c r="AF153" s="182"/>
      <c r="AG153" s="182"/>
      <c r="AH153" s="442" t="e">
        <f t="shared" si="82"/>
        <v>#N/A</v>
      </c>
      <c r="AI153" s="624"/>
      <c r="AJ153" s="182"/>
      <c r="AK153" s="182"/>
      <c r="AL153" s="182"/>
      <c r="AM153" s="442" t="e">
        <f t="shared" si="84"/>
        <v>#N/A</v>
      </c>
      <c r="AN153" s="624"/>
      <c r="AO153" s="182"/>
      <c r="AP153" s="182"/>
      <c r="AQ153" s="182"/>
      <c r="AR153" s="442" t="e">
        <f t="shared" si="86"/>
        <v>#N/A</v>
      </c>
      <c r="AS153" s="624"/>
      <c r="AT153" s="182"/>
      <c r="AU153" s="182"/>
      <c r="AV153" s="182"/>
      <c r="AW153" s="442" t="e">
        <f t="shared" si="88"/>
        <v>#N/A</v>
      </c>
      <c r="AX153" s="624"/>
      <c r="AZ153" s="529" t="e">
        <f t="shared" si="90"/>
        <v>#N/A</v>
      </c>
      <c r="BA153" s="624"/>
    </row>
    <row r="154" spans="2:53">
      <c r="B154" s="622"/>
      <c r="C154" s="298">
        <v>8</v>
      </c>
      <c r="D154" s="502"/>
      <c r="E154" s="502"/>
      <c r="F154" s="502"/>
      <c r="G154" s="182"/>
      <c r="H154" s="624"/>
      <c r="I154" s="516" t="str">
        <f t="shared" si="92"/>
        <v>-</v>
      </c>
      <c r="J154" s="516" t="str">
        <f t="shared" si="93"/>
        <v>-</v>
      </c>
      <c r="K154" s="200" t="str">
        <f t="shared" si="94"/>
        <v>-</v>
      </c>
      <c r="L154" s="596"/>
      <c r="M154" s="199" t="e">
        <f>RANK(K154, K$147:$K$176)</f>
        <v>#VALUE!</v>
      </c>
      <c r="N154" s="614"/>
      <c r="O154" s="614"/>
      <c r="P154" s="182"/>
      <c r="Q154" s="182"/>
      <c r="R154" s="182"/>
      <c r="S154" s="298" t="e">
        <f t="shared" si="95"/>
        <v>#N/A</v>
      </c>
      <c r="T154" s="624"/>
      <c r="U154" s="182"/>
      <c r="V154" s="182"/>
      <c r="W154" s="182"/>
      <c r="X154" s="442" t="e">
        <f t="shared" si="78"/>
        <v>#N/A</v>
      </c>
      <c r="Y154" s="624"/>
      <c r="Z154" s="182"/>
      <c r="AA154" s="182"/>
      <c r="AB154" s="182"/>
      <c r="AC154" s="442" t="e">
        <f t="shared" si="80"/>
        <v>#N/A</v>
      </c>
      <c r="AD154" s="624"/>
      <c r="AE154" s="182"/>
      <c r="AF154" s="182"/>
      <c r="AG154" s="182"/>
      <c r="AH154" s="442" t="e">
        <f t="shared" si="82"/>
        <v>#N/A</v>
      </c>
      <c r="AI154" s="624"/>
      <c r="AJ154" s="182"/>
      <c r="AK154" s="182"/>
      <c r="AL154" s="182"/>
      <c r="AM154" s="442" t="e">
        <f t="shared" si="84"/>
        <v>#N/A</v>
      </c>
      <c r="AN154" s="624"/>
      <c r="AO154" s="182"/>
      <c r="AP154" s="182"/>
      <c r="AQ154" s="182"/>
      <c r="AR154" s="442" t="e">
        <f t="shared" si="86"/>
        <v>#N/A</v>
      </c>
      <c r="AS154" s="624"/>
      <c r="AT154" s="182"/>
      <c r="AU154" s="182"/>
      <c r="AV154" s="182"/>
      <c r="AW154" s="442" t="e">
        <f t="shared" si="88"/>
        <v>#N/A</v>
      </c>
      <c r="AX154" s="624"/>
      <c r="AZ154" s="529" t="e">
        <f t="shared" si="90"/>
        <v>#N/A</v>
      </c>
      <c r="BA154" s="624"/>
    </row>
    <row r="155" spans="2:53">
      <c r="B155" s="622"/>
      <c r="C155" s="298">
        <v>9</v>
      </c>
      <c r="D155" s="502"/>
      <c r="E155" s="502"/>
      <c r="F155" s="502"/>
      <c r="G155" s="182"/>
      <c r="H155" s="624"/>
      <c r="I155" s="516" t="str">
        <f t="shared" si="92"/>
        <v>-</v>
      </c>
      <c r="J155" s="516" t="str">
        <f t="shared" si="93"/>
        <v>-</v>
      </c>
      <c r="K155" s="200" t="str">
        <f t="shared" si="94"/>
        <v>-</v>
      </c>
      <c r="L155" s="596"/>
      <c r="M155" s="199" t="e">
        <f>RANK(K155, K$147:$K$176)</f>
        <v>#VALUE!</v>
      </c>
      <c r="N155" s="614"/>
      <c r="O155" s="614"/>
      <c r="P155" s="182"/>
      <c r="Q155" s="182"/>
      <c r="R155" s="182"/>
      <c r="S155" s="298" t="e">
        <f t="shared" si="95"/>
        <v>#N/A</v>
      </c>
      <c r="T155" s="624"/>
      <c r="U155" s="182"/>
      <c r="V155" s="182"/>
      <c r="W155" s="182"/>
      <c r="X155" s="442" t="e">
        <f t="shared" si="78"/>
        <v>#N/A</v>
      </c>
      <c r="Y155" s="624"/>
      <c r="Z155" s="182"/>
      <c r="AA155" s="182"/>
      <c r="AB155" s="182"/>
      <c r="AC155" s="442" t="e">
        <f t="shared" si="80"/>
        <v>#N/A</v>
      </c>
      <c r="AD155" s="624"/>
      <c r="AE155" s="182"/>
      <c r="AF155" s="182"/>
      <c r="AG155" s="182"/>
      <c r="AH155" s="442" t="e">
        <f t="shared" si="82"/>
        <v>#N/A</v>
      </c>
      <c r="AI155" s="624"/>
      <c r="AJ155" s="182"/>
      <c r="AK155" s="182"/>
      <c r="AL155" s="182"/>
      <c r="AM155" s="442" t="e">
        <f t="shared" si="84"/>
        <v>#N/A</v>
      </c>
      <c r="AN155" s="624"/>
      <c r="AO155" s="182"/>
      <c r="AP155" s="182"/>
      <c r="AQ155" s="182"/>
      <c r="AR155" s="442" t="e">
        <f t="shared" si="86"/>
        <v>#N/A</v>
      </c>
      <c r="AS155" s="624"/>
      <c r="AT155" s="182"/>
      <c r="AU155" s="182"/>
      <c r="AV155" s="182"/>
      <c r="AW155" s="442" t="e">
        <f t="shared" si="88"/>
        <v>#N/A</v>
      </c>
      <c r="AX155" s="624"/>
      <c r="AZ155" s="529" t="e">
        <f t="shared" si="90"/>
        <v>#N/A</v>
      </c>
      <c r="BA155" s="624"/>
    </row>
    <row r="156" spans="2:53">
      <c r="B156" s="622"/>
      <c r="C156" s="298">
        <v>10</v>
      </c>
      <c r="D156" s="502"/>
      <c r="E156" s="502"/>
      <c r="F156" s="502"/>
      <c r="G156" s="182"/>
      <c r="H156" s="624"/>
      <c r="I156" s="516" t="str">
        <f t="shared" si="92"/>
        <v>-</v>
      </c>
      <c r="J156" s="516" t="str">
        <f t="shared" si="93"/>
        <v>-</v>
      </c>
      <c r="K156" s="200" t="str">
        <f t="shared" si="94"/>
        <v>-</v>
      </c>
      <c r="L156" s="596"/>
      <c r="M156" s="199" t="e">
        <f>RANK(K156, K$147:$K$176)</f>
        <v>#VALUE!</v>
      </c>
      <c r="N156" s="614"/>
      <c r="O156" s="614"/>
      <c r="P156" s="182"/>
      <c r="Q156" s="182"/>
      <c r="R156" s="182"/>
      <c r="S156" s="298" t="e">
        <f t="shared" si="95"/>
        <v>#N/A</v>
      </c>
      <c r="T156" s="624"/>
      <c r="U156" s="182"/>
      <c r="V156" s="182"/>
      <c r="W156" s="182"/>
      <c r="X156" s="442" t="e">
        <f t="shared" si="78"/>
        <v>#N/A</v>
      </c>
      <c r="Y156" s="624"/>
      <c r="Z156" s="182"/>
      <c r="AA156" s="182"/>
      <c r="AB156" s="182"/>
      <c r="AC156" s="442" t="e">
        <f t="shared" si="80"/>
        <v>#N/A</v>
      </c>
      <c r="AD156" s="624"/>
      <c r="AE156" s="182"/>
      <c r="AF156" s="182"/>
      <c r="AG156" s="182"/>
      <c r="AH156" s="442" t="e">
        <f t="shared" si="82"/>
        <v>#N/A</v>
      </c>
      <c r="AI156" s="624"/>
      <c r="AJ156" s="182"/>
      <c r="AK156" s="182"/>
      <c r="AL156" s="182"/>
      <c r="AM156" s="442" t="e">
        <f t="shared" si="84"/>
        <v>#N/A</v>
      </c>
      <c r="AN156" s="624"/>
      <c r="AO156" s="182"/>
      <c r="AP156" s="182"/>
      <c r="AQ156" s="182"/>
      <c r="AR156" s="442" t="e">
        <f t="shared" si="86"/>
        <v>#N/A</v>
      </c>
      <c r="AS156" s="624"/>
      <c r="AT156" s="182"/>
      <c r="AU156" s="182"/>
      <c r="AV156" s="182"/>
      <c r="AW156" s="442" t="e">
        <f t="shared" si="88"/>
        <v>#N/A</v>
      </c>
      <c r="AX156" s="624"/>
      <c r="AZ156" s="529" t="e">
        <f t="shared" si="90"/>
        <v>#N/A</v>
      </c>
      <c r="BA156" s="624"/>
    </row>
    <row r="157" spans="2:53">
      <c r="B157" s="622"/>
      <c r="C157" s="298">
        <v>11</v>
      </c>
      <c r="D157" s="502"/>
      <c r="E157" s="502"/>
      <c r="F157" s="502"/>
      <c r="G157" s="182"/>
      <c r="H157" s="624"/>
      <c r="I157" s="516" t="str">
        <f t="shared" si="92"/>
        <v>-</v>
      </c>
      <c r="J157" s="516" t="str">
        <f t="shared" si="93"/>
        <v>-</v>
      </c>
      <c r="K157" s="200" t="str">
        <f t="shared" si="94"/>
        <v>-</v>
      </c>
      <c r="L157" s="596"/>
      <c r="M157" s="199" t="e">
        <f>RANK(K157, K$147:$K$176)</f>
        <v>#VALUE!</v>
      </c>
      <c r="N157" s="614"/>
      <c r="O157" s="614"/>
      <c r="P157" s="182"/>
      <c r="Q157" s="182"/>
      <c r="R157" s="182"/>
      <c r="S157" s="298" t="e">
        <f t="shared" si="95"/>
        <v>#N/A</v>
      </c>
      <c r="T157" s="624"/>
      <c r="U157" s="182"/>
      <c r="V157" s="182"/>
      <c r="W157" s="182"/>
      <c r="X157" s="442" t="e">
        <f t="shared" si="78"/>
        <v>#N/A</v>
      </c>
      <c r="Y157" s="624"/>
      <c r="Z157" s="182"/>
      <c r="AA157" s="182"/>
      <c r="AB157" s="182"/>
      <c r="AC157" s="442" t="e">
        <f t="shared" si="80"/>
        <v>#N/A</v>
      </c>
      <c r="AD157" s="624"/>
      <c r="AE157" s="182"/>
      <c r="AF157" s="182"/>
      <c r="AG157" s="182"/>
      <c r="AH157" s="442" t="e">
        <f t="shared" si="82"/>
        <v>#N/A</v>
      </c>
      <c r="AI157" s="624"/>
      <c r="AJ157" s="182"/>
      <c r="AK157" s="182"/>
      <c r="AL157" s="182"/>
      <c r="AM157" s="442" t="e">
        <f t="shared" si="84"/>
        <v>#N/A</v>
      </c>
      <c r="AN157" s="624"/>
      <c r="AO157" s="182"/>
      <c r="AP157" s="182"/>
      <c r="AQ157" s="182"/>
      <c r="AR157" s="442" t="e">
        <f t="shared" si="86"/>
        <v>#N/A</v>
      </c>
      <c r="AS157" s="624"/>
      <c r="AT157" s="182"/>
      <c r="AU157" s="182"/>
      <c r="AV157" s="182"/>
      <c r="AW157" s="442" t="e">
        <f t="shared" si="88"/>
        <v>#N/A</v>
      </c>
      <c r="AX157" s="624"/>
      <c r="AZ157" s="529" t="e">
        <f t="shared" si="90"/>
        <v>#N/A</v>
      </c>
      <c r="BA157" s="624"/>
    </row>
    <row r="158" spans="2:53">
      <c r="B158" s="622"/>
      <c r="C158" s="298">
        <v>12</v>
      </c>
      <c r="D158" s="502"/>
      <c r="E158" s="502"/>
      <c r="F158" s="502"/>
      <c r="G158" s="182"/>
      <c r="H158" s="624"/>
      <c r="I158" s="516" t="str">
        <f t="shared" si="92"/>
        <v>-</v>
      </c>
      <c r="J158" s="516" t="str">
        <f t="shared" si="93"/>
        <v>-</v>
      </c>
      <c r="K158" s="200" t="str">
        <f t="shared" si="94"/>
        <v>-</v>
      </c>
      <c r="L158" s="596"/>
      <c r="M158" s="199" t="e">
        <f>RANK(K158, K$147:$K$176)</f>
        <v>#VALUE!</v>
      </c>
      <c r="N158" s="614"/>
      <c r="O158" s="614"/>
      <c r="P158" s="182"/>
      <c r="Q158" s="182"/>
      <c r="R158" s="182"/>
      <c r="S158" s="298" t="e">
        <f t="shared" si="95"/>
        <v>#N/A</v>
      </c>
      <c r="T158" s="624"/>
      <c r="U158" s="182"/>
      <c r="V158" s="182"/>
      <c r="W158" s="182"/>
      <c r="X158" s="442" t="e">
        <f t="shared" si="78"/>
        <v>#N/A</v>
      </c>
      <c r="Y158" s="624"/>
      <c r="Z158" s="182"/>
      <c r="AA158" s="182"/>
      <c r="AB158" s="182"/>
      <c r="AC158" s="442" t="e">
        <f t="shared" si="80"/>
        <v>#N/A</v>
      </c>
      <c r="AD158" s="624"/>
      <c r="AE158" s="182"/>
      <c r="AF158" s="182"/>
      <c r="AG158" s="182"/>
      <c r="AH158" s="442" t="e">
        <f t="shared" si="82"/>
        <v>#N/A</v>
      </c>
      <c r="AI158" s="624"/>
      <c r="AJ158" s="182"/>
      <c r="AK158" s="182"/>
      <c r="AL158" s="182"/>
      <c r="AM158" s="442" t="e">
        <f t="shared" si="84"/>
        <v>#N/A</v>
      </c>
      <c r="AN158" s="624"/>
      <c r="AO158" s="182"/>
      <c r="AP158" s="182"/>
      <c r="AQ158" s="182"/>
      <c r="AR158" s="442" t="e">
        <f t="shared" si="86"/>
        <v>#N/A</v>
      </c>
      <c r="AS158" s="624"/>
      <c r="AT158" s="182"/>
      <c r="AU158" s="182"/>
      <c r="AV158" s="182"/>
      <c r="AW158" s="442" t="e">
        <f t="shared" si="88"/>
        <v>#N/A</v>
      </c>
      <c r="AX158" s="624"/>
      <c r="AZ158" s="529" t="e">
        <f t="shared" si="90"/>
        <v>#N/A</v>
      </c>
      <c r="BA158" s="624"/>
    </row>
    <row r="159" spans="2:53">
      <c r="B159" s="622"/>
      <c r="C159" s="298">
        <v>13</v>
      </c>
      <c r="D159" s="502"/>
      <c r="E159" s="502"/>
      <c r="F159" s="502"/>
      <c r="G159" s="182"/>
      <c r="H159" s="624"/>
      <c r="I159" s="516" t="str">
        <f t="shared" si="92"/>
        <v>-</v>
      </c>
      <c r="J159" s="516" t="str">
        <f t="shared" si="93"/>
        <v>-</v>
      </c>
      <c r="K159" s="200" t="str">
        <f t="shared" si="94"/>
        <v>-</v>
      </c>
      <c r="L159" s="596"/>
      <c r="M159" s="199" t="e">
        <f>RANK(K159, K$147:$K$176)</f>
        <v>#VALUE!</v>
      </c>
      <c r="N159" s="614"/>
      <c r="O159" s="614"/>
      <c r="P159" s="182"/>
      <c r="Q159" s="182"/>
      <c r="R159" s="182"/>
      <c r="S159" s="298" t="e">
        <f t="shared" si="95"/>
        <v>#N/A</v>
      </c>
      <c r="T159" s="624"/>
      <c r="U159" s="182"/>
      <c r="V159" s="182"/>
      <c r="W159" s="182"/>
      <c r="X159" s="442" t="e">
        <f t="shared" si="78"/>
        <v>#N/A</v>
      </c>
      <c r="Y159" s="624"/>
      <c r="Z159" s="182"/>
      <c r="AA159" s="182"/>
      <c r="AB159" s="182"/>
      <c r="AC159" s="442" t="e">
        <f t="shared" si="80"/>
        <v>#N/A</v>
      </c>
      <c r="AD159" s="624"/>
      <c r="AE159" s="182"/>
      <c r="AF159" s="182"/>
      <c r="AG159" s="182"/>
      <c r="AH159" s="442" t="e">
        <f t="shared" si="82"/>
        <v>#N/A</v>
      </c>
      <c r="AI159" s="624"/>
      <c r="AJ159" s="182"/>
      <c r="AK159" s="182"/>
      <c r="AL159" s="182"/>
      <c r="AM159" s="442" t="e">
        <f t="shared" si="84"/>
        <v>#N/A</v>
      </c>
      <c r="AN159" s="624"/>
      <c r="AO159" s="182"/>
      <c r="AP159" s="182"/>
      <c r="AQ159" s="182"/>
      <c r="AR159" s="442" t="e">
        <f t="shared" si="86"/>
        <v>#N/A</v>
      </c>
      <c r="AS159" s="624"/>
      <c r="AT159" s="182"/>
      <c r="AU159" s="182"/>
      <c r="AV159" s="182"/>
      <c r="AW159" s="442" t="e">
        <f t="shared" si="88"/>
        <v>#N/A</v>
      </c>
      <c r="AX159" s="624"/>
      <c r="AZ159" s="529" t="e">
        <f t="shared" si="90"/>
        <v>#N/A</v>
      </c>
      <c r="BA159" s="624"/>
    </row>
    <row r="160" spans="2:53">
      <c r="B160" s="622"/>
      <c r="C160" s="298">
        <v>14</v>
      </c>
      <c r="D160" s="502"/>
      <c r="E160" s="502"/>
      <c r="F160" s="502"/>
      <c r="G160" s="182"/>
      <c r="H160" s="624"/>
      <c r="I160" s="516" t="str">
        <f t="shared" si="92"/>
        <v>-</v>
      </c>
      <c r="J160" s="516" t="str">
        <f t="shared" si="93"/>
        <v>-</v>
      </c>
      <c r="K160" s="200" t="str">
        <f t="shared" si="94"/>
        <v>-</v>
      </c>
      <c r="L160" s="596"/>
      <c r="M160" s="199" t="e">
        <f>RANK(K160, K$147:$K$176)</f>
        <v>#VALUE!</v>
      </c>
      <c r="N160" s="614"/>
      <c r="O160" s="614"/>
      <c r="P160" s="182"/>
      <c r="Q160" s="182"/>
      <c r="R160" s="182"/>
      <c r="S160" s="298" t="e">
        <f t="shared" si="95"/>
        <v>#N/A</v>
      </c>
      <c r="T160" s="624"/>
      <c r="U160" s="182"/>
      <c r="V160" s="182"/>
      <c r="W160" s="182"/>
      <c r="X160" s="442" t="e">
        <f t="shared" si="78"/>
        <v>#N/A</v>
      </c>
      <c r="Y160" s="624"/>
      <c r="Z160" s="182"/>
      <c r="AA160" s="182"/>
      <c r="AB160" s="182"/>
      <c r="AC160" s="442" t="e">
        <f t="shared" si="80"/>
        <v>#N/A</v>
      </c>
      <c r="AD160" s="624"/>
      <c r="AE160" s="182"/>
      <c r="AF160" s="182"/>
      <c r="AG160" s="182"/>
      <c r="AH160" s="442" t="e">
        <f t="shared" si="82"/>
        <v>#N/A</v>
      </c>
      <c r="AI160" s="624"/>
      <c r="AJ160" s="182"/>
      <c r="AK160" s="182"/>
      <c r="AL160" s="182"/>
      <c r="AM160" s="442" t="e">
        <f t="shared" si="84"/>
        <v>#N/A</v>
      </c>
      <c r="AN160" s="624"/>
      <c r="AO160" s="182"/>
      <c r="AP160" s="182"/>
      <c r="AQ160" s="182"/>
      <c r="AR160" s="442" t="e">
        <f t="shared" si="86"/>
        <v>#N/A</v>
      </c>
      <c r="AS160" s="624"/>
      <c r="AT160" s="182"/>
      <c r="AU160" s="182"/>
      <c r="AV160" s="182"/>
      <c r="AW160" s="442" t="e">
        <f t="shared" si="88"/>
        <v>#N/A</v>
      </c>
      <c r="AX160" s="624"/>
      <c r="AZ160" s="529" t="e">
        <f t="shared" si="90"/>
        <v>#N/A</v>
      </c>
      <c r="BA160" s="624"/>
    </row>
    <row r="161" spans="2:53">
      <c r="B161" s="622"/>
      <c r="C161" s="298">
        <v>15</v>
      </c>
      <c r="D161" s="502"/>
      <c r="E161" s="502"/>
      <c r="F161" s="502"/>
      <c r="G161" s="182"/>
      <c r="H161" s="624"/>
      <c r="I161" s="516" t="str">
        <f t="shared" si="92"/>
        <v>-</v>
      </c>
      <c r="J161" s="516" t="str">
        <f t="shared" si="93"/>
        <v>-</v>
      </c>
      <c r="K161" s="200" t="str">
        <f t="shared" si="94"/>
        <v>-</v>
      </c>
      <c r="L161" s="596"/>
      <c r="M161" s="199" t="e">
        <f>RANK(K161, K$147:$K$176)</f>
        <v>#VALUE!</v>
      </c>
      <c r="N161" s="614"/>
      <c r="O161" s="614"/>
      <c r="P161" s="182"/>
      <c r="Q161" s="182"/>
      <c r="R161" s="182"/>
      <c r="S161" s="298" t="e">
        <f t="shared" ref="S161:S175" si="96">RANK(R161, R$147:R$176)</f>
        <v>#N/A</v>
      </c>
      <c r="T161" s="624"/>
      <c r="U161" s="182"/>
      <c r="V161" s="182"/>
      <c r="W161" s="182"/>
      <c r="X161" s="442" t="e">
        <f t="shared" si="78"/>
        <v>#N/A</v>
      </c>
      <c r="Y161" s="624"/>
      <c r="Z161" s="182"/>
      <c r="AA161" s="182"/>
      <c r="AB161" s="182"/>
      <c r="AC161" s="442" t="e">
        <f t="shared" si="80"/>
        <v>#N/A</v>
      </c>
      <c r="AD161" s="624"/>
      <c r="AE161" s="182"/>
      <c r="AF161" s="182"/>
      <c r="AG161" s="182"/>
      <c r="AH161" s="442" t="e">
        <f t="shared" si="82"/>
        <v>#N/A</v>
      </c>
      <c r="AI161" s="624"/>
      <c r="AJ161" s="182"/>
      <c r="AK161" s="182"/>
      <c r="AL161" s="182"/>
      <c r="AM161" s="442" t="e">
        <f t="shared" si="84"/>
        <v>#N/A</v>
      </c>
      <c r="AN161" s="624"/>
      <c r="AO161" s="182"/>
      <c r="AP161" s="182"/>
      <c r="AQ161" s="182"/>
      <c r="AR161" s="442" t="e">
        <f t="shared" si="86"/>
        <v>#N/A</v>
      </c>
      <c r="AS161" s="624"/>
      <c r="AT161" s="182"/>
      <c r="AU161" s="182"/>
      <c r="AV161" s="182"/>
      <c r="AW161" s="442" t="e">
        <f t="shared" si="88"/>
        <v>#N/A</v>
      </c>
      <c r="AX161" s="624"/>
      <c r="AZ161" s="529" t="e">
        <f t="shared" si="90"/>
        <v>#N/A</v>
      </c>
      <c r="BA161" s="624"/>
    </row>
    <row r="162" spans="2:53">
      <c r="B162" s="622"/>
      <c r="C162" s="298">
        <v>16</v>
      </c>
      <c r="D162" s="502"/>
      <c r="E162" s="502"/>
      <c r="F162" s="502"/>
      <c r="G162" s="182"/>
      <c r="H162" s="624"/>
      <c r="I162" s="516" t="str">
        <f t="shared" si="92"/>
        <v>-</v>
      </c>
      <c r="J162" s="516" t="str">
        <f t="shared" si="93"/>
        <v>-</v>
      </c>
      <c r="K162" s="200" t="str">
        <f t="shared" si="94"/>
        <v>-</v>
      </c>
      <c r="L162" s="596"/>
      <c r="M162" s="199" t="e">
        <f>RANK(K162, K$147:$K$176)</f>
        <v>#VALUE!</v>
      </c>
      <c r="N162" s="614"/>
      <c r="O162" s="614"/>
      <c r="P162" s="182"/>
      <c r="Q162" s="182"/>
      <c r="R162" s="182"/>
      <c r="S162" s="298" t="e">
        <f t="shared" si="96"/>
        <v>#N/A</v>
      </c>
      <c r="T162" s="624"/>
      <c r="U162" s="182"/>
      <c r="V162" s="182"/>
      <c r="W162" s="182"/>
      <c r="X162" s="442" t="e">
        <f t="shared" si="78"/>
        <v>#N/A</v>
      </c>
      <c r="Y162" s="624"/>
      <c r="Z162" s="182"/>
      <c r="AA162" s="182"/>
      <c r="AB162" s="182"/>
      <c r="AC162" s="442" t="e">
        <f t="shared" si="80"/>
        <v>#N/A</v>
      </c>
      <c r="AD162" s="624"/>
      <c r="AE162" s="182"/>
      <c r="AF162" s="182"/>
      <c r="AG162" s="182"/>
      <c r="AH162" s="442" t="e">
        <f t="shared" si="82"/>
        <v>#N/A</v>
      </c>
      <c r="AI162" s="624"/>
      <c r="AJ162" s="182"/>
      <c r="AK162" s="182"/>
      <c r="AL162" s="182"/>
      <c r="AM162" s="442" t="e">
        <f t="shared" si="84"/>
        <v>#N/A</v>
      </c>
      <c r="AN162" s="624"/>
      <c r="AO162" s="182"/>
      <c r="AP162" s="182"/>
      <c r="AQ162" s="182"/>
      <c r="AR162" s="442" t="e">
        <f t="shared" si="86"/>
        <v>#N/A</v>
      </c>
      <c r="AS162" s="624"/>
      <c r="AT162" s="182"/>
      <c r="AU162" s="182"/>
      <c r="AV162" s="182"/>
      <c r="AW162" s="442" t="e">
        <f t="shared" si="88"/>
        <v>#N/A</v>
      </c>
      <c r="AX162" s="624"/>
      <c r="AZ162" s="529" t="e">
        <f t="shared" si="90"/>
        <v>#N/A</v>
      </c>
      <c r="BA162" s="624"/>
    </row>
    <row r="163" spans="2:53">
      <c r="B163" s="622"/>
      <c r="C163" s="298">
        <v>17</v>
      </c>
      <c r="D163" s="502"/>
      <c r="E163" s="502"/>
      <c r="F163" s="502"/>
      <c r="G163" s="182"/>
      <c r="H163" s="624"/>
      <c r="I163" s="516" t="str">
        <f t="shared" si="92"/>
        <v>-</v>
      </c>
      <c r="J163" s="516" t="str">
        <f t="shared" si="93"/>
        <v>-</v>
      </c>
      <c r="K163" s="200" t="str">
        <f t="shared" si="94"/>
        <v>-</v>
      </c>
      <c r="L163" s="596"/>
      <c r="M163" s="199" t="e">
        <f>RANK(K163, K$147:$K$176)</f>
        <v>#VALUE!</v>
      </c>
      <c r="N163" s="614"/>
      <c r="O163" s="614"/>
      <c r="P163" s="182"/>
      <c r="Q163" s="182"/>
      <c r="R163" s="182"/>
      <c r="S163" s="298" t="e">
        <f t="shared" si="96"/>
        <v>#N/A</v>
      </c>
      <c r="T163" s="624"/>
      <c r="U163" s="182"/>
      <c r="V163" s="182"/>
      <c r="W163" s="182"/>
      <c r="X163" s="442" t="e">
        <f t="shared" ref="X163:X176" si="97">RANK(W163, W$147:W$176)</f>
        <v>#N/A</v>
      </c>
      <c r="Y163" s="624"/>
      <c r="Z163" s="182"/>
      <c r="AA163" s="182"/>
      <c r="AB163" s="182"/>
      <c r="AC163" s="442" t="e">
        <f t="shared" ref="AC163:AC176" si="98">RANK(AB163, AB$147:AB$176)</f>
        <v>#N/A</v>
      </c>
      <c r="AD163" s="624"/>
      <c r="AE163" s="182"/>
      <c r="AF163" s="182"/>
      <c r="AG163" s="182"/>
      <c r="AH163" s="442" t="e">
        <f t="shared" ref="AH163:AH176" si="99">RANK(AG163, AG$147:AG$176)</f>
        <v>#N/A</v>
      </c>
      <c r="AI163" s="624"/>
      <c r="AJ163" s="182"/>
      <c r="AK163" s="182"/>
      <c r="AL163" s="182"/>
      <c r="AM163" s="442" t="e">
        <f t="shared" ref="AM163:AM176" si="100">RANK(AL163, AL$147:AL$176)</f>
        <v>#N/A</v>
      </c>
      <c r="AN163" s="624"/>
      <c r="AO163" s="182"/>
      <c r="AP163" s="182"/>
      <c r="AQ163" s="182"/>
      <c r="AR163" s="442" t="e">
        <f t="shared" ref="AR163:AR176" si="101">RANK(AQ163, AQ$147:AQ$176)</f>
        <v>#N/A</v>
      </c>
      <c r="AS163" s="624"/>
      <c r="AT163" s="182"/>
      <c r="AU163" s="182"/>
      <c r="AV163" s="182"/>
      <c r="AW163" s="442" t="e">
        <f t="shared" ref="AW163:AW176" si="102">RANK(AV163, AV$147:AV$176)</f>
        <v>#N/A</v>
      </c>
      <c r="AX163" s="624"/>
      <c r="AZ163" s="529" t="e">
        <f t="shared" si="90"/>
        <v>#N/A</v>
      </c>
      <c r="BA163" s="624"/>
    </row>
    <row r="164" spans="2:53">
      <c r="B164" s="622"/>
      <c r="C164" s="298">
        <v>18</v>
      </c>
      <c r="D164" s="502"/>
      <c r="E164" s="502"/>
      <c r="F164" s="502"/>
      <c r="G164" s="182"/>
      <c r="H164" s="624"/>
      <c r="I164" s="516" t="str">
        <f t="shared" si="92"/>
        <v>-</v>
      </c>
      <c r="J164" s="516" t="str">
        <f t="shared" si="93"/>
        <v>-</v>
      </c>
      <c r="K164" s="200" t="str">
        <f t="shared" si="94"/>
        <v>-</v>
      </c>
      <c r="L164" s="596"/>
      <c r="M164" s="199" t="e">
        <f>RANK(K164, K$147:$K$176)</f>
        <v>#VALUE!</v>
      </c>
      <c r="N164" s="614"/>
      <c r="O164" s="614"/>
      <c r="P164" s="182"/>
      <c r="Q164" s="182"/>
      <c r="R164" s="182"/>
      <c r="S164" s="298" t="e">
        <f t="shared" si="96"/>
        <v>#N/A</v>
      </c>
      <c r="T164" s="624"/>
      <c r="U164" s="182"/>
      <c r="V164" s="182"/>
      <c r="W164" s="182"/>
      <c r="X164" s="442" t="e">
        <f t="shared" si="97"/>
        <v>#N/A</v>
      </c>
      <c r="Y164" s="624"/>
      <c r="Z164" s="182"/>
      <c r="AA164" s="182"/>
      <c r="AB164" s="182"/>
      <c r="AC164" s="442" t="e">
        <f t="shared" si="98"/>
        <v>#N/A</v>
      </c>
      <c r="AD164" s="624"/>
      <c r="AE164" s="182"/>
      <c r="AF164" s="182"/>
      <c r="AG164" s="182"/>
      <c r="AH164" s="442" t="e">
        <f t="shared" si="99"/>
        <v>#N/A</v>
      </c>
      <c r="AI164" s="624"/>
      <c r="AJ164" s="182"/>
      <c r="AK164" s="182"/>
      <c r="AL164" s="182"/>
      <c r="AM164" s="442" t="e">
        <f t="shared" si="100"/>
        <v>#N/A</v>
      </c>
      <c r="AN164" s="624"/>
      <c r="AO164" s="182"/>
      <c r="AP164" s="182"/>
      <c r="AQ164" s="182"/>
      <c r="AR164" s="442" t="e">
        <f t="shared" si="101"/>
        <v>#N/A</v>
      </c>
      <c r="AS164" s="624"/>
      <c r="AT164" s="182"/>
      <c r="AU164" s="182"/>
      <c r="AV164" s="182"/>
      <c r="AW164" s="442" t="e">
        <f t="shared" si="102"/>
        <v>#N/A</v>
      </c>
      <c r="AX164" s="624"/>
      <c r="AZ164" s="529" t="e">
        <f t="shared" si="90"/>
        <v>#N/A</v>
      </c>
      <c r="BA164" s="624"/>
    </row>
    <row r="165" spans="2:53">
      <c r="B165" s="622"/>
      <c r="C165" s="298">
        <v>19</v>
      </c>
      <c r="D165" s="502"/>
      <c r="E165" s="502"/>
      <c r="F165" s="502"/>
      <c r="G165" s="182"/>
      <c r="H165" s="624"/>
      <c r="I165" s="516" t="str">
        <f t="shared" si="92"/>
        <v>-</v>
      </c>
      <c r="J165" s="516" t="str">
        <f t="shared" si="93"/>
        <v>-</v>
      </c>
      <c r="K165" s="200" t="str">
        <f t="shared" si="94"/>
        <v>-</v>
      </c>
      <c r="L165" s="596"/>
      <c r="M165" s="199" t="e">
        <f>RANK(K165, K$147:$K$176)</f>
        <v>#VALUE!</v>
      </c>
      <c r="N165" s="614"/>
      <c r="O165" s="614"/>
      <c r="P165" s="182"/>
      <c r="Q165" s="182"/>
      <c r="R165" s="182"/>
      <c r="S165" s="298" t="e">
        <f t="shared" si="96"/>
        <v>#N/A</v>
      </c>
      <c r="T165" s="624"/>
      <c r="U165" s="182"/>
      <c r="V165" s="182"/>
      <c r="W165" s="182"/>
      <c r="X165" s="442" t="e">
        <f t="shared" si="97"/>
        <v>#N/A</v>
      </c>
      <c r="Y165" s="624"/>
      <c r="Z165" s="182"/>
      <c r="AA165" s="182"/>
      <c r="AB165" s="182"/>
      <c r="AC165" s="442" t="e">
        <f t="shared" si="98"/>
        <v>#N/A</v>
      </c>
      <c r="AD165" s="624"/>
      <c r="AE165" s="182"/>
      <c r="AF165" s="182"/>
      <c r="AG165" s="182"/>
      <c r="AH165" s="442" t="e">
        <f t="shared" si="99"/>
        <v>#N/A</v>
      </c>
      <c r="AI165" s="624"/>
      <c r="AJ165" s="182"/>
      <c r="AK165" s="182"/>
      <c r="AL165" s="182"/>
      <c r="AM165" s="442" t="e">
        <f t="shared" si="100"/>
        <v>#N/A</v>
      </c>
      <c r="AN165" s="624"/>
      <c r="AO165" s="182"/>
      <c r="AP165" s="182"/>
      <c r="AQ165" s="182"/>
      <c r="AR165" s="442" t="e">
        <f t="shared" si="101"/>
        <v>#N/A</v>
      </c>
      <c r="AS165" s="624"/>
      <c r="AT165" s="182"/>
      <c r="AU165" s="182"/>
      <c r="AV165" s="182"/>
      <c r="AW165" s="442" t="e">
        <f t="shared" si="102"/>
        <v>#N/A</v>
      </c>
      <c r="AX165" s="624"/>
      <c r="AZ165" s="529" t="e">
        <f t="shared" si="90"/>
        <v>#N/A</v>
      </c>
      <c r="BA165" s="624"/>
    </row>
    <row r="166" spans="2:53">
      <c r="B166" s="622"/>
      <c r="C166" s="298">
        <v>20</v>
      </c>
      <c r="D166" s="502"/>
      <c r="E166" s="502"/>
      <c r="F166" s="502"/>
      <c r="G166" s="182"/>
      <c r="H166" s="624"/>
      <c r="I166" s="516" t="str">
        <f t="shared" si="92"/>
        <v>-</v>
      </c>
      <c r="J166" s="516" t="str">
        <f t="shared" si="93"/>
        <v>-</v>
      </c>
      <c r="K166" s="200" t="str">
        <f t="shared" si="94"/>
        <v>-</v>
      </c>
      <c r="L166" s="596"/>
      <c r="M166" s="199" t="e">
        <f>RANK(K166, K$147:$K$176)</f>
        <v>#VALUE!</v>
      </c>
      <c r="N166" s="614"/>
      <c r="O166" s="614"/>
      <c r="P166" s="182"/>
      <c r="Q166" s="182"/>
      <c r="R166" s="182"/>
      <c r="S166" s="298" t="e">
        <f t="shared" si="96"/>
        <v>#N/A</v>
      </c>
      <c r="T166" s="624"/>
      <c r="U166" s="182"/>
      <c r="V166" s="182"/>
      <c r="W166" s="182"/>
      <c r="X166" s="442" t="e">
        <f t="shared" si="97"/>
        <v>#N/A</v>
      </c>
      <c r="Y166" s="624"/>
      <c r="Z166" s="182"/>
      <c r="AA166" s="182"/>
      <c r="AB166" s="182"/>
      <c r="AC166" s="442" t="e">
        <f t="shared" si="98"/>
        <v>#N/A</v>
      </c>
      <c r="AD166" s="624"/>
      <c r="AE166" s="182"/>
      <c r="AF166" s="182"/>
      <c r="AG166" s="182"/>
      <c r="AH166" s="442" t="e">
        <f t="shared" si="99"/>
        <v>#N/A</v>
      </c>
      <c r="AI166" s="624"/>
      <c r="AJ166" s="182"/>
      <c r="AK166" s="182"/>
      <c r="AL166" s="182"/>
      <c r="AM166" s="442" t="e">
        <f t="shared" si="100"/>
        <v>#N/A</v>
      </c>
      <c r="AN166" s="624"/>
      <c r="AO166" s="182"/>
      <c r="AP166" s="182"/>
      <c r="AQ166" s="182"/>
      <c r="AR166" s="442" t="e">
        <f t="shared" si="101"/>
        <v>#N/A</v>
      </c>
      <c r="AS166" s="624"/>
      <c r="AT166" s="182"/>
      <c r="AU166" s="182"/>
      <c r="AV166" s="182"/>
      <c r="AW166" s="442" t="e">
        <f t="shared" si="102"/>
        <v>#N/A</v>
      </c>
      <c r="AX166" s="624"/>
      <c r="AZ166" s="529" t="e">
        <f t="shared" si="90"/>
        <v>#N/A</v>
      </c>
      <c r="BA166" s="624"/>
    </row>
    <row r="167" spans="2:53">
      <c r="B167" s="622"/>
      <c r="C167" s="298">
        <v>21</v>
      </c>
      <c r="D167" s="503"/>
      <c r="E167" s="502"/>
      <c r="F167" s="502"/>
      <c r="G167" s="182"/>
      <c r="H167" s="624"/>
      <c r="I167" s="516" t="str">
        <f t="shared" si="92"/>
        <v>-</v>
      </c>
      <c r="J167" s="516" t="str">
        <f t="shared" si="93"/>
        <v>-</v>
      </c>
      <c r="K167" s="200" t="str">
        <f t="shared" si="94"/>
        <v>-</v>
      </c>
      <c r="L167" s="596"/>
      <c r="M167" s="199" t="e">
        <f>RANK(K167, K$147:$K$176)</f>
        <v>#VALUE!</v>
      </c>
      <c r="N167" s="614"/>
      <c r="O167" s="614"/>
      <c r="P167" s="505"/>
      <c r="Q167" s="182"/>
      <c r="R167" s="506"/>
      <c r="S167" s="298" t="e">
        <f t="shared" si="96"/>
        <v>#N/A</v>
      </c>
      <c r="T167" s="624"/>
      <c r="U167" s="505"/>
      <c r="V167" s="182"/>
      <c r="W167" s="506"/>
      <c r="X167" s="442" t="e">
        <f t="shared" si="97"/>
        <v>#N/A</v>
      </c>
      <c r="Y167" s="624"/>
      <c r="Z167" s="505"/>
      <c r="AA167" s="182"/>
      <c r="AB167" s="506"/>
      <c r="AC167" s="442" t="e">
        <f t="shared" si="98"/>
        <v>#N/A</v>
      </c>
      <c r="AD167" s="624"/>
      <c r="AE167" s="505"/>
      <c r="AF167" s="182"/>
      <c r="AG167" s="506"/>
      <c r="AH167" s="442" t="e">
        <f t="shared" si="99"/>
        <v>#N/A</v>
      </c>
      <c r="AI167" s="624"/>
      <c r="AJ167" s="505"/>
      <c r="AK167" s="182"/>
      <c r="AL167" s="506"/>
      <c r="AM167" s="442" t="e">
        <f t="shared" si="100"/>
        <v>#N/A</v>
      </c>
      <c r="AN167" s="624"/>
      <c r="AO167" s="505"/>
      <c r="AP167" s="182"/>
      <c r="AQ167" s="506"/>
      <c r="AR167" s="442" t="e">
        <f t="shared" si="101"/>
        <v>#N/A</v>
      </c>
      <c r="AS167" s="624"/>
      <c r="AT167" s="505"/>
      <c r="AU167" s="182"/>
      <c r="AV167" s="506"/>
      <c r="AW167" s="442" t="e">
        <f t="shared" si="102"/>
        <v>#N/A</v>
      </c>
      <c r="AX167" s="624"/>
      <c r="AZ167" s="529" t="e">
        <f t="shared" si="90"/>
        <v>#N/A</v>
      </c>
      <c r="BA167" s="624"/>
    </row>
    <row r="168" spans="2:53">
      <c r="B168" s="622"/>
      <c r="C168" s="298">
        <v>22</v>
      </c>
      <c r="D168" s="298"/>
      <c r="E168" s="298"/>
      <c r="F168" s="298"/>
      <c r="G168" s="298"/>
      <c r="H168" s="624"/>
      <c r="I168" s="516" t="str">
        <f t="shared" si="92"/>
        <v>-</v>
      </c>
      <c r="J168" s="516" t="str">
        <f t="shared" si="93"/>
        <v>-</v>
      </c>
      <c r="K168" s="200" t="str">
        <f t="shared" si="94"/>
        <v>-</v>
      </c>
      <c r="L168" s="596"/>
      <c r="M168" s="199" t="e">
        <f>RANK(K168, K$147:$K$176)</f>
        <v>#VALUE!</v>
      </c>
      <c r="N168" s="614"/>
      <c r="O168" s="614"/>
      <c r="P168" s="505"/>
      <c r="Q168" s="182"/>
      <c r="R168" s="506"/>
      <c r="S168" s="298" t="e">
        <f t="shared" si="96"/>
        <v>#N/A</v>
      </c>
      <c r="T168" s="624"/>
      <c r="U168" s="505"/>
      <c r="V168" s="182"/>
      <c r="W168" s="506"/>
      <c r="X168" s="442" t="e">
        <f t="shared" si="97"/>
        <v>#N/A</v>
      </c>
      <c r="Y168" s="624"/>
      <c r="Z168" s="505"/>
      <c r="AA168" s="182"/>
      <c r="AB168" s="506"/>
      <c r="AC168" s="442" t="e">
        <f t="shared" si="98"/>
        <v>#N/A</v>
      </c>
      <c r="AD168" s="624"/>
      <c r="AE168" s="505"/>
      <c r="AF168" s="182"/>
      <c r="AG168" s="506"/>
      <c r="AH168" s="442" t="e">
        <f t="shared" si="99"/>
        <v>#N/A</v>
      </c>
      <c r="AI168" s="624"/>
      <c r="AJ168" s="505"/>
      <c r="AK168" s="182"/>
      <c r="AL168" s="506"/>
      <c r="AM168" s="442" t="e">
        <f t="shared" si="100"/>
        <v>#N/A</v>
      </c>
      <c r="AN168" s="624"/>
      <c r="AO168" s="505"/>
      <c r="AP168" s="182"/>
      <c r="AQ168" s="506"/>
      <c r="AR168" s="442" t="e">
        <f t="shared" si="101"/>
        <v>#N/A</v>
      </c>
      <c r="AS168" s="624"/>
      <c r="AT168" s="505"/>
      <c r="AU168" s="182"/>
      <c r="AV168" s="506"/>
      <c r="AW168" s="442" t="e">
        <f t="shared" si="102"/>
        <v>#N/A</v>
      </c>
      <c r="AX168" s="624"/>
      <c r="AZ168" s="529" t="e">
        <f t="shared" si="90"/>
        <v>#N/A</v>
      </c>
      <c r="BA168" s="624"/>
    </row>
    <row r="169" spans="2:53">
      <c r="B169" s="622"/>
      <c r="C169" s="298">
        <v>23</v>
      </c>
      <c r="D169" s="298"/>
      <c r="E169" s="298"/>
      <c r="F169" s="298"/>
      <c r="G169" s="298"/>
      <c r="H169" s="624"/>
      <c r="I169" s="516" t="str">
        <f t="shared" si="92"/>
        <v>-</v>
      </c>
      <c r="J169" s="516" t="str">
        <f t="shared" si="93"/>
        <v>-</v>
      </c>
      <c r="K169" s="200" t="str">
        <f t="shared" si="94"/>
        <v>-</v>
      </c>
      <c r="L169" s="596"/>
      <c r="M169" s="199" t="e">
        <f>RANK(K169, K$147:$K$176)</f>
        <v>#VALUE!</v>
      </c>
      <c r="N169" s="614"/>
      <c r="O169" s="614"/>
      <c r="P169" s="505"/>
      <c r="Q169" s="182"/>
      <c r="R169" s="506"/>
      <c r="S169" s="298" t="e">
        <f t="shared" si="96"/>
        <v>#N/A</v>
      </c>
      <c r="T169" s="624"/>
      <c r="U169" s="505"/>
      <c r="V169" s="182"/>
      <c r="W169" s="506"/>
      <c r="X169" s="442" t="e">
        <f t="shared" si="97"/>
        <v>#N/A</v>
      </c>
      <c r="Y169" s="624"/>
      <c r="Z169" s="505"/>
      <c r="AA169" s="182"/>
      <c r="AB169" s="506"/>
      <c r="AC169" s="442" t="e">
        <f t="shared" si="98"/>
        <v>#N/A</v>
      </c>
      <c r="AD169" s="624"/>
      <c r="AE169" s="505"/>
      <c r="AF169" s="182"/>
      <c r="AG169" s="506"/>
      <c r="AH169" s="442" t="e">
        <f t="shared" si="99"/>
        <v>#N/A</v>
      </c>
      <c r="AI169" s="624"/>
      <c r="AJ169" s="505"/>
      <c r="AK169" s="182"/>
      <c r="AL169" s="506"/>
      <c r="AM169" s="442" t="e">
        <f t="shared" si="100"/>
        <v>#N/A</v>
      </c>
      <c r="AN169" s="624"/>
      <c r="AO169" s="505"/>
      <c r="AP169" s="182"/>
      <c r="AQ169" s="506"/>
      <c r="AR169" s="442" t="e">
        <f t="shared" si="101"/>
        <v>#N/A</v>
      </c>
      <c r="AS169" s="624"/>
      <c r="AT169" s="505"/>
      <c r="AU169" s="182"/>
      <c r="AV169" s="506"/>
      <c r="AW169" s="442" t="e">
        <f t="shared" si="102"/>
        <v>#N/A</v>
      </c>
      <c r="AX169" s="624"/>
      <c r="AZ169" s="529" t="e">
        <f t="shared" si="90"/>
        <v>#N/A</v>
      </c>
      <c r="BA169" s="624"/>
    </row>
    <row r="170" spans="2:53">
      <c r="B170" s="622"/>
      <c r="C170" s="298">
        <v>24</v>
      </c>
      <c r="D170" s="298"/>
      <c r="E170" s="298"/>
      <c r="F170" s="298"/>
      <c r="G170" s="298"/>
      <c r="H170" s="624"/>
      <c r="I170" s="516" t="str">
        <f t="shared" si="92"/>
        <v>-</v>
      </c>
      <c r="J170" s="516" t="str">
        <f t="shared" si="93"/>
        <v>-</v>
      </c>
      <c r="K170" s="200" t="str">
        <f t="shared" si="94"/>
        <v>-</v>
      </c>
      <c r="L170" s="596"/>
      <c r="M170" s="199" t="e">
        <f>RANK(K170, K$147:$K$176)</f>
        <v>#VALUE!</v>
      </c>
      <c r="N170" s="614"/>
      <c r="O170" s="614"/>
      <c r="P170" s="505"/>
      <c r="Q170" s="182"/>
      <c r="R170" s="506"/>
      <c r="S170" s="298" t="e">
        <f t="shared" si="96"/>
        <v>#N/A</v>
      </c>
      <c r="T170" s="624"/>
      <c r="U170" s="505"/>
      <c r="V170" s="182"/>
      <c r="W170" s="506"/>
      <c r="X170" s="442" t="e">
        <f t="shared" si="97"/>
        <v>#N/A</v>
      </c>
      <c r="Y170" s="624"/>
      <c r="Z170" s="505"/>
      <c r="AA170" s="182"/>
      <c r="AB170" s="506"/>
      <c r="AC170" s="442" t="e">
        <f t="shared" si="98"/>
        <v>#N/A</v>
      </c>
      <c r="AD170" s="624"/>
      <c r="AE170" s="505"/>
      <c r="AF170" s="182"/>
      <c r="AG170" s="506"/>
      <c r="AH170" s="442" t="e">
        <f t="shared" si="99"/>
        <v>#N/A</v>
      </c>
      <c r="AI170" s="624"/>
      <c r="AJ170" s="505"/>
      <c r="AK170" s="182"/>
      <c r="AL170" s="506"/>
      <c r="AM170" s="442" t="e">
        <f t="shared" si="100"/>
        <v>#N/A</v>
      </c>
      <c r="AN170" s="624"/>
      <c r="AO170" s="505"/>
      <c r="AP170" s="182"/>
      <c r="AQ170" s="506"/>
      <c r="AR170" s="442" t="e">
        <f t="shared" si="101"/>
        <v>#N/A</v>
      </c>
      <c r="AS170" s="624"/>
      <c r="AT170" s="505"/>
      <c r="AU170" s="182"/>
      <c r="AV170" s="506"/>
      <c r="AW170" s="442" t="e">
        <f t="shared" si="102"/>
        <v>#N/A</v>
      </c>
      <c r="AX170" s="624"/>
      <c r="AZ170" s="529" t="e">
        <f t="shared" si="90"/>
        <v>#N/A</v>
      </c>
      <c r="BA170" s="624"/>
    </row>
    <row r="171" spans="2:53">
      <c r="B171" s="622"/>
      <c r="C171" s="298">
        <v>25</v>
      </c>
      <c r="D171" s="298"/>
      <c r="E171" s="298"/>
      <c r="F171" s="298"/>
      <c r="G171" s="298"/>
      <c r="H171" s="624"/>
      <c r="I171" s="516" t="str">
        <f t="shared" si="92"/>
        <v>-</v>
      </c>
      <c r="J171" s="516" t="str">
        <f t="shared" si="93"/>
        <v>-</v>
      </c>
      <c r="K171" s="200" t="str">
        <f t="shared" si="94"/>
        <v>-</v>
      </c>
      <c r="L171" s="596"/>
      <c r="M171" s="199" t="e">
        <f>RANK(K171, K$147:$K$176)</f>
        <v>#VALUE!</v>
      </c>
      <c r="N171" s="614"/>
      <c r="O171" s="614"/>
      <c r="P171" s="505"/>
      <c r="Q171" s="182"/>
      <c r="R171" s="506"/>
      <c r="S171" s="298" t="e">
        <f t="shared" si="96"/>
        <v>#N/A</v>
      </c>
      <c r="T171" s="624"/>
      <c r="U171" s="505"/>
      <c r="V171" s="182"/>
      <c r="W171" s="506"/>
      <c r="X171" s="442" t="e">
        <f t="shared" si="97"/>
        <v>#N/A</v>
      </c>
      <c r="Y171" s="624"/>
      <c r="Z171" s="505"/>
      <c r="AA171" s="182"/>
      <c r="AB171" s="506"/>
      <c r="AC171" s="442" t="e">
        <f t="shared" si="98"/>
        <v>#N/A</v>
      </c>
      <c r="AD171" s="624"/>
      <c r="AE171" s="505"/>
      <c r="AF171" s="182"/>
      <c r="AG171" s="506"/>
      <c r="AH171" s="442" t="e">
        <f t="shared" si="99"/>
        <v>#N/A</v>
      </c>
      <c r="AI171" s="624"/>
      <c r="AJ171" s="505"/>
      <c r="AK171" s="182"/>
      <c r="AL171" s="506"/>
      <c r="AM171" s="442" t="e">
        <f t="shared" si="100"/>
        <v>#N/A</v>
      </c>
      <c r="AN171" s="624"/>
      <c r="AO171" s="505"/>
      <c r="AP171" s="182"/>
      <c r="AQ171" s="506"/>
      <c r="AR171" s="442" t="e">
        <f t="shared" si="101"/>
        <v>#N/A</v>
      </c>
      <c r="AS171" s="624"/>
      <c r="AT171" s="505"/>
      <c r="AU171" s="182"/>
      <c r="AV171" s="506"/>
      <c r="AW171" s="442" t="e">
        <f t="shared" si="102"/>
        <v>#N/A</v>
      </c>
      <c r="AX171" s="624"/>
      <c r="AZ171" s="529" t="e">
        <f t="shared" si="90"/>
        <v>#N/A</v>
      </c>
      <c r="BA171" s="624"/>
    </row>
    <row r="172" spans="2:53">
      <c r="B172" s="622"/>
      <c r="C172" s="298">
        <v>26</v>
      </c>
      <c r="D172" s="298"/>
      <c r="E172" s="298"/>
      <c r="F172" s="298"/>
      <c r="G172" s="298"/>
      <c r="H172" s="624"/>
      <c r="I172" s="516" t="str">
        <f t="shared" si="92"/>
        <v>-</v>
      </c>
      <c r="J172" s="516" t="str">
        <f t="shared" si="93"/>
        <v>-</v>
      </c>
      <c r="K172" s="200" t="str">
        <f t="shared" si="94"/>
        <v>-</v>
      </c>
      <c r="L172" s="596"/>
      <c r="M172" s="199" t="e">
        <f>RANK(K172, K$147:$K$176)</f>
        <v>#VALUE!</v>
      </c>
      <c r="N172" s="614"/>
      <c r="O172" s="614"/>
      <c r="P172" s="505"/>
      <c r="Q172" s="182"/>
      <c r="R172" s="506"/>
      <c r="S172" s="298" t="e">
        <f t="shared" si="96"/>
        <v>#N/A</v>
      </c>
      <c r="T172" s="624"/>
      <c r="U172" s="505"/>
      <c r="V172" s="182"/>
      <c r="W172" s="506"/>
      <c r="X172" s="442" t="e">
        <f t="shared" si="97"/>
        <v>#N/A</v>
      </c>
      <c r="Y172" s="624"/>
      <c r="Z172" s="505"/>
      <c r="AA172" s="182"/>
      <c r="AB172" s="506"/>
      <c r="AC172" s="442" t="e">
        <f t="shared" si="98"/>
        <v>#N/A</v>
      </c>
      <c r="AD172" s="624"/>
      <c r="AE172" s="505"/>
      <c r="AF172" s="182"/>
      <c r="AG172" s="506"/>
      <c r="AH172" s="442" t="e">
        <f t="shared" si="99"/>
        <v>#N/A</v>
      </c>
      <c r="AI172" s="624"/>
      <c r="AJ172" s="505"/>
      <c r="AK172" s="182"/>
      <c r="AL172" s="506"/>
      <c r="AM172" s="442" t="e">
        <f t="shared" si="100"/>
        <v>#N/A</v>
      </c>
      <c r="AN172" s="624"/>
      <c r="AO172" s="505"/>
      <c r="AP172" s="182"/>
      <c r="AQ172" s="506"/>
      <c r="AR172" s="442" t="e">
        <f t="shared" si="101"/>
        <v>#N/A</v>
      </c>
      <c r="AS172" s="624"/>
      <c r="AT172" s="505"/>
      <c r="AU172" s="182"/>
      <c r="AV172" s="506"/>
      <c r="AW172" s="442" t="e">
        <f t="shared" si="102"/>
        <v>#N/A</v>
      </c>
      <c r="AX172" s="624"/>
      <c r="AZ172" s="529" t="e">
        <f t="shared" si="90"/>
        <v>#N/A</v>
      </c>
      <c r="BA172" s="624"/>
    </row>
    <row r="173" spans="2:53">
      <c r="B173" s="622"/>
      <c r="C173" s="298">
        <v>27</v>
      </c>
      <c r="D173" s="298"/>
      <c r="E173" s="298"/>
      <c r="F173" s="298"/>
      <c r="G173" s="298"/>
      <c r="H173" s="624"/>
      <c r="I173" s="516" t="str">
        <f t="shared" si="92"/>
        <v>-</v>
      </c>
      <c r="J173" s="516" t="str">
        <f t="shared" si="93"/>
        <v>-</v>
      </c>
      <c r="K173" s="200" t="str">
        <f t="shared" si="94"/>
        <v>-</v>
      </c>
      <c r="L173" s="596"/>
      <c r="M173" s="199" t="e">
        <f>RANK(K173, K$147:$K$176)</f>
        <v>#VALUE!</v>
      </c>
      <c r="N173" s="614"/>
      <c r="O173" s="614"/>
      <c r="P173" s="505"/>
      <c r="Q173" s="182"/>
      <c r="R173" s="506"/>
      <c r="S173" s="298" t="e">
        <f t="shared" si="96"/>
        <v>#N/A</v>
      </c>
      <c r="T173" s="624"/>
      <c r="U173" s="505"/>
      <c r="V173" s="182"/>
      <c r="W173" s="506"/>
      <c r="X173" s="442" t="e">
        <f t="shared" si="97"/>
        <v>#N/A</v>
      </c>
      <c r="Y173" s="624"/>
      <c r="Z173" s="505"/>
      <c r="AA173" s="182"/>
      <c r="AB173" s="506"/>
      <c r="AC173" s="442" t="e">
        <f t="shared" si="98"/>
        <v>#N/A</v>
      </c>
      <c r="AD173" s="624"/>
      <c r="AE173" s="505"/>
      <c r="AF173" s="182"/>
      <c r="AG173" s="506"/>
      <c r="AH173" s="442" t="e">
        <f t="shared" si="99"/>
        <v>#N/A</v>
      </c>
      <c r="AI173" s="624"/>
      <c r="AJ173" s="505"/>
      <c r="AK173" s="182"/>
      <c r="AL173" s="506"/>
      <c r="AM173" s="442" t="e">
        <f t="shared" si="100"/>
        <v>#N/A</v>
      </c>
      <c r="AN173" s="624"/>
      <c r="AO173" s="505"/>
      <c r="AP173" s="182"/>
      <c r="AQ173" s="506"/>
      <c r="AR173" s="442" t="e">
        <f t="shared" si="101"/>
        <v>#N/A</v>
      </c>
      <c r="AS173" s="624"/>
      <c r="AT173" s="505"/>
      <c r="AU173" s="182"/>
      <c r="AV173" s="506"/>
      <c r="AW173" s="442" t="e">
        <f t="shared" si="102"/>
        <v>#N/A</v>
      </c>
      <c r="AX173" s="624"/>
      <c r="AZ173" s="529" t="e">
        <f t="shared" si="90"/>
        <v>#N/A</v>
      </c>
      <c r="BA173" s="624"/>
    </row>
    <row r="174" spans="2:53">
      <c r="B174" s="622"/>
      <c r="C174" s="298">
        <v>28</v>
      </c>
      <c r="D174" s="298"/>
      <c r="E174" s="298"/>
      <c r="F174" s="298"/>
      <c r="G174" s="298"/>
      <c r="H174" s="624"/>
      <c r="I174" s="516" t="str">
        <f t="shared" si="92"/>
        <v>-</v>
      </c>
      <c r="J174" s="516" t="str">
        <f t="shared" si="93"/>
        <v>-</v>
      </c>
      <c r="K174" s="200" t="str">
        <f t="shared" si="94"/>
        <v>-</v>
      </c>
      <c r="L174" s="596"/>
      <c r="M174" s="199" t="e">
        <f>RANK(K174, K$147:$K$176)</f>
        <v>#VALUE!</v>
      </c>
      <c r="N174" s="614"/>
      <c r="O174" s="614"/>
      <c r="P174" s="505"/>
      <c r="Q174" s="182"/>
      <c r="R174" s="506"/>
      <c r="S174" s="298" t="e">
        <f t="shared" si="96"/>
        <v>#N/A</v>
      </c>
      <c r="T174" s="624"/>
      <c r="U174" s="505"/>
      <c r="V174" s="182"/>
      <c r="W174" s="506"/>
      <c r="X174" s="442" t="e">
        <f t="shared" si="97"/>
        <v>#N/A</v>
      </c>
      <c r="Y174" s="624"/>
      <c r="Z174" s="505"/>
      <c r="AA174" s="182"/>
      <c r="AB174" s="506"/>
      <c r="AC174" s="442" t="e">
        <f t="shared" si="98"/>
        <v>#N/A</v>
      </c>
      <c r="AD174" s="624"/>
      <c r="AE174" s="505"/>
      <c r="AF174" s="182"/>
      <c r="AG174" s="506"/>
      <c r="AH174" s="442" t="e">
        <f t="shared" si="99"/>
        <v>#N/A</v>
      </c>
      <c r="AI174" s="624"/>
      <c r="AJ174" s="505"/>
      <c r="AK174" s="182"/>
      <c r="AL174" s="506"/>
      <c r="AM174" s="442" t="e">
        <f t="shared" si="100"/>
        <v>#N/A</v>
      </c>
      <c r="AN174" s="624"/>
      <c r="AO174" s="505"/>
      <c r="AP174" s="182"/>
      <c r="AQ174" s="506"/>
      <c r="AR174" s="442" t="e">
        <f t="shared" si="101"/>
        <v>#N/A</v>
      </c>
      <c r="AS174" s="624"/>
      <c r="AT174" s="505"/>
      <c r="AU174" s="182"/>
      <c r="AV174" s="506"/>
      <c r="AW174" s="442" t="e">
        <f t="shared" si="102"/>
        <v>#N/A</v>
      </c>
      <c r="AX174" s="624"/>
      <c r="AZ174" s="529" t="e">
        <f t="shared" si="90"/>
        <v>#N/A</v>
      </c>
      <c r="BA174" s="624"/>
    </row>
    <row r="175" spans="2:53">
      <c r="B175" s="622"/>
      <c r="C175" s="298">
        <v>29</v>
      </c>
      <c r="D175" s="298"/>
      <c r="E175" s="298"/>
      <c r="F175" s="298"/>
      <c r="G175" s="298"/>
      <c r="H175" s="624"/>
      <c r="I175" s="516" t="str">
        <f t="shared" si="92"/>
        <v>-</v>
      </c>
      <c r="J175" s="516" t="str">
        <f t="shared" si="93"/>
        <v>-</v>
      </c>
      <c r="K175" s="200" t="str">
        <f t="shared" si="94"/>
        <v>-</v>
      </c>
      <c r="L175" s="596"/>
      <c r="M175" s="199" t="e">
        <f>RANK(K175, K$147:$K$176)</f>
        <v>#VALUE!</v>
      </c>
      <c r="N175" s="614"/>
      <c r="O175" s="614"/>
      <c r="P175" s="505"/>
      <c r="Q175" s="182"/>
      <c r="R175" s="506"/>
      <c r="S175" s="298" t="e">
        <f t="shared" si="96"/>
        <v>#N/A</v>
      </c>
      <c r="T175" s="624"/>
      <c r="U175" s="505"/>
      <c r="V175" s="182"/>
      <c r="W175" s="506"/>
      <c r="X175" s="442" t="e">
        <f t="shared" si="97"/>
        <v>#N/A</v>
      </c>
      <c r="Y175" s="624"/>
      <c r="Z175" s="505"/>
      <c r="AA175" s="182"/>
      <c r="AB175" s="506"/>
      <c r="AC175" s="442" t="e">
        <f t="shared" si="98"/>
        <v>#N/A</v>
      </c>
      <c r="AD175" s="624"/>
      <c r="AE175" s="505"/>
      <c r="AF175" s="182"/>
      <c r="AG175" s="506"/>
      <c r="AH175" s="442" t="e">
        <f t="shared" si="99"/>
        <v>#N/A</v>
      </c>
      <c r="AI175" s="624"/>
      <c r="AJ175" s="505"/>
      <c r="AK175" s="182"/>
      <c r="AL175" s="506"/>
      <c r="AM175" s="442" t="e">
        <f t="shared" si="100"/>
        <v>#N/A</v>
      </c>
      <c r="AN175" s="624"/>
      <c r="AO175" s="505"/>
      <c r="AP175" s="182"/>
      <c r="AQ175" s="506"/>
      <c r="AR175" s="442" t="e">
        <f t="shared" si="101"/>
        <v>#N/A</v>
      </c>
      <c r="AS175" s="624"/>
      <c r="AT175" s="505"/>
      <c r="AU175" s="182"/>
      <c r="AV175" s="506"/>
      <c r="AW175" s="442" t="e">
        <f t="shared" si="102"/>
        <v>#N/A</v>
      </c>
      <c r="AX175" s="624"/>
      <c r="AZ175" s="529" t="e">
        <f t="shared" si="90"/>
        <v>#N/A</v>
      </c>
      <c r="BA175" s="624"/>
    </row>
    <row r="176" spans="2:53">
      <c r="B176" s="622"/>
      <c r="C176" s="298">
        <v>30</v>
      </c>
      <c r="D176" s="298"/>
      <c r="E176" s="298"/>
      <c r="F176" s="298"/>
      <c r="G176" s="298"/>
      <c r="H176" s="625"/>
      <c r="I176" s="516" t="str">
        <f t="shared" si="92"/>
        <v>-</v>
      </c>
      <c r="J176" s="516" t="str">
        <f t="shared" si="93"/>
        <v>-</v>
      </c>
      <c r="K176" s="200" t="str">
        <f t="shared" si="94"/>
        <v>-</v>
      </c>
      <c r="L176" s="597"/>
      <c r="M176" s="199" t="e">
        <f>RANK(K176, K$147:$K$176)</f>
        <v>#VALUE!</v>
      </c>
      <c r="N176" s="614"/>
      <c r="O176" s="614"/>
      <c r="P176" s="505"/>
      <c r="Q176" s="182"/>
      <c r="R176" s="506"/>
      <c r="S176" s="298" t="e">
        <f t="shared" si="95"/>
        <v>#N/A</v>
      </c>
      <c r="T176" s="625"/>
      <c r="U176" s="505"/>
      <c r="V176" s="182"/>
      <c r="W176" s="506"/>
      <c r="X176" s="442" t="e">
        <f t="shared" si="97"/>
        <v>#N/A</v>
      </c>
      <c r="Y176" s="625"/>
      <c r="Z176" s="505"/>
      <c r="AA176" s="182"/>
      <c r="AB176" s="506"/>
      <c r="AC176" s="442" t="e">
        <f t="shared" si="98"/>
        <v>#N/A</v>
      </c>
      <c r="AD176" s="625"/>
      <c r="AE176" s="505"/>
      <c r="AF176" s="182"/>
      <c r="AG176" s="506"/>
      <c r="AH176" s="442" t="e">
        <f t="shared" si="99"/>
        <v>#N/A</v>
      </c>
      <c r="AI176" s="625"/>
      <c r="AJ176" s="505"/>
      <c r="AK176" s="182"/>
      <c r="AL176" s="506"/>
      <c r="AM176" s="442" t="e">
        <f t="shared" si="100"/>
        <v>#N/A</v>
      </c>
      <c r="AN176" s="625"/>
      <c r="AO176" s="505"/>
      <c r="AP176" s="182"/>
      <c r="AQ176" s="506"/>
      <c r="AR176" s="442" t="e">
        <f t="shared" si="101"/>
        <v>#N/A</v>
      </c>
      <c r="AS176" s="625"/>
      <c r="AT176" s="505"/>
      <c r="AU176" s="182"/>
      <c r="AV176" s="506"/>
      <c r="AW176" s="442" t="e">
        <f t="shared" si="102"/>
        <v>#N/A</v>
      </c>
      <c r="AX176" s="625"/>
      <c r="AZ176" s="529" t="e">
        <f t="shared" si="90"/>
        <v>#N/A</v>
      </c>
      <c r="BA176" s="625"/>
    </row>
    <row r="177" spans="2:53" ht="15.75">
      <c r="B177" s="626" t="s">
        <v>163</v>
      </c>
      <c r="C177" s="627"/>
      <c r="D177" s="627"/>
      <c r="E177" s="627"/>
      <c r="F177" s="627"/>
      <c r="G177" s="627"/>
      <c r="H177" s="628"/>
      <c r="I177" s="208"/>
      <c r="J177" s="208"/>
      <c r="K177" s="208"/>
      <c r="L177" s="208"/>
      <c r="M177" s="207"/>
      <c r="N177" s="615" t="s">
        <v>156</v>
      </c>
      <c r="O177" s="615" t="s">
        <v>105</v>
      </c>
      <c r="P177" s="621">
        <f>P142+7</f>
        <v>46147</v>
      </c>
      <c r="Q177" s="622"/>
      <c r="R177" s="622"/>
      <c r="S177" s="622"/>
      <c r="T177" s="622"/>
      <c r="U177" s="618">
        <f>P177+1</f>
        <v>46148</v>
      </c>
      <c r="V177" s="619"/>
      <c r="W177" s="619"/>
      <c r="X177" s="619"/>
      <c r="Y177" s="620"/>
      <c r="Z177" s="618">
        <f>U177+1</f>
        <v>46149</v>
      </c>
      <c r="AA177" s="619"/>
      <c r="AB177" s="619"/>
      <c r="AC177" s="619"/>
      <c r="AD177" s="620"/>
      <c r="AE177" s="618">
        <f>Z177+1</f>
        <v>46150</v>
      </c>
      <c r="AF177" s="619"/>
      <c r="AG177" s="619"/>
      <c r="AH177" s="619"/>
      <c r="AI177" s="620"/>
      <c r="AJ177" s="618">
        <f>AE177+1</f>
        <v>46151</v>
      </c>
      <c r="AK177" s="619"/>
      <c r="AL177" s="619"/>
      <c r="AM177" s="619"/>
      <c r="AN177" s="620"/>
      <c r="AO177" s="618">
        <f>AJ177+1</f>
        <v>46152</v>
      </c>
      <c r="AP177" s="619"/>
      <c r="AQ177" s="619"/>
      <c r="AR177" s="619"/>
      <c r="AS177" s="620"/>
      <c r="AT177" s="618">
        <f>AO177+1</f>
        <v>46153</v>
      </c>
      <c r="AU177" s="619"/>
      <c r="AV177" s="619"/>
      <c r="AW177" s="619"/>
      <c r="AX177" s="620"/>
    </row>
    <row r="178" spans="2:53" ht="15.75">
      <c r="B178" s="629"/>
      <c r="C178" s="629"/>
      <c r="D178" s="629"/>
      <c r="E178" s="629"/>
      <c r="F178" s="629"/>
      <c r="G178" s="629"/>
      <c r="H178" s="629"/>
      <c r="I178" s="205"/>
      <c r="J178" s="205"/>
      <c r="K178" s="205"/>
      <c r="L178" s="205"/>
      <c r="M178" s="206"/>
      <c r="N178" s="617"/>
      <c r="O178" s="617"/>
      <c r="P178" s="621" t="s">
        <v>158</v>
      </c>
      <c r="Q178" s="622"/>
      <c r="R178" s="622"/>
      <c r="S178" s="622"/>
      <c r="T178" s="622"/>
      <c r="U178" s="621" t="s">
        <v>114</v>
      </c>
      <c r="V178" s="622"/>
      <c r="W178" s="622"/>
      <c r="X178" s="622"/>
      <c r="Y178" s="622"/>
      <c r="Z178" s="621" t="s">
        <v>159</v>
      </c>
      <c r="AA178" s="622"/>
      <c r="AB178" s="622"/>
      <c r="AC178" s="622"/>
      <c r="AD178" s="622"/>
      <c r="AE178" s="621" t="s">
        <v>157</v>
      </c>
      <c r="AF178" s="622"/>
      <c r="AG178" s="622"/>
      <c r="AH178" s="622"/>
      <c r="AI178" s="622"/>
      <c r="AJ178" s="621" t="s">
        <v>160</v>
      </c>
      <c r="AK178" s="622"/>
      <c r="AL178" s="622"/>
      <c r="AM178" s="622"/>
      <c r="AN178" s="622"/>
      <c r="AO178" s="621" t="s">
        <v>115</v>
      </c>
      <c r="AP178" s="622"/>
      <c r="AQ178" s="622"/>
      <c r="AR178" s="622"/>
      <c r="AS178" s="622"/>
      <c r="AT178" s="621" t="s">
        <v>162</v>
      </c>
      <c r="AU178" s="622"/>
      <c r="AV178" s="622"/>
      <c r="AW178" s="622"/>
      <c r="AX178" s="622"/>
    </row>
    <row r="179" spans="2:53">
      <c r="B179" s="614" t="s">
        <v>154</v>
      </c>
      <c r="C179" s="614" t="s">
        <v>408</v>
      </c>
      <c r="D179" s="614"/>
      <c r="E179" s="614" t="s">
        <v>399</v>
      </c>
      <c r="F179" s="614"/>
      <c r="G179" s="614"/>
      <c r="H179" s="630" t="s">
        <v>395</v>
      </c>
      <c r="I179" s="614" t="s">
        <v>400</v>
      </c>
      <c r="J179" s="614"/>
      <c r="K179" s="614"/>
      <c r="L179" s="630" t="s">
        <v>395</v>
      </c>
      <c r="M179" s="615" t="s">
        <v>396</v>
      </c>
      <c r="N179" s="614"/>
      <c r="O179" s="614" t="s">
        <v>401</v>
      </c>
      <c r="P179" s="611" t="s">
        <v>397</v>
      </c>
      <c r="Q179" s="612"/>
      <c r="R179" s="612"/>
      <c r="S179" s="613"/>
      <c r="T179" s="614" t="s">
        <v>395</v>
      </c>
      <c r="U179" s="611" t="s">
        <v>397</v>
      </c>
      <c r="V179" s="612"/>
      <c r="W179" s="612"/>
      <c r="X179" s="613"/>
      <c r="Y179" s="614" t="s">
        <v>395</v>
      </c>
      <c r="Z179" s="611" t="s">
        <v>397</v>
      </c>
      <c r="AA179" s="612"/>
      <c r="AB179" s="612"/>
      <c r="AC179" s="613"/>
      <c r="AD179" s="614" t="s">
        <v>395</v>
      </c>
      <c r="AE179" s="611" t="s">
        <v>397</v>
      </c>
      <c r="AF179" s="612"/>
      <c r="AG179" s="612"/>
      <c r="AH179" s="613"/>
      <c r="AI179" s="614" t="s">
        <v>395</v>
      </c>
      <c r="AJ179" s="611" t="s">
        <v>397</v>
      </c>
      <c r="AK179" s="612"/>
      <c r="AL179" s="612"/>
      <c r="AM179" s="613"/>
      <c r="AN179" s="614" t="s">
        <v>395</v>
      </c>
      <c r="AO179" s="611" t="s">
        <v>397</v>
      </c>
      <c r="AP179" s="612"/>
      <c r="AQ179" s="612"/>
      <c r="AR179" s="613"/>
      <c r="AS179" s="614" t="s">
        <v>395</v>
      </c>
      <c r="AT179" s="648" t="s">
        <v>397</v>
      </c>
      <c r="AU179" s="649"/>
      <c r="AV179" s="649"/>
      <c r="AW179" s="650"/>
      <c r="AX179" s="651" t="s">
        <v>395</v>
      </c>
      <c r="BA179" s="651" t="s">
        <v>395</v>
      </c>
    </row>
    <row r="180" spans="2:53">
      <c r="B180" s="614"/>
      <c r="C180" s="614"/>
      <c r="D180" s="614"/>
      <c r="E180" s="614" t="s">
        <v>402</v>
      </c>
      <c r="F180" s="614"/>
      <c r="G180" s="614"/>
      <c r="H180" s="631"/>
      <c r="I180" s="614" t="s">
        <v>402</v>
      </c>
      <c r="J180" s="614"/>
      <c r="K180" s="614"/>
      <c r="L180" s="631"/>
      <c r="M180" s="616"/>
      <c r="N180" s="614"/>
      <c r="O180" s="614"/>
      <c r="P180" s="611" t="s">
        <v>403</v>
      </c>
      <c r="Q180" s="612"/>
      <c r="R180" s="612"/>
      <c r="S180" s="613"/>
      <c r="T180" s="614"/>
      <c r="U180" s="611" t="s">
        <v>403</v>
      </c>
      <c r="V180" s="612"/>
      <c r="W180" s="612"/>
      <c r="X180" s="613"/>
      <c r="Y180" s="614"/>
      <c r="Z180" s="611" t="s">
        <v>403</v>
      </c>
      <c r="AA180" s="612"/>
      <c r="AB180" s="612"/>
      <c r="AC180" s="613"/>
      <c r="AD180" s="614"/>
      <c r="AE180" s="611" t="s">
        <v>403</v>
      </c>
      <c r="AF180" s="612"/>
      <c r="AG180" s="612"/>
      <c r="AH180" s="613"/>
      <c r="AI180" s="614"/>
      <c r="AJ180" s="611" t="s">
        <v>403</v>
      </c>
      <c r="AK180" s="612"/>
      <c r="AL180" s="612"/>
      <c r="AM180" s="613"/>
      <c r="AN180" s="614"/>
      <c r="AO180" s="611" t="s">
        <v>403</v>
      </c>
      <c r="AP180" s="612"/>
      <c r="AQ180" s="612"/>
      <c r="AR180" s="613"/>
      <c r="AS180" s="614"/>
      <c r="AT180" s="648" t="s">
        <v>403</v>
      </c>
      <c r="AU180" s="649"/>
      <c r="AV180" s="649"/>
      <c r="AW180" s="650"/>
      <c r="AX180" s="651"/>
      <c r="BA180" s="651"/>
    </row>
    <row r="181" spans="2:53">
      <c r="B181" s="614"/>
      <c r="C181" s="614"/>
      <c r="D181" s="614"/>
      <c r="E181" s="447" t="s">
        <v>404</v>
      </c>
      <c r="F181" s="447" t="s">
        <v>405</v>
      </c>
      <c r="G181" s="447" t="s">
        <v>406</v>
      </c>
      <c r="H181" s="632"/>
      <c r="I181" s="447" t="s">
        <v>404</v>
      </c>
      <c r="J181" s="447" t="s">
        <v>405</v>
      </c>
      <c r="K181" s="447" t="s">
        <v>406</v>
      </c>
      <c r="L181" s="632"/>
      <c r="M181" s="617"/>
      <c r="N181" s="614"/>
      <c r="O181" s="614"/>
      <c r="P181" s="447" t="s">
        <v>404</v>
      </c>
      <c r="Q181" s="447" t="s">
        <v>405</v>
      </c>
      <c r="R181" s="447" t="s">
        <v>406</v>
      </c>
      <c r="S181" s="447" t="s">
        <v>396</v>
      </c>
      <c r="T181" s="614"/>
      <c r="U181" s="447" t="s">
        <v>404</v>
      </c>
      <c r="V181" s="447" t="s">
        <v>405</v>
      </c>
      <c r="W181" s="447" t="s">
        <v>406</v>
      </c>
      <c r="X181" s="447" t="s">
        <v>396</v>
      </c>
      <c r="Y181" s="614"/>
      <c r="Z181" s="447" t="s">
        <v>404</v>
      </c>
      <c r="AA181" s="447" t="s">
        <v>405</v>
      </c>
      <c r="AB181" s="447" t="s">
        <v>406</v>
      </c>
      <c r="AC181" s="447" t="s">
        <v>396</v>
      </c>
      <c r="AD181" s="614"/>
      <c r="AE181" s="447" t="s">
        <v>404</v>
      </c>
      <c r="AF181" s="447" t="s">
        <v>405</v>
      </c>
      <c r="AG181" s="447" t="s">
        <v>406</v>
      </c>
      <c r="AH181" s="447" t="s">
        <v>396</v>
      </c>
      <c r="AI181" s="614"/>
      <c r="AJ181" s="447" t="s">
        <v>404</v>
      </c>
      <c r="AK181" s="447" t="s">
        <v>405</v>
      </c>
      <c r="AL181" s="447" t="s">
        <v>406</v>
      </c>
      <c r="AM181" s="447" t="s">
        <v>396</v>
      </c>
      <c r="AN181" s="614"/>
      <c r="AO181" s="447" t="s">
        <v>404</v>
      </c>
      <c r="AP181" s="447" t="s">
        <v>405</v>
      </c>
      <c r="AQ181" s="447" t="s">
        <v>406</v>
      </c>
      <c r="AR181" s="447" t="s">
        <v>396</v>
      </c>
      <c r="AS181" s="614"/>
      <c r="AT181" s="451" t="s">
        <v>404</v>
      </c>
      <c r="AU181" s="451" t="s">
        <v>405</v>
      </c>
      <c r="AV181" s="451" t="s">
        <v>406</v>
      </c>
      <c r="AW181" s="451" t="s">
        <v>396</v>
      </c>
      <c r="AX181" s="651"/>
      <c r="AZ181" s="531" t="s">
        <v>396</v>
      </c>
      <c r="BA181" s="651"/>
    </row>
    <row r="182" spans="2:53">
      <c r="B182" s="646" t="s">
        <v>571</v>
      </c>
      <c r="C182" s="452">
        <v>1</v>
      </c>
      <c r="D182" s="514"/>
      <c r="E182" s="514"/>
      <c r="F182" s="514"/>
      <c r="G182" s="182"/>
      <c r="H182" s="658" t="e">
        <f>AVERAGE(G182:G211)</f>
        <v>#DIV/0!</v>
      </c>
      <c r="I182" s="516" t="str">
        <f>IFERROR(AVERAGE(P182,U182,Z182,AE182,AJ182,AO182,AT182),"-")</f>
        <v>-</v>
      </c>
      <c r="J182" s="516" t="str">
        <f>IFERROR(AVERAGE(Q182,V182,AA182,AF182,AK182,AP182,AU182),"-")</f>
        <v>-</v>
      </c>
      <c r="K182" s="200" t="str">
        <f>IFERROR(AVERAGE(R182,W182,AB182,AG182,AL182,AQ182,AV182),"-")</f>
        <v>-</v>
      </c>
      <c r="L182" s="595" t="str">
        <f>IFERROR(AVERAGE(K182:K211),"-")</f>
        <v>-</v>
      </c>
      <c r="M182" s="453" t="e">
        <f>RANK(K182, K$182:$K$211)</f>
        <v>#VALUE!</v>
      </c>
      <c r="N182" s="614"/>
      <c r="O182" s="614"/>
      <c r="P182" s="182"/>
      <c r="Q182" s="182"/>
      <c r="R182" s="182"/>
      <c r="S182" s="452" t="e">
        <f>RANK(R182, R$112:R$141)</f>
        <v>#N/A</v>
      </c>
      <c r="T182" s="661" t="e">
        <f>AVERAGE(R182:R211)</f>
        <v>#DIV/0!</v>
      </c>
      <c r="U182" s="182"/>
      <c r="V182" s="182"/>
      <c r="W182" s="182"/>
      <c r="X182" s="452" t="e">
        <f>RANK(W182, W$112:W$141)</f>
        <v>#N/A</v>
      </c>
      <c r="Y182" s="661" t="e">
        <f>AVERAGE(W182:W211)</f>
        <v>#DIV/0!</v>
      </c>
      <c r="Z182" s="182"/>
      <c r="AA182" s="182"/>
      <c r="AB182" s="182"/>
      <c r="AC182" s="452" t="e">
        <f>RANK(AB182, AB$112:AB$141)</f>
        <v>#N/A</v>
      </c>
      <c r="AD182" s="661" t="e">
        <f>AVERAGE(AB182:AB211)</f>
        <v>#DIV/0!</v>
      </c>
      <c r="AE182" s="182"/>
      <c r="AF182" s="182"/>
      <c r="AG182" s="182"/>
      <c r="AH182" s="452" t="e">
        <f>RANK(AG182, AG$112:AG$141)</f>
        <v>#N/A</v>
      </c>
      <c r="AI182" s="661" t="e">
        <f>AVERAGE(AG182:AG211)</f>
        <v>#DIV/0!</v>
      </c>
      <c r="AJ182" s="182"/>
      <c r="AK182" s="182"/>
      <c r="AL182" s="182"/>
      <c r="AM182" s="452" t="e">
        <f>RANK(AL182, AL$112:AL$141)</f>
        <v>#N/A</v>
      </c>
      <c r="AN182" s="661" t="e">
        <f>AVERAGE(AL182:AL211)</f>
        <v>#DIV/0!</v>
      </c>
      <c r="AO182" s="182"/>
      <c r="AP182" s="182"/>
      <c r="AQ182" s="182"/>
      <c r="AR182" s="452" t="e">
        <f>RANK(AQ182, AQ$112:AQ$141)</f>
        <v>#N/A</v>
      </c>
      <c r="AS182" s="661" t="e">
        <f>AVERAGE(AQ182:AQ211)</f>
        <v>#DIV/0!</v>
      </c>
      <c r="AT182" s="182"/>
      <c r="AU182" s="182"/>
      <c r="AV182" s="182"/>
      <c r="AW182" s="455" t="e">
        <f>RANK(AV182, AV$112:AV$141)</f>
        <v>#N/A</v>
      </c>
      <c r="AX182" s="652" t="e">
        <f>AVERAGE(AV182:AV211)</f>
        <v>#DIV/0!</v>
      </c>
      <c r="AZ182" s="455" t="e">
        <f>RANK(AY182, AY$112:AY$141)</f>
        <v>#N/A</v>
      </c>
      <c r="BA182" s="652" t="e">
        <f>AVERAGE(AY182:AY211)</f>
        <v>#DIV/0!</v>
      </c>
    </row>
    <row r="183" spans="2:53">
      <c r="B183" s="647"/>
      <c r="C183" s="452">
        <v>2</v>
      </c>
      <c r="D183" s="518"/>
      <c r="E183" s="514"/>
      <c r="F183" s="514"/>
      <c r="G183" s="182"/>
      <c r="H183" s="659"/>
      <c r="I183" s="516" t="str">
        <f t="shared" ref="I183:I211" si="103">IFERROR(AVERAGE(P183,U183,Z183,AE183,AJ183,AO183,AT183),"-")</f>
        <v>-</v>
      </c>
      <c r="J183" s="516" t="str">
        <f t="shared" ref="J183:J211" si="104">IFERROR(AVERAGE(Q183,V183,AA183,AF183,AK183,AP183,AU183),"-")</f>
        <v>-</v>
      </c>
      <c r="K183" s="200" t="str">
        <f t="shared" ref="K183:K211" si="105">IFERROR(AVERAGE(R183,W183,AB183,AG183,AL183,AQ183,AV183),"-")</f>
        <v>-</v>
      </c>
      <c r="L183" s="596"/>
      <c r="M183" s="453" t="e">
        <f>RANK(K183, K$182:$K$211)</f>
        <v>#VALUE!</v>
      </c>
      <c r="N183" s="614"/>
      <c r="O183" s="614"/>
      <c r="P183" s="182"/>
      <c r="Q183" s="182"/>
      <c r="R183" s="182"/>
      <c r="S183" s="452" t="e">
        <f t="shared" ref="S183:S211" si="106">RANK(R183, R$112:R$141)</f>
        <v>#N/A</v>
      </c>
      <c r="T183" s="661"/>
      <c r="U183" s="182"/>
      <c r="V183" s="182"/>
      <c r="W183" s="182"/>
      <c r="X183" s="452" t="e">
        <f t="shared" ref="X183:X211" si="107">RANK(W183, W$112:W$141)</f>
        <v>#N/A</v>
      </c>
      <c r="Y183" s="661"/>
      <c r="Z183" s="182"/>
      <c r="AA183" s="182"/>
      <c r="AB183" s="182"/>
      <c r="AC183" s="452" t="e">
        <f t="shared" ref="AC183:AC211" si="108">RANK(AB183, AB$112:AB$141)</f>
        <v>#N/A</v>
      </c>
      <c r="AD183" s="661"/>
      <c r="AE183" s="182"/>
      <c r="AF183" s="182"/>
      <c r="AG183" s="182"/>
      <c r="AH183" s="452" t="e">
        <f t="shared" ref="AH183:AH211" si="109">RANK(AG183, AG$112:AG$141)</f>
        <v>#N/A</v>
      </c>
      <c r="AI183" s="661"/>
      <c r="AJ183" s="182"/>
      <c r="AK183" s="182"/>
      <c r="AL183" s="182"/>
      <c r="AM183" s="452" t="e">
        <f t="shared" ref="AM183:AM211" si="110">RANK(AL183, AL$112:AL$141)</f>
        <v>#N/A</v>
      </c>
      <c r="AN183" s="661"/>
      <c r="AO183" s="182"/>
      <c r="AP183" s="182"/>
      <c r="AQ183" s="182"/>
      <c r="AR183" s="452" t="e">
        <f t="shared" ref="AR183:AR211" si="111">RANK(AQ183, AQ$112:AQ$141)</f>
        <v>#N/A</v>
      </c>
      <c r="AS183" s="661"/>
      <c r="AT183" s="182"/>
      <c r="AU183" s="182"/>
      <c r="AV183" s="182"/>
      <c r="AW183" s="455" t="e">
        <f t="shared" ref="AW183:AW211" si="112">RANK(AV183, AV$112:AV$141)</f>
        <v>#N/A</v>
      </c>
      <c r="AX183" s="652"/>
      <c r="AZ183" s="455" t="e">
        <f t="shared" ref="AZ183:AZ211" si="113">RANK(AY183, AY$112:AY$141)</f>
        <v>#N/A</v>
      </c>
      <c r="BA183" s="652"/>
    </row>
    <row r="184" spans="2:53">
      <c r="B184" s="647"/>
      <c r="C184" s="452">
        <v>3</v>
      </c>
      <c r="D184" s="514"/>
      <c r="E184" s="514"/>
      <c r="F184" s="514"/>
      <c r="G184" s="182"/>
      <c r="H184" s="659"/>
      <c r="I184" s="516" t="str">
        <f t="shared" si="103"/>
        <v>-</v>
      </c>
      <c r="J184" s="516" t="str">
        <f t="shared" si="104"/>
        <v>-</v>
      </c>
      <c r="K184" s="200" t="str">
        <f t="shared" si="105"/>
        <v>-</v>
      </c>
      <c r="L184" s="596"/>
      <c r="M184" s="453" t="e">
        <f>RANK(K184, K$182:$K$211)</f>
        <v>#VALUE!</v>
      </c>
      <c r="N184" s="614"/>
      <c r="O184" s="614"/>
      <c r="P184" s="182"/>
      <c r="Q184" s="182"/>
      <c r="R184" s="182"/>
      <c r="S184" s="452" t="e">
        <f t="shared" si="106"/>
        <v>#N/A</v>
      </c>
      <c r="T184" s="661"/>
      <c r="U184" s="182"/>
      <c r="V184" s="182"/>
      <c r="W184" s="182"/>
      <c r="X184" s="452" t="e">
        <f t="shared" si="107"/>
        <v>#N/A</v>
      </c>
      <c r="Y184" s="661"/>
      <c r="Z184" s="182"/>
      <c r="AA184" s="182"/>
      <c r="AB184" s="182"/>
      <c r="AC184" s="452" t="e">
        <f t="shared" si="108"/>
        <v>#N/A</v>
      </c>
      <c r="AD184" s="661"/>
      <c r="AE184" s="182"/>
      <c r="AF184" s="182"/>
      <c r="AG184" s="182"/>
      <c r="AH184" s="452" t="e">
        <f t="shared" si="109"/>
        <v>#N/A</v>
      </c>
      <c r="AI184" s="661"/>
      <c r="AJ184" s="182"/>
      <c r="AK184" s="182"/>
      <c r="AL184" s="182"/>
      <c r="AM184" s="452" t="e">
        <f t="shared" si="110"/>
        <v>#N/A</v>
      </c>
      <c r="AN184" s="661"/>
      <c r="AO184" s="182"/>
      <c r="AP184" s="182"/>
      <c r="AQ184" s="182"/>
      <c r="AR184" s="452" t="e">
        <f t="shared" si="111"/>
        <v>#N/A</v>
      </c>
      <c r="AS184" s="661"/>
      <c r="AT184" s="182"/>
      <c r="AU184" s="182"/>
      <c r="AV184" s="182"/>
      <c r="AW184" s="455" t="e">
        <f t="shared" si="112"/>
        <v>#N/A</v>
      </c>
      <c r="AX184" s="652"/>
      <c r="AZ184" s="455" t="e">
        <f t="shared" si="113"/>
        <v>#N/A</v>
      </c>
      <c r="BA184" s="652"/>
    </row>
    <row r="185" spans="2:53">
      <c r="B185" s="647"/>
      <c r="C185" s="452">
        <v>4</v>
      </c>
      <c r="D185" s="514"/>
      <c r="E185" s="514"/>
      <c r="F185" s="514"/>
      <c r="G185" s="182"/>
      <c r="H185" s="659"/>
      <c r="I185" s="516" t="str">
        <f t="shared" si="103"/>
        <v>-</v>
      </c>
      <c r="J185" s="516" t="str">
        <f t="shared" si="104"/>
        <v>-</v>
      </c>
      <c r="K185" s="200" t="str">
        <f t="shared" si="105"/>
        <v>-</v>
      </c>
      <c r="L185" s="596"/>
      <c r="M185" s="453" t="e">
        <f>RANK(K185, K$182:$K$211)</f>
        <v>#VALUE!</v>
      </c>
      <c r="N185" s="614"/>
      <c r="O185" s="614"/>
      <c r="P185" s="182"/>
      <c r="Q185" s="182"/>
      <c r="R185" s="182"/>
      <c r="S185" s="452" t="e">
        <f t="shared" si="106"/>
        <v>#N/A</v>
      </c>
      <c r="T185" s="661"/>
      <c r="U185" s="182"/>
      <c r="V185" s="182"/>
      <c r="W185" s="182"/>
      <c r="X185" s="452" t="e">
        <f t="shared" si="107"/>
        <v>#N/A</v>
      </c>
      <c r="Y185" s="661"/>
      <c r="Z185" s="182"/>
      <c r="AA185" s="182"/>
      <c r="AB185" s="182"/>
      <c r="AC185" s="452" t="e">
        <f t="shared" si="108"/>
        <v>#N/A</v>
      </c>
      <c r="AD185" s="661"/>
      <c r="AE185" s="182"/>
      <c r="AF185" s="182"/>
      <c r="AG185" s="182"/>
      <c r="AH185" s="452" t="e">
        <f t="shared" si="109"/>
        <v>#N/A</v>
      </c>
      <c r="AI185" s="661"/>
      <c r="AJ185" s="182"/>
      <c r="AK185" s="182"/>
      <c r="AL185" s="182"/>
      <c r="AM185" s="452" t="e">
        <f t="shared" si="110"/>
        <v>#N/A</v>
      </c>
      <c r="AN185" s="661"/>
      <c r="AO185" s="182"/>
      <c r="AP185" s="182"/>
      <c r="AQ185" s="182"/>
      <c r="AR185" s="452" t="e">
        <f t="shared" si="111"/>
        <v>#N/A</v>
      </c>
      <c r="AS185" s="661"/>
      <c r="AT185" s="182"/>
      <c r="AU185" s="182"/>
      <c r="AV185" s="182"/>
      <c r="AW185" s="455" t="e">
        <f t="shared" si="112"/>
        <v>#N/A</v>
      </c>
      <c r="AX185" s="652"/>
      <c r="AZ185" s="455" t="e">
        <f t="shared" si="113"/>
        <v>#N/A</v>
      </c>
      <c r="BA185" s="652"/>
    </row>
    <row r="186" spans="2:53">
      <c r="B186" s="647"/>
      <c r="C186" s="452">
        <v>5</v>
      </c>
      <c r="D186" s="514"/>
      <c r="E186" s="514"/>
      <c r="F186" s="514"/>
      <c r="G186" s="182"/>
      <c r="H186" s="659"/>
      <c r="I186" s="516" t="str">
        <f t="shared" si="103"/>
        <v>-</v>
      </c>
      <c r="J186" s="516" t="str">
        <f t="shared" si="104"/>
        <v>-</v>
      </c>
      <c r="K186" s="200" t="str">
        <f t="shared" si="105"/>
        <v>-</v>
      </c>
      <c r="L186" s="596"/>
      <c r="M186" s="453" t="e">
        <f>RANK(K186, K$182:$K$211)</f>
        <v>#VALUE!</v>
      </c>
      <c r="N186" s="614"/>
      <c r="O186" s="614"/>
      <c r="P186" s="182"/>
      <c r="Q186" s="182"/>
      <c r="R186" s="182"/>
      <c r="S186" s="452" t="e">
        <f t="shared" si="106"/>
        <v>#N/A</v>
      </c>
      <c r="T186" s="661"/>
      <c r="U186" s="182"/>
      <c r="V186" s="182"/>
      <c r="W186" s="182"/>
      <c r="X186" s="452" t="e">
        <f t="shared" si="107"/>
        <v>#N/A</v>
      </c>
      <c r="Y186" s="661"/>
      <c r="Z186" s="182"/>
      <c r="AA186" s="182"/>
      <c r="AB186" s="182"/>
      <c r="AC186" s="452" t="e">
        <f t="shared" si="108"/>
        <v>#N/A</v>
      </c>
      <c r="AD186" s="661"/>
      <c r="AE186" s="182"/>
      <c r="AF186" s="182"/>
      <c r="AG186" s="182"/>
      <c r="AH186" s="452" t="e">
        <f t="shared" si="109"/>
        <v>#N/A</v>
      </c>
      <c r="AI186" s="661"/>
      <c r="AJ186" s="182"/>
      <c r="AK186" s="182"/>
      <c r="AL186" s="182"/>
      <c r="AM186" s="452" t="e">
        <f t="shared" si="110"/>
        <v>#N/A</v>
      </c>
      <c r="AN186" s="661"/>
      <c r="AO186" s="182"/>
      <c r="AP186" s="182"/>
      <c r="AQ186" s="182"/>
      <c r="AR186" s="452" t="e">
        <f t="shared" si="111"/>
        <v>#N/A</v>
      </c>
      <c r="AS186" s="661"/>
      <c r="AT186" s="182"/>
      <c r="AU186" s="182"/>
      <c r="AV186" s="182"/>
      <c r="AW186" s="455" t="e">
        <f t="shared" si="112"/>
        <v>#N/A</v>
      </c>
      <c r="AX186" s="652"/>
      <c r="AZ186" s="455" t="e">
        <f t="shared" si="113"/>
        <v>#N/A</v>
      </c>
      <c r="BA186" s="652"/>
    </row>
    <row r="187" spans="2:53">
      <c r="B187" s="647"/>
      <c r="C187" s="452">
        <v>6</v>
      </c>
      <c r="D187" s="514"/>
      <c r="E187" s="514"/>
      <c r="F187" s="514"/>
      <c r="G187" s="182"/>
      <c r="H187" s="659"/>
      <c r="I187" s="516" t="str">
        <f t="shared" si="103"/>
        <v>-</v>
      </c>
      <c r="J187" s="516" t="str">
        <f t="shared" si="104"/>
        <v>-</v>
      </c>
      <c r="K187" s="200" t="str">
        <f t="shared" si="105"/>
        <v>-</v>
      </c>
      <c r="L187" s="596"/>
      <c r="M187" s="453" t="e">
        <f>RANK(K187, K$182:$K$211)</f>
        <v>#VALUE!</v>
      </c>
      <c r="N187" s="614"/>
      <c r="O187" s="614"/>
      <c r="P187" s="182"/>
      <c r="Q187" s="182"/>
      <c r="R187" s="182"/>
      <c r="S187" s="452" t="e">
        <f t="shared" si="106"/>
        <v>#N/A</v>
      </c>
      <c r="T187" s="661"/>
      <c r="U187" s="182"/>
      <c r="V187" s="182"/>
      <c r="W187" s="182"/>
      <c r="X187" s="452" t="e">
        <f t="shared" si="107"/>
        <v>#N/A</v>
      </c>
      <c r="Y187" s="661"/>
      <c r="Z187" s="182"/>
      <c r="AA187" s="182"/>
      <c r="AB187" s="182"/>
      <c r="AC187" s="452" t="e">
        <f t="shared" si="108"/>
        <v>#N/A</v>
      </c>
      <c r="AD187" s="661"/>
      <c r="AE187" s="182"/>
      <c r="AF187" s="182"/>
      <c r="AG187" s="182"/>
      <c r="AH187" s="452" t="e">
        <f t="shared" si="109"/>
        <v>#N/A</v>
      </c>
      <c r="AI187" s="661"/>
      <c r="AJ187" s="182"/>
      <c r="AK187" s="182"/>
      <c r="AL187" s="182"/>
      <c r="AM187" s="452" t="e">
        <f t="shared" si="110"/>
        <v>#N/A</v>
      </c>
      <c r="AN187" s="661"/>
      <c r="AO187" s="182"/>
      <c r="AP187" s="182"/>
      <c r="AQ187" s="182"/>
      <c r="AR187" s="452" t="e">
        <f t="shared" si="111"/>
        <v>#N/A</v>
      </c>
      <c r="AS187" s="661"/>
      <c r="AT187" s="182"/>
      <c r="AU187" s="182"/>
      <c r="AV187" s="182"/>
      <c r="AW187" s="455" t="e">
        <f t="shared" si="112"/>
        <v>#N/A</v>
      </c>
      <c r="AX187" s="652"/>
      <c r="AZ187" s="455" t="e">
        <f t="shared" si="113"/>
        <v>#N/A</v>
      </c>
      <c r="BA187" s="652"/>
    </row>
    <row r="188" spans="2:53">
      <c r="B188" s="647"/>
      <c r="C188" s="452">
        <v>7</v>
      </c>
      <c r="D188" s="514"/>
      <c r="E188" s="514"/>
      <c r="F188" s="514"/>
      <c r="G188" s="182"/>
      <c r="H188" s="659"/>
      <c r="I188" s="516" t="str">
        <f t="shared" si="103"/>
        <v>-</v>
      </c>
      <c r="J188" s="516" t="str">
        <f t="shared" si="104"/>
        <v>-</v>
      </c>
      <c r="K188" s="200" t="str">
        <f t="shared" si="105"/>
        <v>-</v>
      </c>
      <c r="L188" s="596"/>
      <c r="M188" s="453" t="e">
        <f>RANK(K188, K$182:$K$211)</f>
        <v>#VALUE!</v>
      </c>
      <c r="N188" s="614"/>
      <c r="O188" s="614"/>
      <c r="P188" s="182"/>
      <c r="Q188" s="182"/>
      <c r="R188" s="182"/>
      <c r="S188" s="452" t="e">
        <f t="shared" si="106"/>
        <v>#N/A</v>
      </c>
      <c r="T188" s="661"/>
      <c r="U188" s="182"/>
      <c r="V188" s="182"/>
      <c r="W188" s="182"/>
      <c r="X188" s="452" t="e">
        <f t="shared" si="107"/>
        <v>#N/A</v>
      </c>
      <c r="Y188" s="661"/>
      <c r="Z188" s="182"/>
      <c r="AA188" s="182"/>
      <c r="AB188" s="182"/>
      <c r="AC188" s="452" t="e">
        <f t="shared" si="108"/>
        <v>#N/A</v>
      </c>
      <c r="AD188" s="661"/>
      <c r="AE188" s="182"/>
      <c r="AF188" s="182"/>
      <c r="AG188" s="182"/>
      <c r="AH188" s="452" t="e">
        <f t="shared" si="109"/>
        <v>#N/A</v>
      </c>
      <c r="AI188" s="661"/>
      <c r="AJ188" s="182"/>
      <c r="AK188" s="182"/>
      <c r="AL188" s="182"/>
      <c r="AM188" s="452" t="e">
        <f t="shared" si="110"/>
        <v>#N/A</v>
      </c>
      <c r="AN188" s="661"/>
      <c r="AO188" s="182"/>
      <c r="AP188" s="182"/>
      <c r="AQ188" s="182"/>
      <c r="AR188" s="452" t="e">
        <f t="shared" si="111"/>
        <v>#N/A</v>
      </c>
      <c r="AS188" s="661"/>
      <c r="AT188" s="182"/>
      <c r="AU188" s="182"/>
      <c r="AV188" s="182"/>
      <c r="AW188" s="455" t="e">
        <f t="shared" si="112"/>
        <v>#N/A</v>
      </c>
      <c r="AX188" s="652"/>
      <c r="AZ188" s="455" t="e">
        <f t="shared" si="113"/>
        <v>#N/A</v>
      </c>
      <c r="BA188" s="652"/>
    </row>
    <row r="189" spans="2:53">
      <c r="B189" s="647"/>
      <c r="C189" s="452">
        <v>8</v>
      </c>
      <c r="D189" s="514"/>
      <c r="E189" s="514"/>
      <c r="F189" s="514"/>
      <c r="G189" s="182"/>
      <c r="H189" s="659"/>
      <c r="I189" s="516" t="str">
        <f t="shared" si="103"/>
        <v>-</v>
      </c>
      <c r="J189" s="516" t="str">
        <f t="shared" si="104"/>
        <v>-</v>
      </c>
      <c r="K189" s="200" t="str">
        <f t="shared" si="105"/>
        <v>-</v>
      </c>
      <c r="L189" s="596"/>
      <c r="M189" s="453" t="e">
        <f>RANK(K189, K$182:$K$211)</f>
        <v>#VALUE!</v>
      </c>
      <c r="N189" s="614"/>
      <c r="O189" s="614"/>
      <c r="P189" s="182"/>
      <c r="Q189" s="182"/>
      <c r="R189" s="182"/>
      <c r="S189" s="452" t="e">
        <f t="shared" si="106"/>
        <v>#N/A</v>
      </c>
      <c r="T189" s="661"/>
      <c r="U189" s="182"/>
      <c r="V189" s="182"/>
      <c r="W189" s="182"/>
      <c r="X189" s="452" t="e">
        <f t="shared" si="107"/>
        <v>#N/A</v>
      </c>
      <c r="Y189" s="661"/>
      <c r="Z189" s="182"/>
      <c r="AA189" s="182"/>
      <c r="AB189" s="182"/>
      <c r="AC189" s="452" t="e">
        <f t="shared" si="108"/>
        <v>#N/A</v>
      </c>
      <c r="AD189" s="661"/>
      <c r="AE189" s="182"/>
      <c r="AF189" s="182"/>
      <c r="AG189" s="182"/>
      <c r="AH189" s="452" t="e">
        <f t="shared" si="109"/>
        <v>#N/A</v>
      </c>
      <c r="AI189" s="661"/>
      <c r="AJ189" s="182"/>
      <c r="AK189" s="182"/>
      <c r="AL189" s="182"/>
      <c r="AM189" s="452" t="e">
        <f t="shared" si="110"/>
        <v>#N/A</v>
      </c>
      <c r="AN189" s="661"/>
      <c r="AO189" s="182"/>
      <c r="AP189" s="182"/>
      <c r="AQ189" s="182"/>
      <c r="AR189" s="452" t="e">
        <f t="shared" si="111"/>
        <v>#N/A</v>
      </c>
      <c r="AS189" s="661"/>
      <c r="AT189" s="182"/>
      <c r="AU189" s="182"/>
      <c r="AV189" s="182"/>
      <c r="AW189" s="455" t="e">
        <f t="shared" si="112"/>
        <v>#N/A</v>
      </c>
      <c r="AX189" s="652"/>
      <c r="AZ189" s="455" t="e">
        <f t="shared" si="113"/>
        <v>#N/A</v>
      </c>
      <c r="BA189" s="652"/>
    </row>
    <row r="190" spans="2:53">
      <c r="B190" s="647"/>
      <c r="C190" s="452">
        <v>9</v>
      </c>
      <c r="D190" s="514"/>
      <c r="E190" s="514"/>
      <c r="F190" s="514"/>
      <c r="G190" s="182"/>
      <c r="H190" s="659"/>
      <c r="I190" s="516" t="str">
        <f t="shared" si="103"/>
        <v>-</v>
      </c>
      <c r="J190" s="516" t="str">
        <f t="shared" si="104"/>
        <v>-</v>
      </c>
      <c r="K190" s="200" t="str">
        <f t="shared" si="105"/>
        <v>-</v>
      </c>
      <c r="L190" s="596"/>
      <c r="M190" s="453" t="e">
        <f>RANK(K190, K$182:$K$211)</f>
        <v>#VALUE!</v>
      </c>
      <c r="N190" s="614"/>
      <c r="O190" s="614"/>
      <c r="P190" s="182"/>
      <c r="Q190" s="182"/>
      <c r="R190" s="182"/>
      <c r="S190" s="452" t="e">
        <f t="shared" si="106"/>
        <v>#N/A</v>
      </c>
      <c r="T190" s="661"/>
      <c r="U190" s="182"/>
      <c r="V190" s="182"/>
      <c r="W190" s="182"/>
      <c r="X190" s="452" t="e">
        <f t="shared" si="107"/>
        <v>#N/A</v>
      </c>
      <c r="Y190" s="661"/>
      <c r="Z190" s="182"/>
      <c r="AA190" s="182"/>
      <c r="AB190" s="182"/>
      <c r="AC190" s="452" t="e">
        <f t="shared" si="108"/>
        <v>#N/A</v>
      </c>
      <c r="AD190" s="661"/>
      <c r="AE190" s="182"/>
      <c r="AF190" s="182"/>
      <c r="AG190" s="182"/>
      <c r="AH190" s="452" t="e">
        <f t="shared" si="109"/>
        <v>#N/A</v>
      </c>
      <c r="AI190" s="661"/>
      <c r="AJ190" s="182"/>
      <c r="AK190" s="182"/>
      <c r="AL190" s="182"/>
      <c r="AM190" s="452" t="e">
        <f t="shared" si="110"/>
        <v>#N/A</v>
      </c>
      <c r="AN190" s="661"/>
      <c r="AO190" s="182"/>
      <c r="AP190" s="182"/>
      <c r="AQ190" s="182"/>
      <c r="AR190" s="452" t="e">
        <f t="shared" si="111"/>
        <v>#N/A</v>
      </c>
      <c r="AS190" s="661"/>
      <c r="AT190" s="182"/>
      <c r="AU190" s="182"/>
      <c r="AV190" s="182"/>
      <c r="AW190" s="455" t="e">
        <f t="shared" si="112"/>
        <v>#N/A</v>
      </c>
      <c r="AX190" s="652"/>
      <c r="AZ190" s="455" t="e">
        <f t="shared" si="113"/>
        <v>#N/A</v>
      </c>
      <c r="BA190" s="652"/>
    </row>
    <row r="191" spans="2:53">
      <c r="B191" s="647"/>
      <c r="C191" s="452">
        <v>10</v>
      </c>
      <c r="D191" s="514"/>
      <c r="E191" s="514"/>
      <c r="F191" s="514"/>
      <c r="G191" s="182"/>
      <c r="H191" s="659"/>
      <c r="I191" s="516" t="str">
        <f t="shared" si="103"/>
        <v>-</v>
      </c>
      <c r="J191" s="516" t="str">
        <f t="shared" si="104"/>
        <v>-</v>
      </c>
      <c r="K191" s="200" t="str">
        <f t="shared" si="105"/>
        <v>-</v>
      </c>
      <c r="L191" s="596"/>
      <c r="M191" s="453" t="e">
        <f>RANK(K191, K$182:$K$211)</f>
        <v>#VALUE!</v>
      </c>
      <c r="N191" s="614"/>
      <c r="O191" s="614"/>
      <c r="P191" s="182"/>
      <c r="Q191" s="182"/>
      <c r="R191" s="182"/>
      <c r="S191" s="452" t="e">
        <f t="shared" si="106"/>
        <v>#N/A</v>
      </c>
      <c r="T191" s="661"/>
      <c r="U191" s="182"/>
      <c r="V191" s="182"/>
      <c r="W191" s="182"/>
      <c r="X191" s="452" t="e">
        <f t="shared" si="107"/>
        <v>#N/A</v>
      </c>
      <c r="Y191" s="661"/>
      <c r="Z191" s="182"/>
      <c r="AA191" s="182"/>
      <c r="AB191" s="182"/>
      <c r="AC191" s="452" t="e">
        <f t="shared" si="108"/>
        <v>#N/A</v>
      </c>
      <c r="AD191" s="661"/>
      <c r="AE191" s="182"/>
      <c r="AF191" s="182"/>
      <c r="AG191" s="182"/>
      <c r="AH191" s="452" t="e">
        <f t="shared" si="109"/>
        <v>#N/A</v>
      </c>
      <c r="AI191" s="661"/>
      <c r="AJ191" s="182"/>
      <c r="AK191" s="182"/>
      <c r="AL191" s="182"/>
      <c r="AM191" s="452" t="e">
        <f t="shared" si="110"/>
        <v>#N/A</v>
      </c>
      <c r="AN191" s="661"/>
      <c r="AO191" s="182"/>
      <c r="AP191" s="182"/>
      <c r="AQ191" s="182"/>
      <c r="AR191" s="452" t="e">
        <f t="shared" si="111"/>
        <v>#N/A</v>
      </c>
      <c r="AS191" s="661"/>
      <c r="AT191" s="182"/>
      <c r="AU191" s="182"/>
      <c r="AV191" s="182"/>
      <c r="AW191" s="455" t="e">
        <f t="shared" si="112"/>
        <v>#N/A</v>
      </c>
      <c r="AX191" s="652"/>
      <c r="AZ191" s="455" t="e">
        <f t="shared" si="113"/>
        <v>#N/A</v>
      </c>
      <c r="BA191" s="652"/>
    </row>
    <row r="192" spans="2:53">
      <c r="B192" s="647"/>
      <c r="C192" s="452">
        <v>11</v>
      </c>
      <c r="D192" s="514"/>
      <c r="E192" s="514"/>
      <c r="F192" s="514"/>
      <c r="G192" s="182"/>
      <c r="H192" s="659"/>
      <c r="I192" s="516" t="str">
        <f t="shared" si="103"/>
        <v>-</v>
      </c>
      <c r="J192" s="516" t="str">
        <f t="shared" si="104"/>
        <v>-</v>
      </c>
      <c r="K192" s="200" t="str">
        <f t="shared" si="105"/>
        <v>-</v>
      </c>
      <c r="L192" s="596"/>
      <c r="M192" s="453" t="e">
        <f>RANK(K192, K$182:$K$211)</f>
        <v>#VALUE!</v>
      </c>
      <c r="N192" s="614"/>
      <c r="O192" s="614"/>
      <c r="P192" s="182"/>
      <c r="Q192" s="182"/>
      <c r="R192" s="182"/>
      <c r="S192" s="452" t="e">
        <f t="shared" si="106"/>
        <v>#N/A</v>
      </c>
      <c r="T192" s="661"/>
      <c r="U192" s="182"/>
      <c r="V192" s="182"/>
      <c r="W192" s="182"/>
      <c r="X192" s="452" t="e">
        <f t="shared" si="107"/>
        <v>#N/A</v>
      </c>
      <c r="Y192" s="661"/>
      <c r="Z192" s="182"/>
      <c r="AA192" s="182"/>
      <c r="AB192" s="182"/>
      <c r="AC192" s="452" t="e">
        <f t="shared" si="108"/>
        <v>#N/A</v>
      </c>
      <c r="AD192" s="661"/>
      <c r="AE192" s="182"/>
      <c r="AF192" s="182"/>
      <c r="AG192" s="182"/>
      <c r="AH192" s="452" t="e">
        <f t="shared" si="109"/>
        <v>#N/A</v>
      </c>
      <c r="AI192" s="661"/>
      <c r="AJ192" s="182"/>
      <c r="AK192" s="182"/>
      <c r="AL192" s="182"/>
      <c r="AM192" s="452" t="e">
        <f t="shared" si="110"/>
        <v>#N/A</v>
      </c>
      <c r="AN192" s="661"/>
      <c r="AO192" s="182"/>
      <c r="AP192" s="182"/>
      <c r="AQ192" s="182"/>
      <c r="AR192" s="452" t="e">
        <f t="shared" si="111"/>
        <v>#N/A</v>
      </c>
      <c r="AS192" s="661"/>
      <c r="AT192" s="182"/>
      <c r="AU192" s="182"/>
      <c r="AV192" s="182"/>
      <c r="AW192" s="455" t="e">
        <f t="shared" si="112"/>
        <v>#N/A</v>
      </c>
      <c r="AX192" s="652"/>
      <c r="AZ192" s="455" t="e">
        <f t="shared" si="113"/>
        <v>#N/A</v>
      </c>
      <c r="BA192" s="652"/>
    </row>
    <row r="193" spans="2:53">
      <c r="B193" s="647"/>
      <c r="C193" s="452">
        <v>12</v>
      </c>
      <c r="D193" s="514"/>
      <c r="E193" s="514"/>
      <c r="F193" s="514"/>
      <c r="G193" s="182"/>
      <c r="H193" s="659"/>
      <c r="I193" s="516" t="str">
        <f t="shared" si="103"/>
        <v>-</v>
      </c>
      <c r="J193" s="516" t="str">
        <f t="shared" si="104"/>
        <v>-</v>
      </c>
      <c r="K193" s="200" t="str">
        <f t="shared" si="105"/>
        <v>-</v>
      </c>
      <c r="L193" s="596"/>
      <c r="M193" s="453" t="e">
        <f>RANK(K193, K$182:$K$211)</f>
        <v>#VALUE!</v>
      </c>
      <c r="N193" s="614"/>
      <c r="O193" s="614"/>
      <c r="P193" s="182"/>
      <c r="Q193" s="182"/>
      <c r="R193" s="182"/>
      <c r="S193" s="452" t="e">
        <f t="shared" si="106"/>
        <v>#N/A</v>
      </c>
      <c r="T193" s="661"/>
      <c r="U193" s="182"/>
      <c r="V193" s="182"/>
      <c r="W193" s="182"/>
      <c r="X193" s="452" t="e">
        <f t="shared" si="107"/>
        <v>#N/A</v>
      </c>
      <c r="Y193" s="661"/>
      <c r="Z193" s="182"/>
      <c r="AA193" s="182"/>
      <c r="AB193" s="182"/>
      <c r="AC193" s="452" t="e">
        <f t="shared" si="108"/>
        <v>#N/A</v>
      </c>
      <c r="AD193" s="661"/>
      <c r="AE193" s="182"/>
      <c r="AF193" s="182"/>
      <c r="AG193" s="182"/>
      <c r="AH193" s="452" t="e">
        <f t="shared" si="109"/>
        <v>#N/A</v>
      </c>
      <c r="AI193" s="661"/>
      <c r="AJ193" s="182"/>
      <c r="AK193" s="182"/>
      <c r="AL193" s="182"/>
      <c r="AM193" s="452" t="e">
        <f t="shared" si="110"/>
        <v>#N/A</v>
      </c>
      <c r="AN193" s="661"/>
      <c r="AO193" s="182"/>
      <c r="AP193" s="182"/>
      <c r="AQ193" s="182"/>
      <c r="AR193" s="452" t="e">
        <f t="shared" si="111"/>
        <v>#N/A</v>
      </c>
      <c r="AS193" s="661"/>
      <c r="AT193" s="182"/>
      <c r="AU193" s="182"/>
      <c r="AV193" s="182"/>
      <c r="AW193" s="455" t="e">
        <f t="shared" si="112"/>
        <v>#N/A</v>
      </c>
      <c r="AX193" s="652"/>
      <c r="AZ193" s="455" t="e">
        <f t="shared" si="113"/>
        <v>#N/A</v>
      </c>
      <c r="BA193" s="652"/>
    </row>
    <row r="194" spans="2:53">
      <c r="B194" s="647"/>
      <c r="C194" s="452">
        <v>13</v>
      </c>
      <c r="D194" s="514"/>
      <c r="E194" s="514"/>
      <c r="F194" s="514"/>
      <c r="G194" s="182"/>
      <c r="H194" s="659"/>
      <c r="I194" s="516" t="str">
        <f t="shared" si="103"/>
        <v>-</v>
      </c>
      <c r="J194" s="516" t="str">
        <f t="shared" si="104"/>
        <v>-</v>
      </c>
      <c r="K194" s="200" t="str">
        <f t="shared" si="105"/>
        <v>-</v>
      </c>
      <c r="L194" s="596"/>
      <c r="M194" s="453" t="e">
        <f>RANK(K194, K$182:$K$211)</f>
        <v>#VALUE!</v>
      </c>
      <c r="N194" s="614"/>
      <c r="O194" s="614"/>
      <c r="P194" s="182"/>
      <c r="Q194" s="182"/>
      <c r="R194" s="182"/>
      <c r="S194" s="452" t="e">
        <f t="shared" si="106"/>
        <v>#N/A</v>
      </c>
      <c r="T194" s="661"/>
      <c r="U194" s="182"/>
      <c r="V194" s="182"/>
      <c r="W194" s="182"/>
      <c r="X194" s="452" t="e">
        <f t="shared" si="107"/>
        <v>#N/A</v>
      </c>
      <c r="Y194" s="661"/>
      <c r="Z194" s="182"/>
      <c r="AA194" s="182"/>
      <c r="AB194" s="182"/>
      <c r="AC194" s="452" t="e">
        <f t="shared" si="108"/>
        <v>#N/A</v>
      </c>
      <c r="AD194" s="661"/>
      <c r="AE194" s="182"/>
      <c r="AF194" s="182"/>
      <c r="AG194" s="182"/>
      <c r="AH194" s="452" t="e">
        <f t="shared" si="109"/>
        <v>#N/A</v>
      </c>
      <c r="AI194" s="661"/>
      <c r="AJ194" s="182"/>
      <c r="AK194" s="182"/>
      <c r="AL194" s="182"/>
      <c r="AM194" s="452" t="e">
        <f t="shared" si="110"/>
        <v>#N/A</v>
      </c>
      <c r="AN194" s="661"/>
      <c r="AO194" s="182"/>
      <c r="AP194" s="182"/>
      <c r="AQ194" s="182"/>
      <c r="AR194" s="452" t="e">
        <f t="shared" si="111"/>
        <v>#N/A</v>
      </c>
      <c r="AS194" s="661"/>
      <c r="AT194" s="182"/>
      <c r="AU194" s="182"/>
      <c r="AV194" s="182"/>
      <c r="AW194" s="455" t="e">
        <f t="shared" si="112"/>
        <v>#N/A</v>
      </c>
      <c r="AX194" s="652"/>
      <c r="AZ194" s="455" t="e">
        <f t="shared" si="113"/>
        <v>#N/A</v>
      </c>
      <c r="BA194" s="652"/>
    </row>
    <row r="195" spans="2:53">
      <c r="B195" s="647"/>
      <c r="C195" s="452">
        <v>14</v>
      </c>
      <c r="D195" s="514"/>
      <c r="E195" s="514"/>
      <c r="F195" s="514"/>
      <c r="G195" s="182"/>
      <c r="H195" s="659"/>
      <c r="I195" s="516" t="str">
        <f t="shared" si="103"/>
        <v>-</v>
      </c>
      <c r="J195" s="516" t="str">
        <f t="shared" si="104"/>
        <v>-</v>
      </c>
      <c r="K195" s="200" t="str">
        <f t="shared" si="105"/>
        <v>-</v>
      </c>
      <c r="L195" s="596"/>
      <c r="M195" s="453" t="e">
        <f>RANK(K195, K$182:$K$211)</f>
        <v>#VALUE!</v>
      </c>
      <c r="N195" s="614"/>
      <c r="O195" s="614"/>
      <c r="P195" s="182"/>
      <c r="Q195" s="182"/>
      <c r="R195" s="182"/>
      <c r="S195" s="452" t="e">
        <f t="shared" si="106"/>
        <v>#N/A</v>
      </c>
      <c r="T195" s="661"/>
      <c r="U195" s="182"/>
      <c r="V195" s="182"/>
      <c r="W195" s="182"/>
      <c r="X195" s="452" t="e">
        <f t="shared" si="107"/>
        <v>#N/A</v>
      </c>
      <c r="Y195" s="661"/>
      <c r="Z195" s="182"/>
      <c r="AA195" s="182"/>
      <c r="AB195" s="182"/>
      <c r="AC195" s="452" t="e">
        <f t="shared" si="108"/>
        <v>#N/A</v>
      </c>
      <c r="AD195" s="661"/>
      <c r="AE195" s="182"/>
      <c r="AF195" s="182"/>
      <c r="AG195" s="182"/>
      <c r="AH195" s="452" t="e">
        <f t="shared" si="109"/>
        <v>#N/A</v>
      </c>
      <c r="AI195" s="661"/>
      <c r="AJ195" s="182"/>
      <c r="AK195" s="182"/>
      <c r="AL195" s="182"/>
      <c r="AM195" s="452" t="e">
        <f t="shared" si="110"/>
        <v>#N/A</v>
      </c>
      <c r="AN195" s="661"/>
      <c r="AO195" s="182"/>
      <c r="AP195" s="182"/>
      <c r="AQ195" s="182"/>
      <c r="AR195" s="452" t="e">
        <f t="shared" si="111"/>
        <v>#N/A</v>
      </c>
      <c r="AS195" s="661"/>
      <c r="AT195" s="182"/>
      <c r="AU195" s="182"/>
      <c r="AV195" s="182"/>
      <c r="AW195" s="455" t="e">
        <f t="shared" si="112"/>
        <v>#N/A</v>
      </c>
      <c r="AX195" s="652"/>
      <c r="AZ195" s="455" t="e">
        <f t="shared" si="113"/>
        <v>#N/A</v>
      </c>
      <c r="BA195" s="652"/>
    </row>
    <row r="196" spans="2:53">
      <c r="B196" s="647"/>
      <c r="C196" s="452">
        <v>15</v>
      </c>
      <c r="D196" s="514"/>
      <c r="E196" s="514"/>
      <c r="F196" s="514"/>
      <c r="G196" s="182"/>
      <c r="H196" s="659"/>
      <c r="I196" s="516" t="str">
        <f t="shared" si="103"/>
        <v>-</v>
      </c>
      <c r="J196" s="516" t="str">
        <f t="shared" si="104"/>
        <v>-</v>
      </c>
      <c r="K196" s="200" t="str">
        <f t="shared" si="105"/>
        <v>-</v>
      </c>
      <c r="L196" s="596"/>
      <c r="M196" s="453" t="e">
        <f>RANK(K196, K$182:$K$211)</f>
        <v>#VALUE!</v>
      </c>
      <c r="N196" s="614"/>
      <c r="O196" s="614"/>
      <c r="P196" s="182"/>
      <c r="Q196" s="182"/>
      <c r="R196" s="182"/>
      <c r="S196" s="452" t="e">
        <f t="shared" si="106"/>
        <v>#N/A</v>
      </c>
      <c r="T196" s="661"/>
      <c r="U196" s="182"/>
      <c r="V196" s="182"/>
      <c r="W196" s="182"/>
      <c r="X196" s="452" t="e">
        <f t="shared" si="107"/>
        <v>#N/A</v>
      </c>
      <c r="Y196" s="661"/>
      <c r="Z196" s="182"/>
      <c r="AA196" s="182"/>
      <c r="AB196" s="182"/>
      <c r="AC196" s="452" t="e">
        <f t="shared" si="108"/>
        <v>#N/A</v>
      </c>
      <c r="AD196" s="661"/>
      <c r="AE196" s="182"/>
      <c r="AF196" s="182"/>
      <c r="AG196" s="182"/>
      <c r="AH196" s="452" t="e">
        <f t="shared" si="109"/>
        <v>#N/A</v>
      </c>
      <c r="AI196" s="661"/>
      <c r="AJ196" s="182"/>
      <c r="AK196" s="182"/>
      <c r="AL196" s="182"/>
      <c r="AM196" s="452" t="e">
        <f t="shared" si="110"/>
        <v>#N/A</v>
      </c>
      <c r="AN196" s="661"/>
      <c r="AO196" s="182"/>
      <c r="AP196" s="182"/>
      <c r="AQ196" s="182"/>
      <c r="AR196" s="452" t="e">
        <f t="shared" si="111"/>
        <v>#N/A</v>
      </c>
      <c r="AS196" s="661"/>
      <c r="AT196" s="182"/>
      <c r="AU196" s="182"/>
      <c r="AV196" s="182"/>
      <c r="AW196" s="455" t="e">
        <f t="shared" si="112"/>
        <v>#N/A</v>
      </c>
      <c r="AX196" s="652"/>
      <c r="AZ196" s="455" t="e">
        <f t="shared" si="113"/>
        <v>#N/A</v>
      </c>
      <c r="BA196" s="652"/>
    </row>
    <row r="197" spans="2:53">
      <c r="B197" s="647"/>
      <c r="C197" s="452">
        <v>16</v>
      </c>
      <c r="D197" s="514"/>
      <c r="E197" s="514"/>
      <c r="F197" s="514"/>
      <c r="G197" s="182"/>
      <c r="H197" s="659"/>
      <c r="I197" s="516" t="str">
        <f t="shared" si="103"/>
        <v>-</v>
      </c>
      <c r="J197" s="516" t="str">
        <f t="shared" si="104"/>
        <v>-</v>
      </c>
      <c r="K197" s="200" t="str">
        <f t="shared" si="105"/>
        <v>-</v>
      </c>
      <c r="L197" s="596"/>
      <c r="M197" s="453" t="e">
        <f>RANK(K197, K$182:$K$211)</f>
        <v>#VALUE!</v>
      </c>
      <c r="N197" s="614"/>
      <c r="O197" s="614"/>
      <c r="P197" s="182"/>
      <c r="Q197" s="182"/>
      <c r="R197" s="182"/>
      <c r="S197" s="452" t="e">
        <f t="shared" si="106"/>
        <v>#N/A</v>
      </c>
      <c r="T197" s="661"/>
      <c r="U197" s="182"/>
      <c r="V197" s="182"/>
      <c r="W197" s="182"/>
      <c r="X197" s="452" t="e">
        <f t="shared" si="107"/>
        <v>#N/A</v>
      </c>
      <c r="Y197" s="661"/>
      <c r="Z197" s="182"/>
      <c r="AA197" s="182"/>
      <c r="AB197" s="182"/>
      <c r="AC197" s="452" t="e">
        <f t="shared" si="108"/>
        <v>#N/A</v>
      </c>
      <c r="AD197" s="661"/>
      <c r="AE197" s="182"/>
      <c r="AF197" s="182"/>
      <c r="AG197" s="182"/>
      <c r="AH197" s="452" t="e">
        <f t="shared" si="109"/>
        <v>#N/A</v>
      </c>
      <c r="AI197" s="661"/>
      <c r="AJ197" s="182"/>
      <c r="AK197" s="182"/>
      <c r="AL197" s="182"/>
      <c r="AM197" s="452" t="e">
        <f t="shared" si="110"/>
        <v>#N/A</v>
      </c>
      <c r="AN197" s="661"/>
      <c r="AO197" s="182"/>
      <c r="AP197" s="182"/>
      <c r="AQ197" s="182"/>
      <c r="AR197" s="452" t="e">
        <f t="shared" si="111"/>
        <v>#N/A</v>
      </c>
      <c r="AS197" s="661"/>
      <c r="AT197" s="182"/>
      <c r="AU197" s="182"/>
      <c r="AV197" s="182"/>
      <c r="AW197" s="455" t="e">
        <f t="shared" si="112"/>
        <v>#N/A</v>
      </c>
      <c r="AX197" s="652"/>
      <c r="AZ197" s="455" t="e">
        <f t="shared" si="113"/>
        <v>#N/A</v>
      </c>
      <c r="BA197" s="652"/>
    </row>
    <row r="198" spans="2:53">
      <c r="B198" s="647"/>
      <c r="C198" s="452">
        <v>17</v>
      </c>
      <c r="D198" s="514"/>
      <c r="E198" s="514"/>
      <c r="F198" s="514"/>
      <c r="G198" s="182"/>
      <c r="H198" s="659"/>
      <c r="I198" s="516" t="str">
        <f t="shared" si="103"/>
        <v>-</v>
      </c>
      <c r="J198" s="516" t="str">
        <f t="shared" si="104"/>
        <v>-</v>
      </c>
      <c r="K198" s="200" t="str">
        <f t="shared" si="105"/>
        <v>-</v>
      </c>
      <c r="L198" s="596"/>
      <c r="M198" s="453" t="e">
        <f>RANK(K198, K$182:$K$211)</f>
        <v>#VALUE!</v>
      </c>
      <c r="N198" s="614"/>
      <c r="O198" s="614"/>
      <c r="P198" s="182"/>
      <c r="Q198" s="182"/>
      <c r="R198" s="182"/>
      <c r="S198" s="452" t="e">
        <f t="shared" si="106"/>
        <v>#N/A</v>
      </c>
      <c r="T198" s="661"/>
      <c r="U198" s="182"/>
      <c r="V198" s="182"/>
      <c r="W198" s="182"/>
      <c r="X198" s="452" t="e">
        <f t="shared" si="107"/>
        <v>#N/A</v>
      </c>
      <c r="Y198" s="661"/>
      <c r="Z198" s="182"/>
      <c r="AA198" s="182"/>
      <c r="AB198" s="182"/>
      <c r="AC198" s="452" t="e">
        <f t="shared" si="108"/>
        <v>#N/A</v>
      </c>
      <c r="AD198" s="661"/>
      <c r="AE198" s="182"/>
      <c r="AF198" s="182"/>
      <c r="AG198" s="182"/>
      <c r="AH198" s="452" t="e">
        <f t="shared" si="109"/>
        <v>#N/A</v>
      </c>
      <c r="AI198" s="661"/>
      <c r="AJ198" s="182"/>
      <c r="AK198" s="182"/>
      <c r="AL198" s="182"/>
      <c r="AM198" s="452" t="e">
        <f t="shared" si="110"/>
        <v>#N/A</v>
      </c>
      <c r="AN198" s="661"/>
      <c r="AO198" s="182"/>
      <c r="AP198" s="182"/>
      <c r="AQ198" s="182"/>
      <c r="AR198" s="452" t="e">
        <f t="shared" si="111"/>
        <v>#N/A</v>
      </c>
      <c r="AS198" s="661"/>
      <c r="AT198" s="182"/>
      <c r="AU198" s="182"/>
      <c r="AV198" s="182"/>
      <c r="AW198" s="455" t="e">
        <f t="shared" si="112"/>
        <v>#N/A</v>
      </c>
      <c r="AX198" s="652"/>
      <c r="AZ198" s="455" t="e">
        <f t="shared" si="113"/>
        <v>#N/A</v>
      </c>
      <c r="BA198" s="652"/>
    </row>
    <row r="199" spans="2:53">
      <c r="B199" s="647"/>
      <c r="C199" s="452">
        <v>18</v>
      </c>
      <c r="D199" s="514"/>
      <c r="E199" s="514"/>
      <c r="F199" s="514"/>
      <c r="G199" s="182"/>
      <c r="H199" s="659"/>
      <c r="I199" s="516" t="str">
        <f t="shared" si="103"/>
        <v>-</v>
      </c>
      <c r="J199" s="516" t="str">
        <f t="shared" si="104"/>
        <v>-</v>
      </c>
      <c r="K199" s="200" t="str">
        <f t="shared" si="105"/>
        <v>-</v>
      </c>
      <c r="L199" s="596"/>
      <c r="M199" s="453" t="e">
        <f>RANK(K199, K$182:$K$211)</f>
        <v>#VALUE!</v>
      </c>
      <c r="N199" s="614"/>
      <c r="O199" s="614"/>
      <c r="P199" s="182"/>
      <c r="Q199" s="182"/>
      <c r="R199" s="182"/>
      <c r="S199" s="452" t="e">
        <f t="shared" si="106"/>
        <v>#N/A</v>
      </c>
      <c r="T199" s="661"/>
      <c r="U199" s="182"/>
      <c r="V199" s="182"/>
      <c r="W199" s="182"/>
      <c r="X199" s="452" t="e">
        <f t="shared" si="107"/>
        <v>#N/A</v>
      </c>
      <c r="Y199" s="661"/>
      <c r="Z199" s="182"/>
      <c r="AA199" s="182"/>
      <c r="AB199" s="182"/>
      <c r="AC199" s="452" t="e">
        <f t="shared" si="108"/>
        <v>#N/A</v>
      </c>
      <c r="AD199" s="661"/>
      <c r="AE199" s="182"/>
      <c r="AF199" s="182"/>
      <c r="AG199" s="182"/>
      <c r="AH199" s="452" t="e">
        <f t="shared" si="109"/>
        <v>#N/A</v>
      </c>
      <c r="AI199" s="661"/>
      <c r="AJ199" s="182"/>
      <c r="AK199" s="182"/>
      <c r="AL199" s="182"/>
      <c r="AM199" s="452" t="e">
        <f t="shared" si="110"/>
        <v>#N/A</v>
      </c>
      <c r="AN199" s="661"/>
      <c r="AO199" s="182"/>
      <c r="AP199" s="182"/>
      <c r="AQ199" s="182"/>
      <c r="AR199" s="452" t="e">
        <f t="shared" si="111"/>
        <v>#N/A</v>
      </c>
      <c r="AS199" s="661"/>
      <c r="AT199" s="182"/>
      <c r="AU199" s="182"/>
      <c r="AV199" s="182"/>
      <c r="AW199" s="455" t="e">
        <f t="shared" si="112"/>
        <v>#N/A</v>
      </c>
      <c r="AX199" s="652"/>
      <c r="AZ199" s="455" t="e">
        <f t="shared" si="113"/>
        <v>#N/A</v>
      </c>
      <c r="BA199" s="652"/>
    </row>
    <row r="200" spans="2:53">
      <c r="B200" s="647"/>
      <c r="C200" s="452">
        <v>19</v>
      </c>
      <c r="D200" s="514"/>
      <c r="E200" s="514"/>
      <c r="F200" s="514"/>
      <c r="G200" s="182"/>
      <c r="H200" s="659"/>
      <c r="I200" s="516" t="str">
        <f t="shared" si="103"/>
        <v>-</v>
      </c>
      <c r="J200" s="516" t="str">
        <f t="shared" si="104"/>
        <v>-</v>
      </c>
      <c r="K200" s="200" t="str">
        <f t="shared" si="105"/>
        <v>-</v>
      </c>
      <c r="L200" s="596"/>
      <c r="M200" s="453" t="e">
        <f>RANK(K200, K$182:$K$211)</f>
        <v>#VALUE!</v>
      </c>
      <c r="N200" s="614"/>
      <c r="O200" s="614"/>
      <c r="P200" s="182"/>
      <c r="Q200" s="182"/>
      <c r="R200" s="182"/>
      <c r="S200" s="452" t="e">
        <f t="shared" si="106"/>
        <v>#N/A</v>
      </c>
      <c r="T200" s="661"/>
      <c r="U200" s="182"/>
      <c r="V200" s="182"/>
      <c r="W200" s="182"/>
      <c r="X200" s="452" t="e">
        <f t="shared" si="107"/>
        <v>#N/A</v>
      </c>
      <c r="Y200" s="661"/>
      <c r="Z200" s="182"/>
      <c r="AA200" s="182"/>
      <c r="AB200" s="182"/>
      <c r="AC200" s="452" t="e">
        <f t="shared" si="108"/>
        <v>#N/A</v>
      </c>
      <c r="AD200" s="661"/>
      <c r="AE200" s="182"/>
      <c r="AF200" s="182"/>
      <c r="AG200" s="182"/>
      <c r="AH200" s="452" t="e">
        <f t="shared" si="109"/>
        <v>#N/A</v>
      </c>
      <c r="AI200" s="661"/>
      <c r="AJ200" s="182"/>
      <c r="AK200" s="182"/>
      <c r="AL200" s="182"/>
      <c r="AM200" s="452" t="e">
        <f t="shared" si="110"/>
        <v>#N/A</v>
      </c>
      <c r="AN200" s="661"/>
      <c r="AO200" s="182"/>
      <c r="AP200" s="182"/>
      <c r="AQ200" s="182"/>
      <c r="AR200" s="452" t="e">
        <f t="shared" si="111"/>
        <v>#N/A</v>
      </c>
      <c r="AS200" s="661"/>
      <c r="AT200" s="182"/>
      <c r="AU200" s="182"/>
      <c r="AV200" s="182"/>
      <c r="AW200" s="455" t="e">
        <f t="shared" si="112"/>
        <v>#N/A</v>
      </c>
      <c r="AX200" s="652"/>
      <c r="AZ200" s="455" t="e">
        <f t="shared" si="113"/>
        <v>#N/A</v>
      </c>
      <c r="BA200" s="652"/>
    </row>
    <row r="201" spans="2:53">
      <c r="B201" s="647"/>
      <c r="C201" s="452">
        <v>20</v>
      </c>
      <c r="D201" s="514"/>
      <c r="E201" s="514"/>
      <c r="F201" s="514"/>
      <c r="G201" s="182"/>
      <c r="H201" s="659"/>
      <c r="I201" s="516" t="str">
        <f t="shared" si="103"/>
        <v>-</v>
      </c>
      <c r="J201" s="516" t="str">
        <f t="shared" si="104"/>
        <v>-</v>
      </c>
      <c r="K201" s="200" t="str">
        <f t="shared" si="105"/>
        <v>-</v>
      </c>
      <c r="L201" s="596"/>
      <c r="M201" s="453" t="e">
        <f>RANK(K201, K$182:$K$211)</f>
        <v>#VALUE!</v>
      </c>
      <c r="N201" s="614"/>
      <c r="O201" s="614"/>
      <c r="P201" s="182"/>
      <c r="Q201" s="182"/>
      <c r="R201" s="182"/>
      <c r="S201" s="452" t="e">
        <f t="shared" si="106"/>
        <v>#N/A</v>
      </c>
      <c r="T201" s="661"/>
      <c r="U201" s="182"/>
      <c r="V201" s="182"/>
      <c r="W201" s="182"/>
      <c r="X201" s="452" t="e">
        <f t="shared" si="107"/>
        <v>#N/A</v>
      </c>
      <c r="Y201" s="661"/>
      <c r="Z201" s="182"/>
      <c r="AA201" s="182"/>
      <c r="AB201" s="182"/>
      <c r="AC201" s="452" t="e">
        <f t="shared" si="108"/>
        <v>#N/A</v>
      </c>
      <c r="AD201" s="661"/>
      <c r="AE201" s="182"/>
      <c r="AF201" s="182"/>
      <c r="AG201" s="182"/>
      <c r="AH201" s="452" t="e">
        <f t="shared" si="109"/>
        <v>#N/A</v>
      </c>
      <c r="AI201" s="661"/>
      <c r="AJ201" s="182"/>
      <c r="AK201" s="182"/>
      <c r="AL201" s="182"/>
      <c r="AM201" s="452" t="e">
        <f t="shared" si="110"/>
        <v>#N/A</v>
      </c>
      <c r="AN201" s="661"/>
      <c r="AO201" s="182"/>
      <c r="AP201" s="182"/>
      <c r="AQ201" s="182"/>
      <c r="AR201" s="452" t="e">
        <f t="shared" si="111"/>
        <v>#N/A</v>
      </c>
      <c r="AS201" s="661"/>
      <c r="AT201" s="182"/>
      <c r="AU201" s="182"/>
      <c r="AV201" s="182"/>
      <c r="AW201" s="455" t="e">
        <f t="shared" si="112"/>
        <v>#N/A</v>
      </c>
      <c r="AX201" s="652"/>
      <c r="AZ201" s="455" t="e">
        <f t="shared" si="113"/>
        <v>#N/A</v>
      </c>
      <c r="BA201" s="652"/>
    </row>
    <row r="202" spans="2:53">
      <c r="B202" s="647"/>
      <c r="C202" s="452">
        <v>21</v>
      </c>
      <c r="D202" s="519"/>
      <c r="E202" s="514"/>
      <c r="F202" s="514"/>
      <c r="G202" s="182"/>
      <c r="H202" s="659"/>
      <c r="I202" s="516" t="str">
        <f t="shared" si="103"/>
        <v>-</v>
      </c>
      <c r="J202" s="516" t="str">
        <f t="shared" si="104"/>
        <v>-</v>
      </c>
      <c r="K202" s="200" t="str">
        <f t="shared" si="105"/>
        <v>-</v>
      </c>
      <c r="L202" s="596"/>
      <c r="M202" s="453" t="e">
        <f>RANK(K202, K$182:$K$211)</f>
        <v>#VALUE!</v>
      </c>
      <c r="N202" s="614"/>
      <c r="O202" s="614"/>
      <c r="P202" s="461"/>
      <c r="Q202" s="182"/>
      <c r="R202" s="463"/>
      <c r="S202" s="452" t="e">
        <f t="shared" si="106"/>
        <v>#N/A</v>
      </c>
      <c r="T202" s="661"/>
      <c r="U202" s="461"/>
      <c r="V202" s="182"/>
      <c r="W202" s="463"/>
      <c r="X202" s="452" t="e">
        <f t="shared" si="107"/>
        <v>#N/A</v>
      </c>
      <c r="Y202" s="661"/>
      <c r="Z202" s="461"/>
      <c r="AA202" s="182"/>
      <c r="AB202" s="463"/>
      <c r="AC202" s="452" t="e">
        <f t="shared" si="108"/>
        <v>#N/A</v>
      </c>
      <c r="AD202" s="661"/>
      <c r="AE202" s="461"/>
      <c r="AF202" s="182"/>
      <c r="AG202" s="463"/>
      <c r="AH202" s="452" t="e">
        <f t="shared" si="109"/>
        <v>#N/A</v>
      </c>
      <c r="AI202" s="661"/>
      <c r="AJ202" s="461"/>
      <c r="AK202" s="182"/>
      <c r="AL202" s="463"/>
      <c r="AM202" s="452" t="e">
        <f t="shared" si="110"/>
        <v>#N/A</v>
      </c>
      <c r="AN202" s="661"/>
      <c r="AO202" s="461"/>
      <c r="AP202" s="182"/>
      <c r="AQ202" s="463"/>
      <c r="AR202" s="452" t="e">
        <f t="shared" si="111"/>
        <v>#N/A</v>
      </c>
      <c r="AS202" s="661"/>
      <c r="AT202" s="461"/>
      <c r="AU202" s="182"/>
      <c r="AV202" s="463"/>
      <c r="AW202" s="455" t="e">
        <f t="shared" si="112"/>
        <v>#N/A</v>
      </c>
      <c r="AX202" s="652"/>
      <c r="AZ202" s="455" t="e">
        <f t="shared" si="113"/>
        <v>#N/A</v>
      </c>
      <c r="BA202" s="652"/>
    </row>
    <row r="203" spans="2:53">
      <c r="B203" s="647"/>
      <c r="C203" s="452">
        <v>22</v>
      </c>
      <c r="D203" s="514"/>
      <c r="E203" s="514"/>
      <c r="F203" s="514"/>
      <c r="G203" s="514"/>
      <c r="H203" s="659"/>
      <c r="I203" s="516" t="str">
        <f t="shared" si="103"/>
        <v>-</v>
      </c>
      <c r="J203" s="516" t="str">
        <f t="shared" si="104"/>
        <v>-</v>
      </c>
      <c r="K203" s="200" t="str">
        <f t="shared" si="105"/>
        <v>-</v>
      </c>
      <c r="L203" s="596"/>
      <c r="M203" s="453" t="e">
        <f>RANK(K203, K$182:$K$211)</f>
        <v>#VALUE!</v>
      </c>
      <c r="N203" s="614"/>
      <c r="O203" s="614"/>
      <c r="P203" s="461"/>
      <c r="Q203" s="182"/>
      <c r="R203" s="463"/>
      <c r="S203" s="452" t="e">
        <f t="shared" si="106"/>
        <v>#N/A</v>
      </c>
      <c r="T203" s="661"/>
      <c r="U203" s="461"/>
      <c r="V203" s="182"/>
      <c r="W203" s="463"/>
      <c r="X203" s="452" t="e">
        <f t="shared" si="107"/>
        <v>#N/A</v>
      </c>
      <c r="Y203" s="661"/>
      <c r="Z203" s="461"/>
      <c r="AA203" s="182"/>
      <c r="AB203" s="463"/>
      <c r="AC203" s="452" t="e">
        <f t="shared" si="108"/>
        <v>#N/A</v>
      </c>
      <c r="AD203" s="661"/>
      <c r="AE203" s="461"/>
      <c r="AF203" s="182"/>
      <c r="AG203" s="463"/>
      <c r="AH203" s="452" t="e">
        <f t="shared" si="109"/>
        <v>#N/A</v>
      </c>
      <c r="AI203" s="661"/>
      <c r="AJ203" s="461"/>
      <c r="AK203" s="182"/>
      <c r="AL203" s="463"/>
      <c r="AM203" s="452" t="e">
        <f t="shared" si="110"/>
        <v>#N/A</v>
      </c>
      <c r="AN203" s="661"/>
      <c r="AO203" s="461"/>
      <c r="AP203" s="182"/>
      <c r="AQ203" s="463"/>
      <c r="AR203" s="452" t="e">
        <f t="shared" si="111"/>
        <v>#N/A</v>
      </c>
      <c r="AS203" s="661"/>
      <c r="AT203" s="461"/>
      <c r="AU203" s="182"/>
      <c r="AV203" s="463"/>
      <c r="AW203" s="455" t="e">
        <f t="shared" si="112"/>
        <v>#N/A</v>
      </c>
      <c r="AX203" s="652"/>
      <c r="AZ203" s="455" t="e">
        <f t="shared" si="113"/>
        <v>#N/A</v>
      </c>
      <c r="BA203" s="652"/>
    </row>
    <row r="204" spans="2:53">
      <c r="B204" s="647"/>
      <c r="C204" s="452">
        <v>23</v>
      </c>
      <c r="D204" s="514"/>
      <c r="E204" s="514"/>
      <c r="F204" s="514"/>
      <c r="G204" s="514"/>
      <c r="H204" s="659"/>
      <c r="I204" s="516" t="str">
        <f t="shared" si="103"/>
        <v>-</v>
      </c>
      <c r="J204" s="516" t="str">
        <f t="shared" si="104"/>
        <v>-</v>
      </c>
      <c r="K204" s="200" t="str">
        <f t="shared" si="105"/>
        <v>-</v>
      </c>
      <c r="L204" s="596"/>
      <c r="M204" s="453" t="e">
        <f>RANK(K204, K$182:$K$211)</f>
        <v>#VALUE!</v>
      </c>
      <c r="N204" s="614"/>
      <c r="O204" s="614"/>
      <c r="P204" s="461"/>
      <c r="Q204" s="461"/>
      <c r="R204" s="463"/>
      <c r="S204" s="452" t="e">
        <f t="shared" si="106"/>
        <v>#N/A</v>
      </c>
      <c r="T204" s="661"/>
      <c r="U204" s="461"/>
      <c r="V204" s="461"/>
      <c r="W204" s="463"/>
      <c r="X204" s="452" t="e">
        <f t="shared" si="107"/>
        <v>#N/A</v>
      </c>
      <c r="Y204" s="661"/>
      <c r="Z204" s="461"/>
      <c r="AA204" s="461"/>
      <c r="AB204" s="463"/>
      <c r="AC204" s="452" t="e">
        <f t="shared" si="108"/>
        <v>#N/A</v>
      </c>
      <c r="AD204" s="661"/>
      <c r="AE204" s="461"/>
      <c r="AF204" s="461"/>
      <c r="AG204" s="463"/>
      <c r="AH204" s="452" t="e">
        <f t="shared" si="109"/>
        <v>#N/A</v>
      </c>
      <c r="AI204" s="661"/>
      <c r="AJ204" s="461"/>
      <c r="AK204" s="461"/>
      <c r="AL204" s="463"/>
      <c r="AM204" s="452" t="e">
        <f t="shared" si="110"/>
        <v>#N/A</v>
      </c>
      <c r="AN204" s="661"/>
      <c r="AO204" s="461"/>
      <c r="AP204" s="461"/>
      <c r="AQ204" s="463"/>
      <c r="AR204" s="452" t="e">
        <f t="shared" si="111"/>
        <v>#N/A</v>
      </c>
      <c r="AS204" s="661"/>
      <c r="AT204" s="461"/>
      <c r="AU204" s="461"/>
      <c r="AV204" s="463"/>
      <c r="AW204" s="455" t="e">
        <f t="shared" si="112"/>
        <v>#N/A</v>
      </c>
      <c r="AX204" s="652"/>
      <c r="AZ204" s="455" t="e">
        <f t="shared" si="113"/>
        <v>#N/A</v>
      </c>
      <c r="BA204" s="652"/>
    </row>
    <row r="205" spans="2:53">
      <c r="B205" s="647"/>
      <c r="C205" s="452">
        <v>24</v>
      </c>
      <c r="D205" s="514"/>
      <c r="E205" s="514"/>
      <c r="F205" s="514"/>
      <c r="G205" s="514"/>
      <c r="H205" s="659"/>
      <c r="I205" s="516" t="str">
        <f t="shared" si="103"/>
        <v>-</v>
      </c>
      <c r="J205" s="516" t="str">
        <f t="shared" si="104"/>
        <v>-</v>
      </c>
      <c r="K205" s="200" t="str">
        <f t="shared" si="105"/>
        <v>-</v>
      </c>
      <c r="L205" s="596"/>
      <c r="M205" s="453" t="e">
        <f>RANK(K205, K$182:$K$211)</f>
        <v>#VALUE!</v>
      </c>
      <c r="N205" s="614"/>
      <c r="O205" s="614"/>
      <c r="P205" s="461"/>
      <c r="Q205" s="461"/>
      <c r="R205" s="461"/>
      <c r="S205" s="452" t="e">
        <f t="shared" si="106"/>
        <v>#N/A</v>
      </c>
      <c r="T205" s="661"/>
      <c r="U205" s="461"/>
      <c r="V205" s="461"/>
      <c r="W205" s="461"/>
      <c r="X205" s="452" t="e">
        <f t="shared" si="107"/>
        <v>#N/A</v>
      </c>
      <c r="Y205" s="661"/>
      <c r="Z205" s="461"/>
      <c r="AA205" s="461"/>
      <c r="AB205" s="461"/>
      <c r="AC205" s="452" t="e">
        <f t="shared" si="108"/>
        <v>#N/A</v>
      </c>
      <c r="AD205" s="661"/>
      <c r="AE205" s="461"/>
      <c r="AF205" s="461"/>
      <c r="AG205" s="461"/>
      <c r="AH205" s="452" t="e">
        <f t="shared" si="109"/>
        <v>#N/A</v>
      </c>
      <c r="AI205" s="661"/>
      <c r="AJ205" s="461"/>
      <c r="AK205" s="461"/>
      <c r="AL205" s="461"/>
      <c r="AM205" s="452" t="e">
        <f t="shared" si="110"/>
        <v>#N/A</v>
      </c>
      <c r="AN205" s="661"/>
      <c r="AO205" s="461"/>
      <c r="AP205" s="461"/>
      <c r="AQ205" s="461"/>
      <c r="AR205" s="452" t="e">
        <f t="shared" si="111"/>
        <v>#N/A</v>
      </c>
      <c r="AS205" s="661"/>
      <c r="AT205" s="461"/>
      <c r="AU205" s="461"/>
      <c r="AV205" s="461"/>
      <c r="AW205" s="455" t="e">
        <f t="shared" si="112"/>
        <v>#N/A</v>
      </c>
      <c r="AX205" s="652"/>
      <c r="AZ205" s="455" t="e">
        <f t="shared" si="113"/>
        <v>#N/A</v>
      </c>
      <c r="BA205" s="652"/>
    </row>
    <row r="206" spans="2:53">
      <c r="B206" s="647"/>
      <c r="C206" s="452">
        <v>25</v>
      </c>
      <c r="D206" s="514"/>
      <c r="E206" s="514"/>
      <c r="F206" s="514"/>
      <c r="G206" s="514"/>
      <c r="H206" s="659"/>
      <c r="I206" s="516" t="str">
        <f t="shared" si="103"/>
        <v>-</v>
      </c>
      <c r="J206" s="516" t="str">
        <f t="shared" si="104"/>
        <v>-</v>
      </c>
      <c r="K206" s="200" t="str">
        <f t="shared" si="105"/>
        <v>-</v>
      </c>
      <c r="L206" s="596"/>
      <c r="M206" s="453" t="e">
        <f>RANK(K206, K$182:$K$211)</f>
        <v>#VALUE!</v>
      </c>
      <c r="N206" s="614"/>
      <c r="O206" s="614"/>
      <c r="P206" s="461"/>
      <c r="Q206" s="461"/>
      <c r="R206" s="461"/>
      <c r="S206" s="452" t="e">
        <f t="shared" si="106"/>
        <v>#N/A</v>
      </c>
      <c r="T206" s="661"/>
      <c r="U206" s="461"/>
      <c r="V206" s="461"/>
      <c r="W206" s="461"/>
      <c r="X206" s="452" t="e">
        <f t="shared" si="107"/>
        <v>#N/A</v>
      </c>
      <c r="Y206" s="661"/>
      <c r="Z206" s="461"/>
      <c r="AA206" s="461"/>
      <c r="AB206" s="461"/>
      <c r="AC206" s="452" t="e">
        <f t="shared" si="108"/>
        <v>#N/A</v>
      </c>
      <c r="AD206" s="661"/>
      <c r="AE206" s="461"/>
      <c r="AF206" s="461"/>
      <c r="AG206" s="461"/>
      <c r="AH206" s="452" t="e">
        <f t="shared" si="109"/>
        <v>#N/A</v>
      </c>
      <c r="AI206" s="661"/>
      <c r="AJ206" s="461"/>
      <c r="AK206" s="461"/>
      <c r="AL206" s="461"/>
      <c r="AM206" s="452" t="e">
        <f t="shared" si="110"/>
        <v>#N/A</v>
      </c>
      <c r="AN206" s="661"/>
      <c r="AO206" s="461"/>
      <c r="AP206" s="461"/>
      <c r="AQ206" s="461"/>
      <c r="AR206" s="452" t="e">
        <f t="shared" si="111"/>
        <v>#N/A</v>
      </c>
      <c r="AS206" s="661"/>
      <c r="AT206" s="461"/>
      <c r="AU206" s="461"/>
      <c r="AV206" s="461"/>
      <c r="AW206" s="455" t="e">
        <f t="shared" si="112"/>
        <v>#N/A</v>
      </c>
      <c r="AX206" s="652"/>
      <c r="AZ206" s="455" t="e">
        <f t="shared" si="113"/>
        <v>#N/A</v>
      </c>
      <c r="BA206" s="652"/>
    </row>
    <row r="207" spans="2:53">
      <c r="B207" s="647"/>
      <c r="C207" s="452">
        <v>26</v>
      </c>
      <c r="D207" s="514"/>
      <c r="E207" s="514"/>
      <c r="F207" s="514"/>
      <c r="G207" s="514"/>
      <c r="H207" s="659"/>
      <c r="I207" s="516" t="str">
        <f t="shared" si="103"/>
        <v>-</v>
      </c>
      <c r="J207" s="516" t="str">
        <f t="shared" si="104"/>
        <v>-</v>
      </c>
      <c r="K207" s="200" t="str">
        <f t="shared" si="105"/>
        <v>-</v>
      </c>
      <c r="L207" s="596"/>
      <c r="M207" s="453" t="e">
        <f>RANK(K207, K$182:$K$211)</f>
        <v>#VALUE!</v>
      </c>
      <c r="N207" s="614"/>
      <c r="O207" s="614"/>
      <c r="P207" s="461"/>
      <c r="Q207" s="461"/>
      <c r="R207" s="461"/>
      <c r="S207" s="452" t="e">
        <f t="shared" si="106"/>
        <v>#N/A</v>
      </c>
      <c r="T207" s="661"/>
      <c r="U207" s="461"/>
      <c r="V207" s="461"/>
      <c r="W207" s="461"/>
      <c r="X207" s="452" t="e">
        <f t="shared" si="107"/>
        <v>#N/A</v>
      </c>
      <c r="Y207" s="661"/>
      <c r="Z207" s="461"/>
      <c r="AA207" s="461"/>
      <c r="AB207" s="461"/>
      <c r="AC207" s="452" t="e">
        <f t="shared" si="108"/>
        <v>#N/A</v>
      </c>
      <c r="AD207" s="661"/>
      <c r="AE207" s="461"/>
      <c r="AF207" s="461"/>
      <c r="AG207" s="461"/>
      <c r="AH207" s="452" t="e">
        <f t="shared" si="109"/>
        <v>#N/A</v>
      </c>
      <c r="AI207" s="661"/>
      <c r="AJ207" s="461"/>
      <c r="AK207" s="461"/>
      <c r="AL207" s="461"/>
      <c r="AM207" s="452" t="e">
        <f t="shared" si="110"/>
        <v>#N/A</v>
      </c>
      <c r="AN207" s="661"/>
      <c r="AO207" s="461"/>
      <c r="AP207" s="461"/>
      <c r="AQ207" s="461"/>
      <c r="AR207" s="452" t="e">
        <f t="shared" si="111"/>
        <v>#N/A</v>
      </c>
      <c r="AS207" s="661"/>
      <c r="AT207" s="461"/>
      <c r="AU207" s="461"/>
      <c r="AV207" s="461"/>
      <c r="AW207" s="455" t="e">
        <f t="shared" si="112"/>
        <v>#N/A</v>
      </c>
      <c r="AX207" s="652"/>
      <c r="AZ207" s="455" t="e">
        <f t="shared" si="113"/>
        <v>#N/A</v>
      </c>
      <c r="BA207" s="652"/>
    </row>
    <row r="208" spans="2:53">
      <c r="B208" s="647"/>
      <c r="C208" s="452">
        <v>27</v>
      </c>
      <c r="D208" s="514"/>
      <c r="E208" s="514"/>
      <c r="F208" s="514"/>
      <c r="G208" s="514"/>
      <c r="H208" s="659"/>
      <c r="I208" s="516" t="str">
        <f t="shared" si="103"/>
        <v>-</v>
      </c>
      <c r="J208" s="516" t="str">
        <f t="shared" si="104"/>
        <v>-</v>
      </c>
      <c r="K208" s="200" t="str">
        <f t="shared" si="105"/>
        <v>-</v>
      </c>
      <c r="L208" s="596"/>
      <c r="M208" s="453" t="e">
        <f>RANK(K208, K$182:$K$211)</f>
        <v>#VALUE!</v>
      </c>
      <c r="N208" s="614"/>
      <c r="O208" s="614"/>
      <c r="P208" s="461"/>
      <c r="Q208" s="461"/>
      <c r="R208" s="461"/>
      <c r="S208" s="452" t="e">
        <f t="shared" si="106"/>
        <v>#N/A</v>
      </c>
      <c r="T208" s="661"/>
      <c r="U208" s="461"/>
      <c r="V208" s="461"/>
      <c r="W208" s="461"/>
      <c r="X208" s="452" t="e">
        <f t="shared" si="107"/>
        <v>#N/A</v>
      </c>
      <c r="Y208" s="661"/>
      <c r="Z208" s="461"/>
      <c r="AA208" s="461"/>
      <c r="AB208" s="461"/>
      <c r="AC208" s="452" t="e">
        <f t="shared" si="108"/>
        <v>#N/A</v>
      </c>
      <c r="AD208" s="661"/>
      <c r="AE208" s="461"/>
      <c r="AF208" s="461"/>
      <c r="AG208" s="461"/>
      <c r="AH208" s="452" t="e">
        <f t="shared" si="109"/>
        <v>#N/A</v>
      </c>
      <c r="AI208" s="661"/>
      <c r="AJ208" s="461"/>
      <c r="AK208" s="461"/>
      <c r="AL208" s="461"/>
      <c r="AM208" s="452" t="e">
        <f t="shared" si="110"/>
        <v>#N/A</v>
      </c>
      <c r="AN208" s="661"/>
      <c r="AO208" s="461"/>
      <c r="AP208" s="461"/>
      <c r="AQ208" s="461"/>
      <c r="AR208" s="452" t="e">
        <f t="shared" si="111"/>
        <v>#N/A</v>
      </c>
      <c r="AS208" s="661"/>
      <c r="AT208" s="461"/>
      <c r="AU208" s="461"/>
      <c r="AV208" s="461"/>
      <c r="AW208" s="455" t="e">
        <f t="shared" si="112"/>
        <v>#N/A</v>
      </c>
      <c r="AX208" s="652"/>
      <c r="AZ208" s="455" t="e">
        <f t="shared" si="113"/>
        <v>#N/A</v>
      </c>
      <c r="BA208" s="652"/>
    </row>
    <row r="209" spans="2:53">
      <c r="B209" s="647"/>
      <c r="C209" s="452">
        <v>28</v>
      </c>
      <c r="D209" s="514"/>
      <c r="E209" s="514"/>
      <c r="F209" s="514"/>
      <c r="G209" s="514"/>
      <c r="H209" s="659"/>
      <c r="I209" s="516" t="str">
        <f t="shared" si="103"/>
        <v>-</v>
      </c>
      <c r="J209" s="516" t="str">
        <f t="shared" si="104"/>
        <v>-</v>
      </c>
      <c r="K209" s="200" t="str">
        <f t="shared" si="105"/>
        <v>-</v>
      </c>
      <c r="L209" s="596"/>
      <c r="M209" s="453" t="e">
        <f>RANK(K209, K$182:$K$211)</f>
        <v>#VALUE!</v>
      </c>
      <c r="N209" s="614"/>
      <c r="O209" s="614"/>
      <c r="P209" s="461"/>
      <c r="Q209" s="461"/>
      <c r="R209" s="461"/>
      <c r="S209" s="452" t="e">
        <f t="shared" si="106"/>
        <v>#N/A</v>
      </c>
      <c r="T209" s="661"/>
      <c r="U209" s="461"/>
      <c r="V209" s="461"/>
      <c r="W209" s="461"/>
      <c r="X209" s="452" t="e">
        <f t="shared" si="107"/>
        <v>#N/A</v>
      </c>
      <c r="Y209" s="661"/>
      <c r="Z209" s="461"/>
      <c r="AA209" s="461"/>
      <c r="AB209" s="461"/>
      <c r="AC209" s="452" t="e">
        <f t="shared" si="108"/>
        <v>#N/A</v>
      </c>
      <c r="AD209" s="661"/>
      <c r="AE209" s="461"/>
      <c r="AF209" s="461"/>
      <c r="AG209" s="461"/>
      <c r="AH209" s="452" t="e">
        <f t="shared" si="109"/>
        <v>#N/A</v>
      </c>
      <c r="AI209" s="661"/>
      <c r="AJ209" s="461"/>
      <c r="AK209" s="461"/>
      <c r="AL209" s="461"/>
      <c r="AM209" s="452" t="e">
        <f t="shared" si="110"/>
        <v>#N/A</v>
      </c>
      <c r="AN209" s="661"/>
      <c r="AO209" s="461"/>
      <c r="AP209" s="461"/>
      <c r="AQ209" s="461"/>
      <c r="AR209" s="452" t="e">
        <f t="shared" si="111"/>
        <v>#N/A</v>
      </c>
      <c r="AS209" s="661"/>
      <c r="AT209" s="461"/>
      <c r="AU209" s="461"/>
      <c r="AV209" s="461"/>
      <c r="AW209" s="455" t="e">
        <f t="shared" si="112"/>
        <v>#N/A</v>
      </c>
      <c r="AX209" s="652"/>
      <c r="AZ209" s="455" t="e">
        <f t="shared" si="113"/>
        <v>#N/A</v>
      </c>
      <c r="BA209" s="652"/>
    </row>
    <row r="210" spans="2:53">
      <c r="B210" s="647"/>
      <c r="C210" s="452">
        <v>29</v>
      </c>
      <c r="D210" s="514"/>
      <c r="E210" s="514"/>
      <c r="F210" s="514"/>
      <c r="G210" s="514"/>
      <c r="H210" s="659"/>
      <c r="I210" s="516" t="str">
        <f t="shared" si="103"/>
        <v>-</v>
      </c>
      <c r="J210" s="516" t="str">
        <f t="shared" si="104"/>
        <v>-</v>
      </c>
      <c r="K210" s="200" t="str">
        <f t="shared" si="105"/>
        <v>-</v>
      </c>
      <c r="L210" s="596"/>
      <c r="M210" s="453" t="e">
        <f>RANK(K210, K$182:$K$211)</f>
        <v>#VALUE!</v>
      </c>
      <c r="N210" s="614"/>
      <c r="O210" s="614"/>
      <c r="P210" s="461"/>
      <c r="Q210" s="461"/>
      <c r="R210" s="461"/>
      <c r="S210" s="452" t="e">
        <f t="shared" si="106"/>
        <v>#N/A</v>
      </c>
      <c r="T210" s="661"/>
      <c r="U210" s="461"/>
      <c r="V210" s="461"/>
      <c r="W210" s="461"/>
      <c r="X210" s="452" t="e">
        <f t="shared" si="107"/>
        <v>#N/A</v>
      </c>
      <c r="Y210" s="661"/>
      <c r="Z210" s="461"/>
      <c r="AA210" s="461"/>
      <c r="AB210" s="461"/>
      <c r="AC210" s="452" t="e">
        <f t="shared" si="108"/>
        <v>#N/A</v>
      </c>
      <c r="AD210" s="661"/>
      <c r="AE210" s="461"/>
      <c r="AF210" s="461"/>
      <c r="AG210" s="461"/>
      <c r="AH210" s="452" t="e">
        <f t="shared" si="109"/>
        <v>#N/A</v>
      </c>
      <c r="AI210" s="661"/>
      <c r="AJ210" s="461"/>
      <c r="AK210" s="461"/>
      <c r="AL210" s="461"/>
      <c r="AM210" s="452" t="e">
        <f t="shared" si="110"/>
        <v>#N/A</v>
      </c>
      <c r="AN210" s="661"/>
      <c r="AO210" s="461"/>
      <c r="AP210" s="461"/>
      <c r="AQ210" s="461"/>
      <c r="AR210" s="452" t="e">
        <f t="shared" si="111"/>
        <v>#N/A</v>
      </c>
      <c r="AS210" s="661"/>
      <c r="AT210" s="461"/>
      <c r="AU210" s="461"/>
      <c r="AV210" s="461"/>
      <c r="AW210" s="455" t="e">
        <f t="shared" si="112"/>
        <v>#N/A</v>
      </c>
      <c r="AX210" s="652"/>
      <c r="AZ210" s="455" t="e">
        <f t="shared" si="113"/>
        <v>#N/A</v>
      </c>
      <c r="BA210" s="652"/>
    </row>
    <row r="211" spans="2:53">
      <c r="B211" s="647"/>
      <c r="C211" s="452">
        <v>30</v>
      </c>
      <c r="D211" s="514"/>
      <c r="E211" s="514"/>
      <c r="F211" s="514"/>
      <c r="G211" s="514"/>
      <c r="H211" s="659"/>
      <c r="I211" s="516" t="str">
        <f t="shared" si="103"/>
        <v>-</v>
      </c>
      <c r="J211" s="516" t="str">
        <f t="shared" si="104"/>
        <v>-</v>
      </c>
      <c r="K211" s="200" t="str">
        <f t="shared" si="105"/>
        <v>-</v>
      </c>
      <c r="L211" s="597"/>
      <c r="M211" s="453" t="e">
        <f>RANK(K211, K$182:$K$211)</f>
        <v>#VALUE!</v>
      </c>
      <c r="N211" s="614"/>
      <c r="O211" s="614"/>
      <c r="P211" s="461"/>
      <c r="Q211" s="461"/>
      <c r="R211" s="461"/>
      <c r="S211" s="452" t="e">
        <f t="shared" si="106"/>
        <v>#N/A</v>
      </c>
      <c r="T211" s="661"/>
      <c r="U211" s="461"/>
      <c r="V211" s="461"/>
      <c r="W211" s="461"/>
      <c r="X211" s="452" t="e">
        <f t="shared" si="107"/>
        <v>#N/A</v>
      </c>
      <c r="Y211" s="661"/>
      <c r="Z211" s="461"/>
      <c r="AA211" s="461"/>
      <c r="AB211" s="461"/>
      <c r="AC211" s="452" t="e">
        <f t="shared" si="108"/>
        <v>#N/A</v>
      </c>
      <c r="AD211" s="661"/>
      <c r="AE211" s="461"/>
      <c r="AF211" s="461"/>
      <c r="AG211" s="461"/>
      <c r="AH211" s="452" t="e">
        <f t="shared" si="109"/>
        <v>#N/A</v>
      </c>
      <c r="AI211" s="661"/>
      <c r="AJ211" s="461"/>
      <c r="AK211" s="461"/>
      <c r="AL211" s="461"/>
      <c r="AM211" s="452" t="e">
        <f t="shared" si="110"/>
        <v>#N/A</v>
      </c>
      <c r="AN211" s="661"/>
      <c r="AO211" s="461"/>
      <c r="AP211" s="461"/>
      <c r="AQ211" s="461"/>
      <c r="AR211" s="452" t="e">
        <f t="shared" si="111"/>
        <v>#N/A</v>
      </c>
      <c r="AS211" s="661"/>
      <c r="AT211" s="461"/>
      <c r="AU211" s="461"/>
      <c r="AV211" s="461"/>
      <c r="AW211" s="455" t="e">
        <f t="shared" si="112"/>
        <v>#N/A</v>
      </c>
      <c r="AX211" s="652"/>
      <c r="AZ211" s="455" t="e">
        <f t="shared" si="113"/>
        <v>#N/A</v>
      </c>
      <c r="BA211" s="652"/>
    </row>
    <row r="213" spans="2:53" ht="15.75">
      <c r="B213" s="653" t="s">
        <v>560</v>
      </c>
      <c r="C213" s="654"/>
      <c r="D213" s="654"/>
      <c r="E213" s="654"/>
      <c r="F213" s="654"/>
      <c r="G213" s="654"/>
      <c r="H213" s="655"/>
      <c r="I213" s="338"/>
      <c r="J213" s="338"/>
      <c r="K213" s="338"/>
      <c r="L213" s="338"/>
      <c r="M213" s="339"/>
    </row>
    <row r="214" spans="2:53" ht="15.75">
      <c r="B214" s="656"/>
      <c r="C214" s="656"/>
      <c r="D214" s="656"/>
      <c r="E214" s="656"/>
      <c r="F214" s="656"/>
      <c r="G214" s="656"/>
      <c r="H214" s="656"/>
      <c r="I214" s="340"/>
      <c r="J214" s="340"/>
      <c r="K214" s="340"/>
      <c r="L214" s="340"/>
      <c r="M214" s="341"/>
    </row>
    <row r="215" spans="2:53">
      <c r="B215" s="614" t="s">
        <v>561</v>
      </c>
      <c r="C215" s="614" t="s">
        <v>562</v>
      </c>
      <c r="D215" s="614"/>
      <c r="E215" s="614" t="s">
        <v>563</v>
      </c>
      <c r="F215" s="614"/>
      <c r="G215" s="614"/>
      <c r="H215" s="614" t="s">
        <v>564</v>
      </c>
      <c r="I215" s="657" t="s">
        <v>565</v>
      </c>
      <c r="J215" s="657"/>
      <c r="K215" s="657"/>
      <c r="L215" s="657" t="s">
        <v>564</v>
      </c>
      <c r="M215" s="657" t="s">
        <v>566</v>
      </c>
    </row>
    <row r="216" spans="2:53">
      <c r="B216" s="614"/>
      <c r="C216" s="614"/>
      <c r="D216" s="614"/>
      <c r="E216" s="614" t="s">
        <v>567</v>
      </c>
      <c r="F216" s="614"/>
      <c r="G216" s="614"/>
      <c r="H216" s="614"/>
      <c r="I216" s="657" t="s">
        <v>567</v>
      </c>
      <c r="J216" s="657"/>
      <c r="K216" s="657"/>
      <c r="L216" s="657"/>
      <c r="M216" s="657"/>
    </row>
    <row r="217" spans="2:53">
      <c r="B217" s="614"/>
      <c r="C217" s="614"/>
      <c r="D217" s="614"/>
      <c r="E217" s="335" t="s">
        <v>568</v>
      </c>
      <c r="F217" s="335" t="s">
        <v>569</v>
      </c>
      <c r="G217" s="335" t="s">
        <v>570</v>
      </c>
      <c r="H217" s="614"/>
      <c r="I217" s="342" t="s">
        <v>568</v>
      </c>
      <c r="J217" s="342" t="s">
        <v>569</v>
      </c>
      <c r="K217" s="342" t="s">
        <v>570</v>
      </c>
      <c r="L217" s="657"/>
      <c r="M217" s="657"/>
    </row>
    <row r="218" spans="2:53">
      <c r="B218" s="646" t="s">
        <v>571</v>
      </c>
      <c r="C218" s="334">
        <v>1</v>
      </c>
      <c r="D218" s="334"/>
      <c r="E218" s="334"/>
      <c r="F218" s="334"/>
      <c r="G218" s="334"/>
      <c r="H218" s="636" t="e">
        <f>AVERAGE(G218:G247)</f>
        <v>#DIV/0!</v>
      </c>
      <c r="I218" s="199" t="e">
        <f t="shared" ref="I218:K240" si="114">AVERAGEIF($D$7:$D$211,$D218,I$7:I$211)</f>
        <v>#DIV/0!</v>
      </c>
      <c r="J218" s="199" t="e">
        <f t="shared" si="114"/>
        <v>#DIV/0!</v>
      </c>
      <c r="K218" s="199" t="e">
        <f>AVERAGEIF($D$7:$D$211,$D218,K$7:K$211)</f>
        <v>#DIV/0!</v>
      </c>
      <c r="L218" s="660" t="e">
        <f>AVERAGE(K218:K247)</f>
        <v>#DIV/0!</v>
      </c>
      <c r="M218" s="199" t="e">
        <f>RANK(K218, K$218:$K$247)</f>
        <v>#DIV/0!</v>
      </c>
    </row>
    <row r="219" spans="2:53">
      <c r="B219" s="622"/>
      <c r="C219" s="334">
        <v>2</v>
      </c>
      <c r="D219" s="334"/>
      <c r="E219" s="334"/>
      <c r="F219" s="334"/>
      <c r="G219" s="484"/>
      <c r="H219" s="636"/>
      <c r="I219" s="199" t="e">
        <f t="shared" si="114"/>
        <v>#DIV/0!</v>
      </c>
      <c r="J219" s="199" t="e">
        <f t="shared" si="114"/>
        <v>#DIV/0!</v>
      </c>
      <c r="K219" s="199" t="e">
        <f t="shared" si="114"/>
        <v>#DIV/0!</v>
      </c>
      <c r="L219" s="660"/>
      <c r="M219" s="199" t="e">
        <f>RANK(K219, K$218:$K$247)</f>
        <v>#DIV/0!</v>
      </c>
    </row>
    <row r="220" spans="2:53">
      <c r="B220" s="622"/>
      <c r="C220" s="334">
        <v>3</v>
      </c>
      <c r="D220" s="334"/>
      <c r="E220" s="334"/>
      <c r="F220" s="484"/>
      <c r="G220" s="334"/>
      <c r="H220" s="636"/>
      <c r="I220" s="199" t="e">
        <f t="shared" si="114"/>
        <v>#DIV/0!</v>
      </c>
      <c r="J220" s="199" t="e">
        <f t="shared" si="114"/>
        <v>#DIV/0!</v>
      </c>
      <c r="K220" s="199" t="e">
        <f t="shared" si="114"/>
        <v>#DIV/0!</v>
      </c>
      <c r="L220" s="660"/>
      <c r="M220" s="199" t="e">
        <f>RANK(K220, K$218:$K$247)</f>
        <v>#DIV/0!</v>
      </c>
    </row>
    <row r="221" spans="2:53">
      <c r="B221" s="622"/>
      <c r="C221" s="334">
        <v>4</v>
      </c>
      <c r="D221" s="334"/>
      <c r="E221" s="334"/>
      <c r="F221" s="484"/>
      <c r="G221" s="484"/>
      <c r="H221" s="636"/>
      <c r="I221" s="199" t="e">
        <f t="shared" si="114"/>
        <v>#DIV/0!</v>
      </c>
      <c r="J221" s="199" t="e">
        <f t="shared" si="114"/>
        <v>#DIV/0!</v>
      </c>
      <c r="K221" s="199" t="e">
        <f t="shared" si="114"/>
        <v>#DIV/0!</v>
      </c>
      <c r="L221" s="660"/>
      <c r="M221" s="199" t="e">
        <f>RANK(K221, K$218:$K$247)</f>
        <v>#DIV/0!</v>
      </c>
    </row>
    <row r="222" spans="2:53">
      <c r="B222" s="622"/>
      <c r="C222" s="334">
        <v>5</v>
      </c>
      <c r="D222" s="334"/>
      <c r="E222" s="334"/>
      <c r="F222" s="484"/>
      <c r="G222" s="484"/>
      <c r="H222" s="636"/>
      <c r="I222" s="199" t="e">
        <f t="shared" si="114"/>
        <v>#DIV/0!</v>
      </c>
      <c r="J222" s="199" t="e">
        <f t="shared" si="114"/>
        <v>#DIV/0!</v>
      </c>
      <c r="K222" s="199" t="e">
        <f t="shared" si="114"/>
        <v>#DIV/0!</v>
      </c>
      <c r="L222" s="660"/>
      <c r="M222" s="199" t="e">
        <f>RANK(K222, K$218:$K$247)</f>
        <v>#DIV/0!</v>
      </c>
    </row>
    <row r="223" spans="2:53">
      <c r="B223" s="622"/>
      <c r="C223" s="334">
        <v>6</v>
      </c>
      <c r="D223" s="334"/>
      <c r="E223" s="334"/>
      <c r="F223" s="484"/>
      <c r="G223" s="484"/>
      <c r="H223" s="636"/>
      <c r="I223" s="199" t="e">
        <f t="shared" si="114"/>
        <v>#DIV/0!</v>
      </c>
      <c r="J223" s="199" t="e">
        <f t="shared" si="114"/>
        <v>#DIV/0!</v>
      </c>
      <c r="K223" s="199" t="e">
        <f t="shared" si="114"/>
        <v>#DIV/0!</v>
      </c>
      <c r="L223" s="660"/>
      <c r="M223" s="199" t="e">
        <f>RANK(K223, K$218:$K$247)</f>
        <v>#DIV/0!</v>
      </c>
    </row>
    <row r="224" spans="2:53">
      <c r="B224" s="622"/>
      <c r="C224" s="334">
        <v>7</v>
      </c>
      <c r="D224" s="483"/>
      <c r="E224" s="334"/>
      <c r="F224" s="484"/>
      <c r="G224" s="484"/>
      <c r="H224" s="636"/>
      <c r="I224" s="199" t="e">
        <f t="shared" si="114"/>
        <v>#DIV/0!</v>
      </c>
      <c r="J224" s="199" t="e">
        <f t="shared" si="114"/>
        <v>#DIV/0!</v>
      </c>
      <c r="K224" s="199" t="e">
        <f t="shared" si="114"/>
        <v>#DIV/0!</v>
      </c>
      <c r="L224" s="660"/>
      <c r="M224" s="199" t="e">
        <f>RANK(K224, K$218:$K$247)</f>
        <v>#DIV/0!</v>
      </c>
    </row>
    <row r="225" spans="2:39">
      <c r="B225" s="622"/>
      <c r="C225" s="334">
        <v>8</v>
      </c>
      <c r="D225" s="483"/>
      <c r="E225" s="334"/>
      <c r="F225" s="484"/>
      <c r="G225" s="484"/>
      <c r="H225" s="636"/>
      <c r="I225" s="199" t="e">
        <f t="shared" si="114"/>
        <v>#DIV/0!</v>
      </c>
      <c r="J225" s="199" t="e">
        <f t="shared" si="114"/>
        <v>#DIV/0!</v>
      </c>
      <c r="K225" s="199" t="e">
        <f t="shared" si="114"/>
        <v>#DIV/0!</v>
      </c>
      <c r="L225" s="660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622"/>
      <c r="C226" s="334">
        <v>9</v>
      </c>
      <c r="D226" s="334"/>
      <c r="E226" s="334"/>
      <c r="F226" s="334"/>
      <c r="G226" s="334"/>
      <c r="H226" s="636"/>
      <c r="I226" s="199" t="e">
        <f t="shared" si="114"/>
        <v>#DIV/0!</v>
      </c>
      <c r="J226" s="199" t="e">
        <f t="shared" si="114"/>
        <v>#DIV/0!</v>
      </c>
      <c r="K226" s="199" t="e">
        <f t="shared" si="114"/>
        <v>#DIV/0!</v>
      </c>
      <c r="L226" s="660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622"/>
      <c r="C227" s="334">
        <v>10</v>
      </c>
      <c r="D227" s="334"/>
      <c r="E227" s="334"/>
      <c r="F227" s="334"/>
      <c r="G227" s="334"/>
      <c r="H227" s="636"/>
      <c r="I227" s="199" t="e">
        <f t="shared" si="114"/>
        <v>#DIV/0!</v>
      </c>
      <c r="J227" s="199" t="e">
        <f t="shared" si="114"/>
        <v>#DIV/0!</v>
      </c>
      <c r="K227" s="199" t="e">
        <f t="shared" si="114"/>
        <v>#DIV/0!</v>
      </c>
      <c r="L227" s="660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622"/>
      <c r="C228" s="334">
        <v>11</v>
      </c>
      <c r="D228" s="334"/>
      <c r="E228" s="334"/>
      <c r="F228" s="334"/>
      <c r="G228" s="334"/>
      <c r="H228" s="636"/>
      <c r="I228" s="199" t="e">
        <f t="shared" si="114"/>
        <v>#DIV/0!</v>
      </c>
      <c r="J228" s="199" t="e">
        <f t="shared" si="114"/>
        <v>#DIV/0!</v>
      </c>
      <c r="K228" s="199" t="e">
        <f t="shared" si="114"/>
        <v>#DIV/0!</v>
      </c>
      <c r="L228" s="660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622"/>
      <c r="C229" s="334">
        <v>12</v>
      </c>
      <c r="D229" s="334"/>
      <c r="E229" s="334"/>
      <c r="F229" s="334"/>
      <c r="G229" s="334"/>
      <c r="H229" s="636"/>
      <c r="I229" s="199" t="e">
        <f t="shared" si="114"/>
        <v>#DIV/0!</v>
      </c>
      <c r="J229" s="199" t="e">
        <f t="shared" si="114"/>
        <v>#DIV/0!</v>
      </c>
      <c r="K229" s="199" t="e">
        <f t="shared" si="114"/>
        <v>#DIV/0!</v>
      </c>
      <c r="L229" s="660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622"/>
      <c r="C230" s="334">
        <v>13</v>
      </c>
      <c r="D230" s="334"/>
      <c r="E230" s="334"/>
      <c r="F230" s="334"/>
      <c r="G230" s="334"/>
      <c r="H230" s="636"/>
      <c r="I230" s="199" t="e">
        <f t="shared" si="114"/>
        <v>#DIV/0!</v>
      </c>
      <c r="J230" s="199" t="e">
        <f t="shared" si="114"/>
        <v>#DIV/0!</v>
      </c>
      <c r="K230" s="199" t="e">
        <f t="shared" si="114"/>
        <v>#DIV/0!</v>
      </c>
      <c r="L230" s="660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622"/>
      <c r="C231" s="334">
        <v>14</v>
      </c>
      <c r="D231" s="334"/>
      <c r="E231" s="334"/>
      <c r="F231" s="334"/>
      <c r="G231" s="334"/>
      <c r="H231" s="636"/>
      <c r="I231" s="199" t="e">
        <f t="shared" si="114"/>
        <v>#DIV/0!</v>
      </c>
      <c r="J231" s="199" t="e">
        <f t="shared" si="114"/>
        <v>#DIV/0!</v>
      </c>
      <c r="K231" s="199" t="e">
        <f t="shared" si="114"/>
        <v>#DIV/0!</v>
      </c>
      <c r="L231" s="660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622"/>
      <c r="C232" s="334">
        <v>15</v>
      </c>
      <c r="D232" s="334"/>
      <c r="E232" s="334"/>
      <c r="F232" s="334"/>
      <c r="G232" s="334"/>
      <c r="H232" s="636"/>
      <c r="I232" s="199" t="e">
        <f t="shared" si="114"/>
        <v>#DIV/0!</v>
      </c>
      <c r="J232" s="199" t="e">
        <f t="shared" si="114"/>
        <v>#DIV/0!</v>
      </c>
      <c r="K232" s="199" t="e">
        <f t="shared" si="114"/>
        <v>#DIV/0!</v>
      </c>
      <c r="L232" s="660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622"/>
      <c r="C233" s="334">
        <v>16</v>
      </c>
      <c r="D233" s="334"/>
      <c r="E233" s="334"/>
      <c r="F233" s="334"/>
      <c r="G233" s="334"/>
      <c r="H233" s="636"/>
      <c r="I233" s="199" t="e">
        <f t="shared" si="114"/>
        <v>#DIV/0!</v>
      </c>
      <c r="J233" s="199" t="e">
        <f t="shared" si="114"/>
        <v>#DIV/0!</v>
      </c>
      <c r="K233" s="199" t="e">
        <f t="shared" si="114"/>
        <v>#DIV/0!</v>
      </c>
      <c r="L233" s="660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622"/>
      <c r="C234" s="334">
        <v>17</v>
      </c>
      <c r="D234" s="334"/>
      <c r="E234" s="334"/>
      <c r="F234" s="334"/>
      <c r="G234" s="334"/>
      <c r="H234" s="636"/>
      <c r="I234" s="199" t="e">
        <f t="shared" si="114"/>
        <v>#DIV/0!</v>
      </c>
      <c r="J234" s="199" t="e">
        <f t="shared" si="114"/>
        <v>#DIV/0!</v>
      </c>
      <c r="K234" s="199" t="e">
        <f t="shared" si="114"/>
        <v>#DIV/0!</v>
      </c>
      <c r="L234" s="660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622"/>
      <c r="C235" s="334">
        <v>18</v>
      </c>
      <c r="D235" s="334"/>
      <c r="E235" s="334"/>
      <c r="F235" s="334"/>
      <c r="G235" s="334"/>
      <c r="H235" s="636"/>
      <c r="I235" s="199" t="e">
        <f t="shared" si="114"/>
        <v>#DIV/0!</v>
      </c>
      <c r="J235" s="199" t="e">
        <f t="shared" si="114"/>
        <v>#DIV/0!</v>
      </c>
      <c r="K235" s="199" t="e">
        <f t="shared" si="114"/>
        <v>#DIV/0!</v>
      </c>
      <c r="L235" s="660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622"/>
      <c r="C236" s="334">
        <v>19</v>
      </c>
      <c r="D236" s="334"/>
      <c r="E236" s="334"/>
      <c r="F236" s="334"/>
      <c r="G236" s="334"/>
      <c r="H236" s="636"/>
      <c r="I236" s="199" t="e">
        <f t="shared" si="114"/>
        <v>#DIV/0!</v>
      </c>
      <c r="J236" s="199" t="e">
        <f t="shared" si="114"/>
        <v>#DIV/0!</v>
      </c>
      <c r="K236" s="199" t="e">
        <f t="shared" si="114"/>
        <v>#DIV/0!</v>
      </c>
      <c r="L236" s="660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622"/>
      <c r="C237" s="334">
        <v>20</v>
      </c>
      <c r="D237" s="334"/>
      <c r="E237" s="334"/>
      <c r="F237" s="334"/>
      <c r="G237" s="334"/>
      <c r="H237" s="636"/>
      <c r="I237" s="199" t="e">
        <f t="shared" si="114"/>
        <v>#DIV/0!</v>
      </c>
      <c r="J237" s="199" t="e">
        <f t="shared" si="114"/>
        <v>#DIV/0!</v>
      </c>
      <c r="K237" s="199" t="e">
        <f t="shared" si="114"/>
        <v>#DIV/0!</v>
      </c>
      <c r="L237" s="660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622"/>
      <c r="C238" s="334">
        <v>21</v>
      </c>
      <c r="D238" s="334"/>
      <c r="E238" s="334"/>
      <c r="F238" s="334"/>
      <c r="G238" s="334"/>
      <c r="H238" s="636"/>
      <c r="I238" s="199" t="e">
        <f t="shared" si="114"/>
        <v>#DIV/0!</v>
      </c>
      <c r="J238" s="199" t="e">
        <f t="shared" si="114"/>
        <v>#DIV/0!</v>
      </c>
      <c r="K238" s="199" t="e">
        <f t="shared" si="114"/>
        <v>#DIV/0!</v>
      </c>
      <c r="L238" s="660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622"/>
      <c r="C239" s="334">
        <v>22</v>
      </c>
      <c r="D239" s="334"/>
      <c r="E239" s="334"/>
      <c r="F239" s="334"/>
      <c r="G239" s="334"/>
      <c r="H239" s="636"/>
      <c r="I239" s="199" t="e">
        <f t="shared" si="114"/>
        <v>#DIV/0!</v>
      </c>
      <c r="J239" s="199" t="e">
        <f t="shared" si="114"/>
        <v>#DIV/0!</v>
      </c>
      <c r="K239" s="199" t="e">
        <f t="shared" si="114"/>
        <v>#DIV/0!</v>
      </c>
      <c r="L239" s="660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622"/>
      <c r="C240" s="334">
        <v>23</v>
      </c>
      <c r="D240" s="334"/>
      <c r="E240" s="334"/>
      <c r="F240" s="334"/>
      <c r="G240" s="334"/>
      <c r="H240" s="636"/>
      <c r="I240" s="199" t="e">
        <f t="shared" si="114"/>
        <v>#DIV/0!</v>
      </c>
      <c r="J240" s="199" t="e">
        <f t="shared" si="114"/>
        <v>#DIV/0!</v>
      </c>
      <c r="K240" s="199" t="e">
        <f t="shared" si="114"/>
        <v>#DIV/0!</v>
      </c>
      <c r="L240" s="660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622"/>
      <c r="C241" s="334">
        <v>24</v>
      </c>
      <c r="D241" s="334"/>
      <c r="E241" s="334"/>
      <c r="F241" s="334"/>
      <c r="G241" s="334"/>
      <c r="H241" s="636"/>
      <c r="I241" s="199"/>
      <c r="J241" s="199"/>
      <c r="K241" s="199"/>
      <c r="L241" s="660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22"/>
      <c r="C242" s="334">
        <v>25</v>
      </c>
      <c r="D242" s="334"/>
      <c r="E242" s="334"/>
      <c r="F242" s="334"/>
      <c r="G242" s="334"/>
      <c r="H242" s="636"/>
      <c r="I242" s="199"/>
      <c r="J242" s="199"/>
      <c r="K242" s="199"/>
      <c r="L242" s="660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22"/>
      <c r="C243" s="334">
        <v>26</v>
      </c>
      <c r="D243" s="334"/>
      <c r="E243" s="334"/>
      <c r="F243" s="334"/>
      <c r="G243" s="334"/>
      <c r="H243" s="636"/>
      <c r="I243" s="199"/>
      <c r="J243" s="199"/>
      <c r="K243" s="199"/>
      <c r="L243" s="660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22"/>
      <c r="C244" s="334">
        <v>27</v>
      </c>
      <c r="D244" s="334"/>
      <c r="E244" s="334"/>
      <c r="F244" s="334"/>
      <c r="G244" s="334"/>
      <c r="H244" s="636"/>
      <c r="I244" s="199"/>
      <c r="J244" s="199"/>
      <c r="K244" s="199"/>
      <c r="L244" s="660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22"/>
      <c r="C245" s="334">
        <v>28</v>
      </c>
      <c r="D245" s="334"/>
      <c r="E245" s="334"/>
      <c r="F245" s="334"/>
      <c r="G245" s="334"/>
      <c r="H245" s="636"/>
      <c r="I245" s="199"/>
      <c r="J245" s="199"/>
      <c r="K245" s="199"/>
      <c r="L245" s="660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22"/>
      <c r="C246" s="334">
        <v>29</v>
      </c>
      <c r="D246" s="334"/>
      <c r="E246" s="334"/>
      <c r="F246" s="334"/>
      <c r="G246" s="334"/>
      <c r="H246" s="636"/>
      <c r="I246" s="199"/>
      <c r="J246" s="199"/>
      <c r="K246" s="199"/>
      <c r="L246" s="660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22"/>
      <c r="C247" s="334">
        <v>30</v>
      </c>
      <c r="D247" s="334"/>
      <c r="E247" s="334"/>
      <c r="F247" s="334"/>
      <c r="G247" s="334"/>
      <c r="H247" s="636"/>
      <c r="I247" s="199"/>
      <c r="J247" s="199"/>
      <c r="K247" s="199"/>
      <c r="L247" s="660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  <row r="250" spans="2:39">
      <c r="D250" s="484" t="s">
        <v>361</v>
      </c>
      <c r="E250" s="484">
        <v>4</v>
      </c>
      <c r="F250" s="484">
        <v>2700</v>
      </c>
      <c r="G250" s="484">
        <f>F250/E250</f>
        <v>675</v>
      </c>
      <c r="H250" s="107">
        <v>704.2</v>
      </c>
      <c r="N250" s="108"/>
      <c r="O250" s="108"/>
      <c r="P250" s="108"/>
      <c r="Q250" s="108"/>
      <c r="R250" s="108"/>
      <c r="S250" s="108"/>
      <c r="T250" s="108"/>
      <c r="X250" s="108"/>
      <c r="AC250" s="108"/>
      <c r="AH250" s="108"/>
      <c r="AM250" s="108"/>
    </row>
    <row r="251" spans="2:39">
      <c r="D251" s="484" t="s">
        <v>363</v>
      </c>
      <c r="E251" s="484">
        <v>3</v>
      </c>
      <c r="F251" s="484">
        <v>2700</v>
      </c>
      <c r="G251" s="484">
        <f t="shared" ref="G251:G255" si="115">F251/E251</f>
        <v>900</v>
      </c>
      <c r="N251" s="108"/>
      <c r="O251" s="108"/>
      <c r="P251" s="108"/>
      <c r="Q251" s="108"/>
      <c r="R251" s="108"/>
      <c r="S251" s="108"/>
      <c r="T251" s="108"/>
      <c r="X251" s="108"/>
      <c r="AC251" s="108"/>
      <c r="AH251" s="108"/>
      <c r="AM251" s="108"/>
    </row>
    <row r="252" spans="2:39">
      <c r="D252" s="484" t="s">
        <v>364</v>
      </c>
      <c r="E252" s="484">
        <v>4</v>
      </c>
      <c r="F252" s="484">
        <v>2700</v>
      </c>
      <c r="G252" s="484">
        <f t="shared" si="115"/>
        <v>675</v>
      </c>
      <c r="N252" s="108"/>
      <c r="O252" s="108"/>
      <c r="P252" s="108"/>
      <c r="Q252" s="108"/>
      <c r="R252" s="108"/>
      <c r="S252" s="108"/>
      <c r="T252" s="108"/>
      <c r="X252" s="108"/>
      <c r="AC252" s="108"/>
      <c r="AH252" s="108"/>
      <c r="AM252" s="108"/>
    </row>
    <row r="253" spans="2:39">
      <c r="D253" s="484" t="s">
        <v>642</v>
      </c>
      <c r="E253" s="484">
        <v>4</v>
      </c>
      <c r="F253" s="484">
        <v>2700</v>
      </c>
      <c r="G253" s="484">
        <f t="shared" si="115"/>
        <v>675</v>
      </c>
      <c r="N253" s="108"/>
      <c r="O253" s="108"/>
      <c r="P253" s="108"/>
      <c r="Q253" s="108"/>
      <c r="R253" s="108"/>
      <c r="S253" s="108"/>
      <c r="T253" s="108"/>
      <c r="X253" s="108"/>
      <c r="AC253" s="108"/>
      <c r="AH253" s="108"/>
      <c r="AM253" s="108"/>
    </row>
    <row r="254" spans="2:39">
      <c r="D254" s="483" t="s">
        <v>746</v>
      </c>
      <c r="E254" s="484">
        <v>4</v>
      </c>
      <c r="F254" s="484">
        <v>2600</v>
      </c>
      <c r="G254" s="484">
        <f t="shared" si="115"/>
        <v>650</v>
      </c>
      <c r="N254" s="108"/>
      <c r="O254" s="108"/>
      <c r="P254" s="108"/>
      <c r="Q254" s="108"/>
      <c r="R254" s="108"/>
      <c r="S254" s="108"/>
      <c r="T254" s="108"/>
      <c r="X254" s="108"/>
      <c r="AC254" s="108"/>
      <c r="AH254" s="108"/>
      <c r="AM254" s="108"/>
    </row>
    <row r="255" spans="2:39">
      <c r="D255" s="483" t="s">
        <v>747</v>
      </c>
      <c r="E255" s="484">
        <v>4</v>
      </c>
      <c r="F255" s="484">
        <v>2600</v>
      </c>
      <c r="G255" s="484">
        <f t="shared" si="115"/>
        <v>650</v>
      </c>
      <c r="N255" s="108"/>
      <c r="O255" s="108"/>
      <c r="P255" s="108"/>
      <c r="Q255" s="108"/>
      <c r="R255" s="108"/>
      <c r="S255" s="108"/>
      <c r="T255" s="108"/>
      <c r="X255" s="108"/>
      <c r="AC255" s="108"/>
      <c r="AH255" s="108"/>
      <c r="AM255" s="108"/>
    </row>
    <row r="257" spans="4:8" s="108" customFormat="1">
      <c r="D257" s="484" t="s">
        <v>361</v>
      </c>
      <c r="E257" s="484">
        <v>4</v>
      </c>
      <c r="F257" s="484">
        <v>3300</v>
      </c>
      <c r="G257" s="484">
        <f>F257/E257</f>
        <v>825</v>
      </c>
      <c r="H257" s="107">
        <v>845.8</v>
      </c>
    </row>
    <row r="258" spans="4:8" s="108" customFormat="1">
      <c r="D258" s="484" t="s">
        <v>363</v>
      </c>
      <c r="E258" s="484">
        <v>3</v>
      </c>
      <c r="F258" s="484">
        <v>3300</v>
      </c>
      <c r="G258" s="484">
        <f t="shared" ref="G258:G262" si="116">F258/E258</f>
        <v>1100</v>
      </c>
      <c r="H258" s="107"/>
    </row>
    <row r="259" spans="4:8" s="108" customFormat="1">
      <c r="D259" s="484" t="s">
        <v>364</v>
      </c>
      <c r="E259" s="484">
        <v>4</v>
      </c>
      <c r="F259" s="484">
        <v>3300</v>
      </c>
      <c r="G259" s="484">
        <f t="shared" si="116"/>
        <v>825</v>
      </c>
      <c r="H259" s="107"/>
    </row>
    <row r="260" spans="4:8" s="108" customFormat="1">
      <c r="D260" s="484" t="s">
        <v>642</v>
      </c>
      <c r="E260" s="484">
        <v>4</v>
      </c>
      <c r="F260" s="484">
        <v>3100</v>
      </c>
      <c r="G260" s="484">
        <f t="shared" si="116"/>
        <v>775</v>
      </c>
      <c r="H260" s="107"/>
    </row>
    <row r="261" spans="4:8" s="108" customFormat="1">
      <c r="D261" s="483" t="s">
        <v>746</v>
      </c>
      <c r="E261" s="484">
        <v>4</v>
      </c>
      <c r="F261" s="484">
        <v>3100</v>
      </c>
      <c r="G261" s="484">
        <f t="shared" si="116"/>
        <v>775</v>
      </c>
      <c r="H261" s="107"/>
    </row>
    <row r="262" spans="4:8" s="108" customFormat="1">
      <c r="D262" s="483" t="s">
        <v>747</v>
      </c>
      <c r="E262" s="484">
        <v>4</v>
      </c>
      <c r="F262" s="484">
        <v>3100</v>
      </c>
      <c r="G262" s="484">
        <f t="shared" si="116"/>
        <v>775</v>
      </c>
      <c r="H262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L7" sqref="L7:L36"/>
      <selection pane="topRight" activeCell="T27" activeCellId="2" sqref="AC27:AD41 X27:Y41 S27:T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AVERAGE(L7,L27,L47,L87,L87,L107)</f>
        <v>175.26728941213315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21" t="s">
        <v>158</v>
      </c>
      <c r="Q3" s="622"/>
      <c r="R3" s="622"/>
      <c r="S3" s="622"/>
      <c r="T3" s="622"/>
      <c r="U3" s="621" t="s">
        <v>114</v>
      </c>
      <c r="V3" s="622"/>
      <c r="W3" s="622"/>
      <c r="X3" s="622"/>
      <c r="Y3" s="622"/>
      <c r="Z3" s="621" t="s">
        <v>159</v>
      </c>
      <c r="AA3" s="622"/>
      <c r="AB3" s="622"/>
      <c r="AC3" s="622"/>
      <c r="AD3" s="622"/>
      <c r="AE3" s="621" t="s">
        <v>157</v>
      </c>
      <c r="AF3" s="622"/>
      <c r="AG3" s="622"/>
      <c r="AH3" s="622"/>
      <c r="AI3" s="622"/>
      <c r="AJ3" s="621" t="s">
        <v>160</v>
      </c>
      <c r="AK3" s="622"/>
      <c r="AL3" s="622"/>
      <c r="AM3" s="622"/>
      <c r="AN3" s="622"/>
      <c r="AO3" s="621" t="s">
        <v>115</v>
      </c>
      <c r="AP3" s="622"/>
      <c r="AQ3" s="622"/>
      <c r="AR3" s="622"/>
      <c r="AS3" s="622"/>
      <c r="AT3" s="621" t="s">
        <v>162</v>
      </c>
      <c r="AU3" s="622"/>
      <c r="AV3" s="622"/>
      <c r="AW3" s="622"/>
      <c r="AX3" s="622"/>
    </row>
    <row r="4" spans="1:53" ht="14.25">
      <c r="A4" s="81"/>
      <c r="B4" s="614" t="s">
        <v>713</v>
      </c>
      <c r="C4" s="614" t="s">
        <v>714</v>
      </c>
      <c r="D4" s="614"/>
      <c r="E4" s="614" t="s">
        <v>715</v>
      </c>
      <c r="F4" s="614"/>
      <c r="G4" s="614"/>
      <c r="H4" s="630" t="s">
        <v>716</v>
      </c>
      <c r="I4" s="614" t="s">
        <v>717</v>
      </c>
      <c r="J4" s="614"/>
      <c r="K4" s="614"/>
      <c r="L4" s="630" t="s">
        <v>716</v>
      </c>
      <c r="M4" s="615" t="s">
        <v>718</v>
      </c>
      <c r="N4" s="614"/>
      <c r="O4" s="614" t="s">
        <v>719</v>
      </c>
      <c r="P4" s="611" t="s">
        <v>720</v>
      </c>
      <c r="Q4" s="612"/>
      <c r="R4" s="612"/>
      <c r="S4" s="613"/>
      <c r="T4" s="614" t="s">
        <v>716</v>
      </c>
      <c r="U4" s="611" t="s">
        <v>720</v>
      </c>
      <c r="V4" s="612"/>
      <c r="W4" s="612"/>
      <c r="X4" s="613"/>
      <c r="Y4" s="614" t="s">
        <v>716</v>
      </c>
      <c r="Z4" s="611" t="s">
        <v>720</v>
      </c>
      <c r="AA4" s="612"/>
      <c r="AB4" s="612"/>
      <c r="AC4" s="613"/>
      <c r="AD4" s="614" t="s">
        <v>716</v>
      </c>
      <c r="AE4" s="611" t="s">
        <v>720</v>
      </c>
      <c r="AF4" s="612"/>
      <c r="AG4" s="612"/>
      <c r="AH4" s="613"/>
      <c r="AI4" s="614" t="s">
        <v>716</v>
      </c>
      <c r="AJ4" s="611" t="s">
        <v>720</v>
      </c>
      <c r="AK4" s="612"/>
      <c r="AL4" s="612"/>
      <c r="AM4" s="613"/>
      <c r="AN4" s="614" t="s">
        <v>716</v>
      </c>
      <c r="AO4" s="611" t="s">
        <v>720</v>
      </c>
      <c r="AP4" s="612"/>
      <c r="AQ4" s="612"/>
      <c r="AR4" s="613"/>
      <c r="AS4" s="614" t="s">
        <v>716</v>
      </c>
      <c r="AT4" s="611" t="s">
        <v>720</v>
      </c>
      <c r="AU4" s="612"/>
      <c r="AV4" s="612"/>
      <c r="AW4" s="613"/>
      <c r="AX4" s="614" t="s">
        <v>716</v>
      </c>
      <c r="BA4" s="614" t="s">
        <v>395</v>
      </c>
    </row>
    <row r="5" spans="1:53" ht="14.25">
      <c r="A5" s="81"/>
      <c r="B5" s="614"/>
      <c r="C5" s="614"/>
      <c r="D5" s="614"/>
      <c r="E5" s="614" t="s">
        <v>721</v>
      </c>
      <c r="F5" s="614"/>
      <c r="G5" s="614"/>
      <c r="H5" s="631"/>
      <c r="I5" s="614" t="s">
        <v>721</v>
      </c>
      <c r="J5" s="614"/>
      <c r="K5" s="614"/>
      <c r="L5" s="631"/>
      <c r="M5" s="616"/>
      <c r="N5" s="614"/>
      <c r="O5" s="614"/>
      <c r="P5" s="611" t="s">
        <v>722</v>
      </c>
      <c r="Q5" s="612"/>
      <c r="R5" s="612"/>
      <c r="S5" s="613"/>
      <c r="T5" s="614"/>
      <c r="U5" s="611" t="s">
        <v>722</v>
      </c>
      <c r="V5" s="612"/>
      <c r="W5" s="612"/>
      <c r="X5" s="613"/>
      <c r="Y5" s="614"/>
      <c r="Z5" s="611" t="s">
        <v>722</v>
      </c>
      <c r="AA5" s="612"/>
      <c r="AB5" s="612"/>
      <c r="AC5" s="613"/>
      <c r="AD5" s="614"/>
      <c r="AE5" s="611" t="s">
        <v>722</v>
      </c>
      <c r="AF5" s="612"/>
      <c r="AG5" s="612"/>
      <c r="AH5" s="613"/>
      <c r="AI5" s="614"/>
      <c r="AJ5" s="611" t="s">
        <v>722</v>
      </c>
      <c r="AK5" s="612"/>
      <c r="AL5" s="612"/>
      <c r="AM5" s="613"/>
      <c r="AN5" s="614"/>
      <c r="AO5" s="611" t="s">
        <v>722</v>
      </c>
      <c r="AP5" s="612"/>
      <c r="AQ5" s="612"/>
      <c r="AR5" s="613"/>
      <c r="AS5" s="614"/>
      <c r="AT5" s="611" t="s">
        <v>722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0" t="s">
        <v>723</v>
      </c>
      <c r="F6" s="460" t="s">
        <v>724</v>
      </c>
      <c r="G6" s="460" t="s">
        <v>725</v>
      </c>
      <c r="H6" s="632"/>
      <c r="I6" s="460" t="s">
        <v>723</v>
      </c>
      <c r="J6" s="460" t="s">
        <v>724</v>
      </c>
      <c r="K6" s="460" t="s">
        <v>725</v>
      </c>
      <c r="L6" s="632"/>
      <c r="M6" s="617"/>
      <c r="N6" s="614"/>
      <c r="O6" s="614"/>
      <c r="P6" s="460" t="s">
        <v>723</v>
      </c>
      <c r="Q6" s="460" t="s">
        <v>724</v>
      </c>
      <c r="R6" s="460" t="s">
        <v>725</v>
      </c>
      <c r="S6" s="460" t="s">
        <v>718</v>
      </c>
      <c r="T6" s="614"/>
      <c r="U6" s="460" t="s">
        <v>723</v>
      </c>
      <c r="V6" s="460" t="s">
        <v>724</v>
      </c>
      <c r="W6" s="460" t="s">
        <v>725</v>
      </c>
      <c r="X6" s="460" t="s">
        <v>718</v>
      </c>
      <c r="Y6" s="614"/>
      <c r="Z6" s="460" t="s">
        <v>723</v>
      </c>
      <c r="AA6" s="460" t="s">
        <v>724</v>
      </c>
      <c r="AB6" s="460" t="s">
        <v>725</v>
      </c>
      <c r="AC6" s="460" t="s">
        <v>718</v>
      </c>
      <c r="AD6" s="614"/>
      <c r="AE6" s="460" t="s">
        <v>723</v>
      </c>
      <c r="AF6" s="460" t="s">
        <v>724</v>
      </c>
      <c r="AG6" s="460" t="s">
        <v>725</v>
      </c>
      <c r="AH6" s="460" t="s">
        <v>718</v>
      </c>
      <c r="AI6" s="614"/>
      <c r="AJ6" s="460" t="s">
        <v>723</v>
      </c>
      <c r="AK6" s="460" t="s">
        <v>724</v>
      </c>
      <c r="AL6" s="460" t="s">
        <v>725</v>
      </c>
      <c r="AM6" s="460" t="s">
        <v>718</v>
      </c>
      <c r="AN6" s="614"/>
      <c r="AO6" s="460" t="s">
        <v>723</v>
      </c>
      <c r="AP6" s="460" t="s">
        <v>724</v>
      </c>
      <c r="AQ6" s="460" t="s">
        <v>725</v>
      </c>
      <c r="AR6" s="460" t="s">
        <v>718</v>
      </c>
      <c r="AS6" s="614"/>
      <c r="AT6" s="460" t="s">
        <v>723</v>
      </c>
      <c r="AU6" s="460" t="s">
        <v>724</v>
      </c>
      <c r="AV6" s="460" t="s">
        <v>725</v>
      </c>
      <c r="AW6" s="460" t="s">
        <v>718</v>
      </c>
      <c r="AX6" s="614"/>
      <c r="AZ6" s="530" t="s">
        <v>396</v>
      </c>
      <c r="BA6" s="614"/>
    </row>
    <row r="7" spans="1:53" ht="14.25">
      <c r="A7" s="81"/>
      <c r="B7" s="662" t="s">
        <v>726</v>
      </c>
      <c r="C7" s="462">
        <v>1</v>
      </c>
      <c r="D7" s="456" t="s">
        <v>782</v>
      </c>
      <c r="E7" s="465">
        <v>10</v>
      </c>
      <c r="F7" s="465">
        <v>1500</v>
      </c>
      <c r="G7" s="465">
        <v>150</v>
      </c>
      <c r="H7" s="658">
        <f>AVERAGE(G7:G21)</f>
        <v>157.14285714285714</v>
      </c>
      <c r="I7" s="516">
        <f t="shared" ref="I7:I21" si="0">IFERROR(AVERAGE(P7,U7,Z7,AE7,AJ7,AO7,AT7),"-")</f>
        <v>10</v>
      </c>
      <c r="J7" s="516">
        <f t="shared" ref="J7:J21" si="1">IFERROR(AVERAGE(Q7,V7,AA7,AF7,AK7,AP7,AU7),"-")</f>
        <v>1516.1142857142841</v>
      </c>
      <c r="K7" s="200">
        <f t="shared" ref="K7:K21" si="2">IFERROR(AVERAGE(R7,W7,AB7,AG7,AL7,AQ7,AV7),"-")</f>
        <v>151.61142857142843</v>
      </c>
      <c r="L7" s="658">
        <f>IFERROR(AVERAGE(K7:K21),"-")</f>
        <v>170.93067830417365</v>
      </c>
      <c r="M7" s="464">
        <f>RANK(K7, K$7:$K$21)</f>
        <v>4</v>
      </c>
      <c r="N7" s="614"/>
      <c r="O7" s="614"/>
      <c r="P7" s="462">
        <v>10</v>
      </c>
      <c r="Q7" s="465">
        <v>1593.5999999999954</v>
      </c>
      <c r="R7" s="465">
        <v>159.35999999999953</v>
      </c>
      <c r="S7" s="461">
        <f>RANK(R7, R$7:R$21)</f>
        <v>3</v>
      </c>
      <c r="T7" s="661">
        <f>AVERAGE(R7:R21)</f>
        <v>168.74553714980007</v>
      </c>
      <c r="U7" s="520">
        <v>10</v>
      </c>
      <c r="V7" s="521">
        <v>1461.6000000000004</v>
      </c>
      <c r="W7" s="521">
        <v>146.16000000000003</v>
      </c>
      <c r="X7" s="514">
        <f t="shared" ref="X7:X21" si="3">RANK(W7, W$7:W$21)</f>
        <v>5</v>
      </c>
      <c r="Y7" s="661">
        <f t="shared" ref="Y7" si="4">AVERAGE(W7:W21)</f>
        <v>172.82071987769473</v>
      </c>
      <c r="Z7" s="524">
        <v>10</v>
      </c>
      <c r="AA7" s="182">
        <v>1601.999999999993</v>
      </c>
      <c r="AB7" s="182">
        <v>160.19999999999931</v>
      </c>
      <c r="AC7" s="514">
        <f t="shared" ref="AC7:AC21" si="5">RANK(AB7, AB$7:AB$21)</f>
        <v>3</v>
      </c>
      <c r="AD7" s="661">
        <f t="shared" ref="AD7" si="6">AVERAGE(AB7:AB21)</f>
        <v>169.14285714285708</v>
      </c>
      <c r="AE7" s="524">
        <v>10</v>
      </c>
      <c r="AF7" s="182">
        <v>1533.0000000000055</v>
      </c>
      <c r="AG7" s="182">
        <v>153.30000000000055</v>
      </c>
      <c r="AH7" s="514">
        <f t="shared" ref="AH7:AH21" si="7">RANK(AG7, AG$7:AG$21)</f>
        <v>4</v>
      </c>
      <c r="AI7" s="661">
        <f t="shared" ref="AI7" si="8">AVERAGE(AG7:AG21)</f>
        <v>173.65831001296849</v>
      </c>
      <c r="AJ7" s="524">
        <v>10</v>
      </c>
      <c r="AK7" s="182">
        <v>1355.9999999999995</v>
      </c>
      <c r="AL7" s="182">
        <v>135.59999999999997</v>
      </c>
      <c r="AM7" s="514">
        <f t="shared" ref="AM7:AM21" si="9">RANK(AL7, AL$7:AL$21)</f>
        <v>5</v>
      </c>
      <c r="AN7" s="661">
        <f t="shared" ref="AN7" si="10">AVERAGE(AL7:AL21)</f>
        <v>165.15879120879123</v>
      </c>
      <c r="AO7" s="524">
        <v>10</v>
      </c>
      <c r="AP7" s="182">
        <v>1544.9999999999993</v>
      </c>
      <c r="AQ7" s="182">
        <v>154.49999999999994</v>
      </c>
      <c r="AR7" s="514">
        <f t="shared" ref="AR7:AR21" si="11">RANK(AQ7, AQ$7:AQ$21)</f>
        <v>4</v>
      </c>
      <c r="AS7" s="661">
        <f t="shared" ref="AS7" si="12">AVERAGE(AQ7:AQ21)</f>
        <v>180.05456448313609</v>
      </c>
      <c r="AT7" s="524">
        <v>10</v>
      </c>
      <c r="AU7" s="182">
        <v>1521.5999999999958</v>
      </c>
      <c r="AV7" s="182">
        <v>152.15999999999957</v>
      </c>
      <c r="AW7" s="514">
        <f t="shared" ref="AW7:AW21" si="13">RANK(AV7, AV$7:AV$21)</f>
        <v>3</v>
      </c>
      <c r="AX7" s="661">
        <f t="shared" ref="AX7" si="14">AVERAGE(AV7:AV21)</f>
        <v>166.93396825396823</v>
      </c>
      <c r="AZ7" s="529" t="e">
        <f t="shared" ref="AZ7:AZ21" si="15">RANK(AY7, AY$7:AY$21)</f>
        <v>#N/A</v>
      </c>
      <c r="BA7" s="661" t="e">
        <f t="shared" ref="BA7" si="16">AVERAGE(AY7:AY21)</f>
        <v>#DIV/0!</v>
      </c>
    </row>
    <row r="8" spans="1:53" ht="15" customHeight="1">
      <c r="A8" s="81"/>
      <c r="B8" s="647"/>
      <c r="C8" s="462">
        <v>2</v>
      </c>
      <c r="D8" s="456" t="s">
        <v>783</v>
      </c>
      <c r="E8" s="465">
        <v>15</v>
      </c>
      <c r="F8" s="465">
        <v>1800</v>
      </c>
      <c r="G8" s="465">
        <v>120</v>
      </c>
      <c r="H8" s="659"/>
      <c r="I8" s="516">
        <f t="shared" si="0"/>
        <v>12.142857142857142</v>
      </c>
      <c r="J8" s="516">
        <f t="shared" si="1"/>
        <v>1776.9965986394543</v>
      </c>
      <c r="K8" s="200">
        <f t="shared" si="2"/>
        <v>146.48414878772013</v>
      </c>
      <c r="L8" s="659"/>
      <c r="M8" s="464">
        <f>RANK(K8, K$7:$K$21)</f>
        <v>5</v>
      </c>
      <c r="N8" s="614"/>
      <c r="O8" s="614"/>
      <c r="P8" s="462">
        <v>12</v>
      </c>
      <c r="Q8" s="465">
        <v>1797.1428571428564</v>
      </c>
      <c r="R8" s="465">
        <v>149.7619047619047</v>
      </c>
      <c r="S8" s="461">
        <f t="shared" ref="S8:S21" si="17">RANK(R8, R$7:R$21)</f>
        <v>5</v>
      </c>
      <c r="T8" s="661"/>
      <c r="U8" s="520">
        <v>12</v>
      </c>
      <c r="V8" s="521">
        <v>1813.4999999999995</v>
      </c>
      <c r="W8" s="521">
        <v>151.12499999999997</v>
      </c>
      <c r="X8" s="514">
        <f t="shared" si="3"/>
        <v>4</v>
      </c>
      <c r="Y8" s="661"/>
      <c r="Z8" s="524">
        <v>12</v>
      </c>
      <c r="AA8" s="182">
        <v>1790.9999999999957</v>
      </c>
      <c r="AB8" s="182">
        <v>149.24999999999963</v>
      </c>
      <c r="AC8" s="514">
        <f t="shared" si="5"/>
        <v>5</v>
      </c>
      <c r="AD8" s="661"/>
      <c r="AE8" s="524">
        <v>12</v>
      </c>
      <c r="AF8" s="182">
        <v>1837.4999999999993</v>
      </c>
      <c r="AG8" s="182">
        <v>153.12499999999994</v>
      </c>
      <c r="AH8" s="514">
        <f t="shared" si="7"/>
        <v>5</v>
      </c>
      <c r="AI8" s="661"/>
      <c r="AJ8" s="524">
        <v>12</v>
      </c>
      <c r="AK8" s="182">
        <v>1732.4999999999957</v>
      </c>
      <c r="AL8" s="182">
        <v>144.37499999999963</v>
      </c>
      <c r="AM8" s="514">
        <f t="shared" si="9"/>
        <v>4</v>
      </c>
      <c r="AN8" s="661"/>
      <c r="AO8" s="524">
        <v>13</v>
      </c>
      <c r="AP8" s="182">
        <v>1745.9999999999995</v>
      </c>
      <c r="AQ8" s="182">
        <v>134.30769230769226</v>
      </c>
      <c r="AR8" s="514">
        <f t="shared" si="11"/>
        <v>6</v>
      </c>
      <c r="AS8" s="661"/>
      <c r="AT8" s="524">
        <v>12</v>
      </c>
      <c r="AU8" s="182">
        <v>1721.3333333333335</v>
      </c>
      <c r="AV8" s="182">
        <v>143.44444444444446</v>
      </c>
      <c r="AW8" s="514">
        <f t="shared" si="13"/>
        <v>5</v>
      </c>
      <c r="AX8" s="661"/>
      <c r="AZ8" s="529" t="e">
        <f t="shared" si="15"/>
        <v>#N/A</v>
      </c>
      <c r="BA8" s="661"/>
    </row>
    <row r="9" spans="1:53" ht="14.25">
      <c r="A9" s="81"/>
      <c r="B9" s="647"/>
      <c r="C9" s="462">
        <v>3</v>
      </c>
      <c r="D9" s="456" t="s">
        <v>366</v>
      </c>
      <c r="E9" s="465">
        <v>15</v>
      </c>
      <c r="F9" s="465">
        <v>1800</v>
      </c>
      <c r="G9" s="465">
        <v>120</v>
      </c>
      <c r="H9" s="659"/>
      <c r="I9" s="516">
        <f t="shared" si="0"/>
        <v>12.142857142857142</v>
      </c>
      <c r="J9" s="516">
        <f t="shared" si="1"/>
        <v>1841.8167220376513</v>
      </c>
      <c r="K9" s="200">
        <f t="shared" si="2"/>
        <v>151.81027628702037</v>
      </c>
      <c r="L9" s="659"/>
      <c r="M9" s="464">
        <f>RANK(K9, K$7:$K$21)</f>
        <v>3</v>
      </c>
      <c r="N9" s="614"/>
      <c r="O9" s="614"/>
      <c r="P9" s="462">
        <v>12</v>
      </c>
      <c r="Q9" s="465">
        <v>1834.8837209302324</v>
      </c>
      <c r="R9" s="465">
        <v>152.90697674418604</v>
      </c>
      <c r="S9" s="461">
        <f t="shared" si="17"/>
        <v>4</v>
      </c>
      <c r="T9" s="661"/>
      <c r="U9" s="520">
        <v>12</v>
      </c>
      <c r="V9" s="521">
        <v>1909.5000000000032</v>
      </c>
      <c r="W9" s="521">
        <v>159.12500000000026</v>
      </c>
      <c r="X9" s="514">
        <f t="shared" si="3"/>
        <v>3</v>
      </c>
      <c r="Y9" s="661"/>
      <c r="Z9" s="524">
        <v>12</v>
      </c>
      <c r="AA9" s="182">
        <v>1885.4999999999955</v>
      </c>
      <c r="AB9" s="182">
        <v>157.12499999999963</v>
      </c>
      <c r="AC9" s="514">
        <f t="shared" si="5"/>
        <v>4</v>
      </c>
      <c r="AD9" s="661"/>
      <c r="AE9" s="524">
        <v>12</v>
      </c>
      <c r="AF9" s="182">
        <v>1852.4999999999993</v>
      </c>
      <c r="AG9" s="182">
        <v>154.37499999999994</v>
      </c>
      <c r="AH9" s="514">
        <f t="shared" si="7"/>
        <v>3</v>
      </c>
      <c r="AI9" s="661"/>
      <c r="AJ9" s="524">
        <v>12</v>
      </c>
      <c r="AK9" s="182">
        <v>1816.4999999999955</v>
      </c>
      <c r="AL9" s="182">
        <v>151.37499999999963</v>
      </c>
      <c r="AM9" s="514">
        <f t="shared" si="9"/>
        <v>3</v>
      </c>
      <c r="AN9" s="661"/>
      <c r="AO9" s="524">
        <v>13</v>
      </c>
      <c r="AP9" s="182">
        <v>1828.4999999999995</v>
      </c>
      <c r="AQ9" s="182">
        <v>140.65384615384613</v>
      </c>
      <c r="AR9" s="514">
        <f t="shared" si="11"/>
        <v>5</v>
      </c>
      <c r="AS9" s="661"/>
      <c r="AT9" s="524">
        <v>12</v>
      </c>
      <c r="AU9" s="182">
        <v>1765.3333333333333</v>
      </c>
      <c r="AV9" s="182">
        <v>147.11111111111111</v>
      </c>
      <c r="AW9" s="514">
        <f t="shared" si="13"/>
        <v>4</v>
      </c>
      <c r="AX9" s="661"/>
      <c r="AZ9" s="529" t="e">
        <f t="shared" si="15"/>
        <v>#N/A</v>
      </c>
      <c r="BA9" s="661"/>
    </row>
    <row r="10" spans="1:53" ht="14.25">
      <c r="A10" s="81"/>
      <c r="B10" s="647"/>
      <c r="C10" s="462">
        <v>4</v>
      </c>
      <c r="D10" s="456" t="s">
        <v>639</v>
      </c>
      <c r="E10" s="465">
        <v>6</v>
      </c>
      <c r="F10" s="465">
        <v>1500</v>
      </c>
      <c r="G10" s="465">
        <v>250</v>
      </c>
      <c r="H10" s="659"/>
      <c r="I10" s="516">
        <f t="shared" si="0"/>
        <v>6</v>
      </c>
      <c r="J10" s="516">
        <f t="shared" si="1"/>
        <v>1513.4170247046197</v>
      </c>
      <c r="K10" s="200">
        <f t="shared" si="2"/>
        <v>252.23617078410325</v>
      </c>
      <c r="L10" s="659"/>
      <c r="M10" s="464">
        <f>RANK(K10, K$7:$K$21)</f>
        <v>2</v>
      </c>
      <c r="N10" s="614"/>
      <c r="O10" s="614"/>
      <c r="P10" s="462">
        <v>6</v>
      </c>
      <c r="Q10" s="465">
        <v>1430.5263157894726</v>
      </c>
      <c r="R10" s="465">
        <v>238.42105263157876</v>
      </c>
      <c r="S10" s="461">
        <f t="shared" si="17"/>
        <v>2</v>
      </c>
      <c r="T10" s="661"/>
      <c r="U10" s="520">
        <v>6</v>
      </c>
      <c r="V10" s="521">
        <v>1567.5000000000018</v>
      </c>
      <c r="W10" s="521">
        <v>261.25000000000028</v>
      </c>
      <c r="X10" s="514">
        <f t="shared" si="3"/>
        <v>2</v>
      </c>
      <c r="Y10" s="661"/>
      <c r="Z10" s="524">
        <v>6</v>
      </c>
      <c r="AA10" s="182">
        <v>1473.7500000000018</v>
      </c>
      <c r="AB10" s="182">
        <v>245.62500000000031</v>
      </c>
      <c r="AC10" s="514">
        <f t="shared" si="5"/>
        <v>2</v>
      </c>
      <c r="AD10" s="661"/>
      <c r="AE10" s="524">
        <v>6</v>
      </c>
      <c r="AF10" s="182">
        <v>1568.5714285714298</v>
      </c>
      <c r="AG10" s="182">
        <v>261.42857142857162</v>
      </c>
      <c r="AH10" s="514">
        <f t="shared" si="7"/>
        <v>2</v>
      </c>
      <c r="AI10" s="661"/>
      <c r="AJ10" s="524">
        <v>6</v>
      </c>
      <c r="AK10" s="182">
        <v>1545.0000000000005</v>
      </c>
      <c r="AL10" s="182">
        <v>257.50000000000006</v>
      </c>
      <c r="AM10" s="514">
        <f t="shared" si="9"/>
        <v>2</v>
      </c>
      <c r="AN10" s="661"/>
      <c r="AO10" s="524">
        <v>6</v>
      </c>
      <c r="AP10" s="182">
        <v>1508.5714285714298</v>
      </c>
      <c r="AQ10" s="182">
        <v>251.42857142857164</v>
      </c>
      <c r="AR10" s="514">
        <f t="shared" si="11"/>
        <v>2</v>
      </c>
      <c r="AS10" s="661"/>
      <c r="AT10" s="524">
        <v>6</v>
      </c>
      <c r="AU10" s="182">
        <v>1500.0000000000018</v>
      </c>
      <c r="AV10" s="182">
        <v>250.00000000000031</v>
      </c>
      <c r="AW10" s="514">
        <f t="shared" si="13"/>
        <v>2</v>
      </c>
      <c r="AX10" s="661"/>
      <c r="AZ10" s="529" t="e">
        <f t="shared" si="15"/>
        <v>#N/A</v>
      </c>
      <c r="BA10" s="661"/>
    </row>
    <row r="11" spans="1:53" ht="14.25">
      <c r="A11" s="81"/>
      <c r="B11" s="647"/>
      <c r="C11" s="462">
        <v>5</v>
      </c>
      <c r="D11" s="456" t="s">
        <v>580</v>
      </c>
      <c r="E11" s="465">
        <v>5</v>
      </c>
      <c r="F11" s="465">
        <v>1500</v>
      </c>
      <c r="G11" s="465">
        <v>300</v>
      </c>
      <c r="H11" s="659"/>
      <c r="I11" s="516">
        <f t="shared" si="0"/>
        <v>5</v>
      </c>
      <c r="J11" s="516">
        <f t="shared" si="1"/>
        <v>1507.1334462638824</v>
      </c>
      <c r="K11" s="200">
        <f t="shared" si="2"/>
        <v>301.4266892527765</v>
      </c>
      <c r="L11" s="659"/>
      <c r="M11" s="464">
        <f>RANK(K11, K$7:$K$21)</f>
        <v>1</v>
      </c>
      <c r="N11" s="614"/>
      <c r="O11" s="614"/>
      <c r="P11" s="462">
        <v>5</v>
      </c>
      <c r="Q11" s="465">
        <v>1476.0000000000014</v>
      </c>
      <c r="R11" s="465">
        <v>295.20000000000027</v>
      </c>
      <c r="S11" s="461">
        <f t="shared" si="17"/>
        <v>1</v>
      </c>
      <c r="T11" s="661"/>
      <c r="U11" s="520">
        <v>5</v>
      </c>
      <c r="V11" s="521">
        <v>1522.2222222222231</v>
      </c>
      <c r="W11" s="521">
        <v>304.44444444444463</v>
      </c>
      <c r="X11" s="514">
        <f t="shared" si="3"/>
        <v>1</v>
      </c>
      <c r="Y11" s="661"/>
      <c r="Z11" s="524">
        <v>5</v>
      </c>
      <c r="AA11" s="182">
        <v>1495.0000000000027</v>
      </c>
      <c r="AB11" s="182">
        <v>299.00000000000057</v>
      </c>
      <c r="AC11" s="514">
        <f t="shared" si="5"/>
        <v>1</v>
      </c>
      <c r="AD11" s="661"/>
      <c r="AE11" s="524">
        <v>5</v>
      </c>
      <c r="AF11" s="182">
        <v>1554.7826086956522</v>
      </c>
      <c r="AG11" s="182">
        <v>310.95652173913044</v>
      </c>
      <c r="AH11" s="514">
        <f t="shared" si="7"/>
        <v>1</v>
      </c>
      <c r="AI11" s="661"/>
      <c r="AJ11" s="524">
        <v>5</v>
      </c>
      <c r="AK11" s="182">
        <v>1509.0000000000025</v>
      </c>
      <c r="AL11" s="182">
        <v>301.80000000000052</v>
      </c>
      <c r="AM11" s="514">
        <f t="shared" si="9"/>
        <v>1</v>
      </c>
      <c r="AN11" s="661"/>
      <c r="AO11" s="524">
        <v>5</v>
      </c>
      <c r="AP11" s="182">
        <v>1521.8181818181845</v>
      </c>
      <c r="AQ11" s="182">
        <v>304.36363636363689</v>
      </c>
      <c r="AR11" s="514">
        <f t="shared" si="11"/>
        <v>1</v>
      </c>
      <c r="AS11" s="661"/>
      <c r="AT11" s="524">
        <v>5</v>
      </c>
      <c r="AU11" s="182">
        <v>1471.1111111111118</v>
      </c>
      <c r="AV11" s="182">
        <v>294.22222222222234</v>
      </c>
      <c r="AW11" s="514">
        <f t="shared" si="13"/>
        <v>1</v>
      </c>
      <c r="AX11" s="661"/>
      <c r="AZ11" s="529" t="e">
        <f t="shared" si="15"/>
        <v>#N/A</v>
      </c>
      <c r="BA11" s="661"/>
    </row>
    <row r="12" spans="1:53" ht="14.25">
      <c r="A12" s="81"/>
      <c r="B12" s="647"/>
      <c r="C12" s="462">
        <v>6</v>
      </c>
      <c r="D12" s="456" t="s">
        <v>784</v>
      </c>
      <c r="E12" s="465">
        <v>15</v>
      </c>
      <c r="F12" s="465">
        <v>1200</v>
      </c>
      <c r="G12" s="465">
        <v>80</v>
      </c>
      <c r="H12" s="659"/>
      <c r="I12" s="516">
        <f t="shared" si="0"/>
        <v>13</v>
      </c>
      <c r="J12" s="516">
        <f t="shared" si="1"/>
        <v>1323.8224489795932</v>
      </c>
      <c r="K12" s="200">
        <f t="shared" si="2"/>
        <v>101.83249607535332</v>
      </c>
      <c r="L12" s="659"/>
      <c r="M12" s="464">
        <f>RANK(K12, K$7:$K$21)</f>
        <v>6</v>
      </c>
      <c r="N12" s="614"/>
      <c r="O12" s="614"/>
      <c r="P12" s="462">
        <v>13</v>
      </c>
      <c r="Q12" s="465">
        <v>1246.4999999999995</v>
      </c>
      <c r="R12" s="465">
        <v>95.884615384615344</v>
      </c>
      <c r="S12" s="461">
        <f t="shared" si="17"/>
        <v>6</v>
      </c>
      <c r="T12" s="661"/>
      <c r="U12" s="520">
        <v>13</v>
      </c>
      <c r="V12" s="521">
        <v>1254.8571428571415</v>
      </c>
      <c r="W12" s="521">
        <v>96.527472527472426</v>
      </c>
      <c r="X12" s="514">
        <f t="shared" si="3"/>
        <v>6</v>
      </c>
      <c r="Y12" s="661"/>
      <c r="Z12" s="524">
        <v>13</v>
      </c>
      <c r="AA12" s="182">
        <v>1058.4000000000003</v>
      </c>
      <c r="AB12" s="182">
        <v>81.415384615384639</v>
      </c>
      <c r="AC12" s="514">
        <f t="shared" si="5"/>
        <v>7</v>
      </c>
      <c r="AD12" s="661"/>
      <c r="AE12" s="524">
        <v>13</v>
      </c>
      <c r="AF12" s="182">
        <v>1157.9999999999995</v>
      </c>
      <c r="AG12" s="182">
        <v>89.076923076923038</v>
      </c>
      <c r="AH12" s="514">
        <f t="shared" si="7"/>
        <v>7</v>
      </c>
      <c r="AI12" s="661"/>
      <c r="AJ12" s="524">
        <v>13</v>
      </c>
      <c r="AK12" s="182">
        <v>987.00000000000364</v>
      </c>
      <c r="AL12" s="182">
        <v>75.923076923077204</v>
      </c>
      <c r="AM12" s="514">
        <f t="shared" si="9"/>
        <v>7</v>
      </c>
      <c r="AN12" s="661"/>
      <c r="AO12" s="524">
        <v>13</v>
      </c>
      <c r="AP12" s="182">
        <v>2466.0000000000086</v>
      </c>
      <c r="AQ12" s="182">
        <v>189.69230769230836</v>
      </c>
      <c r="AR12" s="514">
        <f t="shared" si="11"/>
        <v>3</v>
      </c>
      <c r="AS12" s="661"/>
      <c r="AT12" s="524">
        <v>13</v>
      </c>
      <c r="AU12" s="182">
        <v>1095.999999999998</v>
      </c>
      <c r="AV12" s="182">
        <v>84.30769230769215</v>
      </c>
      <c r="AW12" s="514">
        <f t="shared" si="13"/>
        <v>7</v>
      </c>
      <c r="AX12" s="661"/>
      <c r="AZ12" s="529" t="e">
        <f t="shared" si="15"/>
        <v>#N/A</v>
      </c>
      <c r="BA12" s="661"/>
    </row>
    <row r="13" spans="1:53" ht="14.25">
      <c r="A13" s="81"/>
      <c r="B13" s="647"/>
      <c r="C13" s="462">
        <v>7</v>
      </c>
      <c r="D13" s="456" t="s">
        <v>803</v>
      </c>
      <c r="E13" s="465">
        <v>15</v>
      </c>
      <c r="F13" s="465">
        <v>1200</v>
      </c>
      <c r="G13" s="465">
        <v>80</v>
      </c>
      <c r="H13" s="659"/>
      <c r="I13" s="516">
        <f t="shared" si="0"/>
        <v>13</v>
      </c>
      <c r="J13" s="516">
        <f t="shared" si="1"/>
        <v>1184.4759988205806</v>
      </c>
      <c r="K13" s="200">
        <f t="shared" si="2"/>
        <v>91.113538370813899</v>
      </c>
      <c r="L13" s="659"/>
      <c r="M13" s="464">
        <f>RANK(K13, K$7:$K$21)</f>
        <v>7</v>
      </c>
      <c r="N13" s="614"/>
      <c r="O13" s="614"/>
      <c r="P13" s="462">
        <v>13</v>
      </c>
      <c r="Q13" s="465">
        <v>1165.8947368421054</v>
      </c>
      <c r="R13" s="465">
        <v>89.684210526315809</v>
      </c>
      <c r="S13" s="461">
        <f t="shared" si="17"/>
        <v>7</v>
      </c>
      <c r="T13" s="661"/>
      <c r="U13" s="520">
        <v>13</v>
      </c>
      <c r="V13" s="521">
        <v>1184.4705882352928</v>
      </c>
      <c r="W13" s="521">
        <v>91.113122171945605</v>
      </c>
      <c r="X13" s="514">
        <f t="shared" si="3"/>
        <v>7</v>
      </c>
      <c r="Y13" s="661"/>
      <c r="Z13" s="524">
        <v>13</v>
      </c>
      <c r="AA13" s="182">
        <v>1188</v>
      </c>
      <c r="AB13" s="182">
        <v>91.384615384615387</v>
      </c>
      <c r="AC13" s="514">
        <f t="shared" si="5"/>
        <v>6</v>
      </c>
      <c r="AD13" s="661"/>
      <c r="AE13" s="524">
        <v>13</v>
      </c>
      <c r="AF13" s="182">
        <v>1213.4999999999995</v>
      </c>
      <c r="AG13" s="182">
        <v>93.346153846153811</v>
      </c>
      <c r="AH13" s="514">
        <f t="shared" si="7"/>
        <v>6</v>
      </c>
      <c r="AI13" s="661"/>
      <c r="AJ13" s="524">
        <v>13</v>
      </c>
      <c r="AK13" s="182">
        <v>1164.0000000000018</v>
      </c>
      <c r="AL13" s="182">
        <v>89.538461538461675</v>
      </c>
      <c r="AM13" s="514">
        <f t="shared" si="9"/>
        <v>6</v>
      </c>
      <c r="AN13" s="661"/>
      <c r="AO13" s="524">
        <v>13</v>
      </c>
      <c r="AP13" s="182">
        <v>1110.6666666666667</v>
      </c>
      <c r="AQ13" s="182">
        <v>85.435897435897445</v>
      </c>
      <c r="AR13" s="514">
        <f t="shared" si="11"/>
        <v>7</v>
      </c>
      <c r="AS13" s="661"/>
      <c r="AT13" s="524">
        <v>13</v>
      </c>
      <c r="AU13" s="182">
        <v>1264.7999999999984</v>
      </c>
      <c r="AV13" s="182">
        <v>97.29230769230756</v>
      </c>
      <c r="AW13" s="514">
        <f t="shared" si="13"/>
        <v>6</v>
      </c>
      <c r="AX13" s="661"/>
      <c r="AZ13" s="529" t="e">
        <f t="shared" si="15"/>
        <v>#N/A</v>
      </c>
      <c r="BA13" s="661"/>
    </row>
    <row r="14" spans="1:53" ht="14.25">
      <c r="A14" s="81"/>
      <c r="B14" s="647"/>
      <c r="C14" s="462">
        <v>8</v>
      </c>
      <c r="D14" s="343"/>
      <c r="E14" s="465"/>
      <c r="F14" s="465"/>
      <c r="G14" s="465"/>
      <c r="H14" s="659"/>
      <c r="I14" s="516" t="str">
        <f t="shared" si="0"/>
        <v>-</v>
      </c>
      <c r="J14" s="516" t="str">
        <f t="shared" si="1"/>
        <v>-</v>
      </c>
      <c r="K14" s="200" t="str">
        <f t="shared" si="2"/>
        <v>-</v>
      </c>
      <c r="L14" s="659"/>
      <c r="M14" s="464" t="e">
        <f>RANK(K14, K$7:$K$21)</f>
        <v>#VALUE!</v>
      </c>
      <c r="N14" s="614"/>
      <c r="O14" s="614"/>
      <c r="P14" s="462"/>
      <c r="Q14" s="465"/>
      <c r="R14" s="465"/>
      <c r="S14" s="461" t="e">
        <f t="shared" si="17"/>
        <v>#N/A</v>
      </c>
      <c r="T14" s="661"/>
      <c r="U14" s="520"/>
      <c r="V14" s="521"/>
      <c r="W14" s="521"/>
      <c r="X14" s="514" t="e">
        <f t="shared" si="3"/>
        <v>#N/A</v>
      </c>
      <c r="Y14" s="661"/>
      <c r="Z14" s="520"/>
      <c r="AA14" s="521"/>
      <c r="AB14" s="521"/>
      <c r="AC14" s="514" t="e">
        <f t="shared" si="5"/>
        <v>#N/A</v>
      </c>
      <c r="AD14" s="661"/>
      <c r="AE14" s="520"/>
      <c r="AF14" s="521"/>
      <c r="AG14" s="521"/>
      <c r="AH14" s="514" t="e">
        <f t="shared" si="7"/>
        <v>#N/A</v>
      </c>
      <c r="AI14" s="661"/>
      <c r="AJ14" s="520"/>
      <c r="AK14" s="521"/>
      <c r="AL14" s="521"/>
      <c r="AM14" s="514" t="e">
        <f t="shared" si="9"/>
        <v>#N/A</v>
      </c>
      <c r="AN14" s="661"/>
      <c r="AO14" s="520"/>
      <c r="AP14" s="521"/>
      <c r="AQ14" s="521"/>
      <c r="AR14" s="514" t="e">
        <f t="shared" si="11"/>
        <v>#N/A</v>
      </c>
      <c r="AS14" s="661"/>
      <c r="AT14" s="520"/>
      <c r="AU14" s="521"/>
      <c r="AV14" s="521"/>
      <c r="AW14" s="514" t="e">
        <f t="shared" si="13"/>
        <v>#N/A</v>
      </c>
      <c r="AX14" s="661"/>
      <c r="AZ14" s="529" t="e">
        <f t="shared" si="15"/>
        <v>#N/A</v>
      </c>
      <c r="BA14" s="661"/>
    </row>
    <row r="15" spans="1:53" ht="14.25">
      <c r="A15" s="81"/>
      <c r="B15" s="647"/>
      <c r="C15" s="462">
        <v>9</v>
      </c>
      <c r="D15" s="456"/>
      <c r="E15" s="465"/>
      <c r="F15" s="465"/>
      <c r="G15" s="465"/>
      <c r="H15" s="659"/>
      <c r="I15" s="516" t="str">
        <f t="shared" si="0"/>
        <v>-</v>
      </c>
      <c r="J15" s="516" t="str">
        <f t="shared" si="1"/>
        <v>-</v>
      </c>
      <c r="K15" s="200" t="str">
        <f t="shared" si="2"/>
        <v>-</v>
      </c>
      <c r="L15" s="659"/>
      <c r="M15" s="464" t="e">
        <f>RANK(K15, K$7:$K$21)</f>
        <v>#VALUE!</v>
      </c>
      <c r="N15" s="614"/>
      <c r="O15" s="614"/>
      <c r="P15" s="462"/>
      <c r="Q15" s="465"/>
      <c r="R15" s="465"/>
      <c r="S15" s="461" t="e">
        <f t="shared" si="17"/>
        <v>#N/A</v>
      </c>
      <c r="T15" s="661"/>
      <c r="U15" s="520"/>
      <c r="V15" s="521"/>
      <c r="W15" s="521"/>
      <c r="X15" s="514" t="e">
        <f t="shared" si="3"/>
        <v>#N/A</v>
      </c>
      <c r="Y15" s="661"/>
      <c r="Z15" s="520"/>
      <c r="AA15" s="521"/>
      <c r="AB15" s="521"/>
      <c r="AC15" s="514" t="e">
        <f t="shared" si="5"/>
        <v>#N/A</v>
      </c>
      <c r="AD15" s="661"/>
      <c r="AE15" s="520"/>
      <c r="AF15" s="521"/>
      <c r="AG15" s="521"/>
      <c r="AH15" s="514" t="e">
        <f t="shared" si="7"/>
        <v>#N/A</v>
      </c>
      <c r="AI15" s="661"/>
      <c r="AJ15" s="520"/>
      <c r="AK15" s="521"/>
      <c r="AL15" s="521"/>
      <c r="AM15" s="514" t="e">
        <f t="shared" si="9"/>
        <v>#N/A</v>
      </c>
      <c r="AN15" s="661"/>
      <c r="AO15" s="520"/>
      <c r="AP15" s="521"/>
      <c r="AQ15" s="521"/>
      <c r="AR15" s="514" t="e">
        <f t="shared" si="11"/>
        <v>#N/A</v>
      </c>
      <c r="AS15" s="661"/>
      <c r="AT15" s="520"/>
      <c r="AU15" s="521"/>
      <c r="AV15" s="521"/>
      <c r="AW15" s="514" t="e">
        <f t="shared" si="13"/>
        <v>#N/A</v>
      </c>
      <c r="AX15" s="661"/>
      <c r="AZ15" s="529" t="e">
        <f t="shared" si="15"/>
        <v>#N/A</v>
      </c>
      <c r="BA15" s="661"/>
    </row>
    <row r="16" spans="1:53" ht="14.25">
      <c r="A16" s="81"/>
      <c r="B16" s="647"/>
      <c r="C16" s="462">
        <v>10</v>
      </c>
      <c r="D16" s="456"/>
      <c r="E16" s="465"/>
      <c r="F16" s="465"/>
      <c r="G16" s="465"/>
      <c r="H16" s="659"/>
      <c r="I16" s="516" t="str">
        <f t="shared" si="0"/>
        <v>-</v>
      </c>
      <c r="J16" s="516" t="str">
        <f t="shared" si="1"/>
        <v>-</v>
      </c>
      <c r="K16" s="200" t="str">
        <f t="shared" si="2"/>
        <v>-</v>
      </c>
      <c r="L16" s="659"/>
      <c r="M16" s="464" t="e">
        <f>RANK(K16, K$7:$K$21)</f>
        <v>#VALUE!</v>
      </c>
      <c r="N16" s="614"/>
      <c r="O16" s="614"/>
      <c r="P16" s="462"/>
      <c r="Q16" s="465"/>
      <c r="R16" s="465"/>
      <c r="S16" s="461" t="e">
        <f t="shared" si="17"/>
        <v>#N/A</v>
      </c>
      <c r="T16" s="661"/>
      <c r="U16" s="520"/>
      <c r="V16" s="521"/>
      <c r="W16" s="521"/>
      <c r="X16" s="514" t="e">
        <f t="shared" si="3"/>
        <v>#N/A</v>
      </c>
      <c r="Y16" s="661"/>
      <c r="Z16" s="520"/>
      <c r="AA16" s="521"/>
      <c r="AB16" s="521"/>
      <c r="AC16" s="514" t="e">
        <f t="shared" si="5"/>
        <v>#N/A</v>
      </c>
      <c r="AD16" s="661"/>
      <c r="AE16" s="520"/>
      <c r="AF16" s="521"/>
      <c r="AG16" s="521"/>
      <c r="AH16" s="514" t="e">
        <f t="shared" si="7"/>
        <v>#N/A</v>
      </c>
      <c r="AI16" s="661"/>
      <c r="AJ16" s="520"/>
      <c r="AK16" s="521"/>
      <c r="AL16" s="521"/>
      <c r="AM16" s="514" t="e">
        <f t="shared" si="9"/>
        <v>#N/A</v>
      </c>
      <c r="AN16" s="661"/>
      <c r="AO16" s="520"/>
      <c r="AP16" s="521"/>
      <c r="AQ16" s="521"/>
      <c r="AR16" s="514" t="e">
        <f t="shared" si="11"/>
        <v>#N/A</v>
      </c>
      <c r="AS16" s="661"/>
      <c r="AT16" s="520"/>
      <c r="AU16" s="521"/>
      <c r="AV16" s="521"/>
      <c r="AW16" s="514" t="e">
        <f t="shared" si="13"/>
        <v>#N/A</v>
      </c>
      <c r="AX16" s="661"/>
      <c r="AZ16" s="529" t="e">
        <f t="shared" si="15"/>
        <v>#N/A</v>
      </c>
      <c r="BA16" s="661"/>
    </row>
    <row r="17" spans="2:53">
      <c r="B17" s="647"/>
      <c r="C17" s="462">
        <v>11</v>
      </c>
      <c r="D17" s="456"/>
      <c r="E17" s="465"/>
      <c r="F17" s="465"/>
      <c r="G17" s="465"/>
      <c r="H17" s="659"/>
      <c r="I17" s="516" t="str">
        <f t="shared" si="0"/>
        <v>-</v>
      </c>
      <c r="J17" s="516" t="str">
        <f t="shared" si="1"/>
        <v>-</v>
      </c>
      <c r="K17" s="200" t="str">
        <f t="shared" si="2"/>
        <v>-</v>
      </c>
      <c r="L17" s="659"/>
      <c r="M17" s="464" t="e">
        <f>RANK(K17, K$7:$K$21)</f>
        <v>#VALUE!</v>
      </c>
      <c r="N17" s="614"/>
      <c r="O17" s="614"/>
      <c r="P17" s="462"/>
      <c r="Q17" s="465"/>
      <c r="R17" s="465"/>
      <c r="S17" s="461" t="e">
        <f t="shared" si="17"/>
        <v>#N/A</v>
      </c>
      <c r="T17" s="661"/>
      <c r="U17" s="520"/>
      <c r="V17" s="521"/>
      <c r="W17" s="521"/>
      <c r="X17" s="514" t="e">
        <f t="shared" si="3"/>
        <v>#N/A</v>
      </c>
      <c r="Y17" s="661"/>
      <c r="Z17" s="520"/>
      <c r="AA17" s="521"/>
      <c r="AB17" s="521"/>
      <c r="AC17" s="514" t="e">
        <f t="shared" si="5"/>
        <v>#N/A</v>
      </c>
      <c r="AD17" s="661"/>
      <c r="AE17" s="520"/>
      <c r="AF17" s="521"/>
      <c r="AG17" s="521"/>
      <c r="AH17" s="514" t="e">
        <f t="shared" si="7"/>
        <v>#N/A</v>
      </c>
      <c r="AI17" s="661"/>
      <c r="AJ17" s="520"/>
      <c r="AK17" s="521"/>
      <c r="AL17" s="521"/>
      <c r="AM17" s="514" t="e">
        <f t="shared" si="9"/>
        <v>#N/A</v>
      </c>
      <c r="AN17" s="661"/>
      <c r="AO17" s="520"/>
      <c r="AP17" s="521"/>
      <c r="AQ17" s="521"/>
      <c r="AR17" s="514" t="e">
        <f t="shared" si="11"/>
        <v>#N/A</v>
      </c>
      <c r="AS17" s="661"/>
      <c r="AT17" s="520"/>
      <c r="AU17" s="521"/>
      <c r="AV17" s="521"/>
      <c r="AW17" s="514" t="e">
        <f t="shared" si="13"/>
        <v>#N/A</v>
      </c>
      <c r="AX17" s="661"/>
      <c r="AZ17" s="529" t="e">
        <f t="shared" si="15"/>
        <v>#N/A</v>
      </c>
      <c r="BA17" s="661"/>
    </row>
    <row r="18" spans="2:53">
      <c r="B18" s="647"/>
      <c r="C18" s="462">
        <v>12</v>
      </c>
      <c r="D18" s="456"/>
      <c r="E18" s="465"/>
      <c r="F18" s="465"/>
      <c r="G18" s="465"/>
      <c r="H18" s="659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659"/>
      <c r="M18" s="464" t="e">
        <f>RANK(K18, K$7:$K$21)</f>
        <v>#VALUE!</v>
      </c>
      <c r="N18" s="614"/>
      <c r="O18" s="614"/>
      <c r="P18" s="462"/>
      <c r="Q18" s="465"/>
      <c r="R18" s="465"/>
      <c r="S18" s="461" t="e">
        <f t="shared" si="17"/>
        <v>#N/A</v>
      </c>
      <c r="T18" s="661"/>
      <c r="U18" s="520"/>
      <c r="V18" s="521"/>
      <c r="W18" s="521"/>
      <c r="X18" s="514" t="e">
        <f t="shared" si="3"/>
        <v>#N/A</v>
      </c>
      <c r="Y18" s="661"/>
      <c r="Z18" s="520"/>
      <c r="AA18" s="521"/>
      <c r="AB18" s="521"/>
      <c r="AC18" s="514" t="e">
        <f t="shared" si="5"/>
        <v>#N/A</v>
      </c>
      <c r="AD18" s="661"/>
      <c r="AE18" s="520"/>
      <c r="AF18" s="521"/>
      <c r="AG18" s="521"/>
      <c r="AH18" s="514" t="e">
        <f t="shared" si="7"/>
        <v>#N/A</v>
      </c>
      <c r="AI18" s="661"/>
      <c r="AJ18" s="520"/>
      <c r="AK18" s="521"/>
      <c r="AL18" s="521"/>
      <c r="AM18" s="514" t="e">
        <f t="shared" si="9"/>
        <v>#N/A</v>
      </c>
      <c r="AN18" s="661"/>
      <c r="AO18" s="520"/>
      <c r="AP18" s="521"/>
      <c r="AQ18" s="521"/>
      <c r="AR18" s="514" t="e">
        <f t="shared" si="11"/>
        <v>#N/A</v>
      </c>
      <c r="AS18" s="661"/>
      <c r="AT18" s="520"/>
      <c r="AU18" s="521"/>
      <c r="AV18" s="521"/>
      <c r="AW18" s="514" t="e">
        <f t="shared" si="13"/>
        <v>#N/A</v>
      </c>
      <c r="AX18" s="661"/>
      <c r="AZ18" s="529" t="e">
        <f t="shared" si="15"/>
        <v>#N/A</v>
      </c>
      <c r="BA18" s="661"/>
    </row>
    <row r="19" spans="2:53">
      <c r="B19" s="647"/>
      <c r="C19" s="462">
        <v>13</v>
      </c>
      <c r="D19" s="456"/>
      <c r="E19" s="465"/>
      <c r="F19" s="465"/>
      <c r="G19" s="465"/>
      <c r="H19" s="659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659"/>
      <c r="M19" s="464" t="e">
        <f>RANK(K19, K$7:$K$21)</f>
        <v>#VALUE!</v>
      </c>
      <c r="N19" s="614"/>
      <c r="O19" s="614"/>
      <c r="P19" s="462"/>
      <c r="Q19" s="465"/>
      <c r="R19" s="465"/>
      <c r="S19" s="461" t="e">
        <f t="shared" si="17"/>
        <v>#N/A</v>
      </c>
      <c r="T19" s="661"/>
      <c r="U19" s="520"/>
      <c r="V19" s="521"/>
      <c r="W19" s="521"/>
      <c r="X19" s="514" t="e">
        <f t="shared" si="3"/>
        <v>#N/A</v>
      </c>
      <c r="Y19" s="661"/>
      <c r="Z19" s="520"/>
      <c r="AA19" s="521"/>
      <c r="AB19" s="521"/>
      <c r="AC19" s="514" t="e">
        <f t="shared" si="5"/>
        <v>#N/A</v>
      </c>
      <c r="AD19" s="661"/>
      <c r="AE19" s="520"/>
      <c r="AF19" s="521"/>
      <c r="AG19" s="521"/>
      <c r="AH19" s="514" t="e">
        <f t="shared" si="7"/>
        <v>#N/A</v>
      </c>
      <c r="AI19" s="661"/>
      <c r="AJ19" s="520"/>
      <c r="AK19" s="521"/>
      <c r="AL19" s="521"/>
      <c r="AM19" s="514" t="e">
        <f t="shared" si="9"/>
        <v>#N/A</v>
      </c>
      <c r="AN19" s="661"/>
      <c r="AO19" s="520"/>
      <c r="AP19" s="521"/>
      <c r="AQ19" s="521"/>
      <c r="AR19" s="514" t="e">
        <f t="shared" si="11"/>
        <v>#N/A</v>
      </c>
      <c r="AS19" s="661"/>
      <c r="AT19" s="520"/>
      <c r="AU19" s="521"/>
      <c r="AV19" s="521"/>
      <c r="AW19" s="514" t="e">
        <f t="shared" si="13"/>
        <v>#N/A</v>
      </c>
      <c r="AX19" s="661"/>
      <c r="AZ19" s="529" t="e">
        <f t="shared" si="15"/>
        <v>#N/A</v>
      </c>
      <c r="BA19" s="661"/>
    </row>
    <row r="20" spans="2:53">
      <c r="B20" s="647"/>
      <c r="C20" s="462">
        <v>14</v>
      </c>
      <c r="D20" s="456"/>
      <c r="E20" s="465"/>
      <c r="F20" s="465"/>
      <c r="G20" s="465"/>
      <c r="H20" s="659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659"/>
      <c r="M20" s="464" t="e">
        <f>RANK(K20, K$7:$K$21)</f>
        <v>#VALUE!</v>
      </c>
      <c r="N20" s="614"/>
      <c r="O20" s="614"/>
      <c r="P20" s="462"/>
      <c r="Q20" s="465"/>
      <c r="R20" s="465"/>
      <c r="S20" s="461" t="e">
        <f t="shared" si="17"/>
        <v>#N/A</v>
      </c>
      <c r="T20" s="661"/>
      <c r="U20" s="520"/>
      <c r="V20" s="521"/>
      <c r="W20" s="521"/>
      <c r="X20" s="514" t="e">
        <f t="shared" si="3"/>
        <v>#N/A</v>
      </c>
      <c r="Y20" s="661"/>
      <c r="Z20" s="520"/>
      <c r="AA20" s="521"/>
      <c r="AB20" s="521"/>
      <c r="AC20" s="514" t="e">
        <f t="shared" si="5"/>
        <v>#N/A</v>
      </c>
      <c r="AD20" s="661"/>
      <c r="AE20" s="520"/>
      <c r="AF20" s="521"/>
      <c r="AG20" s="521"/>
      <c r="AH20" s="514" t="e">
        <f t="shared" si="7"/>
        <v>#N/A</v>
      </c>
      <c r="AI20" s="661"/>
      <c r="AJ20" s="520"/>
      <c r="AK20" s="521"/>
      <c r="AL20" s="521"/>
      <c r="AM20" s="514" t="e">
        <f t="shared" si="9"/>
        <v>#N/A</v>
      </c>
      <c r="AN20" s="661"/>
      <c r="AO20" s="520"/>
      <c r="AP20" s="521"/>
      <c r="AQ20" s="521"/>
      <c r="AR20" s="514" t="e">
        <f t="shared" si="11"/>
        <v>#N/A</v>
      </c>
      <c r="AS20" s="661"/>
      <c r="AT20" s="520"/>
      <c r="AU20" s="521"/>
      <c r="AV20" s="521"/>
      <c r="AW20" s="514" t="e">
        <f t="shared" si="13"/>
        <v>#N/A</v>
      </c>
      <c r="AX20" s="661"/>
      <c r="AZ20" s="529" t="e">
        <f t="shared" si="15"/>
        <v>#N/A</v>
      </c>
      <c r="BA20" s="661"/>
    </row>
    <row r="21" spans="2:53">
      <c r="B21" s="647"/>
      <c r="C21" s="462">
        <v>15</v>
      </c>
      <c r="D21" s="456"/>
      <c r="E21" s="465"/>
      <c r="F21" s="465"/>
      <c r="G21" s="465"/>
      <c r="H21" s="669"/>
      <c r="I21" s="516" t="str">
        <f t="shared" si="0"/>
        <v>-</v>
      </c>
      <c r="J21" s="516" t="str">
        <f t="shared" si="1"/>
        <v>-</v>
      </c>
      <c r="K21" s="200" t="str">
        <f t="shared" si="2"/>
        <v>-</v>
      </c>
      <c r="L21" s="669"/>
      <c r="M21" s="464" t="e">
        <f>RANK(K21, K$7:$K$21)</f>
        <v>#VALUE!</v>
      </c>
      <c r="N21" s="614"/>
      <c r="O21" s="614"/>
      <c r="P21" s="462"/>
      <c r="Q21" s="465"/>
      <c r="R21" s="465"/>
      <c r="S21" s="461" t="e">
        <f t="shared" si="17"/>
        <v>#N/A</v>
      </c>
      <c r="T21" s="661"/>
      <c r="U21" s="520"/>
      <c r="V21" s="521"/>
      <c r="W21" s="521"/>
      <c r="X21" s="514" t="e">
        <f t="shared" si="3"/>
        <v>#N/A</v>
      </c>
      <c r="Y21" s="661"/>
      <c r="Z21" s="520"/>
      <c r="AA21" s="521"/>
      <c r="AB21" s="521"/>
      <c r="AC21" s="514" t="e">
        <f t="shared" si="5"/>
        <v>#N/A</v>
      </c>
      <c r="AD21" s="661"/>
      <c r="AE21" s="520"/>
      <c r="AF21" s="521"/>
      <c r="AG21" s="521"/>
      <c r="AH21" s="514" t="e">
        <f t="shared" si="7"/>
        <v>#N/A</v>
      </c>
      <c r="AI21" s="661"/>
      <c r="AJ21" s="520"/>
      <c r="AK21" s="521"/>
      <c r="AL21" s="521"/>
      <c r="AM21" s="514" t="e">
        <f t="shared" si="9"/>
        <v>#N/A</v>
      </c>
      <c r="AN21" s="661"/>
      <c r="AO21" s="520"/>
      <c r="AP21" s="521"/>
      <c r="AQ21" s="521"/>
      <c r="AR21" s="514" t="e">
        <f t="shared" si="11"/>
        <v>#N/A</v>
      </c>
      <c r="AS21" s="661"/>
      <c r="AT21" s="520"/>
      <c r="AU21" s="521"/>
      <c r="AV21" s="521"/>
      <c r="AW21" s="514" t="e">
        <f t="shared" si="13"/>
        <v>#N/A</v>
      </c>
      <c r="AX21" s="661"/>
      <c r="AZ21" s="529" t="e">
        <f t="shared" si="15"/>
        <v>#N/A</v>
      </c>
      <c r="BA21" s="661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727</v>
      </c>
      <c r="C24" s="614" t="s">
        <v>728</v>
      </c>
      <c r="D24" s="614"/>
      <c r="E24" s="614" t="s">
        <v>729</v>
      </c>
      <c r="F24" s="614"/>
      <c r="G24" s="614"/>
      <c r="H24" s="630" t="s">
        <v>730</v>
      </c>
      <c r="I24" s="598" t="s">
        <v>731</v>
      </c>
      <c r="J24" s="598"/>
      <c r="K24" s="598"/>
      <c r="L24" s="599" t="s">
        <v>730</v>
      </c>
      <c r="M24" s="605" t="s">
        <v>732</v>
      </c>
      <c r="N24" s="614"/>
      <c r="O24" s="614" t="s">
        <v>733</v>
      </c>
      <c r="P24" s="611" t="s">
        <v>734</v>
      </c>
      <c r="Q24" s="612"/>
      <c r="R24" s="612"/>
      <c r="S24" s="613"/>
      <c r="T24" s="614" t="s">
        <v>730</v>
      </c>
      <c r="U24" s="611" t="s">
        <v>734</v>
      </c>
      <c r="V24" s="612"/>
      <c r="W24" s="612"/>
      <c r="X24" s="613"/>
      <c r="Y24" s="614" t="s">
        <v>730</v>
      </c>
      <c r="Z24" s="611" t="s">
        <v>734</v>
      </c>
      <c r="AA24" s="612"/>
      <c r="AB24" s="612"/>
      <c r="AC24" s="613"/>
      <c r="AD24" s="614" t="s">
        <v>730</v>
      </c>
      <c r="AE24" s="611" t="s">
        <v>734</v>
      </c>
      <c r="AF24" s="612"/>
      <c r="AG24" s="612"/>
      <c r="AH24" s="613"/>
      <c r="AI24" s="614" t="s">
        <v>730</v>
      </c>
      <c r="AJ24" s="611" t="s">
        <v>734</v>
      </c>
      <c r="AK24" s="612"/>
      <c r="AL24" s="612"/>
      <c r="AM24" s="613"/>
      <c r="AN24" s="614" t="s">
        <v>730</v>
      </c>
      <c r="AO24" s="611" t="s">
        <v>734</v>
      </c>
      <c r="AP24" s="612"/>
      <c r="AQ24" s="612"/>
      <c r="AR24" s="613"/>
      <c r="AS24" s="614" t="s">
        <v>730</v>
      </c>
      <c r="AT24" s="611" t="s">
        <v>734</v>
      </c>
      <c r="AU24" s="612"/>
      <c r="AV24" s="612"/>
      <c r="AW24" s="613"/>
      <c r="AX24" s="614" t="s">
        <v>730</v>
      </c>
      <c r="BA24" s="614" t="s">
        <v>395</v>
      </c>
    </row>
    <row r="25" spans="2:53">
      <c r="B25" s="614"/>
      <c r="C25" s="614"/>
      <c r="D25" s="614"/>
      <c r="E25" s="614" t="s">
        <v>735</v>
      </c>
      <c r="F25" s="614"/>
      <c r="G25" s="614"/>
      <c r="H25" s="631"/>
      <c r="I25" s="598" t="s">
        <v>735</v>
      </c>
      <c r="J25" s="598"/>
      <c r="K25" s="598"/>
      <c r="L25" s="600"/>
      <c r="M25" s="606"/>
      <c r="N25" s="614"/>
      <c r="O25" s="614"/>
      <c r="P25" s="611" t="s">
        <v>736</v>
      </c>
      <c r="Q25" s="612"/>
      <c r="R25" s="612"/>
      <c r="S25" s="613"/>
      <c r="T25" s="614"/>
      <c r="U25" s="611" t="s">
        <v>736</v>
      </c>
      <c r="V25" s="612"/>
      <c r="W25" s="612"/>
      <c r="X25" s="613"/>
      <c r="Y25" s="614"/>
      <c r="Z25" s="611" t="s">
        <v>736</v>
      </c>
      <c r="AA25" s="612"/>
      <c r="AB25" s="612"/>
      <c r="AC25" s="613"/>
      <c r="AD25" s="614"/>
      <c r="AE25" s="611" t="s">
        <v>736</v>
      </c>
      <c r="AF25" s="612"/>
      <c r="AG25" s="612"/>
      <c r="AH25" s="613"/>
      <c r="AI25" s="614"/>
      <c r="AJ25" s="611" t="s">
        <v>736</v>
      </c>
      <c r="AK25" s="612"/>
      <c r="AL25" s="612"/>
      <c r="AM25" s="613"/>
      <c r="AN25" s="614"/>
      <c r="AO25" s="611" t="s">
        <v>736</v>
      </c>
      <c r="AP25" s="612"/>
      <c r="AQ25" s="612"/>
      <c r="AR25" s="613"/>
      <c r="AS25" s="614"/>
      <c r="AT25" s="611" t="s">
        <v>736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476" t="s">
        <v>737</v>
      </c>
      <c r="F26" s="476" t="s">
        <v>738</v>
      </c>
      <c r="G26" s="476" t="s">
        <v>739</v>
      </c>
      <c r="H26" s="632"/>
      <c r="I26" s="475" t="s">
        <v>737</v>
      </c>
      <c r="J26" s="475" t="s">
        <v>738</v>
      </c>
      <c r="K26" s="475" t="s">
        <v>739</v>
      </c>
      <c r="L26" s="601"/>
      <c r="M26" s="607"/>
      <c r="N26" s="614"/>
      <c r="O26" s="614"/>
      <c r="P26" s="476" t="s">
        <v>737</v>
      </c>
      <c r="Q26" s="476" t="s">
        <v>738</v>
      </c>
      <c r="R26" s="476" t="s">
        <v>739</v>
      </c>
      <c r="S26" s="476" t="s">
        <v>732</v>
      </c>
      <c r="T26" s="614"/>
      <c r="U26" s="476" t="s">
        <v>737</v>
      </c>
      <c r="V26" s="476" t="s">
        <v>738</v>
      </c>
      <c r="W26" s="476" t="s">
        <v>739</v>
      </c>
      <c r="X26" s="476" t="s">
        <v>732</v>
      </c>
      <c r="Y26" s="614"/>
      <c r="Z26" s="476" t="s">
        <v>737</v>
      </c>
      <c r="AA26" s="476" t="s">
        <v>738</v>
      </c>
      <c r="AB26" s="476" t="s">
        <v>739</v>
      </c>
      <c r="AC26" s="476" t="s">
        <v>732</v>
      </c>
      <c r="AD26" s="614"/>
      <c r="AE26" s="476" t="s">
        <v>737</v>
      </c>
      <c r="AF26" s="476" t="s">
        <v>738</v>
      </c>
      <c r="AG26" s="476" t="s">
        <v>739</v>
      </c>
      <c r="AH26" s="476" t="s">
        <v>732</v>
      </c>
      <c r="AI26" s="614"/>
      <c r="AJ26" s="476" t="s">
        <v>737</v>
      </c>
      <c r="AK26" s="476" t="s">
        <v>738</v>
      </c>
      <c r="AL26" s="476" t="s">
        <v>739</v>
      </c>
      <c r="AM26" s="476" t="s">
        <v>732</v>
      </c>
      <c r="AN26" s="614"/>
      <c r="AO26" s="476" t="s">
        <v>737</v>
      </c>
      <c r="AP26" s="476" t="s">
        <v>738</v>
      </c>
      <c r="AQ26" s="476" t="s">
        <v>739</v>
      </c>
      <c r="AR26" s="476" t="s">
        <v>732</v>
      </c>
      <c r="AS26" s="614"/>
      <c r="AT26" s="476" t="s">
        <v>737</v>
      </c>
      <c r="AU26" s="476" t="s">
        <v>738</v>
      </c>
      <c r="AV26" s="476" t="s">
        <v>739</v>
      </c>
      <c r="AW26" s="476" t="s">
        <v>732</v>
      </c>
      <c r="AX26" s="614"/>
      <c r="AZ26" s="530" t="s">
        <v>396</v>
      </c>
      <c r="BA26" s="614"/>
    </row>
    <row r="27" spans="2:53">
      <c r="B27" s="662" t="s">
        <v>740</v>
      </c>
      <c r="C27" s="477">
        <v>1</v>
      </c>
      <c r="D27" s="456" t="s">
        <v>782</v>
      </c>
      <c r="E27" s="521">
        <v>10</v>
      </c>
      <c r="F27" s="521">
        <v>1500</v>
      </c>
      <c r="G27" s="521">
        <v>150</v>
      </c>
      <c r="H27" s="666">
        <f>AVERAGE(G27:G41)</f>
        <v>157.14285714285714</v>
      </c>
      <c r="I27" s="516">
        <f t="shared" ref="I27:I41" si="18">IFERROR(AVERAGE(P27,U27,Z27,AE27,AJ27,AO27,AT27),"-")</f>
        <v>10</v>
      </c>
      <c r="J27" s="516">
        <f t="shared" ref="J27:J41" si="19">IFERROR(AVERAGE(Q27,V27,AA27,AF27,AK27,AP27,AU27),"-")</f>
        <v>1319.9803294584974</v>
      </c>
      <c r="K27" s="200">
        <f t="shared" ref="K27:K41" si="20">IFERROR(AVERAGE(R27,W27,AB27,AG27,AL27,AQ27,AV27),"-")</f>
        <v>131.9980329458497</v>
      </c>
      <c r="L27" s="595">
        <f>IFERROR(AVERAGE(K27:K41),"-")</f>
        <v>179.60390052009265</v>
      </c>
      <c r="M27" s="479">
        <f>RANK(K27, K$27:$K$41)</f>
        <v>5</v>
      </c>
      <c r="N27" s="614"/>
      <c r="O27" s="614"/>
      <c r="P27" s="529">
        <v>10</v>
      </c>
      <c r="Q27" s="533">
        <v>1379.9999999999957</v>
      </c>
      <c r="R27" s="533">
        <v>137.99999999999957</v>
      </c>
      <c r="S27" s="529">
        <f t="shared" ref="S27:S41" si="21">RANK(R27, R$27:R$41)</f>
        <v>5</v>
      </c>
      <c r="T27" s="623">
        <f t="shared" ref="T27" si="22">AVERAGE(R27:R41)</f>
        <v>187.62466422466417</v>
      </c>
      <c r="U27" s="529">
        <v>10</v>
      </c>
      <c r="V27" s="533">
        <v>1339.1999999999875</v>
      </c>
      <c r="W27" s="533">
        <v>133.91999999999877</v>
      </c>
      <c r="X27" s="529">
        <f t="shared" ref="X27:X41" si="23">RANK(W27, W$27:W$41)</f>
        <v>5</v>
      </c>
      <c r="Y27" s="623">
        <f t="shared" ref="Y27" si="24">AVERAGE(W27:W41)</f>
        <v>187.37585557299843</v>
      </c>
      <c r="Z27" s="529">
        <v>10</v>
      </c>
      <c r="AA27" s="533">
        <v>1246.1538461538353</v>
      </c>
      <c r="AB27" s="533">
        <v>124.61538461538353</v>
      </c>
      <c r="AC27" s="529">
        <f t="shared" ref="AC27:AC41" si="25">RANK(AB27, AB$27:AB$41)</f>
        <v>5</v>
      </c>
      <c r="AD27" s="623">
        <f t="shared" ref="AD27" si="26">AVERAGE(AB27:AB41)</f>
        <v>180.96558596682812</v>
      </c>
      <c r="AE27" s="529">
        <v>10</v>
      </c>
      <c r="AF27" s="533">
        <v>1288.6956521738996</v>
      </c>
      <c r="AG27" s="533">
        <v>128.86956521738995</v>
      </c>
      <c r="AH27" s="529">
        <f t="shared" ref="AH27:AH41" si="27">RANK(AG27, AG$27:AG$41)</f>
        <v>5</v>
      </c>
      <c r="AI27" s="623">
        <f t="shared" ref="AI27" si="28">AVERAGE(AG27:AG41)</f>
        <v>163.33654699337907</v>
      </c>
      <c r="AJ27" s="529">
        <v>10</v>
      </c>
      <c r="AK27" s="533">
        <v>1359.9999999999945</v>
      </c>
      <c r="AL27" s="533">
        <v>135.99999999999946</v>
      </c>
      <c r="AM27" s="529">
        <f t="shared" ref="AM27:AM41" si="29">RANK(AL27, AL$27:AL$41)</f>
        <v>5</v>
      </c>
      <c r="AN27" s="623">
        <f t="shared" ref="AN27" si="30">AVERAGE(AL27:AL41)</f>
        <v>175.63559297844998</v>
      </c>
      <c r="AO27" s="529">
        <v>10</v>
      </c>
      <c r="AP27" s="533">
        <v>1297.2413793103422</v>
      </c>
      <c r="AQ27" s="533">
        <v>129.72413793103422</v>
      </c>
      <c r="AR27" s="529">
        <f t="shared" ref="AR27:AR41" si="31">RANK(AQ27, AQ$27:AQ$41)</f>
        <v>5</v>
      </c>
      <c r="AS27" s="623">
        <f t="shared" ref="AS27" si="32">AVERAGE(AQ27:AQ41)</f>
        <v>182.33913639726447</v>
      </c>
      <c r="AT27" s="529">
        <v>10</v>
      </c>
      <c r="AU27" s="533">
        <v>1328.5714285714257</v>
      </c>
      <c r="AV27" s="533">
        <v>132.85714285714258</v>
      </c>
      <c r="AW27" s="529">
        <f t="shared" ref="AW27:AW41" si="33">RANK(AV27, AV$27:AV$41)</f>
        <v>5</v>
      </c>
      <c r="AX27" s="623">
        <f t="shared" ref="AX27" si="34">AVERAGE(AV27:AV41)</f>
        <v>179.94992150706437</v>
      </c>
      <c r="AZ27" s="529" t="e">
        <f t="shared" ref="AZ27:AZ41" si="35">RANK(AY27, AY$27:AY$41)</f>
        <v>#N/A</v>
      </c>
      <c r="BA27" s="623" t="e">
        <f t="shared" ref="BA27" si="36">AVERAGE(AY27:AY41)</f>
        <v>#DIV/0!</v>
      </c>
    </row>
    <row r="28" spans="2:53">
      <c r="B28" s="622"/>
      <c r="C28" s="477">
        <v>2</v>
      </c>
      <c r="D28" s="456" t="s">
        <v>783</v>
      </c>
      <c r="E28" s="521">
        <v>15</v>
      </c>
      <c r="F28" s="521">
        <v>1800</v>
      </c>
      <c r="G28" s="521">
        <v>120</v>
      </c>
      <c r="H28" s="667"/>
      <c r="I28" s="516">
        <f t="shared" si="18"/>
        <v>12.714285714285714</v>
      </c>
      <c r="J28" s="516">
        <f t="shared" si="19"/>
        <v>2471.1758503401356</v>
      </c>
      <c r="K28" s="200">
        <f t="shared" si="20"/>
        <v>194.65626199197624</v>
      </c>
      <c r="L28" s="596"/>
      <c r="M28" s="479">
        <f>RANK(K28, K$27:$K$41)</f>
        <v>3</v>
      </c>
      <c r="N28" s="614"/>
      <c r="O28" s="614"/>
      <c r="P28" s="529">
        <v>12</v>
      </c>
      <c r="Q28" s="533">
        <v>2476.6666666666665</v>
      </c>
      <c r="R28" s="533">
        <v>206.38888888888889</v>
      </c>
      <c r="S28" s="529">
        <f t="shared" si="21"/>
        <v>3</v>
      </c>
      <c r="T28" s="624"/>
      <c r="U28" s="529">
        <v>12</v>
      </c>
      <c r="V28" s="533">
        <v>2509.2000000000007</v>
      </c>
      <c r="W28" s="533">
        <v>209.10000000000005</v>
      </c>
      <c r="X28" s="529">
        <f t="shared" si="23"/>
        <v>3</v>
      </c>
      <c r="Y28" s="624"/>
      <c r="Z28" s="529">
        <v>13</v>
      </c>
      <c r="AA28" s="533">
        <v>2498.400000000001</v>
      </c>
      <c r="AB28" s="533">
        <v>192.18461538461546</v>
      </c>
      <c r="AC28" s="529">
        <f t="shared" si="25"/>
        <v>4</v>
      </c>
      <c r="AD28" s="624"/>
      <c r="AE28" s="529">
        <v>13</v>
      </c>
      <c r="AF28" s="533">
        <v>2420.2499999999991</v>
      </c>
      <c r="AG28" s="533">
        <v>186.17307692307685</v>
      </c>
      <c r="AH28" s="529">
        <f t="shared" si="27"/>
        <v>3</v>
      </c>
      <c r="AI28" s="624"/>
      <c r="AJ28" s="529">
        <v>13</v>
      </c>
      <c r="AK28" s="533">
        <v>2450.400000000001</v>
      </c>
      <c r="AL28" s="533">
        <v>188.49230769230778</v>
      </c>
      <c r="AM28" s="529">
        <f t="shared" si="29"/>
        <v>3</v>
      </c>
      <c r="AN28" s="624"/>
      <c r="AO28" s="529">
        <v>13</v>
      </c>
      <c r="AP28" s="533">
        <v>2509.7142857142831</v>
      </c>
      <c r="AQ28" s="533">
        <v>193.05494505494485</v>
      </c>
      <c r="AR28" s="529">
        <f t="shared" si="31"/>
        <v>3</v>
      </c>
      <c r="AS28" s="624"/>
      <c r="AT28" s="529">
        <v>13</v>
      </c>
      <c r="AU28" s="533">
        <v>2433.5999999999981</v>
      </c>
      <c r="AV28" s="533">
        <v>187.19999999999985</v>
      </c>
      <c r="AW28" s="529">
        <f t="shared" si="33"/>
        <v>4</v>
      </c>
      <c r="AX28" s="624"/>
      <c r="AZ28" s="529" t="e">
        <f t="shared" si="35"/>
        <v>#N/A</v>
      </c>
      <c r="BA28" s="624"/>
    </row>
    <row r="29" spans="2:53">
      <c r="B29" s="622"/>
      <c r="C29" s="477">
        <v>3</v>
      </c>
      <c r="D29" s="456" t="s">
        <v>366</v>
      </c>
      <c r="E29" s="521">
        <v>15</v>
      </c>
      <c r="F29" s="521">
        <v>1800</v>
      </c>
      <c r="G29" s="521">
        <v>120</v>
      </c>
      <c r="H29" s="667"/>
      <c r="I29" s="516">
        <f t="shared" si="18"/>
        <v>12.714285714285714</v>
      </c>
      <c r="J29" s="516">
        <f t="shared" si="19"/>
        <v>2407.6571428571438</v>
      </c>
      <c r="K29" s="200">
        <f t="shared" si="20"/>
        <v>189.74200244200256</v>
      </c>
      <c r="L29" s="596"/>
      <c r="M29" s="479">
        <f>RANK(K29, K$27:$K$41)</f>
        <v>4</v>
      </c>
      <c r="N29" s="614"/>
      <c r="O29" s="614"/>
      <c r="P29" s="529">
        <v>12</v>
      </c>
      <c r="Q29" s="533">
        <v>2468.666666666667</v>
      </c>
      <c r="R29" s="533">
        <v>205.72222222222226</v>
      </c>
      <c r="S29" s="529">
        <f t="shared" si="21"/>
        <v>4</v>
      </c>
      <c r="T29" s="624"/>
      <c r="U29" s="529">
        <v>12</v>
      </c>
      <c r="V29" s="533">
        <v>2486.4000000000087</v>
      </c>
      <c r="W29" s="533">
        <v>207.20000000000073</v>
      </c>
      <c r="X29" s="529">
        <f t="shared" si="23"/>
        <v>4</v>
      </c>
      <c r="Y29" s="624"/>
      <c r="Z29" s="529">
        <v>13</v>
      </c>
      <c r="AA29" s="533">
        <v>2503.2000000000007</v>
      </c>
      <c r="AB29" s="533">
        <v>192.55384615384622</v>
      </c>
      <c r="AC29" s="529">
        <f t="shared" si="25"/>
        <v>3</v>
      </c>
      <c r="AD29" s="624"/>
      <c r="AE29" s="529">
        <v>13</v>
      </c>
      <c r="AF29" s="533">
        <v>2095.3333333333335</v>
      </c>
      <c r="AG29" s="533">
        <v>161.17948717948718</v>
      </c>
      <c r="AH29" s="529">
        <f t="shared" si="27"/>
        <v>4</v>
      </c>
      <c r="AI29" s="624"/>
      <c r="AJ29" s="529">
        <v>13</v>
      </c>
      <c r="AK29" s="533">
        <v>2364.8000000000034</v>
      </c>
      <c r="AL29" s="533">
        <v>181.90769230769257</v>
      </c>
      <c r="AM29" s="529">
        <f t="shared" si="29"/>
        <v>4</v>
      </c>
      <c r="AN29" s="624"/>
      <c r="AO29" s="529">
        <v>13</v>
      </c>
      <c r="AP29" s="533">
        <v>2487.9999999999973</v>
      </c>
      <c r="AQ29" s="533">
        <v>191.38461538461519</v>
      </c>
      <c r="AR29" s="529">
        <f t="shared" si="31"/>
        <v>4</v>
      </c>
      <c r="AS29" s="624"/>
      <c r="AT29" s="529">
        <v>13</v>
      </c>
      <c r="AU29" s="533">
        <v>2447.199999999998</v>
      </c>
      <c r="AV29" s="533">
        <v>188.2461538461537</v>
      </c>
      <c r="AW29" s="529">
        <f t="shared" si="33"/>
        <v>3</v>
      </c>
      <c r="AX29" s="624"/>
      <c r="AZ29" s="529" t="e">
        <f t="shared" si="35"/>
        <v>#N/A</v>
      </c>
      <c r="BA29" s="624"/>
    </row>
    <row r="30" spans="2:53">
      <c r="B30" s="622"/>
      <c r="C30" s="477">
        <v>4</v>
      </c>
      <c r="D30" s="456" t="s">
        <v>639</v>
      </c>
      <c r="E30" s="521">
        <v>6</v>
      </c>
      <c r="F30" s="521">
        <v>1500</v>
      </c>
      <c r="G30" s="521">
        <v>250</v>
      </c>
      <c r="H30" s="667"/>
      <c r="I30" s="516">
        <f t="shared" si="18"/>
        <v>6</v>
      </c>
      <c r="J30" s="516">
        <f t="shared" si="19"/>
        <v>1557.4028828314551</v>
      </c>
      <c r="K30" s="200">
        <f t="shared" si="20"/>
        <v>259.56714713857582</v>
      </c>
      <c r="L30" s="596"/>
      <c r="M30" s="479">
        <f>RANK(K30, K$27:$K$41)</f>
        <v>2</v>
      </c>
      <c r="N30" s="614"/>
      <c r="O30" s="614"/>
      <c r="P30" s="529">
        <v>6</v>
      </c>
      <c r="Q30" s="533">
        <v>1606.1538461538471</v>
      </c>
      <c r="R30" s="533">
        <v>267.69230769230785</v>
      </c>
      <c r="S30" s="529">
        <f t="shared" si="21"/>
        <v>2</v>
      </c>
      <c r="T30" s="624"/>
      <c r="U30" s="529">
        <v>6</v>
      </c>
      <c r="V30" s="533">
        <v>1517.1428571428582</v>
      </c>
      <c r="W30" s="533">
        <v>252.85714285714303</v>
      </c>
      <c r="X30" s="529">
        <f t="shared" si="23"/>
        <v>2</v>
      </c>
      <c r="Y30" s="624"/>
      <c r="Z30" s="529">
        <v>6</v>
      </c>
      <c r="AA30" s="533">
        <v>1594.2857142857154</v>
      </c>
      <c r="AB30" s="533">
        <v>265.71428571428589</v>
      </c>
      <c r="AC30" s="529">
        <f t="shared" si="25"/>
        <v>2</v>
      </c>
      <c r="AD30" s="624"/>
      <c r="AE30" s="529">
        <v>6</v>
      </c>
      <c r="AF30" s="533">
        <v>1510.0000000000005</v>
      </c>
      <c r="AG30" s="533">
        <v>251.66666666666674</v>
      </c>
      <c r="AH30" s="529">
        <f t="shared" si="27"/>
        <v>2</v>
      </c>
      <c r="AI30" s="624"/>
      <c r="AJ30" s="529">
        <v>6</v>
      </c>
      <c r="AK30" s="533">
        <v>1494.5454545454545</v>
      </c>
      <c r="AL30" s="533">
        <v>249.09090909090909</v>
      </c>
      <c r="AM30" s="529">
        <f t="shared" si="29"/>
        <v>2</v>
      </c>
      <c r="AN30" s="624"/>
      <c r="AO30" s="529">
        <v>6</v>
      </c>
      <c r="AP30" s="533">
        <v>1592.0000000000016</v>
      </c>
      <c r="AQ30" s="533">
        <v>265.3333333333336</v>
      </c>
      <c r="AR30" s="529">
        <f t="shared" si="31"/>
        <v>2</v>
      </c>
      <c r="AS30" s="624"/>
      <c r="AT30" s="529">
        <v>6</v>
      </c>
      <c r="AU30" s="533">
        <v>1587.6923076923088</v>
      </c>
      <c r="AV30" s="533">
        <v>264.61538461538481</v>
      </c>
      <c r="AW30" s="529">
        <f t="shared" si="33"/>
        <v>2</v>
      </c>
      <c r="AX30" s="624"/>
      <c r="AZ30" s="529" t="e">
        <f t="shared" si="35"/>
        <v>#N/A</v>
      </c>
      <c r="BA30" s="624"/>
    </row>
    <row r="31" spans="2:53">
      <c r="B31" s="622"/>
      <c r="C31" s="477">
        <v>5</v>
      </c>
      <c r="D31" s="456" t="s">
        <v>580</v>
      </c>
      <c r="E31" s="521">
        <v>5</v>
      </c>
      <c r="F31" s="521">
        <v>1500</v>
      </c>
      <c r="G31" s="521">
        <v>300</v>
      </c>
      <c r="H31" s="667"/>
      <c r="I31" s="516">
        <f t="shared" si="18"/>
        <v>5</v>
      </c>
      <c r="J31" s="516">
        <f t="shared" si="19"/>
        <v>1523.535936113575</v>
      </c>
      <c r="K31" s="200">
        <f t="shared" si="20"/>
        <v>304.70718722271505</v>
      </c>
      <c r="L31" s="596"/>
      <c r="M31" s="479">
        <f>RANK(K31, K$27:$K$41)</f>
        <v>1</v>
      </c>
      <c r="N31" s="614"/>
      <c r="O31" s="614"/>
      <c r="P31" s="529">
        <v>5</v>
      </c>
      <c r="Q31" s="533">
        <v>1539.9999999999977</v>
      </c>
      <c r="R31" s="533">
        <v>307.99999999999955</v>
      </c>
      <c r="S31" s="529">
        <f t="shared" si="21"/>
        <v>1</v>
      </c>
      <c r="T31" s="624"/>
      <c r="U31" s="529">
        <v>5</v>
      </c>
      <c r="V31" s="533">
        <v>1505.0000000000005</v>
      </c>
      <c r="W31" s="533">
        <v>301.00000000000011</v>
      </c>
      <c r="X31" s="529">
        <f t="shared" si="23"/>
        <v>1</v>
      </c>
      <c r="Y31" s="624"/>
      <c r="Z31" s="529">
        <v>5</v>
      </c>
      <c r="AA31" s="533">
        <v>1562.608695652174</v>
      </c>
      <c r="AB31" s="533">
        <v>312.52173913043481</v>
      </c>
      <c r="AC31" s="529">
        <f t="shared" si="25"/>
        <v>1</v>
      </c>
      <c r="AD31" s="624"/>
      <c r="AE31" s="529">
        <v>5</v>
      </c>
      <c r="AF31" s="533">
        <v>1517.1428571428567</v>
      </c>
      <c r="AG31" s="533">
        <v>303.42857142857133</v>
      </c>
      <c r="AH31" s="529">
        <f t="shared" si="27"/>
        <v>1</v>
      </c>
      <c r="AI31" s="624"/>
      <c r="AJ31" s="529">
        <v>5</v>
      </c>
      <c r="AK31" s="533">
        <v>1460.9999999999964</v>
      </c>
      <c r="AL31" s="533">
        <v>292.19999999999925</v>
      </c>
      <c r="AM31" s="529">
        <f t="shared" si="29"/>
        <v>1</v>
      </c>
      <c r="AN31" s="624"/>
      <c r="AO31" s="529">
        <v>5</v>
      </c>
      <c r="AP31" s="533">
        <v>1524.0000000000005</v>
      </c>
      <c r="AQ31" s="533">
        <v>304.80000000000007</v>
      </c>
      <c r="AR31" s="529">
        <f t="shared" si="31"/>
        <v>1</v>
      </c>
      <c r="AS31" s="624"/>
      <c r="AT31" s="529">
        <v>5</v>
      </c>
      <c r="AU31" s="533">
        <v>1555.0000000000005</v>
      </c>
      <c r="AV31" s="533">
        <v>311.00000000000011</v>
      </c>
      <c r="AW31" s="529">
        <f t="shared" si="33"/>
        <v>1</v>
      </c>
      <c r="AX31" s="624"/>
      <c r="AZ31" s="529" t="e">
        <f t="shared" si="35"/>
        <v>#N/A</v>
      </c>
      <c r="BA31" s="624"/>
    </row>
    <row r="32" spans="2:53">
      <c r="B32" s="622"/>
      <c r="C32" s="477">
        <v>6</v>
      </c>
      <c r="D32" s="456" t="s">
        <v>784</v>
      </c>
      <c r="E32" s="521">
        <v>15</v>
      </c>
      <c r="F32" s="521">
        <v>1200</v>
      </c>
      <c r="G32" s="521">
        <v>80</v>
      </c>
      <c r="H32" s="667"/>
      <c r="I32" s="516">
        <f t="shared" si="18"/>
        <v>13</v>
      </c>
      <c r="J32" s="516">
        <f t="shared" si="19"/>
        <v>1104.1000000000008</v>
      </c>
      <c r="K32" s="200">
        <f t="shared" si="20"/>
        <v>84.9307692307693</v>
      </c>
      <c r="L32" s="596"/>
      <c r="M32" s="479">
        <f>RANK(K32, K$27:$K$41)</f>
        <v>7</v>
      </c>
      <c r="N32" s="614"/>
      <c r="O32" s="614"/>
      <c r="P32" s="529">
        <v>13</v>
      </c>
      <c r="Q32" s="533">
        <v>1195.2000000000041</v>
      </c>
      <c r="R32" s="533">
        <v>91.938461538461851</v>
      </c>
      <c r="S32" s="529">
        <f t="shared" si="21"/>
        <v>7</v>
      </c>
      <c r="T32" s="624"/>
      <c r="U32" s="529">
        <v>13</v>
      </c>
      <c r="V32" s="533">
        <v>1502.9999999999993</v>
      </c>
      <c r="W32" s="533">
        <v>115.61538461538456</v>
      </c>
      <c r="X32" s="529">
        <f t="shared" si="23"/>
        <v>6</v>
      </c>
      <c r="Y32" s="624"/>
      <c r="Z32" s="529">
        <v>13</v>
      </c>
      <c r="AA32" s="533">
        <v>1152.0000000000005</v>
      </c>
      <c r="AB32" s="533">
        <v>88.615384615384656</v>
      </c>
      <c r="AC32" s="529">
        <f t="shared" si="25"/>
        <v>7</v>
      </c>
      <c r="AD32" s="624"/>
      <c r="AE32" s="529">
        <v>13</v>
      </c>
      <c r="AF32" s="533">
        <v>271.49999999999989</v>
      </c>
      <c r="AG32" s="533">
        <v>20.884615384615376</v>
      </c>
      <c r="AH32" s="529">
        <f t="shared" si="27"/>
        <v>7</v>
      </c>
      <c r="AI32" s="624"/>
      <c r="AJ32" s="529">
        <v>13</v>
      </c>
      <c r="AK32" s="533">
        <v>1203.999999999998</v>
      </c>
      <c r="AL32" s="533">
        <v>92.615384615384457</v>
      </c>
      <c r="AM32" s="529">
        <f t="shared" si="29"/>
        <v>6</v>
      </c>
      <c r="AN32" s="624"/>
      <c r="AO32" s="529">
        <v>13</v>
      </c>
      <c r="AP32" s="533">
        <v>1269.0000000000045</v>
      </c>
      <c r="AQ32" s="533">
        <v>97.615384615384968</v>
      </c>
      <c r="AR32" s="529">
        <f t="shared" si="31"/>
        <v>6</v>
      </c>
      <c r="AS32" s="624"/>
      <c r="AT32" s="529">
        <v>13</v>
      </c>
      <c r="AU32" s="533">
        <v>1133.9999999999998</v>
      </c>
      <c r="AV32" s="533">
        <v>87.230769230769212</v>
      </c>
      <c r="AW32" s="529">
        <f t="shared" si="33"/>
        <v>7</v>
      </c>
      <c r="AX32" s="624"/>
      <c r="AZ32" s="529" t="e">
        <f t="shared" si="35"/>
        <v>#N/A</v>
      </c>
      <c r="BA32" s="624"/>
    </row>
    <row r="33" spans="2:53">
      <c r="B33" s="622"/>
      <c r="C33" s="477">
        <v>7</v>
      </c>
      <c r="D33" s="456" t="s">
        <v>803</v>
      </c>
      <c r="E33" s="521">
        <v>15</v>
      </c>
      <c r="F33" s="521">
        <v>1200</v>
      </c>
      <c r="G33" s="521">
        <v>80</v>
      </c>
      <c r="H33" s="667"/>
      <c r="I33" s="516">
        <f t="shared" si="18"/>
        <v>13</v>
      </c>
      <c r="J33" s="516">
        <f t="shared" si="19"/>
        <v>1191.136734693878</v>
      </c>
      <c r="K33" s="200">
        <f t="shared" si="20"/>
        <v>91.625902668759849</v>
      </c>
      <c r="L33" s="596"/>
      <c r="M33" s="479">
        <f>RANK(K33, K$27:$K$41)</f>
        <v>6</v>
      </c>
      <c r="N33" s="614"/>
      <c r="O33" s="614"/>
      <c r="P33" s="529">
        <v>13</v>
      </c>
      <c r="Q33" s="533">
        <v>1243.2000000000025</v>
      </c>
      <c r="R33" s="533">
        <v>95.630769230769431</v>
      </c>
      <c r="S33" s="529">
        <f t="shared" si="21"/>
        <v>6</v>
      </c>
      <c r="T33" s="624"/>
      <c r="U33" s="529">
        <v>13</v>
      </c>
      <c r="V33" s="533">
        <v>1195.2000000000025</v>
      </c>
      <c r="W33" s="533">
        <v>91.938461538461738</v>
      </c>
      <c r="X33" s="529">
        <f t="shared" si="23"/>
        <v>7</v>
      </c>
      <c r="Y33" s="624"/>
      <c r="Z33" s="529">
        <v>13</v>
      </c>
      <c r="AA33" s="533">
        <v>1177.2000000000003</v>
      </c>
      <c r="AB33" s="533">
        <v>90.55384615384618</v>
      </c>
      <c r="AC33" s="529">
        <f t="shared" si="25"/>
        <v>6</v>
      </c>
      <c r="AD33" s="624"/>
      <c r="AE33" s="529">
        <v>13</v>
      </c>
      <c r="AF33" s="533">
        <v>1184.999999999997</v>
      </c>
      <c r="AG33" s="533">
        <v>91.153846153845933</v>
      </c>
      <c r="AH33" s="529">
        <f t="shared" si="27"/>
        <v>6</v>
      </c>
      <c r="AI33" s="624"/>
      <c r="AJ33" s="529">
        <v>13</v>
      </c>
      <c r="AK33" s="533">
        <v>1158.8571428571443</v>
      </c>
      <c r="AL33" s="533">
        <v>89.142857142857252</v>
      </c>
      <c r="AM33" s="529">
        <f t="shared" si="29"/>
        <v>7</v>
      </c>
      <c r="AN33" s="624"/>
      <c r="AO33" s="529">
        <v>13</v>
      </c>
      <c r="AP33" s="533">
        <v>1227.9999999999977</v>
      </c>
      <c r="AQ33" s="533">
        <v>94.461538461538282</v>
      </c>
      <c r="AR33" s="529">
        <f t="shared" si="31"/>
        <v>7</v>
      </c>
      <c r="AS33" s="624"/>
      <c r="AT33" s="529">
        <v>13</v>
      </c>
      <c r="AU33" s="533">
        <v>1150.5000000000018</v>
      </c>
      <c r="AV33" s="533">
        <v>88.500000000000142</v>
      </c>
      <c r="AW33" s="529">
        <f t="shared" si="33"/>
        <v>6</v>
      </c>
      <c r="AX33" s="624"/>
      <c r="AZ33" s="529" t="e">
        <f t="shared" si="35"/>
        <v>#N/A</v>
      </c>
      <c r="BA33" s="624"/>
    </row>
    <row r="34" spans="2:53">
      <c r="B34" s="622"/>
      <c r="C34" s="477">
        <v>8</v>
      </c>
      <c r="D34" s="343"/>
      <c r="E34" s="521"/>
      <c r="F34" s="521"/>
      <c r="G34" s="521"/>
      <c r="H34" s="667"/>
      <c r="I34" s="516" t="str">
        <f t="shared" si="18"/>
        <v>-</v>
      </c>
      <c r="J34" s="516" t="str">
        <f t="shared" si="19"/>
        <v>-</v>
      </c>
      <c r="K34" s="200" t="str">
        <f t="shared" si="20"/>
        <v>-</v>
      </c>
      <c r="L34" s="596"/>
      <c r="M34" s="479" t="e">
        <f>RANK(K34, K$27:$K$41)</f>
        <v>#VALUE!</v>
      </c>
      <c r="N34" s="614"/>
      <c r="O34" s="614"/>
      <c r="P34" s="529" t="s">
        <v>839</v>
      </c>
      <c r="Q34" s="533" t="s">
        <v>839</v>
      </c>
      <c r="R34" s="533" t="s">
        <v>839</v>
      </c>
      <c r="S34" s="529" t="e">
        <f t="shared" si="21"/>
        <v>#VALUE!</v>
      </c>
      <c r="T34" s="624"/>
      <c r="U34" s="529" t="s">
        <v>839</v>
      </c>
      <c r="V34" s="533" t="s">
        <v>839</v>
      </c>
      <c r="W34" s="533" t="s">
        <v>839</v>
      </c>
      <c r="X34" s="529" t="e">
        <f t="shared" si="23"/>
        <v>#VALUE!</v>
      </c>
      <c r="Y34" s="624"/>
      <c r="Z34" s="529" t="s">
        <v>839</v>
      </c>
      <c r="AA34" s="533" t="s">
        <v>839</v>
      </c>
      <c r="AB34" s="533" t="s">
        <v>839</v>
      </c>
      <c r="AC34" s="529" t="e">
        <f t="shared" si="25"/>
        <v>#VALUE!</v>
      </c>
      <c r="AD34" s="624"/>
      <c r="AE34" s="529" t="s">
        <v>839</v>
      </c>
      <c r="AF34" s="533" t="s">
        <v>839</v>
      </c>
      <c r="AG34" s="533" t="s">
        <v>839</v>
      </c>
      <c r="AH34" s="529" t="e">
        <f t="shared" si="27"/>
        <v>#VALUE!</v>
      </c>
      <c r="AI34" s="624"/>
      <c r="AJ34" s="529" t="s">
        <v>839</v>
      </c>
      <c r="AK34" s="533" t="s">
        <v>839</v>
      </c>
      <c r="AL34" s="533" t="s">
        <v>839</v>
      </c>
      <c r="AM34" s="529" t="e">
        <f t="shared" si="29"/>
        <v>#VALUE!</v>
      </c>
      <c r="AN34" s="624"/>
      <c r="AO34" s="529" t="s">
        <v>839</v>
      </c>
      <c r="AP34" s="533" t="s">
        <v>839</v>
      </c>
      <c r="AQ34" s="533" t="s">
        <v>839</v>
      </c>
      <c r="AR34" s="529" t="e">
        <f t="shared" si="31"/>
        <v>#VALUE!</v>
      </c>
      <c r="AS34" s="624"/>
      <c r="AT34" s="529" t="s">
        <v>839</v>
      </c>
      <c r="AU34" s="533" t="s">
        <v>839</v>
      </c>
      <c r="AV34" s="533" t="s">
        <v>839</v>
      </c>
      <c r="AW34" s="529" t="e">
        <f t="shared" si="33"/>
        <v>#VALUE!</v>
      </c>
      <c r="AX34" s="624"/>
      <c r="AZ34" s="529" t="e">
        <f t="shared" si="35"/>
        <v>#N/A</v>
      </c>
      <c r="BA34" s="624"/>
    </row>
    <row r="35" spans="2:53">
      <c r="B35" s="622"/>
      <c r="C35" s="477">
        <v>9</v>
      </c>
      <c r="D35" s="456"/>
      <c r="E35" s="521"/>
      <c r="F35" s="521"/>
      <c r="G35" s="521"/>
      <c r="H35" s="667"/>
      <c r="I35" s="516" t="str">
        <f t="shared" si="18"/>
        <v>-</v>
      </c>
      <c r="J35" s="516" t="str">
        <f t="shared" si="19"/>
        <v>-</v>
      </c>
      <c r="K35" s="200" t="str">
        <f t="shared" si="20"/>
        <v>-</v>
      </c>
      <c r="L35" s="596"/>
      <c r="M35" s="479" t="e">
        <f>RANK(K35, K$27:$K$41)</f>
        <v>#VALUE!</v>
      </c>
      <c r="N35" s="614"/>
      <c r="O35" s="614"/>
      <c r="P35" s="529" t="s">
        <v>839</v>
      </c>
      <c r="Q35" s="533" t="s">
        <v>839</v>
      </c>
      <c r="R35" s="533" t="s">
        <v>839</v>
      </c>
      <c r="S35" s="529" t="e">
        <f t="shared" si="21"/>
        <v>#VALUE!</v>
      </c>
      <c r="T35" s="624"/>
      <c r="U35" s="529" t="s">
        <v>839</v>
      </c>
      <c r="V35" s="533" t="s">
        <v>839</v>
      </c>
      <c r="W35" s="533" t="s">
        <v>839</v>
      </c>
      <c r="X35" s="529" t="e">
        <f t="shared" si="23"/>
        <v>#VALUE!</v>
      </c>
      <c r="Y35" s="624"/>
      <c r="Z35" s="529" t="s">
        <v>839</v>
      </c>
      <c r="AA35" s="533" t="s">
        <v>839</v>
      </c>
      <c r="AB35" s="533" t="s">
        <v>839</v>
      </c>
      <c r="AC35" s="529" t="e">
        <f t="shared" si="25"/>
        <v>#VALUE!</v>
      </c>
      <c r="AD35" s="624"/>
      <c r="AE35" s="529" t="s">
        <v>839</v>
      </c>
      <c r="AF35" s="533" t="s">
        <v>839</v>
      </c>
      <c r="AG35" s="533" t="s">
        <v>839</v>
      </c>
      <c r="AH35" s="529" t="e">
        <f t="shared" si="27"/>
        <v>#VALUE!</v>
      </c>
      <c r="AI35" s="624"/>
      <c r="AJ35" s="529" t="s">
        <v>839</v>
      </c>
      <c r="AK35" s="533" t="s">
        <v>839</v>
      </c>
      <c r="AL35" s="533" t="s">
        <v>839</v>
      </c>
      <c r="AM35" s="529" t="e">
        <f t="shared" si="29"/>
        <v>#VALUE!</v>
      </c>
      <c r="AN35" s="624"/>
      <c r="AO35" s="529" t="s">
        <v>839</v>
      </c>
      <c r="AP35" s="533" t="s">
        <v>839</v>
      </c>
      <c r="AQ35" s="533" t="s">
        <v>839</v>
      </c>
      <c r="AR35" s="529" t="e">
        <f t="shared" si="31"/>
        <v>#VALUE!</v>
      </c>
      <c r="AS35" s="624"/>
      <c r="AT35" s="529" t="s">
        <v>839</v>
      </c>
      <c r="AU35" s="533" t="s">
        <v>839</v>
      </c>
      <c r="AV35" s="533" t="s">
        <v>839</v>
      </c>
      <c r="AW35" s="529" t="e">
        <f t="shared" si="33"/>
        <v>#VALUE!</v>
      </c>
      <c r="AX35" s="624"/>
      <c r="AZ35" s="529" t="e">
        <f t="shared" si="35"/>
        <v>#N/A</v>
      </c>
      <c r="BA35" s="624"/>
    </row>
    <row r="36" spans="2:53">
      <c r="B36" s="622"/>
      <c r="C36" s="477">
        <v>10</v>
      </c>
      <c r="D36" s="456"/>
      <c r="E36" s="521"/>
      <c r="F36" s="521"/>
      <c r="G36" s="521"/>
      <c r="H36" s="667"/>
      <c r="I36" s="516" t="str">
        <f t="shared" si="18"/>
        <v>-</v>
      </c>
      <c r="J36" s="516" t="str">
        <f t="shared" si="19"/>
        <v>-</v>
      </c>
      <c r="K36" s="200" t="str">
        <f t="shared" si="20"/>
        <v>-</v>
      </c>
      <c r="L36" s="596"/>
      <c r="M36" s="479" t="e">
        <f>RANK(K36, K$27:$K$41)</f>
        <v>#VALUE!</v>
      </c>
      <c r="N36" s="614"/>
      <c r="O36" s="614"/>
      <c r="P36" s="529" t="s">
        <v>839</v>
      </c>
      <c r="Q36" s="533" t="s">
        <v>839</v>
      </c>
      <c r="R36" s="533" t="s">
        <v>839</v>
      </c>
      <c r="S36" s="529" t="e">
        <f t="shared" si="21"/>
        <v>#VALUE!</v>
      </c>
      <c r="T36" s="624"/>
      <c r="U36" s="529" t="s">
        <v>839</v>
      </c>
      <c r="V36" s="533" t="s">
        <v>839</v>
      </c>
      <c r="W36" s="533" t="s">
        <v>839</v>
      </c>
      <c r="X36" s="529" t="e">
        <f t="shared" si="23"/>
        <v>#VALUE!</v>
      </c>
      <c r="Y36" s="624"/>
      <c r="Z36" s="529" t="s">
        <v>839</v>
      </c>
      <c r="AA36" s="533" t="s">
        <v>839</v>
      </c>
      <c r="AB36" s="533" t="s">
        <v>839</v>
      </c>
      <c r="AC36" s="529" t="e">
        <f t="shared" si="25"/>
        <v>#VALUE!</v>
      </c>
      <c r="AD36" s="624"/>
      <c r="AE36" s="529" t="s">
        <v>839</v>
      </c>
      <c r="AF36" s="533" t="s">
        <v>839</v>
      </c>
      <c r="AG36" s="533" t="s">
        <v>839</v>
      </c>
      <c r="AH36" s="529" t="e">
        <f t="shared" si="27"/>
        <v>#VALUE!</v>
      </c>
      <c r="AI36" s="624"/>
      <c r="AJ36" s="529" t="s">
        <v>839</v>
      </c>
      <c r="AK36" s="533" t="s">
        <v>839</v>
      </c>
      <c r="AL36" s="533" t="s">
        <v>839</v>
      </c>
      <c r="AM36" s="529" t="e">
        <f t="shared" si="29"/>
        <v>#VALUE!</v>
      </c>
      <c r="AN36" s="624"/>
      <c r="AO36" s="529" t="s">
        <v>839</v>
      </c>
      <c r="AP36" s="533" t="s">
        <v>839</v>
      </c>
      <c r="AQ36" s="533" t="s">
        <v>839</v>
      </c>
      <c r="AR36" s="529" t="e">
        <f t="shared" si="31"/>
        <v>#VALUE!</v>
      </c>
      <c r="AS36" s="624"/>
      <c r="AT36" s="529" t="s">
        <v>839</v>
      </c>
      <c r="AU36" s="533" t="s">
        <v>839</v>
      </c>
      <c r="AV36" s="533" t="s">
        <v>839</v>
      </c>
      <c r="AW36" s="529" t="e">
        <f t="shared" si="33"/>
        <v>#VALUE!</v>
      </c>
      <c r="AX36" s="624"/>
      <c r="AZ36" s="529" t="e">
        <f t="shared" si="35"/>
        <v>#N/A</v>
      </c>
      <c r="BA36" s="624"/>
    </row>
    <row r="37" spans="2:53">
      <c r="B37" s="622"/>
      <c r="C37" s="477">
        <v>11</v>
      </c>
      <c r="D37" s="456"/>
      <c r="E37" s="521"/>
      <c r="F37" s="521"/>
      <c r="G37" s="521"/>
      <c r="H37" s="667"/>
      <c r="I37" s="516" t="str">
        <f t="shared" si="18"/>
        <v>-</v>
      </c>
      <c r="J37" s="516" t="str">
        <f t="shared" si="19"/>
        <v>-</v>
      </c>
      <c r="K37" s="200" t="str">
        <f t="shared" si="20"/>
        <v>-</v>
      </c>
      <c r="L37" s="596"/>
      <c r="M37" s="479" t="e">
        <f>RANK(K37, K$27:$K$41)</f>
        <v>#VALUE!</v>
      </c>
      <c r="N37" s="614"/>
      <c r="O37" s="614"/>
      <c r="P37" s="529" t="s">
        <v>839</v>
      </c>
      <c r="Q37" s="533" t="s">
        <v>839</v>
      </c>
      <c r="R37" s="533" t="s">
        <v>839</v>
      </c>
      <c r="S37" s="529" t="e">
        <f t="shared" si="21"/>
        <v>#VALUE!</v>
      </c>
      <c r="T37" s="624"/>
      <c r="U37" s="529" t="s">
        <v>839</v>
      </c>
      <c r="V37" s="533" t="s">
        <v>839</v>
      </c>
      <c r="W37" s="533" t="s">
        <v>839</v>
      </c>
      <c r="X37" s="529" t="e">
        <f t="shared" si="23"/>
        <v>#VALUE!</v>
      </c>
      <c r="Y37" s="624"/>
      <c r="Z37" s="529" t="s">
        <v>839</v>
      </c>
      <c r="AA37" s="533" t="s">
        <v>839</v>
      </c>
      <c r="AB37" s="533" t="s">
        <v>839</v>
      </c>
      <c r="AC37" s="529" t="e">
        <f t="shared" si="25"/>
        <v>#VALUE!</v>
      </c>
      <c r="AD37" s="624"/>
      <c r="AE37" s="529" t="s">
        <v>839</v>
      </c>
      <c r="AF37" s="533" t="s">
        <v>839</v>
      </c>
      <c r="AG37" s="533" t="s">
        <v>839</v>
      </c>
      <c r="AH37" s="529" t="e">
        <f t="shared" si="27"/>
        <v>#VALUE!</v>
      </c>
      <c r="AI37" s="624"/>
      <c r="AJ37" s="529" t="s">
        <v>839</v>
      </c>
      <c r="AK37" s="533" t="s">
        <v>839</v>
      </c>
      <c r="AL37" s="533" t="s">
        <v>839</v>
      </c>
      <c r="AM37" s="529" t="e">
        <f t="shared" si="29"/>
        <v>#VALUE!</v>
      </c>
      <c r="AN37" s="624"/>
      <c r="AO37" s="529" t="s">
        <v>839</v>
      </c>
      <c r="AP37" s="533" t="s">
        <v>839</v>
      </c>
      <c r="AQ37" s="533" t="s">
        <v>839</v>
      </c>
      <c r="AR37" s="529" t="e">
        <f t="shared" si="31"/>
        <v>#VALUE!</v>
      </c>
      <c r="AS37" s="624"/>
      <c r="AT37" s="529" t="s">
        <v>839</v>
      </c>
      <c r="AU37" s="533" t="s">
        <v>839</v>
      </c>
      <c r="AV37" s="533" t="s">
        <v>839</v>
      </c>
      <c r="AW37" s="529" t="e">
        <f t="shared" si="33"/>
        <v>#VALUE!</v>
      </c>
      <c r="AX37" s="624"/>
      <c r="AZ37" s="529" t="e">
        <f t="shared" si="35"/>
        <v>#N/A</v>
      </c>
      <c r="BA37" s="624"/>
    </row>
    <row r="38" spans="2:53">
      <c r="B38" s="622"/>
      <c r="C38" s="477">
        <v>12</v>
      </c>
      <c r="D38" s="456"/>
      <c r="E38" s="521"/>
      <c r="F38" s="521"/>
      <c r="G38" s="521"/>
      <c r="H38" s="667"/>
      <c r="I38" s="516" t="str">
        <f t="shared" si="18"/>
        <v>-</v>
      </c>
      <c r="J38" s="516" t="str">
        <f t="shared" si="19"/>
        <v>-</v>
      </c>
      <c r="K38" s="200" t="str">
        <f t="shared" si="20"/>
        <v>-</v>
      </c>
      <c r="L38" s="596"/>
      <c r="M38" s="479" t="e">
        <f>RANK(K38, K$27:$K$41)</f>
        <v>#VALUE!</v>
      </c>
      <c r="N38" s="614"/>
      <c r="O38" s="614"/>
      <c r="P38" s="529" t="s">
        <v>839</v>
      </c>
      <c r="Q38" s="533" t="s">
        <v>839</v>
      </c>
      <c r="R38" s="533" t="s">
        <v>839</v>
      </c>
      <c r="S38" s="529" t="e">
        <f t="shared" si="21"/>
        <v>#VALUE!</v>
      </c>
      <c r="T38" s="624"/>
      <c r="U38" s="529" t="s">
        <v>839</v>
      </c>
      <c r="V38" s="533" t="s">
        <v>839</v>
      </c>
      <c r="W38" s="533" t="s">
        <v>839</v>
      </c>
      <c r="X38" s="529" t="e">
        <f t="shared" si="23"/>
        <v>#VALUE!</v>
      </c>
      <c r="Y38" s="624"/>
      <c r="Z38" s="529" t="s">
        <v>839</v>
      </c>
      <c r="AA38" s="533" t="s">
        <v>839</v>
      </c>
      <c r="AB38" s="533" t="s">
        <v>839</v>
      </c>
      <c r="AC38" s="529" t="e">
        <f t="shared" si="25"/>
        <v>#VALUE!</v>
      </c>
      <c r="AD38" s="624"/>
      <c r="AE38" s="529" t="s">
        <v>839</v>
      </c>
      <c r="AF38" s="533" t="s">
        <v>839</v>
      </c>
      <c r="AG38" s="533" t="s">
        <v>839</v>
      </c>
      <c r="AH38" s="529" t="e">
        <f t="shared" si="27"/>
        <v>#VALUE!</v>
      </c>
      <c r="AI38" s="624"/>
      <c r="AJ38" s="529" t="s">
        <v>839</v>
      </c>
      <c r="AK38" s="533" t="s">
        <v>839</v>
      </c>
      <c r="AL38" s="533" t="s">
        <v>839</v>
      </c>
      <c r="AM38" s="529" t="e">
        <f t="shared" si="29"/>
        <v>#VALUE!</v>
      </c>
      <c r="AN38" s="624"/>
      <c r="AO38" s="529" t="s">
        <v>839</v>
      </c>
      <c r="AP38" s="533" t="s">
        <v>839</v>
      </c>
      <c r="AQ38" s="533" t="s">
        <v>839</v>
      </c>
      <c r="AR38" s="529" t="e">
        <f t="shared" si="31"/>
        <v>#VALUE!</v>
      </c>
      <c r="AS38" s="624"/>
      <c r="AT38" s="529" t="s">
        <v>839</v>
      </c>
      <c r="AU38" s="533" t="s">
        <v>839</v>
      </c>
      <c r="AV38" s="533" t="s">
        <v>839</v>
      </c>
      <c r="AW38" s="529" t="e">
        <f t="shared" si="33"/>
        <v>#VALUE!</v>
      </c>
      <c r="AX38" s="624"/>
      <c r="AZ38" s="529" t="e">
        <f t="shared" si="35"/>
        <v>#N/A</v>
      </c>
      <c r="BA38" s="624"/>
    </row>
    <row r="39" spans="2:53">
      <c r="B39" s="622"/>
      <c r="C39" s="477">
        <v>13</v>
      </c>
      <c r="D39" s="456"/>
      <c r="E39" s="521"/>
      <c r="F39" s="521"/>
      <c r="G39" s="521"/>
      <c r="H39" s="667"/>
      <c r="I39" s="516" t="str">
        <f t="shared" si="18"/>
        <v>-</v>
      </c>
      <c r="J39" s="516" t="str">
        <f t="shared" si="19"/>
        <v>-</v>
      </c>
      <c r="K39" s="200" t="str">
        <f t="shared" si="20"/>
        <v>-</v>
      </c>
      <c r="L39" s="596"/>
      <c r="M39" s="479" t="e">
        <f>RANK(K39, K$27:$K$41)</f>
        <v>#VALUE!</v>
      </c>
      <c r="N39" s="614"/>
      <c r="O39" s="614"/>
      <c r="P39" s="529" t="s">
        <v>839</v>
      </c>
      <c r="Q39" s="533" t="s">
        <v>839</v>
      </c>
      <c r="R39" s="533" t="s">
        <v>839</v>
      </c>
      <c r="S39" s="529" t="e">
        <f t="shared" si="21"/>
        <v>#VALUE!</v>
      </c>
      <c r="T39" s="624"/>
      <c r="U39" s="529" t="s">
        <v>839</v>
      </c>
      <c r="V39" s="533" t="s">
        <v>839</v>
      </c>
      <c r="W39" s="533" t="s">
        <v>839</v>
      </c>
      <c r="X39" s="529" t="e">
        <f t="shared" si="23"/>
        <v>#VALUE!</v>
      </c>
      <c r="Y39" s="624"/>
      <c r="Z39" s="529" t="s">
        <v>839</v>
      </c>
      <c r="AA39" s="533" t="s">
        <v>839</v>
      </c>
      <c r="AB39" s="533" t="s">
        <v>839</v>
      </c>
      <c r="AC39" s="529" t="e">
        <f t="shared" si="25"/>
        <v>#VALUE!</v>
      </c>
      <c r="AD39" s="624"/>
      <c r="AE39" s="529" t="s">
        <v>839</v>
      </c>
      <c r="AF39" s="533" t="s">
        <v>839</v>
      </c>
      <c r="AG39" s="533" t="s">
        <v>839</v>
      </c>
      <c r="AH39" s="529" t="e">
        <f t="shared" si="27"/>
        <v>#VALUE!</v>
      </c>
      <c r="AI39" s="624"/>
      <c r="AJ39" s="529" t="s">
        <v>839</v>
      </c>
      <c r="AK39" s="533" t="s">
        <v>839</v>
      </c>
      <c r="AL39" s="533" t="s">
        <v>839</v>
      </c>
      <c r="AM39" s="529" t="e">
        <f t="shared" si="29"/>
        <v>#VALUE!</v>
      </c>
      <c r="AN39" s="624"/>
      <c r="AO39" s="529" t="s">
        <v>839</v>
      </c>
      <c r="AP39" s="533" t="s">
        <v>839</v>
      </c>
      <c r="AQ39" s="533" t="s">
        <v>839</v>
      </c>
      <c r="AR39" s="529" t="e">
        <f t="shared" si="31"/>
        <v>#VALUE!</v>
      </c>
      <c r="AS39" s="624"/>
      <c r="AT39" s="529" t="s">
        <v>839</v>
      </c>
      <c r="AU39" s="533" t="s">
        <v>839</v>
      </c>
      <c r="AV39" s="533" t="s">
        <v>839</v>
      </c>
      <c r="AW39" s="529" t="e">
        <f t="shared" si="33"/>
        <v>#VALUE!</v>
      </c>
      <c r="AX39" s="624"/>
      <c r="AZ39" s="529" t="e">
        <f t="shared" si="35"/>
        <v>#N/A</v>
      </c>
      <c r="BA39" s="624"/>
    </row>
    <row r="40" spans="2:53">
      <c r="B40" s="622"/>
      <c r="C40" s="477">
        <v>14</v>
      </c>
      <c r="D40" s="456"/>
      <c r="E40" s="521"/>
      <c r="F40" s="521"/>
      <c r="G40" s="521"/>
      <c r="H40" s="667"/>
      <c r="I40" s="516" t="str">
        <f t="shared" si="18"/>
        <v>-</v>
      </c>
      <c r="J40" s="516" t="str">
        <f t="shared" si="19"/>
        <v>-</v>
      </c>
      <c r="K40" s="200" t="str">
        <f t="shared" si="20"/>
        <v>-</v>
      </c>
      <c r="L40" s="596"/>
      <c r="M40" s="479" t="e">
        <f>RANK(K40, K$27:$K$41)</f>
        <v>#VALUE!</v>
      </c>
      <c r="N40" s="614"/>
      <c r="O40" s="614"/>
      <c r="P40" s="529" t="s">
        <v>839</v>
      </c>
      <c r="Q40" s="533" t="s">
        <v>839</v>
      </c>
      <c r="R40" s="533" t="s">
        <v>839</v>
      </c>
      <c r="S40" s="529" t="e">
        <f t="shared" si="21"/>
        <v>#VALUE!</v>
      </c>
      <c r="T40" s="624"/>
      <c r="U40" s="529" t="s">
        <v>839</v>
      </c>
      <c r="V40" s="533" t="s">
        <v>839</v>
      </c>
      <c r="W40" s="533" t="s">
        <v>839</v>
      </c>
      <c r="X40" s="529" t="e">
        <f t="shared" si="23"/>
        <v>#VALUE!</v>
      </c>
      <c r="Y40" s="624"/>
      <c r="Z40" s="529" t="s">
        <v>839</v>
      </c>
      <c r="AA40" s="533" t="s">
        <v>839</v>
      </c>
      <c r="AB40" s="533" t="s">
        <v>839</v>
      </c>
      <c r="AC40" s="529" t="e">
        <f t="shared" si="25"/>
        <v>#VALUE!</v>
      </c>
      <c r="AD40" s="624"/>
      <c r="AE40" s="529" t="s">
        <v>839</v>
      </c>
      <c r="AF40" s="533" t="s">
        <v>839</v>
      </c>
      <c r="AG40" s="533" t="s">
        <v>839</v>
      </c>
      <c r="AH40" s="529" t="e">
        <f t="shared" si="27"/>
        <v>#VALUE!</v>
      </c>
      <c r="AI40" s="624"/>
      <c r="AJ40" s="529" t="s">
        <v>839</v>
      </c>
      <c r="AK40" s="533" t="s">
        <v>839</v>
      </c>
      <c r="AL40" s="533" t="s">
        <v>839</v>
      </c>
      <c r="AM40" s="529" t="e">
        <f t="shared" si="29"/>
        <v>#VALUE!</v>
      </c>
      <c r="AN40" s="624"/>
      <c r="AO40" s="529" t="s">
        <v>839</v>
      </c>
      <c r="AP40" s="533" t="s">
        <v>839</v>
      </c>
      <c r="AQ40" s="533" t="s">
        <v>839</v>
      </c>
      <c r="AR40" s="529" t="e">
        <f t="shared" si="31"/>
        <v>#VALUE!</v>
      </c>
      <c r="AS40" s="624"/>
      <c r="AT40" s="529" t="s">
        <v>839</v>
      </c>
      <c r="AU40" s="533" t="s">
        <v>839</v>
      </c>
      <c r="AV40" s="533" t="s">
        <v>839</v>
      </c>
      <c r="AW40" s="529" t="e">
        <f t="shared" si="33"/>
        <v>#VALUE!</v>
      </c>
      <c r="AX40" s="624"/>
      <c r="AZ40" s="529" t="e">
        <f t="shared" si="35"/>
        <v>#N/A</v>
      </c>
      <c r="BA40" s="624"/>
    </row>
    <row r="41" spans="2:53">
      <c r="B41" s="622"/>
      <c r="C41" s="477">
        <v>15</v>
      </c>
      <c r="D41" s="456"/>
      <c r="E41" s="521"/>
      <c r="F41" s="521"/>
      <c r="G41" s="521"/>
      <c r="H41" s="668"/>
      <c r="I41" s="516" t="str">
        <f t="shared" si="18"/>
        <v>-</v>
      </c>
      <c r="J41" s="516" t="str">
        <f t="shared" si="19"/>
        <v>-</v>
      </c>
      <c r="K41" s="200" t="str">
        <f t="shared" si="20"/>
        <v>-</v>
      </c>
      <c r="L41" s="597"/>
      <c r="M41" s="478" t="e">
        <f>RANK(K41, K$27:$K$41)</f>
        <v>#VALUE!</v>
      </c>
      <c r="N41" s="614"/>
      <c r="O41" s="614"/>
      <c r="P41" s="529" t="s">
        <v>839</v>
      </c>
      <c r="Q41" s="533" t="s">
        <v>839</v>
      </c>
      <c r="R41" s="533" t="s">
        <v>839</v>
      </c>
      <c r="S41" s="529" t="e">
        <f t="shared" si="21"/>
        <v>#VALUE!</v>
      </c>
      <c r="T41" s="625"/>
      <c r="U41" s="529" t="s">
        <v>839</v>
      </c>
      <c r="V41" s="533" t="s">
        <v>839</v>
      </c>
      <c r="W41" s="533" t="s">
        <v>839</v>
      </c>
      <c r="X41" s="529" t="e">
        <f t="shared" si="23"/>
        <v>#VALUE!</v>
      </c>
      <c r="Y41" s="625"/>
      <c r="Z41" s="529" t="s">
        <v>839</v>
      </c>
      <c r="AA41" s="533" t="s">
        <v>839</v>
      </c>
      <c r="AB41" s="533" t="s">
        <v>839</v>
      </c>
      <c r="AC41" s="529" t="e">
        <f t="shared" si="25"/>
        <v>#VALUE!</v>
      </c>
      <c r="AD41" s="625"/>
      <c r="AE41" s="529" t="s">
        <v>839</v>
      </c>
      <c r="AF41" s="533" t="s">
        <v>839</v>
      </c>
      <c r="AG41" s="533" t="s">
        <v>839</v>
      </c>
      <c r="AH41" s="529" t="e">
        <f t="shared" si="27"/>
        <v>#VALUE!</v>
      </c>
      <c r="AI41" s="625"/>
      <c r="AJ41" s="529" t="s">
        <v>839</v>
      </c>
      <c r="AK41" s="533" t="s">
        <v>839</v>
      </c>
      <c r="AL41" s="533" t="s">
        <v>839</v>
      </c>
      <c r="AM41" s="529" t="e">
        <f t="shared" si="29"/>
        <v>#VALUE!</v>
      </c>
      <c r="AN41" s="625"/>
      <c r="AO41" s="529" t="s">
        <v>839</v>
      </c>
      <c r="AP41" s="533" t="s">
        <v>839</v>
      </c>
      <c r="AQ41" s="533" t="s">
        <v>839</v>
      </c>
      <c r="AR41" s="529" t="e">
        <f t="shared" si="31"/>
        <v>#VALUE!</v>
      </c>
      <c r="AS41" s="625"/>
      <c r="AT41" s="529" t="s">
        <v>839</v>
      </c>
      <c r="AU41" s="533" t="s">
        <v>839</v>
      </c>
      <c r="AV41" s="533" t="s">
        <v>839</v>
      </c>
      <c r="AW41" s="529" t="e">
        <f t="shared" si="33"/>
        <v>#VALUE!</v>
      </c>
      <c r="AX41" s="625"/>
      <c r="AZ41" s="529" t="e">
        <f t="shared" si="35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548</v>
      </c>
      <c r="C44" s="614" t="s">
        <v>549</v>
      </c>
      <c r="D44" s="614"/>
      <c r="E44" s="614" t="s">
        <v>550</v>
      </c>
      <c r="F44" s="614"/>
      <c r="G44" s="614"/>
      <c r="H44" s="630" t="s">
        <v>551</v>
      </c>
      <c r="I44" s="598" t="s">
        <v>552</v>
      </c>
      <c r="J44" s="598"/>
      <c r="K44" s="598"/>
      <c r="L44" s="599" t="s">
        <v>551</v>
      </c>
      <c r="M44" s="605" t="s">
        <v>553</v>
      </c>
      <c r="N44" s="614"/>
      <c r="O44" s="614" t="s">
        <v>554</v>
      </c>
      <c r="P44" s="611" t="s">
        <v>758</v>
      </c>
      <c r="Q44" s="612"/>
      <c r="R44" s="612"/>
      <c r="S44" s="613"/>
      <c r="T44" s="614" t="s">
        <v>759</v>
      </c>
      <c r="U44" s="611" t="s">
        <v>758</v>
      </c>
      <c r="V44" s="612"/>
      <c r="W44" s="612"/>
      <c r="X44" s="613"/>
      <c r="Y44" s="614" t="s">
        <v>759</v>
      </c>
      <c r="Z44" s="611" t="s">
        <v>758</v>
      </c>
      <c r="AA44" s="612"/>
      <c r="AB44" s="612"/>
      <c r="AC44" s="613"/>
      <c r="AD44" s="614" t="s">
        <v>759</v>
      </c>
      <c r="AE44" s="611" t="s">
        <v>758</v>
      </c>
      <c r="AF44" s="612"/>
      <c r="AG44" s="612"/>
      <c r="AH44" s="613"/>
      <c r="AI44" s="614" t="s">
        <v>759</v>
      </c>
      <c r="AJ44" s="611" t="s">
        <v>758</v>
      </c>
      <c r="AK44" s="612"/>
      <c r="AL44" s="612"/>
      <c r="AM44" s="613"/>
      <c r="AN44" s="614" t="s">
        <v>759</v>
      </c>
      <c r="AO44" s="611" t="s">
        <v>758</v>
      </c>
      <c r="AP44" s="612"/>
      <c r="AQ44" s="612"/>
      <c r="AR44" s="613"/>
      <c r="AS44" s="614" t="s">
        <v>759</v>
      </c>
      <c r="AT44" s="611" t="s">
        <v>758</v>
      </c>
      <c r="AU44" s="612"/>
      <c r="AV44" s="612"/>
      <c r="AW44" s="613"/>
      <c r="AX44" s="614" t="s">
        <v>759</v>
      </c>
      <c r="BA44" s="614" t="s">
        <v>395</v>
      </c>
    </row>
    <row r="45" spans="2:53">
      <c r="B45" s="614"/>
      <c r="C45" s="614"/>
      <c r="D45" s="614"/>
      <c r="E45" s="614" t="s">
        <v>555</v>
      </c>
      <c r="F45" s="614"/>
      <c r="G45" s="614"/>
      <c r="H45" s="631"/>
      <c r="I45" s="598" t="s">
        <v>555</v>
      </c>
      <c r="J45" s="598"/>
      <c r="K45" s="598"/>
      <c r="L45" s="600"/>
      <c r="M45" s="606"/>
      <c r="N45" s="614"/>
      <c r="O45" s="614"/>
      <c r="P45" s="611" t="s">
        <v>760</v>
      </c>
      <c r="Q45" s="612"/>
      <c r="R45" s="612"/>
      <c r="S45" s="613"/>
      <c r="T45" s="614"/>
      <c r="U45" s="611" t="s">
        <v>760</v>
      </c>
      <c r="V45" s="612"/>
      <c r="W45" s="612"/>
      <c r="X45" s="613"/>
      <c r="Y45" s="614"/>
      <c r="Z45" s="611" t="s">
        <v>760</v>
      </c>
      <c r="AA45" s="612"/>
      <c r="AB45" s="612"/>
      <c r="AC45" s="613"/>
      <c r="AD45" s="614"/>
      <c r="AE45" s="611" t="s">
        <v>760</v>
      </c>
      <c r="AF45" s="612"/>
      <c r="AG45" s="612"/>
      <c r="AH45" s="613"/>
      <c r="AI45" s="614"/>
      <c r="AJ45" s="611" t="s">
        <v>760</v>
      </c>
      <c r="AK45" s="612"/>
      <c r="AL45" s="612"/>
      <c r="AM45" s="613"/>
      <c r="AN45" s="614"/>
      <c r="AO45" s="611" t="s">
        <v>760</v>
      </c>
      <c r="AP45" s="612"/>
      <c r="AQ45" s="612"/>
      <c r="AR45" s="613"/>
      <c r="AS45" s="614"/>
      <c r="AT45" s="611" t="s">
        <v>760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28" t="s">
        <v>556</v>
      </c>
      <c r="F46" s="328" t="s">
        <v>557</v>
      </c>
      <c r="G46" s="328" t="s">
        <v>558</v>
      </c>
      <c r="H46" s="632"/>
      <c r="I46" s="329" t="s">
        <v>556</v>
      </c>
      <c r="J46" s="329" t="s">
        <v>557</v>
      </c>
      <c r="K46" s="329" t="s">
        <v>558</v>
      </c>
      <c r="L46" s="601"/>
      <c r="M46" s="607"/>
      <c r="N46" s="614"/>
      <c r="O46" s="614"/>
      <c r="P46" s="485" t="s">
        <v>761</v>
      </c>
      <c r="Q46" s="485" t="s">
        <v>762</v>
      </c>
      <c r="R46" s="485" t="s">
        <v>763</v>
      </c>
      <c r="S46" s="485" t="s">
        <v>764</v>
      </c>
      <c r="T46" s="614"/>
      <c r="U46" s="485" t="s">
        <v>761</v>
      </c>
      <c r="V46" s="485" t="s">
        <v>762</v>
      </c>
      <c r="W46" s="485" t="s">
        <v>763</v>
      </c>
      <c r="X46" s="485" t="s">
        <v>764</v>
      </c>
      <c r="Y46" s="614"/>
      <c r="Z46" s="485" t="s">
        <v>761</v>
      </c>
      <c r="AA46" s="485" t="s">
        <v>762</v>
      </c>
      <c r="AB46" s="485" t="s">
        <v>763</v>
      </c>
      <c r="AC46" s="485" t="s">
        <v>764</v>
      </c>
      <c r="AD46" s="614"/>
      <c r="AE46" s="485" t="s">
        <v>761</v>
      </c>
      <c r="AF46" s="485" t="s">
        <v>762</v>
      </c>
      <c r="AG46" s="485" t="s">
        <v>763</v>
      </c>
      <c r="AH46" s="485" t="s">
        <v>764</v>
      </c>
      <c r="AI46" s="614"/>
      <c r="AJ46" s="485" t="s">
        <v>761</v>
      </c>
      <c r="AK46" s="485" t="s">
        <v>762</v>
      </c>
      <c r="AL46" s="485" t="s">
        <v>763</v>
      </c>
      <c r="AM46" s="485" t="s">
        <v>764</v>
      </c>
      <c r="AN46" s="614"/>
      <c r="AO46" s="485" t="s">
        <v>761</v>
      </c>
      <c r="AP46" s="485" t="s">
        <v>762</v>
      </c>
      <c r="AQ46" s="485" t="s">
        <v>763</v>
      </c>
      <c r="AR46" s="485" t="s">
        <v>764</v>
      </c>
      <c r="AS46" s="614"/>
      <c r="AT46" s="485" t="s">
        <v>761</v>
      </c>
      <c r="AU46" s="485" t="s">
        <v>762</v>
      </c>
      <c r="AV46" s="485" t="s">
        <v>763</v>
      </c>
      <c r="AW46" s="485" t="s">
        <v>764</v>
      </c>
      <c r="AX46" s="614"/>
      <c r="AZ46" s="530" t="s">
        <v>396</v>
      </c>
      <c r="BA46" s="614"/>
    </row>
    <row r="47" spans="2:53">
      <c r="B47" s="662" t="s">
        <v>559</v>
      </c>
      <c r="C47" s="327">
        <v>1</v>
      </c>
      <c r="D47" s="456"/>
      <c r="E47" s="521"/>
      <c r="F47" s="521"/>
      <c r="G47" s="521"/>
      <c r="H47" s="663" t="e">
        <f>AVERAGE(G47:G61)</f>
        <v>#DIV/0!</v>
      </c>
      <c r="I47" s="516" t="str">
        <f t="shared" ref="I47:I61" si="37">IFERROR(AVERAGE(P47,U47,Z47,AE47,AJ47,AO47,AT47),"-")</f>
        <v>-</v>
      </c>
      <c r="J47" s="516" t="str">
        <f t="shared" ref="J47:J61" si="38">IFERROR(AVERAGE(Q47,V47,AA47,AF47,AK47,AP47,AU47),"-")</f>
        <v>-</v>
      </c>
      <c r="K47" s="200" t="str">
        <f t="shared" ref="K47:K61" si="39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520"/>
      <c r="Q47" s="521"/>
      <c r="R47" s="521"/>
      <c r="S47" s="520" t="e">
        <f>RANK(R47, R$47:R$61)</f>
        <v>#N/A</v>
      </c>
      <c r="T47" s="623" t="e">
        <f>AVERAGE(R47:R61)</f>
        <v>#DIV/0!</v>
      </c>
      <c r="U47" s="520"/>
      <c r="V47" s="521"/>
      <c r="W47" s="521"/>
      <c r="X47" s="520" t="e">
        <f t="shared" ref="X47:X53" si="40">RANK(W47, W$47:W$61)</f>
        <v>#N/A</v>
      </c>
      <c r="Y47" s="623" t="e">
        <f t="shared" ref="Y47" si="41">AVERAGE(W47:W61)</f>
        <v>#DIV/0!</v>
      </c>
      <c r="Z47" s="520"/>
      <c r="AA47" s="521"/>
      <c r="AB47" s="521"/>
      <c r="AC47" s="520" t="e">
        <f t="shared" ref="AC47:AC53" si="42">RANK(AB47, AB$47:AB$61)</f>
        <v>#N/A</v>
      </c>
      <c r="AD47" s="623" t="e">
        <f t="shared" ref="AD47" si="43">AVERAGE(AB47:AB61)</f>
        <v>#DIV/0!</v>
      </c>
      <c r="AE47" s="520"/>
      <c r="AF47" s="521"/>
      <c r="AG47" s="521"/>
      <c r="AH47" s="520" t="e">
        <f t="shared" ref="AH47:AH53" si="44">RANK(AG47, AG$47:AG$61)</f>
        <v>#N/A</v>
      </c>
      <c r="AI47" s="623" t="e">
        <f t="shared" ref="AI47" si="45">AVERAGE(AG47:AG61)</f>
        <v>#DIV/0!</v>
      </c>
      <c r="AJ47" s="520"/>
      <c r="AK47" s="521"/>
      <c r="AL47" s="521"/>
      <c r="AM47" s="520" t="e">
        <f t="shared" ref="AM47:AM53" si="46">RANK(AL47, AL$47:AL$61)</f>
        <v>#N/A</v>
      </c>
      <c r="AN47" s="623" t="e">
        <f t="shared" ref="AN47" si="47">AVERAGE(AL47:AL61)</f>
        <v>#DIV/0!</v>
      </c>
      <c r="AO47" s="520"/>
      <c r="AP47" s="521"/>
      <c r="AQ47" s="521"/>
      <c r="AR47" s="520" t="e">
        <f t="shared" ref="AR47:AR53" si="48">RANK(AQ47, AQ$47:AQ$61)</f>
        <v>#N/A</v>
      </c>
      <c r="AS47" s="623" t="e">
        <f t="shared" ref="AS47" si="49">AVERAGE(AQ47:AQ61)</f>
        <v>#DIV/0!</v>
      </c>
      <c r="AT47" s="520"/>
      <c r="AU47" s="521"/>
      <c r="AV47" s="521"/>
      <c r="AW47" s="520" t="e">
        <f t="shared" ref="AW47:AW53" si="50">RANK(AV47, AV$47:AV$61)</f>
        <v>#N/A</v>
      </c>
      <c r="AX47" s="623" t="e">
        <f t="shared" ref="AX47" si="51">AVERAGE(AV47:AV61)</f>
        <v>#DIV/0!</v>
      </c>
      <c r="AZ47" s="532" t="e">
        <f t="shared" ref="AZ47:AZ53" si="52">RANK(AY47, AY$47:AY$61)</f>
        <v>#N/A</v>
      </c>
      <c r="BA47" s="623" t="e">
        <f t="shared" ref="BA47" si="53">AVERAGE(AY47:AY61)</f>
        <v>#DIV/0!</v>
      </c>
    </row>
    <row r="48" spans="2:53">
      <c r="B48" s="622"/>
      <c r="C48" s="327">
        <v>2</v>
      </c>
      <c r="D48" s="456"/>
      <c r="E48" s="521"/>
      <c r="F48" s="521"/>
      <c r="G48" s="521"/>
      <c r="H48" s="664"/>
      <c r="I48" s="516" t="str">
        <f t="shared" si="37"/>
        <v>-</v>
      </c>
      <c r="J48" s="516" t="str">
        <f t="shared" si="38"/>
        <v>-</v>
      </c>
      <c r="K48" s="200" t="str">
        <f t="shared" si="39"/>
        <v>-</v>
      </c>
      <c r="L48" s="596"/>
      <c r="M48" s="201" t="e">
        <f>RANK(K48, K$47:$K$61)</f>
        <v>#VALUE!</v>
      </c>
      <c r="N48" s="614"/>
      <c r="O48" s="614"/>
      <c r="P48" s="520"/>
      <c r="Q48" s="521"/>
      <c r="R48" s="521"/>
      <c r="S48" s="520" t="e">
        <f t="shared" ref="S48:S53" si="54">RANK(R48, R$47:R$61)</f>
        <v>#N/A</v>
      </c>
      <c r="T48" s="624"/>
      <c r="U48" s="520"/>
      <c r="V48" s="521"/>
      <c r="W48" s="521"/>
      <c r="X48" s="520" t="e">
        <f t="shared" si="40"/>
        <v>#N/A</v>
      </c>
      <c r="Y48" s="624"/>
      <c r="Z48" s="520"/>
      <c r="AA48" s="521"/>
      <c r="AB48" s="521"/>
      <c r="AC48" s="520" t="e">
        <f t="shared" si="42"/>
        <v>#N/A</v>
      </c>
      <c r="AD48" s="624"/>
      <c r="AE48" s="520"/>
      <c r="AF48" s="521"/>
      <c r="AG48" s="521"/>
      <c r="AH48" s="520" t="e">
        <f t="shared" si="44"/>
        <v>#N/A</v>
      </c>
      <c r="AI48" s="624"/>
      <c r="AJ48" s="520"/>
      <c r="AK48" s="521"/>
      <c r="AL48" s="521"/>
      <c r="AM48" s="520" t="e">
        <f t="shared" si="46"/>
        <v>#N/A</v>
      </c>
      <c r="AN48" s="624"/>
      <c r="AO48" s="520"/>
      <c r="AP48" s="521"/>
      <c r="AQ48" s="521"/>
      <c r="AR48" s="520" t="e">
        <f t="shared" si="48"/>
        <v>#N/A</v>
      </c>
      <c r="AS48" s="624"/>
      <c r="AT48" s="520"/>
      <c r="AU48" s="521"/>
      <c r="AV48" s="521"/>
      <c r="AW48" s="520" t="e">
        <f t="shared" si="50"/>
        <v>#N/A</v>
      </c>
      <c r="AX48" s="624"/>
      <c r="AZ48" s="532" t="e">
        <f t="shared" si="52"/>
        <v>#N/A</v>
      </c>
      <c r="BA48" s="624"/>
    </row>
    <row r="49" spans="2:53">
      <c r="B49" s="622"/>
      <c r="C49" s="327">
        <v>3</v>
      </c>
      <c r="D49" s="456"/>
      <c r="E49" s="521"/>
      <c r="F49" s="521"/>
      <c r="G49" s="521"/>
      <c r="H49" s="664"/>
      <c r="I49" s="516" t="str">
        <f t="shared" si="37"/>
        <v>-</v>
      </c>
      <c r="J49" s="516" t="str">
        <f t="shared" si="38"/>
        <v>-</v>
      </c>
      <c r="K49" s="200" t="str">
        <f t="shared" si="39"/>
        <v>-</v>
      </c>
      <c r="L49" s="596"/>
      <c r="M49" s="201" t="e">
        <f>RANK(K49, K$47:$K$61)</f>
        <v>#VALUE!</v>
      </c>
      <c r="N49" s="614"/>
      <c r="O49" s="614"/>
      <c r="P49" s="520"/>
      <c r="Q49" s="521"/>
      <c r="R49" s="521"/>
      <c r="S49" s="520" t="e">
        <f t="shared" si="54"/>
        <v>#N/A</v>
      </c>
      <c r="T49" s="624"/>
      <c r="U49" s="520"/>
      <c r="V49" s="521"/>
      <c r="W49" s="521"/>
      <c r="X49" s="520" t="e">
        <f t="shared" si="40"/>
        <v>#N/A</v>
      </c>
      <c r="Y49" s="624"/>
      <c r="Z49" s="520"/>
      <c r="AA49" s="521"/>
      <c r="AB49" s="521"/>
      <c r="AC49" s="520" t="e">
        <f t="shared" si="42"/>
        <v>#N/A</v>
      </c>
      <c r="AD49" s="624"/>
      <c r="AE49" s="520"/>
      <c r="AF49" s="521"/>
      <c r="AG49" s="521"/>
      <c r="AH49" s="520" t="e">
        <f t="shared" si="44"/>
        <v>#N/A</v>
      </c>
      <c r="AI49" s="624"/>
      <c r="AJ49" s="520"/>
      <c r="AK49" s="521"/>
      <c r="AL49" s="521"/>
      <c r="AM49" s="520" t="e">
        <f t="shared" si="46"/>
        <v>#N/A</v>
      </c>
      <c r="AN49" s="624"/>
      <c r="AO49" s="520"/>
      <c r="AP49" s="521"/>
      <c r="AQ49" s="521"/>
      <c r="AR49" s="520" t="e">
        <f t="shared" si="48"/>
        <v>#N/A</v>
      </c>
      <c r="AS49" s="624"/>
      <c r="AT49" s="520"/>
      <c r="AU49" s="521"/>
      <c r="AV49" s="521"/>
      <c r="AW49" s="520" t="e">
        <f t="shared" si="50"/>
        <v>#N/A</v>
      </c>
      <c r="AX49" s="624"/>
      <c r="AZ49" s="532" t="e">
        <f t="shared" si="52"/>
        <v>#N/A</v>
      </c>
      <c r="BA49" s="624"/>
    </row>
    <row r="50" spans="2:53">
      <c r="B50" s="622"/>
      <c r="C50" s="327">
        <v>4</v>
      </c>
      <c r="D50" s="456"/>
      <c r="E50" s="521"/>
      <c r="F50" s="521"/>
      <c r="G50" s="521"/>
      <c r="H50" s="664"/>
      <c r="I50" s="516" t="str">
        <f t="shared" si="37"/>
        <v>-</v>
      </c>
      <c r="J50" s="516" t="str">
        <f t="shared" si="38"/>
        <v>-</v>
      </c>
      <c r="K50" s="200" t="str">
        <f t="shared" si="39"/>
        <v>-</v>
      </c>
      <c r="L50" s="596"/>
      <c r="M50" s="201" t="e">
        <f>RANK(K50, K$47:$K$61)</f>
        <v>#VALUE!</v>
      </c>
      <c r="N50" s="614"/>
      <c r="O50" s="614"/>
      <c r="P50" s="520"/>
      <c r="Q50" s="521"/>
      <c r="R50" s="521"/>
      <c r="S50" s="520" t="e">
        <f t="shared" si="54"/>
        <v>#N/A</v>
      </c>
      <c r="T50" s="624"/>
      <c r="U50" s="520"/>
      <c r="V50" s="521"/>
      <c r="W50" s="521"/>
      <c r="X50" s="520" t="e">
        <f t="shared" si="40"/>
        <v>#N/A</v>
      </c>
      <c r="Y50" s="624"/>
      <c r="Z50" s="520"/>
      <c r="AA50" s="521"/>
      <c r="AB50" s="521"/>
      <c r="AC50" s="520" t="e">
        <f t="shared" si="42"/>
        <v>#N/A</v>
      </c>
      <c r="AD50" s="624"/>
      <c r="AE50" s="520"/>
      <c r="AF50" s="521"/>
      <c r="AG50" s="521"/>
      <c r="AH50" s="520" t="e">
        <f t="shared" si="44"/>
        <v>#N/A</v>
      </c>
      <c r="AI50" s="624"/>
      <c r="AJ50" s="520"/>
      <c r="AK50" s="521"/>
      <c r="AL50" s="521"/>
      <c r="AM50" s="520" t="e">
        <f t="shared" si="46"/>
        <v>#N/A</v>
      </c>
      <c r="AN50" s="624"/>
      <c r="AO50" s="520"/>
      <c r="AP50" s="521"/>
      <c r="AQ50" s="521"/>
      <c r="AR50" s="520" t="e">
        <f t="shared" si="48"/>
        <v>#N/A</v>
      </c>
      <c r="AS50" s="624"/>
      <c r="AT50" s="520"/>
      <c r="AU50" s="521"/>
      <c r="AV50" s="521"/>
      <c r="AW50" s="520" t="e">
        <f t="shared" si="50"/>
        <v>#N/A</v>
      </c>
      <c r="AX50" s="624"/>
      <c r="AZ50" s="532" t="e">
        <f t="shared" si="52"/>
        <v>#N/A</v>
      </c>
      <c r="BA50" s="624"/>
    </row>
    <row r="51" spans="2:53">
      <c r="B51" s="622"/>
      <c r="C51" s="327">
        <v>5</v>
      </c>
      <c r="D51" s="456"/>
      <c r="E51" s="521"/>
      <c r="F51" s="521"/>
      <c r="G51" s="521"/>
      <c r="H51" s="664"/>
      <c r="I51" s="516" t="str">
        <f t="shared" si="37"/>
        <v>-</v>
      </c>
      <c r="J51" s="516" t="str">
        <f t="shared" si="38"/>
        <v>-</v>
      </c>
      <c r="K51" s="200" t="str">
        <f t="shared" si="39"/>
        <v>-</v>
      </c>
      <c r="L51" s="596"/>
      <c r="M51" s="201" t="e">
        <f>RANK(K51, K$47:$K$61)</f>
        <v>#VALUE!</v>
      </c>
      <c r="N51" s="614"/>
      <c r="O51" s="614"/>
      <c r="P51" s="520"/>
      <c r="Q51" s="521"/>
      <c r="R51" s="521"/>
      <c r="S51" s="520" t="e">
        <f t="shared" si="54"/>
        <v>#N/A</v>
      </c>
      <c r="T51" s="624"/>
      <c r="U51" s="520"/>
      <c r="V51" s="521"/>
      <c r="W51" s="521"/>
      <c r="X51" s="520" t="e">
        <f t="shared" si="40"/>
        <v>#N/A</v>
      </c>
      <c r="Y51" s="624"/>
      <c r="Z51" s="520"/>
      <c r="AA51" s="521"/>
      <c r="AB51" s="521"/>
      <c r="AC51" s="520" t="e">
        <f t="shared" si="42"/>
        <v>#N/A</v>
      </c>
      <c r="AD51" s="624"/>
      <c r="AE51" s="520"/>
      <c r="AF51" s="521"/>
      <c r="AG51" s="521"/>
      <c r="AH51" s="520" t="e">
        <f t="shared" si="44"/>
        <v>#N/A</v>
      </c>
      <c r="AI51" s="624"/>
      <c r="AJ51" s="520"/>
      <c r="AK51" s="521"/>
      <c r="AL51" s="521"/>
      <c r="AM51" s="520" t="e">
        <f t="shared" si="46"/>
        <v>#N/A</v>
      </c>
      <c r="AN51" s="624"/>
      <c r="AO51" s="520"/>
      <c r="AP51" s="521"/>
      <c r="AQ51" s="521"/>
      <c r="AR51" s="520" t="e">
        <f t="shared" si="48"/>
        <v>#N/A</v>
      </c>
      <c r="AS51" s="624"/>
      <c r="AT51" s="520"/>
      <c r="AU51" s="521"/>
      <c r="AV51" s="521"/>
      <c r="AW51" s="520" t="e">
        <f t="shared" si="50"/>
        <v>#N/A</v>
      </c>
      <c r="AX51" s="624"/>
      <c r="AZ51" s="532" t="e">
        <f t="shared" si="52"/>
        <v>#N/A</v>
      </c>
      <c r="BA51" s="624"/>
    </row>
    <row r="52" spans="2:53">
      <c r="B52" s="622"/>
      <c r="C52" s="327">
        <v>6</v>
      </c>
      <c r="D52" s="456"/>
      <c r="E52" s="521"/>
      <c r="F52" s="521"/>
      <c r="G52" s="521"/>
      <c r="H52" s="664"/>
      <c r="I52" s="516" t="str">
        <f t="shared" si="37"/>
        <v>-</v>
      </c>
      <c r="J52" s="516" t="str">
        <f t="shared" si="38"/>
        <v>-</v>
      </c>
      <c r="K52" s="200" t="str">
        <f t="shared" si="39"/>
        <v>-</v>
      </c>
      <c r="L52" s="596"/>
      <c r="M52" s="201" t="e">
        <f>RANK(K52, K$47:$K$61)</f>
        <v>#VALUE!</v>
      </c>
      <c r="N52" s="614"/>
      <c r="O52" s="614"/>
      <c r="P52" s="520"/>
      <c r="Q52" s="521"/>
      <c r="R52" s="521"/>
      <c r="S52" s="520" t="e">
        <f t="shared" si="54"/>
        <v>#N/A</v>
      </c>
      <c r="T52" s="624"/>
      <c r="U52" s="520"/>
      <c r="V52" s="521"/>
      <c r="W52" s="521"/>
      <c r="X52" s="520" t="e">
        <f t="shared" si="40"/>
        <v>#N/A</v>
      </c>
      <c r="Y52" s="624"/>
      <c r="Z52" s="520"/>
      <c r="AA52" s="521"/>
      <c r="AB52" s="521"/>
      <c r="AC52" s="520" t="e">
        <f t="shared" si="42"/>
        <v>#N/A</v>
      </c>
      <c r="AD52" s="624"/>
      <c r="AE52" s="520"/>
      <c r="AF52" s="521"/>
      <c r="AG52" s="521"/>
      <c r="AH52" s="520" t="e">
        <f t="shared" si="44"/>
        <v>#N/A</v>
      </c>
      <c r="AI52" s="624"/>
      <c r="AJ52" s="520"/>
      <c r="AK52" s="521"/>
      <c r="AL52" s="521"/>
      <c r="AM52" s="520" t="e">
        <f t="shared" si="46"/>
        <v>#N/A</v>
      </c>
      <c r="AN52" s="624"/>
      <c r="AO52" s="520"/>
      <c r="AP52" s="521"/>
      <c r="AQ52" s="521"/>
      <c r="AR52" s="520" t="e">
        <f t="shared" si="48"/>
        <v>#N/A</v>
      </c>
      <c r="AS52" s="624"/>
      <c r="AT52" s="520"/>
      <c r="AU52" s="521"/>
      <c r="AV52" s="521"/>
      <c r="AW52" s="520" t="e">
        <f t="shared" si="50"/>
        <v>#N/A</v>
      </c>
      <c r="AX52" s="624"/>
      <c r="AZ52" s="532" t="e">
        <f t="shared" si="52"/>
        <v>#N/A</v>
      </c>
      <c r="BA52" s="624"/>
    </row>
    <row r="53" spans="2:53">
      <c r="B53" s="622"/>
      <c r="C53" s="327">
        <v>7</v>
      </c>
      <c r="D53" s="456"/>
      <c r="E53" s="521"/>
      <c r="F53" s="521"/>
      <c r="G53" s="521"/>
      <c r="H53" s="664"/>
      <c r="I53" s="516" t="str">
        <f t="shared" si="37"/>
        <v>-</v>
      </c>
      <c r="J53" s="516" t="str">
        <f t="shared" si="38"/>
        <v>-</v>
      </c>
      <c r="K53" s="200" t="str">
        <f t="shared" si="39"/>
        <v>-</v>
      </c>
      <c r="L53" s="596"/>
      <c r="M53" s="201" t="e">
        <f>RANK(K53, K$47:$K$61)</f>
        <v>#VALUE!</v>
      </c>
      <c r="N53" s="614"/>
      <c r="O53" s="614"/>
      <c r="P53" s="520"/>
      <c r="Q53" s="521"/>
      <c r="R53" s="521"/>
      <c r="S53" s="520" t="e">
        <f t="shared" si="54"/>
        <v>#N/A</v>
      </c>
      <c r="T53" s="624"/>
      <c r="U53" s="520"/>
      <c r="V53" s="521"/>
      <c r="W53" s="521"/>
      <c r="X53" s="520" t="e">
        <f t="shared" si="40"/>
        <v>#N/A</v>
      </c>
      <c r="Y53" s="624"/>
      <c r="Z53" s="520"/>
      <c r="AA53" s="521"/>
      <c r="AB53" s="521"/>
      <c r="AC53" s="520" t="e">
        <f t="shared" si="42"/>
        <v>#N/A</v>
      </c>
      <c r="AD53" s="624"/>
      <c r="AE53" s="520"/>
      <c r="AF53" s="521"/>
      <c r="AG53" s="521"/>
      <c r="AH53" s="520" t="e">
        <f t="shared" si="44"/>
        <v>#N/A</v>
      </c>
      <c r="AI53" s="624"/>
      <c r="AJ53" s="520"/>
      <c r="AK53" s="521"/>
      <c r="AL53" s="521"/>
      <c r="AM53" s="520" t="e">
        <f t="shared" si="46"/>
        <v>#N/A</v>
      </c>
      <c r="AN53" s="624"/>
      <c r="AO53" s="520"/>
      <c r="AP53" s="521"/>
      <c r="AQ53" s="521"/>
      <c r="AR53" s="520" t="e">
        <f t="shared" si="48"/>
        <v>#N/A</v>
      </c>
      <c r="AS53" s="624"/>
      <c r="AT53" s="520"/>
      <c r="AU53" s="521"/>
      <c r="AV53" s="521"/>
      <c r="AW53" s="520" t="e">
        <f t="shared" si="50"/>
        <v>#N/A</v>
      </c>
      <c r="AX53" s="624"/>
      <c r="AZ53" s="532" t="e">
        <f t="shared" si="52"/>
        <v>#N/A</v>
      </c>
      <c r="BA53" s="624"/>
    </row>
    <row r="54" spans="2:53">
      <c r="B54" s="622"/>
      <c r="C54" s="327">
        <v>8</v>
      </c>
      <c r="D54" s="343"/>
      <c r="E54" s="521"/>
      <c r="F54" s="521"/>
      <c r="G54" s="521"/>
      <c r="H54" s="664"/>
      <c r="I54" s="516" t="str">
        <f t="shared" si="37"/>
        <v>-</v>
      </c>
      <c r="J54" s="516" t="str">
        <f t="shared" si="38"/>
        <v>-</v>
      </c>
      <c r="K54" s="200" t="str">
        <f t="shared" si="39"/>
        <v>-</v>
      </c>
      <c r="L54" s="596"/>
      <c r="M54" s="201" t="e">
        <f>RANK(K54, K$47:$K$61)</f>
        <v>#VALUE!</v>
      </c>
      <c r="N54" s="614"/>
      <c r="O54" s="614"/>
      <c r="P54" s="520"/>
      <c r="Q54" s="521"/>
      <c r="R54" s="521"/>
      <c r="S54" s="520"/>
      <c r="T54" s="624"/>
      <c r="U54" s="520"/>
      <c r="V54" s="521"/>
      <c r="W54" s="521"/>
      <c r="X54" s="520"/>
      <c r="Y54" s="624"/>
      <c r="Z54" s="520"/>
      <c r="AA54" s="521"/>
      <c r="AB54" s="521"/>
      <c r="AC54" s="520"/>
      <c r="AD54" s="624"/>
      <c r="AE54" s="520"/>
      <c r="AF54" s="521"/>
      <c r="AG54" s="521"/>
      <c r="AH54" s="520"/>
      <c r="AI54" s="624"/>
      <c r="AJ54" s="520"/>
      <c r="AK54" s="521"/>
      <c r="AL54" s="521"/>
      <c r="AM54" s="520"/>
      <c r="AN54" s="624"/>
      <c r="AO54" s="520"/>
      <c r="AP54" s="521"/>
      <c r="AQ54" s="521"/>
      <c r="AR54" s="520"/>
      <c r="AS54" s="624"/>
      <c r="AT54" s="520"/>
      <c r="AU54" s="521"/>
      <c r="AV54" s="521"/>
      <c r="AW54" s="520"/>
      <c r="AX54" s="624"/>
      <c r="AZ54" s="532"/>
      <c r="BA54" s="624"/>
    </row>
    <row r="55" spans="2:53">
      <c r="B55" s="622"/>
      <c r="C55" s="327">
        <v>9</v>
      </c>
      <c r="D55" s="456"/>
      <c r="E55" s="521"/>
      <c r="F55" s="521"/>
      <c r="G55" s="521"/>
      <c r="H55" s="664"/>
      <c r="I55" s="516" t="str">
        <f t="shared" si="37"/>
        <v>-</v>
      </c>
      <c r="J55" s="516" t="str">
        <f t="shared" si="38"/>
        <v>-</v>
      </c>
      <c r="K55" s="200" t="str">
        <f t="shared" si="39"/>
        <v>-</v>
      </c>
      <c r="L55" s="596"/>
      <c r="M55" s="201" t="e">
        <f>RANK(K55, K$47:$K$61)</f>
        <v>#VALUE!</v>
      </c>
      <c r="N55" s="614"/>
      <c r="O55" s="614"/>
      <c r="P55" s="520"/>
      <c r="Q55" s="521"/>
      <c r="R55" s="521"/>
      <c r="S55" s="520"/>
      <c r="T55" s="624"/>
      <c r="U55" s="520"/>
      <c r="V55" s="521"/>
      <c r="W55" s="521"/>
      <c r="X55" s="520"/>
      <c r="Y55" s="624"/>
      <c r="Z55" s="520"/>
      <c r="AA55" s="521"/>
      <c r="AB55" s="521"/>
      <c r="AC55" s="520"/>
      <c r="AD55" s="624"/>
      <c r="AE55" s="520"/>
      <c r="AF55" s="521"/>
      <c r="AG55" s="521"/>
      <c r="AH55" s="520"/>
      <c r="AI55" s="624"/>
      <c r="AJ55" s="520"/>
      <c r="AK55" s="521"/>
      <c r="AL55" s="521"/>
      <c r="AM55" s="520"/>
      <c r="AN55" s="624"/>
      <c r="AO55" s="520"/>
      <c r="AP55" s="521"/>
      <c r="AQ55" s="521"/>
      <c r="AR55" s="520"/>
      <c r="AS55" s="624"/>
      <c r="AT55" s="520"/>
      <c r="AU55" s="521"/>
      <c r="AV55" s="521"/>
      <c r="AW55" s="520"/>
      <c r="AX55" s="624"/>
      <c r="AZ55" s="532"/>
      <c r="BA55" s="624"/>
    </row>
    <row r="56" spans="2:53">
      <c r="B56" s="622"/>
      <c r="C56" s="327">
        <v>10</v>
      </c>
      <c r="D56" s="456"/>
      <c r="E56" s="521"/>
      <c r="F56" s="521"/>
      <c r="G56" s="521"/>
      <c r="H56" s="664"/>
      <c r="I56" s="516" t="str">
        <f t="shared" si="37"/>
        <v>-</v>
      </c>
      <c r="J56" s="516" t="str">
        <f t="shared" si="38"/>
        <v>-</v>
      </c>
      <c r="K56" s="200" t="str">
        <f t="shared" si="39"/>
        <v>-</v>
      </c>
      <c r="L56" s="596"/>
      <c r="M56" s="201" t="e">
        <f>RANK(K56, K$47:$K$61)</f>
        <v>#VALUE!</v>
      </c>
      <c r="N56" s="614"/>
      <c r="O56" s="614"/>
      <c r="P56" s="520"/>
      <c r="Q56" s="521"/>
      <c r="R56" s="521"/>
      <c r="S56" s="520"/>
      <c r="T56" s="624"/>
      <c r="U56" s="520"/>
      <c r="V56" s="521"/>
      <c r="W56" s="521"/>
      <c r="X56" s="520"/>
      <c r="Y56" s="624"/>
      <c r="Z56" s="520"/>
      <c r="AA56" s="521"/>
      <c r="AB56" s="521"/>
      <c r="AC56" s="520"/>
      <c r="AD56" s="624"/>
      <c r="AE56" s="520"/>
      <c r="AF56" s="521"/>
      <c r="AG56" s="521"/>
      <c r="AH56" s="520"/>
      <c r="AI56" s="624"/>
      <c r="AJ56" s="520"/>
      <c r="AK56" s="521"/>
      <c r="AL56" s="521"/>
      <c r="AM56" s="520"/>
      <c r="AN56" s="624"/>
      <c r="AO56" s="520"/>
      <c r="AP56" s="521"/>
      <c r="AQ56" s="521"/>
      <c r="AR56" s="520"/>
      <c r="AS56" s="624"/>
      <c r="AT56" s="520"/>
      <c r="AU56" s="521"/>
      <c r="AV56" s="521"/>
      <c r="AW56" s="520"/>
      <c r="AX56" s="624"/>
      <c r="AZ56" s="532"/>
      <c r="BA56" s="624"/>
    </row>
    <row r="57" spans="2:53">
      <c r="B57" s="622"/>
      <c r="C57" s="327">
        <v>11</v>
      </c>
      <c r="D57" s="456"/>
      <c r="E57" s="521"/>
      <c r="F57" s="521"/>
      <c r="G57" s="521"/>
      <c r="H57" s="664"/>
      <c r="I57" s="516" t="str">
        <f t="shared" si="37"/>
        <v>-</v>
      </c>
      <c r="J57" s="516" t="str">
        <f t="shared" si="38"/>
        <v>-</v>
      </c>
      <c r="K57" s="200" t="str">
        <f t="shared" si="39"/>
        <v>-</v>
      </c>
      <c r="L57" s="596"/>
      <c r="M57" s="201" t="e">
        <f>RANK(K57, K$47:$K$61)</f>
        <v>#VALUE!</v>
      </c>
      <c r="N57" s="614"/>
      <c r="O57" s="614"/>
      <c r="P57" s="520"/>
      <c r="Q57" s="521"/>
      <c r="R57" s="521"/>
      <c r="S57" s="520"/>
      <c r="T57" s="624"/>
      <c r="U57" s="520"/>
      <c r="V57" s="521"/>
      <c r="W57" s="521"/>
      <c r="X57" s="520"/>
      <c r="Y57" s="624"/>
      <c r="Z57" s="520"/>
      <c r="AA57" s="521"/>
      <c r="AB57" s="521"/>
      <c r="AC57" s="520"/>
      <c r="AD57" s="624"/>
      <c r="AE57" s="520"/>
      <c r="AF57" s="521"/>
      <c r="AG57" s="521"/>
      <c r="AH57" s="520"/>
      <c r="AI57" s="624"/>
      <c r="AJ57" s="520"/>
      <c r="AK57" s="521"/>
      <c r="AL57" s="521"/>
      <c r="AM57" s="520"/>
      <c r="AN57" s="624"/>
      <c r="AO57" s="520"/>
      <c r="AP57" s="521"/>
      <c r="AQ57" s="521"/>
      <c r="AR57" s="520"/>
      <c r="AS57" s="624"/>
      <c r="AT57" s="520"/>
      <c r="AU57" s="521"/>
      <c r="AV57" s="521"/>
      <c r="AW57" s="520"/>
      <c r="AX57" s="624"/>
      <c r="AZ57" s="532"/>
      <c r="BA57" s="624"/>
    </row>
    <row r="58" spans="2:53">
      <c r="B58" s="622"/>
      <c r="C58" s="327">
        <v>12</v>
      </c>
      <c r="D58" s="456"/>
      <c r="E58" s="521"/>
      <c r="F58" s="521"/>
      <c r="G58" s="521"/>
      <c r="H58" s="664"/>
      <c r="I58" s="516" t="str">
        <f t="shared" si="37"/>
        <v>-</v>
      </c>
      <c r="J58" s="516" t="str">
        <f t="shared" si="38"/>
        <v>-</v>
      </c>
      <c r="K58" s="200" t="str">
        <f t="shared" si="39"/>
        <v>-</v>
      </c>
      <c r="L58" s="596"/>
      <c r="M58" s="201" t="e">
        <f>RANK(K58, K$47:$K$61)</f>
        <v>#VALUE!</v>
      </c>
      <c r="N58" s="614"/>
      <c r="O58" s="614"/>
      <c r="P58" s="520"/>
      <c r="Q58" s="521"/>
      <c r="R58" s="521"/>
      <c r="S58" s="520"/>
      <c r="T58" s="624"/>
      <c r="U58" s="520"/>
      <c r="V58" s="521"/>
      <c r="W58" s="521"/>
      <c r="X58" s="520"/>
      <c r="Y58" s="624"/>
      <c r="Z58" s="520"/>
      <c r="AA58" s="521"/>
      <c r="AB58" s="521"/>
      <c r="AC58" s="520"/>
      <c r="AD58" s="624"/>
      <c r="AE58" s="520"/>
      <c r="AF58" s="521"/>
      <c r="AG58" s="521"/>
      <c r="AH58" s="520"/>
      <c r="AI58" s="624"/>
      <c r="AJ58" s="520"/>
      <c r="AK58" s="521"/>
      <c r="AL58" s="521"/>
      <c r="AM58" s="520"/>
      <c r="AN58" s="624"/>
      <c r="AO58" s="520"/>
      <c r="AP58" s="521"/>
      <c r="AQ58" s="521"/>
      <c r="AR58" s="520"/>
      <c r="AS58" s="624"/>
      <c r="AT58" s="520"/>
      <c r="AU58" s="521"/>
      <c r="AV58" s="521"/>
      <c r="AW58" s="520"/>
      <c r="AX58" s="624"/>
      <c r="AZ58" s="532"/>
      <c r="BA58" s="624"/>
    </row>
    <row r="59" spans="2:53">
      <c r="B59" s="622"/>
      <c r="C59" s="327">
        <v>13</v>
      </c>
      <c r="D59" s="456"/>
      <c r="E59" s="521"/>
      <c r="F59" s="521"/>
      <c r="G59" s="521"/>
      <c r="H59" s="664"/>
      <c r="I59" s="516" t="str">
        <f t="shared" si="37"/>
        <v>-</v>
      </c>
      <c r="J59" s="516" t="str">
        <f t="shared" si="38"/>
        <v>-</v>
      </c>
      <c r="K59" s="200" t="str">
        <f t="shared" si="39"/>
        <v>-</v>
      </c>
      <c r="L59" s="596"/>
      <c r="M59" s="201" t="e">
        <f>RANK(K59, K$47:$K$61)</f>
        <v>#VALUE!</v>
      </c>
      <c r="N59" s="614"/>
      <c r="O59" s="614"/>
      <c r="P59" s="520"/>
      <c r="Q59" s="521"/>
      <c r="R59" s="521"/>
      <c r="S59" s="520"/>
      <c r="T59" s="624"/>
      <c r="U59" s="520"/>
      <c r="V59" s="521"/>
      <c r="W59" s="521"/>
      <c r="X59" s="520"/>
      <c r="Y59" s="624"/>
      <c r="Z59" s="520"/>
      <c r="AA59" s="521"/>
      <c r="AB59" s="521"/>
      <c r="AC59" s="520"/>
      <c r="AD59" s="624"/>
      <c r="AE59" s="520"/>
      <c r="AF59" s="521"/>
      <c r="AG59" s="521"/>
      <c r="AH59" s="520"/>
      <c r="AI59" s="624"/>
      <c r="AJ59" s="520"/>
      <c r="AK59" s="521"/>
      <c r="AL59" s="521"/>
      <c r="AM59" s="520"/>
      <c r="AN59" s="624"/>
      <c r="AO59" s="520"/>
      <c r="AP59" s="521"/>
      <c r="AQ59" s="521"/>
      <c r="AR59" s="520"/>
      <c r="AS59" s="624"/>
      <c r="AT59" s="520"/>
      <c r="AU59" s="521"/>
      <c r="AV59" s="521"/>
      <c r="AW59" s="520"/>
      <c r="AX59" s="624"/>
      <c r="AZ59" s="532"/>
      <c r="BA59" s="624"/>
    </row>
    <row r="60" spans="2:53">
      <c r="B60" s="622"/>
      <c r="C60" s="327">
        <v>14</v>
      </c>
      <c r="D60" s="456"/>
      <c r="E60" s="521"/>
      <c r="F60" s="521"/>
      <c r="G60" s="521"/>
      <c r="H60" s="664"/>
      <c r="I60" s="516" t="str">
        <f t="shared" si="37"/>
        <v>-</v>
      </c>
      <c r="J60" s="516" t="str">
        <f t="shared" si="38"/>
        <v>-</v>
      </c>
      <c r="K60" s="200" t="str">
        <f t="shared" si="39"/>
        <v>-</v>
      </c>
      <c r="L60" s="596"/>
      <c r="M60" s="201" t="e">
        <f>RANK(K60, K$47:$K$61)</f>
        <v>#VALUE!</v>
      </c>
      <c r="N60" s="614"/>
      <c r="O60" s="614"/>
      <c r="P60" s="520"/>
      <c r="Q60" s="521"/>
      <c r="R60" s="521"/>
      <c r="S60" s="520"/>
      <c r="T60" s="624"/>
      <c r="U60" s="520"/>
      <c r="V60" s="521"/>
      <c r="W60" s="521"/>
      <c r="X60" s="520"/>
      <c r="Y60" s="624"/>
      <c r="Z60" s="520"/>
      <c r="AA60" s="521"/>
      <c r="AB60" s="521"/>
      <c r="AC60" s="520"/>
      <c r="AD60" s="624"/>
      <c r="AE60" s="520"/>
      <c r="AF60" s="521"/>
      <c r="AG60" s="521"/>
      <c r="AH60" s="520"/>
      <c r="AI60" s="624"/>
      <c r="AJ60" s="520"/>
      <c r="AK60" s="521"/>
      <c r="AL60" s="521"/>
      <c r="AM60" s="520"/>
      <c r="AN60" s="624"/>
      <c r="AO60" s="520"/>
      <c r="AP60" s="521"/>
      <c r="AQ60" s="521"/>
      <c r="AR60" s="520"/>
      <c r="AS60" s="624"/>
      <c r="AT60" s="520"/>
      <c r="AU60" s="521"/>
      <c r="AV60" s="521"/>
      <c r="AW60" s="520"/>
      <c r="AX60" s="624"/>
      <c r="AZ60" s="532"/>
      <c r="BA60" s="624"/>
    </row>
    <row r="61" spans="2:53">
      <c r="B61" s="622"/>
      <c r="C61" s="327">
        <v>15</v>
      </c>
      <c r="D61" s="456"/>
      <c r="E61" s="521"/>
      <c r="F61" s="521"/>
      <c r="G61" s="521"/>
      <c r="H61" s="665"/>
      <c r="I61" s="516" t="str">
        <f t="shared" si="37"/>
        <v>-</v>
      </c>
      <c r="J61" s="516" t="str">
        <f t="shared" si="38"/>
        <v>-</v>
      </c>
      <c r="K61" s="200" t="str">
        <f t="shared" si="39"/>
        <v>-</v>
      </c>
      <c r="L61" s="597"/>
      <c r="M61" s="201" t="e">
        <f>RANK(K61, K$47:$K$61)</f>
        <v>#VALUE!</v>
      </c>
      <c r="N61" s="614"/>
      <c r="O61" s="614"/>
      <c r="P61" s="520"/>
      <c r="Q61" s="521"/>
      <c r="R61" s="521"/>
      <c r="S61" s="520"/>
      <c r="T61" s="625"/>
      <c r="U61" s="520"/>
      <c r="V61" s="521"/>
      <c r="W61" s="521"/>
      <c r="X61" s="520"/>
      <c r="Y61" s="625"/>
      <c r="Z61" s="520"/>
      <c r="AA61" s="521"/>
      <c r="AB61" s="521"/>
      <c r="AC61" s="520"/>
      <c r="AD61" s="625"/>
      <c r="AE61" s="520"/>
      <c r="AF61" s="521"/>
      <c r="AG61" s="521"/>
      <c r="AH61" s="520"/>
      <c r="AI61" s="625"/>
      <c r="AJ61" s="520"/>
      <c r="AK61" s="521"/>
      <c r="AL61" s="521"/>
      <c r="AM61" s="520"/>
      <c r="AN61" s="625"/>
      <c r="AO61" s="520"/>
      <c r="AP61" s="521"/>
      <c r="AQ61" s="521"/>
      <c r="AR61" s="520"/>
      <c r="AS61" s="625"/>
      <c r="AT61" s="520"/>
      <c r="AU61" s="521"/>
      <c r="AV61" s="521"/>
      <c r="AW61" s="520"/>
      <c r="AX61" s="625"/>
      <c r="AZ61" s="532"/>
      <c r="BA61" s="625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398</v>
      </c>
      <c r="C64" s="614" t="s">
        <v>408</v>
      </c>
      <c r="D64" s="614"/>
      <c r="E64" s="614" t="s">
        <v>399</v>
      </c>
      <c r="F64" s="614"/>
      <c r="G64" s="614"/>
      <c r="H64" s="630" t="s">
        <v>395</v>
      </c>
      <c r="I64" s="598" t="s">
        <v>400</v>
      </c>
      <c r="J64" s="598"/>
      <c r="K64" s="598"/>
      <c r="L64" s="599" t="s">
        <v>395</v>
      </c>
      <c r="M64" s="605" t="s">
        <v>396</v>
      </c>
      <c r="N64" s="614"/>
      <c r="O64" s="614" t="s">
        <v>401</v>
      </c>
      <c r="P64" s="611" t="s">
        <v>397</v>
      </c>
      <c r="Q64" s="612"/>
      <c r="R64" s="612"/>
      <c r="S64" s="613"/>
      <c r="T64" s="614" t="s">
        <v>395</v>
      </c>
      <c r="U64" s="611" t="s">
        <v>397</v>
      </c>
      <c r="V64" s="612"/>
      <c r="W64" s="612"/>
      <c r="X64" s="613"/>
      <c r="Y64" s="614" t="s">
        <v>395</v>
      </c>
      <c r="Z64" s="611" t="s">
        <v>397</v>
      </c>
      <c r="AA64" s="612"/>
      <c r="AB64" s="612"/>
      <c r="AC64" s="613"/>
      <c r="AD64" s="614" t="s">
        <v>395</v>
      </c>
      <c r="AE64" s="611" t="s">
        <v>397</v>
      </c>
      <c r="AF64" s="612"/>
      <c r="AG64" s="612"/>
      <c r="AH64" s="613"/>
      <c r="AI64" s="614" t="s">
        <v>395</v>
      </c>
      <c r="AJ64" s="611" t="s">
        <v>397</v>
      </c>
      <c r="AK64" s="612"/>
      <c r="AL64" s="612"/>
      <c r="AM64" s="613"/>
      <c r="AN64" s="614" t="s">
        <v>395</v>
      </c>
      <c r="AO64" s="611" t="s">
        <v>397</v>
      </c>
      <c r="AP64" s="612"/>
      <c r="AQ64" s="612"/>
      <c r="AR64" s="613"/>
      <c r="AS64" s="614" t="s">
        <v>395</v>
      </c>
      <c r="AT64" s="611" t="s">
        <v>397</v>
      </c>
      <c r="AU64" s="612"/>
      <c r="AV64" s="612"/>
      <c r="AW64" s="613"/>
      <c r="AX64" s="614" t="s">
        <v>395</v>
      </c>
      <c r="BA64" s="614" t="s">
        <v>395</v>
      </c>
    </row>
    <row r="65" spans="2:53">
      <c r="B65" s="614"/>
      <c r="C65" s="614"/>
      <c r="D65" s="614"/>
      <c r="E65" s="614" t="s">
        <v>402</v>
      </c>
      <c r="F65" s="614"/>
      <c r="G65" s="614"/>
      <c r="H65" s="631"/>
      <c r="I65" s="598" t="s">
        <v>402</v>
      </c>
      <c r="J65" s="598"/>
      <c r="K65" s="598"/>
      <c r="L65" s="600"/>
      <c r="M65" s="606"/>
      <c r="N65" s="614"/>
      <c r="O65" s="614"/>
      <c r="P65" s="611" t="s">
        <v>403</v>
      </c>
      <c r="Q65" s="612"/>
      <c r="R65" s="612"/>
      <c r="S65" s="613"/>
      <c r="T65" s="614"/>
      <c r="U65" s="611" t="s">
        <v>403</v>
      </c>
      <c r="V65" s="612"/>
      <c r="W65" s="612"/>
      <c r="X65" s="613"/>
      <c r="Y65" s="614"/>
      <c r="Z65" s="611" t="s">
        <v>403</v>
      </c>
      <c r="AA65" s="612"/>
      <c r="AB65" s="612"/>
      <c r="AC65" s="613"/>
      <c r="AD65" s="614"/>
      <c r="AE65" s="611" t="s">
        <v>403</v>
      </c>
      <c r="AF65" s="612"/>
      <c r="AG65" s="612"/>
      <c r="AH65" s="613"/>
      <c r="AI65" s="614"/>
      <c r="AJ65" s="611" t="s">
        <v>403</v>
      </c>
      <c r="AK65" s="612"/>
      <c r="AL65" s="612"/>
      <c r="AM65" s="613"/>
      <c r="AN65" s="614"/>
      <c r="AO65" s="611" t="s">
        <v>403</v>
      </c>
      <c r="AP65" s="612"/>
      <c r="AQ65" s="612"/>
      <c r="AR65" s="613"/>
      <c r="AS65" s="614"/>
      <c r="AT65" s="611" t="s">
        <v>403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404</v>
      </c>
      <c r="F66" s="305" t="s">
        <v>405</v>
      </c>
      <c r="G66" s="305" t="s">
        <v>406</v>
      </c>
      <c r="H66" s="632"/>
      <c r="I66" s="304" t="s">
        <v>404</v>
      </c>
      <c r="J66" s="304" t="s">
        <v>405</v>
      </c>
      <c r="K66" s="304" t="s">
        <v>406</v>
      </c>
      <c r="L66" s="601"/>
      <c r="M66" s="607"/>
      <c r="N66" s="614"/>
      <c r="O66" s="614"/>
      <c r="P66" s="305" t="s">
        <v>404</v>
      </c>
      <c r="Q66" s="305" t="s">
        <v>405</v>
      </c>
      <c r="R66" s="305" t="s">
        <v>406</v>
      </c>
      <c r="S66" s="305" t="s">
        <v>396</v>
      </c>
      <c r="T66" s="614"/>
      <c r="U66" s="305" t="s">
        <v>404</v>
      </c>
      <c r="V66" s="305" t="s">
        <v>405</v>
      </c>
      <c r="W66" s="305" t="s">
        <v>406</v>
      </c>
      <c r="X66" s="305" t="s">
        <v>396</v>
      </c>
      <c r="Y66" s="614"/>
      <c r="Z66" s="305" t="s">
        <v>404</v>
      </c>
      <c r="AA66" s="305" t="s">
        <v>405</v>
      </c>
      <c r="AB66" s="305" t="s">
        <v>406</v>
      </c>
      <c r="AC66" s="305" t="s">
        <v>396</v>
      </c>
      <c r="AD66" s="614"/>
      <c r="AE66" s="305" t="s">
        <v>404</v>
      </c>
      <c r="AF66" s="305" t="s">
        <v>405</v>
      </c>
      <c r="AG66" s="305" t="s">
        <v>406</v>
      </c>
      <c r="AH66" s="305" t="s">
        <v>396</v>
      </c>
      <c r="AI66" s="614"/>
      <c r="AJ66" s="305" t="s">
        <v>404</v>
      </c>
      <c r="AK66" s="305" t="s">
        <v>405</v>
      </c>
      <c r="AL66" s="305" t="s">
        <v>406</v>
      </c>
      <c r="AM66" s="305" t="s">
        <v>396</v>
      </c>
      <c r="AN66" s="614"/>
      <c r="AO66" s="305" t="s">
        <v>404</v>
      </c>
      <c r="AP66" s="305" t="s">
        <v>405</v>
      </c>
      <c r="AQ66" s="305" t="s">
        <v>406</v>
      </c>
      <c r="AR66" s="305" t="s">
        <v>396</v>
      </c>
      <c r="AS66" s="614"/>
      <c r="AT66" s="305" t="s">
        <v>404</v>
      </c>
      <c r="AU66" s="305" t="s">
        <v>405</v>
      </c>
      <c r="AV66" s="305" t="s">
        <v>406</v>
      </c>
      <c r="AW66" s="305" t="s">
        <v>396</v>
      </c>
      <c r="AX66" s="614"/>
      <c r="AZ66" s="530" t="s">
        <v>396</v>
      </c>
      <c r="BA66" s="614"/>
    </row>
    <row r="67" spans="2:53">
      <c r="B67" s="662" t="s">
        <v>420</v>
      </c>
      <c r="C67" s="306">
        <v>1</v>
      </c>
      <c r="D67" s="456"/>
      <c r="E67" s="521"/>
      <c r="F67" s="521"/>
      <c r="G67" s="521"/>
      <c r="H67" s="663" t="e">
        <f>AVERAGE(G67:G81)</f>
        <v>#DIV/0!</v>
      </c>
      <c r="I67" s="516" t="str">
        <f t="shared" ref="I67:I81" si="55">IFERROR(AVERAGE(P67,U67,Z67,AE67,AJ67,AO67,AT67),"-")</f>
        <v>-</v>
      </c>
      <c r="J67" s="516" t="str">
        <f t="shared" ref="J67:J81" si="56">IFERROR(AVERAGE(Q67,V67,AA67,AF67,AK67,AP67,AU67),"-")</f>
        <v>-</v>
      </c>
      <c r="K67" s="200" t="str">
        <f t="shared" ref="K67:K81" si="57">IFERROR(AVERAGE(R67,W67,AB67,AG67,AL67,AQ67,AV67),"-")</f>
        <v>-</v>
      </c>
      <c r="L67" s="595" t="str">
        <f>IFERROR(AVERAGE(K67:K81),"-")</f>
        <v>-</v>
      </c>
      <c r="M67" s="511" t="e">
        <f>RANK(K67, K$67:$K$81)</f>
        <v>#VALUE!</v>
      </c>
      <c r="N67" s="614"/>
      <c r="O67" s="614"/>
      <c r="P67" s="520"/>
      <c r="Q67" s="521"/>
      <c r="R67" s="521"/>
      <c r="S67" s="520" t="e">
        <f>RANK(R67, R$67:R$81)</f>
        <v>#N/A</v>
      </c>
      <c r="T67" s="623" t="e">
        <f>AVERAGE(R67:R81)</f>
        <v>#DIV/0!</v>
      </c>
      <c r="U67" s="520"/>
      <c r="V67" s="521"/>
      <c r="W67" s="521"/>
      <c r="X67" s="520" t="e">
        <f t="shared" ref="X67:X81" si="58">RANK(W67, W$67:W$81)</f>
        <v>#N/A</v>
      </c>
      <c r="Y67" s="623" t="e">
        <f t="shared" ref="Y67" si="59">AVERAGE(W67:W81)</f>
        <v>#DIV/0!</v>
      </c>
      <c r="Z67" s="520"/>
      <c r="AA67" s="521"/>
      <c r="AB67" s="521"/>
      <c r="AC67" s="520" t="e">
        <f t="shared" ref="AC67:AC81" si="60">RANK(AB67, AB$67:AB$81)</f>
        <v>#N/A</v>
      </c>
      <c r="AD67" s="623" t="e">
        <f t="shared" ref="AD67" si="61">AVERAGE(AB67:AB81)</f>
        <v>#DIV/0!</v>
      </c>
      <c r="AE67" s="520"/>
      <c r="AF67" s="521"/>
      <c r="AG67" s="521"/>
      <c r="AH67" s="520" t="e">
        <f t="shared" ref="AH67:AH81" si="62">RANK(AG67, AG$67:AG$81)</f>
        <v>#N/A</v>
      </c>
      <c r="AI67" s="623" t="e">
        <f t="shared" ref="AI67" si="63">AVERAGE(AG67:AG81)</f>
        <v>#DIV/0!</v>
      </c>
      <c r="AJ67" s="520"/>
      <c r="AK67" s="521"/>
      <c r="AL67" s="521"/>
      <c r="AM67" s="520" t="e">
        <f t="shared" ref="AM67:AM81" si="64">RANK(AL67, AL$67:AL$81)</f>
        <v>#N/A</v>
      </c>
      <c r="AN67" s="623" t="e">
        <f t="shared" ref="AN67" si="65">AVERAGE(AL67:AL81)</f>
        <v>#DIV/0!</v>
      </c>
      <c r="AO67" s="520"/>
      <c r="AP67" s="521"/>
      <c r="AQ67" s="521"/>
      <c r="AR67" s="520" t="e">
        <f t="shared" ref="AR67:AR81" si="66">RANK(AQ67, AQ$67:AQ$81)</f>
        <v>#N/A</v>
      </c>
      <c r="AS67" s="623" t="e">
        <f t="shared" ref="AS67" si="67">AVERAGE(AQ67:AQ81)</f>
        <v>#DIV/0!</v>
      </c>
      <c r="AT67" s="520"/>
      <c r="AU67" s="521"/>
      <c r="AV67" s="521"/>
      <c r="AW67" s="520" t="e">
        <f t="shared" ref="AW67:AW81" si="68">RANK(AV67, AV$67:AV$81)</f>
        <v>#N/A</v>
      </c>
      <c r="AX67" s="623" t="e">
        <f t="shared" ref="AX67" si="69">AVERAGE(AV67:AV81)</f>
        <v>#DIV/0!</v>
      </c>
      <c r="AZ67" s="532" t="e">
        <f t="shared" ref="AZ67:AZ81" si="70">RANK(AY67, AY$67:AY$81)</f>
        <v>#N/A</v>
      </c>
      <c r="BA67" s="623" t="e">
        <f t="shared" ref="BA67" si="71">AVERAGE(AY67:AY81)</f>
        <v>#DIV/0!</v>
      </c>
    </row>
    <row r="68" spans="2:53">
      <c r="B68" s="622"/>
      <c r="C68" s="306">
        <v>2</v>
      </c>
      <c r="D68" s="456"/>
      <c r="E68" s="521"/>
      <c r="F68" s="521"/>
      <c r="G68" s="521"/>
      <c r="H68" s="664"/>
      <c r="I68" s="516" t="str">
        <f t="shared" si="55"/>
        <v>-</v>
      </c>
      <c r="J68" s="516" t="str">
        <f t="shared" si="56"/>
        <v>-</v>
      </c>
      <c r="K68" s="200" t="str">
        <f t="shared" si="57"/>
        <v>-</v>
      </c>
      <c r="L68" s="596"/>
      <c r="M68" s="511" t="e">
        <f>RANK(K68, K$67:$K$81)</f>
        <v>#VALUE!</v>
      </c>
      <c r="N68" s="614"/>
      <c r="O68" s="614"/>
      <c r="P68" s="520"/>
      <c r="Q68" s="521"/>
      <c r="R68" s="521"/>
      <c r="S68" s="520" t="e">
        <f t="shared" ref="S68:S81" si="72">RANK(R68, R$67:R$81)</f>
        <v>#N/A</v>
      </c>
      <c r="T68" s="624"/>
      <c r="U68" s="520"/>
      <c r="V68" s="521"/>
      <c r="W68" s="521"/>
      <c r="X68" s="520" t="e">
        <f t="shared" si="58"/>
        <v>#N/A</v>
      </c>
      <c r="Y68" s="624"/>
      <c r="Z68" s="520"/>
      <c r="AA68" s="521"/>
      <c r="AB68" s="521"/>
      <c r="AC68" s="520" t="e">
        <f t="shared" si="60"/>
        <v>#N/A</v>
      </c>
      <c r="AD68" s="624"/>
      <c r="AE68" s="520"/>
      <c r="AF68" s="521"/>
      <c r="AG68" s="521"/>
      <c r="AH68" s="520" t="e">
        <f t="shared" si="62"/>
        <v>#N/A</v>
      </c>
      <c r="AI68" s="624"/>
      <c r="AJ68" s="520"/>
      <c r="AK68" s="521"/>
      <c r="AL68" s="521"/>
      <c r="AM68" s="520" t="e">
        <f t="shared" si="64"/>
        <v>#N/A</v>
      </c>
      <c r="AN68" s="624"/>
      <c r="AO68" s="520"/>
      <c r="AP68" s="521"/>
      <c r="AQ68" s="521"/>
      <c r="AR68" s="520" t="e">
        <f t="shared" si="66"/>
        <v>#N/A</v>
      </c>
      <c r="AS68" s="624"/>
      <c r="AT68" s="520"/>
      <c r="AU68" s="521"/>
      <c r="AV68" s="521"/>
      <c r="AW68" s="520" t="e">
        <f t="shared" si="68"/>
        <v>#N/A</v>
      </c>
      <c r="AX68" s="624"/>
      <c r="AZ68" s="532" t="e">
        <f t="shared" si="70"/>
        <v>#N/A</v>
      </c>
      <c r="BA68" s="624"/>
    </row>
    <row r="69" spans="2:53">
      <c r="B69" s="622"/>
      <c r="C69" s="306">
        <v>3</v>
      </c>
      <c r="D69" s="456"/>
      <c r="E69" s="521"/>
      <c r="F69" s="521"/>
      <c r="G69" s="521"/>
      <c r="H69" s="664"/>
      <c r="I69" s="516" t="str">
        <f t="shared" si="55"/>
        <v>-</v>
      </c>
      <c r="J69" s="516" t="str">
        <f t="shared" si="56"/>
        <v>-</v>
      </c>
      <c r="K69" s="200" t="str">
        <f t="shared" si="57"/>
        <v>-</v>
      </c>
      <c r="L69" s="596"/>
      <c r="M69" s="511" t="e">
        <f>RANK(K69, K$67:$K$81)</f>
        <v>#VALUE!</v>
      </c>
      <c r="N69" s="614"/>
      <c r="O69" s="614"/>
      <c r="P69" s="520"/>
      <c r="Q69" s="521"/>
      <c r="R69" s="521"/>
      <c r="S69" s="520" t="e">
        <f t="shared" si="72"/>
        <v>#N/A</v>
      </c>
      <c r="T69" s="624"/>
      <c r="U69" s="520"/>
      <c r="V69" s="521"/>
      <c r="W69" s="521"/>
      <c r="X69" s="520" t="e">
        <f t="shared" si="58"/>
        <v>#N/A</v>
      </c>
      <c r="Y69" s="624"/>
      <c r="Z69" s="520"/>
      <c r="AA69" s="521"/>
      <c r="AB69" s="521"/>
      <c r="AC69" s="520" t="e">
        <f t="shared" si="60"/>
        <v>#N/A</v>
      </c>
      <c r="AD69" s="624"/>
      <c r="AE69" s="520"/>
      <c r="AF69" s="521"/>
      <c r="AG69" s="521"/>
      <c r="AH69" s="520" t="e">
        <f t="shared" si="62"/>
        <v>#N/A</v>
      </c>
      <c r="AI69" s="624"/>
      <c r="AJ69" s="520"/>
      <c r="AK69" s="521"/>
      <c r="AL69" s="521"/>
      <c r="AM69" s="520" t="e">
        <f t="shared" si="64"/>
        <v>#N/A</v>
      </c>
      <c r="AN69" s="624"/>
      <c r="AO69" s="520"/>
      <c r="AP69" s="521"/>
      <c r="AQ69" s="521"/>
      <c r="AR69" s="520" t="e">
        <f t="shared" si="66"/>
        <v>#N/A</v>
      </c>
      <c r="AS69" s="624"/>
      <c r="AT69" s="520"/>
      <c r="AU69" s="521"/>
      <c r="AV69" s="521"/>
      <c r="AW69" s="520" t="e">
        <f t="shared" si="68"/>
        <v>#N/A</v>
      </c>
      <c r="AX69" s="624"/>
      <c r="AZ69" s="532" t="e">
        <f t="shared" si="70"/>
        <v>#N/A</v>
      </c>
      <c r="BA69" s="624"/>
    </row>
    <row r="70" spans="2:53">
      <c r="B70" s="622"/>
      <c r="C70" s="306">
        <v>4</v>
      </c>
      <c r="D70" s="456"/>
      <c r="E70" s="521"/>
      <c r="F70" s="521"/>
      <c r="G70" s="521"/>
      <c r="H70" s="664"/>
      <c r="I70" s="516" t="str">
        <f t="shared" si="55"/>
        <v>-</v>
      </c>
      <c r="J70" s="516" t="str">
        <f t="shared" si="56"/>
        <v>-</v>
      </c>
      <c r="K70" s="200" t="str">
        <f t="shared" si="57"/>
        <v>-</v>
      </c>
      <c r="L70" s="596"/>
      <c r="M70" s="511" t="e">
        <f>RANK(K70, K$67:$K$81)</f>
        <v>#VALUE!</v>
      </c>
      <c r="N70" s="614"/>
      <c r="O70" s="614"/>
      <c r="P70" s="520"/>
      <c r="Q70" s="521"/>
      <c r="R70" s="521"/>
      <c r="S70" s="520" t="e">
        <f t="shared" si="72"/>
        <v>#N/A</v>
      </c>
      <c r="T70" s="624"/>
      <c r="U70" s="520"/>
      <c r="V70" s="521"/>
      <c r="W70" s="521"/>
      <c r="X70" s="520" t="e">
        <f t="shared" si="58"/>
        <v>#N/A</v>
      </c>
      <c r="Y70" s="624"/>
      <c r="Z70" s="520"/>
      <c r="AA70" s="521"/>
      <c r="AB70" s="521"/>
      <c r="AC70" s="520" t="e">
        <f t="shared" si="60"/>
        <v>#N/A</v>
      </c>
      <c r="AD70" s="624"/>
      <c r="AE70" s="520"/>
      <c r="AF70" s="521"/>
      <c r="AG70" s="521"/>
      <c r="AH70" s="520" t="e">
        <f t="shared" si="62"/>
        <v>#N/A</v>
      </c>
      <c r="AI70" s="624"/>
      <c r="AJ70" s="520"/>
      <c r="AK70" s="521"/>
      <c r="AL70" s="521"/>
      <c r="AM70" s="520" t="e">
        <f t="shared" si="64"/>
        <v>#N/A</v>
      </c>
      <c r="AN70" s="624"/>
      <c r="AO70" s="520"/>
      <c r="AP70" s="521"/>
      <c r="AQ70" s="521"/>
      <c r="AR70" s="520" t="e">
        <f t="shared" si="66"/>
        <v>#N/A</v>
      </c>
      <c r="AS70" s="624"/>
      <c r="AT70" s="520"/>
      <c r="AU70" s="521"/>
      <c r="AV70" s="521"/>
      <c r="AW70" s="520" t="e">
        <f t="shared" si="68"/>
        <v>#N/A</v>
      </c>
      <c r="AX70" s="624"/>
      <c r="AZ70" s="532" t="e">
        <f t="shared" si="70"/>
        <v>#N/A</v>
      </c>
      <c r="BA70" s="624"/>
    </row>
    <row r="71" spans="2:53">
      <c r="B71" s="622"/>
      <c r="C71" s="306">
        <v>5</v>
      </c>
      <c r="D71" s="456"/>
      <c r="E71" s="521"/>
      <c r="F71" s="521"/>
      <c r="G71" s="521"/>
      <c r="H71" s="664"/>
      <c r="I71" s="516" t="str">
        <f t="shared" si="55"/>
        <v>-</v>
      </c>
      <c r="J71" s="516" t="str">
        <f t="shared" si="56"/>
        <v>-</v>
      </c>
      <c r="K71" s="200" t="str">
        <f t="shared" si="57"/>
        <v>-</v>
      </c>
      <c r="L71" s="596"/>
      <c r="M71" s="511" t="e">
        <f>RANK(K71, K$67:$K$81)</f>
        <v>#VALUE!</v>
      </c>
      <c r="N71" s="614"/>
      <c r="O71" s="614"/>
      <c r="P71" s="520"/>
      <c r="Q71" s="521"/>
      <c r="R71" s="521"/>
      <c r="S71" s="520" t="e">
        <f t="shared" si="72"/>
        <v>#N/A</v>
      </c>
      <c r="T71" s="624"/>
      <c r="U71" s="520"/>
      <c r="V71" s="521"/>
      <c r="W71" s="521"/>
      <c r="X71" s="520" t="e">
        <f t="shared" si="58"/>
        <v>#N/A</v>
      </c>
      <c r="Y71" s="624"/>
      <c r="Z71" s="520"/>
      <c r="AA71" s="521"/>
      <c r="AB71" s="521"/>
      <c r="AC71" s="520" t="e">
        <f t="shared" si="60"/>
        <v>#N/A</v>
      </c>
      <c r="AD71" s="624"/>
      <c r="AE71" s="520"/>
      <c r="AF71" s="521"/>
      <c r="AG71" s="521"/>
      <c r="AH71" s="520" t="e">
        <f t="shared" si="62"/>
        <v>#N/A</v>
      </c>
      <c r="AI71" s="624"/>
      <c r="AJ71" s="520"/>
      <c r="AK71" s="521"/>
      <c r="AL71" s="521"/>
      <c r="AM71" s="520" t="e">
        <f t="shared" si="64"/>
        <v>#N/A</v>
      </c>
      <c r="AN71" s="624"/>
      <c r="AO71" s="520"/>
      <c r="AP71" s="521"/>
      <c r="AQ71" s="521"/>
      <c r="AR71" s="520" t="e">
        <f t="shared" si="66"/>
        <v>#N/A</v>
      </c>
      <c r="AS71" s="624"/>
      <c r="AT71" s="520"/>
      <c r="AU71" s="521"/>
      <c r="AV71" s="521"/>
      <c r="AW71" s="520" t="e">
        <f t="shared" si="68"/>
        <v>#N/A</v>
      </c>
      <c r="AX71" s="624"/>
      <c r="AZ71" s="532" t="e">
        <f t="shared" si="70"/>
        <v>#N/A</v>
      </c>
      <c r="BA71" s="624"/>
    </row>
    <row r="72" spans="2:53">
      <c r="B72" s="622"/>
      <c r="C72" s="306">
        <v>6</v>
      </c>
      <c r="D72" s="456"/>
      <c r="E72" s="521"/>
      <c r="F72" s="521"/>
      <c r="G72" s="521"/>
      <c r="H72" s="664"/>
      <c r="I72" s="516" t="str">
        <f t="shared" si="55"/>
        <v>-</v>
      </c>
      <c r="J72" s="516" t="str">
        <f t="shared" si="56"/>
        <v>-</v>
      </c>
      <c r="K72" s="200" t="str">
        <f t="shared" si="57"/>
        <v>-</v>
      </c>
      <c r="L72" s="596"/>
      <c r="M72" s="511" t="e">
        <f>RANK(K72, K$67:$K$81)</f>
        <v>#VALUE!</v>
      </c>
      <c r="N72" s="614"/>
      <c r="O72" s="614"/>
      <c r="P72" s="520"/>
      <c r="Q72" s="521"/>
      <c r="R72" s="521"/>
      <c r="S72" s="520" t="e">
        <f t="shared" si="72"/>
        <v>#N/A</v>
      </c>
      <c r="T72" s="624"/>
      <c r="U72" s="520"/>
      <c r="V72" s="521"/>
      <c r="W72" s="521"/>
      <c r="X72" s="520" t="e">
        <f t="shared" si="58"/>
        <v>#N/A</v>
      </c>
      <c r="Y72" s="624"/>
      <c r="Z72" s="520"/>
      <c r="AA72" s="521"/>
      <c r="AB72" s="521"/>
      <c r="AC72" s="520" t="e">
        <f t="shared" si="60"/>
        <v>#N/A</v>
      </c>
      <c r="AD72" s="624"/>
      <c r="AE72" s="520"/>
      <c r="AF72" s="521"/>
      <c r="AG72" s="521"/>
      <c r="AH72" s="520" t="e">
        <f t="shared" si="62"/>
        <v>#N/A</v>
      </c>
      <c r="AI72" s="624"/>
      <c r="AJ72" s="520"/>
      <c r="AK72" s="521"/>
      <c r="AL72" s="521"/>
      <c r="AM72" s="520" t="e">
        <f t="shared" si="64"/>
        <v>#N/A</v>
      </c>
      <c r="AN72" s="624"/>
      <c r="AO72" s="520"/>
      <c r="AP72" s="521"/>
      <c r="AQ72" s="521"/>
      <c r="AR72" s="520" t="e">
        <f t="shared" si="66"/>
        <v>#N/A</v>
      </c>
      <c r="AS72" s="624"/>
      <c r="AT72" s="520"/>
      <c r="AU72" s="521"/>
      <c r="AV72" s="521"/>
      <c r="AW72" s="520" t="e">
        <f t="shared" si="68"/>
        <v>#N/A</v>
      </c>
      <c r="AX72" s="624"/>
      <c r="AZ72" s="532" t="e">
        <f t="shared" si="70"/>
        <v>#N/A</v>
      </c>
      <c r="BA72" s="624"/>
    </row>
    <row r="73" spans="2:53">
      <c r="B73" s="622"/>
      <c r="C73" s="306">
        <v>7</v>
      </c>
      <c r="D73" s="456"/>
      <c r="E73" s="521"/>
      <c r="F73" s="521"/>
      <c r="G73" s="521"/>
      <c r="H73" s="664"/>
      <c r="I73" s="516" t="str">
        <f t="shared" si="55"/>
        <v>-</v>
      </c>
      <c r="J73" s="516" t="str">
        <f t="shared" si="56"/>
        <v>-</v>
      </c>
      <c r="K73" s="200" t="str">
        <f t="shared" si="57"/>
        <v>-</v>
      </c>
      <c r="L73" s="596"/>
      <c r="M73" s="511" t="e">
        <f>RANK(K73, K$67:$K$81)</f>
        <v>#VALUE!</v>
      </c>
      <c r="N73" s="614"/>
      <c r="O73" s="614"/>
      <c r="P73" s="520"/>
      <c r="Q73" s="521"/>
      <c r="R73" s="521"/>
      <c r="S73" s="520" t="e">
        <f t="shared" si="72"/>
        <v>#N/A</v>
      </c>
      <c r="T73" s="624"/>
      <c r="U73" s="520"/>
      <c r="V73" s="521"/>
      <c r="W73" s="521"/>
      <c r="X73" s="520" t="e">
        <f t="shared" si="58"/>
        <v>#N/A</v>
      </c>
      <c r="Y73" s="624"/>
      <c r="Z73" s="520"/>
      <c r="AA73" s="521"/>
      <c r="AB73" s="521"/>
      <c r="AC73" s="520" t="e">
        <f t="shared" si="60"/>
        <v>#N/A</v>
      </c>
      <c r="AD73" s="624"/>
      <c r="AE73" s="520"/>
      <c r="AF73" s="521"/>
      <c r="AG73" s="521"/>
      <c r="AH73" s="520" t="e">
        <f t="shared" si="62"/>
        <v>#N/A</v>
      </c>
      <c r="AI73" s="624"/>
      <c r="AJ73" s="520"/>
      <c r="AK73" s="521"/>
      <c r="AL73" s="521"/>
      <c r="AM73" s="520" t="e">
        <f t="shared" si="64"/>
        <v>#N/A</v>
      </c>
      <c r="AN73" s="624"/>
      <c r="AO73" s="520"/>
      <c r="AP73" s="521"/>
      <c r="AQ73" s="521"/>
      <c r="AR73" s="520" t="e">
        <f t="shared" si="66"/>
        <v>#N/A</v>
      </c>
      <c r="AS73" s="624"/>
      <c r="AT73" s="520"/>
      <c r="AU73" s="521"/>
      <c r="AV73" s="521"/>
      <c r="AW73" s="520" t="e">
        <f t="shared" si="68"/>
        <v>#N/A</v>
      </c>
      <c r="AX73" s="624"/>
      <c r="AZ73" s="532" t="e">
        <f t="shared" si="70"/>
        <v>#N/A</v>
      </c>
      <c r="BA73" s="624"/>
    </row>
    <row r="74" spans="2:53">
      <c r="B74" s="622"/>
      <c r="C74" s="306">
        <v>8</v>
      </c>
      <c r="D74" s="343"/>
      <c r="E74" s="521"/>
      <c r="F74" s="521"/>
      <c r="G74" s="521"/>
      <c r="H74" s="664"/>
      <c r="I74" s="516" t="str">
        <f t="shared" si="55"/>
        <v>-</v>
      </c>
      <c r="J74" s="516" t="str">
        <f t="shared" si="56"/>
        <v>-</v>
      </c>
      <c r="K74" s="200" t="str">
        <f t="shared" si="57"/>
        <v>-</v>
      </c>
      <c r="L74" s="596"/>
      <c r="M74" s="511" t="e">
        <f>RANK(K74, K$67:$K$81)</f>
        <v>#VALUE!</v>
      </c>
      <c r="N74" s="614"/>
      <c r="O74" s="614"/>
      <c r="P74" s="520"/>
      <c r="Q74" s="521"/>
      <c r="R74" s="521"/>
      <c r="S74" s="520" t="e">
        <f t="shared" si="72"/>
        <v>#N/A</v>
      </c>
      <c r="T74" s="624"/>
      <c r="U74" s="520"/>
      <c r="V74" s="521"/>
      <c r="W74" s="521"/>
      <c r="X74" s="520" t="e">
        <f t="shared" si="58"/>
        <v>#N/A</v>
      </c>
      <c r="Y74" s="624"/>
      <c r="Z74" s="520"/>
      <c r="AA74" s="521"/>
      <c r="AB74" s="521"/>
      <c r="AC74" s="520" t="e">
        <f t="shared" si="60"/>
        <v>#N/A</v>
      </c>
      <c r="AD74" s="624"/>
      <c r="AE74" s="520"/>
      <c r="AF74" s="521"/>
      <c r="AG74" s="521"/>
      <c r="AH74" s="520" t="e">
        <f t="shared" si="62"/>
        <v>#N/A</v>
      </c>
      <c r="AI74" s="624"/>
      <c r="AJ74" s="520"/>
      <c r="AK74" s="521"/>
      <c r="AL74" s="521"/>
      <c r="AM74" s="520" t="e">
        <f t="shared" si="64"/>
        <v>#N/A</v>
      </c>
      <c r="AN74" s="624"/>
      <c r="AO74" s="520"/>
      <c r="AP74" s="521"/>
      <c r="AQ74" s="521"/>
      <c r="AR74" s="520" t="e">
        <f t="shared" si="66"/>
        <v>#N/A</v>
      </c>
      <c r="AS74" s="624"/>
      <c r="AT74" s="520"/>
      <c r="AU74" s="521"/>
      <c r="AV74" s="521"/>
      <c r="AW74" s="520" t="e">
        <f t="shared" si="68"/>
        <v>#N/A</v>
      </c>
      <c r="AX74" s="624"/>
      <c r="AZ74" s="532" t="e">
        <f t="shared" si="70"/>
        <v>#N/A</v>
      </c>
      <c r="BA74" s="624"/>
    </row>
    <row r="75" spans="2:53">
      <c r="B75" s="622"/>
      <c r="C75" s="306">
        <v>9</v>
      </c>
      <c r="D75" s="456"/>
      <c r="E75" s="521"/>
      <c r="F75" s="521"/>
      <c r="G75" s="521"/>
      <c r="H75" s="664"/>
      <c r="I75" s="516" t="str">
        <f t="shared" si="55"/>
        <v>-</v>
      </c>
      <c r="J75" s="516" t="str">
        <f t="shared" si="56"/>
        <v>-</v>
      </c>
      <c r="K75" s="200" t="str">
        <f t="shared" si="57"/>
        <v>-</v>
      </c>
      <c r="L75" s="596"/>
      <c r="M75" s="511" t="e">
        <f>RANK(K75, K$67:$K$81)</f>
        <v>#VALUE!</v>
      </c>
      <c r="N75" s="614"/>
      <c r="O75" s="614"/>
      <c r="P75" s="520"/>
      <c r="Q75" s="521"/>
      <c r="R75" s="521"/>
      <c r="S75" s="520" t="e">
        <f t="shared" si="72"/>
        <v>#N/A</v>
      </c>
      <c r="T75" s="624"/>
      <c r="U75" s="520"/>
      <c r="V75" s="521"/>
      <c r="W75" s="521"/>
      <c r="X75" s="520" t="e">
        <f t="shared" si="58"/>
        <v>#N/A</v>
      </c>
      <c r="Y75" s="624"/>
      <c r="Z75" s="520"/>
      <c r="AA75" s="521"/>
      <c r="AB75" s="521"/>
      <c r="AC75" s="520" t="e">
        <f t="shared" si="60"/>
        <v>#N/A</v>
      </c>
      <c r="AD75" s="624"/>
      <c r="AE75" s="520"/>
      <c r="AF75" s="521"/>
      <c r="AG75" s="521"/>
      <c r="AH75" s="520" t="e">
        <f t="shared" si="62"/>
        <v>#N/A</v>
      </c>
      <c r="AI75" s="624"/>
      <c r="AJ75" s="520"/>
      <c r="AK75" s="521"/>
      <c r="AL75" s="521"/>
      <c r="AM75" s="520" t="e">
        <f t="shared" si="64"/>
        <v>#N/A</v>
      </c>
      <c r="AN75" s="624"/>
      <c r="AO75" s="520"/>
      <c r="AP75" s="521"/>
      <c r="AQ75" s="521"/>
      <c r="AR75" s="520" t="e">
        <f t="shared" si="66"/>
        <v>#N/A</v>
      </c>
      <c r="AS75" s="624"/>
      <c r="AT75" s="520"/>
      <c r="AU75" s="521"/>
      <c r="AV75" s="521"/>
      <c r="AW75" s="520" t="e">
        <f t="shared" si="68"/>
        <v>#N/A</v>
      </c>
      <c r="AX75" s="624"/>
      <c r="AZ75" s="532" t="e">
        <f t="shared" si="70"/>
        <v>#N/A</v>
      </c>
      <c r="BA75" s="624"/>
    </row>
    <row r="76" spans="2:53">
      <c r="B76" s="622"/>
      <c r="C76" s="306">
        <v>10</v>
      </c>
      <c r="D76" s="456"/>
      <c r="E76" s="521"/>
      <c r="F76" s="521"/>
      <c r="G76" s="521"/>
      <c r="H76" s="664"/>
      <c r="I76" s="516" t="str">
        <f t="shared" si="55"/>
        <v>-</v>
      </c>
      <c r="J76" s="516" t="str">
        <f t="shared" si="56"/>
        <v>-</v>
      </c>
      <c r="K76" s="200" t="str">
        <f t="shared" si="57"/>
        <v>-</v>
      </c>
      <c r="L76" s="596"/>
      <c r="M76" s="511" t="e">
        <f>RANK(K76, K$67:$K$81)</f>
        <v>#VALUE!</v>
      </c>
      <c r="N76" s="614"/>
      <c r="O76" s="614"/>
      <c r="P76" s="520"/>
      <c r="Q76" s="521"/>
      <c r="R76" s="521"/>
      <c r="S76" s="520" t="e">
        <f t="shared" si="72"/>
        <v>#N/A</v>
      </c>
      <c r="T76" s="624"/>
      <c r="U76" s="520"/>
      <c r="V76" s="521"/>
      <c r="W76" s="521"/>
      <c r="X76" s="520" t="e">
        <f t="shared" si="58"/>
        <v>#N/A</v>
      </c>
      <c r="Y76" s="624"/>
      <c r="Z76" s="520"/>
      <c r="AA76" s="521"/>
      <c r="AB76" s="521"/>
      <c r="AC76" s="520" t="e">
        <f t="shared" si="60"/>
        <v>#N/A</v>
      </c>
      <c r="AD76" s="624"/>
      <c r="AE76" s="520"/>
      <c r="AF76" s="521"/>
      <c r="AG76" s="521"/>
      <c r="AH76" s="520" t="e">
        <f t="shared" si="62"/>
        <v>#N/A</v>
      </c>
      <c r="AI76" s="624"/>
      <c r="AJ76" s="520"/>
      <c r="AK76" s="521"/>
      <c r="AL76" s="521"/>
      <c r="AM76" s="520" t="e">
        <f t="shared" si="64"/>
        <v>#N/A</v>
      </c>
      <c r="AN76" s="624"/>
      <c r="AO76" s="520"/>
      <c r="AP76" s="521"/>
      <c r="AQ76" s="521"/>
      <c r="AR76" s="520" t="e">
        <f t="shared" si="66"/>
        <v>#N/A</v>
      </c>
      <c r="AS76" s="624"/>
      <c r="AT76" s="520"/>
      <c r="AU76" s="521"/>
      <c r="AV76" s="521"/>
      <c r="AW76" s="520" t="e">
        <f t="shared" si="68"/>
        <v>#N/A</v>
      </c>
      <c r="AX76" s="624"/>
      <c r="AZ76" s="532" t="e">
        <f t="shared" si="70"/>
        <v>#N/A</v>
      </c>
      <c r="BA76" s="624"/>
    </row>
    <row r="77" spans="2:53">
      <c r="B77" s="622"/>
      <c r="C77" s="306">
        <v>11</v>
      </c>
      <c r="D77" s="456"/>
      <c r="E77" s="521"/>
      <c r="F77" s="521"/>
      <c r="G77" s="521"/>
      <c r="H77" s="664"/>
      <c r="I77" s="516" t="str">
        <f t="shared" si="55"/>
        <v>-</v>
      </c>
      <c r="J77" s="516" t="str">
        <f t="shared" si="56"/>
        <v>-</v>
      </c>
      <c r="K77" s="200" t="str">
        <f t="shared" si="57"/>
        <v>-</v>
      </c>
      <c r="L77" s="596"/>
      <c r="M77" s="511" t="e">
        <f>RANK(K77, K$67:$K$81)</f>
        <v>#VALUE!</v>
      </c>
      <c r="N77" s="614"/>
      <c r="O77" s="614"/>
      <c r="P77" s="520"/>
      <c r="Q77" s="521"/>
      <c r="R77" s="521"/>
      <c r="S77" s="520" t="e">
        <f t="shared" si="72"/>
        <v>#N/A</v>
      </c>
      <c r="T77" s="624"/>
      <c r="U77" s="520"/>
      <c r="V77" s="521"/>
      <c r="W77" s="521"/>
      <c r="X77" s="520" t="e">
        <f t="shared" si="58"/>
        <v>#N/A</v>
      </c>
      <c r="Y77" s="624"/>
      <c r="Z77" s="520"/>
      <c r="AA77" s="521"/>
      <c r="AB77" s="521"/>
      <c r="AC77" s="520" t="e">
        <f t="shared" si="60"/>
        <v>#N/A</v>
      </c>
      <c r="AD77" s="624"/>
      <c r="AE77" s="520"/>
      <c r="AF77" s="521"/>
      <c r="AG77" s="521"/>
      <c r="AH77" s="520" t="e">
        <f t="shared" si="62"/>
        <v>#N/A</v>
      </c>
      <c r="AI77" s="624"/>
      <c r="AJ77" s="520"/>
      <c r="AK77" s="521"/>
      <c r="AL77" s="521"/>
      <c r="AM77" s="520" t="e">
        <f t="shared" si="64"/>
        <v>#N/A</v>
      </c>
      <c r="AN77" s="624"/>
      <c r="AO77" s="520"/>
      <c r="AP77" s="521"/>
      <c r="AQ77" s="521"/>
      <c r="AR77" s="520" t="e">
        <f t="shared" si="66"/>
        <v>#N/A</v>
      </c>
      <c r="AS77" s="624"/>
      <c r="AT77" s="520"/>
      <c r="AU77" s="521"/>
      <c r="AV77" s="521"/>
      <c r="AW77" s="520" t="e">
        <f t="shared" si="68"/>
        <v>#N/A</v>
      </c>
      <c r="AX77" s="624"/>
      <c r="AZ77" s="532" t="e">
        <f t="shared" si="70"/>
        <v>#N/A</v>
      </c>
      <c r="BA77" s="624"/>
    </row>
    <row r="78" spans="2:53">
      <c r="B78" s="622"/>
      <c r="C78" s="306">
        <v>12</v>
      </c>
      <c r="D78" s="456"/>
      <c r="E78" s="521"/>
      <c r="F78" s="521"/>
      <c r="G78" s="521"/>
      <c r="H78" s="664"/>
      <c r="I78" s="516" t="str">
        <f t="shared" si="55"/>
        <v>-</v>
      </c>
      <c r="J78" s="516" t="str">
        <f t="shared" si="56"/>
        <v>-</v>
      </c>
      <c r="K78" s="200" t="str">
        <f t="shared" si="57"/>
        <v>-</v>
      </c>
      <c r="L78" s="596"/>
      <c r="M78" s="511" t="e">
        <f>RANK(K78, K$67:$K$81)</f>
        <v>#VALUE!</v>
      </c>
      <c r="N78" s="614"/>
      <c r="O78" s="614"/>
      <c r="P78" s="520"/>
      <c r="Q78" s="521"/>
      <c r="R78" s="521"/>
      <c r="S78" s="520" t="e">
        <f t="shared" si="72"/>
        <v>#N/A</v>
      </c>
      <c r="T78" s="624"/>
      <c r="U78" s="520"/>
      <c r="V78" s="521"/>
      <c r="W78" s="521"/>
      <c r="X78" s="520" t="e">
        <f t="shared" si="58"/>
        <v>#N/A</v>
      </c>
      <c r="Y78" s="624"/>
      <c r="Z78" s="520"/>
      <c r="AA78" s="521"/>
      <c r="AB78" s="521"/>
      <c r="AC78" s="520" t="e">
        <f t="shared" si="60"/>
        <v>#N/A</v>
      </c>
      <c r="AD78" s="624"/>
      <c r="AE78" s="520"/>
      <c r="AF78" s="521"/>
      <c r="AG78" s="521"/>
      <c r="AH78" s="520" t="e">
        <f t="shared" si="62"/>
        <v>#N/A</v>
      </c>
      <c r="AI78" s="624"/>
      <c r="AJ78" s="520"/>
      <c r="AK78" s="521"/>
      <c r="AL78" s="521"/>
      <c r="AM78" s="520" t="e">
        <f t="shared" si="64"/>
        <v>#N/A</v>
      </c>
      <c r="AN78" s="624"/>
      <c r="AO78" s="520"/>
      <c r="AP78" s="521"/>
      <c r="AQ78" s="521"/>
      <c r="AR78" s="520" t="e">
        <f t="shared" si="66"/>
        <v>#N/A</v>
      </c>
      <c r="AS78" s="624"/>
      <c r="AT78" s="520"/>
      <c r="AU78" s="521"/>
      <c r="AV78" s="521"/>
      <c r="AW78" s="520" t="e">
        <f t="shared" si="68"/>
        <v>#N/A</v>
      </c>
      <c r="AX78" s="624"/>
      <c r="AZ78" s="532" t="e">
        <f t="shared" si="70"/>
        <v>#N/A</v>
      </c>
      <c r="BA78" s="624"/>
    </row>
    <row r="79" spans="2:53">
      <c r="B79" s="622"/>
      <c r="C79" s="306">
        <v>13</v>
      </c>
      <c r="D79" s="456"/>
      <c r="E79" s="521"/>
      <c r="F79" s="521"/>
      <c r="G79" s="521"/>
      <c r="H79" s="664"/>
      <c r="I79" s="516" t="str">
        <f t="shared" si="55"/>
        <v>-</v>
      </c>
      <c r="J79" s="516" t="str">
        <f t="shared" si="56"/>
        <v>-</v>
      </c>
      <c r="K79" s="200" t="str">
        <f t="shared" si="57"/>
        <v>-</v>
      </c>
      <c r="L79" s="596"/>
      <c r="M79" s="511" t="e">
        <f>RANK(K79, K$67:$K$81)</f>
        <v>#VALUE!</v>
      </c>
      <c r="N79" s="614"/>
      <c r="O79" s="614"/>
      <c r="P79" s="520"/>
      <c r="Q79" s="521"/>
      <c r="R79" s="521"/>
      <c r="S79" s="520" t="e">
        <f t="shared" si="72"/>
        <v>#N/A</v>
      </c>
      <c r="T79" s="624"/>
      <c r="U79" s="520"/>
      <c r="V79" s="521"/>
      <c r="W79" s="521"/>
      <c r="X79" s="520" t="e">
        <f t="shared" si="58"/>
        <v>#N/A</v>
      </c>
      <c r="Y79" s="624"/>
      <c r="Z79" s="520"/>
      <c r="AA79" s="521"/>
      <c r="AB79" s="521"/>
      <c r="AC79" s="520" t="e">
        <f t="shared" si="60"/>
        <v>#N/A</v>
      </c>
      <c r="AD79" s="624"/>
      <c r="AE79" s="520"/>
      <c r="AF79" s="521"/>
      <c r="AG79" s="521"/>
      <c r="AH79" s="520" t="e">
        <f t="shared" si="62"/>
        <v>#N/A</v>
      </c>
      <c r="AI79" s="624"/>
      <c r="AJ79" s="520"/>
      <c r="AK79" s="521"/>
      <c r="AL79" s="521"/>
      <c r="AM79" s="520" t="e">
        <f t="shared" si="64"/>
        <v>#N/A</v>
      </c>
      <c r="AN79" s="624"/>
      <c r="AO79" s="520"/>
      <c r="AP79" s="521"/>
      <c r="AQ79" s="521"/>
      <c r="AR79" s="520" t="e">
        <f t="shared" si="66"/>
        <v>#N/A</v>
      </c>
      <c r="AS79" s="624"/>
      <c r="AT79" s="520"/>
      <c r="AU79" s="521"/>
      <c r="AV79" s="521"/>
      <c r="AW79" s="520" t="e">
        <f t="shared" si="68"/>
        <v>#N/A</v>
      </c>
      <c r="AX79" s="624"/>
      <c r="AZ79" s="532" t="e">
        <f t="shared" si="70"/>
        <v>#N/A</v>
      </c>
      <c r="BA79" s="624"/>
    </row>
    <row r="80" spans="2:53">
      <c r="B80" s="622"/>
      <c r="C80" s="306">
        <v>14</v>
      </c>
      <c r="D80" s="456"/>
      <c r="E80" s="521"/>
      <c r="F80" s="521"/>
      <c r="G80" s="521"/>
      <c r="H80" s="664"/>
      <c r="I80" s="516" t="str">
        <f t="shared" si="55"/>
        <v>-</v>
      </c>
      <c r="J80" s="516" t="str">
        <f t="shared" si="56"/>
        <v>-</v>
      </c>
      <c r="K80" s="200" t="str">
        <f t="shared" si="57"/>
        <v>-</v>
      </c>
      <c r="L80" s="596"/>
      <c r="M80" s="511" t="e">
        <f>RANK(K80, K$67:$K$81)</f>
        <v>#VALUE!</v>
      </c>
      <c r="N80" s="614"/>
      <c r="O80" s="614"/>
      <c r="P80" s="520"/>
      <c r="Q80" s="521"/>
      <c r="R80" s="521"/>
      <c r="S80" s="520" t="e">
        <f t="shared" si="72"/>
        <v>#N/A</v>
      </c>
      <c r="T80" s="624"/>
      <c r="U80" s="520"/>
      <c r="V80" s="521"/>
      <c r="W80" s="521"/>
      <c r="X80" s="520" t="e">
        <f t="shared" si="58"/>
        <v>#N/A</v>
      </c>
      <c r="Y80" s="624"/>
      <c r="Z80" s="520"/>
      <c r="AA80" s="521"/>
      <c r="AB80" s="521"/>
      <c r="AC80" s="520" t="e">
        <f t="shared" si="60"/>
        <v>#N/A</v>
      </c>
      <c r="AD80" s="624"/>
      <c r="AE80" s="520"/>
      <c r="AF80" s="521"/>
      <c r="AG80" s="521"/>
      <c r="AH80" s="520" t="e">
        <f t="shared" si="62"/>
        <v>#N/A</v>
      </c>
      <c r="AI80" s="624"/>
      <c r="AJ80" s="520"/>
      <c r="AK80" s="521"/>
      <c r="AL80" s="521"/>
      <c r="AM80" s="520" t="e">
        <f t="shared" si="64"/>
        <v>#N/A</v>
      </c>
      <c r="AN80" s="624"/>
      <c r="AO80" s="520"/>
      <c r="AP80" s="521"/>
      <c r="AQ80" s="521"/>
      <c r="AR80" s="520" t="e">
        <f t="shared" si="66"/>
        <v>#N/A</v>
      </c>
      <c r="AS80" s="624"/>
      <c r="AT80" s="520"/>
      <c r="AU80" s="521"/>
      <c r="AV80" s="521"/>
      <c r="AW80" s="520" t="e">
        <f t="shared" si="68"/>
        <v>#N/A</v>
      </c>
      <c r="AX80" s="624"/>
      <c r="AZ80" s="532" t="e">
        <f t="shared" si="70"/>
        <v>#N/A</v>
      </c>
      <c r="BA80" s="624"/>
    </row>
    <row r="81" spans="2:53">
      <c r="B81" s="622"/>
      <c r="C81" s="306">
        <v>15</v>
      </c>
      <c r="D81" s="456"/>
      <c r="E81" s="521"/>
      <c r="F81" s="521"/>
      <c r="G81" s="521"/>
      <c r="H81" s="665"/>
      <c r="I81" s="516" t="str">
        <f t="shared" si="55"/>
        <v>-</v>
      </c>
      <c r="J81" s="516" t="str">
        <f t="shared" si="56"/>
        <v>-</v>
      </c>
      <c r="K81" s="200" t="str">
        <f t="shared" si="57"/>
        <v>-</v>
      </c>
      <c r="L81" s="597"/>
      <c r="M81" s="511" t="e">
        <f>RANK(K81, K$67:$K$81)</f>
        <v>#VALUE!</v>
      </c>
      <c r="N81" s="614"/>
      <c r="O81" s="614"/>
      <c r="P81" s="520"/>
      <c r="Q81" s="521"/>
      <c r="R81" s="521"/>
      <c r="S81" s="520" t="e">
        <f t="shared" si="72"/>
        <v>#N/A</v>
      </c>
      <c r="T81" s="625"/>
      <c r="U81" s="520"/>
      <c r="V81" s="521"/>
      <c r="W81" s="521"/>
      <c r="X81" s="520" t="e">
        <f t="shared" si="58"/>
        <v>#N/A</v>
      </c>
      <c r="Y81" s="625"/>
      <c r="Z81" s="520"/>
      <c r="AA81" s="521"/>
      <c r="AB81" s="521"/>
      <c r="AC81" s="520" t="e">
        <f t="shared" si="60"/>
        <v>#N/A</v>
      </c>
      <c r="AD81" s="625"/>
      <c r="AE81" s="520"/>
      <c r="AF81" s="521"/>
      <c r="AG81" s="521"/>
      <c r="AH81" s="520" t="e">
        <f t="shared" si="62"/>
        <v>#N/A</v>
      </c>
      <c r="AI81" s="625"/>
      <c r="AJ81" s="520"/>
      <c r="AK81" s="521"/>
      <c r="AL81" s="521"/>
      <c r="AM81" s="520" t="e">
        <f t="shared" si="64"/>
        <v>#N/A</v>
      </c>
      <c r="AN81" s="625"/>
      <c r="AO81" s="520"/>
      <c r="AP81" s="521"/>
      <c r="AQ81" s="521"/>
      <c r="AR81" s="520" t="e">
        <f t="shared" si="66"/>
        <v>#N/A</v>
      </c>
      <c r="AS81" s="625"/>
      <c r="AT81" s="520"/>
      <c r="AU81" s="521"/>
      <c r="AV81" s="521"/>
      <c r="AW81" s="520" t="e">
        <f t="shared" si="68"/>
        <v>#N/A</v>
      </c>
      <c r="AX81" s="625"/>
      <c r="AZ81" s="532" t="e">
        <f t="shared" si="70"/>
        <v>#N/A</v>
      </c>
      <c r="BA81" s="625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424</v>
      </c>
      <c r="C84" s="614" t="s">
        <v>425</v>
      </c>
      <c r="D84" s="614"/>
      <c r="E84" s="614" t="s">
        <v>426</v>
      </c>
      <c r="F84" s="614"/>
      <c r="G84" s="614"/>
      <c r="H84" s="630" t="s">
        <v>427</v>
      </c>
      <c r="I84" s="598" t="s">
        <v>428</v>
      </c>
      <c r="J84" s="598"/>
      <c r="K84" s="598"/>
      <c r="L84" s="599" t="s">
        <v>427</v>
      </c>
      <c r="M84" s="605" t="s">
        <v>429</v>
      </c>
      <c r="N84" s="614"/>
      <c r="O84" s="614" t="s">
        <v>430</v>
      </c>
      <c r="P84" s="611" t="s">
        <v>431</v>
      </c>
      <c r="Q84" s="612"/>
      <c r="R84" s="612"/>
      <c r="S84" s="613"/>
      <c r="T84" s="614" t="s">
        <v>427</v>
      </c>
      <c r="U84" s="611" t="s">
        <v>431</v>
      </c>
      <c r="V84" s="612"/>
      <c r="W84" s="612"/>
      <c r="X84" s="613"/>
      <c r="Y84" s="614" t="s">
        <v>427</v>
      </c>
      <c r="Z84" s="611" t="s">
        <v>431</v>
      </c>
      <c r="AA84" s="612"/>
      <c r="AB84" s="612"/>
      <c r="AC84" s="613"/>
      <c r="AD84" s="614" t="s">
        <v>427</v>
      </c>
      <c r="AE84" s="611" t="s">
        <v>431</v>
      </c>
      <c r="AF84" s="612"/>
      <c r="AG84" s="612"/>
      <c r="AH84" s="613"/>
      <c r="AI84" s="614" t="s">
        <v>427</v>
      </c>
      <c r="AJ84" s="611" t="s">
        <v>431</v>
      </c>
      <c r="AK84" s="612"/>
      <c r="AL84" s="612"/>
      <c r="AM84" s="613"/>
      <c r="AN84" s="614" t="s">
        <v>427</v>
      </c>
      <c r="AO84" s="611" t="s">
        <v>431</v>
      </c>
      <c r="AP84" s="612"/>
      <c r="AQ84" s="612"/>
      <c r="AR84" s="613"/>
      <c r="AS84" s="614" t="s">
        <v>427</v>
      </c>
      <c r="AT84" s="611" t="s">
        <v>431</v>
      </c>
      <c r="AU84" s="612"/>
      <c r="AV84" s="612"/>
      <c r="AW84" s="613"/>
      <c r="AX84" s="614" t="s">
        <v>427</v>
      </c>
      <c r="BA84" s="614" t="s">
        <v>395</v>
      </c>
    </row>
    <row r="85" spans="2:53">
      <c r="B85" s="614"/>
      <c r="C85" s="614"/>
      <c r="D85" s="614"/>
      <c r="E85" s="614" t="s">
        <v>432</v>
      </c>
      <c r="F85" s="614"/>
      <c r="G85" s="614"/>
      <c r="H85" s="631"/>
      <c r="I85" s="598" t="s">
        <v>432</v>
      </c>
      <c r="J85" s="598"/>
      <c r="K85" s="598"/>
      <c r="L85" s="600"/>
      <c r="M85" s="606"/>
      <c r="N85" s="614"/>
      <c r="O85" s="614"/>
      <c r="P85" s="611" t="s">
        <v>433</v>
      </c>
      <c r="Q85" s="612"/>
      <c r="R85" s="612"/>
      <c r="S85" s="613"/>
      <c r="T85" s="614"/>
      <c r="U85" s="611" t="s">
        <v>433</v>
      </c>
      <c r="V85" s="612"/>
      <c r="W85" s="612"/>
      <c r="X85" s="613"/>
      <c r="Y85" s="614"/>
      <c r="Z85" s="611" t="s">
        <v>433</v>
      </c>
      <c r="AA85" s="612"/>
      <c r="AB85" s="612"/>
      <c r="AC85" s="613"/>
      <c r="AD85" s="614"/>
      <c r="AE85" s="611" t="s">
        <v>433</v>
      </c>
      <c r="AF85" s="612"/>
      <c r="AG85" s="612"/>
      <c r="AH85" s="613"/>
      <c r="AI85" s="614"/>
      <c r="AJ85" s="611" t="s">
        <v>433</v>
      </c>
      <c r="AK85" s="612"/>
      <c r="AL85" s="612"/>
      <c r="AM85" s="613"/>
      <c r="AN85" s="614"/>
      <c r="AO85" s="611" t="s">
        <v>433</v>
      </c>
      <c r="AP85" s="612"/>
      <c r="AQ85" s="612"/>
      <c r="AR85" s="613"/>
      <c r="AS85" s="614"/>
      <c r="AT85" s="611" t="s">
        <v>433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299" t="s">
        <v>434</v>
      </c>
      <c r="F86" s="299" t="s">
        <v>435</v>
      </c>
      <c r="G86" s="299" t="s">
        <v>436</v>
      </c>
      <c r="H86" s="632"/>
      <c r="I86" s="300" t="s">
        <v>434</v>
      </c>
      <c r="J86" s="300" t="s">
        <v>435</v>
      </c>
      <c r="K86" s="300" t="s">
        <v>436</v>
      </c>
      <c r="L86" s="601"/>
      <c r="M86" s="607"/>
      <c r="N86" s="614"/>
      <c r="O86" s="614"/>
      <c r="P86" s="299" t="s">
        <v>434</v>
      </c>
      <c r="Q86" s="299" t="s">
        <v>435</v>
      </c>
      <c r="R86" s="299" t="s">
        <v>436</v>
      </c>
      <c r="S86" s="299" t="s">
        <v>429</v>
      </c>
      <c r="T86" s="614"/>
      <c r="U86" s="299" t="s">
        <v>434</v>
      </c>
      <c r="V86" s="299" t="s">
        <v>435</v>
      </c>
      <c r="W86" s="299" t="s">
        <v>436</v>
      </c>
      <c r="X86" s="299" t="s">
        <v>429</v>
      </c>
      <c r="Y86" s="614"/>
      <c r="Z86" s="299" t="s">
        <v>434</v>
      </c>
      <c r="AA86" s="299" t="s">
        <v>435</v>
      </c>
      <c r="AB86" s="299" t="s">
        <v>436</v>
      </c>
      <c r="AC86" s="299" t="s">
        <v>429</v>
      </c>
      <c r="AD86" s="614"/>
      <c r="AE86" s="299" t="s">
        <v>434</v>
      </c>
      <c r="AF86" s="299" t="s">
        <v>435</v>
      </c>
      <c r="AG86" s="299" t="s">
        <v>436</v>
      </c>
      <c r="AH86" s="299" t="s">
        <v>429</v>
      </c>
      <c r="AI86" s="614"/>
      <c r="AJ86" s="299" t="s">
        <v>434</v>
      </c>
      <c r="AK86" s="299" t="s">
        <v>435</v>
      </c>
      <c r="AL86" s="299" t="s">
        <v>436</v>
      </c>
      <c r="AM86" s="299" t="s">
        <v>429</v>
      </c>
      <c r="AN86" s="614"/>
      <c r="AO86" s="299" t="s">
        <v>434</v>
      </c>
      <c r="AP86" s="299" t="s">
        <v>435</v>
      </c>
      <c r="AQ86" s="299" t="s">
        <v>436</v>
      </c>
      <c r="AR86" s="299" t="s">
        <v>429</v>
      </c>
      <c r="AS86" s="614"/>
      <c r="AT86" s="299" t="s">
        <v>434</v>
      </c>
      <c r="AU86" s="299" t="s">
        <v>435</v>
      </c>
      <c r="AV86" s="299" t="s">
        <v>436</v>
      </c>
      <c r="AW86" s="299" t="s">
        <v>429</v>
      </c>
      <c r="AX86" s="614"/>
      <c r="AZ86" s="530" t="s">
        <v>396</v>
      </c>
      <c r="BA86" s="614"/>
    </row>
    <row r="87" spans="2:53">
      <c r="B87" s="662" t="s">
        <v>437</v>
      </c>
      <c r="C87" s="298">
        <v>1</v>
      </c>
      <c r="D87" s="487"/>
      <c r="E87" s="487"/>
      <c r="F87" s="487"/>
      <c r="G87" s="182"/>
      <c r="H87" s="663" t="e">
        <f>AVERAGE(G87:G101)</f>
        <v>#DIV/0!</v>
      </c>
      <c r="I87" s="516" t="str">
        <f t="shared" ref="I87:I101" si="73">IFERROR(AVERAGE(P87,U87,Z87,AE87,AJ87,AO87,AT87),"-")</f>
        <v>-</v>
      </c>
      <c r="J87" s="516" t="str">
        <f t="shared" ref="J87:J101" si="74">IFERROR(AVERAGE(Q87,V87,AA87,AF87,AK87,AP87,AU87),"-")</f>
        <v>-</v>
      </c>
      <c r="K87" s="200" t="str">
        <f t="shared" ref="K87:K101" si="75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509"/>
      <c r="Q87" s="510"/>
      <c r="R87" s="510"/>
      <c r="S87" s="298" t="e">
        <f>RANK(R87, R$87:R$101)</f>
        <v>#N/A</v>
      </c>
      <c r="T87" s="636" t="e">
        <f>AVERAGE(R87:R101)</f>
        <v>#DIV/0!</v>
      </c>
      <c r="U87" s="509"/>
      <c r="V87" s="510"/>
      <c r="W87" s="510"/>
      <c r="X87" s="442" t="e">
        <f t="shared" ref="X87:X101" si="76">RANK(W87, W$87:W$101)</f>
        <v>#N/A</v>
      </c>
      <c r="Y87" s="636" t="e">
        <f t="shared" ref="Y87" si="77">AVERAGE(W87:W101)</f>
        <v>#DIV/0!</v>
      </c>
      <c r="Z87" s="509"/>
      <c r="AA87" s="510"/>
      <c r="AB87" s="510"/>
      <c r="AC87" s="442" t="e">
        <f t="shared" ref="AC87:AC101" si="78">RANK(AB87, AB$87:AB$101)</f>
        <v>#N/A</v>
      </c>
      <c r="AD87" s="636" t="e">
        <f t="shared" ref="AD87" si="79">AVERAGE(AB87:AB101)</f>
        <v>#DIV/0!</v>
      </c>
      <c r="AE87" s="509"/>
      <c r="AF87" s="510"/>
      <c r="AG87" s="510"/>
      <c r="AH87" s="442" t="e">
        <f t="shared" ref="AH87:AH101" si="80">RANK(AG87, AG$87:AG$101)</f>
        <v>#N/A</v>
      </c>
      <c r="AI87" s="636" t="e">
        <f t="shared" ref="AI87" si="81">AVERAGE(AG87:AG101)</f>
        <v>#DIV/0!</v>
      </c>
      <c r="AJ87" s="509"/>
      <c r="AK87" s="510"/>
      <c r="AL87" s="510"/>
      <c r="AM87" s="442" t="e">
        <f t="shared" ref="AM87:AM101" si="82">RANK(AL87, AL$87:AL$101)</f>
        <v>#N/A</v>
      </c>
      <c r="AN87" s="636" t="e">
        <f t="shared" ref="AN87" si="83">AVERAGE(AL87:AL101)</f>
        <v>#DIV/0!</v>
      </c>
      <c r="AO87" s="509"/>
      <c r="AP87" s="510"/>
      <c r="AQ87" s="510"/>
      <c r="AR87" s="442" t="e">
        <f t="shared" ref="AR87:AR101" si="84">RANK(AQ87, AQ$87:AQ$101)</f>
        <v>#N/A</v>
      </c>
      <c r="AS87" s="636" t="e">
        <f t="shared" ref="AS87" si="85">AVERAGE(AQ87:AQ101)</f>
        <v>#DIV/0!</v>
      </c>
      <c r="AT87" s="509"/>
      <c r="AU87" s="510"/>
      <c r="AV87" s="510"/>
      <c r="AW87" s="442" t="e">
        <f t="shared" ref="AW87:AW101" si="86">RANK(AV87, AV$87:AV$101)</f>
        <v>#N/A</v>
      </c>
      <c r="AX87" s="636" t="e">
        <f t="shared" ref="AX87" si="87">AVERAGE(AV87:AV101)</f>
        <v>#DIV/0!</v>
      </c>
      <c r="AZ87" s="529" t="e">
        <f t="shared" ref="AZ87:AZ101" si="88">RANK(AY87, AY$87:AY$101)</f>
        <v>#N/A</v>
      </c>
      <c r="BA87" s="636" t="e">
        <f t="shared" ref="BA87" si="89">AVERAGE(AY87:AY101)</f>
        <v>#DIV/0!</v>
      </c>
    </row>
    <row r="88" spans="2:53">
      <c r="B88" s="622"/>
      <c r="C88" s="298">
        <v>2</v>
      </c>
      <c r="D88" s="487"/>
      <c r="E88" s="487"/>
      <c r="F88" s="487"/>
      <c r="G88" s="182"/>
      <c r="H88" s="664"/>
      <c r="I88" s="516" t="str">
        <f t="shared" si="73"/>
        <v>-</v>
      </c>
      <c r="J88" s="516" t="str">
        <f t="shared" si="74"/>
        <v>-</v>
      </c>
      <c r="K88" s="200" t="str">
        <f t="shared" si="75"/>
        <v>-</v>
      </c>
      <c r="L88" s="596"/>
      <c r="M88" s="201" t="e">
        <f>RANK(K88, K$87:$K$101)</f>
        <v>#VALUE!</v>
      </c>
      <c r="N88" s="614"/>
      <c r="O88" s="614"/>
      <c r="P88" s="509"/>
      <c r="Q88" s="510"/>
      <c r="R88" s="510"/>
      <c r="S88" s="298" t="e">
        <f t="shared" ref="S88:S101" si="90">RANK(R88, R$87:R$101)</f>
        <v>#N/A</v>
      </c>
      <c r="T88" s="636"/>
      <c r="U88" s="509"/>
      <c r="V88" s="510"/>
      <c r="W88" s="510"/>
      <c r="X88" s="442" t="e">
        <f t="shared" si="76"/>
        <v>#N/A</v>
      </c>
      <c r="Y88" s="636"/>
      <c r="Z88" s="509"/>
      <c r="AA88" s="510"/>
      <c r="AB88" s="510"/>
      <c r="AC88" s="442" t="e">
        <f t="shared" si="78"/>
        <v>#N/A</v>
      </c>
      <c r="AD88" s="636"/>
      <c r="AE88" s="509"/>
      <c r="AF88" s="510"/>
      <c r="AG88" s="510"/>
      <c r="AH88" s="442" t="e">
        <f t="shared" si="80"/>
        <v>#N/A</v>
      </c>
      <c r="AI88" s="636"/>
      <c r="AJ88" s="509"/>
      <c r="AK88" s="510"/>
      <c r="AL88" s="510"/>
      <c r="AM88" s="442" t="e">
        <f t="shared" si="82"/>
        <v>#N/A</v>
      </c>
      <c r="AN88" s="636"/>
      <c r="AO88" s="509"/>
      <c r="AP88" s="510"/>
      <c r="AQ88" s="510"/>
      <c r="AR88" s="442" t="e">
        <f t="shared" si="84"/>
        <v>#N/A</v>
      </c>
      <c r="AS88" s="636"/>
      <c r="AT88" s="509"/>
      <c r="AU88" s="510"/>
      <c r="AV88" s="510"/>
      <c r="AW88" s="442" t="e">
        <f t="shared" si="86"/>
        <v>#N/A</v>
      </c>
      <c r="AX88" s="636"/>
      <c r="AZ88" s="529" t="e">
        <f t="shared" si="88"/>
        <v>#N/A</v>
      </c>
      <c r="BA88" s="636"/>
    </row>
    <row r="89" spans="2:53">
      <c r="B89" s="622"/>
      <c r="C89" s="298">
        <v>3</v>
      </c>
      <c r="D89" s="487"/>
      <c r="E89" s="487"/>
      <c r="F89" s="487"/>
      <c r="G89" s="182"/>
      <c r="H89" s="664"/>
      <c r="I89" s="516" t="str">
        <f t="shared" si="73"/>
        <v>-</v>
      </c>
      <c r="J89" s="516" t="str">
        <f t="shared" si="74"/>
        <v>-</v>
      </c>
      <c r="K89" s="200" t="str">
        <f t="shared" si="75"/>
        <v>-</v>
      </c>
      <c r="L89" s="596"/>
      <c r="M89" s="201" t="e">
        <f>RANK(K89, K$87:$K$101)</f>
        <v>#VALUE!</v>
      </c>
      <c r="N89" s="614"/>
      <c r="O89" s="614"/>
      <c r="P89" s="509"/>
      <c r="Q89" s="510"/>
      <c r="R89" s="510"/>
      <c r="S89" s="298" t="e">
        <f t="shared" si="90"/>
        <v>#N/A</v>
      </c>
      <c r="T89" s="636"/>
      <c r="U89" s="509"/>
      <c r="V89" s="510"/>
      <c r="W89" s="510"/>
      <c r="X89" s="442" t="e">
        <f t="shared" si="76"/>
        <v>#N/A</v>
      </c>
      <c r="Y89" s="636"/>
      <c r="Z89" s="509"/>
      <c r="AA89" s="510"/>
      <c r="AB89" s="510"/>
      <c r="AC89" s="442" t="e">
        <f t="shared" si="78"/>
        <v>#N/A</v>
      </c>
      <c r="AD89" s="636"/>
      <c r="AE89" s="509"/>
      <c r="AF89" s="510"/>
      <c r="AG89" s="510"/>
      <c r="AH89" s="442" t="e">
        <f t="shared" si="80"/>
        <v>#N/A</v>
      </c>
      <c r="AI89" s="636"/>
      <c r="AJ89" s="509"/>
      <c r="AK89" s="510"/>
      <c r="AL89" s="510"/>
      <c r="AM89" s="442" t="e">
        <f t="shared" si="82"/>
        <v>#N/A</v>
      </c>
      <c r="AN89" s="636"/>
      <c r="AO89" s="509"/>
      <c r="AP89" s="510"/>
      <c r="AQ89" s="510"/>
      <c r="AR89" s="442" t="e">
        <f t="shared" si="84"/>
        <v>#N/A</v>
      </c>
      <c r="AS89" s="636"/>
      <c r="AT89" s="509"/>
      <c r="AU89" s="510"/>
      <c r="AV89" s="510"/>
      <c r="AW89" s="442" t="e">
        <f t="shared" si="86"/>
        <v>#N/A</v>
      </c>
      <c r="AX89" s="636"/>
      <c r="AZ89" s="529" t="e">
        <f t="shared" si="88"/>
        <v>#N/A</v>
      </c>
      <c r="BA89" s="636"/>
    </row>
    <row r="90" spans="2:53">
      <c r="B90" s="622"/>
      <c r="C90" s="298">
        <v>4</v>
      </c>
      <c r="D90" s="487"/>
      <c r="E90" s="487"/>
      <c r="F90" s="487"/>
      <c r="G90" s="182"/>
      <c r="H90" s="664"/>
      <c r="I90" s="516" t="str">
        <f t="shared" si="73"/>
        <v>-</v>
      </c>
      <c r="J90" s="516" t="str">
        <f t="shared" si="74"/>
        <v>-</v>
      </c>
      <c r="K90" s="200" t="str">
        <f t="shared" si="75"/>
        <v>-</v>
      </c>
      <c r="L90" s="596"/>
      <c r="M90" s="201" t="e">
        <f>RANK(K90, K$87:$K$101)</f>
        <v>#VALUE!</v>
      </c>
      <c r="N90" s="614"/>
      <c r="O90" s="614"/>
      <c r="P90" s="509"/>
      <c r="Q90" s="510"/>
      <c r="R90" s="510"/>
      <c r="S90" s="298" t="e">
        <f t="shared" si="90"/>
        <v>#N/A</v>
      </c>
      <c r="T90" s="636"/>
      <c r="U90" s="509"/>
      <c r="V90" s="510"/>
      <c r="W90" s="510"/>
      <c r="X90" s="442" t="e">
        <f t="shared" si="76"/>
        <v>#N/A</v>
      </c>
      <c r="Y90" s="636"/>
      <c r="Z90" s="509"/>
      <c r="AA90" s="510"/>
      <c r="AB90" s="510"/>
      <c r="AC90" s="442" t="e">
        <f t="shared" si="78"/>
        <v>#N/A</v>
      </c>
      <c r="AD90" s="636"/>
      <c r="AE90" s="509"/>
      <c r="AF90" s="510"/>
      <c r="AG90" s="510"/>
      <c r="AH90" s="442" t="e">
        <f t="shared" si="80"/>
        <v>#N/A</v>
      </c>
      <c r="AI90" s="636"/>
      <c r="AJ90" s="509"/>
      <c r="AK90" s="510"/>
      <c r="AL90" s="510"/>
      <c r="AM90" s="442" t="e">
        <f t="shared" si="82"/>
        <v>#N/A</v>
      </c>
      <c r="AN90" s="636"/>
      <c r="AO90" s="509"/>
      <c r="AP90" s="510"/>
      <c r="AQ90" s="510"/>
      <c r="AR90" s="442" t="e">
        <f t="shared" si="84"/>
        <v>#N/A</v>
      </c>
      <c r="AS90" s="636"/>
      <c r="AT90" s="509"/>
      <c r="AU90" s="510"/>
      <c r="AV90" s="510"/>
      <c r="AW90" s="442" t="e">
        <f t="shared" si="86"/>
        <v>#N/A</v>
      </c>
      <c r="AX90" s="636"/>
      <c r="AZ90" s="529" t="e">
        <f t="shared" si="88"/>
        <v>#N/A</v>
      </c>
      <c r="BA90" s="636"/>
    </row>
    <row r="91" spans="2:53">
      <c r="B91" s="622"/>
      <c r="C91" s="298">
        <v>5</v>
      </c>
      <c r="D91" s="487"/>
      <c r="E91" s="487"/>
      <c r="F91" s="487"/>
      <c r="G91" s="182"/>
      <c r="H91" s="664"/>
      <c r="I91" s="516" t="str">
        <f t="shared" si="73"/>
        <v>-</v>
      </c>
      <c r="J91" s="516" t="str">
        <f t="shared" si="74"/>
        <v>-</v>
      </c>
      <c r="K91" s="200" t="str">
        <f t="shared" si="75"/>
        <v>-</v>
      </c>
      <c r="L91" s="596"/>
      <c r="M91" s="201" t="e">
        <f>RANK(K91, K$87:$K$101)</f>
        <v>#VALUE!</v>
      </c>
      <c r="N91" s="614"/>
      <c r="O91" s="614"/>
      <c r="P91" s="509"/>
      <c r="Q91" s="510"/>
      <c r="R91" s="510"/>
      <c r="S91" s="298" t="e">
        <f t="shared" si="90"/>
        <v>#N/A</v>
      </c>
      <c r="T91" s="636"/>
      <c r="U91" s="509"/>
      <c r="V91" s="510"/>
      <c r="W91" s="510"/>
      <c r="X91" s="442" t="e">
        <f t="shared" si="76"/>
        <v>#N/A</v>
      </c>
      <c r="Y91" s="636"/>
      <c r="Z91" s="509"/>
      <c r="AA91" s="510"/>
      <c r="AB91" s="510"/>
      <c r="AC91" s="442" t="e">
        <f t="shared" si="78"/>
        <v>#N/A</v>
      </c>
      <c r="AD91" s="636"/>
      <c r="AE91" s="509"/>
      <c r="AF91" s="510"/>
      <c r="AG91" s="510"/>
      <c r="AH91" s="442" t="e">
        <f t="shared" si="80"/>
        <v>#N/A</v>
      </c>
      <c r="AI91" s="636"/>
      <c r="AJ91" s="509"/>
      <c r="AK91" s="510"/>
      <c r="AL91" s="510"/>
      <c r="AM91" s="442" t="e">
        <f t="shared" si="82"/>
        <v>#N/A</v>
      </c>
      <c r="AN91" s="636"/>
      <c r="AO91" s="509"/>
      <c r="AP91" s="510"/>
      <c r="AQ91" s="510"/>
      <c r="AR91" s="442" t="e">
        <f t="shared" si="84"/>
        <v>#N/A</v>
      </c>
      <c r="AS91" s="636"/>
      <c r="AT91" s="509"/>
      <c r="AU91" s="510"/>
      <c r="AV91" s="510"/>
      <c r="AW91" s="442" t="e">
        <f t="shared" si="86"/>
        <v>#N/A</v>
      </c>
      <c r="AX91" s="636"/>
      <c r="AZ91" s="529" t="e">
        <f t="shared" si="88"/>
        <v>#N/A</v>
      </c>
      <c r="BA91" s="636"/>
    </row>
    <row r="92" spans="2:53">
      <c r="B92" s="622"/>
      <c r="C92" s="298">
        <v>6</v>
      </c>
      <c r="D92" s="487"/>
      <c r="E92" s="487"/>
      <c r="F92" s="487"/>
      <c r="G92" s="182"/>
      <c r="H92" s="664"/>
      <c r="I92" s="516" t="str">
        <f t="shared" si="73"/>
        <v>-</v>
      </c>
      <c r="J92" s="516" t="str">
        <f t="shared" si="74"/>
        <v>-</v>
      </c>
      <c r="K92" s="200" t="str">
        <f t="shared" si="75"/>
        <v>-</v>
      </c>
      <c r="L92" s="596"/>
      <c r="M92" s="201" t="e">
        <f>RANK(K92, K$87:$K$101)</f>
        <v>#VALUE!</v>
      </c>
      <c r="N92" s="614"/>
      <c r="O92" s="614"/>
      <c r="P92" s="509"/>
      <c r="Q92" s="510"/>
      <c r="R92" s="510"/>
      <c r="S92" s="298" t="e">
        <f t="shared" si="90"/>
        <v>#N/A</v>
      </c>
      <c r="T92" s="636"/>
      <c r="U92" s="509"/>
      <c r="V92" s="510"/>
      <c r="W92" s="510"/>
      <c r="X92" s="442" t="e">
        <f t="shared" si="76"/>
        <v>#N/A</v>
      </c>
      <c r="Y92" s="636"/>
      <c r="Z92" s="509"/>
      <c r="AA92" s="510"/>
      <c r="AB92" s="510"/>
      <c r="AC92" s="442" t="e">
        <f t="shared" si="78"/>
        <v>#N/A</v>
      </c>
      <c r="AD92" s="636"/>
      <c r="AE92" s="509"/>
      <c r="AF92" s="510"/>
      <c r="AG92" s="510"/>
      <c r="AH92" s="442" t="e">
        <f t="shared" si="80"/>
        <v>#N/A</v>
      </c>
      <c r="AI92" s="636"/>
      <c r="AJ92" s="509"/>
      <c r="AK92" s="510"/>
      <c r="AL92" s="510"/>
      <c r="AM92" s="442" t="e">
        <f t="shared" si="82"/>
        <v>#N/A</v>
      </c>
      <c r="AN92" s="636"/>
      <c r="AO92" s="509"/>
      <c r="AP92" s="510"/>
      <c r="AQ92" s="510"/>
      <c r="AR92" s="442" t="e">
        <f t="shared" si="84"/>
        <v>#N/A</v>
      </c>
      <c r="AS92" s="636"/>
      <c r="AT92" s="509"/>
      <c r="AU92" s="510"/>
      <c r="AV92" s="510"/>
      <c r="AW92" s="442" t="e">
        <f t="shared" si="86"/>
        <v>#N/A</v>
      </c>
      <c r="AX92" s="636"/>
      <c r="AZ92" s="529" t="e">
        <f t="shared" si="88"/>
        <v>#N/A</v>
      </c>
      <c r="BA92" s="636"/>
    </row>
    <row r="93" spans="2:53">
      <c r="B93" s="622"/>
      <c r="C93" s="298">
        <v>7</v>
      </c>
      <c r="D93" s="461"/>
      <c r="E93" s="461"/>
      <c r="F93" s="461"/>
      <c r="G93" s="182"/>
      <c r="H93" s="664"/>
      <c r="I93" s="516" t="str">
        <f t="shared" si="73"/>
        <v>-</v>
      </c>
      <c r="J93" s="516" t="str">
        <f t="shared" si="74"/>
        <v>-</v>
      </c>
      <c r="K93" s="200" t="str">
        <f t="shared" si="75"/>
        <v>-</v>
      </c>
      <c r="L93" s="596"/>
      <c r="M93" s="201" t="e">
        <f>RANK(K93, K$87:$K$101)</f>
        <v>#VALUE!</v>
      </c>
      <c r="N93" s="614"/>
      <c r="O93" s="614"/>
      <c r="P93" s="509"/>
      <c r="Q93" s="510"/>
      <c r="R93" s="510"/>
      <c r="S93" s="298" t="e">
        <f t="shared" si="90"/>
        <v>#N/A</v>
      </c>
      <c r="T93" s="636"/>
      <c r="U93" s="509"/>
      <c r="V93" s="510"/>
      <c r="W93" s="510"/>
      <c r="X93" s="442" t="e">
        <f t="shared" si="76"/>
        <v>#N/A</v>
      </c>
      <c r="Y93" s="636"/>
      <c r="Z93" s="509"/>
      <c r="AA93" s="510"/>
      <c r="AB93" s="510"/>
      <c r="AC93" s="442" t="e">
        <f t="shared" si="78"/>
        <v>#N/A</v>
      </c>
      <c r="AD93" s="636"/>
      <c r="AE93" s="509"/>
      <c r="AF93" s="510"/>
      <c r="AG93" s="510"/>
      <c r="AH93" s="442" t="e">
        <f t="shared" si="80"/>
        <v>#N/A</v>
      </c>
      <c r="AI93" s="636"/>
      <c r="AJ93" s="509"/>
      <c r="AK93" s="510"/>
      <c r="AL93" s="510"/>
      <c r="AM93" s="442" t="e">
        <f t="shared" si="82"/>
        <v>#N/A</v>
      </c>
      <c r="AN93" s="636"/>
      <c r="AO93" s="509"/>
      <c r="AP93" s="510"/>
      <c r="AQ93" s="510"/>
      <c r="AR93" s="442" t="e">
        <f t="shared" si="84"/>
        <v>#N/A</v>
      </c>
      <c r="AS93" s="636"/>
      <c r="AT93" s="509"/>
      <c r="AU93" s="510"/>
      <c r="AV93" s="510"/>
      <c r="AW93" s="442" t="e">
        <f t="shared" si="86"/>
        <v>#N/A</v>
      </c>
      <c r="AX93" s="636"/>
      <c r="AZ93" s="529" t="e">
        <f t="shared" si="88"/>
        <v>#N/A</v>
      </c>
      <c r="BA93" s="636"/>
    </row>
    <row r="94" spans="2:53">
      <c r="B94" s="622"/>
      <c r="C94" s="298">
        <v>8</v>
      </c>
      <c r="D94" s="461"/>
      <c r="E94" s="461"/>
      <c r="F94" s="461"/>
      <c r="G94" s="182"/>
      <c r="H94" s="664"/>
      <c r="I94" s="516" t="str">
        <f t="shared" si="73"/>
        <v>-</v>
      </c>
      <c r="J94" s="516" t="str">
        <f t="shared" si="74"/>
        <v>-</v>
      </c>
      <c r="K94" s="200" t="str">
        <f t="shared" si="75"/>
        <v>-</v>
      </c>
      <c r="L94" s="596"/>
      <c r="M94" s="201" t="e">
        <f>RANK(K94, K$87:$K$101)</f>
        <v>#VALUE!</v>
      </c>
      <c r="N94" s="614"/>
      <c r="O94" s="614"/>
      <c r="P94" s="509"/>
      <c r="Q94" s="510"/>
      <c r="R94" s="510"/>
      <c r="S94" s="298" t="e">
        <f t="shared" si="90"/>
        <v>#N/A</v>
      </c>
      <c r="T94" s="636"/>
      <c r="U94" s="509"/>
      <c r="V94" s="510"/>
      <c r="W94" s="510"/>
      <c r="X94" s="442" t="e">
        <f t="shared" si="76"/>
        <v>#N/A</v>
      </c>
      <c r="Y94" s="636"/>
      <c r="Z94" s="509"/>
      <c r="AA94" s="510"/>
      <c r="AB94" s="510"/>
      <c r="AC94" s="442" t="e">
        <f t="shared" si="78"/>
        <v>#N/A</v>
      </c>
      <c r="AD94" s="636"/>
      <c r="AE94" s="509"/>
      <c r="AF94" s="510"/>
      <c r="AG94" s="510"/>
      <c r="AH94" s="442" t="e">
        <f t="shared" si="80"/>
        <v>#N/A</v>
      </c>
      <c r="AI94" s="636"/>
      <c r="AJ94" s="509"/>
      <c r="AK94" s="510"/>
      <c r="AL94" s="510"/>
      <c r="AM94" s="442" t="e">
        <f t="shared" si="82"/>
        <v>#N/A</v>
      </c>
      <c r="AN94" s="636"/>
      <c r="AO94" s="509"/>
      <c r="AP94" s="510"/>
      <c r="AQ94" s="510"/>
      <c r="AR94" s="442" t="e">
        <f t="shared" si="84"/>
        <v>#N/A</v>
      </c>
      <c r="AS94" s="636"/>
      <c r="AT94" s="509"/>
      <c r="AU94" s="510"/>
      <c r="AV94" s="510"/>
      <c r="AW94" s="442" t="e">
        <f t="shared" si="86"/>
        <v>#N/A</v>
      </c>
      <c r="AX94" s="636"/>
      <c r="AZ94" s="529" t="e">
        <f t="shared" si="88"/>
        <v>#N/A</v>
      </c>
      <c r="BA94" s="636"/>
    </row>
    <row r="95" spans="2:53">
      <c r="B95" s="622"/>
      <c r="C95" s="298">
        <v>9</v>
      </c>
      <c r="D95" s="461"/>
      <c r="E95" s="461"/>
      <c r="F95" s="461"/>
      <c r="G95" s="182"/>
      <c r="H95" s="664"/>
      <c r="I95" s="516" t="str">
        <f t="shared" si="73"/>
        <v>-</v>
      </c>
      <c r="J95" s="516" t="str">
        <f t="shared" si="74"/>
        <v>-</v>
      </c>
      <c r="K95" s="200" t="str">
        <f t="shared" si="75"/>
        <v>-</v>
      </c>
      <c r="L95" s="596"/>
      <c r="M95" s="201" t="e">
        <f>RANK(K95, K$87:$K$101)</f>
        <v>#VALUE!</v>
      </c>
      <c r="N95" s="614"/>
      <c r="O95" s="614"/>
      <c r="P95" s="509"/>
      <c r="Q95" s="510"/>
      <c r="R95" s="510"/>
      <c r="S95" s="298" t="e">
        <f t="shared" si="90"/>
        <v>#N/A</v>
      </c>
      <c r="T95" s="636"/>
      <c r="U95" s="509"/>
      <c r="V95" s="510"/>
      <c r="W95" s="510"/>
      <c r="X95" s="442" t="e">
        <f t="shared" si="76"/>
        <v>#N/A</v>
      </c>
      <c r="Y95" s="636"/>
      <c r="Z95" s="509"/>
      <c r="AA95" s="510"/>
      <c r="AB95" s="510"/>
      <c r="AC95" s="442" t="e">
        <f t="shared" si="78"/>
        <v>#N/A</v>
      </c>
      <c r="AD95" s="636"/>
      <c r="AE95" s="509"/>
      <c r="AF95" s="510"/>
      <c r="AG95" s="510"/>
      <c r="AH95" s="442" t="e">
        <f t="shared" si="80"/>
        <v>#N/A</v>
      </c>
      <c r="AI95" s="636"/>
      <c r="AJ95" s="509"/>
      <c r="AK95" s="510"/>
      <c r="AL95" s="510"/>
      <c r="AM95" s="442" t="e">
        <f t="shared" si="82"/>
        <v>#N/A</v>
      </c>
      <c r="AN95" s="636"/>
      <c r="AO95" s="509"/>
      <c r="AP95" s="510"/>
      <c r="AQ95" s="510"/>
      <c r="AR95" s="442" t="e">
        <f t="shared" si="84"/>
        <v>#N/A</v>
      </c>
      <c r="AS95" s="636"/>
      <c r="AT95" s="509"/>
      <c r="AU95" s="510"/>
      <c r="AV95" s="510"/>
      <c r="AW95" s="442" t="e">
        <f t="shared" si="86"/>
        <v>#N/A</v>
      </c>
      <c r="AX95" s="636"/>
      <c r="AZ95" s="529" t="e">
        <f t="shared" si="88"/>
        <v>#N/A</v>
      </c>
      <c r="BA95" s="636"/>
    </row>
    <row r="96" spans="2:53">
      <c r="B96" s="622"/>
      <c r="C96" s="298">
        <v>10</v>
      </c>
      <c r="D96" s="461"/>
      <c r="E96" s="461"/>
      <c r="F96" s="461"/>
      <c r="G96" s="182"/>
      <c r="H96" s="664"/>
      <c r="I96" s="516" t="str">
        <f t="shared" si="73"/>
        <v>-</v>
      </c>
      <c r="J96" s="516" t="str">
        <f t="shared" si="74"/>
        <v>-</v>
      </c>
      <c r="K96" s="200" t="str">
        <f t="shared" si="75"/>
        <v>-</v>
      </c>
      <c r="L96" s="596"/>
      <c r="M96" s="201" t="e">
        <f>RANK(K96, K$87:$K$101)</f>
        <v>#VALUE!</v>
      </c>
      <c r="N96" s="614"/>
      <c r="O96" s="614"/>
      <c r="P96" s="509"/>
      <c r="Q96" s="510"/>
      <c r="R96" s="510"/>
      <c r="S96" s="298" t="e">
        <f t="shared" si="90"/>
        <v>#N/A</v>
      </c>
      <c r="T96" s="636"/>
      <c r="U96" s="509"/>
      <c r="V96" s="510"/>
      <c r="W96" s="510"/>
      <c r="X96" s="442" t="e">
        <f t="shared" si="76"/>
        <v>#N/A</v>
      </c>
      <c r="Y96" s="636"/>
      <c r="Z96" s="509"/>
      <c r="AA96" s="510"/>
      <c r="AB96" s="510"/>
      <c r="AC96" s="442" t="e">
        <f t="shared" si="78"/>
        <v>#N/A</v>
      </c>
      <c r="AD96" s="636"/>
      <c r="AE96" s="509"/>
      <c r="AF96" s="510"/>
      <c r="AG96" s="510"/>
      <c r="AH96" s="442" t="e">
        <f t="shared" si="80"/>
        <v>#N/A</v>
      </c>
      <c r="AI96" s="636"/>
      <c r="AJ96" s="509"/>
      <c r="AK96" s="510"/>
      <c r="AL96" s="510"/>
      <c r="AM96" s="442" t="e">
        <f t="shared" si="82"/>
        <v>#N/A</v>
      </c>
      <c r="AN96" s="636"/>
      <c r="AO96" s="509"/>
      <c r="AP96" s="510"/>
      <c r="AQ96" s="510"/>
      <c r="AR96" s="442" t="e">
        <f t="shared" si="84"/>
        <v>#N/A</v>
      </c>
      <c r="AS96" s="636"/>
      <c r="AT96" s="509"/>
      <c r="AU96" s="510"/>
      <c r="AV96" s="510"/>
      <c r="AW96" s="442" t="e">
        <f t="shared" si="86"/>
        <v>#N/A</v>
      </c>
      <c r="AX96" s="636"/>
      <c r="AZ96" s="529" t="e">
        <f t="shared" si="88"/>
        <v>#N/A</v>
      </c>
      <c r="BA96" s="636"/>
    </row>
    <row r="97" spans="2:53">
      <c r="B97" s="622"/>
      <c r="C97" s="298">
        <v>11</v>
      </c>
      <c r="D97" s="461"/>
      <c r="E97" s="461"/>
      <c r="F97" s="461"/>
      <c r="G97" s="182"/>
      <c r="H97" s="664"/>
      <c r="I97" s="516" t="str">
        <f t="shared" si="73"/>
        <v>-</v>
      </c>
      <c r="J97" s="516" t="str">
        <f t="shared" si="74"/>
        <v>-</v>
      </c>
      <c r="K97" s="200" t="str">
        <f t="shared" si="75"/>
        <v>-</v>
      </c>
      <c r="L97" s="596"/>
      <c r="M97" s="201" t="e">
        <f>RANK(K97, K$87:$K$101)</f>
        <v>#VALUE!</v>
      </c>
      <c r="N97" s="614"/>
      <c r="O97" s="614"/>
      <c r="P97" s="509"/>
      <c r="Q97" s="510"/>
      <c r="R97" s="510"/>
      <c r="S97" s="298" t="e">
        <f t="shared" si="90"/>
        <v>#N/A</v>
      </c>
      <c r="T97" s="636"/>
      <c r="U97" s="509"/>
      <c r="V97" s="510"/>
      <c r="W97" s="510"/>
      <c r="X97" s="442" t="e">
        <f t="shared" si="76"/>
        <v>#N/A</v>
      </c>
      <c r="Y97" s="636"/>
      <c r="Z97" s="509"/>
      <c r="AA97" s="510"/>
      <c r="AB97" s="510"/>
      <c r="AC97" s="442" t="e">
        <f t="shared" si="78"/>
        <v>#N/A</v>
      </c>
      <c r="AD97" s="636"/>
      <c r="AE97" s="509"/>
      <c r="AF97" s="510"/>
      <c r="AG97" s="510"/>
      <c r="AH97" s="442" t="e">
        <f t="shared" si="80"/>
        <v>#N/A</v>
      </c>
      <c r="AI97" s="636"/>
      <c r="AJ97" s="509"/>
      <c r="AK97" s="510"/>
      <c r="AL97" s="510"/>
      <c r="AM97" s="442" t="e">
        <f t="shared" si="82"/>
        <v>#N/A</v>
      </c>
      <c r="AN97" s="636"/>
      <c r="AO97" s="509"/>
      <c r="AP97" s="510"/>
      <c r="AQ97" s="510"/>
      <c r="AR97" s="442" t="e">
        <f t="shared" si="84"/>
        <v>#N/A</v>
      </c>
      <c r="AS97" s="636"/>
      <c r="AT97" s="509"/>
      <c r="AU97" s="510"/>
      <c r="AV97" s="510"/>
      <c r="AW97" s="442" t="e">
        <f t="shared" si="86"/>
        <v>#N/A</v>
      </c>
      <c r="AX97" s="636"/>
      <c r="AZ97" s="529" t="e">
        <f t="shared" si="88"/>
        <v>#N/A</v>
      </c>
      <c r="BA97" s="636"/>
    </row>
    <row r="98" spans="2:53">
      <c r="B98" s="622"/>
      <c r="C98" s="298">
        <v>12</v>
      </c>
      <c r="D98" s="461"/>
      <c r="E98" s="461"/>
      <c r="F98" s="461"/>
      <c r="G98" s="182"/>
      <c r="H98" s="664"/>
      <c r="I98" s="516" t="str">
        <f t="shared" si="73"/>
        <v>-</v>
      </c>
      <c r="J98" s="516" t="str">
        <f t="shared" si="74"/>
        <v>-</v>
      </c>
      <c r="K98" s="200" t="str">
        <f t="shared" si="75"/>
        <v>-</v>
      </c>
      <c r="L98" s="596"/>
      <c r="M98" s="201" t="e">
        <f>RANK(K98, K$87:$K$101)</f>
        <v>#VALUE!</v>
      </c>
      <c r="N98" s="614"/>
      <c r="O98" s="614"/>
      <c r="P98" s="509"/>
      <c r="Q98" s="510"/>
      <c r="R98" s="510"/>
      <c r="S98" s="298" t="e">
        <f t="shared" si="90"/>
        <v>#N/A</v>
      </c>
      <c r="T98" s="636"/>
      <c r="U98" s="509"/>
      <c r="V98" s="510"/>
      <c r="W98" s="510"/>
      <c r="X98" s="442" t="e">
        <f t="shared" si="76"/>
        <v>#N/A</v>
      </c>
      <c r="Y98" s="636"/>
      <c r="Z98" s="509"/>
      <c r="AA98" s="510"/>
      <c r="AB98" s="510"/>
      <c r="AC98" s="442" t="e">
        <f t="shared" si="78"/>
        <v>#N/A</v>
      </c>
      <c r="AD98" s="636"/>
      <c r="AE98" s="509"/>
      <c r="AF98" s="510"/>
      <c r="AG98" s="510"/>
      <c r="AH98" s="442" t="e">
        <f t="shared" si="80"/>
        <v>#N/A</v>
      </c>
      <c r="AI98" s="636"/>
      <c r="AJ98" s="509"/>
      <c r="AK98" s="510"/>
      <c r="AL98" s="510"/>
      <c r="AM98" s="442" t="e">
        <f t="shared" si="82"/>
        <v>#N/A</v>
      </c>
      <c r="AN98" s="636"/>
      <c r="AO98" s="509"/>
      <c r="AP98" s="510"/>
      <c r="AQ98" s="510"/>
      <c r="AR98" s="442" t="e">
        <f t="shared" si="84"/>
        <v>#N/A</v>
      </c>
      <c r="AS98" s="636"/>
      <c r="AT98" s="509"/>
      <c r="AU98" s="510"/>
      <c r="AV98" s="510"/>
      <c r="AW98" s="442" t="e">
        <f t="shared" si="86"/>
        <v>#N/A</v>
      </c>
      <c r="AX98" s="636"/>
      <c r="AZ98" s="529" t="e">
        <f t="shared" si="88"/>
        <v>#N/A</v>
      </c>
      <c r="BA98" s="636"/>
    </row>
    <row r="99" spans="2:53">
      <c r="B99" s="622"/>
      <c r="C99" s="298">
        <v>13</v>
      </c>
      <c r="D99" s="461"/>
      <c r="E99" s="461"/>
      <c r="F99" s="461"/>
      <c r="G99" s="182"/>
      <c r="H99" s="664"/>
      <c r="I99" s="516" t="str">
        <f t="shared" si="73"/>
        <v>-</v>
      </c>
      <c r="J99" s="516" t="str">
        <f t="shared" si="74"/>
        <v>-</v>
      </c>
      <c r="K99" s="200" t="str">
        <f t="shared" si="75"/>
        <v>-</v>
      </c>
      <c r="L99" s="596"/>
      <c r="M99" s="201" t="e">
        <f>RANK(K99, K$87:$K$101)</f>
        <v>#VALUE!</v>
      </c>
      <c r="N99" s="614"/>
      <c r="O99" s="614"/>
      <c r="P99" s="509"/>
      <c r="Q99" s="510"/>
      <c r="R99" s="510"/>
      <c r="S99" s="298" t="e">
        <f t="shared" si="90"/>
        <v>#N/A</v>
      </c>
      <c r="T99" s="636"/>
      <c r="U99" s="509"/>
      <c r="V99" s="510"/>
      <c r="W99" s="510"/>
      <c r="X99" s="442" t="e">
        <f t="shared" si="76"/>
        <v>#N/A</v>
      </c>
      <c r="Y99" s="636"/>
      <c r="Z99" s="509"/>
      <c r="AA99" s="510"/>
      <c r="AB99" s="510"/>
      <c r="AC99" s="442" t="e">
        <f t="shared" si="78"/>
        <v>#N/A</v>
      </c>
      <c r="AD99" s="636"/>
      <c r="AE99" s="509"/>
      <c r="AF99" s="510"/>
      <c r="AG99" s="510"/>
      <c r="AH99" s="442" t="e">
        <f t="shared" si="80"/>
        <v>#N/A</v>
      </c>
      <c r="AI99" s="636"/>
      <c r="AJ99" s="509"/>
      <c r="AK99" s="510"/>
      <c r="AL99" s="510"/>
      <c r="AM99" s="442" t="e">
        <f t="shared" si="82"/>
        <v>#N/A</v>
      </c>
      <c r="AN99" s="636"/>
      <c r="AO99" s="509"/>
      <c r="AP99" s="510"/>
      <c r="AQ99" s="510"/>
      <c r="AR99" s="442" t="e">
        <f t="shared" si="84"/>
        <v>#N/A</v>
      </c>
      <c r="AS99" s="636"/>
      <c r="AT99" s="509"/>
      <c r="AU99" s="510"/>
      <c r="AV99" s="510"/>
      <c r="AW99" s="442" t="e">
        <f t="shared" si="86"/>
        <v>#N/A</v>
      </c>
      <c r="AX99" s="636"/>
      <c r="AZ99" s="529" t="e">
        <f t="shared" si="88"/>
        <v>#N/A</v>
      </c>
      <c r="BA99" s="636"/>
    </row>
    <row r="100" spans="2:53">
      <c r="B100" s="622"/>
      <c r="C100" s="298">
        <v>14</v>
      </c>
      <c r="D100" s="461"/>
      <c r="E100" s="461"/>
      <c r="F100" s="461"/>
      <c r="G100" s="182"/>
      <c r="H100" s="664"/>
      <c r="I100" s="516" t="str">
        <f t="shared" si="73"/>
        <v>-</v>
      </c>
      <c r="J100" s="516" t="str">
        <f t="shared" si="74"/>
        <v>-</v>
      </c>
      <c r="K100" s="200" t="str">
        <f t="shared" si="75"/>
        <v>-</v>
      </c>
      <c r="L100" s="596"/>
      <c r="M100" s="201" t="e">
        <f>RANK(K100, K$87:$K$101)</f>
        <v>#VALUE!</v>
      </c>
      <c r="N100" s="614"/>
      <c r="O100" s="614"/>
      <c r="P100" s="509"/>
      <c r="Q100" s="510"/>
      <c r="R100" s="510"/>
      <c r="S100" s="298" t="e">
        <f t="shared" si="90"/>
        <v>#N/A</v>
      </c>
      <c r="T100" s="636"/>
      <c r="U100" s="509"/>
      <c r="V100" s="510"/>
      <c r="W100" s="510"/>
      <c r="X100" s="442" t="e">
        <f t="shared" si="76"/>
        <v>#N/A</v>
      </c>
      <c r="Y100" s="636"/>
      <c r="Z100" s="509"/>
      <c r="AA100" s="510"/>
      <c r="AB100" s="510"/>
      <c r="AC100" s="442" t="e">
        <f t="shared" si="78"/>
        <v>#N/A</v>
      </c>
      <c r="AD100" s="636"/>
      <c r="AE100" s="509"/>
      <c r="AF100" s="510"/>
      <c r="AG100" s="510"/>
      <c r="AH100" s="442" t="e">
        <f t="shared" si="80"/>
        <v>#N/A</v>
      </c>
      <c r="AI100" s="636"/>
      <c r="AJ100" s="509"/>
      <c r="AK100" s="510"/>
      <c r="AL100" s="510"/>
      <c r="AM100" s="442" t="e">
        <f t="shared" si="82"/>
        <v>#N/A</v>
      </c>
      <c r="AN100" s="636"/>
      <c r="AO100" s="509"/>
      <c r="AP100" s="510"/>
      <c r="AQ100" s="510"/>
      <c r="AR100" s="442" t="e">
        <f t="shared" si="84"/>
        <v>#N/A</v>
      </c>
      <c r="AS100" s="636"/>
      <c r="AT100" s="509"/>
      <c r="AU100" s="510"/>
      <c r="AV100" s="510"/>
      <c r="AW100" s="442" t="e">
        <f t="shared" si="86"/>
        <v>#N/A</v>
      </c>
      <c r="AX100" s="636"/>
      <c r="AZ100" s="529" t="e">
        <f t="shared" si="88"/>
        <v>#N/A</v>
      </c>
      <c r="BA100" s="636"/>
    </row>
    <row r="101" spans="2:53">
      <c r="B101" s="622"/>
      <c r="C101" s="298">
        <v>15</v>
      </c>
      <c r="D101" s="461"/>
      <c r="E101" s="461"/>
      <c r="F101" s="461"/>
      <c r="G101" s="461"/>
      <c r="H101" s="665"/>
      <c r="I101" s="516" t="str">
        <f t="shared" si="73"/>
        <v>-</v>
      </c>
      <c r="J101" s="516" t="str">
        <f t="shared" si="74"/>
        <v>-</v>
      </c>
      <c r="K101" s="200" t="str">
        <f t="shared" si="75"/>
        <v>-</v>
      </c>
      <c r="L101" s="597"/>
      <c r="M101" s="199" t="e">
        <f>RANK(K101, K$87:$K$101)</f>
        <v>#VALUE!</v>
      </c>
      <c r="N101" s="614"/>
      <c r="O101" s="614"/>
      <c r="P101" s="509"/>
      <c r="Q101" s="510"/>
      <c r="R101" s="510"/>
      <c r="S101" s="298" t="e">
        <f t="shared" si="90"/>
        <v>#N/A</v>
      </c>
      <c r="T101" s="636"/>
      <c r="U101" s="509"/>
      <c r="V101" s="510"/>
      <c r="W101" s="510"/>
      <c r="X101" s="442" t="e">
        <f t="shared" si="76"/>
        <v>#N/A</v>
      </c>
      <c r="Y101" s="636"/>
      <c r="Z101" s="509"/>
      <c r="AA101" s="510"/>
      <c r="AB101" s="510"/>
      <c r="AC101" s="442" t="e">
        <f t="shared" si="78"/>
        <v>#N/A</v>
      </c>
      <c r="AD101" s="636"/>
      <c r="AE101" s="509"/>
      <c r="AF101" s="510"/>
      <c r="AG101" s="510"/>
      <c r="AH101" s="442" t="e">
        <f t="shared" si="80"/>
        <v>#N/A</v>
      </c>
      <c r="AI101" s="636"/>
      <c r="AJ101" s="509"/>
      <c r="AK101" s="510"/>
      <c r="AL101" s="510"/>
      <c r="AM101" s="442" t="e">
        <f t="shared" si="82"/>
        <v>#N/A</v>
      </c>
      <c r="AN101" s="636"/>
      <c r="AO101" s="509"/>
      <c r="AP101" s="510"/>
      <c r="AQ101" s="510"/>
      <c r="AR101" s="442" t="e">
        <f t="shared" si="84"/>
        <v>#N/A</v>
      </c>
      <c r="AS101" s="636"/>
      <c r="AT101" s="509"/>
      <c r="AU101" s="510"/>
      <c r="AV101" s="510"/>
      <c r="AW101" s="442" t="e">
        <f t="shared" si="86"/>
        <v>#N/A</v>
      </c>
      <c r="AX101" s="636"/>
      <c r="AZ101" s="529" t="e">
        <f t="shared" si="88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680</v>
      </c>
      <c r="C104" s="614" t="s">
        <v>681</v>
      </c>
      <c r="D104" s="614"/>
      <c r="E104" s="614" t="s">
        <v>682</v>
      </c>
      <c r="F104" s="614"/>
      <c r="G104" s="614"/>
      <c r="H104" s="630" t="s">
        <v>683</v>
      </c>
      <c r="I104" s="614" t="s">
        <v>684</v>
      </c>
      <c r="J104" s="614"/>
      <c r="K104" s="614"/>
      <c r="L104" s="630" t="s">
        <v>683</v>
      </c>
      <c r="M104" s="615" t="s">
        <v>685</v>
      </c>
      <c r="N104" s="614"/>
      <c r="O104" s="614" t="s">
        <v>686</v>
      </c>
      <c r="P104" s="611" t="s">
        <v>687</v>
      </c>
      <c r="Q104" s="612"/>
      <c r="R104" s="612"/>
      <c r="S104" s="613"/>
      <c r="T104" s="614" t="s">
        <v>683</v>
      </c>
      <c r="U104" s="611" t="s">
        <v>687</v>
      </c>
      <c r="V104" s="612"/>
      <c r="W104" s="612"/>
      <c r="X104" s="613"/>
      <c r="Y104" s="614" t="s">
        <v>683</v>
      </c>
      <c r="Z104" s="611" t="s">
        <v>687</v>
      </c>
      <c r="AA104" s="612"/>
      <c r="AB104" s="612"/>
      <c r="AC104" s="613"/>
      <c r="AD104" s="614" t="s">
        <v>683</v>
      </c>
      <c r="AE104" s="611" t="s">
        <v>687</v>
      </c>
      <c r="AF104" s="612"/>
      <c r="AG104" s="612"/>
      <c r="AH104" s="613"/>
      <c r="AI104" s="614" t="s">
        <v>683</v>
      </c>
      <c r="AJ104" s="611" t="s">
        <v>687</v>
      </c>
      <c r="AK104" s="612"/>
      <c r="AL104" s="612"/>
      <c r="AM104" s="613"/>
      <c r="AN104" s="614" t="s">
        <v>683</v>
      </c>
      <c r="AO104" s="611" t="s">
        <v>687</v>
      </c>
      <c r="AP104" s="612"/>
      <c r="AQ104" s="612"/>
      <c r="AR104" s="613"/>
      <c r="AS104" s="614" t="s">
        <v>683</v>
      </c>
      <c r="AT104" s="611" t="s">
        <v>687</v>
      </c>
      <c r="AU104" s="612"/>
      <c r="AV104" s="612"/>
      <c r="AW104" s="613"/>
      <c r="AX104" s="614" t="s">
        <v>683</v>
      </c>
      <c r="BA104" s="614" t="s">
        <v>395</v>
      </c>
    </row>
    <row r="105" spans="2:53">
      <c r="B105" s="614"/>
      <c r="C105" s="614"/>
      <c r="D105" s="614"/>
      <c r="E105" s="614" t="s">
        <v>688</v>
      </c>
      <c r="F105" s="614"/>
      <c r="G105" s="614"/>
      <c r="H105" s="631"/>
      <c r="I105" s="614" t="s">
        <v>688</v>
      </c>
      <c r="J105" s="614"/>
      <c r="K105" s="614"/>
      <c r="L105" s="631"/>
      <c r="M105" s="616"/>
      <c r="N105" s="614"/>
      <c r="O105" s="614"/>
      <c r="P105" s="611" t="s">
        <v>689</v>
      </c>
      <c r="Q105" s="612"/>
      <c r="R105" s="612"/>
      <c r="S105" s="613"/>
      <c r="T105" s="614"/>
      <c r="U105" s="611" t="s">
        <v>689</v>
      </c>
      <c r="V105" s="612"/>
      <c r="W105" s="612"/>
      <c r="X105" s="613"/>
      <c r="Y105" s="614"/>
      <c r="Z105" s="611" t="s">
        <v>689</v>
      </c>
      <c r="AA105" s="612"/>
      <c r="AB105" s="612"/>
      <c r="AC105" s="613"/>
      <c r="AD105" s="614"/>
      <c r="AE105" s="611" t="s">
        <v>689</v>
      </c>
      <c r="AF105" s="612"/>
      <c r="AG105" s="612"/>
      <c r="AH105" s="613"/>
      <c r="AI105" s="614"/>
      <c r="AJ105" s="611" t="s">
        <v>689</v>
      </c>
      <c r="AK105" s="612"/>
      <c r="AL105" s="612"/>
      <c r="AM105" s="613"/>
      <c r="AN105" s="614"/>
      <c r="AO105" s="611" t="s">
        <v>689</v>
      </c>
      <c r="AP105" s="612"/>
      <c r="AQ105" s="612"/>
      <c r="AR105" s="613"/>
      <c r="AS105" s="614"/>
      <c r="AT105" s="611" t="s">
        <v>689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447" t="s">
        <v>690</v>
      </c>
      <c r="F106" s="447" t="s">
        <v>691</v>
      </c>
      <c r="G106" s="447" t="s">
        <v>692</v>
      </c>
      <c r="H106" s="632"/>
      <c r="I106" s="447" t="s">
        <v>690</v>
      </c>
      <c r="J106" s="447" t="s">
        <v>691</v>
      </c>
      <c r="K106" s="447" t="s">
        <v>692</v>
      </c>
      <c r="L106" s="632"/>
      <c r="M106" s="617"/>
      <c r="N106" s="614"/>
      <c r="O106" s="614"/>
      <c r="P106" s="447" t="s">
        <v>690</v>
      </c>
      <c r="Q106" s="447" t="s">
        <v>691</v>
      </c>
      <c r="R106" s="447" t="s">
        <v>692</v>
      </c>
      <c r="S106" s="447" t="s">
        <v>685</v>
      </c>
      <c r="T106" s="614"/>
      <c r="U106" s="447" t="s">
        <v>690</v>
      </c>
      <c r="V106" s="447" t="s">
        <v>691</v>
      </c>
      <c r="W106" s="447" t="s">
        <v>692</v>
      </c>
      <c r="X106" s="447" t="s">
        <v>685</v>
      </c>
      <c r="Y106" s="614"/>
      <c r="Z106" s="447" t="s">
        <v>690</v>
      </c>
      <c r="AA106" s="447" t="s">
        <v>691</v>
      </c>
      <c r="AB106" s="447" t="s">
        <v>692</v>
      </c>
      <c r="AC106" s="447" t="s">
        <v>685</v>
      </c>
      <c r="AD106" s="614"/>
      <c r="AE106" s="447" t="s">
        <v>690</v>
      </c>
      <c r="AF106" s="447" t="s">
        <v>691</v>
      </c>
      <c r="AG106" s="447" t="s">
        <v>692</v>
      </c>
      <c r="AH106" s="447" t="s">
        <v>685</v>
      </c>
      <c r="AI106" s="614"/>
      <c r="AJ106" s="447" t="s">
        <v>690</v>
      </c>
      <c r="AK106" s="447" t="s">
        <v>691</v>
      </c>
      <c r="AL106" s="447" t="s">
        <v>692</v>
      </c>
      <c r="AM106" s="447" t="s">
        <v>685</v>
      </c>
      <c r="AN106" s="614"/>
      <c r="AO106" s="447" t="s">
        <v>690</v>
      </c>
      <c r="AP106" s="447" t="s">
        <v>691</v>
      </c>
      <c r="AQ106" s="447" t="s">
        <v>692</v>
      </c>
      <c r="AR106" s="447" t="s">
        <v>685</v>
      </c>
      <c r="AS106" s="614"/>
      <c r="AT106" s="447" t="s">
        <v>690</v>
      </c>
      <c r="AU106" s="447" t="s">
        <v>691</v>
      </c>
      <c r="AV106" s="447" t="s">
        <v>692</v>
      </c>
      <c r="AW106" s="447" t="s">
        <v>685</v>
      </c>
      <c r="AX106" s="614"/>
      <c r="AZ106" s="530" t="s">
        <v>396</v>
      </c>
      <c r="BA106" s="614"/>
    </row>
    <row r="107" spans="2:53">
      <c r="B107" s="662" t="s">
        <v>693</v>
      </c>
      <c r="C107" s="452">
        <v>1</v>
      </c>
      <c r="D107" s="461"/>
      <c r="E107" s="461"/>
      <c r="F107" s="461"/>
      <c r="G107" s="182"/>
      <c r="H107" s="658" t="e">
        <f>AVERAGE(G107:G121)</f>
        <v>#DIV/0!</v>
      </c>
      <c r="I107" s="516" t="str">
        <f t="shared" ref="I107:I121" si="91">IFERROR(AVERAGE(P107,U107,Z107,AE107,AJ107,AO107,AT107),"-")</f>
        <v>-</v>
      </c>
      <c r="J107" s="516" t="str">
        <f t="shared" ref="J107:J121" si="92">IFERROR(AVERAGE(Q107,V107,AA107,AF107,AK107,AP107,AU107),"-")</f>
        <v>-</v>
      </c>
      <c r="K107" s="200" t="str">
        <f t="shared" ref="K107:K121" si="93">IFERROR(AVERAGE(R107,W107,AB107,AG107,AL107,AQ107,AV107),"-")</f>
        <v>-</v>
      </c>
      <c r="L107" s="595" t="str">
        <f>IFERROR(AVERAGE(K107:K121),"-")</f>
        <v>-</v>
      </c>
      <c r="M107" s="453" t="e">
        <f>RANK(K107, K$107:$K$121)</f>
        <v>#VALUE!</v>
      </c>
      <c r="N107" s="614"/>
      <c r="O107" s="614"/>
      <c r="P107" s="182"/>
      <c r="Q107" s="182"/>
      <c r="R107" s="463"/>
      <c r="S107" s="452" t="e">
        <f t="shared" ref="S107:S121" si="94">RANK(R107, R$81:R$87)</f>
        <v>#N/A</v>
      </c>
      <c r="T107" s="661" t="e">
        <f>AVERAGE(R107:R121)</f>
        <v>#DIV/0!</v>
      </c>
      <c r="U107" s="182"/>
      <c r="V107" s="182"/>
      <c r="W107" s="463"/>
      <c r="X107" s="452" t="e">
        <f t="shared" ref="X107:X121" si="95">RANK(W107, W$81:W$87)</f>
        <v>#N/A</v>
      </c>
      <c r="Y107" s="661" t="e">
        <f t="shared" ref="Y107" si="96">AVERAGE(W107:W121)</f>
        <v>#DIV/0!</v>
      </c>
      <c r="Z107" s="182"/>
      <c r="AA107" s="182"/>
      <c r="AB107" s="463"/>
      <c r="AC107" s="452" t="e">
        <f t="shared" ref="AC107:AC121" si="97">RANK(AB107, AB$81:AB$87)</f>
        <v>#N/A</v>
      </c>
      <c r="AD107" s="661" t="e">
        <f t="shared" ref="AD107" si="98">AVERAGE(AB107:AB121)</f>
        <v>#DIV/0!</v>
      </c>
      <c r="AE107" s="182"/>
      <c r="AF107" s="182"/>
      <c r="AG107" s="463"/>
      <c r="AH107" s="452" t="e">
        <f t="shared" ref="AH107:AH121" si="99">RANK(AG107, AG$81:AG$87)</f>
        <v>#N/A</v>
      </c>
      <c r="AI107" s="661" t="e">
        <f t="shared" ref="AI107" si="100">AVERAGE(AG107:AG121)</f>
        <v>#DIV/0!</v>
      </c>
      <c r="AJ107" s="182"/>
      <c r="AK107" s="182"/>
      <c r="AL107" s="463"/>
      <c r="AM107" s="452" t="e">
        <f t="shared" ref="AM107:AM121" si="101">RANK(AL107, AL$81:AL$87)</f>
        <v>#N/A</v>
      </c>
      <c r="AN107" s="661" t="e">
        <f t="shared" ref="AN107" si="102">AVERAGE(AL107:AL121)</f>
        <v>#DIV/0!</v>
      </c>
      <c r="AO107" s="182"/>
      <c r="AP107" s="182"/>
      <c r="AQ107" s="463"/>
      <c r="AR107" s="452" t="e">
        <f t="shared" ref="AR107:AR121" si="103">RANK(AQ107, AQ$81:AQ$87)</f>
        <v>#N/A</v>
      </c>
      <c r="AS107" s="661" t="e">
        <f t="shared" ref="AS107" si="104">AVERAGE(AQ107:AQ121)</f>
        <v>#DIV/0!</v>
      </c>
      <c r="AT107" s="182"/>
      <c r="AU107" s="182"/>
      <c r="AV107" s="463"/>
      <c r="AW107" s="452" t="e">
        <f t="shared" ref="AW107:AW121" si="105">RANK(AV107, AV$81:AV$87)</f>
        <v>#N/A</v>
      </c>
      <c r="AX107" s="661" t="e">
        <f t="shared" ref="AX107" si="106">AVERAGE(AV107:AV121)</f>
        <v>#DIV/0!</v>
      </c>
      <c r="AZ107" s="532" t="e">
        <f t="shared" ref="AZ107:AZ121" si="107">RANK(AY107, AY$81:AY$87)</f>
        <v>#N/A</v>
      </c>
      <c r="BA107" s="661" t="e">
        <f t="shared" ref="BA107" si="108">AVERAGE(AY107:AY121)</f>
        <v>#DIV/0!</v>
      </c>
    </row>
    <row r="108" spans="2:53">
      <c r="B108" s="647"/>
      <c r="C108" s="452">
        <v>2</v>
      </c>
      <c r="D108" s="461"/>
      <c r="E108" s="461"/>
      <c r="F108" s="461"/>
      <c r="G108" s="182"/>
      <c r="H108" s="659"/>
      <c r="I108" s="516" t="str">
        <f t="shared" si="91"/>
        <v>-</v>
      </c>
      <c r="J108" s="516" t="str">
        <f t="shared" si="92"/>
        <v>-</v>
      </c>
      <c r="K108" s="200" t="str">
        <f t="shared" si="93"/>
        <v>-</v>
      </c>
      <c r="L108" s="596"/>
      <c r="M108" s="453" t="e">
        <f>RANK(K108, K$107:$K$121)</f>
        <v>#VALUE!</v>
      </c>
      <c r="N108" s="614"/>
      <c r="O108" s="614"/>
      <c r="P108" s="461"/>
      <c r="Q108" s="182"/>
      <c r="R108" s="463"/>
      <c r="S108" s="452" t="e">
        <f t="shared" si="94"/>
        <v>#N/A</v>
      </c>
      <c r="T108" s="661"/>
      <c r="U108" s="461"/>
      <c r="V108" s="182"/>
      <c r="W108" s="463"/>
      <c r="X108" s="452" t="e">
        <f t="shared" si="95"/>
        <v>#N/A</v>
      </c>
      <c r="Y108" s="661"/>
      <c r="Z108" s="461"/>
      <c r="AA108" s="182"/>
      <c r="AB108" s="463"/>
      <c r="AC108" s="452" t="e">
        <f t="shared" si="97"/>
        <v>#N/A</v>
      </c>
      <c r="AD108" s="661"/>
      <c r="AE108" s="461"/>
      <c r="AF108" s="182"/>
      <c r="AG108" s="463"/>
      <c r="AH108" s="452" t="e">
        <f t="shared" si="99"/>
        <v>#N/A</v>
      </c>
      <c r="AI108" s="661"/>
      <c r="AJ108" s="461"/>
      <c r="AK108" s="182"/>
      <c r="AL108" s="463"/>
      <c r="AM108" s="452" t="e">
        <f t="shared" si="101"/>
        <v>#N/A</v>
      </c>
      <c r="AN108" s="661"/>
      <c r="AO108" s="461"/>
      <c r="AP108" s="182"/>
      <c r="AQ108" s="463"/>
      <c r="AR108" s="452" t="e">
        <f t="shared" si="103"/>
        <v>#N/A</v>
      </c>
      <c r="AS108" s="661"/>
      <c r="AT108" s="461"/>
      <c r="AU108" s="182"/>
      <c r="AV108" s="463"/>
      <c r="AW108" s="452" t="e">
        <f t="shared" si="105"/>
        <v>#N/A</v>
      </c>
      <c r="AX108" s="661"/>
      <c r="AZ108" s="532" t="e">
        <f t="shared" si="107"/>
        <v>#N/A</v>
      </c>
      <c r="BA108" s="661"/>
    </row>
    <row r="109" spans="2:53">
      <c r="B109" s="647"/>
      <c r="C109" s="452">
        <v>3</v>
      </c>
      <c r="D109" s="461"/>
      <c r="E109" s="461"/>
      <c r="F109" s="461"/>
      <c r="G109" s="182"/>
      <c r="H109" s="659"/>
      <c r="I109" s="516" t="str">
        <f t="shared" si="91"/>
        <v>-</v>
      </c>
      <c r="J109" s="516" t="str">
        <f t="shared" si="92"/>
        <v>-</v>
      </c>
      <c r="K109" s="200" t="str">
        <f t="shared" si="93"/>
        <v>-</v>
      </c>
      <c r="L109" s="596"/>
      <c r="M109" s="453" t="e">
        <f>RANK(K109, K$107:$K$121)</f>
        <v>#VALUE!</v>
      </c>
      <c r="N109" s="614"/>
      <c r="O109" s="614"/>
      <c r="P109" s="461"/>
      <c r="Q109" s="182"/>
      <c r="R109" s="463"/>
      <c r="S109" s="452" t="e">
        <f t="shared" si="94"/>
        <v>#N/A</v>
      </c>
      <c r="T109" s="661"/>
      <c r="U109" s="461"/>
      <c r="V109" s="182"/>
      <c r="W109" s="463"/>
      <c r="X109" s="452" t="e">
        <f t="shared" si="95"/>
        <v>#N/A</v>
      </c>
      <c r="Y109" s="661"/>
      <c r="Z109" s="461"/>
      <c r="AA109" s="182"/>
      <c r="AB109" s="463"/>
      <c r="AC109" s="452" t="e">
        <f t="shared" si="97"/>
        <v>#N/A</v>
      </c>
      <c r="AD109" s="661"/>
      <c r="AE109" s="461"/>
      <c r="AF109" s="182"/>
      <c r="AG109" s="463"/>
      <c r="AH109" s="452" t="e">
        <f t="shared" si="99"/>
        <v>#N/A</v>
      </c>
      <c r="AI109" s="661"/>
      <c r="AJ109" s="461"/>
      <c r="AK109" s="182"/>
      <c r="AL109" s="463"/>
      <c r="AM109" s="452" t="e">
        <f t="shared" si="101"/>
        <v>#N/A</v>
      </c>
      <c r="AN109" s="661"/>
      <c r="AO109" s="461"/>
      <c r="AP109" s="182"/>
      <c r="AQ109" s="463"/>
      <c r="AR109" s="452" t="e">
        <f t="shared" si="103"/>
        <v>#N/A</v>
      </c>
      <c r="AS109" s="661"/>
      <c r="AT109" s="461"/>
      <c r="AU109" s="182"/>
      <c r="AV109" s="463"/>
      <c r="AW109" s="452" t="e">
        <f t="shared" si="105"/>
        <v>#N/A</v>
      </c>
      <c r="AX109" s="661"/>
      <c r="AZ109" s="532" t="e">
        <f t="shared" si="107"/>
        <v>#N/A</v>
      </c>
      <c r="BA109" s="661"/>
    </row>
    <row r="110" spans="2:53">
      <c r="B110" s="647"/>
      <c r="C110" s="452">
        <v>4</v>
      </c>
      <c r="D110" s="461"/>
      <c r="E110" s="461"/>
      <c r="F110" s="461"/>
      <c r="G110" s="182"/>
      <c r="H110" s="659"/>
      <c r="I110" s="516" t="str">
        <f t="shared" si="91"/>
        <v>-</v>
      </c>
      <c r="J110" s="516" t="str">
        <f t="shared" si="92"/>
        <v>-</v>
      </c>
      <c r="K110" s="200" t="str">
        <f t="shared" si="93"/>
        <v>-</v>
      </c>
      <c r="L110" s="596"/>
      <c r="M110" s="453" t="e">
        <f>RANK(K110, K$107:$K$121)</f>
        <v>#VALUE!</v>
      </c>
      <c r="N110" s="614"/>
      <c r="O110" s="614"/>
      <c r="P110" s="461"/>
      <c r="Q110" s="182"/>
      <c r="R110" s="463"/>
      <c r="S110" s="452" t="e">
        <f t="shared" si="94"/>
        <v>#N/A</v>
      </c>
      <c r="T110" s="661"/>
      <c r="U110" s="461"/>
      <c r="V110" s="182"/>
      <c r="W110" s="463"/>
      <c r="X110" s="452" t="e">
        <f t="shared" si="95"/>
        <v>#N/A</v>
      </c>
      <c r="Y110" s="661"/>
      <c r="Z110" s="461"/>
      <c r="AA110" s="182"/>
      <c r="AB110" s="463"/>
      <c r="AC110" s="452" t="e">
        <f t="shared" si="97"/>
        <v>#N/A</v>
      </c>
      <c r="AD110" s="661"/>
      <c r="AE110" s="461"/>
      <c r="AF110" s="182"/>
      <c r="AG110" s="463"/>
      <c r="AH110" s="452" t="e">
        <f t="shared" si="99"/>
        <v>#N/A</v>
      </c>
      <c r="AI110" s="661"/>
      <c r="AJ110" s="461"/>
      <c r="AK110" s="182"/>
      <c r="AL110" s="463"/>
      <c r="AM110" s="452" t="e">
        <f t="shared" si="101"/>
        <v>#N/A</v>
      </c>
      <c r="AN110" s="661"/>
      <c r="AO110" s="461"/>
      <c r="AP110" s="182"/>
      <c r="AQ110" s="463"/>
      <c r="AR110" s="452" t="e">
        <f t="shared" si="103"/>
        <v>#N/A</v>
      </c>
      <c r="AS110" s="661"/>
      <c r="AT110" s="461"/>
      <c r="AU110" s="182"/>
      <c r="AV110" s="463"/>
      <c r="AW110" s="452" t="e">
        <f t="shared" si="105"/>
        <v>#N/A</v>
      </c>
      <c r="AX110" s="661"/>
      <c r="AZ110" s="532" t="e">
        <f t="shared" si="107"/>
        <v>#N/A</v>
      </c>
      <c r="BA110" s="661"/>
    </row>
    <row r="111" spans="2:53">
      <c r="B111" s="647"/>
      <c r="C111" s="452">
        <v>5</v>
      </c>
      <c r="D111" s="461"/>
      <c r="E111" s="461"/>
      <c r="F111" s="461"/>
      <c r="G111" s="182"/>
      <c r="H111" s="659"/>
      <c r="I111" s="516" t="str">
        <f t="shared" si="91"/>
        <v>-</v>
      </c>
      <c r="J111" s="516" t="str">
        <f t="shared" si="92"/>
        <v>-</v>
      </c>
      <c r="K111" s="200" t="str">
        <f t="shared" si="93"/>
        <v>-</v>
      </c>
      <c r="L111" s="596"/>
      <c r="M111" s="453" t="e">
        <f>RANK(K111, K$107:$K$121)</f>
        <v>#VALUE!</v>
      </c>
      <c r="N111" s="614"/>
      <c r="O111" s="614"/>
      <c r="P111" s="461"/>
      <c r="Q111" s="182"/>
      <c r="R111" s="463"/>
      <c r="S111" s="452" t="e">
        <f t="shared" si="94"/>
        <v>#N/A</v>
      </c>
      <c r="T111" s="661"/>
      <c r="U111" s="461"/>
      <c r="V111" s="182"/>
      <c r="W111" s="463"/>
      <c r="X111" s="452" t="e">
        <f t="shared" si="95"/>
        <v>#N/A</v>
      </c>
      <c r="Y111" s="661"/>
      <c r="Z111" s="461"/>
      <c r="AA111" s="182"/>
      <c r="AB111" s="463"/>
      <c r="AC111" s="452" t="e">
        <f t="shared" si="97"/>
        <v>#N/A</v>
      </c>
      <c r="AD111" s="661"/>
      <c r="AE111" s="461"/>
      <c r="AF111" s="182"/>
      <c r="AG111" s="463"/>
      <c r="AH111" s="452" t="e">
        <f t="shared" si="99"/>
        <v>#N/A</v>
      </c>
      <c r="AI111" s="661"/>
      <c r="AJ111" s="461"/>
      <c r="AK111" s="182"/>
      <c r="AL111" s="463"/>
      <c r="AM111" s="452" t="e">
        <f t="shared" si="101"/>
        <v>#N/A</v>
      </c>
      <c r="AN111" s="661"/>
      <c r="AO111" s="461"/>
      <c r="AP111" s="182"/>
      <c r="AQ111" s="463"/>
      <c r="AR111" s="452" t="e">
        <f t="shared" si="103"/>
        <v>#N/A</v>
      </c>
      <c r="AS111" s="661"/>
      <c r="AT111" s="461"/>
      <c r="AU111" s="182"/>
      <c r="AV111" s="463"/>
      <c r="AW111" s="452" t="e">
        <f t="shared" si="105"/>
        <v>#N/A</v>
      </c>
      <c r="AX111" s="661"/>
      <c r="AZ111" s="532" t="e">
        <f t="shared" si="107"/>
        <v>#N/A</v>
      </c>
      <c r="BA111" s="661"/>
    </row>
    <row r="112" spans="2:53">
      <c r="B112" s="647"/>
      <c r="C112" s="452">
        <v>6</v>
      </c>
      <c r="D112" s="461"/>
      <c r="E112" s="461"/>
      <c r="F112" s="461"/>
      <c r="G112" s="182"/>
      <c r="H112" s="659"/>
      <c r="I112" s="516" t="str">
        <f t="shared" si="91"/>
        <v>-</v>
      </c>
      <c r="J112" s="516" t="str">
        <f t="shared" si="92"/>
        <v>-</v>
      </c>
      <c r="K112" s="200" t="str">
        <f t="shared" si="93"/>
        <v>-</v>
      </c>
      <c r="L112" s="596"/>
      <c r="M112" s="453" t="e">
        <f>RANK(K112, K$107:$K$121)</f>
        <v>#VALUE!</v>
      </c>
      <c r="N112" s="614"/>
      <c r="O112" s="614"/>
      <c r="P112" s="461"/>
      <c r="Q112" s="182"/>
      <c r="R112" s="463"/>
      <c r="S112" s="452" t="e">
        <f t="shared" si="94"/>
        <v>#N/A</v>
      </c>
      <c r="T112" s="661"/>
      <c r="U112" s="461"/>
      <c r="V112" s="182"/>
      <c r="W112" s="463"/>
      <c r="X112" s="452" t="e">
        <f t="shared" si="95"/>
        <v>#N/A</v>
      </c>
      <c r="Y112" s="661"/>
      <c r="Z112" s="461"/>
      <c r="AA112" s="182"/>
      <c r="AB112" s="463"/>
      <c r="AC112" s="452" t="e">
        <f t="shared" si="97"/>
        <v>#N/A</v>
      </c>
      <c r="AD112" s="661"/>
      <c r="AE112" s="461"/>
      <c r="AF112" s="182"/>
      <c r="AG112" s="463"/>
      <c r="AH112" s="452" t="e">
        <f t="shared" si="99"/>
        <v>#N/A</v>
      </c>
      <c r="AI112" s="661"/>
      <c r="AJ112" s="461"/>
      <c r="AK112" s="182"/>
      <c r="AL112" s="463"/>
      <c r="AM112" s="452" t="e">
        <f t="shared" si="101"/>
        <v>#N/A</v>
      </c>
      <c r="AN112" s="661"/>
      <c r="AO112" s="461"/>
      <c r="AP112" s="182"/>
      <c r="AQ112" s="463"/>
      <c r="AR112" s="452" t="e">
        <f t="shared" si="103"/>
        <v>#N/A</v>
      </c>
      <c r="AS112" s="661"/>
      <c r="AT112" s="461"/>
      <c r="AU112" s="182"/>
      <c r="AV112" s="463"/>
      <c r="AW112" s="452" t="e">
        <f t="shared" si="105"/>
        <v>#N/A</v>
      </c>
      <c r="AX112" s="661"/>
      <c r="AZ112" s="532" t="e">
        <f t="shared" si="107"/>
        <v>#N/A</v>
      </c>
      <c r="BA112" s="661"/>
    </row>
    <row r="113" spans="2:53">
      <c r="B113" s="647"/>
      <c r="C113" s="452">
        <v>7</v>
      </c>
      <c r="D113" s="461"/>
      <c r="E113" s="461"/>
      <c r="F113" s="461"/>
      <c r="G113" s="182"/>
      <c r="H113" s="659"/>
      <c r="I113" s="516" t="str">
        <f t="shared" si="91"/>
        <v>-</v>
      </c>
      <c r="J113" s="516" t="str">
        <f t="shared" si="92"/>
        <v>-</v>
      </c>
      <c r="K113" s="200" t="str">
        <f t="shared" si="93"/>
        <v>-</v>
      </c>
      <c r="L113" s="596"/>
      <c r="M113" s="453" t="e">
        <f>RANK(K113, K$107:$K$121)</f>
        <v>#VALUE!</v>
      </c>
      <c r="N113" s="614"/>
      <c r="O113" s="614"/>
      <c r="P113" s="461"/>
      <c r="Q113" s="182"/>
      <c r="R113" s="463"/>
      <c r="S113" s="452" t="e">
        <f t="shared" si="94"/>
        <v>#N/A</v>
      </c>
      <c r="T113" s="661"/>
      <c r="U113" s="461"/>
      <c r="V113" s="182"/>
      <c r="W113" s="463"/>
      <c r="X113" s="452" t="e">
        <f t="shared" si="95"/>
        <v>#N/A</v>
      </c>
      <c r="Y113" s="661"/>
      <c r="Z113" s="461"/>
      <c r="AA113" s="182"/>
      <c r="AB113" s="463"/>
      <c r="AC113" s="452" t="e">
        <f t="shared" si="97"/>
        <v>#N/A</v>
      </c>
      <c r="AD113" s="661"/>
      <c r="AE113" s="461"/>
      <c r="AF113" s="182"/>
      <c r="AG113" s="463"/>
      <c r="AH113" s="452" t="e">
        <f t="shared" si="99"/>
        <v>#N/A</v>
      </c>
      <c r="AI113" s="661"/>
      <c r="AJ113" s="461"/>
      <c r="AK113" s="182"/>
      <c r="AL113" s="463"/>
      <c r="AM113" s="452" t="e">
        <f t="shared" si="101"/>
        <v>#N/A</v>
      </c>
      <c r="AN113" s="661"/>
      <c r="AO113" s="461"/>
      <c r="AP113" s="182"/>
      <c r="AQ113" s="463"/>
      <c r="AR113" s="452" t="e">
        <f t="shared" si="103"/>
        <v>#N/A</v>
      </c>
      <c r="AS113" s="661"/>
      <c r="AT113" s="461"/>
      <c r="AU113" s="182"/>
      <c r="AV113" s="463"/>
      <c r="AW113" s="452" t="e">
        <f t="shared" si="105"/>
        <v>#N/A</v>
      </c>
      <c r="AX113" s="661"/>
      <c r="AZ113" s="532" t="e">
        <f t="shared" si="107"/>
        <v>#N/A</v>
      </c>
      <c r="BA113" s="661"/>
    </row>
    <row r="114" spans="2:53">
      <c r="B114" s="647"/>
      <c r="C114" s="452">
        <v>8</v>
      </c>
      <c r="D114" s="461"/>
      <c r="E114" s="461"/>
      <c r="F114" s="461"/>
      <c r="G114" s="182"/>
      <c r="H114" s="659"/>
      <c r="I114" s="516" t="str">
        <f t="shared" si="91"/>
        <v>-</v>
      </c>
      <c r="J114" s="516" t="str">
        <f t="shared" si="92"/>
        <v>-</v>
      </c>
      <c r="K114" s="200" t="str">
        <f t="shared" si="93"/>
        <v>-</v>
      </c>
      <c r="L114" s="596"/>
      <c r="M114" s="453" t="e">
        <f>RANK(K114, K$107:$K$121)</f>
        <v>#VALUE!</v>
      </c>
      <c r="N114" s="614"/>
      <c r="O114" s="614"/>
      <c r="P114" s="461"/>
      <c r="Q114" s="182"/>
      <c r="R114" s="463"/>
      <c r="S114" s="452" t="e">
        <f t="shared" si="94"/>
        <v>#N/A</v>
      </c>
      <c r="T114" s="661"/>
      <c r="U114" s="461"/>
      <c r="V114" s="182"/>
      <c r="W114" s="463"/>
      <c r="X114" s="452" t="e">
        <f t="shared" si="95"/>
        <v>#N/A</v>
      </c>
      <c r="Y114" s="661"/>
      <c r="Z114" s="461"/>
      <c r="AA114" s="182"/>
      <c r="AB114" s="463"/>
      <c r="AC114" s="452" t="e">
        <f t="shared" si="97"/>
        <v>#N/A</v>
      </c>
      <c r="AD114" s="661"/>
      <c r="AE114" s="461"/>
      <c r="AF114" s="182"/>
      <c r="AG114" s="463"/>
      <c r="AH114" s="452" t="e">
        <f t="shared" si="99"/>
        <v>#N/A</v>
      </c>
      <c r="AI114" s="661"/>
      <c r="AJ114" s="461"/>
      <c r="AK114" s="182"/>
      <c r="AL114" s="463"/>
      <c r="AM114" s="452" t="e">
        <f t="shared" si="101"/>
        <v>#N/A</v>
      </c>
      <c r="AN114" s="661"/>
      <c r="AO114" s="461"/>
      <c r="AP114" s="182"/>
      <c r="AQ114" s="463"/>
      <c r="AR114" s="452" t="e">
        <f t="shared" si="103"/>
        <v>#N/A</v>
      </c>
      <c r="AS114" s="661"/>
      <c r="AT114" s="461"/>
      <c r="AU114" s="182"/>
      <c r="AV114" s="463"/>
      <c r="AW114" s="452" t="e">
        <f t="shared" si="105"/>
        <v>#N/A</v>
      </c>
      <c r="AX114" s="661"/>
      <c r="AZ114" s="532" t="e">
        <f t="shared" si="107"/>
        <v>#N/A</v>
      </c>
      <c r="BA114" s="661"/>
    </row>
    <row r="115" spans="2:53">
      <c r="B115" s="647"/>
      <c r="C115" s="452">
        <v>9</v>
      </c>
      <c r="D115" s="461"/>
      <c r="E115" s="461"/>
      <c r="F115" s="461"/>
      <c r="G115" s="182"/>
      <c r="H115" s="659"/>
      <c r="I115" s="516" t="str">
        <f t="shared" si="91"/>
        <v>-</v>
      </c>
      <c r="J115" s="516" t="str">
        <f t="shared" si="92"/>
        <v>-</v>
      </c>
      <c r="K115" s="200" t="str">
        <f t="shared" si="93"/>
        <v>-</v>
      </c>
      <c r="L115" s="596"/>
      <c r="M115" s="453" t="e">
        <f>RANK(K115, K$107:$K$121)</f>
        <v>#VALUE!</v>
      </c>
      <c r="N115" s="614"/>
      <c r="O115" s="614"/>
      <c r="P115" s="461"/>
      <c r="Q115" s="182"/>
      <c r="R115" s="463"/>
      <c r="S115" s="452" t="e">
        <f t="shared" si="94"/>
        <v>#N/A</v>
      </c>
      <c r="T115" s="661"/>
      <c r="U115" s="461"/>
      <c r="V115" s="182"/>
      <c r="W115" s="463"/>
      <c r="X115" s="452" t="e">
        <f t="shared" si="95"/>
        <v>#N/A</v>
      </c>
      <c r="Y115" s="661"/>
      <c r="Z115" s="461"/>
      <c r="AA115" s="182"/>
      <c r="AB115" s="463"/>
      <c r="AC115" s="452" t="e">
        <f t="shared" si="97"/>
        <v>#N/A</v>
      </c>
      <c r="AD115" s="661"/>
      <c r="AE115" s="461"/>
      <c r="AF115" s="182"/>
      <c r="AG115" s="463"/>
      <c r="AH115" s="452" t="e">
        <f t="shared" si="99"/>
        <v>#N/A</v>
      </c>
      <c r="AI115" s="661"/>
      <c r="AJ115" s="461"/>
      <c r="AK115" s="182"/>
      <c r="AL115" s="463"/>
      <c r="AM115" s="452" t="e">
        <f t="shared" si="101"/>
        <v>#N/A</v>
      </c>
      <c r="AN115" s="661"/>
      <c r="AO115" s="461"/>
      <c r="AP115" s="182"/>
      <c r="AQ115" s="463"/>
      <c r="AR115" s="452" t="e">
        <f t="shared" si="103"/>
        <v>#N/A</v>
      </c>
      <c r="AS115" s="661"/>
      <c r="AT115" s="461"/>
      <c r="AU115" s="182"/>
      <c r="AV115" s="463"/>
      <c r="AW115" s="452" t="e">
        <f t="shared" si="105"/>
        <v>#N/A</v>
      </c>
      <c r="AX115" s="661"/>
      <c r="AZ115" s="532" t="e">
        <f t="shared" si="107"/>
        <v>#N/A</v>
      </c>
      <c r="BA115" s="661"/>
    </row>
    <row r="116" spans="2:53">
      <c r="B116" s="647"/>
      <c r="C116" s="452">
        <v>10</v>
      </c>
      <c r="D116" s="461"/>
      <c r="E116" s="461"/>
      <c r="F116" s="461"/>
      <c r="G116" s="182"/>
      <c r="H116" s="659"/>
      <c r="I116" s="516" t="str">
        <f t="shared" si="91"/>
        <v>-</v>
      </c>
      <c r="J116" s="516" t="str">
        <f t="shared" si="92"/>
        <v>-</v>
      </c>
      <c r="K116" s="200" t="str">
        <f t="shared" si="93"/>
        <v>-</v>
      </c>
      <c r="L116" s="596"/>
      <c r="M116" s="453" t="e">
        <f>RANK(K116, K$107:$K$121)</f>
        <v>#VALUE!</v>
      </c>
      <c r="N116" s="614"/>
      <c r="O116" s="614"/>
      <c r="P116" s="461"/>
      <c r="Q116" s="182"/>
      <c r="R116" s="463"/>
      <c r="S116" s="452" t="e">
        <f t="shared" si="94"/>
        <v>#N/A</v>
      </c>
      <c r="T116" s="661"/>
      <c r="U116" s="461"/>
      <c r="V116" s="182"/>
      <c r="W116" s="463"/>
      <c r="X116" s="452" t="e">
        <f t="shared" si="95"/>
        <v>#N/A</v>
      </c>
      <c r="Y116" s="661"/>
      <c r="Z116" s="461"/>
      <c r="AA116" s="182"/>
      <c r="AB116" s="463"/>
      <c r="AC116" s="452" t="e">
        <f t="shared" si="97"/>
        <v>#N/A</v>
      </c>
      <c r="AD116" s="661"/>
      <c r="AE116" s="461"/>
      <c r="AF116" s="182"/>
      <c r="AG116" s="463"/>
      <c r="AH116" s="452" t="e">
        <f t="shared" si="99"/>
        <v>#N/A</v>
      </c>
      <c r="AI116" s="661"/>
      <c r="AJ116" s="461"/>
      <c r="AK116" s="182"/>
      <c r="AL116" s="463"/>
      <c r="AM116" s="452" t="e">
        <f t="shared" si="101"/>
        <v>#N/A</v>
      </c>
      <c r="AN116" s="661"/>
      <c r="AO116" s="461"/>
      <c r="AP116" s="182"/>
      <c r="AQ116" s="463"/>
      <c r="AR116" s="452" t="e">
        <f t="shared" si="103"/>
        <v>#N/A</v>
      </c>
      <c r="AS116" s="661"/>
      <c r="AT116" s="461"/>
      <c r="AU116" s="182"/>
      <c r="AV116" s="463"/>
      <c r="AW116" s="452" t="e">
        <f t="shared" si="105"/>
        <v>#N/A</v>
      </c>
      <c r="AX116" s="661"/>
      <c r="AZ116" s="532" t="e">
        <f t="shared" si="107"/>
        <v>#N/A</v>
      </c>
      <c r="BA116" s="661"/>
    </row>
    <row r="117" spans="2:53">
      <c r="B117" s="647"/>
      <c r="C117" s="452">
        <v>11</v>
      </c>
      <c r="D117" s="461"/>
      <c r="E117" s="461"/>
      <c r="F117" s="461"/>
      <c r="G117" s="182"/>
      <c r="H117" s="659"/>
      <c r="I117" s="516" t="str">
        <f t="shared" si="91"/>
        <v>-</v>
      </c>
      <c r="J117" s="516" t="str">
        <f t="shared" si="92"/>
        <v>-</v>
      </c>
      <c r="K117" s="200" t="str">
        <f t="shared" si="93"/>
        <v>-</v>
      </c>
      <c r="L117" s="596"/>
      <c r="M117" s="453" t="e">
        <f>RANK(K117, K$107:$K$121)</f>
        <v>#VALUE!</v>
      </c>
      <c r="N117" s="614"/>
      <c r="O117" s="614"/>
      <c r="P117" s="461"/>
      <c r="Q117" s="461"/>
      <c r="R117" s="461"/>
      <c r="S117" s="452" t="e">
        <f t="shared" si="94"/>
        <v>#N/A</v>
      </c>
      <c r="T117" s="661"/>
      <c r="U117" s="461"/>
      <c r="V117" s="461"/>
      <c r="W117" s="461"/>
      <c r="X117" s="452" t="e">
        <f t="shared" si="95"/>
        <v>#N/A</v>
      </c>
      <c r="Y117" s="661"/>
      <c r="Z117" s="461"/>
      <c r="AA117" s="461"/>
      <c r="AB117" s="461"/>
      <c r="AC117" s="452" t="e">
        <f t="shared" si="97"/>
        <v>#N/A</v>
      </c>
      <c r="AD117" s="661"/>
      <c r="AE117" s="461"/>
      <c r="AF117" s="461"/>
      <c r="AG117" s="461"/>
      <c r="AH117" s="452" t="e">
        <f t="shared" si="99"/>
        <v>#N/A</v>
      </c>
      <c r="AI117" s="661"/>
      <c r="AJ117" s="461"/>
      <c r="AK117" s="461"/>
      <c r="AL117" s="461"/>
      <c r="AM117" s="452" t="e">
        <f t="shared" si="101"/>
        <v>#N/A</v>
      </c>
      <c r="AN117" s="661"/>
      <c r="AO117" s="461"/>
      <c r="AP117" s="461"/>
      <c r="AQ117" s="461"/>
      <c r="AR117" s="452" t="e">
        <f t="shared" si="103"/>
        <v>#N/A</v>
      </c>
      <c r="AS117" s="661"/>
      <c r="AT117" s="461"/>
      <c r="AU117" s="461"/>
      <c r="AV117" s="461"/>
      <c r="AW117" s="452" t="e">
        <f t="shared" si="105"/>
        <v>#N/A</v>
      </c>
      <c r="AX117" s="661"/>
      <c r="AZ117" s="532" t="e">
        <f t="shared" si="107"/>
        <v>#N/A</v>
      </c>
      <c r="BA117" s="661"/>
    </row>
    <row r="118" spans="2:53">
      <c r="B118" s="647"/>
      <c r="C118" s="452">
        <v>12</v>
      </c>
      <c r="D118" s="461"/>
      <c r="E118" s="461"/>
      <c r="F118" s="461"/>
      <c r="G118" s="182"/>
      <c r="H118" s="659"/>
      <c r="I118" s="516" t="str">
        <f t="shared" si="91"/>
        <v>-</v>
      </c>
      <c r="J118" s="516" t="str">
        <f t="shared" si="92"/>
        <v>-</v>
      </c>
      <c r="K118" s="200" t="str">
        <f t="shared" si="93"/>
        <v>-</v>
      </c>
      <c r="L118" s="596"/>
      <c r="M118" s="453" t="e">
        <f>RANK(K118, K$107:$K$121)</f>
        <v>#VALUE!</v>
      </c>
      <c r="N118" s="614"/>
      <c r="O118" s="614"/>
      <c r="P118" s="461"/>
      <c r="Q118" s="461"/>
      <c r="R118" s="461"/>
      <c r="S118" s="452" t="e">
        <f t="shared" si="94"/>
        <v>#N/A</v>
      </c>
      <c r="T118" s="661"/>
      <c r="U118" s="461"/>
      <c r="V118" s="461"/>
      <c r="W118" s="461"/>
      <c r="X118" s="452" t="e">
        <f t="shared" si="95"/>
        <v>#N/A</v>
      </c>
      <c r="Y118" s="661"/>
      <c r="Z118" s="461"/>
      <c r="AA118" s="461"/>
      <c r="AB118" s="461"/>
      <c r="AC118" s="452" t="e">
        <f t="shared" si="97"/>
        <v>#N/A</v>
      </c>
      <c r="AD118" s="661"/>
      <c r="AE118" s="461"/>
      <c r="AF118" s="461"/>
      <c r="AG118" s="461"/>
      <c r="AH118" s="452" t="e">
        <f t="shared" si="99"/>
        <v>#N/A</v>
      </c>
      <c r="AI118" s="661"/>
      <c r="AJ118" s="461"/>
      <c r="AK118" s="461"/>
      <c r="AL118" s="461"/>
      <c r="AM118" s="452" t="e">
        <f t="shared" si="101"/>
        <v>#N/A</v>
      </c>
      <c r="AN118" s="661"/>
      <c r="AO118" s="461"/>
      <c r="AP118" s="461"/>
      <c r="AQ118" s="461"/>
      <c r="AR118" s="452" t="e">
        <f t="shared" si="103"/>
        <v>#N/A</v>
      </c>
      <c r="AS118" s="661"/>
      <c r="AT118" s="461"/>
      <c r="AU118" s="461"/>
      <c r="AV118" s="461"/>
      <c r="AW118" s="452" t="e">
        <f t="shared" si="105"/>
        <v>#N/A</v>
      </c>
      <c r="AX118" s="661"/>
      <c r="AZ118" s="532" t="e">
        <f t="shared" si="107"/>
        <v>#N/A</v>
      </c>
      <c r="BA118" s="661"/>
    </row>
    <row r="119" spans="2:53">
      <c r="B119" s="647"/>
      <c r="C119" s="452">
        <v>13</v>
      </c>
      <c r="D119" s="461"/>
      <c r="E119" s="461"/>
      <c r="F119" s="461"/>
      <c r="G119" s="182"/>
      <c r="H119" s="659"/>
      <c r="I119" s="516" t="str">
        <f t="shared" si="91"/>
        <v>-</v>
      </c>
      <c r="J119" s="516" t="str">
        <f t="shared" si="92"/>
        <v>-</v>
      </c>
      <c r="K119" s="200" t="str">
        <f t="shared" si="93"/>
        <v>-</v>
      </c>
      <c r="L119" s="596"/>
      <c r="M119" s="453" t="e">
        <f>RANK(K119, K$107:$K$121)</f>
        <v>#VALUE!</v>
      </c>
      <c r="N119" s="614"/>
      <c r="O119" s="614"/>
      <c r="P119" s="461"/>
      <c r="Q119" s="461"/>
      <c r="R119" s="461"/>
      <c r="S119" s="452" t="e">
        <f t="shared" si="94"/>
        <v>#N/A</v>
      </c>
      <c r="T119" s="661"/>
      <c r="U119" s="461"/>
      <c r="V119" s="461"/>
      <c r="W119" s="461"/>
      <c r="X119" s="452" t="e">
        <f t="shared" si="95"/>
        <v>#N/A</v>
      </c>
      <c r="Y119" s="661"/>
      <c r="Z119" s="461"/>
      <c r="AA119" s="461"/>
      <c r="AB119" s="461"/>
      <c r="AC119" s="452" t="e">
        <f t="shared" si="97"/>
        <v>#N/A</v>
      </c>
      <c r="AD119" s="661"/>
      <c r="AE119" s="461"/>
      <c r="AF119" s="461"/>
      <c r="AG119" s="461"/>
      <c r="AH119" s="452" t="e">
        <f t="shared" si="99"/>
        <v>#N/A</v>
      </c>
      <c r="AI119" s="661"/>
      <c r="AJ119" s="461"/>
      <c r="AK119" s="461"/>
      <c r="AL119" s="461"/>
      <c r="AM119" s="452" t="e">
        <f t="shared" si="101"/>
        <v>#N/A</v>
      </c>
      <c r="AN119" s="661"/>
      <c r="AO119" s="461"/>
      <c r="AP119" s="461"/>
      <c r="AQ119" s="461"/>
      <c r="AR119" s="452" t="e">
        <f t="shared" si="103"/>
        <v>#N/A</v>
      </c>
      <c r="AS119" s="661"/>
      <c r="AT119" s="461"/>
      <c r="AU119" s="461"/>
      <c r="AV119" s="461"/>
      <c r="AW119" s="452" t="e">
        <f t="shared" si="105"/>
        <v>#N/A</v>
      </c>
      <c r="AX119" s="661"/>
      <c r="AZ119" s="532" t="e">
        <f t="shared" si="107"/>
        <v>#N/A</v>
      </c>
      <c r="BA119" s="661"/>
    </row>
    <row r="120" spans="2:53">
      <c r="B120" s="647"/>
      <c r="C120" s="452">
        <v>14</v>
      </c>
      <c r="D120" s="461"/>
      <c r="E120" s="461"/>
      <c r="F120" s="461"/>
      <c r="G120" s="182"/>
      <c r="H120" s="659"/>
      <c r="I120" s="516" t="str">
        <f t="shared" si="91"/>
        <v>-</v>
      </c>
      <c r="J120" s="516" t="str">
        <f t="shared" si="92"/>
        <v>-</v>
      </c>
      <c r="K120" s="200" t="str">
        <f t="shared" si="93"/>
        <v>-</v>
      </c>
      <c r="L120" s="596"/>
      <c r="M120" s="453" t="e">
        <f>RANK(K120, K$107:$K$121)</f>
        <v>#VALUE!</v>
      </c>
      <c r="N120" s="614"/>
      <c r="O120" s="614"/>
      <c r="P120" s="461"/>
      <c r="Q120" s="461"/>
      <c r="R120" s="461"/>
      <c r="S120" s="452" t="e">
        <f t="shared" si="94"/>
        <v>#N/A</v>
      </c>
      <c r="T120" s="661"/>
      <c r="U120" s="461"/>
      <c r="V120" s="461"/>
      <c r="W120" s="461"/>
      <c r="X120" s="452" t="e">
        <f t="shared" si="95"/>
        <v>#N/A</v>
      </c>
      <c r="Y120" s="661"/>
      <c r="Z120" s="461"/>
      <c r="AA120" s="461"/>
      <c r="AB120" s="461"/>
      <c r="AC120" s="452" t="e">
        <f t="shared" si="97"/>
        <v>#N/A</v>
      </c>
      <c r="AD120" s="661"/>
      <c r="AE120" s="461"/>
      <c r="AF120" s="461"/>
      <c r="AG120" s="461"/>
      <c r="AH120" s="452" t="e">
        <f t="shared" si="99"/>
        <v>#N/A</v>
      </c>
      <c r="AI120" s="661"/>
      <c r="AJ120" s="461"/>
      <c r="AK120" s="461"/>
      <c r="AL120" s="461"/>
      <c r="AM120" s="452" t="e">
        <f t="shared" si="101"/>
        <v>#N/A</v>
      </c>
      <c r="AN120" s="661"/>
      <c r="AO120" s="461"/>
      <c r="AP120" s="461"/>
      <c r="AQ120" s="461"/>
      <c r="AR120" s="452" t="e">
        <f t="shared" si="103"/>
        <v>#N/A</v>
      </c>
      <c r="AS120" s="661"/>
      <c r="AT120" s="461"/>
      <c r="AU120" s="461"/>
      <c r="AV120" s="461"/>
      <c r="AW120" s="452" t="e">
        <f t="shared" si="105"/>
        <v>#N/A</v>
      </c>
      <c r="AX120" s="661"/>
      <c r="AZ120" s="532" t="e">
        <f t="shared" si="107"/>
        <v>#N/A</v>
      </c>
      <c r="BA120" s="661"/>
    </row>
    <row r="121" spans="2:53">
      <c r="B121" s="647"/>
      <c r="C121" s="452">
        <v>15</v>
      </c>
      <c r="D121" s="461"/>
      <c r="E121" s="461"/>
      <c r="F121" s="461"/>
      <c r="G121" s="461"/>
      <c r="H121" s="669"/>
      <c r="I121" s="516" t="str">
        <f t="shared" si="91"/>
        <v>-</v>
      </c>
      <c r="J121" s="516" t="str">
        <f t="shared" si="92"/>
        <v>-</v>
      </c>
      <c r="K121" s="200" t="str">
        <f t="shared" si="93"/>
        <v>-</v>
      </c>
      <c r="L121" s="597"/>
      <c r="M121" s="453" t="e">
        <f>RANK(K121, K$107:$K$121)</f>
        <v>#VALUE!</v>
      </c>
      <c r="N121" s="614"/>
      <c r="O121" s="614"/>
      <c r="P121" s="452"/>
      <c r="Q121" s="453"/>
      <c r="R121" s="453"/>
      <c r="S121" s="452" t="e">
        <f t="shared" si="94"/>
        <v>#N/A</v>
      </c>
      <c r="T121" s="661"/>
      <c r="U121" s="452"/>
      <c r="V121" s="453"/>
      <c r="W121" s="453"/>
      <c r="X121" s="452" t="e">
        <f t="shared" si="95"/>
        <v>#N/A</v>
      </c>
      <c r="Y121" s="661"/>
      <c r="Z121" s="452"/>
      <c r="AA121" s="453"/>
      <c r="AB121" s="453"/>
      <c r="AC121" s="452" t="e">
        <f t="shared" si="97"/>
        <v>#N/A</v>
      </c>
      <c r="AD121" s="661"/>
      <c r="AE121" s="452"/>
      <c r="AF121" s="453"/>
      <c r="AG121" s="453"/>
      <c r="AH121" s="452" t="e">
        <f t="shared" si="99"/>
        <v>#N/A</v>
      </c>
      <c r="AI121" s="661"/>
      <c r="AJ121" s="452"/>
      <c r="AK121" s="453"/>
      <c r="AL121" s="453"/>
      <c r="AM121" s="452" t="e">
        <f t="shared" si="101"/>
        <v>#N/A</v>
      </c>
      <c r="AN121" s="661"/>
      <c r="AO121" s="452"/>
      <c r="AP121" s="453"/>
      <c r="AQ121" s="453"/>
      <c r="AR121" s="452" t="e">
        <f t="shared" si="103"/>
        <v>#N/A</v>
      </c>
      <c r="AS121" s="661"/>
      <c r="AT121" s="452"/>
      <c r="AU121" s="453"/>
      <c r="AV121" s="453"/>
      <c r="AW121" s="452" t="e">
        <f t="shared" si="105"/>
        <v>#N/A</v>
      </c>
      <c r="AX121" s="661"/>
      <c r="AZ121" s="532" t="e">
        <f t="shared" si="107"/>
        <v>#N/A</v>
      </c>
      <c r="BA121" s="661"/>
    </row>
    <row r="123" spans="2:53" ht="15.75">
      <c r="B123" s="653" t="s">
        <v>560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561</v>
      </c>
      <c r="C125" s="614" t="s">
        <v>562</v>
      </c>
      <c r="D125" s="614"/>
      <c r="E125" s="614" t="s">
        <v>563</v>
      </c>
      <c r="F125" s="614"/>
      <c r="G125" s="614"/>
      <c r="H125" s="630" t="s">
        <v>564</v>
      </c>
      <c r="I125" s="657" t="s">
        <v>565</v>
      </c>
      <c r="J125" s="657"/>
      <c r="K125" s="657"/>
      <c r="L125" s="673" t="s">
        <v>564</v>
      </c>
      <c r="M125" s="676" t="s">
        <v>566</v>
      </c>
    </row>
    <row r="126" spans="2:53">
      <c r="B126" s="614"/>
      <c r="C126" s="614"/>
      <c r="D126" s="614"/>
      <c r="E126" s="614" t="s">
        <v>567</v>
      </c>
      <c r="F126" s="614"/>
      <c r="G126" s="614"/>
      <c r="H126" s="631"/>
      <c r="I126" s="657" t="s">
        <v>567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568</v>
      </c>
      <c r="F127" s="335" t="s">
        <v>569</v>
      </c>
      <c r="G127" s="335" t="s">
        <v>570</v>
      </c>
      <c r="H127" s="632"/>
      <c r="I127" s="342" t="s">
        <v>568</v>
      </c>
      <c r="J127" s="342" t="s">
        <v>569</v>
      </c>
      <c r="K127" s="342" t="s">
        <v>570</v>
      </c>
      <c r="L127" s="675"/>
      <c r="M127" s="678"/>
    </row>
    <row r="128" spans="2:53">
      <c r="B128" s="662" t="s">
        <v>572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K134" si="109">AVERAGEIF($D$7:$D$121,$D128,I$7:I$121)</f>
        <v>#DIV/0!</v>
      </c>
      <c r="J128" s="199" t="e">
        <f t="shared" si="109"/>
        <v>#DIV/0!</v>
      </c>
      <c r="K128" s="199" t="e">
        <f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39">
      <c r="B129" s="622"/>
      <c r="C129" s="334">
        <v>2</v>
      </c>
      <c r="D129" s="226"/>
      <c r="E129" s="182"/>
      <c r="F129" s="334"/>
      <c r="G129" s="337"/>
      <c r="H129" s="664"/>
      <c r="I129" s="199" t="e">
        <f t="shared" si="109"/>
        <v>#DIV/0!</v>
      </c>
      <c r="J129" s="199" t="e">
        <f t="shared" si="109"/>
        <v>#DIV/0!</v>
      </c>
      <c r="K129" s="199" t="e">
        <f t="shared" si="109"/>
        <v>#DIV/0!</v>
      </c>
      <c r="L129" s="671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2"/>
      <c r="C130" s="334">
        <v>3</v>
      </c>
      <c r="D130" s="226"/>
      <c r="E130" s="182"/>
      <c r="F130" s="334"/>
      <c r="G130" s="337"/>
      <c r="H130" s="664"/>
      <c r="I130" s="199" t="e">
        <f t="shared" si="109"/>
        <v>#DIV/0!</v>
      </c>
      <c r="J130" s="199" t="e">
        <f t="shared" si="109"/>
        <v>#DIV/0!</v>
      </c>
      <c r="K130" s="199" t="e">
        <f t="shared" si="109"/>
        <v>#DIV/0!</v>
      </c>
      <c r="L130" s="671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2"/>
      <c r="C131" s="334">
        <v>4</v>
      </c>
      <c r="D131" s="226"/>
      <c r="E131" s="182"/>
      <c r="F131" s="334"/>
      <c r="G131" s="337"/>
      <c r="H131" s="664"/>
      <c r="I131" s="199" t="e">
        <f t="shared" si="109"/>
        <v>#DIV/0!</v>
      </c>
      <c r="J131" s="199" t="e">
        <f t="shared" si="109"/>
        <v>#DIV/0!</v>
      </c>
      <c r="K131" s="199" t="e">
        <f t="shared" si="109"/>
        <v>#DIV/0!</v>
      </c>
      <c r="L131" s="671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2"/>
      <c r="C132" s="334">
        <v>5</v>
      </c>
      <c r="D132" s="226"/>
      <c r="E132" s="182"/>
      <c r="F132" s="334"/>
      <c r="G132" s="337"/>
      <c r="H132" s="664"/>
      <c r="I132" s="199" t="e">
        <f t="shared" si="109"/>
        <v>#DIV/0!</v>
      </c>
      <c r="J132" s="199" t="e">
        <f t="shared" si="109"/>
        <v>#DIV/0!</v>
      </c>
      <c r="K132" s="199" t="e">
        <f t="shared" si="109"/>
        <v>#DIV/0!</v>
      </c>
      <c r="L132" s="671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2"/>
      <c r="C133" s="334">
        <v>6</v>
      </c>
      <c r="D133" s="343"/>
      <c r="E133" s="182"/>
      <c r="F133" s="334"/>
      <c r="G133" s="337"/>
      <c r="H133" s="664"/>
      <c r="I133" s="199" t="e">
        <f t="shared" si="109"/>
        <v>#DIV/0!</v>
      </c>
      <c r="J133" s="199" t="e">
        <f t="shared" si="109"/>
        <v>#DIV/0!</v>
      </c>
      <c r="K133" s="199" t="e">
        <f t="shared" si="109"/>
        <v>#DIV/0!</v>
      </c>
      <c r="L133" s="671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2"/>
      <c r="C134" s="334">
        <v>7</v>
      </c>
      <c r="D134" s="226"/>
      <c r="E134" s="182"/>
      <c r="F134" s="334"/>
      <c r="G134" s="337"/>
      <c r="H134" s="664"/>
      <c r="I134" s="199" t="e">
        <f t="shared" si="109"/>
        <v>#DIV/0!</v>
      </c>
      <c r="J134" s="199" t="e">
        <f t="shared" si="109"/>
        <v>#DIV/0!</v>
      </c>
      <c r="K134" s="199" t="e">
        <f t="shared" si="109"/>
        <v>#DIV/0!</v>
      </c>
      <c r="L134" s="671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2"/>
      <c r="C135" s="334">
        <v>8</v>
      </c>
      <c r="D135" s="226"/>
      <c r="E135" s="182"/>
      <c r="F135" s="334"/>
      <c r="G135" s="337"/>
      <c r="H135" s="664"/>
      <c r="I135" s="199"/>
      <c r="J135" s="199"/>
      <c r="K135" s="199"/>
      <c r="L135" s="671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2"/>
      <c r="C136" s="334">
        <v>9</v>
      </c>
      <c r="D136" s="226"/>
      <c r="E136" s="334"/>
      <c r="F136" s="334"/>
      <c r="G136" s="334"/>
      <c r="H136" s="664"/>
      <c r="I136" s="199"/>
      <c r="J136" s="199"/>
      <c r="K136" s="199"/>
      <c r="L136" s="671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2"/>
      <c r="C137" s="334">
        <v>10</v>
      </c>
      <c r="D137" s="226"/>
      <c r="E137" s="334"/>
      <c r="F137" s="334"/>
      <c r="G137" s="334"/>
      <c r="H137" s="664"/>
      <c r="I137" s="199"/>
      <c r="J137" s="199"/>
      <c r="K137" s="199"/>
      <c r="L137" s="671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2"/>
      <c r="C138" s="334">
        <v>11</v>
      </c>
      <c r="D138" s="226"/>
      <c r="E138" s="334"/>
      <c r="F138" s="334"/>
      <c r="G138" s="334"/>
      <c r="H138" s="664"/>
      <c r="I138" s="199"/>
      <c r="J138" s="199"/>
      <c r="K138" s="199"/>
      <c r="L138" s="671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70" zoomScaleNormal="70" workbookViewId="0">
      <pane xSplit="15" topLeftCell="S1" activePane="topRight" state="frozen"/>
      <selection activeCell="I107" activeCellId="2" sqref="I67:K81 I87:K101 I107:K121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252.90143336779641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154</v>
      </c>
      <c r="C4" s="614" t="s">
        <v>408</v>
      </c>
      <c r="D4" s="614"/>
      <c r="E4" s="614" t="s">
        <v>426</v>
      </c>
      <c r="F4" s="614"/>
      <c r="G4" s="614"/>
      <c r="H4" s="630" t="s">
        <v>395</v>
      </c>
      <c r="I4" s="614" t="s">
        <v>428</v>
      </c>
      <c r="J4" s="614"/>
      <c r="K4" s="614"/>
      <c r="L4" s="630" t="s">
        <v>395</v>
      </c>
      <c r="M4" s="615" t="s">
        <v>396</v>
      </c>
      <c r="N4" s="614"/>
      <c r="O4" s="614" t="s">
        <v>430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402</v>
      </c>
      <c r="F5" s="614"/>
      <c r="G5" s="614"/>
      <c r="H5" s="631"/>
      <c r="I5" s="614" t="s">
        <v>402</v>
      </c>
      <c r="J5" s="614"/>
      <c r="K5" s="614"/>
      <c r="L5" s="631"/>
      <c r="M5" s="616"/>
      <c r="N5" s="614"/>
      <c r="O5" s="614"/>
      <c r="P5" s="611" t="s">
        <v>689</v>
      </c>
      <c r="Q5" s="612"/>
      <c r="R5" s="612"/>
      <c r="S5" s="613"/>
      <c r="T5" s="614"/>
      <c r="U5" s="611" t="s">
        <v>689</v>
      </c>
      <c r="V5" s="612"/>
      <c r="W5" s="612"/>
      <c r="X5" s="613"/>
      <c r="Y5" s="614"/>
      <c r="Z5" s="611" t="s">
        <v>689</v>
      </c>
      <c r="AA5" s="612"/>
      <c r="AB5" s="612"/>
      <c r="AC5" s="613"/>
      <c r="AD5" s="614"/>
      <c r="AE5" s="611" t="s">
        <v>689</v>
      </c>
      <c r="AF5" s="612"/>
      <c r="AG5" s="612"/>
      <c r="AH5" s="613"/>
      <c r="AI5" s="614"/>
      <c r="AJ5" s="611" t="s">
        <v>689</v>
      </c>
      <c r="AK5" s="612"/>
      <c r="AL5" s="612"/>
      <c r="AM5" s="613"/>
      <c r="AN5" s="614"/>
      <c r="AO5" s="611" t="s">
        <v>689</v>
      </c>
      <c r="AP5" s="612"/>
      <c r="AQ5" s="612"/>
      <c r="AR5" s="613"/>
      <c r="AS5" s="614"/>
      <c r="AT5" s="611" t="s">
        <v>689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9" t="s">
        <v>404</v>
      </c>
      <c r="F6" s="469" t="s">
        <v>691</v>
      </c>
      <c r="G6" s="469" t="s">
        <v>692</v>
      </c>
      <c r="H6" s="632"/>
      <c r="I6" s="469" t="s">
        <v>404</v>
      </c>
      <c r="J6" s="469" t="s">
        <v>691</v>
      </c>
      <c r="K6" s="469" t="s">
        <v>692</v>
      </c>
      <c r="L6" s="632"/>
      <c r="M6" s="617"/>
      <c r="N6" s="614"/>
      <c r="O6" s="614"/>
      <c r="P6" s="469" t="s">
        <v>404</v>
      </c>
      <c r="Q6" s="469" t="s">
        <v>691</v>
      </c>
      <c r="R6" s="469" t="s">
        <v>692</v>
      </c>
      <c r="S6" s="469" t="s">
        <v>396</v>
      </c>
      <c r="T6" s="614"/>
      <c r="U6" s="469" t="s">
        <v>404</v>
      </c>
      <c r="V6" s="469" t="s">
        <v>691</v>
      </c>
      <c r="W6" s="469" t="s">
        <v>692</v>
      </c>
      <c r="X6" s="469" t="s">
        <v>396</v>
      </c>
      <c r="Y6" s="614"/>
      <c r="Z6" s="469" t="s">
        <v>404</v>
      </c>
      <c r="AA6" s="469" t="s">
        <v>691</v>
      </c>
      <c r="AB6" s="469" t="s">
        <v>692</v>
      </c>
      <c r="AC6" s="469" t="s">
        <v>396</v>
      </c>
      <c r="AD6" s="614"/>
      <c r="AE6" s="469" t="s">
        <v>404</v>
      </c>
      <c r="AF6" s="469" t="s">
        <v>691</v>
      </c>
      <c r="AG6" s="469" t="s">
        <v>692</v>
      </c>
      <c r="AH6" s="469" t="s">
        <v>396</v>
      </c>
      <c r="AI6" s="614"/>
      <c r="AJ6" s="469" t="s">
        <v>404</v>
      </c>
      <c r="AK6" s="469" t="s">
        <v>691</v>
      </c>
      <c r="AL6" s="469" t="s">
        <v>692</v>
      </c>
      <c r="AM6" s="469" t="s">
        <v>396</v>
      </c>
      <c r="AN6" s="614"/>
      <c r="AO6" s="469" t="s">
        <v>404</v>
      </c>
      <c r="AP6" s="469" t="s">
        <v>691</v>
      </c>
      <c r="AQ6" s="469" t="s">
        <v>692</v>
      </c>
      <c r="AR6" s="469" t="s">
        <v>396</v>
      </c>
      <c r="AS6" s="614"/>
      <c r="AT6" s="469" t="s">
        <v>404</v>
      </c>
      <c r="AU6" s="469" t="s">
        <v>691</v>
      </c>
      <c r="AV6" s="469" t="s">
        <v>692</v>
      </c>
      <c r="AW6" s="469" t="s">
        <v>396</v>
      </c>
      <c r="AX6" s="614"/>
      <c r="AZ6" s="523" t="s">
        <v>396</v>
      </c>
      <c r="BA6" s="614"/>
    </row>
    <row r="7" spans="1:53" ht="14.25">
      <c r="A7" s="81"/>
      <c r="B7" s="662" t="s">
        <v>694</v>
      </c>
      <c r="C7" s="470">
        <v>1</v>
      </c>
      <c r="D7" s="456" t="s">
        <v>385</v>
      </c>
      <c r="E7" s="473">
        <v>4</v>
      </c>
      <c r="F7" s="473">
        <v>2000</v>
      </c>
      <c r="G7" s="473">
        <v>500</v>
      </c>
      <c r="H7" s="658">
        <f>AVERAGE(G7:G21)</f>
        <v>305.7166666666667</v>
      </c>
      <c r="I7" s="516">
        <f t="shared" ref="I7:I20" si="0">IFERROR(AVERAGE(P7,U7,Z7,AE7,AJ7,AO7,AT7),"-")</f>
        <v>5</v>
      </c>
      <c r="J7" s="516">
        <f t="shared" ref="J7:J20" si="1">IFERROR(AVERAGE(Q7,V7,AA7,AF7,AK7,AP7,AU7),"-")</f>
        <v>2161.4407716401647</v>
      </c>
      <c r="K7" s="200">
        <f t="shared" ref="K7:K20" si="2">IFERROR(AVERAGE(R7,W7,AB7,AG7,AL7,AQ7,AV7),"-")</f>
        <v>432.28815432803293</v>
      </c>
      <c r="L7" s="658">
        <f>IFERROR(AVERAGE(K7:K21),"-")</f>
        <v>259.9408513255695</v>
      </c>
      <c r="M7" s="473">
        <f>RANK(K7, K$7:$K$21)</f>
        <v>2</v>
      </c>
      <c r="N7" s="614"/>
      <c r="O7" s="614"/>
      <c r="P7" s="524">
        <v>5</v>
      </c>
      <c r="Q7" s="182">
        <v>2216.4179104477612</v>
      </c>
      <c r="R7" s="182">
        <v>443.28358208955223</v>
      </c>
      <c r="S7" s="525">
        <f t="shared" ref="S7:S21" si="3">RANK(R7, R$7:R$21)</f>
        <v>2</v>
      </c>
      <c r="T7" s="661">
        <f t="shared" ref="T7" si="4">AVERAGE(R7:R21)</f>
        <v>269.18514602199667</v>
      </c>
      <c r="U7" s="524">
        <v>5</v>
      </c>
      <c r="V7" s="182">
        <v>2164.0677966101698</v>
      </c>
      <c r="W7" s="182">
        <v>432.81355932203394</v>
      </c>
      <c r="X7" s="525">
        <f t="shared" ref="X7:X21" si="5">RANK(W7, W$7:W$21)</f>
        <v>1</v>
      </c>
      <c r="Y7" s="661">
        <f t="shared" ref="Y7" si="6">AVERAGE(W7:W21)</f>
        <v>247.41357596245911</v>
      </c>
      <c r="Z7" s="524">
        <v>5</v>
      </c>
      <c r="AA7" s="182">
        <v>2133.8181818181815</v>
      </c>
      <c r="AB7" s="182">
        <v>426.76363636363629</v>
      </c>
      <c r="AC7" s="525">
        <f t="shared" ref="AC7:AC21" si="7">RANK(AB7, AB$7:AB$21)</f>
        <v>1</v>
      </c>
      <c r="AD7" s="661">
        <f t="shared" ref="AD7" si="8">AVERAGE(AB7:AB21)</f>
        <v>244.14308945610998</v>
      </c>
      <c r="AE7" s="524">
        <v>5</v>
      </c>
      <c r="AF7" s="182">
        <v>2138.823529411764</v>
      </c>
      <c r="AG7" s="182">
        <v>427.76470588235281</v>
      </c>
      <c r="AH7" s="525">
        <f t="shared" ref="AH7:AH21" si="9">RANK(AG7, AG$7:AG$21)</f>
        <v>2</v>
      </c>
      <c r="AI7" s="661">
        <f t="shared" ref="AI7" si="10">AVERAGE(AG7:AG21)</f>
        <v>245.49459970125281</v>
      </c>
      <c r="AJ7" s="524">
        <v>5</v>
      </c>
      <c r="AK7" s="182">
        <v>2178.823529411764</v>
      </c>
      <c r="AL7" s="182">
        <v>435.76470588235281</v>
      </c>
      <c r="AM7" s="525">
        <f t="shared" ref="AM7:AM21" si="11">RANK(AL7, AL$7:AL$21)</f>
        <v>2</v>
      </c>
      <c r="AN7" s="661">
        <f t="shared" ref="AN7" si="12">AVERAGE(AL7:AL21)</f>
        <v>248.25005961873947</v>
      </c>
      <c r="AO7" s="524">
        <v>5</v>
      </c>
      <c r="AP7" s="182">
        <v>2104.7058823529405</v>
      </c>
      <c r="AQ7" s="182">
        <v>420.94117647058812</v>
      </c>
      <c r="AR7" s="525">
        <f t="shared" ref="AR7:AR21" si="13">RANK(AQ7, AQ$7:AQ$21)</f>
        <v>3</v>
      </c>
      <c r="AS7" s="661">
        <f t="shared" ref="AS7" si="14">AVERAGE(AQ7:AQ21)</f>
        <v>247.60784004719775</v>
      </c>
      <c r="AT7" s="524">
        <v>5</v>
      </c>
      <c r="AU7" s="182">
        <v>2193.428571428572</v>
      </c>
      <c r="AV7" s="182">
        <v>438.68571428571443</v>
      </c>
      <c r="AW7" s="525">
        <f t="shared" ref="AW7:AW21" si="15">RANK(AV7, AV$7:AV$21)</f>
        <v>1</v>
      </c>
      <c r="AX7" s="661">
        <f t="shared" ref="AX7" si="16">AVERAGE(AV7:AV21)</f>
        <v>247.09173883311834</v>
      </c>
      <c r="AZ7" s="525" t="e">
        <f t="shared" ref="AZ7:AZ21" si="17">RANK(AY7, AY$7:AY$21)</f>
        <v>#N/A</v>
      </c>
      <c r="BA7" s="661" t="e">
        <f t="shared" ref="BA7" si="18">AVERAGE(AY7:AY21)</f>
        <v>#DIV/0!</v>
      </c>
    </row>
    <row r="8" spans="1:53" ht="15" customHeight="1">
      <c r="A8" s="81"/>
      <c r="B8" s="647"/>
      <c r="C8" s="470">
        <v>2</v>
      </c>
      <c r="D8" s="456" t="s">
        <v>465</v>
      </c>
      <c r="E8" s="473">
        <v>4</v>
      </c>
      <c r="F8" s="473">
        <v>2000</v>
      </c>
      <c r="G8" s="473">
        <v>500</v>
      </c>
      <c r="H8" s="659"/>
      <c r="I8" s="516">
        <f t="shared" si="0"/>
        <v>5</v>
      </c>
      <c r="J8" s="516">
        <f t="shared" si="1"/>
        <v>2146.4865079406459</v>
      </c>
      <c r="K8" s="200">
        <f t="shared" si="2"/>
        <v>429.29730158812919</v>
      </c>
      <c r="L8" s="659"/>
      <c r="M8" s="473">
        <f>RANK(K8, K$7:$K$21)</f>
        <v>3</v>
      </c>
      <c r="N8" s="614"/>
      <c r="O8" s="614"/>
      <c r="P8" s="524">
        <v>5</v>
      </c>
      <c r="Q8" s="182">
        <v>2167.2727272727275</v>
      </c>
      <c r="R8" s="182">
        <v>433.4545454545455</v>
      </c>
      <c r="S8" s="525">
        <f t="shared" si="3"/>
        <v>3</v>
      </c>
      <c r="T8" s="661"/>
      <c r="U8" s="524">
        <v>5</v>
      </c>
      <c r="V8" s="182">
        <v>2162.1428571428569</v>
      </c>
      <c r="W8" s="182">
        <v>432.42857142857139</v>
      </c>
      <c r="X8" s="525">
        <f t="shared" si="5"/>
        <v>2</v>
      </c>
      <c r="Y8" s="661"/>
      <c r="Z8" s="524">
        <v>5</v>
      </c>
      <c r="AA8" s="182">
        <v>2113.2000000000007</v>
      </c>
      <c r="AB8" s="182">
        <v>422.64000000000016</v>
      </c>
      <c r="AC8" s="525">
        <f t="shared" si="7"/>
        <v>2</v>
      </c>
      <c r="AD8" s="661"/>
      <c r="AE8" s="524">
        <v>5</v>
      </c>
      <c r="AF8" s="182">
        <v>2148</v>
      </c>
      <c r="AG8" s="182">
        <v>429.6</v>
      </c>
      <c r="AH8" s="525">
        <f t="shared" si="9"/>
        <v>1</v>
      </c>
      <c r="AI8" s="661"/>
      <c r="AJ8" s="524">
        <v>5</v>
      </c>
      <c r="AK8" s="182">
        <v>2105.6603773584898</v>
      </c>
      <c r="AL8" s="182">
        <v>421.13207547169793</v>
      </c>
      <c r="AM8" s="525">
        <f t="shared" si="11"/>
        <v>3</v>
      </c>
      <c r="AN8" s="661"/>
      <c r="AO8" s="524">
        <v>5</v>
      </c>
      <c r="AP8" s="182">
        <v>2172.7659574468089</v>
      </c>
      <c r="AQ8" s="182">
        <v>434.55319148936178</v>
      </c>
      <c r="AR8" s="525">
        <f t="shared" si="13"/>
        <v>1</v>
      </c>
      <c r="AS8" s="661"/>
      <c r="AT8" s="524">
        <v>5</v>
      </c>
      <c r="AU8" s="182">
        <v>2156.3636363636369</v>
      </c>
      <c r="AV8" s="182">
        <v>431.27272727272737</v>
      </c>
      <c r="AW8" s="525">
        <f t="shared" si="15"/>
        <v>2</v>
      </c>
      <c r="AX8" s="661"/>
      <c r="AZ8" s="525" t="e">
        <f t="shared" si="17"/>
        <v>#N/A</v>
      </c>
      <c r="BA8" s="661"/>
    </row>
    <row r="9" spans="1:53" ht="14.25">
      <c r="A9" s="81"/>
      <c r="B9" s="647"/>
      <c r="C9" s="470">
        <v>3</v>
      </c>
      <c r="D9" s="456" t="s">
        <v>386</v>
      </c>
      <c r="E9" s="473">
        <v>12</v>
      </c>
      <c r="F9" s="473">
        <v>2118</v>
      </c>
      <c r="G9" s="473">
        <v>176.5</v>
      </c>
      <c r="H9" s="659"/>
      <c r="I9" s="516">
        <f t="shared" si="0"/>
        <v>12</v>
      </c>
      <c r="J9" s="516">
        <f t="shared" si="1"/>
        <v>1884.0471490318009</v>
      </c>
      <c r="K9" s="200">
        <f t="shared" si="2"/>
        <v>157.0039290859834</v>
      </c>
      <c r="L9" s="659"/>
      <c r="M9" s="473">
        <f>RANK(K9, K$7:$K$21)</f>
        <v>9</v>
      </c>
      <c r="N9" s="614"/>
      <c r="O9" s="614"/>
      <c r="P9" s="524">
        <v>12</v>
      </c>
      <c r="Q9" s="182">
        <v>1909.9999999999993</v>
      </c>
      <c r="R9" s="182">
        <v>159.1666666666666</v>
      </c>
      <c r="S9" s="525">
        <f t="shared" si="3"/>
        <v>8</v>
      </c>
      <c r="T9" s="661"/>
      <c r="U9" s="524">
        <v>12</v>
      </c>
      <c r="V9" s="182">
        <v>1887.6190476190482</v>
      </c>
      <c r="W9" s="182">
        <v>157.30158730158735</v>
      </c>
      <c r="X9" s="525">
        <f t="shared" si="5"/>
        <v>8</v>
      </c>
      <c r="Y9" s="661"/>
      <c r="Z9" s="524">
        <v>12</v>
      </c>
      <c r="AA9" s="182">
        <v>1850.0000000000005</v>
      </c>
      <c r="AB9" s="182">
        <v>154.16666666666671</v>
      </c>
      <c r="AC9" s="525">
        <f t="shared" si="7"/>
        <v>8</v>
      </c>
      <c r="AD9" s="661"/>
      <c r="AE9" s="524">
        <v>12</v>
      </c>
      <c r="AF9" s="182">
        <v>1852.8813559322036</v>
      </c>
      <c r="AG9" s="182">
        <v>154.40677966101697</v>
      </c>
      <c r="AH9" s="525">
        <f t="shared" si="9"/>
        <v>7</v>
      </c>
      <c r="AI9" s="661"/>
      <c r="AJ9" s="524">
        <v>12</v>
      </c>
      <c r="AK9" s="182">
        <v>1893.8709677419363</v>
      </c>
      <c r="AL9" s="182">
        <v>157.82258064516137</v>
      </c>
      <c r="AM9" s="525">
        <f t="shared" si="11"/>
        <v>8</v>
      </c>
      <c r="AN9" s="661"/>
      <c r="AO9" s="524">
        <v>12</v>
      </c>
      <c r="AP9" s="182">
        <v>1881.35593220339</v>
      </c>
      <c r="AQ9" s="182">
        <v>156.77966101694918</v>
      </c>
      <c r="AR9" s="525">
        <f t="shared" si="13"/>
        <v>8</v>
      </c>
      <c r="AS9" s="661"/>
      <c r="AT9" s="524">
        <v>12</v>
      </c>
      <c r="AU9" s="182">
        <v>1912.602739726027</v>
      </c>
      <c r="AV9" s="182">
        <v>159.38356164383558</v>
      </c>
      <c r="AW9" s="525">
        <f t="shared" si="15"/>
        <v>7</v>
      </c>
      <c r="AX9" s="661"/>
      <c r="AZ9" s="525" t="e">
        <f t="shared" si="17"/>
        <v>#N/A</v>
      </c>
      <c r="BA9" s="661"/>
    </row>
    <row r="10" spans="1:53" ht="14.25">
      <c r="A10" s="81"/>
      <c r="B10" s="647"/>
      <c r="C10" s="470">
        <v>4</v>
      </c>
      <c r="D10" s="456" t="s">
        <v>785</v>
      </c>
      <c r="E10" s="473">
        <v>13</v>
      </c>
      <c r="F10" s="473">
        <v>2250</v>
      </c>
      <c r="G10" s="473">
        <v>187.5</v>
      </c>
      <c r="H10" s="659"/>
      <c r="I10" s="516">
        <f t="shared" si="0"/>
        <v>13</v>
      </c>
      <c r="J10" s="516">
        <f t="shared" si="1"/>
        <v>2195.3989828878684</v>
      </c>
      <c r="K10" s="200">
        <f t="shared" si="2"/>
        <v>168.87684483752835</v>
      </c>
      <c r="L10" s="659"/>
      <c r="M10" s="473">
        <f>RANK(K10, K$7:$K$21)</f>
        <v>6</v>
      </c>
      <c r="N10" s="614"/>
      <c r="O10" s="614"/>
      <c r="P10" s="524">
        <v>13</v>
      </c>
      <c r="Q10" s="182">
        <v>2212.0879120879113</v>
      </c>
      <c r="R10" s="182">
        <v>170.16060862214701</v>
      </c>
      <c r="S10" s="525">
        <f t="shared" si="3"/>
        <v>6</v>
      </c>
      <c r="T10" s="661"/>
      <c r="U10" s="524">
        <v>13</v>
      </c>
      <c r="V10" s="182">
        <v>2190.0000000000014</v>
      </c>
      <c r="W10" s="182">
        <v>168.46153846153857</v>
      </c>
      <c r="X10" s="525">
        <f t="shared" si="5"/>
        <v>5</v>
      </c>
      <c r="Y10" s="661"/>
      <c r="Z10" s="524">
        <v>13</v>
      </c>
      <c r="AA10" s="182">
        <v>2200.5405405405404</v>
      </c>
      <c r="AB10" s="182">
        <v>169.27234927234926</v>
      </c>
      <c r="AC10" s="525">
        <f t="shared" si="7"/>
        <v>5</v>
      </c>
      <c r="AD10" s="661"/>
      <c r="AE10" s="524">
        <v>13</v>
      </c>
      <c r="AF10" s="182">
        <v>2186.3013698630143</v>
      </c>
      <c r="AG10" s="182">
        <v>168.17702845100109</v>
      </c>
      <c r="AH10" s="525">
        <f t="shared" si="9"/>
        <v>5</v>
      </c>
      <c r="AI10" s="661"/>
      <c r="AJ10" s="524">
        <v>13</v>
      </c>
      <c r="AK10" s="182">
        <v>2199.4736842105272</v>
      </c>
      <c r="AL10" s="182">
        <v>169.19028340080979</v>
      </c>
      <c r="AM10" s="525">
        <f t="shared" si="11"/>
        <v>5</v>
      </c>
      <c r="AN10" s="661"/>
      <c r="AO10" s="524">
        <v>13</v>
      </c>
      <c r="AP10" s="182">
        <v>2188.4615384615395</v>
      </c>
      <c r="AQ10" s="182">
        <v>168.34319526627226</v>
      </c>
      <c r="AR10" s="525">
        <f t="shared" si="13"/>
        <v>5</v>
      </c>
      <c r="AS10" s="661"/>
      <c r="AT10" s="524">
        <v>13</v>
      </c>
      <c r="AU10" s="182">
        <v>2190.9278350515465</v>
      </c>
      <c r="AV10" s="182">
        <v>168.53291038858049</v>
      </c>
      <c r="AW10" s="525">
        <f t="shared" si="15"/>
        <v>5</v>
      </c>
      <c r="AX10" s="661"/>
      <c r="AZ10" s="525" t="e">
        <f t="shared" si="17"/>
        <v>#N/A</v>
      </c>
      <c r="BA10" s="661"/>
    </row>
    <row r="11" spans="1:53" ht="14.25">
      <c r="A11" s="81"/>
      <c r="B11" s="647"/>
      <c r="C11" s="470">
        <v>5</v>
      </c>
      <c r="D11" s="456" t="s">
        <v>387</v>
      </c>
      <c r="E11" s="473">
        <v>13</v>
      </c>
      <c r="F11" s="473">
        <v>2250</v>
      </c>
      <c r="G11" s="473">
        <v>173.1</v>
      </c>
      <c r="H11" s="659"/>
      <c r="I11" s="516">
        <f t="shared" si="0"/>
        <v>13</v>
      </c>
      <c r="J11" s="516">
        <f t="shared" si="1"/>
        <v>2140.9005096118572</v>
      </c>
      <c r="K11" s="200">
        <f t="shared" si="2"/>
        <v>164.68465458552751</v>
      </c>
      <c r="L11" s="659"/>
      <c r="M11" s="473">
        <f>RANK(K11, K$7:$K$21)</f>
        <v>7</v>
      </c>
      <c r="N11" s="614"/>
      <c r="O11" s="614"/>
      <c r="P11" s="524">
        <v>13</v>
      </c>
      <c r="Q11" s="182">
        <v>2211.1111111111109</v>
      </c>
      <c r="R11" s="182">
        <v>170.08547008547006</v>
      </c>
      <c r="S11" s="525">
        <f t="shared" si="3"/>
        <v>7</v>
      </c>
      <c r="T11" s="661"/>
      <c r="U11" s="524">
        <v>13</v>
      </c>
      <c r="V11" s="182">
        <v>2117.8217821782173</v>
      </c>
      <c r="W11" s="182">
        <v>162.90936785986287</v>
      </c>
      <c r="X11" s="525">
        <f t="shared" si="5"/>
        <v>6</v>
      </c>
      <c r="Y11" s="661"/>
      <c r="Z11" s="524">
        <v>13</v>
      </c>
      <c r="AA11" s="182">
        <v>2138.7096774193551</v>
      </c>
      <c r="AB11" s="182">
        <v>164.51612903225808</v>
      </c>
      <c r="AC11" s="525">
        <f t="shared" si="7"/>
        <v>6</v>
      </c>
      <c r="AD11" s="661"/>
      <c r="AE11" s="524">
        <v>13</v>
      </c>
      <c r="AF11" s="182">
        <v>2128.9887640449438</v>
      </c>
      <c r="AG11" s="182">
        <v>163.76836646499567</v>
      </c>
      <c r="AH11" s="525">
        <f t="shared" si="9"/>
        <v>6</v>
      </c>
      <c r="AI11" s="661"/>
      <c r="AJ11" s="524">
        <v>13</v>
      </c>
      <c r="AK11" s="182">
        <v>2123.2653061224496</v>
      </c>
      <c r="AL11" s="182">
        <v>163.32810047095765</v>
      </c>
      <c r="AM11" s="525">
        <f t="shared" si="11"/>
        <v>6</v>
      </c>
      <c r="AN11" s="661"/>
      <c r="AO11" s="524">
        <v>13</v>
      </c>
      <c r="AP11" s="182">
        <v>2132.1212121212111</v>
      </c>
      <c r="AQ11" s="182">
        <v>164.00932400932393</v>
      </c>
      <c r="AR11" s="525">
        <f t="shared" si="13"/>
        <v>6</v>
      </c>
      <c r="AS11" s="661"/>
      <c r="AT11" s="524">
        <v>13</v>
      </c>
      <c r="AU11" s="182">
        <v>2134.2857142857147</v>
      </c>
      <c r="AV11" s="182">
        <v>164.1758241758242</v>
      </c>
      <c r="AW11" s="525">
        <f t="shared" si="15"/>
        <v>6</v>
      </c>
      <c r="AX11" s="661"/>
      <c r="AZ11" s="525" t="e">
        <f t="shared" si="17"/>
        <v>#N/A</v>
      </c>
      <c r="BA11" s="661"/>
    </row>
    <row r="12" spans="1:53" ht="14.25">
      <c r="A12" s="81"/>
      <c r="B12" s="647"/>
      <c r="C12" s="470">
        <v>6</v>
      </c>
      <c r="D12" s="456" t="s">
        <v>388</v>
      </c>
      <c r="E12" s="473">
        <v>10</v>
      </c>
      <c r="F12" s="473">
        <v>2769</v>
      </c>
      <c r="G12" s="473">
        <v>276.89999999999998</v>
      </c>
      <c r="H12" s="659"/>
      <c r="I12" s="516">
        <f t="shared" si="0"/>
        <v>10</v>
      </c>
      <c r="J12" s="516">
        <f t="shared" si="1"/>
        <v>2222.5905287256601</v>
      </c>
      <c r="K12" s="200">
        <f t="shared" si="2"/>
        <v>222.25905287256606</v>
      </c>
      <c r="L12" s="659"/>
      <c r="M12" s="473">
        <f>RANK(K12, K$7:$K$21)</f>
        <v>5</v>
      </c>
      <c r="N12" s="614"/>
      <c r="O12" s="614"/>
      <c r="P12" s="524">
        <v>10</v>
      </c>
      <c r="Q12" s="182">
        <v>2257.7399999999989</v>
      </c>
      <c r="R12" s="182">
        <v>225.77399999999989</v>
      </c>
      <c r="S12" s="525">
        <f t="shared" si="3"/>
        <v>5</v>
      </c>
      <c r="T12" s="661"/>
      <c r="U12" s="524">
        <v>10</v>
      </c>
      <c r="V12" s="182">
        <v>2177.291666666667</v>
      </c>
      <c r="W12" s="182">
        <v>217.72916666666669</v>
      </c>
      <c r="X12" s="525">
        <f t="shared" si="5"/>
        <v>4</v>
      </c>
      <c r="Y12" s="661"/>
      <c r="Z12" s="524">
        <v>10</v>
      </c>
      <c r="AA12" s="182">
        <v>2182.7368421052638</v>
      </c>
      <c r="AB12" s="182">
        <v>218.27368421052637</v>
      </c>
      <c r="AC12" s="525">
        <f t="shared" si="7"/>
        <v>4</v>
      </c>
      <c r="AD12" s="661"/>
      <c r="AE12" s="524">
        <v>10</v>
      </c>
      <c r="AF12" s="182">
        <v>2228.3076923076937</v>
      </c>
      <c r="AG12" s="182">
        <v>222.83076923076936</v>
      </c>
      <c r="AH12" s="525">
        <f t="shared" si="9"/>
        <v>4</v>
      </c>
      <c r="AI12" s="661"/>
      <c r="AJ12" s="524">
        <v>10</v>
      </c>
      <c r="AK12" s="182">
        <v>2233.5000000000005</v>
      </c>
      <c r="AL12" s="182">
        <v>223.35000000000005</v>
      </c>
      <c r="AM12" s="525">
        <f t="shared" si="11"/>
        <v>4</v>
      </c>
      <c r="AN12" s="661"/>
      <c r="AO12" s="524">
        <v>10</v>
      </c>
      <c r="AP12" s="182">
        <v>2230.5375000000013</v>
      </c>
      <c r="AQ12" s="182">
        <v>223.05375000000012</v>
      </c>
      <c r="AR12" s="525">
        <f t="shared" si="13"/>
        <v>4</v>
      </c>
      <c r="AS12" s="661"/>
      <c r="AT12" s="524">
        <v>10</v>
      </c>
      <c r="AU12" s="182">
        <v>2248.0199999999991</v>
      </c>
      <c r="AV12" s="182">
        <v>224.80199999999991</v>
      </c>
      <c r="AW12" s="525">
        <f t="shared" si="15"/>
        <v>4</v>
      </c>
      <c r="AX12" s="661"/>
      <c r="AZ12" s="525" t="e">
        <f t="shared" si="17"/>
        <v>#N/A</v>
      </c>
      <c r="BA12" s="661"/>
    </row>
    <row r="13" spans="1:53" ht="14.25">
      <c r="A13" s="81"/>
      <c r="B13" s="647"/>
      <c r="C13" s="470">
        <v>7</v>
      </c>
      <c r="D13" s="456" t="s">
        <v>384</v>
      </c>
      <c r="E13" s="473">
        <v>18</v>
      </c>
      <c r="F13" s="473">
        <v>1200</v>
      </c>
      <c r="G13" s="473">
        <v>66.666666666666671</v>
      </c>
      <c r="H13" s="659"/>
      <c r="I13" s="516">
        <f t="shared" si="0"/>
        <v>18.142857142857142</v>
      </c>
      <c r="J13" s="516">
        <f t="shared" si="1"/>
        <v>1220.3574244427784</v>
      </c>
      <c r="K13" s="200">
        <f t="shared" si="2"/>
        <v>67.286356495776758</v>
      </c>
      <c r="L13" s="659"/>
      <c r="M13" s="473">
        <f>RANK(K13, K$7:$K$21)</f>
        <v>10</v>
      </c>
      <c r="N13" s="614"/>
      <c r="O13" s="614"/>
      <c r="P13" s="524">
        <v>18</v>
      </c>
      <c r="Q13" s="182">
        <v>1216.5714285714287</v>
      </c>
      <c r="R13" s="182">
        <v>67.587301587301596</v>
      </c>
      <c r="S13" s="525">
        <f t="shared" si="3"/>
        <v>10</v>
      </c>
      <c r="T13" s="661"/>
      <c r="U13" s="524">
        <v>18</v>
      </c>
      <c r="V13" s="182">
        <v>1216.304347826087</v>
      </c>
      <c r="W13" s="182">
        <v>67.572463768115938</v>
      </c>
      <c r="X13" s="525">
        <f t="shared" si="5"/>
        <v>9</v>
      </c>
      <c r="Y13" s="661"/>
      <c r="Z13" s="524">
        <v>18</v>
      </c>
      <c r="AA13" s="182">
        <v>1222.6530612244896</v>
      </c>
      <c r="AB13" s="182">
        <v>67.925170068027199</v>
      </c>
      <c r="AC13" s="525">
        <f t="shared" si="7"/>
        <v>9</v>
      </c>
      <c r="AD13" s="661"/>
      <c r="AE13" s="524">
        <v>18</v>
      </c>
      <c r="AF13" s="182">
        <v>1221.8181818181818</v>
      </c>
      <c r="AG13" s="182">
        <v>67.878787878787875</v>
      </c>
      <c r="AH13" s="525">
        <f t="shared" si="9"/>
        <v>9</v>
      </c>
      <c r="AI13" s="661"/>
      <c r="AJ13" s="524">
        <v>18</v>
      </c>
      <c r="AK13" s="182">
        <v>1220.9302325581393</v>
      </c>
      <c r="AL13" s="182">
        <v>67.829457364341067</v>
      </c>
      <c r="AM13" s="525">
        <f t="shared" si="11"/>
        <v>9</v>
      </c>
      <c r="AN13" s="661"/>
      <c r="AO13" s="524">
        <v>18</v>
      </c>
      <c r="AP13" s="182">
        <v>1220.2247191011236</v>
      </c>
      <c r="AQ13" s="182">
        <v>67.790262172284642</v>
      </c>
      <c r="AR13" s="525">
        <f t="shared" si="13"/>
        <v>9</v>
      </c>
      <c r="AS13" s="661"/>
      <c r="AT13" s="524">
        <v>19</v>
      </c>
      <c r="AU13" s="182">
        <v>1224</v>
      </c>
      <c r="AV13" s="182">
        <v>64.421052631578945</v>
      </c>
      <c r="AW13" s="525">
        <f t="shared" si="15"/>
        <v>9</v>
      </c>
      <c r="AX13" s="661"/>
      <c r="AZ13" s="525" t="e">
        <f t="shared" si="17"/>
        <v>#N/A</v>
      </c>
      <c r="BA13" s="661"/>
    </row>
    <row r="14" spans="1:53" ht="14.25">
      <c r="A14" s="81"/>
      <c r="B14" s="647"/>
      <c r="C14" s="470">
        <v>8</v>
      </c>
      <c r="D14" s="456" t="s">
        <v>675</v>
      </c>
      <c r="E14" s="473">
        <v>12</v>
      </c>
      <c r="F14" s="473">
        <v>2118</v>
      </c>
      <c r="G14" s="473">
        <v>176.5</v>
      </c>
      <c r="H14" s="659"/>
      <c r="I14" s="516">
        <f t="shared" si="0"/>
        <v>12</v>
      </c>
      <c r="J14" s="516">
        <f t="shared" si="1"/>
        <v>1887.7450896238915</v>
      </c>
      <c r="K14" s="200">
        <f t="shared" si="2"/>
        <v>157.31209080199096</v>
      </c>
      <c r="L14" s="659"/>
      <c r="M14" s="473">
        <f>RANK(K14, K$7:$K$21)</f>
        <v>8</v>
      </c>
      <c r="N14" s="614"/>
      <c r="O14" s="614"/>
      <c r="P14" s="524">
        <v>12</v>
      </c>
      <c r="Q14" s="182">
        <v>1892.5714285714278</v>
      </c>
      <c r="R14" s="182">
        <v>157.71428571428564</v>
      </c>
      <c r="S14" s="525">
        <f t="shared" si="3"/>
        <v>9</v>
      </c>
      <c r="T14" s="661"/>
      <c r="U14" s="524">
        <v>12</v>
      </c>
      <c r="V14" s="182">
        <v>1903.6363636363644</v>
      </c>
      <c r="W14" s="182">
        <v>158.63636363636371</v>
      </c>
      <c r="X14" s="525">
        <f t="shared" si="5"/>
        <v>7</v>
      </c>
      <c r="Y14" s="661"/>
      <c r="Z14" s="524">
        <v>12</v>
      </c>
      <c r="AA14" s="182">
        <v>1879.3220338983053</v>
      </c>
      <c r="AB14" s="182">
        <v>156.61016949152545</v>
      </c>
      <c r="AC14" s="525">
        <f t="shared" si="7"/>
        <v>7</v>
      </c>
      <c r="AD14" s="661"/>
      <c r="AE14" s="524">
        <v>12</v>
      </c>
      <c r="AF14" s="182">
        <v>1847.7777777777774</v>
      </c>
      <c r="AG14" s="182">
        <v>153.98148148148144</v>
      </c>
      <c r="AH14" s="525">
        <f t="shared" si="9"/>
        <v>8</v>
      </c>
      <c r="AI14" s="661"/>
      <c r="AJ14" s="524">
        <v>12</v>
      </c>
      <c r="AK14" s="182">
        <v>1894.0000000000005</v>
      </c>
      <c r="AL14" s="182">
        <v>157.83333333333337</v>
      </c>
      <c r="AM14" s="525">
        <f t="shared" si="11"/>
        <v>7</v>
      </c>
      <c r="AN14" s="661"/>
      <c r="AO14" s="524">
        <v>12</v>
      </c>
      <c r="AP14" s="182">
        <v>1911.4285714285716</v>
      </c>
      <c r="AQ14" s="182">
        <v>159.28571428571431</v>
      </c>
      <c r="AR14" s="525">
        <f t="shared" si="13"/>
        <v>7</v>
      </c>
      <c r="AS14" s="661"/>
      <c r="AT14" s="524">
        <v>12</v>
      </c>
      <c r="AU14" s="182">
        <v>1885.4794520547941</v>
      </c>
      <c r="AV14" s="182">
        <v>157.12328767123284</v>
      </c>
      <c r="AW14" s="525">
        <f t="shared" si="15"/>
        <v>8</v>
      </c>
      <c r="AX14" s="661"/>
      <c r="AZ14" s="525" t="e">
        <f t="shared" si="17"/>
        <v>#N/A</v>
      </c>
      <c r="BA14" s="661"/>
    </row>
    <row r="15" spans="1:53" ht="14.25">
      <c r="A15" s="81"/>
      <c r="B15" s="647"/>
      <c r="C15" s="470">
        <v>9</v>
      </c>
      <c r="D15" s="456" t="s">
        <v>741</v>
      </c>
      <c r="E15" s="473">
        <v>4</v>
      </c>
      <c r="F15" s="473">
        <v>2000</v>
      </c>
      <c r="G15" s="473">
        <v>500</v>
      </c>
      <c r="H15" s="659"/>
      <c r="I15" s="516">
        <f t="shared" si="0"/>
        <v>5</v>
      </c>
      <c r="J15" s="516">
        <f t="shared" si="1"/>
        <v>1820.0000000000005</v>
      </c>
      <c r="K15" s="200">
        <f t="shared" si="2"/>
        <v>364.00000000000011</v>
      </c>
      <c r="L15" s="659"/>
      <c r="M15" s="473">
        <f>RANK(K15, K$7:$K$21)</f>
        <v>4</v>
      </c>
      <c r="N15" s="614"/>
      <c r="O15" s="614"/>
      <c r="P15" s="524">
        <v>5</v>
      </c>
      <c r="Q15" s="182">
        <v>1820.0000000000005</v>
      </c>
      <c r="R15" s="182">
        <v>364.00000000000011</v>
      </c>
      <c r="S15" s="525">
        <f t="shared" si="3"/>
        <v>4</v>
      </c>
      <c r="T15" s="661"/>
      <c r="U15" s="524" t="s">
        <v>839</v>
      </c>
      <c r="V15" s="182" t="s">
        <v>839</v>
      </c>
      <c r="W15" s="182" t="s">
        <v>839</v>
      </c>
      <c r="X15" s="525" t="e">
        <f t="shared" si="5"/>
        <v>#VALUE!</v>
      </c>
      <c r="Y15" s="661"/>
      <c r="Z15" s="524" t="s">
        <v>839</v>
      </c>
      <c r="AA15" s="182" t="s">
        <v>839</v>
      </c>
      <c r="AB15" s="182" t="s">
        <v>839</v>
      </c>
      <c r="AC15" s="525" t="e">
        <f t="shared" si="7"/>
        <v>#VALUE!</v>
      </c>
      <c r="AD15" s="661"/>
      <c r="AE15" s="524" t="s">
        <v>839</v>
      </c>
      <c r="AF15" s="182" t="s">
        <v>839</v>
      </c>
      <c r="AG15" s="182" t="s">
        <v>839</v>
      </c>
      <c r="AH15" s="525" t="e">
        <f t="shared" si="9"/>
        <v>#VALUE!</v>
      </c>
      <c r="AI15" s="661"/>
      <c r="AJ15" s="524" t="s">
        <v>839</v>
      </c>
      <c r="AK15" s="182" t="s">
        <v>839</v>
      </c>
      <c r="AL15" s="182" t="s">
        <v>839</v>
      </c>
      <c r="AM15" s="525" t="e">
        <f t="shared" si="11"/>
        <v>#VALUE!</v>
      </c>
      <c r="AN15" s="661"/>
      <c r="AO15" s="524" t="s">
        <v>839</v>
      </c>
      <c r="AP15" s="182" t="s">
        <v>839</v>
      </c>
      <c r="AQ15" s="182" t="s">
        <v>839</v>
      </c>
      <c r="AR15" s="525" t="e">
        <f t="shared" si="13"/>
        <v>#VALUE!</v>
      </c>
      <c r="AS15" s="661"/>
      <c r="AT15" s="524" t="s">
        <v>839</v>
      </c>
      <c r="AU15" s="182" t="s">
        <v>839</v>
      </c>
      <c r="AV15" s="182" t="s">
        <v>839</v>
      </c>
      <c r="AW15" s="525" t="e">
        <f t="shared" si="15"/>
        <v>#VALUE!</v>
      </c>
      <c r="AX15" s="661"/>
      <c r="AZ15" s="525" t="e">
        <f t="shared" si="17"/>
        <v>#N/A</v>
      </c>
      <c r="BA15" s="661"/>
    </row>
    <row r="16" spans="1:53" ht="14.25">
      <c r="A16" s="81"/>
      <c r="B16" s="647"/>
      <c r="C16" s="470">
        <v>10</v>
      </c>
      <c r="D16" s="456" t="s">
        <v>770</v>
      </c>
      <c r="E16" s="473">
        <v>4</v>
      </c>
      <c r="F16" s="473">
        <v>2000</v>
      </c>
      <c r="G16" s="473">
        <v>500</v>
      </c>
      <c r="H16" s="659"/>
      <c r="I16" s="516">
        <f t="shared" si="0"/>
        <v>4.8571428571428568</v>
      </c>
      <c r="J16" s="516">
        <f t="shared" si="1"/>
        <v>2110.4827861579411</v>
      </c>
      <c r="K16" s="200">
        <f t="shared" si="2"/>
        <v>436.40012866015962</v>
      </c>
      <c r="L16" s="659"/>
      <c r="M16" s="473">
        <f>RANK(K16, K$7:$K$21)</f>
        <v>1</v>
      </c>
      <c r="N16" s="614"/>
      <c r="O16" s="614"/>
      <c r="P16" s="524">
        <v>4</v>
      </c>
      <c r="Q16" s="182">
        <v>2002.4999999999936</v>
      </c>
      <c r="R16" s="182">
        <v>500.62499999999841</v>
      </c>
      <c r="S16" s="525">
        <f t="shared" si="3"/>
        <v>1</v>
      </c>
      <c r="T16" s="661"/>
      <c r="U16" s="524">
        <v>5</v>
      </c>
      <c r="V16" s="182">
        <v>2144.3478260869565</v>
      </c>
      <c r="W16" s="182">
        <v>428.86956521739131</v>
      </c>
      <c r="X16" s="525">
        <f t="shared" si="5"/>
        <v>3</v>
      </c>
      <c r="Y16" s="661"/>
      <c r="Z16" s="524">
        <v>5</v>
      </c>
      <c r="AA16" s="182">
        <v>2085.6000000000008</v>
      </c>
      <c r="AB16" s="182">
        <v>417.12000000000018</v>
      </c>
      <c r="AC16" s="525">
        <f t="shared" si="7"/>
        <v>3</v>
      </c>
      <c r="AD16" s="661"/>
      <c r="AE16" s="524">
        <v>5</v>
      </c>
      <c r="AF16" s="182">
        <v>2105.217391304348</v>
      </c>
      <c r="AG16" s="182">
        <v>421.04347826086962</v>
      </c>
      <c r="AH16" s="525">
        <f t="shared" si="9"/>
        <v>3</v>
      </c>
      <c r="AI16" s="661"/>
      <c r="AJ16" s="524">
        <v>5</v>
      </c>
      <c r="AK16" s="182">
        <v>2190.0000000000036</v>
      </c>
      <c r="AL16" s="182">
        <v>438.00000000000074</v>
      </c>
      <c r="AM16" s="525">
        <f t="shared" si="11"/>
        <v>1</v>
      </c>
      <c r="AN16" s="661"/>
      <c r="AO16" s="524">
        <v>5</v>
      </c>
      <c r="AP16" s="182">
        <v>2168.571428571428</v>
      </c>
      <c r="AQ16" s="182">
        <v>433.71428571428561</v>
      </c>
      <c r="AR16" s="525">
        <f t="shared" si="13"/>
        <v>2</v>
      </c>
      <c r="AS16" s="661"/>
      <c r="AT16" s="524">
        <v>5</v>
      </c>
      <c r="AU16" s="182">
        <v>2077.1428571428564</v>
      </c>
      <c r="AV16" s="182">
        <v>415.42857142857127</v>
      </c>
      <c r="AW16" s="525">
        <f t="shared" si="15"/>
        <v>3</v>
      </c>
      <c r="AX16" s="661"/>
      <c r="AZ16" s="525" t="e">
        <f t="shared" si="17"/>
        <v>#N/A</v>
      </c>
      <c r="BA16" s="661"/>
    </row>
    <row r="17" spans="2:53">
      <c r="B17" s="647"/>
      <c r="C17" s="470">
        <v>11</v>
      </c>
      <c r="D17" s="456"/>
      <c r="E17" s="473"/>
      <c r="F17" s="473"/>
      <c r="G17" s="473"/>
      <c r="H17" s="659"/>
      <c r="I17" s="516" t="str">
        <f t="shared" si="0"/>
        <v>-</v>
      </c>
      <c r="J17" s="516" t="str">
        <f t="shared" si="1"/>
        <v>-</v>
      </c>
      <c r="K17" s="200" t="str">
        <f t="shared" si="2"/>
        <v>-</v>
      </c>
      <c r="L17" s="659"/>
      <c r="M17" s="473" t="e">
        <f>RANK(K17, K$7:$K$21)</f>
        <v>#VALUE!</v>
      </c>
      <c r="N17" s="614"/>
      <c r="O17" s="614"/>
      <c r="P17" s="524" t="s">
        <v>839</v>
      </c>
      <c r="Q17" s="182" t="s">
        <v>839</v>
      </c>
      <c r="R17" s="182" t="s">
        <v>839</v>
      </c>
      <c r="S17" s="525" t="e">
        <f t="shared" si="3"/>
        <v>#VALUE!</v>
      </c>
      <c r="T17" s="661"/>
      <c r="U17" s="524" t="s">
        <v>839</v>
      </c>
      <c r="V17" s="182" t="s">
        <v>839</v>
      </c>
      <c r="W17" s="182" t="s">
        <v>839</v>
      </c>
      <c r="X17" s="525" t="e">
        <f t="shared" si="5"/>
        <v>#VALUE!</v>
      </c>
      <c r="Y17" s="661"/>
      <c r="Z17" s="524" t="s">
        <v>839</v>
      </c>
      <c r="AA17" s="182" t="s">
        <v>839</v>
      </c>
      <c r="AB17" s="182" t="s">
        <v>839</v>
      </c>
      <c r="AC17" s="525" t="e">
        <f t="shared" si="7"/>
        <v>#VALUE!</v>
      </c>
      <c r="AD17" s="661"/>
      <c r="AE17" s="524" t="s">
        <v>839</v>
      </c>
      <c r="AF17" s="182" t="s">
        <v>839</v>
      </c>
      <c r="AG17" s="182" t="s">
        <v>839</v>
      </c>
      <c r="AH17" s="525" t="e">
        <f t="shared" si="9"/>
        <v>#VALUE!</v>
      </c>
      <c r="AI17" s="661"/>
      <c r="AJ17" s="524" t="s">
        <v>839</v>
      </c>
      <c r="AK17" s="182" t="s">
        <v>839</v>
      </c>
      <c r="AL17" s="182" t="s">
        <v>839</v>
      </c>
      <c r="AM17" s="525" t="e">
        <f t="shared" si="11"/>
        <v>#VALUE!</v>
      </c>
      <c r="AN17" s="661"/>
      <c r="AO17" s="524" t="s">
        <v>839</v>
      </c>
      <c r="AP17" s="182" t="s">
        <v>839</v>
      </c>
      <c r="AQ17" s="182" t="s">
        <v>839</v>
      </c>
      <c r="AR17" s="525" t="e">
        <f t="shared" si="13"/>
        <v>#VALUE!</v>
      </c>
      <c r="AS17" s="661"/>
      <c r="AT17" s="524" t="s">
        <v>839</v>
      </c>
      <c r="AU17" s="182" t="s">
        <v>839</v>
      </c>
      <c r="AV17" s="182" t="s">
        <v>839</v>
      </c>
      <c r="AW17" s="525" t="e">
        <f t="shared" si="15"/>
        <v>#VALUE!</v>
      </c>
      <c r="AX17" s="661"/>
      <c r="AZ17" s="525" t="e">
        <f t="shared" si="17"/>
        <v>#N/A</v>
      </c>
      <c r="BA17" s="661"/>
    </row>
    <row r="18" spans="2:53">
      <c r="B18" s="647"/>
      <c r="C18" s="470">
        <v>12</v>
      </c>
      <c r="D18" s="456"/>
      <c r="E18" s="473"/>
      <c r="F18" s="473"/>
      <c r="G18" s="473"/>
      <c r="H18" s="659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659"/>
      <c r="M18" s="473" t="e">
        <f>RANK(K18, K$7:$K$21)</f>
        <v>#VALUE!</v>
      </c>
      <c r="N18" s="614"/>
      <c r="O18" s="614"/>
      <c r="P18" s="524" t="s">
        <v>839</v>
      </c>
      <c r="Q18" s="182" t="s">
        <v>839</v>
      </c>
      <c r="R18" s="182" t="s">
        <v>839</v>
      </c>
      <c r="S18" s="525" t="e">
        <f t="shared" si="3"/>
        <v>#VALUE!</v>
      </c>
      <c r="T18" s="661"/>
      <c r="U18" s="524" t="s">
        <v>839</v>
      </c>
      <c r="V18" s="182" t="s">
        <v>839</v>
      </c>
      <c r="W18" s="182" t="s">
        <v>839</v>
      </c>
      <c r="X18" s="525" t="e">
        <f t="shared" si="5"/>
        <v>#VALUE!</v>
      </c>
      <c r="Y18" s="661"/>
      <c r="Z18" s="524" t="s">
        <v>839</v>
      </c>
      <c r="AA18" s="182" t="s">
        <v>839</v>
      </c>
      <c r="AB18" s="182" t="s">
        <v>839</v>
      </c>
      <c r="AC18" s="525" t="e">
        <f t="shared" si="7"/>
        <v>#VALUE!</v>
      </c>
      <c r="AD18" s="661"/>
      <c r="AE18" s="524" t="s">
        <v>839</v>
      </c>
      <c r="AF18" s="182" t="s">
        <v>839</v>
      </c>
      <c r="AG18" s="182" t="s">
        <v>839</v>
      </c>
      <c r="AH18" s="525" t="e">
        <f t="shared" si="9"/>
        <v>#VALUE!</v>
      </c>
      <c r="AI18" s="661"/>
      <c r="AJ18" s="524" t="s">
        <v>839</v>
      </c>
      <c r="AK18" s="182" t="s">
        <v>839</v>
      </c>
      <c r="AL18" s="182" t="s">
        <v>839</v>
      </c>
      <c r="AM18" s="525" t="e">
        <f t="shared" si="11"/>
        <v>#VALUE!</v>
      </c>
      <c r="AN18" s="661"/>
      <c r="AO18" s="524" t="s">
        <v>839</v>
      </c>
      <c r="AP18" s="182" t="s">
        <v>839</v>
      </c>
      <c r="AQ18" s="182" t="s">
        <v>839</v>
      </c>
      <c r="AR18" s="525" t="e">
        <f t="shared" si="13"/>
        <v>#VALUE!</v>
      </c>
      <c r="AS18" s="661"/>
      <c r="AT18" s="524" t="s">
        <v>839</v>
      </c>
      <c r="AU18" s="182" t="s">
        <v>839</v>
      </c>
      <c r="AV18" s="182" t="s">
        <v>839</v>
      </c>
      <c r="AW18" s="525" t="e">
        <f t="shared" si="15"/>
        <v>#VALUE!</v>
      </c>
      <c r="AX18" s="661"/>
      <c r="AZ18" s="525" t="e">
        <f t="shared" si="17"/>
        <v>#N/A</v>
      </c>
      <c r="BA18" s="661"/>
    </row>
    <row r="19" spans="2:53">
      <c r="B19" s="647"/>
      <c r="C19" s="470">
        <v>13</v>
      </c>
      <c r="D19" s="456"/>
      <c r="E19" s="473"/>
      <c r="F19" s="473"/>
      <c r="G19" s="473"/>
      <c r="H19" s="659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659"/>
      <c r="M19" s="473" t="e">
        <f>RANK(K19, K$7:$K$21)</f>
        <v>#VALUE!</v>
      </c>
      <c r="N19" s="614"/>
      <c r="O19" s="614"/>
      <c r="P19" s="524" t="s">
        <v>839</v>
      </c>
      <c r="Q19" s="182" t="s">
        <v>839</v>
      </c>
      <c r="R19" s="182" t="s">
        <v>839</v>
      </c>
      <c r="S19" s="525" t="e">
        <f t="shared" si="3"/>
        <v>#VALUE!</v>
      </c>
      <c r="T19" s="661"/>
      <c r="U19" s="524" t="s">
        <v>839</v>
      </c>
      <c r="V19" s="182" t="s">
        <v>839</v>
      </c>
      <c r="W19" s="182" t="s">
        <v>839</v>
      </c>
      <c r="X19" s="525" t="e">
        <f t="shared" si="5"/>
        <v>#VALUE!</v>
      </c>
      <c r="Y19" s="661"/>
      <c r="Z19" s="524" t="s">
        <v>839</v>
      </c>
      <c r="AA19" s="182" t="s">
        <v>839</v>
      </c>
      <c r="AB19" s="182" t="s">
        <v>839</v>
      </c>
      <c r="AC19" s="525" t="e">
        <f t="shared" si="7"/>
        <v>#VALUE!</v>
      </c>
      <c r="AD19" s="661"/>
      <c r="AE19" s="524" t="s">
        <v>839</v>
      </c>
      <c r="AF19" s="182" t="s">
        <v>839</v>
      </c>
      <c r="AG19" s="182" t="s">
        <v>839</v>
      </c>
      <c r="AH19" s="525" t="e">
        <f t="shared" si="9"/>
        <v>#VALUE!</v>
      </c>
      <c r="AI19" s="661"/>
      <c r="AJ19" s="524" t="s">
        <v>839</v>
      </c>
      <c r="AK19" s="182" t="s">
        <v>839</v>
      </c>
      <c r="AL19" s="182" t="s">
        <v>839</v>
      </c>
      <c r="AM19" s="525" t="e">
        <f t="shared" si="11"/>
        <v>#VALUE!</v>
      </c>
      <c r="AN19" s="661"/>
      <c r="AO19" s="524" t="s">
        <v>839</v>
      </c>
      <c r="AP19" s="182" t="s">
        <v>839</v>
      </c>
      <c r="AQ19" s="182" t="s">
        <v>839</v>
      </c>
      <c r="AR19" s="525" t="e">
        <f t="shared" si="13"/>
        <v>#VALUE!</v>
      </c>
      <c r="AS19" s="661"/>
      <c r="AT19" s="524" t="s">
        <v>839</v>
      </c>
      <c r="AU19" s="182" t="s">
        <v>839</v>
      </c>
      <c r="AV19" s="182" t="s">
        <v>839</v>
      </c>
      <c r="AW19" s="525" t="e">
        <f t="shared" si="15"/>
        <v>#VALUE!</v>
      </c>
      <c r="AX19" s="661"/>
      <c r="AZ19" s="525" t="e">
        <f t="shared" si="17"/>
        <v>#N/A</v>
      </c>
      <c r="BA19" s="661"/>
    </row>
    <row r="20" spans="2:53">
      <c r="B20" s="647"/>
      <c r="C20" s="470">
        <v>14</v>
      </c>
      <c r="D20" s="456"/>
      <c r="E20" s="473"/>
      <c r="F20" s="473"/>
      <c r="G20" s="473"/>
      <c r="H20" s="659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659"/>
      <c r="M20" s="473" t="e">
        <f>RANK(K20, K$7:$K$21)</f>
        <v>#VALUE!</v>
      </c>
      <c r="N20" s="614"/>
      <c r="O20" s="614"/>
      <c r="P20" s="524" t="s">
        <v>839</v>
      </c>
      <c r="Q20" s="182" t="s">
        <v>839</v>
      </c>
      <c r="R20" s="182" t="s">
        <v>839</v>
      </c>
      <c r="S20" s="525" t="e">
        <f t="shared" si="3"/>
        <v>#VALUE!</v>
      </c>
      <c r="T20" s="661"/>
      <c r="U20" s="524" t="s">
        <v>839</v>
      </c>
      <c r="V20" s="182" t="s">
        <v>839</v>
      </c>
      <c r="W20" s="182" t="s">
        <v>839</v>
      </c>
      <c r="X20" s="525" t="e">
        <f t="shared" si="5"/>
        <v>#VALUE!</v>
      </c>
      <c r="Y20" s="661"/>
      <c r="Z20" s="524" t="s">
        <v>839</v>
      </c>
      <c r="AA20" s="182" t="s">
        <v>839</v>
      </c>
      <c r="AB20" s="182" t="s">
        <v>839</v>
      </c>
      <c r="AC20" s="525" t="e">
        <f t="shared" si="7"/>
        <v>#VALUE!</v>
      </c>
      <c r="AD20" s="661"/>
      <c r="AE20" s="524" t="s">
        <v>839</v>
      </c>
      <c r="AF20" s="182" t="s">
        <v>839</v>
      </c>
      <c r="AG20" s="182" t="s">
        <v>839</v>
      </c>
      <c r="AH20" s="525" t="e">
        <f t="shared" si="9"/>
        <v>#VALUE!</v>
      </c>
      <c r="AI20" s="661"/>
      <c r="AJ20" s="524" t="s">
        <v>839</v>
      </c>
      <c r="AK20" s="182" t="s">
        <v>839</v>
      </c>
      <c r="AL20" s="182" t="s">
        <v>839</v>
      </c>
      <c r="AM20" s="525" t="e">
        <f t="shared" si="11"/>
        <v>#VALUE!</v>
      </c>
      <c r="AN20" s="661"/>
      <c r="AO20" s="524" t="s">
        <v>839</v>
      </c>
      <c r="AP20" s="182" t="s">
        <v>839</v>
      </c>
      <c r="AQ20" s="182" t="s">
        <v>839</v>
      </c>
      <c r="AR20" s="525" t="e">
        <f t="shared" si="13"/>
        <v>#VALUE!</v>
      </c>
      <c r="AS20" s="661"/>
      <c r="AT20" s="524" t="s">
        <v>839</v>
      </c>
      <c r="AU20" s="182" t="s">
        <v>839</v>
      </c>
      <c r="AV20" s="182" t="s">
        <v>839</v>
      </c>
      <c r="AW20" s="525" t="e">
        <f t="shared" si="15"/>
        <v>#VALUE!</v>
      </c>
      <c r="AX20" s="661"/>
      <c r="AZ20" s="525" t="e">
        <f t="shared" si="17"/>
        <v>#N/A</v>
      </c>
      <c r="BA20" s="661"/>
    </row>
    <row r="21" spans="2:53">
      <c r="B21" s="647"/>
      <c r="C21" s="470">
        <v>15</v>
      </c>
      <c r="D21" s="456"/>
      <c r="E21" s="473"/>
      <c r="F21" s="473"/>
      <c r="G21" s="473"/>
      <c r="H21" s="669"/>
      <c r="I21" s="473"/>
      <c r="J21" s="473"/>
      <c r="K21" s="468"/>
      <c r="L21" s="669"/>
      <c r="M21" s="473" t="e">
        <f>RANK(K21, K$7:$K$21)</f>
        <v>#N/A</v>
      </c>
      <c r="N21" s="614"/>
      <c r="O21" s="614"/>
      <c r="P21" s="524" t="s">
        <v>839</v>
      </c>
      <c r="Q21" s="182" t="s">
        <v>839</v>
      </c>
      <c r="R21" s="182" t="s">
        <v>839</v>
      </c>
      <c r="S21" s="525" t="e">
        <f t="shared" si="3"/>
        <v>#VALUE!</v>
      </c>
      <c r="T21" s="661"/>
      <c r="U21" s="524" t="s">
        <v>839</v>
      </c>
      <c r="V21" s="182" t="s">
        <v>839</v>
      </c>
      <c r="W21" s="182" t="s">
        <v>839</v>
      </c>
      <c r="X21" s="525" t="e">
        <f t="shared" si="5"/>
        <v>#VALUE!</v>
      </c>
      <c r="Y21" s="661"/>
      <c r="Z21" s="524" t="s">
        <v>839</v>
      </c>
      <c r="AA21" s="182" t="s">
        <v>839</v>
      </c>
      <c r="AB21" s="182" t="s">
        <v>839</v>
      </c>
      <c r="AC21" s="525" t="e">
        <f t="shared" si="7"/>
        <v>#VALUE!</v>
      </c>
      <c r="AD21" s="661"/>
      <c r="AE21" s="524" t="s">
        <v>839</v>
      </c>
      <c r="AF21" s="182" t="s">
        <v>839</v>
      </c>
      <c r="AG21" s="182" t="s">
        <v>839</v>
      </c>
      <c r="AH21" s="525" t="e">
        <f t="shared" si="9"/>
        <v>#VALUE!</v>
      </c>
      <c r="AI21" s="661"/>
      <c r="AJ21" s="524" t="s">
        <v>839</v>
      </c>
      <c r="AK21" s="182" t="s">
        <v>839</v>
      </c>
      <c r="AL21" s="182" t="s">
        <v>839</v>
      </c>
      <c r="AM21" s="525" t="e">
        <f t="shared" si="11"/>
        <v>#VALUE!</v>
      </c>
      <c r="AN21" s="661"/>
      <c r="AO21" s="524" t="s">
        <v>839</v>
      </c>
      <c r="AP21" s="182" t="s">
        <v>839</v>
      </c>
      <c r="AQ21" s="182" t="s">
        <v>839</v>
      </c>
      <c r="AR21" s="525" t="e">
        <f t="shared" si="13"/>
        <v>#VALUE!</v>
      </c>
      <c r="AS21" s="661"/>
      <c r="AT21" s="524" t="s">
        <v>839</v>
      </c>
      <c r="AU21" s="182" t="s">
        <v>839</v>
      </c>
      <c r="AV21" s="182" t="s">
        <v>839</v>
      </c>
      <c r="AW21" s="525" t="e">
        <f t="shared" si="15"/>
        <v>#VALUE!</v>
      </c>
      <c r="AX21" s="661"/>
      <c r="AZ21" s="525" t="e">
        <f t="shared" si="17"/>
        <v>#N/A</v>
      </c>
      <c r="BA21" s="661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398</v>
      </c>
      <c r="C24" s="614" t="s">
        <v>408</v>
      </c>
      <c r="D24" s="614"/>
      <c r="E24" s="614" t="s">
        <v>399</v>
      </c>
      <c r="F24" s="614"/>
      <c r="G24" s="614"/>
      <c r="H24" s="630" t="s">
        <v>395</v>
      </c>
      <c r="I24" s="598" t="s">
        <v>400</v>
      </c>
      <c r="J24" s="598"/>
      <c r="K24" s="598"/>
      <c r="L24" s="599" t="s">
        <v>395</v>
      </c>
      <c r="M24" s="605" t="s">
        <v>396</v>
      </c>
      <c r="N24" s="614"/>
      <c r="O24" s="614" t="s">
        <v>401</v>
      </c>
      <c r="P24" s="611" t="s">
        <v>734</v>
      </c>
      <c r="Q24" s="612"/>
      <c r="R24" s="612"/>
      <c r="S24" s="613"/>
      <c r="T24" s="614" t="s">
        <v>730</v>
      </c>
      <c r="U24" s="611" t="s">
        <v>734</v>
      </c>
      <c r="V24" s="612"/>
      <c r="W24" s="612"/>
      <c r="X24" s="613"/>
      <c r="Y24" s="614" t="s">
        <v>730</v>
      </c>
      <c r="Z24" s="611" t="s">
        <v>734</v>
      </c>
      <c r="AA24" s="612"/>
      <c r="AB24" s="612"/>
      <c r="AC24" s="613"/>
      <c r="AD24" s="614" t="s">
        <v>730</v>
      </c>
      <c r="AE24" s="611" t="s">
        <v>734</v>
      </c>
      <c r="AF24" s="612"/>
      <c r="AG24" s="612"/>
      <c r="AH24" s="613"/>
      <c r="AI24" s="614" t="s">
        <v>730</v>
      </c>
      <c r="AJ24" s="611" t="s">
        <v>734</v>
      </c>
      <c r="AK24" s="612"/>
      <c r="AL24" s="612"/>
      <c r="AM24" s="613"/>
      <c r="AN24" s="614" t="s">
        <v>730</v>
      </c>
      <c r="AO24" s="611" t="s">
        <v>734</v>
      </c>
      <c r="AP24" s="612"/>
      <c r="AQ24" s="612"/>
      <c r="AR24" s="613"/>
      <c r="AS24" s="614" t="s">
        <v>730</v>
      </c>
      <c r="AT24" s="611" t="s">
        <v>734</v>
      </c>
      <c r="AU24" s="612"/>
      <c r="AV24" s="612"/>
      <c r="AW24" s="613"/>
      <c r="AX24" s="614" t="s">
        <v>730</v>
      </c>
      <c r="BA24" s="614" t="s">
        <v>730</v>
      </c>
    </row>
    <row r="25" spans="2:53">
      <c r="B25" s="614"/>
      <c r="C25" s="614"/>
      <c r="D25" s="614"/>
      <c r="E25" s="614" t="s">
        <v>402</v>
      </c>
      <c r="F25" s="614"/>
      <c r="G25" s="614"/>
      <c r="H25" s="631"/>
      <c r="I25" s="598" t="s">
        <v>402</v>
      </c>
      <c r="J25" s="598"/>
      <c r="K25" s="598"/>
      <c r="L25" s="600"/>
      <c r="M25" s="606"/>
      <c r="N25" s="614"/>
      <c r="O25" s="614"/>
      <c r="P25" s="611" t="s">
        <v>736</v>
      </c>
      <c r="Q25" s="612"/>
      <c r="R25" s="612"/>
      <c r="S25" s="613"/>
      <c r="T25" s="614"/>
      <c r="U25" s="611" t="s">
        <v>736</v>
      </c>
      <c r="V25" s="612"/>
      <c r="W25" s="612"/>
      <c r="X25" s="613"/>
      <c r="Y25" s="614"/>
      <c r="Z25" s="611" t="s">
        <v>736</v>
      </c>
      <c r="AA25" s="612"/>
      <c r="AB25" s="612"/>
      <c r="AC25" s="613"/>
      <c r="AD25" s="614"/>
      <c r="AE25" s="611" t="s">
        <v>736</v>
      </c>
      <c r="AF25" s="612"/>
      <c r="AG25" s="612"/>
      <c r="AH25" s="613"/>
      <c r="AI25" s="614"/>
      <c r="AJ25" s="611" t="s">
        <v>736</v>
      </c>
      <c r="AK25" s="612"/>
      <c r="AL25" s="612"/>
      <c r="AM25" s="613"/>
      <c r="AN25" s="614"/>
      <c r="AO25" s="611" t="s">
        <v>736</v>
      </c>
      <c r="AP25" s="612"/>
      <c r="AQ25" s="612"/>
      <c r="AR25" s="613"/>
      <c r="AS25" s="614"/>
      <c r="AT25" s="611" t="s">
        <v>736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305" t="s">
        <v>404</v>
      </c>
      <c r="F26" s="305" t="s">
        <v>405</v>
      </c>
      <c r="G26" s="305" t="s">
        <v>406</v>
      </c>
      <c r="H26" s="632"/>
      <c r="I26" s="304" t="s">
        <v>404</v>
      </c>
      <c r="J26" s="304" t="s">
        <v>405</v>
      </c>
      <c r="K26" s="304" t="s">
        <v>406</v>
      </c>
      <c r="L26" s="601"/>
      <c r="M26" s="607"/>
      <c r="N26" s="614"/>
      <c r="O26" s="614"/>
      <c r="P26" s="476" t="s">
        <v>737</v>
      </c>
      <c r="Q26" s="476" t="s">
        <v>738</v>
      </c>
      <c r="R26" s="476" t="s">
        <v>739</v>
      </c>
      <c r="S26" s="476" t="s">
        <v>732</v>
      </c>
      <c r="T26" s="614"/>
      <c r="U26" s="476" t="s">
        <v>737</v>
      </c>
      <c r="V26" s="476" t="s">
        <v>738</v>
      </c>
      <c r="W26" s="476" t="s">
        <v>739</v>
      </c>
      <c r="X26" s="476" t="s">
        <v>732</v>
      </c>
      <c r="Y26" s="614"/>
      <c r="Z26" s="476" t="s">
        <v>737</v>
      </c>
      <c r="AA26" s="476" t="s">
        <v>738</v>
      </c>
      <c r="AB26" s="476" t="s">
        <v>739</v>
      </c>
      <c r="AC26" s="476" t="s">
        <v>732</v>
      </c>
      <c r="AD26" s="614"/>
      <c r="AE26" s="476" t="s">
        <v>737</v>
      </c>
      <c r="AF26" s="476" t="s">
        <v>738</v>
      </c>
      <c r="AG26" s="476" t="s">
        <v>739</v>
      </c>
      <c r="AH26" s="476" t="s">
        <v>732</v>
      </c>
      <c r="AI26" s="614"/>
      <c r="AJ26" s="476" t="s">
        <v>737</v>
      </c>
      <c r="AK26" s="476" t="s">
        <v>738</v>
      </c>
      <c r="AL26" s="476" t="s">
        <v>739</v>
      </c>
      <c r="AM26" s="476" t="s">
        <v>732</v>
      </c>
      <c r="AN26" s="614"/>
      <c r="AO26" s="476" t="s">
        <v>737</v>
      </c>
      <c r="AP26" s="476" t="s">
        <v>738</v>
      </c>
      <c r="AQ26" s="476" t="s">
        <v>739</v>
      </c>
      <c r="AR26" s="476" t="s">
        <v>732</v>
      </c>
      <c r="AS26" s="614"/>
      <c r="AT26" s="476" t="s">
        <v>737</v>
      </c>
      <c r="AU26" s="476" t="s">
        <v>738</v>
      </c>
      <c r="AV26" s="476" t="s">
        <v>739</v>
      </c>
      <c r="AW26" s="476" t="s">
        <v>732</v>
      </c>
      <c r="AX26" s="614"/>
      <c r="AZ26" s="523" t="s">
        <v>396</v>
      </c>
      <c r="BA26" s="614"/>
    </row>
    <row r="27" spans="2:53">
      <c r="B27" s="662" t="s">
        <v>407</v>
      </c>
      <c r="C27" s="306">
        <v>1</v>
      </c>
      <c r="D27" s="456" t="s">
        <v>385</v>
      </c>
      <c r="E27" s="521">
        <v>4</v>
      </c>
      <c r="F27" s="521">
        <v>2000</v>
      </c>
      <c r="G27" s="521">
        <v>500</v>
      </c>
      <c r="H27" s="663">
        <f>AVERAGE(G27:G41)</f>
        <v>284.12962962962968</v>
      </c>
      <c r="I27" s="516">
        <f t="shared" ref="I27:I40" si="19">IFERROR(AVERAGE(P27,U27,Z27,AE27,AJ27,AO27,AT27),"-")</f>
        <v>5</v>
      </c>
      <c r="J27" s="516">
        <f t="shared" ref="J27:J40" si="20">IFERROR(AVERAGE(Q27,V27,AA27,AF27,AK27,AP27,AU27),"-")</f>
        <v>2160.0676959743241</v>
      </c>
      <c r="K27" s="200">
        <f t="shared" ref="K27:K40" si="21">IFERROR(AVERAGE(R27,W27,AB27,AG27,AL27,AQ27,AV27),"-")</f>
        <v>432.01353919486485</v>
      </c>
      <c r="L27" s="595">
        <f>IFERROR(AVERAGE(K27:K41),"-")</f>
        <v>245.8620154100233</v>
      </c>
      <c r="M27" s="201">
        <f>RANK(K27, K$27:$K$41)</f>
        <v>1</v>
      </c>
      <c r="N27" s="614"/>
      <c r="O27" s="614"/>
      <c r="P27" s="529">
        <v>5</v>
      </c>
      <c r="Q27" s="533">
        <v>2163.6923076923072</v>
      </c>
      <c r="R27" s="533">
        <v>432.73846153846142</v>
      </c>
      <c r="S27" s="529">
        <f t="shared" ref="S27:S41" si="22">RANK(R27, R$27:R$41)</f>
        <v>1</v>
      </c>
      <c r="T27" s="623">
        <f t="shared" ref="T27" si="23">AVERAGE(R27:R41)</f>
        <v>245.38721055521805</v>
      </c>
      <c r="U27" s="529">
        <v>5</v>
      </c>
      <c r="V27" s="533">
        <v>2160.0000000000009</v>
      </c>
      <c r="W27" s="533">
        <v>432.00000000000017</v>
      </c>
      <c r="X27" s="529">
        <f t="shared" ref="X27:X41" si="24">RANK(W27, W$27:W$41)</f>
        <v>2</v>
      </c>
      <c r="Y27" s="623">
        <f t="shared" ref="Y27" si="25">AVERAGE(W27:W41)</f>
        <v>247.09819315889919</v>
      </c>
      <c r="Z27" s="529">
        <v>5</v>
      </c>
      <c r="AA27" s="533">
        <v>2187.1874999999995</v>
      </c>
      <c r="AB27" s="533">
        <v>437.43749999999989</v>
      </c>
      <c r="AC27" s="529">
        <f t="shared" ref="AC27:AC41" si="26">RANK(AB27, AB$27:AB$41)</f>
        <v>1</v>
      </c>
      <c r="AD27" s="623">
        <f t="shared" ref="AD27" si="27">AVERAGE(AB27:AB41)</f>
        <v>246.59751560900415</v>
      </c>
      <c r="AE27" s="529">
        <v>5</v>
      </c>
      <c r="AF27" s="533">
        <v>2123.333333333333</v>
      </c>
      <c r="AG27" s="533">
        <v>424.66666666666663</v>
      </c>
      <c r="AH27" s="529">
        <f t="shared" ref="AH27:AH41" si="28">RANK(AG27, AG$27:AG$41)</f>
        <v>2</v>
      </c>
      <c r="AI27" s="623">
        <f t="shared" ref="AI27" si="29">AVERAGE(AG27:AG41)</f>
        <v>243.78751646857575</v>
      </c>
      <c r="AJ27" s="529">
        <v>5</v>
      </c>
      <c r="AK27" s="533">
        <v>2175.2542372881358</v>
      </c>
      <c r="AL27" s="533">
        <v>435.05084745762713</v>
      </c>
      <c r="AM27" s="529">
        <f t="shared" ref="AM27:AM41" si="30">RANK(AL27, AL$27:AL$41)</f>
        <v>1</v>
      </c>
      <c r="AN27" s="623">
        <f t="shared" ref="AN27" si="31">AVERAGE(AL27:AL41)</f>
        <v>246.47832588152818</v>
      </c>
      <c r="AO27" s="529">
        <v>5</v>
      </c>
      <c r="AP27" s="533">
        <v>2133.5064935064934</v>
      </c>
      <c r="AQ27" s="533">
        <v>426.7012987012987</v>
      </c>
      <c r="AR27" s="529">
        <f t="shared" ref="AR27:AR41" si="32">RANK(AQ27, AQ$27:AQ$41)</f>
        <v>3</v>
      </c>
      <c r="AS27" s="623">
        <f t="shared" ref="AS27" si="33">AVERAGE(AQ27:AQ41)</f>
        <v>245.93266404394984</v>
      </c>
      <c r="AT27" s="529">
        <v>5</v>
      </c>
      <c r="AU27" s="533">
        <v>2177.4999999999991</v>
      </c>
      <c r="AV27" s="533">
        <v>435.49999999999983</v>
      </c>
      <c r="AW27" s="529">
        <f t="shared" ref="AW27:AW41" si="34">RANK(AV27, AV$27:AV$41)</f>
        <v>1</v>
      </c>
      <c r="AX27" s="623">
        <f t="shared" ref="AX27" si="35">AVERAGE(AV27:AV41)</f>
        <v>245.75268215298806</v>
      </c>
      <c r="AZ27" s="524" t="e">
        <f t="shared" ref="AZ27:AZ41" si="36">RANK(AY27, AY$27:AY$41)</f>
        <v>#N/A</v>
      </c>
      <c r="BA27" s="623" t="e">
        <f t="shared" ref="BA27" si="37">AVERAGE(AY27:AY41)</f>
        <v>#DIV/0!</v>
      </c>
    </row>
    <row r="28" spans="2:53">
      <c r="B28" s="622"/>
      <c r="C28" s="306">
        <v>2</v>
      </c>
      <c r="D28" s="456" t="s">
        <v>465</v>
      </c>
      <c r="E28" s="521">
        <v>4</v>
      </c>
      <c r="F28" s="521">
        <v>2000</v>
      </c>
      <c r="G28" s="521">
        <v>500</v>
      </c>
      <c r="H28" s="664"/>
      <c r="I28" s="516">
        <f t="shared" si="19"/>
        <v>5</v>
      </c>
      <c r="J28" s="516">
        <f t="shared" si="20"/>
        <v>2144.6531057490783</v>
      </c>
      <c r="K28" s="200">
        <f t="shared" si="21"/>
        <v>428.93062114981569</v>
      </c>
      <c r="L28" s="596"/>
      <c r="M28" s="201">
        <f>RANK(K28, K$27:$K$41)</f>
        <v>2</v>
      </c>
      <c r="N28" s="614"/>
      <c r="O28" s="614"/>
      <c r="P28" s="529">
        <v>5</v>
      </c>
      <c r="Q28" s="533">
        <v>2138.7096774193556</v>
      </c>
      <c r="R28" s="533">
        <v>427.74193548387109</v>
      </c>
      <c r="S28" s="529">
        <f t="shared" si="22"/>
        <v>2</v>
      </c>
      <c r="T28" s="624"/>
      <c r="U28" s="529">
        <v>5</v>
      </c>
      <c r="V28" s="533">
        <v>2141.9047619047615</v>
      </c>
      <c r="W28" s="533">
        <v>428.38095238095229</v>
      </c>
      <c r="X28" s="529">
        <f t="shared" si="24"/>
        <v>3</v>
      </c>
      <c r="Y28" s="624"/>
      <c r="Z28" s="529">
        <v>5</v>
      </c>
      <c r="AA28" s="533">
        <v>2145.4838709677429</v>
      </c>
      <c r="AB28" s="533">
        <v>429.09677419354858</v>
      </c>
      <c r="AC28" s="529">
        <f t="shared" si="26"/>
        <v>2</v>
      </c>
      <c r="AD28" s="624"/>
      <c r="AE28" s="529">
        <v>5</v>
      </c>
      <c r="AF28" s="533">
        <v>2137.7777777777774</v>
      </c>
      <c r="AG28" s="533">
        <v>427.55555555555549</v>
      </c>
      <c r="AH28" s="529">
        <f t="shared" si="28"/>
        <v>1</v>
      </c>
      <c r="AI28" s="624"/>
      <c r="AJ28" s="529">
        <v>5</v>
      </c>
      <c r="AK28" s="533">
        <v>2159.9999999999991</v>
      </c>
      <c r="AL28" s="533">
        <v>431.99999999999983</v>
      </c>
      <c r="AM28" s="529">
        <f t="shared" si="30"/>
        <v>2</v>
      </c>
      <c r="AN28" s="624"/>
      <c r="AO28" s="529">
        <v>5</v>
      </c>
      <c r="AP28" s="533">
        <v>2149.5652173913045</v>
      </c>
      <c r="AQ28" s="533">
        <v>429.91304347826087</v>
      </c>
      <c r="AR28" s="529">
        <f t="shared" si="32"/>
        <v>1</v>
      </c>
      <c r="AS28" s="624"/>
      <c r="AT28" s="529">
        <v>5</v>
      </c>
      <c r="AU28" s="533">
        <v>2139.1304347826085</v>
      </c>
      <c r="AV28" s="533">
        <v>427.82608695652169</v>
      </c>
      <c r="AW28" s="529">
        <f t="shared" si="34"/>
        <v>2</v>
      </c>
      <c r="AX28" s="624"/>
      <c r="AZ28" s="524" t="e">
        <f t="shared" si="36"/>
        <v>#N/A</v>
      </c>
      <c r="BA28" s="624"/>
    </row>
    <row r="29" spans="2:53">
      <c r="B29" s="622"/>
      <c r="C29" s="306">
        <v>3</v>
      </c>
      <c r="D29" s="456" t="s">
        <v>386</v>
      </c>
      <c r="E29" s="521">
        <v>12</v>
      </c>
      <c r="F29" s="521">
        <v>2118</v>
      </c>
      <c r="G29" s="521">
        <v>176.5</v>
      </c>
      <c r="H29" s="664"/>
      <c r="I29" s="516">
        <f t="shared" si="19"/>
        <v>12</v>
      </c>
      <c r="J29" s="516">
        <f t="shared" si="20"/>
        <v>1878.0923409640552</v>
      </c>
      <c r="K29" s="200">
        <f t="shared" si="21"/>
        <v>156.50769508033792</v>
      </c>
      <c r="L29" s="596"/>
      <c r="M29" s="201">
        <f>RANK(K29, K$27:$K$41)</f>
        <v>8</v>
      </c>
      <c r="N29" s="614"/>
      <c r="O29" s="614"/>
      <c r="P29" s="529">
        <v>12</v>
      </c>
      <c r="Q29" s="533">
        <v>1865.9154929577467</v>
      </c>
      <c r="R29" s="533">
        <v>155.49295774647888</v>
      </c>
      <c r="S29" s="529">
        <f t="shared" si="22"/>
        <v>8</v>
      </c>
      <c r="T29" s="624"/>
      <c r="U29" s="529">
        <v>12</v>
      </c>
      <c r="V29" s="533">
        <v>1904.5454545454545</v>
      </c>
      <c r="W29" s="533">
        <v>158.71212121212122</v>
      </c>
      <c r="X29" s="529">
        <f t="shared" si="24"/>
        <v>7</v>
      </c>
      <c r="Y29" s="624"/>
      <c r="Z29" s="529">
        <v>12</v>
      </c>
      <c r="AA29" s="533">
        <v>1857.391304347826</v>
      </c>
      <c r="AB29" s="533">
        <v>154.78260869565216</v>
      </c>
      <c r="AC29" s="529">
        <f t="shared" si="26"/>
        <v>8</v>
      </c>
      <c r="AD29" s="624"/>
      <c r="AE29" s="529">
        <v>12</v>
      </c>
      <c r="AF29" s="533">
        <v>1892.9032258064522</v>
      </c>
      <c r="AG29" s="533">
        <v>157.741935483871</v>
      </c>
      <c r="AH29" s="529">
        <f t="shared" si="28"/>
        <v>7</v>
      </c>
      <c r="AI29" s="624"/>
      <c r="AJ29" s="529">
        <v>12</v>
      </c>
      <c r="AK29" s="533">
        <v>1889.090909090909</v>
      </c>
      <c r="AL29" s="533">
        <v>157.42424242424241</v>
      </c>
      <c r="AM29" s="529">
        <f t="shared" si="30"/>
        <v>7</v>
      </c>
      <c r="AN29" s="624"/>
      <c r="AO29" s="529">
        <v>12</v>
      </c>
      <c r="AP29" s="533">
        <v>1883.1999999999996</v>
      </c>
      <c r="AQ29" s="533">
        <v>156.93333333333331</v>
      </c>
      <c r="AR29" s="529">
        <f t="shared" si="32"/>
        <v>8</v>
      </c>
      <c r="AS29" s="624"/>
      <c r="AT29" s="529">
        <v>12</v>
      </c>
      <c r="AU29" s="533">
        <v>1853.5999999999997</v>
      </c>
      <c r="AV29" s="533">
        <v>154.46666666666664</v>
      </c>
      <c r="AW29" s="529">
        <f t="shared" si="34"/>
        <v>8</v>
      </c>
      <c r="AX29" s="624"/>
      <c r="AZ29" s="524" t="e">
        <f t="shared" si="36"/>
        <v>#N/A</v>
      </c>
      <c r="BA29" s="624"/>
    </row>
    <row r="30" spans="2:53">
      <c r="B30" s="622"/>
      <c r="C30" s="306">
        <v>4</v>
      </c>
      <c r="D30" s="456" t="s">
        <v>785</v>
      </c>
      <c r="E30" s="521">
        <v>13</v>
      </c>
      <c r="F30" s="521">
        <v>2250</v>
      </c>
      <c r="G30" s="521">
        <v>187.5</v>
      </c>
      <c r="H30" s="664"/>
      <c r="I30" s="516">
        <f t="shared" si="19"/>
        <v>13</v>
      </c>
      <c r="J30" s="516">
        <f t="shared" si="20"/>
        <v>2112.6907192857834</v>
      </c>
      <c r="K30" s="200">
        <f t="shared" si="21"/>
        <v>162.51467071429104</v>
      </c>
      <c r="L30" s="596"/>
      <c r="M30" s="201">
        <f>RANK(K30, K$27:$K$41)</f>
        <v>6</v>
      </c>
      <c r="N30" s="614"/>
      <c r="O30" s="614"/>
      <c r="P30" s="529">
        <v>13</v>
      </c>
      <c r="Q30" s="533">
        <v>2086.8749999999995</v>
      </c>
      <c r="R30" s="533">
        <v>160.52884615384613</v>
      </c>
      <c r="S30" s="529">
        <f t="shared" si="22"/>
        <v>6</v>
      </c>
      <c r="T30" s="624"/>
      <c r="U30" s="529">
        <v>13</v>
      </c>
      <c r="V30" s="533">
        <v>2091.9101123595506</v>
      </c>
      <c r="W30" s="533">
        <v>160.91616248919621</v>
      </c>
      <c r="X30" s="529">
        <f t="shared" si="24"/>
        <v>6</v>
      </c>
      <c r="Y30" s="624"/>
      <c r="Z30" s="529">
        <v>13</v>
      </c>
      <c r="AA30" s="533">
        <v>2136.818181818182</v>
      </c>
      <c r="AB30" s="533">
        <v>164.37062937062939</v>
      </c>
      <c r="AC30" s="529">
        <f t="shared" si="26"/>
        <v>5</v>
      </c>
      <c r="AD30" s="624"/>
      <c r="AE30" s="529">
        <v>13</v>
      </c>
      <c r="AF30" s="533">
        <v>2121.9512195121956</v>
      </c>
      <c r="AG30" s="533">
        <v>163.2270168855535</v>
      </c>
      <c r="AH30" s="529">
        <f t="shared" si="28"/>
        <v>6</v>
      </c>
      <c r="AI30" s="624"/>
      <c r="AJ30" s="529">
        <v>13</v>
      </c>
      <c r="AK30" s="533">
        <v>2080.4494382022472</v>
      </c>
      <c r="AL30" s="533">
        <v>160.03457216940362</v>
      </c>
      <c r="AM30" s="529">
        <f t="shared" si="30"/>
        <v>6</v>
      </c>
      <c r="AN30" s="624"/>
      <c r="AO30" s="529">
        <v>13</v>
      </c>
      <c r="AP30" s="533">
        <v>2133.8613861386139</v>
      </c>
      <c r="AQ30" s="533">
        <v>164.14318354912413</v>
      </c>
      <c r="AR30" s="529">
        <f t="shared" si="32"/>
        <v>5</v>
      </c>
      <c r="AS30" s="624"/>
      <c r="AT30" s="529">
        <v>13</v>
      </c>
      <c r="AU30" s="533">
        <v>2136.9696969696965</v>
      </c>
      <c r="AV30" s="533">
        <v>164.38228438228435</v>
      </c>
      <c r="AW30" s="529">
        <f t="shared" si="34"/>
        <v>5</v>
      </c>
      <c r="AX30" s="624"/>
      <c r="AZ30" s="524" t="e">
        <f t="shared" si="36"/>
        <v>#N/A</v>
      </c>
      <c r="BA30" s="624"/>
    </row>
    <row r="31" spans="2:53">
      <c r="B31" s="622"/>
      <c r="C31" s="306">
        <v>5</v>
      </c>
      <c r="D31" s="456" t="s">
        <v>387</v>
      </c>
      <c r="E31" s="521">
        <v>13</v>
      </c>
      <c r="F31" s="521">
        <v>2250</v>
      </c>
      <c r="G31" s="521">
        <v>173.1</v>
      </c>
      <c r="H31" s="664"/>
      <c r="I31" s="516">
        <f t="shared" si="19"/>
        <v>13</v>
      </c>
      <c r="J31" s="516">
        <f t="shared" si="20"/>
        <v>2114.4377296741995</v>
      </c>
      <c r="K31" s="200">
        <f t="shared" si="21"/>
        <v>162.64905612878459</v>
      </c>
      <c r="L31" s="596"/>
      <c r="M31" s="201">
        <f>RANK(K31, K$27:$K$41)</f>
        <v>5</v>
      </c>
      <c r="N31" s="614"/>
      <c r="O31" s="614"/>
      <c r="P31" s="529">
        <v>13</v>
      </c>
      <c r="Q31" s="533">
        <v>2121.428571428572</v>
      </c>
      <c r="R31" s="533">
        <v>163.18681318681323</v>
      </c>
      <c r="S31" s="529">
        <f t="shared" si="22"/>
        <v>5</v>
      </c>
      <c r="T31" s="624"/>
      <c r="U31" s="529">
        <v>13</v>
      </c>
      <c r="V31" s="533">
        <v>2131.9999999999995</v>
      </c>
      <c r="W31" s="533">
        <v>163.99999999999997</v>
      </c>
      <c r="X31" s="529">
        <f t="shared" si="24"/>
        <v>5</v>
      </c>
      <c r="Y31" s="624"/>
      <c r="Z31" s="529">
        <v>13</v>
      </c>
      <c r="AA31" s="533">
        <v>2082.9411764705874</v>
      </c>
      <c r="AB31" s="533">
        <v>160.22624434389132</v>
      </c>
      <c r="AC31" s="529">
        <f t="shared" si="26"/>
        <v>6</v>
      </c>
      <c r="AD31" s="624"/>
      <c r="AE31" s="529">
        <v>13</v>
      </c>
      <c r="AF31" s="533">
        <v>2144.842105263157</v>
      </c>
      <c r="AG31" s="533">
        <v>164.98785425101207</v>
      </c>
      <c r="AH31" s="529">
        <f t="shared" si="28"/>
        <v>5</v>
      </c>
      <c r="AI31" s="624"/>
      <c r="AJ31" s="529">
        <v>13</v>
      </c>
      <c r="AK31" s="533">
        <v>2087.5471698113201</v>
      </c>
      <c r="AL31" s="533">
        <v>160.58055152394769</v>
      </c>
      <c r="AM31" s="529">
        <f t="shared" si="30"/>
        <v>5</v>
      </c>
      <c r="AN31" s="624"/>
      <c r="AO31" s="529">
        <v>13</v>
      </c>
      <c r="AP31" s="533">
        <v>2114</v>
      </c>
      <c r="AQ31" s="533">
        <v>162.61538461538461</v>
      </c>
      <c r="AR31" s="529">
        <f t="shared" si="32"/>
        <v>6</v>
      </c>
      <c r="AS31" s="624"/>
      <c r="AT31" s="529">
        <v>13</v>
      </c>
      <c r="AU31" s="533">
        <v>2118.3050847457625</v>
      </c>
      <c r="AV31" s="533">
        <v>162.94654498044326</v>
      </c>
      <c r="AW31" s="529">
        <f t="shared" si="34"/>
        <v>6</v>
      </c>
      <c r="AX31" s="624"/>
      <c r="AZ31" s="524" t="e">
        <f t="shared" si="36"/>
        <v>#N/A</v>
      </c>
      <c r="BA31" s="624"/>
    </row>
    <row r="32" spans="2:53">
      <c r="B32" s="622"/>
      <c r="C32" s="306">
        <v>6</v>
      </c>
      <c r="D32" s="456" t="s">
        <v>388</v>
      </c>
      <c r="E32" s="521">
        <v>10</v>
      </c>
      <c r="F32" s="521">
        <v>2769</v>
      </c>
      <c r="G32" s="521">
        <v>276.89999999999998</v>
      </c>
      <c r="H32" s="664"/>
      <c r="I32" s="516">
        <f t="shared" si="19"/>
        <v>10</v>
      </c>
      <c r="J32" s="516">
        <f t="shared" si="20"/>
        <v>2253.7451094564594</v>
      </c>
      <c r="K32" s="200">
        <f t="shared" si="21"/>
        <v>225.37451094564591</v>
      </c>
      <c r="L32" s="596"/>
      <c r="M32" s="201">
        <f>RANK(K32, K$27:$K$41)</f>
        <v>4</v>
      </c>
      <c r="N32" s="614"/>
      <c r="O32" s="614"/>
      <c r="P32" s="529">
        <v>10</v>
      </c>
      <c r="Q32" s="533">
        <v>2234.3225806451578</v>
      </c>
      <c r="R32" s="533">
        <v>223.43225806451579</v>
      </c>
      <c r="S32" s="529">
        <f t="shared" si="22"/>
        <v>4</v>
      </c>
      <c r="T32" s="624"/>
      <c r="U32" s="529">
        <v>10</v>
      </c>
      <c r="V32" s="533">
        <v>2253.7241379310299</v>
      </c>
      <c r="W32" s="533">
        <v>225.37241379310299</v>
      </c>
      <c r="X32" s="529">
        <f t="shared" si="24"/>
        <v>4</v>
      </c>
      <c r="Y32" s="624"/>
      <c r="Z32" s="529">
        <v>10</v>
      </c>
      <c r="AA32" s="533">
        <v>2258.9999999999945</v>
      </c>
      <c r="AB32" s="533">
        <v>225.89999999999947</v>
      </c>
      <c r="AC32" s="529">
        <f t="shared" si="26"/>
        <v>4</v>
      </c>
      <c r="AD32" s="624"/>
      <c r="AE32" s="529">
        <v>10</v>
      </c>
      <c r="AF32" s="533">
        <v>2255.3333333333276</v>
      </c>
      <c r="AG32" s="533">
        <v>225.53333333333276</v>
      </c>
      <c r="AH32" s="529">
        <f t="shared" si="28"/>
        <v>4</v>
      </c>
      <c r="AI32" s="624"/>
      <c r="AJ32" s="529">
        <v>10</v>
      </c>
      <c r="AK32" s="533">
        <v>2280.2142857142803</v>
      </c>
      <c r="AL32" s="533">
        <v>228.02142857142803</v>
      </c>
      <c r="AM32" s="529">
        <f t="shared" si="30"/>
        <v>4</v>
      </c>
      <c r="AN32" s="624"/>
      <c r="AO32" s="529">
        <v>10</v>
      </c>
      <c r="AP32" s="533">
        <v>2221.2499999999986</v>
      </c>
      <c r="AQ32" s="533">
        <v>222.12499999999986</v>
      </c>
      <c r="AR32" s="529">
        <f t="shared" si="32"/>
        <v>4</v>
      </c>
      <c r="AS32" s="624"/>
      <c r="AT32" s="529">
        <v>10</v>
      </c>
      <c r="AU32" s="533">
        <v>2272.3714285714259</v>
      </c>
      <c r="AV32" s="533">
        <v>227.2371428571426</v>
      </c>
      <c r="AW32" s="529">
        <f t="shared" si="34"/>
        <v>4</v>
      </c>
      <c r="AX32" s="624"/>
      <c r="AZ32" s="524" t="e">
        <f t="shared" si="36"/>
        <v>#N/A</v>
      </c>
      <c r="BA32" s="624"/>
    </row>
    <row r="33" spans="2:53">
      <c r="B33" s="622"/>
      <c r="C33" s="306">
        <v>7</v>
      </c>
      <c r="D33" s="456" t="s">
        <v>384</v>
      </c>
      <c r="E33" s="521">
        <v>18</v>
      </c>
      <c r="F33" s="521">
        <v>1200</v>
      </c>
      <c r="G33" s="521">
        <v>66.666666666666671</v>
      </c>
      <c r="H33" s="664"/>
      <c r="I33" s="516">
        <f t="shared" si="19"/>
        <v>18.142857142857142</v>
      </c>
      <c r="J33" s="516">
        <f t="shared" si="20"/>
        <v>1160.9133096601377</v>
      </c>
      <c r="K33" s="200">
        <f t="shared" si="21"/>
        <v>64.028168116337753</v>
      </c>
      <c r="L33" s="596"/>
      <c r="M33" s="201">
        <f>RANK(K33, K$27:$K$41)</f>
        <v>9</v>
      </c>
      <c r="N33" s="614"/>
      <c r="O33" s="614"/>
      <c r="P33" s="529">
        <v>18</v>
      </c>
      <c r="Q33" s="533">
        <v>1169.6907216494849</v>
      </c>
      <c r="R33" s="533">
        <v>64.982817869415825</v>
      </c>
      <c r="S33" s="529">
        <f t="shared" si="22"/>
        <v>9</v>
      </c>
      <c r="T33" s="624"/>
      <c r="U33" s="529">
        <v>18</v>
      </c>
      <c r="V33" s="533">
        <v>1155.1578947368423</v>
      </c>
      <c r="W33" s="533">
        <v>64.175438596491233</v>
      </c>
      <c r="X33" s="529">
        <f t="shared" si="24"/>
        <v>9</v>
      </c>
      <c r="Y33" s="624"/>
      <c r="Z33" s="529">
        <v>18</v>
      </c>
      <c r="AA33" s="533">
        <v>1180.879120879121</v>
      </c>
      <c r="AB33" s="533">
        <v>65.60439560439562</v>
      </c>
      <c r="AC33" s="529">
        <f t="shared" si="26"/>
        <v>9</v>
      </c>
      <c r="AD33" s="624"/>
      <c r="AE33" s="529">
        <v>18</v>
      </c>
      <c r="AF33" s="533">
        <v>1173.9130434782608</v>
      </c>
      <c r="AG33" s="533">
        <v>65.217391304347814</v>
      </c>
      <c r="AH33" s="529">
        <f t="shared" si="28"/>
        <v>9</v>
      </c>
      <c r="AI33" s="624"/>
      <c r="AJ33" s="529">
        <v>18</v>
      </c>
      <c r="AK33" s="533">
        <v>1172.1649484536085</v>
      </c>
      <c r="AL33" s="533">
        <v>65.120274914089364</v>
      </c>
      <c r="AM33" s="529">
        <f t="shared" si="30"/>
        <v>9</v>
      </c>
      <c r="AN33" s="624"/>
      <c r="AO33" s="529">
        <v>18</v>
      </c>
      <c r="AP33" s="533">
        <v>1156.5517241379303</v>
      </c>
      <c r="AQ33" s="533">
        <v>64.252873563218344</v>
      </c>
      <c r="AR33" s="529">
        <f t="shared" si="32"/>
        <v>9</v>
      </c>
      <c r="AS33" s="624"/>
      <c r="AT33" s="529">
        <v>19</v>
      </c>
      <c r="AU33" s="533">
        <v>1118.0357142857151</v>
      </c>
      <c r="AV33" s="533">
        <v>58.843984962406061</v>
      </c>
      <c r="AW33" s="529">
        <f t="shared" si="34"/>
        <v>9</v>
      </c>
      <c r="AX33" s="624"/>
      <c r="AZ33" s="524" t="e">
        <f t="shared" si="36"/>
        <v>#N/A</v>
      </c>
      <c r="BA33" s="624"/>
    </row>
    <row r="34" spans="2:53">
      <c r="B34" s="622"/>
      <c r="C34" s="306">
        <v>8</v>
      </c>
      <c r="D34" s="456" t="s">
        <v>675</v>
      </c>
      <c r="E34" s="521">
        <v>12</v>
      </c>
      <c r="F34" s="521">
        <v>2118</v>
      </c>
      <c r="G34" s="521">
        <v>176.5</v>
      </c>
      <c r="H34" s="664"/>
      <c r="I34" s="516">
        <f t="shared" si="19"/>
        <v>12</v>
      </c>
      <c r="J34" s="516">
        <f t="shared" si="20"/>
        <v>1890.0497420702454</v>
      </c>
      <c r="K34" s="200">
        <f t="shared" si="21"/>
        <v>157.50414517252042</v>
      </c>
      <c r="L34" s="596"/>
      <c r="M34" s="201">
        <f>RANK(K34, K$27:$K$41)</f>
        <v>7</v>
      </c>
      <c r="N34" s="614"/>
      <c r="O34" s="614"/>
      <c r="P34" s="529">
        <v>12</v>
      </c>
      <c r="Q34" s="533">
        <v>1909.4117647058824</v>
      </c>
      <c r="R34" s="533">
        <v>159.11764705882354</v>
      </c>
      <c r="S34" s="529">
        <f t="shared" si="22"/>
        <v>7</v>
      </c>
      <c r="T34" s="624"/>
      <c r="U34" s="529">
        <v>12</v>
      </c>
      <c r="V34" s="533">
        <v>1884.7619047619041</v>
      </c>
      <c r="W34" s="533">
        <v>157.06349206349202</v>
      </c>
      <c r="X34" s="529">
        <f t="shared" si="24"/>
        <v>8</v>
      </c>
      <c r="Y34" s="624"/>
      <c r="Z34" s="529">
        <v>12</v>
      </c>
      <c r="AA34" s="533">
        <v>1888.6567164179105</v>
      </c>
      <c r="AB34" s="533">
        <v>157.38805970149255</v>
      </c>
      <c r="AC34" s="529">
        <f t="shared" si="26"/>
        <v>7</v>
      </c>
      <c r="AD34" s="624"/>
      <c r="AE34" s="529">
        <v>12</v>
      </c>
      <c r="AF34" s="533">
        <v>1877.8947368421054</v>
      </c>
      <c r="AG34" s="533">
        <v>156.49122807017545</v>
      </c>
      <c r="AH34" s="529">
        <f t="shared" si="28"/>
        <v>8</v>
      </c>
      <c r="AI34" s="624"/>
      <c r="AJ34" s="529">
        <v>12</v>
      </c>
      <c r="AK34" s="533">
        <v>1870.4761904761899</v>
      </c>
      <c r="AL34" s="533">
        <v>155.87301587301582</v>
      </c>
      <c r="AM34" s="529">
        <f t="shared" si="30"/>
        <v>8</v>
      </c>
      <c r="AN34" s="624"/>
      <c r="AO34" s="529">
        <v>12</v>
      </c>
      <c r="AP34" s="533">
        <v>1899.718309859154</v>
      </c>
      <c r="AQ34" s="533">
        <v>158.30985915492951</v>
      </c>
      <c r="AR34" s="529">
        <f t="shared" si="32"/>
        <v>7</v>
      </c>
      <c r="AS34" s="624"/>
      <c r="AT34" s="529">
        <v>12</v>
      </c>
      <c r="AU34" s="533">
        <v>1899.4285714285706</v>
      </c>
      <c r="AV34" s="533">
        <v>158.28571428571422</v>
      </c>
      <c r="AW34" s="529">
        <f t="shared" si="34"/>
        <v>7</v>
      </c>
      <c r="AX34" s="624"/>
      <c r="AZ34" s="524" t="e">
        <f t="shared" si="36"/>
        <v>#N/A</v>
      </c>
      <c r="BA34" s="624"/>
    </row>
    <row r="35" spans="2:53">
      <c r="B35" s="622"/>
      <c r="C35" s="306">
        <v>9</v>
      </c>
      <c r="D35" s="456" t="s">
        <v>770</v>
      </c>
      <c r="E35" s="521">
        <v>4</v>
      </c>
      <c r="F35" s="521">
        <v>2000</v>
      </c>
      <c r="G35" s="521">
        <v>500</v>
      </c>
      <c r="H35" s="664"/>
      <c r="I35" s="516">
        <f t="shared" si="19"/>
        <v>5</v>
      </c>
      <c r="J35" s="516">
        <f t="shared" si="20"/>
        <v>2116.1786609380592</v>
      </c>
      <c r="K35" s="200">
        <f t="shared" si="21"/>
        <v>423.23573218761175</v>
      </c>
      <c r="L35" s="596"/>
      <c r="M35" s="201">
        <f>RANK(K35, K$27:$K$41)</f>
        <v>3</v>
      </c>
      <c r="N35" s="614"/>
      <c r="O35" s="614"/>
      <c r="P35" s="529">
        <v>5</v>
      </c>
      <c r="Q35" s="533">
        <v>2106.3157894736828</v>
      </c>
      <c r="R35" s="533">
        <v>421.26315789473654</v>
      </c>
      <c r="S35" s="529">
        <f t="shared" si="22"/>
        <v>3</v>
      </c>
      <c r="T35" s="624"/>
      <c r="U35" s="529">
        <v>5</v>
      </c>
      <c r="V35" s="533">
        <v>2166.3157894736828</v>
      </c>
      <c r="W35" s="533">
        <v>433.26315789473654</v>
      </c>
      <c r="X35" s="529">
        <f t="shared" si="24"/>
        <v>1</v>
      </c>
      <c r="Y35" s="624"/>
      <c r="Z35" s="529">
        <v>5</v>
      </c>
      <c r="AA35" s="533">
        <v>2122.8571428571422</v>
      </c>
      <c r="AB35" s="533">
        <v>424.57142857142844</v>
      </c>
      <c r="AC35" s="529">
        <f t="shared" si="26"/>
        <v>3</v>
      </c>
      <c r="AD35" s="624"/>
      <c r="AE35" s="529">
        <v>5</v>
      </c>
      <c r="AF35" s="533">
        <v>2043.333333333336</v>
      </c>
      <c r="AG35" s="533">
        <v>408.6666666666672</v>
      </c>
      <c r="AH35" s="529">
        <f t="shared" si="28"/>
        <v>3</v>
      </c>
      <c r="AI35" s="624"/>
      <c r="AJ35" s="529">
        <v>5</v>
      </c>
      <c r="AK35" s="533">
        <v>2120.9999999999991</v>
      </c>
      <c r="AL35" s="533">
        <v>424.19999999999982</v>
      </c>
      <c r="AM35" s="529">
        <f t="shared" si="30"/>
        <v>3</v>
      </c>
      <c r="AN35" s="624"/>
      <c r="AO35" s="529">
        <v>5</v>
      </c>
      <c r="AP35" s="533">
        <v>2141.9999999999991</v>
      </c>
      <c r="AQ35" s="533">
        <v>428.39999999999981</v>
      </c>
      <c r="AR35" s="529">
        <f t="shared" si="32"/>
        <v>2</v>
      </c>
      <c r="AS35" s="624"/>
      <c r="AT35" s="529">
        <v>5</v>
      </c>
      <c r="AU35" s="533">
        <v>2111.4285714285706</v>
      </c>
      <c r="AV35" s="533">
        <v>422.28571428571411</v>
      </c>
      <c r="AW35" s="529">
        <f t="shared" si="34"/>
        <v>3</v>
      </c>
      <c r="AX35" s="624"/>
      <c r="AZ35" s="524" t="e">
        <f t="shared" si="36"/>
        <v>#N/A</v>
      </c>
      <c r="BA35" s="624"/>
    </row>
    <row r="36" spans="2:53">
      <c r="B36" s="622"/>
      <c r="C36" s="306">
        <v>10</v>
      </c>
      <c r="D36" s="456"/>
      <c r="E36" s="521"/>
      <c r="F36" s="521"/>
      <c r="G36" s="521"/>
      <c r="H36" s="664"/>
      <c r="I36" s="516" t="str">
        <f t="shared" si="19"/>
        <v>-</v>
      </c>
      <c r="J36" s="516" t="str">
        <f t="shared" si="20"/>
        <v>-</v>
      </c>
      <c r="K36" s="200" t="str">
        <f t="shared" si="21"/>
        <v>-</v>
      </c>
      <c r="L36" s="596"/>
      <c r="M36" s="201" t="e">
        <f>RANK(K36, K$27:$K$41)</f>
        <v>#VALUE!</v>
      </c>
      <c r="N36" s="614"/>
      <c r="O36" s="614"/>
      <c r="P36" s="529" t="s">
        <v>839</v>
      </c>
      <c r="Q36" s="533" t="s">
        <v>839</v>
      </c>
      <c r="R36" s="533" t="s">
        <v>839</v>
      </c>
      <c r="S36" s="529" t="e">
        <f t="shared" si="22"/>
        <v>#VALUE!</v>
      </c>
      <c r="T36" s="624"/>
      <c r="U36" s="529" t="s">
        <v>839</v>
      </c>
      <c r="V36" s="533" t="s">
        <v>839</v>
      </c>
      <c r="W36" s="533" t="s">
        <v>839</v>
      </c>
      <c r="X36" s="529" t="e">
        <f t="shared" si="24"/>
        <v>#VALUE!</v>
      </c>
      <c r="Y36" s="624"/>
      <c r="Z36" s="529" t="s">
        <v>839</v>
      </c>
      <c r="AA36" s="533" t="s">
        <v>839</v>
      </c>
      <c r="AB36" s="533" t="s">
        <v>839</v>
      </c>
      <c r="AC36" s="529" t="e">
        <f t="shared" si="26"/>
        <v>#VALUE!</v>
      </c>
      <c r="AD36" s="624"/>
      <c r="AE36" s="529" t="s">
        <v>839</v>
      </c>
      <c r="AF36" s="533" t="s">
        <v>839</v>
      </c>
      <c r="AG36" s="533" t="s">
        <v>839</v>
      </c>
      <c r="AH36" s="529" t="e">
        <f t="shared" si="28"/>
        <v>#VALUE!</v>
      </c>
      <c r="AI36" s="624"/>
      <c r="AJ36" s="529" t="s">
        <v>839</v>
      </c>
      <c r="AK36" s="533" t="s">
        <v>839</v>
      </c>
      <c r="AL36" s="533" t="s">
        <v>839</v>
      </c>
      <c r="AM36" s="529" t="e">
        <f t="shared" si="30"/>
        <v>#VALUE!</v>
      </c>
      <c r="AN36" s="624"/>
      <c r="AO36" s="529" t="s">
        <v>839</v>
      </c>
      <c r="AP36" s="533" t="s">
        <v>839</v>
      </c>
      <c r="AQ36" s="533" t="s">
        <v>839</v>
      </c>
      <c r="AR36" s="529" t="e">
        <f t="shared" si="32"/>
        <v>#VALUE!</v>
      </c>
      <c r="AS36" s="624"/>
      <c r="AT36" s="529" t="s">
        <v>839</v>
      </c>
      <c r="AU36" s="533" t="s">
        <v>839</v>
      </c>
      <c r="AV36" s="533" t="s">
        <v>839</v>
      </c>
      <c r="AW36" s="529" t="e">
        <f t="shared" si="34"/>
        <v>#VALUE!</v>
      </c>
      <c r="AX36" s="624"/>
      <c r="AZ36" s="524" t="e">
        <f t="shared" si="36"/>
        <v>#N/A</v>
      </c>
      <c r="BA36" s="624"/>
    </row>
    <row r="37" spans="2:53">
      <c r="B37" s="622"/>
      <c r="C37" s="306">
        <v>11</v>
      </c>
      <c r="D37" s="456"/>
      <c r="E37" s="521"/>
      <c r="F37" s="521"/>
      <c r="G37" s="521"/>
      <c r="H37" s="664"/>
      <c r="I37" s="516" t="str">
        <f t="shared" si="19"/>
        <v>-</v>
      </c>
      <c r="J37" s="516" t="str">
        <f t="shared" si="20"/>
        <v>-</v>
      </c>
      <c r="K37" s="200" t="str">
        <f t="shared" si="21"/>
        <v>-</v>
      </c>
      <c r="L37" s="596"/>
      <c r="M37" s="201" t="e">
        <f>RANK(K37, K$27:$K$41)</f>
        <v>#VALUE!</v>
      </c>
      <c r="N37" s="614"/>
      <c r="O37" s="614"/>
      <c r="P37" s="529" t="s">
        <v>839</v>
      </c>
      <c r="Q37" s="533" t="s">
        <v>839</v>
      </c>
      <c r="R37" s="533" t="s">
        <v>839</v>
      </c>
      <c r="S37" s="529" t="e">
        <f t="shared" si="22"/>
        <v>#VALUE!</v>
      </c>
      <c r="T37" s="624"/>
      <c r="U37" s="529" t="s">
        <v>839</v>
      </c>
      <c r="V37" s="533" t="s">
        <v>839</v>
      </c>
      <c r="W37" s="533" t="s">
        <v>839</v>
      </c>
      <c r="X37" s="529" t="e">
        <f t="shared" si="24"/>
        <v>#VALUE!</v>
      </c>
      <c r="Y37" s="624"/>
      <c r="Z37" s="529" t="s">
        <v>839</v>
      </c>
      <c r="AA37" s="533" t="s">
        <v>839</v>
      </c>
      <c r="AB37" s="533" t="s">
        <v>839</v>
      </c>
      <c r="AC37" s="529" t="e">
        <f t="shared" si="26"/>
        <v>#VALUE!</v>
      </c>
      <c r="AD37" s="624"/>
      <c r="AE37" s="529" t="s">
        <v>839</v>
      </c>
      <c r="AF37" s="533" t="s">
        <v>839</v>
      </c>
      <c r="AG37" s="533" t="s">
        <v>839</v>
      </c>
      <c r="AH37" s="529" t="e">
        <f t="shared" si="28"/>
        <v>#VALUE!</v>
      </c>
      <c r="AI37" s="624"/>
      <c r="AJ37" s="529" t="s">
        <v>839</v>
      </c>
      <c r="AK37" s="533" t="s">
        <v>839</v>
      </c>
      <c r="AL37" s="533" t="s">
        <v>839</v>
      </c>
      <c r="AM37" s="529" t="e">
        <f t="shared" si="30"/>
        <v>#VALUE!</v>
      </c>
      <c r="AN37" s="624"/>
      <c r="AO37" s="529" t="s">
        <v>839</v>
      </c>
      <c r="AP37" s="533" t="s">
        <v>839</v>
      </c>
      <c r="AQ37" s="533" t="s">
        <v>839</v>
      </c>
      <c r="AR37" s="529" t="e">
        <f t="shared" si="32"/>
        <v>#VALUE!</v>
      </c>
      <c r="AS37" s="624"/>
      <c r="AT37" s="529" t="s">
        <v>839</v>
      </c>
      <c r="AU37" s="533" t="s">
        <v>839</v>
      </c>
      <c r="AV37" s="533" t="s">
        <v>839</v>
      </c>
      <c r="AW37" s="529" t="e">
        <f t="shared" si="34"/>
        <v>#VALUE!</v>
      </c>
      <c r="AX37" s="624"/>
      <c r="AZ37" s="524" t="e">
        <f t="shared" si="36"/>
        <v>#N/A</v>
      </c>
      <c r="BA37" s="624"/>
    </row>
    <row r="38" spans="2:53">
      <c r="B38" s="622"/>
      <c r="C38" s="306">
        <v>12</v>
      </c>
      <c r="D38" s="456"/>
      <c r="E38" s="521"/>
      <c r="F38" s="521"/>
      <c r="G38" s="521"/>
      <c r="H38" s="664"/>
      <c r="I38" s="516" t="str">
        <f t="shared" si="19"/>
        <v>-</v>
      </c>
      <c r="J38" s="516" t="str">
        <f t="shared" si="20"/>
        <v>-</v>
      </c>
      <c r="K38" s="200" t="str">
        <f t="shared" si="21"/>
        <v>-</v>
      </c>
      <c r="L38" s="596"/>
      <c r="M38" s="201" t="e">
        <f>RANK(K38, K$27:$K$41)</f>
        <v>#VALUE!</v>
      </c>
      <c r="N38" s="614"/>
      <c r="O38" s="614"/>
      <c r="P38" s="533"/>
      <c r="Q38" s="533"/>
      <c r="R38" s="533"/>
      <c r="S38" s="529" t="e">
        <f t="shared" si="22"/>
        <v>#N/A</v>
      </c>
      <c r="T38" s="624"/>
      <c r="U38" s="533"/>
      <c r="V38" s="533"/>
      <c r="W38" s="533"/>
      <c r="X38" s="529" t="e">
        <f t="shared" si="24"/>
        <v>#N/A</v>
      </c>
      <c r="Y38" s="624"/>
      <c r="Z38" s="533"/>
      <c r="AA38" s="533"/>
      <c r="AB38" s="533"/>
      <c r="AC38" s="529" t="e">
        <f t="shared" si="26"/>
        <v>#N/A</v>
      </c>
      <c r="AD38" s="624"/>
      <c r="AE38" s="533"/>
      <c r="AF38" s="533"/>
      <c r="AG38" s="533"/>
      <c r="AH38" s="529" t="e">
        <f t="shared" si="28"/>
        <v>#N/A</v>
      </c>
      <c r="AI38" s="624"/>
      <c r="AJ38" s="533"/>
      <c r="AK38" s="533"/>
      <c r="AL38" s="533"/>
      <c r="AM38" s="529" t="e">
        <f t="shared" si="30"/>
        <v>#N/A</v>
      </c>
      <c r="AN38" s="624"/>
      <c r="AO38" s="533"/>
      <c r="AP38" s="533"/>
      <c r="AQ38" s="533"/>
      <c r="AR38" s="529" t="e">
        <f t="shared" si="32"/>
        <v>#N/A</v>
      </c>
      <c r="AS38" s="624"/>
      <c r="AT38" s="533"/>
      <c r="AU38" s="533"/>
      <c r="AV38" s="533"/>
      <c r="AW38" s="529" t="e">
        <f t="shared" si="34"/>
        <v>#N/A</v>
      </c>
      <c r="AX38" s="624"/>
      <c r="AZ38" s="524" t="e">
        <f t="shared" si="36"/>
        <v>#N/A</v>
      </c>
      <c r="BA38" s="624"/>
    </row>
    <row r="39" spans="2:53">
      <c r="B39" s="622"/>
      <c r="C39" s="306">
        <v>13</v>
      </c>
      <c r="D39" s="456"/>
      <c r="E39" s="521"/>
      <c r="F39" s="521"/>
      <c r="G39" s="521"/>
      <c r="H39" s="664"/>
      <c r="I39" s="516" t="str">
        <f t="shared" si="19"/>
        <v>-</v>
      </c>
      <c r="J39" s="516" t="str">
        <f t="shared" si="20"/>
        <v>-</v>
      </c>
      <c r="K39" s="200" t="str">
        <f t="shared" si="21"/>
        <v>-</v>
      </c>
      <c r="L39" s="596"/>
      <c r="M39" s="201" t="e">
        <f>RANK(K39, K$27:$K$41)</f>
        <v>#VALUE!</v>
      </c>
      <c r="N39" s="614"/>
      <c r="O39" s="614"/>
      <c r="P39" s="533"/>
      <c r="Q39" s="533"/>
      <c r="R39" s="533"/>
      <c r="S39" s="529" t="e">
        <f t="shared" si="22"/>
        <v>#N/A</v>
      </c>
      <c r="T39" s="624"/>
      <c r="U39" s="533"/>
      <c r="V39" s="533"/>
      <c r="W39" s="533"/>
      <c r="X39" s="529" t="e">
        <f t="shared" si="24"/>
        <v>#N/A</v>
      </c>
      <c r="Y39" s="624"/>
      <c r="Z39" s="533"/>
      <c r="AA39" s="533"/>
      <c r="AB39" s="533"/>
      <c r="AC39" s="529" t="e">
        <f t="shared" si="26"/>
        <v>#N/A</v>
      </c>
      <c r="AD39" s="624"/>
      <c r="AE39" s="533"/>
      <c r="AF39" s="533"/>
      <c r="AG39" s="533"/>
      <c r="AH39" s="529" t="e">
        <f t="shared" si="28"/>
        <v>#N/A</v>
      </c>
      <c r="AI39" s="624"/>
      <c r="AJ39" s="533"/>
      <c r="AK39" s="533"/>
      <c r="AL39" s="533"/>
      <c r="AM39" s="529" t="e">
        <f t="shared" si="30"/>
        <v>#N/A</v>
      </c>
      <c r="AN39" s="624"/>
      <c r="AO39" s="533"/>
      <c r="AP39" s="533"/>
      <c r="AQ39" s="533"/>
      <c r="AR39" s="529" t="e">
        <f t="shared" si="32"/>
        <v>#N/A</v>
      </c>
      <c r="AS39" s="624"/>
      <c r="AT39" s="533"/>
      <c r="AU39" s="533"/>
      <c r="AV39" s="533"/>
      <c r="AW39" s="529" t="e">
        <f t="shared" si="34"/>
        <v>#N/A</v>
      </c>
      <c r="AX39" s="624"/>
      <c r="AZ39" s="524" t="e">
        <f t="shared" si="36"/>
        <v>#N/A</v>
      </c>
      <c r="BA39" s="624"/>
    </row>
    <row r="40" spans="2:53">
      <c r="B40" s="622"/>
      <c r="C40" s="306">
        <v>14</v>
      </c>
      <c r="D40" s="456"/>
      <c r="E40" s="521"/>
      <c r="F40" s="521"/>
      <c r="G40" s="521"/>
      <c r="H40" s="664"/>
      <c r="I40" s="516" t="str">
        <f t="shared" si="19"/>
        <v>-</v>
      </c>
      <c r="J40" s="516" t="str">
        <f t="shared" si="20"/>
        <v>-</v>
      </c>
      <c r="K40" s="200" t="str">
        <f t="shared" si="21"/>
        <v>-</v>
      </c>
      <c r="L40" s="596"/>
      <c r="M40" s="201" t="e">
        <f>RANK(K40, K$27:$K$41)</f>
        <v>#VALUE!</v>
      </c>
      <c r="N40" s="614"/>
      <c r="O40" s="614"/>
      <c r="P40" s="533"/>
      <c r="Q40" s="533"/>
      <c r="R40" s="533"/>
      <c r="S40" s="529" t="e">
        <f t="shared" si="22"/>
        <v>#N/A</v>
      </c>
      <c r="T40" s="624"/>
      <c r="U40" s="533"/>
      <c r="V40" s="533"/>
      <c r="W40" s="533"/>
      <c r="X40" s="529" t="e">
        <f t="shared" si="24"/>
        <v>#N/A</v>
      </c>
      <c r="Y40" s="624"/>
      <c r="Z40" s="533"/>
      <c r="AA40" s="533"/>
      <c r="AB40" s="533"/>
      <c r="AC40" s="529" t="e">
        <f t="shared" si="26"/>
        <v>#N/A</v>
      </c>
      <c r="AD40" s="624"/>
      <c r="AE40" s="533"/>
      <c r="AF40" s="533"/>
      <c r="AG40" s="533"/>
      <c r="AH40" s="529" t="e">
        <f t="shared" si="28"/>
        <v>#N/A</v>
      </c>
      <c r="AI40" s="624"/>
      <c r="AJ40" s="533"/>
      <c r="AK40" s="533"/>
      <c r="AL40" s="533"/>
      <c r="AM40" s="529" t="e">
        <f t="shared" si="30"/>
        <v>#N/A</v>
      </c>
      <c r="AN40" s="624"/>
      <c r="AO40" s="533"/>
      <c r="AP40" s="533"/>
      <c r="AQ40" s="533"/>
      <c r="AR40" s="529" t="e">
        <f t="shared" si="32"/>
        <v>#N/A</v>
      </c>
      <c r="AS40" s="624"/>
      <c r="AT40" s="533"/>
      <c r="AU40" s="533"/>
      <c r="AV40" s="533"/>
      <c r="AW40" s="529" t="e">
        <f t="shared" si="34"/>
        <v>#N/A</v>
      </c>
      <c r="AX40" s="624"/>
      <c r="AZ40" s="524" t="e">
        <f t="shared" si="36"/>
        <v>#N/A</v>
      </c>
      <c r="BA40" s="624"/>
    </row>
    <row r="41" spans="2:53">
      <c r="B41" s="622"/>
      <c r="C41" s="306">
        <v>15</v>
      </c>
      <c r="D41" s="456"/>
      <c r="E41" s="521"/>
      <c r="F41" s="521"/>
      <c r="G41" s="521"/>
      <c r="H41" s="665"/>
      <c r="I41" s="521"/>
      <c r="J41" s="521"/>
      <c r="K41" s="517"/>
      <c r="L41" s="597"/>
      <c r="M41" s="199" t="e">
        <f>RANK(K41, K$27:$K$41)</f>
        <v>#N/A</v>
      </c>
      <c r="N41" s="614"/>
      <c r="O41" s="614"/>
      <c r="P41" s="533"/>
      <c r="Q41" s="533"/>
      <c r="R41" s="533"/>
      <c r="S41" s="529" t="e">
        <f t="shared" si="22"/>
        <v>#N/A</v>
      </c>
      <c r="T41" s="625"/>
      <c r="U41" s="533"/>
      <c r="V41" s="533"/>
      <c r="W41" s="533"/>
      <c r="X41" s="529" t="e">
        <f t="shared" si="24"/>
        <v>#N/A</v>
      </c>
      <c r="Y41" s="625"/>
      <c r="Z41" s="533"/>
      <c r="AA41" s="533"/>
      <c r="AB41" s="533"/>
      <c r="AC41" s="529" t="e">
        <f t="shared" si="26"/>
        <v>#N/A</v>
      </c>
      <c r="AD41" s="625"/>
      <c r="AE41" s="533"/>
      <c r="AF41" s="533"/>
      <c r="AG41" s="533"/>
      <c r="AH41" s="529" t="e">
        <f t="shared" si="28"/>
        <v>#N/A</v>
      </c>
      <c r="AI41" s="625"/>
      <c r="AJ41" s="533"/>
      <c r="AK41" s="533"/>
      <c r="AL41" s="533"/>
      <c r="AM41" s="529" t="e">
        <f t="shared" si="30"/>
        <v>#N/A</v>
      </c>
      <c r="AN41" s="625"/>
      <c r="AO41" s="533"/>
      <c r="AP41" s="533"/>
      <c r="AQ41" s="533"/>
      <c r="AR41" s="529" t="e">
        <f t="shared" si="32"/>
        <v>#N/A</v>
      </c>
      <c r="AS41" s="625"/>
      <c r="AT41" s="533"/>
      <c r="AU41" s="533"/>
      <c r="AV41" s="533"/>
      <c r="AW41" s="529" t="e">
        <f t="shared" si="34"/>
        <v>#N/A</v>
      </c>
      <c r="AX41" s="625"/>
      <c r="AZ41" s="524" t="e">
        <f t="shared" si="36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398</v>
      </c>
      <c r="C44" s="614" t="s">
        <v>408</v>
      </c>
      <c r="D44" s="614"/>
      <c r="E44" s="614" t="s">
        <v>399</v>
      </c>
      <c r="F44" s="614"/>
      <c r="G44" s="614"/>
      <c r="H44" s="630" t="s">
        <v>395</v>
      </c>
      <c r="I44" s="598" t="s">
        <v>400</v>
      </c>
      <c r="J44" s="598"/>
      <c r="K44" s="598"/>
      <c r="L44" s="599" t="s">
        <v>395</v>
      </c>
      <c r="M44" s="605" t="s">
        <v>396</v>
      </c>
      <c r="N44" s="614"/>
      <c r="O44" s="614" t="s">
        <v>401</v>
      </c>
      <c r="P44" s="611" t="s">
        <v>758</v>
      </c>
      <c r="Q44" s="612"/>
      <c r="R44" s="612"/>
      <c r="S44" s="613"/>
      <c r="T44" s="614" t="s">
        <v>759</v>
      </c>
      <c r="U44" s="611" t="s">
        <v>758</v>
      </c>
      <c r="V44" s="612"/>
      <c r="W44" s="612"/>
      <c r="X44" s="613"/>
      <c r="Y44" s="614" t="s">
        <v>759</v>
      </c>
      <c r="Z44" s="611" t="s">
        <v>758</v>
      </c>
      <c r="AA44" s="612"/>
      <c r="AB44" s="612"/>
      <c r="AC44" s="613"/>
      <c r="AD44" s="614" t="s">
        <v>759</v>
      </c>
      <c r="AE44" s="611" t="s">
        <v>758</v>
      </c>
      <c r="AF44" s="612"/>
      <c r="AG44" s="612"/>
      <c r="AH44" s="613"/>
      <c r="AI44" s="614" t="s">
        <v>759</v>
      </c>
      <c r="AJ44" s="611" t="s">
        <v>758</v>
      </c>
      <c r="AK44" s="612"/>
      <c r="AL44" s="612"/>
      <c r="AM44" s="613"/>
      <c r="AN44" s="614" t="s">
        <v>759</v>
      </c>
      <c r="AO44" s="611" t="s">
        <v>758</v>
      </c>
      <c r="AP44" s="612"/>
      <c r="AQ44" s="612"/>
      <c r="AR44" s="613"/>
      <c r="AS44" s="614" t="s">
        <v>759</v>
      </c>
      <c r="AT44" s="611" t="s">
        <v>758</v>
      </c>
      <c r="AU44" s="612"/>
      <c r="AV44" s="612"/>
      <c r="AW44" s="613"/>
      <c r="AX44" s="614" t="s">
        <v>759</v>
      </c>
      <c r="BA44" s="614" t="s">
        <v>395</v>
      </c>
    </row>
    <row r="45" spans="2:53">
      <c r="B45" s="614"/>
      <c r="C45" s="614"/>
      <c r="D45" s="614"/>
      <c r="E45" s="614" t="s">
        <v>402</v>
      </c>
      <c r="F45" s="614"/>
      <c r="G45" s="614"/>
      <c r="H45" s="631"/>
      <c r="I45" s="598" t="s">
        <v>402</v>
      </c>
      <c r="J45" s="598"/>
      <c r="K45" s="598"/>
      <c r="L45" s="600"/>
      <c r="M45" s="606"/>
      <c r="N45" s="614"/>
      <c r="O45" s="614"/>
      <c r="P45" s="611" t="s">
        <v>760</v>
      </c>
      <c r="Q45" s="612"/>
      <c r="R45" s="612"/>
      <c r="S45" s="613"/>
      <c r="T45" s="614"/>
      <c r="U45" s="611" t="s">
        <v>760</v>
      </c>
      <c r="V45" s="612"/>
      <c r="W45" s="612"/>
      <c r="X45" s="613"/>
      <c r="Y45" s="614"/>
      <c r="Z45" s="611" t="s">
        <v>760</v>
      </c>
      <c r="AA45" s="612"/>
      <c r="AB45" s="612"/>
      <c r="AC45" s="613"/>
      <c r="AD45" s="614"/>
      <c r="AE45" s="611" t="s">
        <v>760</v>
      </c>
      <c r="AF45" s="612"/>
      <c r="AG45" s="612"/>
      <c r="AH45" s="613"/>
      <c r="AI45" s="614"/>
      <c r="AJ45" s="611" t="s">
        <v>760</v>
      </c>
      <c r="AK45" s="612"/>
      <c r="AL45" s="612"/>
      <c r="AM45" s="613"/>
      <c r="AN45" s="614"/>
      <c r="AO45" s="611" t="s">
        <v>760</v>
      </c>
      <c r="AP45" s="612"/>
      <c r="AQ45" s="612"/>
      <c r="AR45" s="613"/>
      <c r="AS45" s="614"/>
      <c r="AT45" s="611" t="s">
        <v>760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05" t="s">
        <v>404</v>
      </c>
      <c r="F46" s="305" t="s">
        <v>405</v>
      </c>
      <c r="G46" s="305" t="s">
        <v>406</v>
      </c>
      <c r="H46" s="632"/>
      <c r="I46" s="304" t="s">
        <v>404</v>
      </c>
      <c r="J46" s="304" t="s">
        <v>405</v>
      </c>
      <c r="K46" s="304" t="s">
        <v>406</v>
      </c>
      <c r="L46" s="601"/>
      <c r="M46" s="607"/>
      <c r="N46" s="614"/>
      <c r="O46" s="614"/>
      <c r="P46" s="485" t="s">
        <v>761</v>
      </c>
      <c r="Q46" s="485" t="s">
        <v>762</v>
      </c>
      <c r="R46" s="485" t="s">
        <v>763</v>
      </c>
      <c r="S46" s="485" t="s">
        <v>764</v>
      </c>
      <c r="T46" s="614"/>
      <c r="U46" s="485" t="s">
        <v>761</v>
      </c>
      <c r="V46" s="485" t="s">
        <v>762</v>
      </c>
      <c r="W46" s="485" t="s">
        <v>763</v>
      </c>
      <c r="X46" s="485" t="s">
        <v>764</v>
      </c>
      <c r="Y46" s="614"/>
      <c r="Z46" s="485" t="s">
        <v>761</v>
      </c>
      <c r="AA46" s="485" t="s">
        <v>762</v>
      </c>
      <c r="AB46" s="485" t="s">
        <v>763</v>
      </c>
      <c r="AC46" s="485" t="s">
        <v>764</v>
      </c>
      <c r="AD46" s="614"/>
      <c r="AE46" s="485" t="s">
        <v>761</v>
      </c>
      <c r="AF46" s="485" t="s">
        <v>762</v>
      </c>
      <c r="AG46" s="485" t="s">
        <v>763</v>
      </c>
      <c r="AH46" s="485" t="s">
        <v>764</v>
      </c>
      <c r="AI46" s="614"/>
      <c r="AJ46" s="485" t="s">
        <v>761</v>
      </c>
      <c r="AK46" s="485" t="s">
        <v>762</v>
      </c>
      <c r="AL46" s="485" t="s">
        <v>763</v>
      </c>
      <c r="AM46" s="485" t="s">
        <v>764</v>
      </c>
      <c r="AN46" s="614"/>
      <c r="AO46" s="485" t="s">
        <v>761</v>
      </c>
      <c r="AP46" s="485" t="s">
        <v>762</v>
      </c>
      <c r="AQ46" s="485" t="s">
        <v>763</v>
      </c>
      <c r="AR46" s="485" t="s">
        <v>764</v>
      </c>
      <c r="AS46" s="614"/>
      <c r="AT46" s="485" t="s">
        <v>761</v>
      </c>
      <c r="AU46" s="485" t="s">
        <v>762</v>
      </c>
      <c r="AV46" s="485" t="s">
        <v>763</v>
      </c>
      <c r="AW46" s="485" t="s">
        <v>764</v>
      </c>
      <c r="AX46" s="614"/>
      <c r="AZ46" s="523" t="s">
        <v>764</v>
      </c>
      <c r="BA46" s="614"/>
    </row>
    <row r="47" spans="2:53">
      <c r="B47" s="662" t="s">
        <v>407</v>
      </c>
      <c r="C47" s="306">
        <v>1</v>
      </c>
      <c r="D47" s="456"/>
      <c r="E47" s="521"/>
      <c r="F47" s="521"/>
      <c r="G47" s="521"/>
      <c r="H47" s="663" t="e">
        <f>AVERAGE(G47:G61)</f>
        <v>#DIV/0!</v>
      </c>
      <c r="I47" s="516" t="str">
        <f t="shared" ref="I47:I60" si="38">IFERROR(AVERAGE(P47,U47,Z47,AE47,AJ47,AO47,AT47),"-")</f>
        <v>-</v>
      </c>
      <c r="J47" s="516" t="str">
        <f t="shared" ref="J47:J60" si="39">IFERROR(AVERAGE(Q47,V47,AA47,AF47,AK47,AP47,AU47),"-")</f>
        <v>-</v>
      </c>
      <c r="K47" s="200" t="str">
        <f t="shared" ref="K47:K60" si="40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520"/>
      <c r="Q47" s="521"/>
      <c r="R47" s="521"/>
      <c r="S47" s="514" t="e">
        <f>RANK(R47, R$47:R$61)</f>
        <v>#N/A</v>
      </c>
      <c r="T47" s="623" t="e">
        <f>AVERAGE(R47:R61)</f>
        <v>#DIV/0!</v>
      </c>
      <c r="U47" s="520"/>
      <c r="V47" s="521"/>
      <c r="W47" s="521"/>
      <c r="X47" s="514" t="e">
        <f t="shared" ref="X47:X61" si="41">RANK(W47, W$47:W$61)</f>
        <v>#N/A</v>
      </c>
      <c r="Y47" s="623" t="e">
        <f t="shared" ref="Y47" si="42">AVERAGE(W47:W61)</f>
        <v>#DIV/0!</v>
      </c>
      <c r="Z47" s="520"/>
      <c r="AA47" s="521"/>
      <c r="AB47" s="521"/>
      <c r="AC47" s="514" t="e">
        <f t="shared" ref="AC47:AC61" si="43">RANK(AB47, AB$47:AB$61)</f>
        <v>#N/A</v>
      </c>
      <c r="AD47" s="623" t="e">
        <f t="shared" ref="AD47" si="44">AVERAGE(AB47:AB61)</f>
        <v>#DIV/0!</v>
      </c>
      <c r="AE47" s="520"/>
      <c r="AF47" s="521"/>
      <c r="AG47" s="521"/>
      <c r="AH47" s="514" t="e">
        <f t="shared" ref="AH47:AH61" si="45">RANK(AG47, AG$47:AG$61)</f>
        <v>#N/A</v>
      </c>
      <c r="AI47" s="623" t="e">
        <f t="shared" ref="AI47" si="46">AVERAGE(AG47:AG61)</f>
        <v>#DIV/0!</v>
      </c>
      <c r="AJ47" s="520"/>
      <c r="AK47" s="521"/>
      <c r="AL47" s="521"/>
      <c r="AM47" s="514" t="e">
        <f t="shared" ref="AM47:AM61" si="47">RANK(AL47, AL$47:AL$61)</f>
        <v>#N/A</v>
      </c>
      <c r="AN47" s="623" t="e">
        <f t="shared" ref="AN47" si="48">AVERAGE(AL47:AL61)</f>
        <v>#DIV/0!</v>
      </c>
      <c r="AO47" s="520"/>
      <c r="AP47" s="521"/>
      <c r="AQ47" s="521"/>
      <c r="AR47" s="514" t="e">
        <f t="shared" ref="AR47:AR61" si="49">RANK(AQ47, AQ$47:AQ$61)</f>
        <v>#N/A</v>
      </c>
      <c r="AS47" s="623" t="e">
        <f t="shared" ref="AS47" si="50">AVERAGE(AQ47:AQ61)</f>
        <v>#DIV/0!</v>
      </c>
      <c r="AT47" s="520"/>
      <c r="AU47" s="521"/>
      <c r="AV47" s="521"/>
      <c r="AW47" s="514" t="e">
        <f t="shared" ref="AW47:AW61" si="51">RANK(AV47, AV$47:AV$61)</f>
        <v>#N/A</v>
      </c>
      <c r="AX47" s="623" t="e">
        <f t="shared" ref="AX47" si="52">AVERAGE(AV47:AV61)</f>
        <v>#DIV/0!</v>
      </c>
      <c r="AZ47" s="524" t="e">
        <f t="shared" ref="AZ47:AZ61" si="53">RANK(AY47, AY$47:AY$61)</f>
        <v>#N/A</v>
      </c>
      <c r="BA47" s="623" t="e">
        <f t="shared" ref="BA47" si="54">AVERAGE(AY47:AY61)</f>
        <v>#DIV/0!</v>
      </c>
    </row>
    <row r="48" spans="2:53">
      <c r="B48" s="622"/>
      <c r="C48" s="306">
        <v>2</v>
      </c>
      <c r="D48" s="456"/>
      <c r="E48" s="521"/>
      <c r="F48" s="521"/>
      <c r="G48" s="521"/>
      <c r="H48" s="664"/>
      <c r="I48" s="516" t="str">
        <f t="shared" si="38"/>
        <v>-</v>
      </c>
      <c r="J48" s="516" t="str">
        <f t="shared" si="39"/>
        <v>-</v>
      </c>
      <c r="K48" s="200" t="str">
        <f t="shared" si="40"/>
        <v>-</v>
      </c>
      <c r="L48" s="596"/>
      <c r="M48" s="201" t="e">
        <f>RANK(K48, K$47:$K$61)</f>
        <v>#VALUE!</v>
      </c>
      <c r="N48" s="614"/>
      <c r="O48" s="614"/>
      <c r="P48" s="520"/>
      <c r="Q48" s="521"/>
      <c r="R48" s="521"/>
      <c r="S48" s="514" t="e">
        <f t="shared" ref="S48:S61" si="55">RANK(R48, R$47:R$61)</f>
        <v>#N/A</v>
      </c>
      <c r="T48" s="624"/>
      <c r="U48" s="520"/>
      <c r="V48" s="521"/>
      <c r="W48" s="521"/>
      <c r="X48" s="514" t="e">
        <f t="shared" si="41"/>
        <v>#N/A</v>
      </c>
      <c r="Y48" s="624"/>
      <c r="Z48" s="520"/>
      <c r="AA48" s="521"/>
      <c r="AB48" s="521"/>
      <c r="AC48" s="514" t="e">
        <f t="shared" si="43"/>
        <v>#N/A</v>
      </c>
      <c r="AD48" s="624"/>
      <c r="AE48" s="520"/>
      <c r="AF48" s="521"/>
      <c r="AG48" s="521"/>
      <c r="AH48" s="514" t="e">
        <f t="shared" si="45"/>
        <v>#N/A</v>
      </c>
      <c r="AI48" s="624"/>
      <c r="AJ48" s="520"/>
      <c r="AK48" s="521"/>
      <c r="AL48" s="521"/>
      <c r="AM48" s="514" t="e">
        <f t="shared" si="47"/>
        <v>#N/A</v>
      </c>
      <c r="AN48" s="624"/>
      <c r="AO48" s="520"/>
      <c r="AP48" s="521"/>
      <c r="AQ48" s="521"/>
      <c r="AR48" s="514" t="e">
        <f t="shared" si="49"/>
        <v>#N/A</v>
      </c>
      <c r="AS48" s="624"/>
      <c r="AT48" s="520"/>
      <c r="AU48" s="521"/>
      <c r="AV48" s="521"/>
      <c r="AW48" s="514" t="e">
        <f t="shared" si="51"/>
        <v>#N/A</v>
      </c>
      <c r="AX48" s="624"/>
      <c r="AZ48" s="524" t="e">
        <f t="shared" si="53"/>
        <v>#N/A</v>
      </c>
      <c r="BA48" s="624"/>
    </row>
    <row r="49" spans="2:53">
      <c r="B49" s="622"/>
      <c r="C49" s="306">
        <v>3</v>
      </c>
      <c r="D49" s="456"/>
      <c r="E49" s="521"/>
      <c r="F49" s="521"/>
      <c r="G49" s="521"/>
      <c r="H49" s="664"/>
      <c r="I49" s="516" t="str">
        <f t="shared" si="38"/>
        <v>-</v>
      </c>
      <c r="J49" s="516" t="str">
        <f t="shared" si="39"/>
        <v>-</v>
      </c>
      <c r="K49" s="200" t="str">
        <f t="shared" si="40"/>
        <v>-</v>
      </c>
      <c r="L49" s="596"/>
      <c r="M49" s="201" t="e">
        <f>RANK(K49, K$47:$K$61)</f>
        <v>#VALUE!</v>
      </c>
      <c r="N49" s="614"/>
      <c r="O49" s="614"/>
      <c r="P49" s="520"/>
      <c r="Q49" s="521"/>
      <c r="R49" s="521"/>
      <c r="S49" s="514" t="e">
        <f t="shared" si="55"/>
        <v>#N/A</v>
      </c>
      <c r="T49" s="624"/>
      <c r="U49" s="520"/>
      <c r="V49" s="521"/>
      <c r="W49" s="521"/>
      <c r="X49" s="514" t="e">
        <f t="shared" si="41"/>
        <v>#N/A</v>
      </c>
      <c r="Y49" s="624"/>
      <c r="Z49" s="520"/>
      <c r="AA49" s="521"/>
      <c r="AB49" s="521"/>
      <c r="AC49" s="514" t="e">
        <f t="shared" si="43"/>
        <v>#N/A</v>
      </c>
      <c r="AD49" s="624"/>
      <c r="AE49" s="520"/>
      <c r="AF49" s="521"/>
      <c r="AG49" s="521"/>
      <c r="AH49" s="514" t="e">
        <f t="shared" si="45"/>
        <v>#N/A</v>
      </c>
      <c r="AI49" s="624"/>
      <c r="AJ49" s="520"/>
      <c r="AK49" s="521"/>
      <c r="AL49" s="521"/>
      <c r="AM49" s="514" t="e">
        <f t="shared" si="47"/>
        <v>#N/A</v>
      </c>
      <c r="AN49" s="624"/>
      <c r="AO49" s="520"/>
      <c r="AP49" s="521"/>
      <c r="AQ49" s="521"/>
      <c r="AR49" s="514" t="e">
        <f t="shared" si="49"/>
        <v>#N/A</v>
      </c>
      <c r="AS49" s="624"/>
      <c r="AT49" s="520"/>
      <c r="AU49" s="521"/>
      <c r="AV49" s="521"/>
      <c r="AW49" s="514" t="e">
        <f t="shared" si="51"/>
        <v>#N/A</v>
      </c>
      <c r="AX49" s="624"/>
      <c r="AZ49" s="524" t="e">
        <f t="shared" si="53"/>
        <v>#N/A</v>
      </c>
      <c r="BA49" s="624"/>
    </row>
    <row r="50" spans="2:53">
      <c r="B50" s="622"/>
      <c r="C50" s="306">
        <v>4</v>
      </c>
      <c r="D50" s="456"/>
      <c r="E50" s="521"/>
      <c r="F50" s="521"/>
      <c r="G50" s="521"/>
      <c r="H50" s="664"/>
      <c r="I50" s="516" t="str">
        <f t="shared" si="38"/>
        <v>-</v>
      </c>
      <c r="J50" s="516" t="str">
        <f t="shared" si="39"/>
        <v>-</v>
      </c>
      <c r="K50" s="200" t="str">
        <f t="shared" si="40"/>
        <v>-</v>
      </c>
      <c r="L50" s="596"/>
      <c r="M50" s="201" t="e">
        <f>RANK(K50, K$47:$K$61)</f>
        <v>#VALUE!</v>
      </c>
      <c r="N50" s="614"/>
      <c r="O50" s="614"/>
      <c r="P50" s="520"/>
      <c r="Q50" s="521"/>
      <c r="R50" s="521"/>
      <c r="S50" s="514" t="e">
        <f t="shared" si="55"/>
        <v>#N/A</v>
      </c>
      <c r="T50" s="624"/>
      <c r="U50" s="520"/>
      <c r="V50" s="521"/>
      <c r="W50" s="521"/>
      <c r="X50" s="514" t="e">
        <f t="shared" si="41"/>
        <v>#N/A</v>
      </c>
      <c r="Y50" s="624"/>
      <c r="Z50" s="520"/>
      <c r="AA50" s="521"/>
      <c r="AB50" s="521"/>
      <c r="AC50" s="514" t="e">
        <f t="shared" si="43"/>
        <v>#N/A</v>
      </c>
      <c r="AD50" s="624"/>
      <c r="AE50" s="520"/>
      <c r="AF50" s="521"/>
      <c r="AG50" s="521"/>
      <c r="AH50" s="514" t="e">
        <f t="shared" si="45"/>
        <v>#N/A</v>
      </c>
      <c r="AI50" s="624"/>
      <c r="AJ50" s="520"/>
      <c r="AK50" s="521"/>
      <c r="AL50" s="521"/>
      <c r="AM50" s="514" t="e">
        <f t="shared" si="47"/>
        <v>#N/A</v>
      </c>
      <c r="AN50" s="624"/>
      <c r="AO50" s="520"/>
      <c r="AP50" s="521"/>
      <c r="AQ50" s="521"/>
      <c r="AR50" s="514" t="e">
        <f t="shared" si="49"/>
        <v>#N/A</v>
      </c>
      <c r="AS50" s="624"/>
      <c r="AT50" s="520"/>
      <c r="AU50" s="521"/>
      <c r="AV50" s="521"/>
      <c r="AW50" s="514" t="e">
        <f t="shared" si="51"/>
        <v>#N/A</v>
      </c>
      <c r="AX50" s="624"/>
      <c r="AZ50" s="524" t="e">
        <f t="shared" si="53"/>
        <v>#N/A</v>
      </c>
      <c r="BA50" s="624"/>
    </row>
    <row r="51" spans="2:53">
      <c r="B51" s="622"/>
      <c r="C51" s="306">
        <v>5</v>
      </c>
      <c r="D51" s="456"/>
      <c r="E51" s="521"/>
      <c r="F51" s="521"/>
      <c r="G51" s="521"/>
      <c r="H51" s="664"/>
      <c r="I51" s="516" t="str">
        <f t="shared" si="38"/>
        <v>-</v>
      </c>
      <c r="J51" s="516" t="str">
        <f t="shared" si="39"/>
        <v>-</v>
      </c>
      <c r="K51" s="200" t="str">
        <f t="shared" si="40"/>
        <v>-</v>
      </c>
      <c r="L51" s="596"/>
      <c r="M51" s="201" t="e">
        <f>RANK(K51, K$47:$K$61)</f>
        <v>#VALUE!</v>
      </c>
      <c r="N51" s="614"/>
      <c r="O51" s="614"/>
      <c r="P51" s="520"/>
      <c r="Q51" s="521"/>
      <c r="R51" s="521"/>
      <c r="S51" s="514" t="e">
        <f t="shared" si="55"/>
        <v>#N/A</v>
      </c>
      <c r="T51" s="624"/>
      <c r="U51" s="520"/>
      <c r="V51" s="521"/>
      <c r="W51" s="521"/>
      <c r="X51" s="514" t="e">
        <f t="shared" si="41"/>
        <v>#N/A</v>
      </c>
      <c r="Y51" s="624"/>
      <c r="Z51" s="520"/>
      <c r="AA51" s="521"/>
      <c r="AB51" s="521"/>
      <c r="AC51" s="514" t="e">
        <f t="shared" si="43"/>
        <v>#N/A</v>
      </c>
      <c r="AD51" s="624"/>
      <c r="AE51" s="520"/>
      <c r="AF51" s="521"/>
      <c r="AG51" s="521"/>
      <c r="AH51" s="514" t="e">
        <f t="shared" si="45"/>
        <v>#N/A</v>
      </c>
      <c r="AI51" s="624"/>
      <c r="AJ51" s="520"/>
      <c r="AK51" s="521"/>
      <c r="AL51" s="521"/>
      <c r="AM51" s="514" t="e">
        <f t="shared" si="47"/>
        <v>#N/A</v>
      </c>
      <c r="AN51" s="624"/>
      <c r="AO51" s="520"/>
      <c r="AP51" s="521"/>
      <c r="AQ51" s="521"/>
      <c r="AR51" s="514" t="e">
        <f t="shared" si="49"/>
        <v>#N/A</v>
      </c>
      <c r="AS51" s="624"/>
      <c r="AT51" s="520"/>
      <c r="AU51" s="521"/>
      <c r="AV51" s="521"/>
      <c r="AW51" s="514" t="e">
        <f t="shared" si="51"/>
        <v>#N/A</v>
      </c>
      <c r="AX51" s="624"/>
      <c r="AZ51" s="524" t="e">
        <f t="shared" si="53"/>
        <v>#N/A</v>
      </c>
      <c r="BA51" s="624"/>
    </row>
    <row r="52" spans="2:53">
      <c r="B52" s="622"/>
      <c r="C52" s="306">
        <v>6</v>
      </c>
      <c r="D52" s="456"/>
      <c r="E52" s="521"/>
      <c r="F52" s="521"/>
      <c r="G52" s="521"/>
      <c r="H52" s="664"/>
      <c r="I52" s="516" t="str">
        <f t="shared" si="38"/>
        <v>-</v>
      </c>
      <c r="J52" s="516" t="str">
        <f t="shared" si="39"/>
        <v>-</v>
      </c>
      <c r="K52" s="200" t="str">
        <f t="shared" si="40"/>
        <v>-</v>
      </c>
      <c r="L52" s="596"/>
      <c r="M52" s="201" t="e">
        <f>RANK(K52, K$47:$K$61)</f>
        <v>#VALUE!</v>
      </c>
      <c r="N52" s="614"/>
      <c r="O52" s="614"/>
      <c r="P52" s="520"/>
      <c r="Q52" s="521"/>
      <c r="R52" s="521"/>
      <c r="S52" s="514" t="e">
        <f t="shared" si="55"/>
        <v>#N/A</v>
      </c>
      <c r="T52" s="624"/>
      <c r="U52" s="520"/>
      <c r="V52" s="521"/>
      <c r="W52" s="521"/>
      <c r="X52" s="514" t="e">
        <f t="shared" si="41"/>
        <v>#N/A</v>
      </c>
      <c r="Y52" s="624"/>
      <c r="Z52" s="520"/>
      <c r="AA52" s="521"/>
      <c r="AB52" s="521"/>
      <c r="AC52" s="514" t="e">
        <f t="shared" si="43"/>
        <v>#N/A</v>
      </c>
      <c r="AD52" s="624"/>
      <c r="AE52" s="520"/>
      <c r="AF52" s="521"/>
      <c r="AG52" s="521"/>
      <c r="AH52" s="514" t="e">
        <f t="shared" si="45"/>
        <v>#N/A</v>
      </c>
      <c r="AI52" s="624"/>
      <c r="AJ52" s="520"/>
      <c r="AK52" s="521"/>
      <c r="AL52" s="521"/>
      <c r="AM52" s="514" t="e">
        <f t="shared" si="47"/>
        <v>#N/A</v>
      </c>
      <c r="AN52" s="624"/>
      <c r="AO52" s="520"/>
      <c r="AP52" s="521"/>
      <c r="AQ52" s="521"/>
      <c r="AR52" s="514" t="e">
        <f t="shared" si="49"/>
        <v>#N/A</v>
      </c>
      <c r="AS52" s="624"/>
      <c r="AT52" s="520"/>
      <c r="AU52" s="521"/>
      <c r="AV52" s="521"/>
      <c r="AW52" s="514" t="e">
        <f t="shared" si="51"/>
        <v>#N/A</v>
      </c>
      <c r="AX52" s="624"/>
      <c r="AZ52" s="524" t="e">
        <f t="shared" si="53"/>
        <v>#N/A</v>
      </c>
      <c r="BA52" s="624"/>
    </row>
    <row r="53" spans="2:53">
      <c r="B53" s="622"/>
      <c r="C53" s="306">
        <v>7</v>
      </c>
      <c r="D53" s="456"/>
      <c r="E53" s="521"/>
      <c r="F53" s="521"/>
      <c r="G53" s="521"/>
      <c r="H53" s="664"/>
      <c r="I53" s="516" t="str">
        <f t="shared" si="38"/>
        <v>-</v>
      </c>
      <c r="J53" s="516" t="str">
        <f t="shared" si="39"/>
        <v>-</v>
      </c>
      <c r="K53" s="200" t="str">
        <f t="shared" si="40"/>
        <v>-</v>
      </c>
      <c r="L53" s="596"/>
      <c r="M53" s="201" t="e">
        <f>RANK(K53, K$47:$K$61)</f>
        <v>#VALUE!</v>
      </c>
      <c r="N53" s="614"/>
      <c r="O53" s="614"/>
      <c r="P53" s="520"/>
      <c r="Q53" s="521"/>
      <c r="R53" s="521"/>
      <c r="S53" s="514" t="e">
        <f t="shared" si="55"/>
        <v>#N/A</v>
      </c>
      <c r="T53" s="624"/>
      <c r="U53" s="520"/>
      <c r="V53" s="521"/>
      <c r="W53" s="521"/>
      <c r="X53" s="514" t="e">
        <f t="shared" si="41"/>
        <v>#N/A</v>
      </c>
      <c r="Y53" s="624"/>
      <c r="Z53" s="520"/>
      <c r="AA53" s="521"/>
      <c r="AB53" s="521"/>
      <c r="AC53" s="514" t="e">
        <f t="shared" si="43"/>
        <v>#N/A</v>
      </c>
      <c r="AD53" s="624"/>
      <c r="AE53" s="520"/>
      <c r="AF53" s="521"/>
      <c r="AG53" s="521"/>
      <c r="AH53" s="514" t="e">
        <f t="shared" si="45"/>
        <v>#N/A</v>
      </c>
      <c r="AI53" s="624"/>
      <c r="AJ53" s="520"/>
      <c r="AK53" s="521"/>
      <c r="AL53" s="521"/>
      <c r="AM53" s="514" t="e">
        <f t="shared" si="47"/>
        <v>#N/A</v>
      </c>
      <c r="AN53" s="624"/>
      <c r="AO53" s="520"/>
      <c r="AP53" s="521"/>
      <c r="AQ53" s="521"/>
      <c r="AR53" s="514" t="e">
        <f t="shared" si="49"/>
        <v>#N/A</v>
      </c>
      <c r="AS53" s="624"/>
      <c r="AT53" s="520"/>
      <c r="AU53" s="521"/>
      <c r="AV53" s="521"/>
      <c r="AW53" s="514" t="e">
        <f t="shared" si="51"/>
        <v>#N/A</v>
      </c>
      <c r="AX53" s="624"/>
      <c r="AZ53" s="524" t="e">
        <f t="shared" si="53"/>
        <v>#N/A</v>
      </c>
      <c r="BA53" s="624"/>
    </row>
    <row r="54" spans="2:53">
      <c r="B54" s="622"/>
      <c r="C54" s="306">
        <v>8</v>
      </c>
      <c r="D54" s="456"/>
      <c r="E54" s="521"/>
      <c r="F54" s="521"/>
      <c r="G54" s="521"/>
      <c r="H54" s="664"/>
      <c r="I54" s="516" t="str">
        <f t="shared" si="38"/>
        <v>-</v>
      </c>
      <c r="J54" s="516" t="str">
        <f t="shared" si="39"/>
        <v>-</v>
      </c>
      <c r="K54" s="200" t="str">
        <f t="shared" si="40"/>
        <v>-</v>
      </c>
      <c r="L54" s="596"/>
      <c r="M54" s="201" t="e">
        <f>RANK(K54, K$47:$K$61)</f>
        <v>#VALUE!</v>
      </c>
      <c r="N54" s="614"/>
      <c r="O54" s="614"/>
      <c r="P54" s="520"/>
      <c r="Q54" s="521"/>
      <c r="R54" s="521"/>
      <c r="S54" s="514" t="e">
        <f t="shared" si="55"/>
        <v>#N/A</v>
      </c>
      <c r="T54" s="624"/>
      <c r="U54" s="520"/>
      <c r="V54" s="521"/>
      <c r="W54" s="521"/>
      <c r="X54" s="514" t="e">
        <f t="shared" si="41"/>
        <v>#N/A</v>
      </c>
      <c r="Y54" s="624"/>
      <c r="Z54" s="520"/>
      <c r="AA54" s="521"/>
      <c r="AB54" s="521"/>
      <c r="AC54" s="514" t="e">
        <f t="shared" si="43"/>
        <v>#N/A</v>
      </c>
      <c r="AD54" s="624"/>
      <c r="AE54" s="520"/>
      <c r="AF54" s="521"/>
      <c r="AG54" s="521"/>
      <c r="AH54" s="514" t="e">
        <f t="shared" si="45"/>
        <v>#N/A</v>
      </c>
      <c r="AI54" s="624"/>
      <c r="AJ54" s="520"/>
      <c r="AK54" s="521"/>
      <c r="AL54" s="521"/>
      <c r="AM54" s="514" t="e">
        <f t="shared" si="47"/>
        <v>#N/A</v>
      </c>
      <c r="AN54" s="624"/>
      <c r="AO54" s="520"/>
      <c r="AP54" s="521"/>
      <c r="AQ54" s="521"/>
      <c r="AR54" s="514" t="e">
        <f t="shared" si="49"/>
        <v>#N/A</v>
      </c>
      <c r="AS54" s="624"/>
      <c r="AT54" s="520"/>
      <c r="AU54" s="521"/>
      <c r="AV54" s="521"/>
      <c r="AW54" s="514" t="e">
        <f t="shared" si="51"/>
        <v>#N/A</v>
      </c>
      <c r="AX54" s="624"/>
      <c r="AZ54" s="524" t="e">
        <f t="shared" si="53"/>
        <v>#N/A</v>
      </c>
      <c r="BA54" s="624"/>
    </row>
    <row r="55" spans="2:53">
      <c r="B55" s="622"/>
      <c r="C55" s="306">
        <v>9</v>
      </c>
      <c r="D55" s="456"/>
      <c r="E55" s="521"/>
      <c r="F55" s="521"/>
      <c r="G55" s="521"/>
      <c r="H55" s="664"/>
      <c r="I55" s="516" t="str">
        <f t="shared" si="38"/>
        <v>-</v>
      </c>
      <c r="J55" s="516" t="str">
        <f t="shared" si="39"/>
        <v>-</v>
      </c>
      <c r="K55" s="200" t="str">
        <f t="shared" si="40"/>
        <v>-</v>
      </c>
      <c r="L55" s="596"/>
      <c r="M55" s="201" t="e">
        <f>RANK(K55, K$47:$K$61)</f>
        <v>#VALUE!</v>
      </c>
      <c r="N55" s="614"/>
      <c r="O55" s="614"/>
      <c r="P55" s="520"/>
      <c r="Q55" s="521"/>
      <c r="R55" s="521"/>
      <c r="S55" s="514" t="e">
        <f t="shared" si="55"/>
        <v>#N/A</v>
      </c>
      <c r="T55" s="624"/>
      <c r="U55" s="520"/>
      <c r="V55" s="521"/>
      <c r="W55" s="521"/>
      <c r="X55" s="514" t="e">
        <f t="shared" si="41"/>
        <v>#N/A</v>
      </c>
      <c r="Y55" s="624"/>
      <c r="Z55" s="520"/>
      <c r="AA55" s="521"/>
      <c r="AB55" s="521"/>
      <c r="AC55" s="514" t="e">
        <f t="shared" si="43"/>
        <v>#N/A</v>
      </c>
      <c r="AD55" s="624"/>
      <c r="AE55" s="520"/>
      <c r="AF55" s="521"/>
      <c r="AG55" s="521"/>
      <c r="AH55" s="514" t="e">
        <f t="shared" si="45"/>
        <v>#N/A</v>
      </c>
      <c r="AI55" s="624"/>
      <c r="AJ55" s="520"/>
      <c r="AK55" s="521"/>
      <c r="AL55" s="521"/>
      <c r="AM55" s="514" t="e">
        <f t="shared" si="47"/>
        <v>#N/A</v>
      </c>
      <c r="AN55" s="624"/>
      <c r="AO55" s="520"/>
      <c r="AP55" s="521"/>
      <c r="AQ55" s="521"/>
      <c r="AR55" s="514" t="e">
        <f t="shared" si="49"/>
        <v>#N/A</v>
      </c>
      <c r="AS55" s="624"/>
      <c r="AT55" s="520"/>
      <c r="AU55" s="521"/>
      <c r="AV55" s="521"/>
      <c r="AW55" s="514" t="e">
        <f t="shared" si="51"/>
        <v>#N/A</v>
      </c>
      <c r="AX55" s="624"/>
      <c r="AZ55" s="524" t="e">
        <f t="shared" si="53"/>
        <v>#N/A</v>
      </c>
      <c r="BA55" s="624"/>
    </row>
    <row r="56" spans="2:53">
      <c r="B56" s="622"/>
      <c r="C56" s="306">
        <v>10</v>
      </c>
      <c r="D56" s="456"/>
      <c r="E56" s="521"/>
      <c r="F56" s="521"/>
      <c r="G56" s="521"/>
      <c r="H56" s="664"/>
      <c r="I56" s="516" t="str">
        <f t="shared" si="38"/>
        <v>-</v>
      </c>
      <c r="J56" s="516" t="str">
        <f t="shared" si="39"/>
        <v>-</v>
      </c>
      <c r="K56" s="200" t="str">
        <f t="shared" si="40"/>
        <v>-</v>
      </c>
      <c r="L56" s="596"/>
      <c r="M56" s="201" t="e">
        <f>RANK(K56, K$47:$K$61)</f>
        <v>#VALUE!</v>
      </c>
      <c r="N56" s="614"/>
      <c r="O56" s="614"/>
      <c r="P56" s="520"/>
      <c r="Q56" s="521"/>
      <c r="R56" s="521"/>
      <c r="S56" s="514" t="e">
        <f t="shared" si="55"/>
        <v>#N/A</v>
      </c>
      <c r="T56" s="624"/>
      <c r="U56" s="520"/>
      <c r="V56" s="521"/>
      <c r="W56" s="521"/>
      <c r="X56" s="514" t="e">
        <f t="shared" si="41"/>
        <v>#N/A</v>
      </c>
      <c r="Y56" s="624"/>
      <c r="Z56" s="520"/>
      <c r="AA56" s="521"/>
      <c r="AB56" s="521"/>
      <c r="AC56" s="514" t="e">
        <f t="shared" si="43"/>
        <v>#N/A</v>
      </c>
      <c r="AD56" s="624"/>
      <c r="AE56" s="520"/>
      <c r="AF56" s="521"/>
      <c r="AG56" s="521"/>
      <c r="AH56" s="514" t="e">
        <f t="shared" si="45"/>
        <v>#N/A</v>
      </c>
      <c r="AI56" s="624"/>
      <c r="AJ56" s="520"/>
      <c r="AK56" s="521"/>
      <c r="AL56" s="521"/>
      <c r="AM56" s="514" t="e">
        <f t="shared" si="47"/>
        <v>#N/A</v>
      </c>
      <c r="AN56" s="624"/>
      <c r="AO56" s="520"/>
      <c r="AP56" s="521"/>
      <c r="AQ56" s="521"/>
      <c r="AR56" s="514" t="e">
        <f t="shared" si="49"/>
        <v>#N/A</v>
      </c>
      <c r="AS56" s="624"/>
      <c r="AT56" s="520"/>
      <c r="AU56" s="521"/>
      <c r="AV56" s="521"/>
      <c r="AW56" s="514" t="e">
        <f t="shared" si="51"/>
        <v>#N/A</v>
      </c>
      <c r="AX56" s="624"/>
      <c r="AZ56" s="524" t="e">
        <f t="shared" si="53"/>
        <v>#N/A</v>
      </c>
      <c r="BA56" s="624"/>
    </row>
    <row r="57" spans="2:53">
      <c r="B57" s="622"/>
      <c r="C57" s="306">
        <v>11</v>
      </c>
      <c r="D57" s="456"/>
      <c r="E57" s="521"/>
      <c r="F57" s="521"/>
      <c r="G57" s="521"/>
      <c r="H57" s="664"/>
      <c r="I57" s="516" t="str">
        <f t="shared" si="38"/>
        <v>-</v>
      </c>
      <c r="J57" s="516" t="str">
        <f t="shared" si="39"/>
        <v>-</v>
      </c>
      <c r="K57" s="200" t="str">
        <f t="shared" si="40"/>
        <v>-</v>
      </c>
      <c r="L57" s="596"/>
      <c r="M57" s="201" t="e">
        <f>RANK(K57, K$47:$K$61)</f>
        <v>#VALUE!</v>
      </c>
      <c r="N57" s="614"/>
      <c r="O57" s="614"/>
      <c r="P57" s="520"/>
      <c r="Q57" s="521"/>
      <c r="R57" s="521"/>
      <c r="S57" s="514" t="e">
        <f t="shared" si="55"/>
        <v>#N/A</v>
      </c>
      <c r="T57" s="624"/>
      <c r="U57" s="520"/>
      <c r="V57" s="521"/>
      <c r="W57" s="521"/>
      <c r="X57" s="514" t="e">
        <f t="shared" si="41"/>
        <v>#N/A</v>
      </c>
      <c r="Y57" s="624"/>
      <c r="Z57" s="520"/>
      <c r="AA57" s="521"/>
      <c r="AB57" s="521"/>
      <c r="AC57" s="514" t="e">
        <f t="shared" si="43"/>
        <v>#N/A</v>
      </c>
      <c r="AD57" s="624"/>
      <c r="AE57" s="520"/>
      <c r="AF57" s="521"/>
      <c r="AG57" s="521"/>
      <c r="AH57" s="514" t="e">
        <f t="shared" si="45"/>
        <v>#N/A</v>
      </c>
      <c r="AI57" s="624"/>
      <c r="AJ57" s="520"/>
      <c r="AK57" s="521"/>
      <c r="AL57" s="521"/>
      <c r="AM57" s="514" t="e">
        <f t="shared" si="47"/>
        <v>#N/A</v>
      </c>
      <c r="AN57" s="624"/>
      <c r="AO57" s="520"/>
      <c r="AP57" s="521"/>
      <c r="AQ57" s="521"/>
      <c r="AR57" s="514" t="e">
        <f t="shared" si="49"/>
        <v>#N/A</v>
      </c>
      <c r="AS57" s="624"/>
      <c r="AT57" s="520"/>
      <c r="AU57" s="521"/>
      <c r="AV57" s="521"/>
      <c r="AW57" s="514" t="e">
        <f t="shared" si="51"/>
        <v>#N/A</v>
      </c>
      <c r="AX57" s="624"/>
      <c r="AZ57" s="524" t="e">
        <f t="shared" si="53"/>
        <v>#N/A</v>
      </c>
      <c r="BA57" s="624"/>
    </row>
    <row r="58" spans="2:53">
      <c r="B58" s="622"/>
      <c r="C58" s="306">
        <v>12</v>
      </c>
      <c r="D58" s="456"/>
      <c r="E58" s="521"/>
      <c r="F58" s="521"/>
      <c r="G58" s="521"/>
      <c r="H58" s="664"/>
      <c r="I58" s="516" t="str">
        <f t="shared" si="38"/>
        <v>-</v>
      </c>
      <c r="J58" s="516" t="str">
        <f t="shared" si="39"/>
        <v>-</v>
      </c>
      <c r="K58" s="200" t="str">
        <f t="shared" si="40"/>
        <v>-</v>
      </c>
      <c r="L58" s="596"/>
      <c r="M58" s="201" t="e">
        <f>RANK(K58, K$47:$K$61)</f>
        <v>#VALUE!</v>
      </c>
      <c r="N58" s="614"/>
      <c r="O58" s="614"/>
      <c r="P58" s="520"/>
      <c r="Q58" s="521"/>
      <c r="R58" s="521"/>
      <c r="S58" s="514" t="e">
        <f t="shared" si="55"/>
        <v>#N/A</v>
      </c>
      <c r="T58" s="624"/>
      <c r="U58" s="520"/>
      <c r="V58" s="521"/>
      <c r="W58" s="521"/>
      <c r="X58" s="514" t="e">
        <f t="shared" si="41"/>
        <v>#N/A</v>
      </c>
      <c r="Y58" s="624"/>
      <c r="Z58" s="520"/>
      <c r="AA58" s="521"/>
      <c r="AB58" s="521"/>
      <c r="AC58" s="514" t="e">
        <f t="shared" si="43"/>
        <v>#N/A</v>
      </c>
      <c r="AD58" s="624"/>
      <c r="AE58" s="520"/>
      <c r="AF58" s="521"/>
      <c r="AG58" s="521"/>
      <c r="AH58" s="514" t="e">
        <f t="shared" si="45"/>
        <v>#N/A</v>
      </c>
      <c r="AI58" s="624"/>
      <c r="AJ58" s="520"/>
      <c r="AK58" s="521"/>
      <c r="AL58" s="521"/>
      <c r="AM58" s="514" t="e">
        <f t="shared" si="47"/>
        <v>#N/A</v>
      </c>
      <c r="AN58" s="624"/>
      <c r="AO58" s="520"/>
      <c r="AP58" s="521"/>
      <c r="AQ58" s="521"/>
      <c r="AR58" s="514" t="e">
        <f t="shared" si="49"/>
        <v>#N/A</v>
      </c>
      <c r="AS58" s="624"/>
      <c r="AT58" s="520"/>
      <c r="AU58" s="521"/>
      <c r="AV58" s="521"/>
      <c r="AW58" s="514" t="e">
        <f t="shared" si="51"/>
        <v>#N/A</v>
      </c>
      <c r="AX58" s="624"/>
      <c r="AZ58" s="524" t="e">
        <f t="shared" si="53"/>
        <v>#N/A</v>
      </c>
      <c r="BA58" s="624"/>
    </row>
    <row r="59" spans="2:53">
      <c r="B59" s="622"/>
      <c r="C59" s="306">
        <v>13</v>
      </c>
      <c r="D59" s="456"/>
      <c r="E59" s="521"/>
      <c r="F59" s="521"/>
      <c r="G59" s="521"/>
      <c r="H59" s="664"/>
      <c r="I59" s="516" t="str">
        <f t="shared" si="38"/>
        <v>-</v>
      </c>
      <c r="J59" s="516" t="str">
        <f t="shared" si="39"/>
        <v>-</v>
      </c>
      <c r="K59" s="200" t="str">
        <f t="shared" si="40"/>
        <v>-</v>
      </c>
      <c r="L59" s="596"/>
      <c r="M59" s="201" t="e">
        <f>RANK(K59, K$47:$K$61)</f>
        <v>#VALUE!</v>
      </c>
      <c r="N59" s="614"/>
      <c r="O59" s="614"/>
      <c r="P59" s="520"/>
      <c r="Q59" s="521"/>
      <c r="R59" s="521"/>
      <c r="S59" s="514" t="e">
        <f t="shared" si="55"/>
        <v>#N/A</v>
      </c>
      <c r="T59" s="624"/>
      <c r="U59" s="520"/>
      <c r="V59" s="521"/>
      <c r="W59" s="521"/>
      <c r="X59" s="514" t="e">
        <f t="shared" si="41"/>
        <v>#N/A</v>
      </c>
      <c r="Y59" s="624"/>
      <c r="Z59" s="520"/>
      <c r="AA59" s="521"/>
      <c r="AB59" s="521"/>
      <c r="AC59" s="514" t="e">
        <f t="shared" si="43"/>
        <v>#N/A</v>
      </c>
      <c r="AD59" s="624"/>
      <c r="AE59" s="520"/>
      <c r="AF59" s="521"/>
      <c r="AG59" s="521"/>
      <c r="AH59" s="514" t="e">
        <f t="shared" si="45"/>
        <v>#N/A</v>
      </c>
      <c r="AI59" s="624"/>
      <c r="AJ59" s="520"/>
      <c r="AK59" s="521"/>
      <c r="AL59" s="521"/>
      <c r="AM59" s="514" t="e">
        <f t="shared" si="47"/>
        <v>#N/A</v>
      </c>
      <c r="AN59" s="624"/>
      <c r="AO59" s="520"/>
      <c r="AP59" s="521"/>
      <c r="AQ59" s="521"/>
      <c r="AR59" s="514" t="e">
        <f t="shared" si="49"/>
        <v>#N/A</v>
      </c>
      <c r="AS59" s="624"/>
      <c r="AT59" s="520"/>
      <c r="AU59" s="521"/>
      <c r="AV59" s="521"/>
      <c r="AW59" s="514" t="e">
        <f t="shared" si="51"/>
        <v>#N/A</v>
      </c>
      <c r="AX59" s="624"/>
      <c r="AZ59" s="524" t="e">
        <f t="shared" si="53"/>
        <v>#N/A</v>
      </c>
      <c r="BA59" s="624"/>
    </row>
    <row r="60" spans="2:53">
      <c r="B60" s="622"/>
      <c r="C60" s="306">
        <v>14</v>
      </c>
      <c r="D60" s="456"/>
      <c r="E60" s="521"/>
      <c r="F60" s="521"/>
      <c r="G60" s="521"/>
      <c r="H60" s="664"/>
      <c r="I60" s="516" t="str">
        <f t="shared" si="38"/>
        <v>-</v>
      </c>
      <c r="J60" s="516" t="str">
        <f t="shared" si="39"/>
        <v>-</v>
      </c>
      <c r="K60" s="200" t="str">
        <f t="shared" si="40"/>
        <v>-</v>
      </c>
      <c r="L60" s="596"/>
      <c r="M60" s="201" t="e">
        <f>RANK(K60, K$47:$K$61)</f>
        <v>#VALUE!</v>
      </c>
      <c r="N60" s="614"/>
      <c r="O60" s="614"/>
      <c r="P60" s="520"/>
      <c r="Q60" s="521"/>
      <c r="R60" s="521"/>
      <c r="S60" s="514" t="e">
        <f t="shared" si="55"/>
        <v>#N/A</v>
      </c>
      <c r="T60" s="624"/>
      <c r="U60" s="520"/>
      <c r="V60" s="521"/>
      <c r="W60" s="521"/>
      <c r="X60" s="514" t="e">
        <f t="shared" si="41"/>
        <v>#N/A</v>
      </c>
      <c r="Y60" s="624"/>
      <c r="Z60" s="520"/>
      <c r="AA60" s="521"/>
      <c r="AB60" s="521"/>
      <c r="AC60" s="514" t="e">
        <f t="shared" si="43"/>
        <v>#N/A</v>
      </c>
      <c r="AD60" s="624"/>
      <c r="AE60" s="520"/>
      <c r="AF60" s="521"/>
      <c r="AG60" s="521"/>
      <c r="AH60" s="514" t="e">
        <f t="shared" si="45"/>
        <v>#N/A</v>
      </c>
      <c r="AI60" s="624"/>
      <c r="AJ60" s="520"/>
      <c r="AK60" s="521"/>
      <c r="AL60" s="521"/>
      <c r="AM60" s="514" t="e">
        <f t="shared" si="47"/>
        <v>#N/A</v>
      </c>
      <c r="AN60" s="624"/>
      <c r="AO60" s="520"/>
      <c r="AP60" s="521"/>
      <c r="AQ60" s="521"/>
      <c r="AR60" s="514" t="e">
        <f t="shared" si="49"/>
        <v>#N/A</v>
      </c>
      <c r="AS60" s="624"/>
      <c r="AT60" s="520"/>
      <c r="AU60" s="521"/>
      <c r="AV60" s="521"/>
      <c r="AW60" s="514" t="e">
        <f t="shared" si="51"/>
        <v>#N/A</v>
      </c>
      <c r="AX60" s="624"/>
      <c r="AZ60" s="524" t="e">
        <f t="shared" si="53"/>
        <v>#N/A</v>
      </c>
      <c r="BA60" s="624"/>
    </row>
    <row r="61" spans="2:53">
      <c r="B61" s="622"/>
      <c r="C61" s="306">
        <v>15</v>
      </c>
      <c r="D61" s="456"/>
      <c r="E61" s="521"/>
      <c r="F61" s="521"/>
      <c r="G61" s="521"/>
      <c r="H61" s="665"/>
      <c r="I61" s="521"/>
      <c r="J61" s="521"/>
      <c r="K61" s="517"/>
      <c r="L61" s="597"/>
      <c r="M61" s="201" t="e">
        <f>RANK(K61, K$47:$K$61)</f>
        <v>#N/A</v>
      </c>
      <c r="N61" s="614"/>
      <c r="O61" s="614"/>
      <c r="P61" s="520"/>
      <c r="Q61" s="521"/>
      <c r="R61" s="521"/>
      <c r="S61" s="514" t="e">
        <f t="shared" si="55"/>
        <v>#N/A</v>
      </c>
      <c r="T61" s="625"/>
      <c r="U61" s="520"/>
      <c r="V61" s="521"/>
      <c r="W61" s="521"/>
      <c r="X61" s="514" t="e">
        <f t="shared" si="41"/>
        <v>#N/A</v>
      </c>
      <c r="Y61" s="625"/>
      <c r="Z61" s="520"/>
      <c r="AA61" s="521"/>
      <c r="AB61" s="521"/>
      <c r="AC61" s="514" t="e">
        <f t="shared" si="43"/>
        <v>#N/A</v>
      </c>
      <c r="AD61" s="625"/>
      <c r="AE61" s="520"/>
      <c r="AF61" s="521"/>
      <c r="AG61" s="521"/>
      <c r="AH61" s="514" t="e">
        <f t="shared" si="45"/>
        <v>#N/A</v>
      </c>
      <c r="AI61" s="625"/>
      <c r="AJ61" s="520"/>
      <c r="AK61" s="521"/>
      <c r="AL61" s="521"/>
      <c r="AM61" s="514" t="e">
        <f t="shared" si="47"/>
        <v>#N/A</v>
      </c>
      <c r="AN61" s="625"/>
      <c r="AO61" s="520"/>
      <c r="AP61" s="521"/>
      <c r="AQ61" s="521"/>
      <c r="AR61" s="514" t="e">
        <f t="shared" si="49"/>
        <v>#N/A</v>
      </c>
      <c r="AS61" s="625"/>
      <c r="AT61" s="520"/>
      <c r="AU61" s="521"/>
      <c r="AV61" s="521"/>
      <c r="AW61" s="514" t="e">
        <f t="shared" si="51"/>
        <v>#N/A</v>
      </c>
      <c r="AX61" s="625"/>
      <c r="AZ61" s="524" t="e">
        <f t="shared" si="53"/>
        <v>#N/A</v>
      </c>
      <c r="BA61" s="625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398</v>
      </c>
      <c r="C64" s="614" t="s">
        <v>408</v>
      </c>
      <c r="D64" s="614"/>
      <c r="E64" s="614" t="s">
        <v>399</v>
      </c>
      <c r="F64" s="614"/>
      <c r="G64" s="614"/>
      <c r="H64" s="630" t="s">
        <v>395</v>
      </c>
      <c r="I64" s="598" t="s">
        <v>400</v>
      </c>
      <c r="J64" s="598"/>
      <c r="K64" s="598"/>
      <c r="L64" s="599" t="s">
        <v>395</v>
      </c>
      <c r="M64" s="605" t="s">
        <v>396</v>
      </c>
      <c r="N64" s="614"/>
      <c r="O64" s="614" t="s">
        <v>401</v>
      </c>
      <c r="P64" s="611" t="s">
        <v>397</v>
      </c>
      <c r="Q64" s="612"/>
      <c r="R64" s="612"/>
      <c r="S64" s="613"/>
      <c r="T64" s="614" t="s">
        <v>395</v>
      </c>
      <c r="U64" s="611" t="s">
        <v>397</v>
      </c>
      <c r="V64" s="612"/>
      <c r="W64" s="612"/>
      <c r="X64" s="613"/>
      <c r="Y64" s="614" t="s">
        <v>395</v>
      </c>
      <c r="Z64" s="611" t="s">
        <v>397</v>
      </c>
      <c r="AA64" s="612"/>
      <c r="AB64" s="612"/>
      <c r="AC64" s="613"/>
      <c r="AD64" s="614" t="s">
        <v>395</v>
      </c>
      <c r="AE64" s="611" t="s">
        <v>397</v>
      </c>
      <c r="AF64" s="612"/>
      <c r="AG64" s="612"/>
      <c r="AH64" s="613"/>
      <c r="AI64" s="614" t="s">
        <v>395</v>
      </c>
      <c r="AJ64" s="611" t="s">
        <v>397</v>
      </c>
      <c r="AK64" s="612"/>
      <c r="AL64" s="612"/>
      <c r="AM64" s="613"/>
      <c r="AN64" s="614" t="s">
        <v>395</v>
      </c>
      <c r="AO64" s="611" t="s">
        <v>397</v>
      </c>
      <c r="AP64" s="612"/>
      <c r="AQ64" s="612"/>
      <c r="AR64" s="613"/>
      <c r="AS64" s="614" t="s">
        <v>395</v>
      </c>
      <c r="AT64" s="611" t="s">
        <v>397</v>
      </c>
      <c r="AU64" s="612"/>
      <c r="AV64" s="612"/>
      <c r="AW64" s="613"/>
      <c r="AX64" s="614" t="s">
        <v>395</v>
      </c>
      <c r="BA64" s="614" t="s">
        <v>395</v>
      </c>
    </row>
    <row r="65" spans="2:53">
      <c r="B65" s="614"/>
      <c r="C65" s="614"/>
      <c r="D65" s="614"/>
      <c r="E65" s="614" t="s">
        <v>402</v>
      </c>
      <c r="F65" s="614"/>
      <c r="G65" s="614"/>
      <c r="H65" s="631"/>
      <c r="I65" s="598" t="s">
        <v>402</v>
      </c>
      <c r="J65" s="598"/>
      <c r="K65" s="598"/>
      <c r="L65" s="600"/>
      <c r="M65" s="606"/>
      <c r="N65" s="614"/>
      <c r="O65" s="614"/>
      <c r="P65" s="611" t="s">
        <v>403</v>
      </c>
      <c r="Q65" s="612"/>
      <c r="R65" s="612"/>
      <c r="S65" s="613"/>
      <c r="T65" s="614"/>
      <c r="U65" s="611" t="s">
        <v>403</v>
      </c>
      <c r="V65" s="612"/>
      <c r="W65" s="612"/>
      <c r="X65" s="613"/>
      <c r="Y65" s="614"/>
      <c r="Z65" s="611" t="s">
        <v>403</v>
      </c>
      <c r="AA65" s="612"/>
      <c r="AB65" s="612"/>
      <c r="AC65" s="613"/>
      <c r="AD65" s="614"/>
      <c r="AE65" s="611" t="s">
        <v>403</v>
      </c>
      <c r="AF65" s="612"/>
      <c r="AG65" s="612"/>
      <c r="AH65" s="613"/>
      <c r="AI65" s="614"/>
      <c r="AJ65" s="611" t="s">
        <v>403</v>
      </c>
      <c r="AK65" s="612"/>
      <c r="AL65" s="612"/>
      <c r="AM65" s="613"/>
      <c r="AN65" s="614"/>
      <c r="AO65" s="611" t="s">
        <v>403</v>
      </c>
      <c r="AP65" s="612"/>
      <c r="AQ65" s="612"/>
      <c r="AR65" s="613"/>
      <c r="AS65" s="614"/>
      <c r="AT65" s="611" t="s">
        <v>403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404</v>
      </c>
      <c r="F66" s="305" t="s">
        <v>405</v>
      </c>
      <c r="G66" s="305" t="s">
        <v>406</v>
      </c>
      <c r="H66" s="632"/>
      <c r="I66" s="304" t="s">
        <v>404</v>
      </c>
      <c r="J66" s="304" t="s">
        <v>405</v>
      </c>
      <c r="K66" s="304" t="s">
        <v>406</v>
      </c>
      <c r="L66" s="601"/>
      <c r="M66" s="607"/>
      <c r="N66" s="614"/>
      <c r="O66" s="614"/>
      <c r="P66" s="305" t="s">
        <v>404</v>
      </c>
      <c r="Q66" s="305" t="s">
        <v>405</v>
      </c>
      <c r="R66" s="305" t="s">
        <v>406</v>
      </c>
      <c r="S66" s="305" t="s">
        <v>396</v>
      </c>
      <c r="T66" s="614"/>
      <c r="U66" s="305" t="s">
        <v>404</v>
      </c>
      <c r="V66" s="305" t="s">
        <v>405</v>
      </c>
      <c r="W66" s="305" t="s">
        <v>406</v>
      </c>
      <c r="X66" s="305" t="s">
        <v>396</v>
      </c>
      <c r="Y66" s="614"/>
      <c r="Z66" s="305" t="s">
        <v>404</v>
      </c>
      <c r="AA66" s="305" t="s">
        <v>405</v>
      </c>
      <c r="AB66" s="305" t="s">
        <v>406</v>
      </c>
      <c r="AC66" s="305" t="s">
        <v>396</v>
      </c>
      <c r="AD66" s="614"/>
      <c r="AE66" s="305" t="s">
        <v>404</v>
      </c>
      <c r="AF66" s="305" t="s">
        <v>405</v>
      </c>
      <c r="AG66" s="305" t="s">
        <v>406</v>
      </c>
      <c r="AH66" s="305" t="s">
        <v>396</v>
      </c>
      <c r="AI66" s="614"/>
      <c r="AJ66" s="305" t="s">
        <v>404</v>
      </c>
      <c r="AK66" s="305" t="s">
        <v>405</v>
      </c>
      <c r="AL66" s="305" t="s">
        <v>406</v>
      </c>
      <c r="AM66" s="305" t="s">
        <v>396</v>
      </c>
      <c r="AN66" s="614"/>
      <c r="AO66" s="305" t="s">
        <v>404</v>
      </c>
      <c r="AP66" s="305" t="s">
        <v>405</v>
      </c>
      <c r="AQ66" s="305" t="s">
        <v>406</v>
      </c>
      <c r="AR66" s="305" t="s">
        <v>396</v>
      </c>
      <c r="AS66" s="614"/>
      <c r="AT66" s="305" t="s">
        <v>404</v>
      </c>
      <c r="AU66" s="305" t="s">
        <v>405</v>
      </c>
      <c r="AV66" s="305" t="s">
        <v>406</v>
      </c>
      <c r="AW66" s="305" t="s">
        <v>396</v>
      </c>
      <c r="AX66" s="614"/>
      <c r="AZ66" s="523" t="s">
        <v>396</v>
      </c>
      <c r="BA66" s="614"/>
    </row>
    <row r="67" spans="2:53">
      <c r="B67" s="662" t="s">
        <v>407</v>
      </c>
      <c r="C67" s="306">
        <v>1</v>
      </c>
      <c r="D67" s="456"/>
      <c r="E67" s="521"/>
      <c r="F67" s="521"/>
      <c r="G67" s="521"/>
      <c r="H67" s="663" t="e">
        <f>AVERAGE(G67:G81)</f>
        <v>#DIV/0!</v>
      </c>
      <c r="I67" s="516" t="str">
        <f t="shared" ref="I67:I80" si="56">IFERROR(AVERAGE(P67,U67,Z67,AE67,AJ67,AO67,AT67),"-")</f>
        <v>-</v>
      </c>
      <c r="J67" s="516" t="str">
        <f t="shared" ref="J67:J80" si="57">IFERROR(AVERAGE(Q67,V67,AA67,AF67,AK67,AP67,AU67),"-")</f>
        <v>-</v>
      </c>
      <c r="K67" s="200" t="str">
        <f t="shared" ref="K67:K80" si="58">IFERROR(AVERAGE(R67,W67,AB67,AG67,AL67,AQ67,AV67),"-")</f>
        <v>-</v>
      </c>
      <c r="L67" s="595" t="str">
        <f>IFERROR(AVERAGE(K67:K81),"-")</f>
        <v>-</v>
      </c>
      <c r="M67" s="201" t="e">
        <f>RANK(K67, K$67:$K$81)</f>
        <v>#VALUE!</v>
      </c>
      <c r="N67" s="614"/>
      <c r="O67" s="614"/>
      <c r="P67" s="520"/>
      <c r="Q67" s="521"/>
      <c r="R67" s="521"/>
      <c r="S67" s="514" t="e">
        <f>RANK(R67, R$67:R$81)</f>
        <v>#N/A</v>
      </c>
      <c r="T67" s="623" t="e">
        <f>AVERAGE(R67:R81)</f>
        <v>#DIV/0!</v>
      </c>
      <c r="U67" s="520"/>
      <c r="V67" s="521"/>
      <c r="W67" s="521"/>
      <c r="X67" s="514" t="e">
        <f t="shared" ref="X67:X81" si="59">RANK(W67, W$67:W$81)</f>
        <v>#N/A</v>
      </c>
      <c r="Y67" s="623" t="e">
        <f t="shared" ref="Y67" si="60">AVERAGE(W67:W81)</f>
        <v>#DIV/0!</v>
      </c>
      <c r="Z67" s="520"/>
      <c r="AA67" s="521"/>
      <c r="AB67" s="521"/>
      <c r="AC67" s="514" t="e">
        <f t="shared" ref="AC67:AC81" si="61">RANK(AB67, AB$67:AB$81)</f>
        <v>#N/A</v>
      </c>
      <c r="AD67" s="623" t="e">
        <f t="shared" ref="AD67" si="62">AVERAGE(AB67:AB81)</f>
        <v>#DIV/0!</v>
      </c>
      <c r="AE67" s="520"/>
      <c r="AF67" s="521"/>
      <c r="AG67" s="521"/>
      <c r="AH67" s="514" t="e">
        <f t="shared" ref="AH67:AH81" si="63">RANK(AG67, AG$67:AG$81)</f>
        <v>#N/A</v>
      </c>
      <c r="AI67" s="623" t="e">
        <f t="shared" ref="AI67" si="64">AVERAGE(AG67:AG81)</f>
        <v>#DIV/0!</v>
      </c>
      <c r="AJ67" s="520"/>
      <c r="AK67" s="521"/>
      <c r="AL67" s="521"/>
      <c r="AM67" s="514" t="e">
        <f t="shared" ref="AM67:AM81" si="65">RANK(AL67, AL$67:AL$81)</f>
        <v>#N/A</v>
      </c>
      <c r="AN67" s="623" t="e">
        <f t="shared" ref="AN67" si="66">AVERAGE(AL67:AL81)</f>
        <v>#DIV/0!</v>
      </c>
      <c r="AO67" s="520"/>
      <c r="AP67" s="521"/>
      <c r="AQ67" s="521"/>
      <c r="AR67" s="514" t="e">
        <f t="shared" ref="AR67:AR81" si="67">RANK(AQ67, AQ$67:AQ$81)</f>
        <v>#N/A</v>
      </c>
      <c r="AS67" s="623" t="e">
        <f t="shared" ref="AS67" si="68">AVERAGE(AQ67:AQ81)</f>
        <v>#DIV/0!</v>
      </c>
      <c r="AT67" s="520"/>
      <c r="AU67" s="521"/>
      <c r="AV67" s="521"/>
      <c r="AW67" s="514" t="e">
        <f t="shared" ref="AW67:AW81" si="69">RANK(AV67, AV$67:AV$81)</f>
        <v>#N/A</v>
      </c>
      <c r="AX67" s="623" t="e">
        <f t="shared" ref="AX67" si="70">AVERAGE(AV67:AV81)</f>
        <v>#DIV/0!</v>
      </c>
      <c r="AZ67" s="524" t="e">
        <f t="shared" ref="AZ67:AZ81" si="71">RANK(AY67, AY$67:AY$81)</f>
        <v>#N/A</v>
      </c>
      <c r="BA67" s="623" t="e">
        <f t="shared" ref="BA67" si="72">AVERAGE(AY67:AY81)</f>
        <v>#DIV/0!</v>
      </c>
    </row>
    <row r="68" spans="2:53">
      <c r="B68" s="622"/>
      <c r="C68" s="306">
        <v>2</v>
      </c>
      <c r="D68" s="456"/>
      <c r="E68" s="521"/>
      <c r="F68" s="521"/>
      <c r="G68" s="521"/>
      <c r="H68" s="664"/>
      <c r="I68" s="516" t="str">
        <f t="shared" si="56"/>
        <v>-</v>
      </c>
      <c r="J68" s="516" t="str">
        <f t="shared" si="57"/>
        <v>-</v>
      </c>
      <c r="K68" s="200" t="str">
        <f t="shared" si="58"/>
        <v>-</v>
      </c>
      <c r="L68" s="596"/>
      <c r="M68" s="201" t="e">
        <f>RANK(K68, K$67:$K$81)</f>
        <v>#VALUE!</v>
      </c>
      <c r="N68" s="614"/>
      <c r="O68" s="614"/>
      <c r="P68" s="520"/>
      <c r="Q68" s="521"/>
      <c r="R68" s="521"/>
      <c r="S68" s="514" t="e">
        <f t="shared" ref="S68:S81" si="73">RANK(R68, R$67:R$81)</f>
        <v>#N/A</v>
      </c>
      <c r="T68" s="624"/>
      <c r="U68" s="520"/>
      <c r="V68" s="521"/>
      <c r="W68" s="521"/>
      <c r="X68" s="514" t="e">
        <f t="shared" si="59"/>
        <v>#N/A</v>
      </c>
      <c r="Y68" s="624"/>
      <c r="Z68" s="520"/>
      <c r="AA68" s="521"/>
      <c r="AB68" s="521"/>
      <c r="AC68" s="514" t="e">
        <f t="shared" si="61"/>
        <v>#N/A</v>
      </c>
      <c r="AD68" s="624"/>
      <c r="AE68" s="520"/>
      <c r="AF68" s="521"/>
      <c r="AG68" s="521"/>
      <c r="AH68" s="514" t="e">
        <f t="shared" si="63"/>
        <v>#N/A</v>
      </c>
      <c r="AI68" s="624"/>
      <c r="AJ68" s="520"/>
      <c r="AK68" s="521"/>
      <c r="AL68" s="521"/>
      <c r="AM68" s="514" t="e">
        <f t="shared" si="65"/>
        <v>#N/A</v>
      </c>
      <c r="AN68" s="624"/>
      <c r="AO68" s="520"/>
      <c r="AP68" s="521"/>
      <c r="AQ68" s="521"/>
      <c r="AR68" s="514" t="e">
        <f t="shared" si="67"/>
        <v>#N/A</v>
      </c>
      <c r="AS68" s="624"/>
      <c r="AT68" s="520"/>
      <c r="AU68" s="521"/>
      <c r="AV68" s="521"/>
      <c r="AW68" s="514" t="e">
        <f t="shared" si="69"/>
        <v>#N/A</v>
      </c>
      <c r="AX68" s="624"/>
      <c r="AZ68" s="524" t="e">
        <f t="shared" si="71"/>
        <v>#N/A</v>
      </c>
      <c r="BA68" s="624"/>
    </row>
    <row r="69" spans="2:53">
      <c r="B69" s="622"/>
      <c r="C69" s="306">
        <v>3</v>
      </c>
      <c r="D69" s="456"/>
      <c r="E69" s="521"/>
      <c r="F69" s="521"/>
      <c r="G69" s="521"/>
      <c r="H69" s="664"/>
      <c r="I69" s="516" t="str">
        <f t="shared" si="56"/>
        <v>-</v>
      </c>
      <c r="J69" s="516" t="str">
        <f t="shared" si="57"/>
        <v>-</v>
      </c>
      <c r="K69" s="200" t="str">
        <f t="shared" si="58"/>
        <v>-</v>
      </c>
      <c r="L69" s="596"/>
      <c r="M69" s="201" t="e">
        <f>RANK(K69, K$67:$K$81)</f>
        <v>#VALUE!</v>
      </c>
      <c r="N69" s="614"/>
      <c r="O69" s="614"/>
      <c r="P69" s="520"/>
      <c r="Q69" s="521"/>
      <c r="R69" s="521"/>
      <c r="S69" s="514" t="e">
        <f t="shared" si="73"/>
        <v>#N/A</v>
      </c>
      <c r="T69" s="624"/>
      <c r="U69" s="520"/>
      <c r="V69" s="521"/>
      <c r="W69" s="521"/>
      <c r="X69" s="514" t="e">
        <f t="shared" si="59"/>
        <v>#N/A</v>
      </c>
      <c r="Y69" s="624"/>
      <c r="Z69" s="520"/>
      <c r="AA69" s="521"/>
      <c r="AB69" s="521"/>
      <c r="AC69" s="514" t="e">
        <f t="shared" si="61"/>
        <v>#N/A</v>
      </c>
      <c r="AD69" s="624"/>
      <c r="AE69" s="520"/>
      <c r="AF69" s="521"/>
      <c r="AG69" s="521"/>
      <c r="AH69" s="514" t="e">
        <f t="shared" si="63"/>
        <v>#N/A</v>
      </c>
      <c r="AI69" s="624"/>
      <c r="AJ69" s="520"/>
      <c r="AK69" s="521"/>
      <c r="AL69" s="521"/>
      <c r="AM69" s="514" t="e">
        <f t="shared" si="65"/>
        <v>#N/A</v>
      </c>
      <c r="AN69" s="624"/>
      <c r="AO69" s="520"/>
      <c r="AP69" s="521"/>
      <c r="AQ69" s="521"/>
      <c r="AR69" s="514" t="e">
        <f t="shared" si="67"/>
        <v>#N/A</v>
      </c>
      <c r="AS69" s="624"/>
      <c r="AT69" s="520"/>
      <c r="AU69" s="521"/>
      <c r="AV69" s="521"/>
      <c r="AW69" s="514" t="e">
        <f t="shared" si="69"/>
        <v>#N/A</v>
      </c>
      <c r="AX69" s="624"/>
      <c r="AZ69" s="524" t="e">
        <f t="shared" si="71"/>
        <v>#N/A</v>
      </c>
      <c r="BA69" s="624"/>
    </row>
    <row r="70" spans="2:53">
      <c r="B70" s="622"/>
      <c r="C70" s="306">
        <v>4</v>
      </c>
      <c r="D70" s="456"/>
      <c r="E70" s="521"/>
      <c r="F70" s="521"/>
      <c r="G70" s="521"/>
      <c r="H70" s="664"/>
      <c r="I70" s="516" t="str">
        <f t="shared" si="56"/>
        <v>-</v>
      </c>
      <c r="J70" s="516" t="str">
        <f t="shared" si="57"/>
        <v>-</v>
      </c>
      <c r="K70" s="200" t="str">
        <f t="shared" si="58"/>
        <v>-</v>
      </c>
      <c r="L70" s="596"/>
      <c r="M70" s="201" t="e">
        <f>RANK(K70, K$67:$K$81)</f>
        <v>#VALUE!</v>
      </c>
      <c r="N70" s="614"/>
      <c r="O70" s="614"/>
      <c r="P70" s="520"/>
      <c r="Q70" s="521"/>
      <c r="R70" s="521"/>
      <c r="S70" s="514" t="e">
        <f t="shared" si="73"/>
        <v>#N/A</v>
      </c>
      <c r="T70" s="624"/>
      <c r="U70" s="520"/>
      <c r="V70" s="521"/>
      <c r="W70" s="521"/>
      <c r="X70" s="514" t="e">
        <f t="shared" si="59"/>
        <v>#N/A</v>
      </c>
      <c r="Y70" s="624"/>
      <c r="Z70" s="520"/>
      <c r="AA70" s="521"/>
      <c r="AB70" s="521"/>
      <c r="AC70" s="514" t="e">
        <f t="shared" si="61"/>
        <v>#N/A</v>
      </c>
      <c r="AD70" s="624"/>
      <c r="AE70" s="520"/>
      <c r="AF70" s="521"/>
      <c r="AG70" s="521"/>
      <c r="AH70" s="514" t="e">
        <f t="shared" si="63"/>
        <v>#N/A</v>
      </c>
      <c r="AI70" s="624"/>
      <c r="AJ70" s="520"/>
      <c r="AK70" s="521"/>
      <c r="AL70" s="521"/>
      <c r="AM70" s="514" t="e">
        <f t="shared" si="65"/>
        <v>#N/A</v>
      </c>
      <c r="AN70" s="624"/>
      <c r="AO70" s="520"/>
      <c r="AP70" s="521"/>
      <c r="AQ70" s="521"/>
      <c r="AR70" s="514" t="e">
        <f t="shared" si="67"/>
        <v>#N/A</v>
      </c>
      <c r="AS70" s="624"/>
      <c r="AT70" s="520"/>
      <c r="AU70" s="521"/>
      <c r="AV70" s="521"/>
      <c r="AW70" s="514" t="e">
        <f t="shared" si="69"/>
        <v>#N/A</v>
      </c>
      <c r="AX70" s="624"/>
      <c r="AZ70" s="524" t="e">
        <f t="shared" si="71"/>
        <v>#N/A</v>
      </c>
      <c r="BA70" s="624"/>
    </row>
    <row r="71" spans="2:53">
      <c r="B71" s="622"/>
      <c r="C71" s="306">
        <v>5</v>
      </c>
      <c r="D71" s="456"/>
      <c r="E71" s="521"/>
      <c r="F71" s="521"/>
      <c r="G71" s="521"/>
      <c r="H71" s="664"/>
      <c r="I71" s="516" t="str">
        <f t="shared" si="56"/>
        <v>-</v>
      </c>
      <c r="J71" s="516" t="str">
        <f t="shared" si="57"/>
        <v>-</v>
      </c>
      <c r="K71" s="200" t="str">
        <f t="shared" si="58"/>
        <v>-</v>
      </c>
      <c r="L71" s="596"/>
      <c r="M71" s="201" t="e">
        <f>RANK(K71, K$67:$K$81)</f>
        <v>#VALUE!</v>
      </c>
      <c r="N71" s="614"/>
      <c r="O71" s="614"/>
      <c r="P71" s="520"/>
      <c r="Q71" s="521"/>
      <c r="R71" s="521"/>
      <c r="S71" s="514" t="e">
        <f t="shared" si="73"/>
        <v>#N/A</v>
      </c>
      <c r="T71" s="624"/>
      <c r="U71" s="520"/>
      <c r="V71" s="521"/>
      <c r="W71" s="521"/>
      <c r="X71" s="514" t="e">
        <f t="shared" si="59"/>
        <v>#N/A</v>
      </c>
      <c r="Y71" s="624"/>
      <c r="Z71" s="520"/>
      <c r="AA71" s="521"/>
      <c r="AB71" s="521"/>
      <c r="AC71" s="514" t="e">
        <f t="shared" si="61"/>
        <v>#N/A</v>
      </c>
      <c r="AD71" s="624"/>
      <c r="AE71" s="520"/>
      <c r="AF71" s="521"/>
      <c r="AG71" s="521"/>
      <c r="AH71" s="514" t="e">
        <f t="shared" si="63"/>
        <v>#N/A</v>
      </c>
      <c r="AI71" s="624"/>
      <c r="AJ71" s="520"/>
      <c r="AK71" s="521"/>
      <c r="AL71" s="521"/>
      <c r="AM71" s="514" t="e">
        <f t="shared" si="65"/>
        <v>#N/A</v>
      </c>
      <c r="AN71" s="624"/>
      <c r="AO71" s="520"/>
      <c r="AP71" s="521"/>
      <c r="AQ71" s="521"/>
      <c r="AR71" s="514" t="e">
        <f t="shared" si="67"/>
        <v>#N/A</v>
      </c>
      <c r="AS71" s="624"/>
      <c r="AT71" s="520"/>
      <c r="AU71" s="521"/>
      <c r="AV71" s="521"/>
      <c r="AW71" s="514" t="e">
        <f t="shared" si="69"/>
        <v>#N/A</v>
      </c>
      <c r="AX71" s="624"/>
      <c r="AZ71" s="524" t="e">
        <f t="shared" si="71"/>
        <v>#N/A</v>
      </c>
      <c r="BA71" s="624"/>
    </row>
    <row r="72" spans="2:53">
      <c r="B72" s="622"/>
      <c r="C72" s="306">
        <v>6</v>
      </c>
      <c r="D72" s="456"/>
      <c r="E72" s="521"/>
      <c r="F72" s="521"/>
      <c r="G72" s="521"/>
      <c r="H72" s="664"/>
      <c r="I72" s="516" t="str">
        <f t="shared" si="56"/>
        <v>-</v>
      </c>
      <c r="J72" s="516" t="str">
        <f t="shared" si="57"/>
        <v>-</v>
      </c>
      <c r="K72" s="200" t="str">
        <f t="shared" si="58"/>
        <v>-</v>
      </c>
      <c r="L72" s="596"/>
      <c r="M72" s="201" t="e">
        <f>RANK(K72, K$67:$K$81)</f>
        <v>#VALUE!</v>
      </c>
      <c r="N72" s="614"/>
      <c r="O72" s="614"/>
      <c r="P72" s="520"/>
      <c r="Q72" s="521"/>
      <c r="R72" s="521"/>
      <c r="S72" s="514" t="e">
        <f t="shared" si="73"/>
        <v>#N/A</v>
      </c>
      <c r="T72" s="624"/>
      <c r="U72" s="520"/>
      <c r="V72" s="521"/>
      <c r="W72" s="521"/>
      <c r="X72" s="514" t="e">
        <f t="shared" si="59"/>
        <v>#N/A</v>
      </c>
      <c r="Y72" s="624"/>
      <c r="Z72" s="520"/>
      <c r="AA72" s="521"/>
      <c r="AB72" s="521"/>
      <c r="AC72" s="514" t="e">
        <f t="shared" si="61"/>
        <v>#N/A</v>
      </c>
      <c r="AD72" s="624"/>
      <c r="AE72" s="520"/>
      <c r="AF72" s="521"/>
      <c r="AG72" s="521"/>
      <c r="AH72" s="514" t="e">
        <f t="shared" si="63"/>
        <v>#N/A</v>
      </c>
      <c r="AI72" s="624"/>
      <c r="AJ72" s="520"/>
      <c r="AK72" s="521"/>
      <c r="AL72" s="521"/>
      <c r="AM72" s="514" t="e">
        <f t="shared" si="65"/>
        <v>#N/A</v>
      </c>
      <c r="AN72" s="624"/>
      <c r="AO72" s="520"/>
      <c r="AP72" s="521"/>
      <c r="AQ72" s="521"/>
      <c r="AR72" s="514" t="e">
        <f t="shared" si="67"/>
        <v>#N/A</v>
      </c>
      <c r="AS72" s="624"/>
      <c r="AT72" s="520"/>
      <c r="AU72" s="521"/>
      <c r="AV72" s="521"/>
      <c r="AW72" s="514" t="e">
        <f t="shared" si="69"/>
        <v>#N/A</v>
      </c>
      <c r="AX72" s="624"/>
      <c r="AZ72" s="524" t="e">
        <f t="shared" si="71"/>
        <v>#N/A</v>
      </c>
      <c r="BA72" s="624"/>
    </row>
    <row r="73" spans="2:53">
      <c r="B73" s="622"/>
      <c r="C73" s="306">
        <v>7</v>
      </c>
      <c r="D73" s="456"/>
      <c r="E73" s="521"/>
      <c r="F73" s="521"/>
      <c r="G73" s="521"/>
      <c r="H73" s="664"/>
      <c r="I73" s="516" t="str">
        <f t="shared" si="56"/>
        <v>-</v>
      </c>
      <c r="J73" s="516" t="str">
        <f t="shared" si="57"/>
        <v>-</v>
      </c>
      <c r="K73" s="200" t="str">
        <f t="shared" si="58"/>
        <v>-</v>
      </c>
      <c r="L73" s="596"/>
      <c r="M73" s="201" t="e">
        <f>RANK(K73, K$67:$K$81)</f>
        <v>#VALUE!</v>
      </c>
      <c r="N73" s="614"/>
      <c r="O73" s="614"/>
      <c r="P73" s="520"/>
      <c r="Q73" s="521"/>
      <c r="R73" s="521"/>
      <c r="S73" s="514" t="e">
        <f t="shared" si="73"/>
        <v>#N/A</v>
      </c>
      <c r="T73" s="624"/>
      <c r="U73" s="520"/>
      <c r="V73" s="521"/>
      <c r="W73" s="521"/>
      <c r="X73" s="514" t="e">
        <f t="shared" si="59"/>
        <v>#N/A</v>
      </c>
      <c r="Y73" s="624"/>
      <c r="Z73" s="520"/>
      <c r="AA73" s="521"/>
      <c r="AB73" s="521"/>
      <c r="AC73" s="514" t="e">
        <f t="shared" si="61"/>
        <v>#N/A</v>
      </c>
      <c r="AD73" s="624"/>
      <c r="AE73" s="520"/>
      <c r="AF73" s="521"/>
      <c r="AG73" s="521"/>
      <c r="AH73" s="514" t="e">
        <f t="shared" si="63"/>
        <v>#N/A</v>
      </c>
      <c r="AI73" s="624"/>
      <c r="AJ73" s="520"/>
      <c r="AK73" s="521"/>
      <c r="AL73" s="521"/>
      <c r="AM73" s="514" t="e">
        <f t="shared" si="65"/>
        <v>#N/A</v>
      </c>
      <c r="AN73" s="624"/>
      <c r="AO73" s="520"/>
      <c r="AP73" s="521"/>
      <c r="AQ73" s="521"/>
      <c r="AR73" s="514" t="e">
        <f t="shared" si="67"/>
        <v>#N/A</v>
      </c>
      <c r="AS73" s="624"/>
      <c r="AT73" s="520"/>
      <c r="AU73" s="521"/>
      <c r="AV73" s="521"/>
      <c r="AW73" s="514" t="e">
        <f t="shared" si="69"/>
        <v>#N/A</v>
      </c>
      <c r="AX73" s="624"/>
      <c r="AZ73" s="524" t="e">
        <f t="shared" si="71"/>
        <v>#N/A</v>
      </c>
      <c r="BA73" s="624"/>
    </row>
    <row r="74" spans="2:53">
      <c r="B74" s="622"/>
      <c r="C74" s="306">
        <v>8</v>
      </c>
      <c r="D74" s="456"/>
      <c r="E74" s="521"/>
      <c r="F74" s="521"/>
      <c r="G74" s="521"/>
      <c r="H74" s="664"/>
      <c r="I74" s="516" t="str">
        <f t="shared" si="56"/>
        <v>-</v>
      </c>
      <c r="J74" s="516" t="str">
        <f t="shared" si="57"/>
        <v>-</v>
      </c>
      <c r="K74" s="200" t="str">
        <f t="shared" si="58"/>
        <v>-</v>
      </c>
      <c r="L74" s="596"/>
      <c r="M74" s="201" t="e">
        <f>RANK(K74, K$67:$K$81)</f>
        <v>#VALUE!</v>
      </c>
      <c r="N74" s="614"/>
      <c r="O74" s="614"/>
      <c r="P74" s="520"/>
      <c r="Q74" s="521"/>
      <c r="R74" s="521"/>
      <c r="S74" s="514" t="e">
        <f t="shared" si="73"/>
        <v>#N/A</v>
      </c>
      <c r="T74" s="624"/>
      <c r="U74" s="520"/>
      <c r="V74" s="521"/>
      <c r="W74" s="521"/>
      <c r="X74" s="514" t="e">
        <f t="shared" si="59"/>
        <v>#N/A</v>
      </c>
      <c r="Y74" s="624"/>
      <c r="Z74" s="520"/>
      <c r="AA74" s="521"/>
      <c r="AB74" s="521"/>
      <c r="AC74" s="514" t="e">
        <f t="shared" si="61"/>
        <v>#N/A</v>
      </c>
      <c r="AD74" s="624"/>
      <c r="AE74" s="520"/>
      <c r="AF74" s="521"/>
      <c r="AG74" s="521"/>
      <c r="AH74" s="514" t="e">
        <f t="shared" si="63"/>
        <v>#N/A</v>
      </c>
      <c r="AI74" s="624"/>
      <c r="AJ74" s="520"/>
      <c r="AK74" s="521"/>
      <c r="AL74" s="521"/>
      <c r="AM74" s="514" t="e">
        <f t="shared" si="65"/>
        <v>#N/A</v>
      </c>
      <c r="AN74" s="624"/>
      <c r="AO74" s="520"/>
      <c r="AP74" s="521"/>
      <c r="AQ74" s="521"/>
      <c r="AR74" s="514" t="e">
        <f t="shared" si="67"/>
        <v>#N/A</v>
      </c>
      <c r="AS74" s="624"/>
      <c r="AT74" s="520"/>
      <c r="AU74" s="521"/>
      <c r="AV74" s="521"/>
      <c r="AW74" s="514" t="e">
        <f t="shared" si="69"/>
        <v>#N/A</v>
      </c>
      <c r="AX74" s="624"/>
      <c r="AZ74" s="524" t="e">
        <f t="shared" si="71"/>
        <v>#N/A</v>
      </c>
      <c r="BA74" s="624"/>
    </row>
    <row r="75" spans="2:53">
      <c r="B75" s="622"/>
      <c r="C75" s="306">
        <v>9</v>
      </c>
      <c r="D75" s="456"/>
      <c r="E75" s="521"/>
      <c r="F75" s="521"/>
      <c r="G75" s="521"/>
      <c r="H75" s="664"/>
      <c r="I75" s="516" t="str">
        <f t="shared" si="56"/>
        <v>-</v>
      </c>
      <c r="J75" s="516" t="str">
        <f t="shared" si="57"/>
        <v>-</v>
      </c>
      <c r="K75" s="200" t="str">
        <f t="shared" si="58"/>
        <v>-</v>
      </c>
      <c r="L75" s="596"/>
      <c r="M75" s="201" t="e">
        <f>RANK(K75, K$67:$K$81)</f>
        <v>#VALUE!</v>
      </c>
      <c r="N75" s="614"/>
      <c r="O75" s="614"/>
      <c r="P75" s="520"/>
      <c r="Q75" s="521"/>
      <c r="R75" s="521"/>
      <c r="S75" s="514" t="e">
        <f t="shared" si="73"/>
        <v>#N/A</v>
      </c>
      <c r="T75" s="624"/>
      <c r="U75" s="520"/>
      <c r="V75" s="521"/>
      <c r="W75" s="521"/>
      <c r="X75" s="514" t="e">
        <f t="shared" si="59"/>
        <v>#N/A</v>
      </c>
      <c r="Y75" s="624"/>
      <c r="Z75" s="520"/>
      <c r="AA75" s="521"/>
      <c r="AB75" s="521"/>
      <c r="AC75" s="514" t="e">
        <f t="shared" si="61"/>
        <v>#N/A</v>
      </c>
      <c r="AD75" s="624"/>
      <c r="AE75" s="520"/>
      <c r="AF75" s="521"/>
      <c r="AG75" s="521"/>
      <c r="AH75" s="514" t="e">
        <f t="shared" si="63"/>
        <v>#N/A</v>
      </c>
      <c r="AI75" s="624"/>
      <c r="AJ75" s="520"/>
      <c r="AK75" s="521"/>
      <c r="AL75" s="521"/>
      <c r="AM75" s="514" t="e">
        <f t="shared" si="65"/>
        <v>#N/A</v>
      </c>
      <c r="AN75" s="624"/>
      <c r="AO75" s="520"/>
      <c r="AP75" s="521"/>
      <c r="AQ75" s="521"/>
      <c r="AR75" s="514" t="e">
        <f t="shared" si="67"/>
        <v>#N/A</v>
      </c>
      <c r="AS75" s="624"/>
      <c r="AT75" s="520"/>
      <c r="AU75" s="521"/>
      <c r="AV75" s="521"/>
      <c r="AW75" s="514" t="e">
        <f t="shared" si="69"/>
        <v>#N/A</v>
      </c>
      <c r="AX75" s="624"/>
      <c r="AZ75" s="524" t="e">
        <f t="shared" si="71"/>
        <v>#N/A</v>
      </c>
      <c r="BA75" s="624"/>
    </row>
    <row r="76" spans="2:53">
      <c r="B76" s="622"/>
      <c r="C76" s="306">
        <v>10</v>
      </c>
      <c r="D76" s="456"/>
      <c r="E76" s="521"/>
      <c r="F76" s="521"/>
      <c r="G76" s="521"/>
      <c r="H76" s="664"/>
      <c r="I76" s="516" t="str">
        <f t="shared" si="56"/>
        <v>-</v>
      </c>
      <c r="J76" s="516" t="str">
        <f t="shared" si="57"/>
        <v>-</v>
      </c>
      <c r="K76" s="200" t="str">
        <f t="shared" si="58"/>
        <v>-</v>
      </c>
      <c r="L76" s="596"/>
      <c r="M76" s="201" t="e">
        <f>RANK(K76, K$67:$K$81)</f>
        <v>#VALUE!</v>
      </c>
      <c r="N76" s="614"/>
      <c r="O76" s="614"/>
      <c r="P76" s="520"/>
      <c r="Q76" s="521"/>
      <c r="R76" s="521"/>
      <c r="S76" s="514" t="e">
        <f t="shared" si="73"/>
        <v>#N/A</v>
      </c>
      <c r="T76" s="624"/>
      <c r="U76" s="520"/>
      <c r="V76" s="521"/>
      <c r="W76" s="521"/>
      <c r="X76" s="514" t="e">
        <f t="shared" si="59"/>
        <v>#N/A</v>
      </c>
      <c r="Y76" s="624"/>
      <c r="Z76" s="520"/>
      <c r="AA76" s="521"/>
      <c r="AB76" s="521"/>
      <c r="AC76" s="514" t="e">
        <f t="shared" si="61"/>
        <v>#N/A</v>
      </c>
      <c r="AD76" s="624"/>
      <c r="AE76" s="520"/>
      <c r="AF76" s="521"/>
      <c r="AG76" s="521"/>
      <c r="AH76" s="514" t="e">
        <f t="shared" si="63"/>
        <v>#N/A</v>
      </c>
      <c r="AI76" s="624"/>
      <c r="AJ76" s="520"/>
      <c r="AK76" s="521"/>
      <c r="AL76" s="521"/>
      <c r="AM76" s="514" t="e">
        <f t="shared" si="65"/>
        <v>#N/A</v>
      </c>
      <c r="AN76" s="624"/>
      <c r="AO76" s="520"/>
      <c r="AP76" s="521"/>
      <c r="AQ76" s="521"/>
      <c r="AR76" s="514" t="e">
        <f t="shared" si="67"/>
        <v>#N/A</v>
      </c>
      <c r="AS76" s="624"/>
      <c r="AT76" s="520"/>
      <c r="AU76" s="521"/>
      <c r="AV76" s="521"/>
      <c r="AW76" s="514" t="e">
        <f t="shared" si="69"/>
        <v>#N/A</v>
      </c>
      <c r="AX76" s="624"/>
      <c r="AZ76" s="524" t="e">
        <f t="shared" si="71"/>
        <v>#N/A</v>
      </c>
      <c r="BA76" s="624"/>
    </row>
    <row r="77" spans="2:53">
      <c r="B77" s="622"/>
      <c r="C77" s="306">
        <v>11</v>
      </c>
      <c r="D77" s="456"/>
      <c r="E77" s="521"/>
      <c r="F77" s="521"/>
      <c r="G77" s="521"/>
      <c r="H77" s="664"/>
      <c r="I77" s="516" t="str">
        <f t="shared" si="56"/>
        <v>-</v>
      </c>
      <c r="J77" s="516" t="str">
        <f t="shared" si="57"/>
        <v>-</v>
      </c>
      <c r="K77" s="200" t="str">
        <f t="shared" si="58"/>
        <v>-</v>
      </c>
      <c r="L77" s="596"/>
      <c r="M77" s="201" t="e">
        <f>RANK(K77, K$67:$K$81)</f>
        <v>#VALUE!</v>
      </c>
      <c r="N77" s="614"/>
      <c r="O77" s="614"/>
      <c r="P77" s="520"/>
      <c r="Q77" s="521"/>
      <c r="R77" s="521"/>
      <c r="S77" s="514" t="e">
        <f t="shared" si="73"/>
        <v>#N/A</v>
      </c>
      <c r="T77" s="624"/>
      <c r="U77" s="520"/>
      <c r="V77" s="521"/>
      <c r="W77" s="521"/>
      <c r="X77" s="514" t="e">
        <f t="shared" si="59"/>
        <v>#N/A</v>
      </c>
      <c r="Y77" s="624"/>
      <c r="Z77" s="520"/>
      <c r="AA77" s="521"/>
      <c r="AB77" s="521"/>
      <c r="AC77" s="514" t="e">
        <f t="shared" si="61"/>
        <v>#N/A</v>
      </c>
      <c r="AD77" s="624"/>
      <c r="AE77" s="520"/>
      <c r="AF77" s="521"/>
      <c r="AG77" s="521"/>
      <c r="AH77" s="514" t="e">
        <f t="shared" si="63"/>
        <v>#N/A</v>
      </c>
      <c r="AI77" s="624"/>
      <c r="AJ77" s="520"/>
      <c r="AK77" s="521"/>
      <c r="AL77" s="521"/>
      <c r="AM77" s="514" t="e">
        <f t="shared" si="65"/>
        <v>#N/A</v>
      </c>
      <c r="AN77" s="624"/>
      <c r="AO77" s="520"/>
      <c r="AP77" s="521"/>
      <c r="AQ77" s="521"/>
      <c r="AR77" s="514" t="e">
        <f t="shared" si="67"/>
        <v>#N/A</v>
      </c>
      <c r="AS77" s="624"/>
      <c r="AT77" s="520"/>
      <c r="AU77" s="521"/>
      <c r="AV77" s="521"/>
      <c r="AW77" s="514" t="e">
        <f t="shared" si="69"/>
        <v>#N/A</v>
      </c>
      <c r="AX77" s="624"/>
      <c r="AZ77" s="524" t="e">
        <f t="shared" si="71"/>
        <v>#N/A</v>
      </c>
      <c r="BA77" s="624"/>
    </row>
    <row r="78" spans="2:53">
      <c r="B78" s="622"/>
      <c r="C78" s="306">
        <v>12</v>
      </c>
      <c r="D78" s="456"/>
      <c r="E78" s="521"/>
      <c r="F78" s="521"/>
      <c r="G78" s="521"/>
      <c r="H78" s="664"/>
      <c r="I78" s="516" t="str">
        <f t="shared" si="56"/>
        <v>-</v>
      </c>
      <c r="J78" s="516" t="str">
        <f t="shared" si="57"/>
        <v>-</v>
      </c>
      <c r="K78" s="200" t="str">
        <f t="shared" si="58"/>
        <v>-</v>
      </c>
      <c r="L78" s="596"/>
      <c r="M78" s="201" t="e">
        <f>RANK(K78, K$67:$K$81)</f>
        <v>#VALUE!</v>
      </c>
      <c r="N78" s="614"/>
      <c r="O78" s="614"/>
      <c r="P78" s="520"/>
      <c r="Q78" s="521"/>
      <c r="R78" s="521"/>
      <c r="S78" s="514" t="e">
        <f t="shared" si="73"/>
        <v>#N/A</v>
      </c>
      <c r="T78" s="624"/>
      <c r="U78" s="520"/>
      <c r="V78" s="521"/>
      <c r="W78" s="521"/>
      <c r="X78" s="514" t="e">
        <f t="shared" si="59"/>
        <v>#N/A</v>
      </c>
      <c r="Y78" s="624"/>
      <c r="Z78" s="520"/>
      <c r="AA78" s="521"/>
      <c r="AB78" s="521"/>
      <c r="AC78" s="514" t="e">
        <f t="shared" si="61"/>
        <v>#N/A</v>
      </c>
      <c r="AD78" s="624"/>
      <c r="AE78" s="520"/>
      <c r="AF78" s="521"/>
      <c r="AG78" s="521"/>
      <c r="AH78" s="514" t="e">
        <f t="shared" si="63"/>
        <v>#N/A</v>
      </c>
      <c r="AI78" s="624"/>
      <c r="AJ78" s="520"/>
      <c r="AK78" s="521"/>
      <c r="AL78" s="521"/>
      <c r="AM78" s="514" t="e">
        <f t="shared" si="65"/>
        <v>#N/A</v>
      </c>
      <c r="AN78" s="624"/>
      <c r="AO78" s="520"/>
      <c r="AP78" s="521"/>
      <c r="AQ78" s="521"/>
      <c r="AR78" s="514" t="e">
        <f t="shared" si="67"/>
        <v>#N/A</v>
      </c>
      <c r="AS78" s="624"/>
      <c r="AT78" s="520"/>
      <c r="AU78" s="521"/>
      <c r="AV78" s="521"/>
      <c r="AW78" s="514" t="e">
        <f t="shared" si="69"/>
        <v>#N/A</v>
      </c>
      <c r="AX78" s="624"/>
      <c r="AZ78" s="524" t="e">
        <f t="shared" si="71"/>
        <v>#N/A</v>
      </c>
      <c r="BA78" s="624"/>
    </row>
    <row r="79" spans="2:53">
      <c r="B79" s="622"/>
      <c r="C79" s="306">
        <v>13</v>
      </c>
      <c r="D79" s="456"/>
      <c r="E79" s="521"/>
      <c r="F79" s="521"/>
      <c r="G79" s="521"/>
      <c r="H79" s="664"/>
      <c r="I79" s="516" t="str">
        <f t="shared" si="56"/>
        <v>-</v>
      </c>
      <c r="J79" s="516" t="str">
        <f t="shared" si="57"/>
        <v>-</v>
      </c>
      <c r="K79" s="200" t="str">
        <f t="shared" si="58"/>
        <v>-</v>
      </c>
      <c r="L79" s="596"/>
      <c r="M79" s="201" t="e">
        <f>RANK(K79, K$67:$K$81)</f>
        <v>#VALUE!</v>
      </c>
      <c r="N79" s="614"/>
      <c r="O79" s="614"/>
      <c r="P79" s="520"/>
      <c r="Q79" s="521"/>
      <c r="R79" s="521"/>
      <c r="S79" s="514" t="e">
        <f t="shared" si="73"/>
        <v>#N/A</v>
      </c>
      <c r="T79" s="624"/>
      <c r="U79" s="520"/>
      <c r="V79" s="521"/>
      <c r="W79" s="521"/>
      <c r="X79" s="514" t="e">
        <f t="shared" si="59"/>
        <v>#N/A</v>
      </c>
      <c r="Y79" s="624"/>
      <c r="Z79" s="520"/>
      <c r="AA79" s="521"/>
      <c r="AB79" s="521"/>
      <c r="AC79" s="514" t="e">
        <f t="shared" si="61"/>
        <v>#N/A</v>
      </c>
      <c r="AD79" s="624"/>
      <c r="AE79" s="520"/>
      <c r="AF79" s="521"/>
      <c r="AG79" s="521"/>
      <c r="AH79" s="514" t="e">
        <f t="shared" si="63"/>
        <v>#N/A</v>
      </c>
      <c r="AI79" s="624"/>
      <c r="AJ79" s="520"/>
      <c r="AK79" s="521"/>
      <c r="AL79" s="521"/>
      <c r="AM79" s="514" t="e">
        <f t="shared" si="65"/>
        <v>#N/A</v>
      </c>
      <c r="AN79" s="624"/>
      <c r="AO79" s="520"/>
      <c r="AP79" s="521"/>
      <c r="AQ79" s="521"/>
      <c r="AR79" s="514" t="e">
        <f t="shared" si="67"/>
        <v>#N/A</v>
      </c>
      <c r="AS79" s="624"/>
      <c r="AT79" s="520"/>
      <c r="AU79" s="521"/>
      <c r="AV79" s="521"/>
      <c r="AW79" s="514" t="e">
        <f t="shared" si="69"/>
        <v>#N/A</v>
      </c>
      <c r="AX79" s="624"/>
      <c r="AZ79" s="524" t="e">
        <f t="shared" si="71"/>
        <v>#N/A</v>
      </c>
      <c r="BA79" s="624"/>
    </row>
    <row r="80" spans="2:53">
      <c r="B80" s="622"/>
      <c r="C80" s="306">
        <v>14</v>
      </c>
      <c r="D80" s="456"/>
      <c r="E80" s="521"/>
      <c r="F80" s="521"/>
      <c r="G80" s="521"/>
      <c r="H80" s="664"/>
      <c r="I80" s="516" t="str">
        <f t="shared" si="56"/>
        <v>-</v>
      </c>
      <c r="J80" s="516" t="str">
        <f t="shared" si="57"/>
        <v>-</v>
      </c>
      <c r="K80" s="200" t="str">
        <f t="shared" si="58"/>
        <v>-</v>
      </c>
      <c r="L80" s="596"/>
      <c r="M80" s="201" t="e">
        <f>RANK(K80, K$67:$K$81)</f>
        <v>#VALUE!</v>
      </c>
      <c r="N80" s="614"/>
      <c r="O80" s="614"/>
      <c r="P80" s="520"/>
      <c r="Q80" s="521"/>
      <c r="R80" s="521"/>
      <c r="S80" s="514" t="e">
        <f t="shared" si="73"/>
        <v>#N/A</v>
      </c>
      <c r="T80" s="624"/>
      <c r="U80" s="520"/>
      <c r="V80" s="521"/>
      <c r="W80" s="521"/>
      <c r="X80" s="514" t="e">
        <f t="shared" si="59"/>
        <v>#N/A</v>
      </c>
      <c r="Y80" s="624"/>
      <c r="Z80" s="520"/>
      <c r="AA80" s="521"/>
      <c r="AB80" s="521"/>
      <c r="AC80" s="514" t="e">
        <f t="shared" si="61"/>
        <v>#N/A</v>
      </c>
      <c r="AD80" s="624"/>
      <c r="AE80" s="520"/>
      <c r="AF80" s="521"/>
      <c r="AG80" s="521"/>
      <c r="AH80" s="514" t="e">
        <f t="shared" si="63"/>
        <v>#N/A</v>
      </c>
      <c r="AI80" s="624"/>
      <c r="AJ80" s="520"/>
      <c r="AK80" s="521"/>
      <c r="AL80" s="521"/>
      <c r="AM80" s="514" t="e">
        <f t="shared" si="65"/>
        <v>#N/A</v>
      </c>
      <c r="AN80" s="624"/>
      <c r="AO80" s="520"/>
      <c r="AP80" s="521"/>
      <c r="AQ80" s="521"/>
      <c r="AR80" s="514" t="e">
        <f t="shared" si="67"/>
        <v>#N/A</v>
      </c>
      <c r="AS80" s="624"/>
      <c r="AT80" s="520"/>
      <c r="AU80" s="521"/>
      <c r="AV80" s="521"/>
      <c r="AW80" s="514" t="e">
        <f t="shared" si="69"/>
        <v>#N/A</v>
      </c>
      <c r="AX80" s="624"/>
      <c r="AZ80" s="524" t="e">
        <f t="shared" si="71"/>
        <v>#N/A</v>
      </c>
      <c r="BA80" s="624"/>
    </row>
    <row r="81" spans="2:53">
      <c r="B81" s="622"/>
      <c r="C81" s="306">
        <v>15</v>
      </c>
      <c r="D81" s="456"/>
      <c r="E81" s="521"/>
      <c r="F81" s="521"/>
      <c r="G81" s="521"/>
      <c r="H81" s="665"/>
      <c r="I81" s="521"/>
      <c r="J81" s="521"/>
      <c r="K81" s="517"/>
      <c r="L81" s="597"/>
      <c r="M81" s="201" t="e">
        <f>RANK(K81, K$67:$K$81)</f>
        <v>#N/A</v>
      </c>
      <c r="N81" s="614"/>
      <c r="O81" s="614"/>
      <c r="P81" s="520"/>
      <c r="Q81" s="521"/>
      <c r="R81" s="521"/>
      <c r="S81" s="514" t="e">
        <f t="shared" si="73"/>
        <v>#N/A</v>
      </c>
      <c r="T81" s="625"/>
      <c r="U81" s="520"/>
      <c r="V81" s="521"/>
      <c r="W81" s="521"/>
      <c r="X81" s="514" t="e">
        <f t="shared" si="59"/>
        <v>#N/A</v>
      </c>
      <c r="Y81" s="625"/>
      <c r="Z81" s="520"/>
      <c r="AA81" s="521"/>
      <c r="AB81" s="521"/>
      <c r="AC81" s="514" t="e">
        <f t="shared" si="61"/>
        <v>#N/A</v>
      </c>
      <c r="AD81" s="625"/>
      <c r="AE81" s="520"/>
      <c r="AF81" s="521"/>
      <c r="AG81" s="521"/>
      <c r="AH81" s="514" t="e">
        <f t="shared" si="63"/>
        <v>#N/A</v>
      </c>
      <c r="AI81" s="625"/>
      <c r="AJ81" s="520"/>
      <c r="AK81" s="521"/>
      <c r="AL81" s="521"/>
      <c r="AM81" s="514" t="e">
        <f t="shared" si="65"/>
        <v>#N/A</v>
      </c>
      <c r="AN81" s="625"/>
      <c r="AO81" s="520"/>
      <c r="AP81" s="521"/>
      <c r="AQ81" s="521"/>
      <c r="AR81" s="514" t="e">
        <f t="shared" si="67"/>
        <v>#N/A</v>
      </c>
      <c r="AS81" s="625"/>
      <c r="AT81" s="520"/>
      <c r="AU81" s="521"/>
      <c r="AV81" s="521"/>
      <c r="AW81" s="514" t="e">
        <f t="shared" si="69"/>
        <v>#N/A</v>
      </c>
      <c r="AX81" s="625"/>
      <c r="AZ81" s="524" t="e">
        <f t="shared" si="71"/>
        <v>#N/A</v>
      </c>
      <c r="BA81" s="625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424</v>
      </c>
      <c r="C84" s="614" t="s">
        <v>425</v>
      </c>
      <c r="D84" s="614"/>
      <c r="E84" s="614" t="s">
        <v>426</v>
      </c>
      <c r="F84" s="614"/>
      <c r="G84" s="614"/>
      <c r="H84" s="630" t="s">
        <v>427</v>
      </c>
      <c r="I84" s="598" t="s">
        <v>428</v>
      </c>
      <c r="J84" s="598"/>
      <c r="K84" s="598"/>
      <c r="L84" s="599" t="s">
        <v>395</v>
      </c>
      <c r="M84" s="605" t="s">
        <v>429</v>
      </c>
      <c r="N84" s="614"/>
      <c r="O84" s="614" t="s">
        <v>430</v>
      </c>
      <c r="P84" s="611" t="s">
        <v>431</v>
      </c>
      <c r="Q84" s="612"/>
      <c r="R84" s="612"/>
      <c r="S84" s="613"/>
      <c r="T84" s="614" t="s">
        <v>427</v>
      </c>
      <c r="U84" s="611" t="s">
        <v>431</v>
      </c>
      <c r="V84" s="612"/>
      <c r="W84" s="612"/>
      <c r="X84" s="613"/>
      <c r="Y84" s="614" t="s">
        <v>427</v>
      </c>
      <c r="Z84" s="611" t="s">
        <v>431</v>
      </c>
      <c r="AA84" s="612"/>
      <c r="AB84" s="612"/>
      <c r="AC84" s="613"/>
      <c r="AD84" s="614" t="s">
        <v>427</v>
      </c>
      <c r="AE84" s="611" t="s">
        <v>431</v>
      </c>
      <c r="AF84" s="612"/>
      <c r="AG84" s="612"/>
      <c r="AH84" s="613"/>
      <c r="AI84" s="614" t="s">
        <v>427</v>
      </c>
      <c r="AJ84" s="611" t="s">
        <v>431</v>
      </c>
      <c r="AK84" s="612"/>
      <c r="AL84" s="612"/>
      <c r="AM84" s="613"/>
      <c r="AN84" s="614" t="s">
        <v>427</v>
      </c>
      <c r="AO84" s="611" t="s">
        <v>431</v>
      </c>
      <c r="AP84" s="612"/>
      <c r="AQ84" s="612"/>
      <c r="AR84" s="613"/>
      <c r="AS84" s="614" t="s">
        <v>427</v>
      </c>
      <c r="AT84" s="611" t="s">
        <v>431</v>
      </c>
      <c r="AU84" s="612"/>
      <c r="AV84" s="612"/>
      <c r="AW84" s="613"/>
      <c r="AX84" s="614" t="s">
        <v>427</v>
      </c>
      <c r="BA84" s="614" t="s">
        <v>395</v>
      </c>
    </row>
    <row r="85" spans="2:53">
      <c r="B85" s="614"/>
      <c r="C85" s="614"/>
      <c r="D85" s="614"/>
      <c r="E85" s="614" t="s">
        <v>432</v>
      </c>
      <c r="F85" s="614"/>
      <c r="G85" s="614"/>
      <c r="H85" s="631"/>
      <c r="I85" s="598" t="s">
        <v>432</v>
      </c>
      <c r="J85" s="598"/>
      <c r="K85" s="598"/>
      <c r="L85" s="600"/>
      <c r="M85" s="606"/>
      <c r="N85" s="614"/>
      <c r="O85" s="614"/>
      <c r="P85" s="611" t="s">
        <v>433</v>
      </c>
      <c r="Q85" s="612"/>
      <c r="R85" s="612"/>
      <c r="S85" s="613"/>
      <c r="T85" s="614"/>
      <c r="U85" s="611" t="s">
        <v>433</v>
      </c>
      <c r="V85" s="612"/>
      <c r="W85" s="612"/>
      <c r="X85" s="613"/>
      <c r="Y85" s="614"/>
      <c r="Z85" s="611" t="s">
        <v>433</v>
      </c>
      <c r="AA85" s="612"/>
      <c r="AB85" s="612"/>
      <c r="AC85" s="613"/>
      <c r="AD85" s="614"/>
      <c r="AE85" s="611" t="s">
        <v>433</v>
      </c>
      <c r="AF85" s="612"/>
      <c r="AG85" s="612"/>
      <c r="AH85" s="613"/>
      <c r="AI85" s="614"/>
      <c r="AJ85" s="611" t="s">
        <v>433</v>
      </c>
      <c r="AK85" s="612"/>
      <c r="AL85" s="612"/>
      <c r="AM85" s="613"/>
      <c r="AN85" s="614"/>
      <c r="AO85" s="611" t="s">
        <v>433</v>
      </c>
      <c r="AP85" s="612"/>
      <c r="AQ85" s="612"/>
      <c r="AR85" s="613"/>
      <c r="AS85" s="614"/>
      <c r="AT85" s="611" t="s">
        <v>433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299" t="s">
        <v>434</v>
      </c>
      <c r="F86" s="299" t="s">
        <v>435</v>
      </c>
      <c r="G86" s="299" t="s">
        <v>436</v>
      </c>
      <c r="H86" s="632"/>
      <c r="I86" s="300" t="s">
        <v>434</v>
      </c>
      <c r="J86" s="300" t="s">
        <v>435</v>
      </c>
      <c r="K86" s="300" t="s">
        <v>436</v>
      </c>
      <c r="L86" s="601"/>
      <c r="M86" s="607"/>
      <c r="N86" s="614"/>
      <c r="O86" s="614"/>
      <c r="P86" s="299" t="s">
        <v>434</v>
      </c>
      <c r="Q86" s="299" t="s">
        <v>435</v>
      </c>
      <c r="R86" s="299" t="s">
        <v>436</v>
      </c>
      <c r="S86" s="299" t="s">
        <v>429</v>
      </c>
      <c r="T86" s="614"/>
      <c r="U86" s="299" t="s">
        <v>434</v>
      </c>
      <c r="V86" s="299" t="s">
        <v>435</v>
      </c>
      <c r="W86" s="299" t="s">
        <v>436</v>
      </c>
      <c r="X86" s="299" t="s">
        <v>429</v>
      </c>
      <c r="Y86" s="614"/>
      <c r="Z86" s="299" t="s">
        <v>434</v>
      </c>
      <c r="AA86" s="299" t="s">
        <v>435</v>
      </c>
      <c r="AB86" s="299" t="s">
        <v>436</v>
      </c>
      <c r="AC86" s="299" t="s">
        <v>429</v>
      </c>
      <c r="AD86" s="614"/>
      <c r="AE86" s="299" t="s">
        <v>434</v>
      </c>
      <c r="AF86" s="299" t="s">
        <v>435</v>
      </c>
      <c r="AG86" s="299" t="s">
        <v>436</v>
      </c>
      <c r="AH86" s="299" t="s">
        <v>429</v>
      </c>
      <c r="AI86" s="614"/>
      <c r="AJ86" s="299" t="s">
        <v>434</v>
      </c>
      <c r="AK86" s="299" t="s">
        <v>435</v>
      </c>
      <c r="AL86" s="299" t="s">
        <v>436</v>
      </c>
      <c r="AM86" s="299" t="s">
        <v>429</v>
      </c>
      <c r="AN86" s="614"/>
      <c r="AO86" s="299" t="s">
        <v>434</v>
      </c>
      <c r="AP86" s="299" t="s">
        <v>435</v>
      </c>
      <c r="AQ86" s="299" t="s">
        <v>436</v>
      </c>
      <c r="AR86" s="299" t="s">
        <v>429</v>
      </c>
      <c r="AS86" s="614"/>
      <c r="AT86" s="299" t="s">
        <v>434</v>
      </c>
      <c r="AU86" s="299" t="s">
        <v>435</v>
      </c>
      <c r="AV86" s="299" t="s">
        <v>436</v>
      </c>
      <c r="AW86" s="299" t="s">
        <v>429</v>
      </c>
      <c r="AX86" s="614"/>
      <c r="AZ86" s="523" t="s">
        <v>396</v>
      </c>
      <c r="BA86" s="614"/>
    </row>
    <row r="87" spans="2:53">
      <c r="B87" s="662" t="s">
        <v>438</v>
      </c>
      <c r="C87" s="298">
        <v>1</v>
      </c>
      <c r="D87" s="226"/>
      <c r="E87" s="182"/>
      <c r="F87" s="466"/>
      <c r="G87" s="467"/>
      <c r="H87" s="663" t="e">
        <f>AVERAGE(G87:G101)</f>
        <v>#DIV/0!</v>
      </c>
      <c r="I87" s="516" t="str">
        <f t="shared" ref="I87:I100" si="74">IFERROR(AVERAGE(P87,U87,Z87,AE87,AJ87,AO87,AT87),"-")</f>
        <v>-</v>
      </c>
      <c r="J87" s="516" t="str">
        <f t="shared" ref="J87:J100" si="75">IFERROR(AVERAGE(Q87,V87,AA87,AF87,AK87,AP87,AU87),"-")</f>
        <v>-</v>
      </c>
      <c r="K87" s="200" t="str">
        <f t="shared" ref="K87:K100" si="76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509"/>
      <c r="Q87" s="510"/>
      <c r="R87" s="510"/>
      <c r="S87" s="298" t="e">
        <f>RANK(R87, R$87:R$101)</f>
        <v>#N/A</v>
      </c>
      <c r="T87" s="636" t="e">
        <f>AVERAGE(R87:R101)</f>
        <v>#DIV/0!</v>
      </c>
      <c r="U87" s="509"/>
      <c r="V87" s="510"/>
      <c r="W87" s="510"/>
      <c r="X87" s="442" t="e">
        <f t="shared" ref="X87:X101" si="77">RANK(W87, W$87:W$101)</f>
        <v>#N/A</v>
      </c>
      <c r="Y87" s="636" t="e">
        <f t="shared" ref="Y87" si="78">AVERAGE(W87:W101)</f>
        <v>#DIV/0!</v>
      </c>
      <c r="Z87" s="509"/>
      <c r="AA87" s="510"/>
      <c r="AB87" s="510"/>
      <c r="AC87" s="442" t="e">
        <f t="shared" ref="AC87:AC101" si="79">RANK(AB87, AB$87:AB$101)</f>
        <v>#N/A</v>
      </c>
      <c r="AD87" s="636" t="e">
        <f t="shared" ref="AD87" si="80">AVERAGE(AB87:AB101)</f>
        <v>#DIV/0!</v>
      </c>
      <c r="AE87" s="509"/>
      <c r="AF87" s="510"/>
      <c r="AG87" s="510"/>
      <c r="AH87" s="442" t="e">
        <f t="shared" ref="AH87:AH101" si="81">RANK(AG87, AG$87:AG$101)</f>
        <v>#N/A</v>
      </c>
      <c r="AI87" s="636" t="e">
        <f t="shared" ref="AI87" si="82">AVERAGE(AG87:AG101)</f>
        <v>#DIV/0!</v>
      </c>
      <c r="AJ87" s="509"/>
      <c r="AK87" s="510"/>
      <c r="AL87" s="510"/>
      <c r="AM87" s="442" t="e">
        <f t="shared" ref="AM87:AM101" si="83">RANK(AL87, AL$87:AL$101)</f>
        <v>#N/A</v>
      </c>
      <c r="AN87" s="636" t="e">
        <f t="shared" ref="AN87" si="84">AVERAGE(AL87:AL101)</f>
        <v>#DIV/0!</v>
      </c>
      <c r="AO87" s="509"/>
      <c r="AP87" s="510"/>
      <c r="AQ87" s="510"/>
      <c r="AR87" s="442" t="e">
        <f t="shared" ref="AR87:AR101" si="85">RANK(AQ87, AQ$87:AQ$101)</f>
        <v>#N/A</v>
      </c>
      <c r="AS87" s="636" t="e">
        <f t="shared" ref="AS87" si="86">AVERAGE(AQ87:AQ101)</f>
        <v>#DIV/0!</v>
      </c>
      <c r="AT87" s="509"/>
      <c r="AU87" s="510"/>
      <c r="AV87" s="510"/>
      <c r="AW87" s="442" t="e">
        <f t="shared" ref="AW87:AW101" si="87">RANK(AV87, AV$87:AV$101)</f>
        <v>#N/A</v>
      </c>
      <c r="AX87" s="636" t="e">
        <f t="shared" ref="AX87" si="88">AVERAGE(AV87:AV101)</f>
        <v>#DIV/0!</v>
      </c>
      <c r="AZ87" s="524" t="e">
        <f t="shared" ref="AZ87:AZ101" si="89">RANK(AY87, AY$87:AY$101)</f>
        <v>#N/A</v>
      </c>
      <c r="BA87" s="636" t="e">
        <f t="shared" ref="BA87" si="90">AVERAGE(AY87:AY101)</f>
        <v>#DIV/0!</v>
      </c>
    </row>
    <row r="88" spans="2:53">
      <c r="B88" s="622"/>
      <c r="C88" s="298">
        <v>2</v>
      </c>
      <c r="D88" s="226"/>
      <c r="E88" s="182"/>
      <c r="F88" s="466"/>
      <c r="G88" s="467"/>
      <c r="H88" s="664"/>
      <c r="I88" s="516" t="str">
        <f t="shared" si="74"/>
        <v>-</v>
      </c>
      <c r="J88" s="516" t="str">
        <f t="shared" si="75"/>
        <v>-</v>
      </c>
      <c r="K88" s="200" t="str">
        <f t="shared" si="76"/>
        <v>-</v>
      </c>
      <c r="L88" s="596"/>
      <c r="M88" s="201" t="e">
        <f>RANK(K88, K$87:$K$101)</f>
        <v>#VALUE!</v>
      </c>
      <c r="N88" s="614"/>
      <c r="O88" s="614"/>
      <c r="P88" s="509"/>
      <c r="Q88" s="510"/>
      <c r="R88" s="510"/>
      <c r="S88" s="298" t="e">
        <f t="shared" ref="S88:S101" si="91">RANK(R88, R$87:R$101)</f>
        <v>#N/A</v>
      </c>
      <c r="T88" s="636"/>
      <c r="U88" s="509"/>
      <c r="V88" s="510"/>
      <c r="W88" s="510"/>
      <c r="X88" s="442" t="e">
        <f t="shared" si="77"/>
        <v>#N/A</v>
      </c>
      <c r="Y88" s="636"/>
      <c r="Z88" s="509"/>
      <c r="AA88" s="510"/>
      <c r="AB88" s="510"/>
      <c r="AC88" s="442" t="e">
        <f t="shared" si="79"/>
        <v>#N/A</v>
      </c>
      <c r="AD88" s="636"/>
      <c r="AE88" s="509"/>
      <c r="AF88" s="510"/>
      <c r="AG88" s="510"/>
      <c r="AH88" s="442" t="e">
        <f t="shared" si="81"/>
        <v>#N/A</v>
      </c>
      <c r="AI88" s="636"/>
      <c r="AJ88" s="509"/>
      <c r="AK88" s="510"/>
      <c r="AL88" s="510"/>
      <c r="AM88" s="442" t="e">
        <f t="shared" si="83"/>
        <v>#N/A</v>
      </c>
      <c r="AN88" s="636"/>
      <c r="AO88" s="509"/>
      <c r="AP88" s="510"/>
      <c r="AQ88" s="510"/>
      <c r="AR88" s="442" t="e">
        <f t="shared" si="85"/>
        <v>#N/A</v>
      </c>
      <c r="AS88" s="636"/>
      <c r="AT88" s="509"/>
      <c r="AU88" s="510"/>
      <c r="AV88" s="510"/>
      <c r="AW88" s="442" t="e">
        <f t="shared" si="87"/>
        <v>#N/A</v>
      </c>
      <c r="AX88" s="636"/>
      <c r="AZ88" s="524" t="e">
        <f t="shared" si="89"/>
        <v>#N/A</v>
      </c>
      <c r="BA88" s="636"/>
    </row>
    <row r="89" spans="2:53">
      <c r="B89" s="622"/>
      <c r="C89" s="298">
        <v>3</v>
      </c>
      <c r="D89" s="226"/>
      <c r="E89" s="182"/>
      <c r="F89" s="466"/>
      <c r="G89" s="467"/>
      <c r="H89" s="664"/>
      <c r="I89" s="516" t="str">
        <f t="shared" si="74"/>
        <v>-</v>
      </c>
      <c r="J89" s="516" t="str">
        <f t="shared" si="75"/>
        <v>-</v>
      </c>
      <c r="K89" s="200" t="str">
        <f t="shared" si="76"/>
        <v>-</v>
      </c>
      <c r="L89" s="596"/>
      <c r="M89" s="201" t="e">
        <f>RANK(K89, K$87:$K$101)</f>
        <v>#VALUE!</v>
      </c>
      <c r="N89" s="614"/>
      <c r="O89" s="614"/>
      <c r="P89" s="509"/>
      <c r="Q89" s="510"/>
      <c r="R89" s="510"/>
      <c r="S89" s="298" t="e">
        <f t="shared" si="91"/>
        <v>#N/A</v>
      </c>
      <c r="T89" s="636"/>
      <c r="U89" s="509"/>
      <c r="V89" s="510"/>
      <c r="W89" s="510"/>
      <c r="X89" s="442" t="e">
        <f t="shared" si="77"/>
        <v>#N/A</v>
      </c>
      <c r="Y89" s="636"/>
      <c r="Z89" s="509"/>
      <c r="AA89" s="510"/>
      <c r="AB89" s="510"/>
      <c r="AC89" s="442" t="e">
        <f t="shared" si="79"/>
        <v>#N/A</v>
      </c>
      <c r="AD89" s="636"/>
      <c r="AE89" s="509"/>
      <c r="AF89" s="510"/>
      <c r="AG89" s="510"/>
      <c r="AH89" s="442" t="e">
        <f t="shared" si="81"/>
        <v>#N/A</v>
      </c>
      <c r="AI89" s="636"/>
      <c r="AJ89" s="509"/>
      <c r="AK89" s="510"/>
      <c r="AL89" s="510"/>
      <c r="AM89" s="442" t="e">
        <f t="shared" si="83"/>
        <v>#N/A</v>
      </c>
      <c r="AN89" s="636"/>
      <c r="AO89" s="509"/>
      <c r="AP89" s="510"/>
      <c r="AQ89" s="510"/>
      <c r="AR89" s="442" t="e">
        <f t="shared" si="85"/>
        <v>#N/A</v>
      </c>
      <c r="AS89" s="636"/>
      <c r="AT89" s="509"/>
      <c r="AU89" s="510"/>
      <c r="AV89" s="510"/>
      <c r="AW89" s="442" t="e">
        <f t="shared" si="87"/>
        <v>#N/A</v>
      </c>
      <c r="AX89" s="636"/>
      <c r="AZ89" s="524" t="e">
        <f t="shared" si="89"/>
        <v>#N/A</v>
      </c>
      <c r="BA89" s="636"/>
    </row>
    <row r="90" spans="2:53">
      <c r="B90" s="622"/>
      <c r="C90" s="298">
        <v>4</v>
      </c>
      <c r="D90" s="226"/>
      <c r="E90" s="182"/>
      <c r="F90" s="466"/>
      <c r="G90" s="467"/>
      <c r="H90" s="664"/>
      <c r="I90" s="516" t="str">
        <f t="shared" si="74"/>
        <v>-</v>
      </c>
      <c r="J90" s="516" t="str">
        <f t="shared" si="75"/>
        <v>-</v>
      </c>
      <c r="K90" s="200" t="str">
        <f t="shared" si="76"/>
        <v>-</v>
      </c>
      <c r="L90" s="596"/>
      <c r="M90" s="201" t="e">
        <f>RANK(K90, K$87:$K$101)</f>
        <v>#VALUE!</v>
      </c>
      <c r="N90" s="614"/>
      <c r="O90" s="614"/>
      <c r="P90" s="509"/>
      <c r="Q90" s="510"/>
      <c r="R90" s="510"/>
      <c r="S90" s="298" t="e">
        <f t="shared" si="91"/>
        <v>#N/A</v>
      </c>
      <c r="T90" s="636"/>
      <c r="U90" s="509"/>
      <c r="V90" s="510"/>
      <c r="W90" s="510"/>
      <c r="X90" s="442" t="e">
        <f t="shared" si="77"/>
        <v>#N/A</v>
      </c>
      <c r="Y90" s="636"/>
      <c r="Z90" s="509"/>
      <c r="AA90" s="510"/>
      <c r="AB90" s="510"/>
      <c r="AC90" s="442" t="e">
        <f t="shared" si="79"/>
        <v>#N/A</v>
      </c>
      <c r="AD90" s="636"/>
      <c r="AE90" s="509"/>
      <c r="AF90" s="510"/>
      <c r="AG90" s="510"/>
      <c r="AH90" s="442" t="e">
        <f t="shared" si="81"/>
        <v>#N/A</v>
      </c>
      <c r="AI90" s="636"/>
      <c r="AJ90" s="509"/>
      <c r="AK90" s="510"/>
      <c r="AL90" s="510"/>
      <c r="AM90" s="442" t="e">
        <f t="shared" si="83"/>
        <v>#N/A</v>
      </c>
      <c r="AN90" s="636"/>
      <c r="AO90" s="509"/>
      <c r="AP90" s="510"/>
      <c r="AQ90" s="510"/>
      <c r="AR90" s="442" t="e">
        <f t="shared" si="85"/>
        <v>#N/A</v>
      </c>
      <c r="AS90" s="636"/>
      <c r="AT90" s="509"/>
      <c r="AU90" s="510"/>
      <c r="AV90" s="510"/>
      <c r="AW90" s="442" t="e">
        <f t="shared" si="87"/>
        <v>#N/A</v>
      </c>
      <c r="AX90" s="636"/>
      <c r="AZ90" s="524" t="e">
        <f t="shared" si="89"/>
        <v>#N/A</v>
      </c>
      <c r="BA90" s="636"/>
    </row>
    <row r="91" spans="2:53">
      <c r="B91" s="622"/>
      <c r="C91" s="298">
        <v>5</v>
      </c>
      <c r="D91" s="226"/>
      <c r="E91" s="182"/>
      <c r="F91" s="466"/>
      <c r="G91" s="467"/>
      <c r="H91" s="664"/>
      <c r="I91" s="516" t="str">
        <f t="shared" si="74"/>
        <v>-</v>
      </c>
      <c r="J91" s="516" t="str">
        <f t="shared" si="75"/>
        <v>-</v>
      </c>
      <c r="K91" s="200" t="str">
        <f t="shared" si="76"/>
        <v>-</v>
      </c>
      <c r="L91" s="596"/>
      <c r="M91" s="201" t="e">
        <f>RANK(K91, K$87:$K$101)</f>
        <v>#VALUE!</v>
      </c>
      <c r="N91" s="614"/>
      <c r="O91" s="614"/>
      <c r="P91" s="509"/>
      <c r="Q91" s="510"/>
      <c r="R91" s="510"/>
      <c r="S91" s="298" t="e">
        <f t="shared" si="91"/>
        <v>#N/A</v>
      </c>
      <c r="T91" s="636"/>
      <c r="U91" s="509"/>
      <c r="V91" s="510"/>
      <c r="W91" s="510"/>
      <c r="X91" s="442" t="e">
        <f t="shared" si="77"/>
        <v>#N/A</v>
      </c>
      <c r="Y91" s="636"/>
      <c r="Z91" s="509"/>
      <c r="AA91" s="510"/>
      <c r="AB91" s="510"/>
      <c r="AC91" s="442" t="e">
        <f t="shared" si="79"/>
        <v>#N/A</v>
      </c>
      <c r="AD91" s="636"/>
      <c r="AE91" s="509"/>
      <c r="AF91" s="510"/>
      <c r="AG91" s="510"/>
      <c r="AH91" s="442" t="e">
        <f t="shared" si="81"/>
        <v>#N/A</v>
      </c>
      <c r="AI91" s="636"/>
      <c r="AJ91" s="509"/>
      <c r="AK91" s="510"/>
      <c r="AL91" s="510"/>
      <c r="AM91" s="442" t="e">
        <f t="shared" si="83"/>
        <v>#N/A</v>
      </c>
      <c r="AN91" s="636"/>
      <c r="AO91" s="509"/>
      <c r="AP91" s="510"/>
      <c r="AQ91" s="510"/>
      <c r="AR91" s="442" t="e">
        <f t="shared" si="85"/>
        <v>#N/A</v>
      </c>
      <c r="AS91" s="636"/>
      <c r="AT91" s="509"/>
      <c r="AU91" s="510"/>
      <c r="AV91" s="510"/>
      <c r="AW91" s="442" t="e">
        <f t="shared" si="87"/>
        <v>#N/A</v>
      </c>
      <c r="AX91" s="636"/>
      <c r="AZ91" s="524" t="e">
        <f t="shared" si="89"/>
        <v>#N/A</v>
      </c>
      <c r="BA91" s="636"/>
    </row>
    <row r="92" spans="2:53">
      <c r="B92" s="622"/>
      <c r="C92" s="298">
        <v>6</v>
      </c>
      <c r="D92" s="226"/>
      <c r="E92" s="182"/>
      <c r="F92" s="466"/>
      <c r="G92" s="467"/>
      <c r="H92" s="664"/>
      <c r="I92" s="516" t="str">
        <f t="shared" si="74"/>
        <v>-</v>
      </c>
      <c r="J92" s="516" t="str">
        <f t="shared" si="75"/>
        <v>-</v>
      </c>
      <c r="K92" s="200" t="str">
        <f t="shared" si="76"/>
        <v>-</v>
      </c>
      <c r="L92" s="596"/>
      <c r="M92" s="201" t="e">
        <f>RANK(K92, K$87:$K$101)</f>
        <v>#VALUE!</v>
      </c>
      <c r="N92" s="614"/>
      <c r="O92" s="614"/>
      <c r="P92" s="509"/>
      <c r="Q92" s="510"/>
      <c r="R92" s="510"/>
      <c r="S92" s="298" t="e">
        <f t="shared" si="91"/>
        <v>#N/A</v>
      </c>
      <c r="T92" s="636"/>
      <c r="U92" s="509"/>
      <c r="V92" s="510"/>
      <c r="W92" s="510"/>
      <c r="X92" s="442" t="e">
        <f t="shared" si="77"/>
        <v>#N/A</v>
      </c>
      <c r="Y92" s="636"/>
      <c r="Z92" s="509"/>
      <c r="AA92" s="510"/>
      <c r="AB92" s="510"/>
      <c r="AC92" s="442" t="e">
        <f t="shared" si="79"/>
        <v>#N/A</v>
      </c>
      <c r="AD92" s="636"/>
      <c r="AE92" s="509"/>
      <c r="AF92" s="510"/>
      <c r="AG92" s="510"/>
      <c r="AH92" s="442" t="e">
        <f t="shared" si="81"/>
        <v>#N/A</v>
      </c>
      <c r="AI92" s="636"/>
      <c r="AJ92" s="509"/>
      <c r="AK92" s="510"/>
      <c r="AL92" s="510"/>
      <c r="AM92" s="442" t="e">
        <f t="shared" si="83"/>
        <v>#N/A</v>
      </c>
      <c r="AN92" s="636"/>
      <c r="AO92" s="509"/>
      <c r="AP92" s="510"/>
      <c r="AQ92" s="510"/>
      <c r="AR92" s="442" t="e">
        <f t="shared" si="85"/>
        <v>#N/A</v>
      </c>
      <c r="AS92" s="636"/>
      <c r="AT92" s="509"/>
      <c r="AU92" s="510"/>
      <c r="AV92" s="510"/>
      <c r="AW92" s="442" t="e">
        <f t="shared" si="87"/>
        <v>#N/A</v>
      </c>
      <c r="AX92" s="636"/>
      <c r="AZ92" s="524" t="e">
        <f t="shared" si="89"/>
        <v>#N/A</v>
      </c>
      <c r="BA92" s="636"/>
    </row>
    <row r="93" spans="2:53">
      <c r="B93" s="622"/>
      <c r="C93" s="298">
        <v>7</v>
      </c>
      <c r="D93" s="226"/>
      <c r="E93" s="182"/>
      <c r="F93" s="466"/>
      <c r="G93" s="467"/>
      <c r="H93" s="664"/>
      <c r="I93" s="516" t="str">
        <f t="shared" si="74"/>
        <v>-</v>
      </c>
      <c r="J93" s="516" t="str">
        <f t="shared" si="75"/>
        <v>-</v>
      </c>
      <c r="K93" s="200" t="str">
        <f t="shared" si="76"/>
        <v>-</v>
      </c>
      <c r="L93" s="596"/>
      <c r="M93" s="201" t="e">
        <f>RANK(K93, K$87:$K$101)</f>
        <v>#VALUE!</v>
      </c>
      <c r="N93" s="614"/>
      <c r="O93" s="614"/>
      <c r="P93" s="509"/>
      <c r="Q93" s="510"/>
      <c r="R93" s="510"/>
      <c r="S93" s="298" t="e">
        <f t="shared" si="91"/>
        <v>#N/A</v>
      </c>
      <c r="T93" s="636"/>
      <c r="U93" s="509"/>
      <c r="V93" s="510"/>
      <c r="W93" s="510"/>
      <c r="X93" s="442" t="e">
        <f t="shared" si="77"/>
        <v>#N/A</v>
      </c>
      <c r="Y93" s="636"/>
      <c r="Z93" s="509"/>
      <c r="AA93" s="510"/>
      <c r="AB93" s="510"/>
      <c r="AC93" s="442" t="e">
        <f t="shared" si="79"/>
        <v>#N/A</v>
      </c>
      <c r="AD93" s="636"/>
      <c r="AE93" s="509"/>
      <c r="AF93" s="510"/>
      <c r="AG93" s="510"/>
      <c r="AH93" s="442" t="e">
        <f t="shared" si="81"/>
        <v>#N/A</v>
      </c>
      <c r="AI93" s="636"/>
      <c r="AJ93" s="509"/>
      <c r="AK93" s="510"/>
      <c r="AL93" s="510"/>
      <c r="AM93" s="442" t="e">
        <f t="shared" si="83"/>
        <v>#N/A</v>
      </c>
      <c r="AN93" s="636"/>
      <c r="AO93" s="509"/>
      <c r="AP93" s="510"/>
      <c r="AQ93" s="510"/>
      <c r="AR93" s="442" t="e">
        <f t="shared" si="85"/>
        <v>#N/A</v>
      </c>
      <c r="AS93" s="636"/>
      <c r="AT93" s="509"/>
      <c r="AU93" s="510"/>
      <c r="AV93" s="510"/>
      <c r="AW93" s="442" t="e">
        <f t="shared" si="87"/>
        <v>#N/A</v>
      </c>
      <c r="AX93" s="636"/>
      <c r="AZ93" s="524" t="e">
        <f t="shared" si="89"/>
        <v>#N/A</v>
      </c>
      <c r="BA93" s="636"/>
    </row>
    <row r="94" spans="2:53">
      <c r="B94" s="622"/>
      <c r="C94" s="298">
        <v>8</v>
      </c>
      <c r="D94" s="226"/>
      <c r="E94" s="182"/>
      <c r="F94" s="466"/>
      <c r="G94" s="467"/>
      <c r="H94" s="664"/>
      <c r="I94" s="516" t="str">
        <f t="shared" si="74"/>
        <v>-</v>
      </c>
      <c r="J94" s="516" t="str">
        <f t="shared" si="75"/>
        <v>-</v>
      </c>
      <c r="K94" s="200" t="str">
        <f t="shared" si="76"/>
        <v>-</v>
      </c>
      <c r="L94" s="596"/>
      <c r="M94" s="201" t="e">
        <f>RANK(K94, K$87:$K$101)</f>
        <v>#VALUE!</v>
      </c>
      <c r="N94" s="614"/>
      <c r="O94" s="614"/>
      <c r="P94" s="509"/>
      <c r="Q94" s="510"/>
      <c r="R94" s="510"/>
      <c r="S94" s="298" t="e">
        <f t="shared" si="91"/>
        <v>#N/A</v>
      </c>
      <c r="T94" s="636"/>
      <c r="U94" s="509"/>
      <c r="V94" s="510"/>
      <c r="W94" s="510"/>
      <c r="X94" s="442" t="e">
        <f t="shared" si="77"/>
        <v>#N/A</v>
      </c>
      <c r="Y94" s="636"/>
      <c r="Z94" s="509"/>
      <c r="AA94" s="510"/>
      <c r="AB94" s="510"/>
      <c r="AC94" s="442" t="e">
        <f t="shared" si="79"/>
        <v>#N/A</v>
      </c>
      <c r="AD94" s="636"/>
      <c r="AE94" s="509"/>
      <c r="AF94" s="510"/>
      <c r="AG94" s="510"/>
      <c r="AH94" s="442" t="e">
        <f t="shared" si="81"/>
        <v>#N/A</v>
      </c>
      <c r="AI94" s="636"/>
      <c r="AJ94" s="509"/>
      <c r="AK94" s="510"/>
      <c r="AL94" s="510"/>
      <c r="AM94" s="442" t="e">
        <f t="shared" si="83"/>
        <v>#N/A</v>
      </c>
      <c r="AN94" s="636"/>
      <c r="AO94" s="509"/>
      <c r="AP94" s="510"/>
      <c r="AQ94" s="510"/>
      <c r="AR94" s="442" t="e">
        <f t="shared" si="85"/>
        <v>#N/A</v>
      </c>
      <c r="AS94" s="636"/>
      <c r="AT94" s="509"/>
      <c r="AU94" s="510"/>
      <c r="AV94" s="510"/>
      <c r="AW94" s="442" t="e">
        <f t="shared" si="87"/>
        <v>#N/A</v>
      </c>
      <c r="AX94" s="636"/>
      <c r="AZ94" s="524" t="e">
        <f t="shared" si="89"/>
        <v>#N/A</v>
      </c>
      <c r="BA94" s="636"/>
    </row>
    <row r="95" spans="2:53">
      <c r="B95" s="622"/>
      <c r="C95" s="298">
        <v>9</v>
      </c>
      <c r="D95" s="226"/>
      <c r="E95" s="182"/>
      <c r="F95" s="466"/>
      <c r="G95" s="467"/>
      <c r="H95" s="664"/>
      <c r="I95" s="516" t="str">
        <f t="shared" si="74"/>
        <v>-</v>
      </c>
      <c r="J95" s="516" t="str">
        <f t="shared" si="75"/>
        <v>-</v>
      </c>
      <c r="K95" s="200" t="str">
        <f t="shared" si="76"/>
        <v>-</v>
      </c>
      <c r="L95" s="596"/>
      <c r="M95" s="201" t="e">
        <f>RANK(K95, K$87:$K$101)</f>
        <v>#VALUE!</v>
      </c>
      <c r="N95" s="614"/>
      <c r="O95" s="614"/>
      <c r="P95" s="509"/>
      <c r="Q95" s="510"/>
      <c r="R95" s="510"/>
      <c r="S95" s="298" t="e">
        <f t="shared" si="91"/>
        <v>#N/A</v>
      </c>
      <c r="T95" s="636"/>
      <c r="U95" s="509"/>
      <c r="V95" s="510"/>
      <c r="W95" s="510"/>
      <c r="X95" s="442" t="e">
        <f t="shared" si="77"/>
        <v>#N/A</v>
      </c>
      <c r="Y95" s="636"/>
      <c r="Z95" s="509"/>
      <c r="AA95" s="510"/>
      <c r="AB95" s="510"/>
      <c r="AC95" s="442" t="e">
        <f t="shared" si="79"/>
        <v>#N/A</v>
      </c>
      <c r="AD95" s="636"/>
      <c r="AE95" s="509"/>
      <c r="AF95" s="510"/>
      <c r="AG95" s="510"/>
      <c r="AH95" s="442" t="e">
        <f t="shared" si="81"/>
        <v>#N/A</v>
      </c>
      <c r="AI95" s="636"/>
      <c r="AJ95" s="509"/>
      <c r="AK95" s="510"/>
      <c r="AL95" s="510"/>
      <c r="AM95" s="442" t="e">
        <f t="shared" si="83"/>
        <v>#N/A</v>
      </c>
      <c r="AN95" s="636"/>
      <c r="AO95" s="509"/>
      <c r="AP95" s="510"/>
      <c r="AQ95" s="510"/>
      <c r="AR95" s="442" t="e">
        <f t="shared" si="85"/>
        <v>#N/A</v>
      </c>
      <c r="AS95" s="636"/>
      <c r="AT95" s="509"/>
      <c r="AU95" s="510"/>
      <c r="AV95" s="510"/>
      <c r="AW95" s="442" t="e">
        <f t="shared" si="87"/>
        <v>#N/A</v>
      </c>
      <c r="AX95" s="636"/>
      <c r="AZ95" s="524" t="e">
        <f t="shared" si="89"/>
        <v>#N/A</v>
      </c>
      <c r="BA95" s="636"/>
    </row>
    <row r="96" spans="2:53">
      <c r="B96" s="622"/>
      <c r="C96" s="298">
        <v>10</v>
      </c>
      <c r="D96" s="226"/>
      <c r="E96" s="182"/>
      <c r="F96" s="466"/>
      <c r="G96" s="467"/>
      <c r="H96" s="664"/>
      <c r="I96" s="516" t="str">
        <f t="shared" si="74"/>
        <v>-</v>
      </c>
      <c r="J96" s="516" t="str">
        <f t="shared" si="75"/>
        <v>-</v>
      </c>
      <c r="K96" s="200" t="str">
        <f t="shared" si="76"/>
        <v>-</v>
      </c>
      <c r="L96" s="596"/>
      <c r="M96" s="201" t="e">
        <f>RANK(K96, K$87:$K$101)</f>
        <v>#VALUE!</v>
      </c>
      <c r="N96" s="614"/>
      <c r="O96" s="614"/>
      <c r="P96" s="509"/>
      <c r="Q96" s="510"/>
      <c r="R96" s="510"/>
      <c r="S96" s="298" t="e">
        <f t="shared" si="91"/>
        <v>#N/A</v>
      </c>
      <c r="T96" s="636"/>
      <c r="U96" s="509"/>
      <c r="V96" s="510"/>
      <c r="W96" s="510"/>
      <c r="X96" s="442" t="e">
        <f t="shared" si="77"/>
        <v>#N/A</v>
      </c>
      <c r="Y96" s="636"/>
      <c r="Z96" s="509"/>
      <c r="AA96" s="510"/>
      <c r="AB96" s="510"/>
      <c r="AC96" s="442" t="e">
        <f t="shared" si="79"/>
        <v>#N/A</v>
      </c>
      <c r="AD96" s="636"/>
      <c r="AE96" s="509"/>
      <c r="AF96" s="510"/>
      <c r="AG96" s="510"/>
      <c r="AH96" s="442" t="e">
        <f t="shared" si="81"/>
        <v>#N/A</v>
      </c>
      <c r="AI96" s="636"/>
      <c r="AJ96" s="509"/>
      <c r="AK96" s="510"/>
      <c r="AL96" s="510"/>
      <c r="AM96" s="442" t="e">
        <f t="shared" si="83"/>
        <v>#N/A</v>
      </c>
      <c r="AN96" s="636"/>
      <c r="AO96" s="509"/>
      <c r="AP96" s="510"/>
      <c r="AQ96" s="510"/>
      <c r="AR96" s="442" t="e">
        <f t="shared" si="85"/>
        <v>#N/A</v>
      </c>
      <c r="AS96" s="636"/>
      <c r="AT96" s="509"/>
      <c r="AU96" s="510"/>
      <c r="AV96" s="510"/>
      <c r="AW96" s="442" t="e">
        <f t="shared" si="87"/>
        <v>#N/A</v>
      </c>
      <c r="AX96" s="636"/>
      <c r="AZ96" s="524" t="e">
        <f t="shared" si="89"/>
        <v>#N/A</v>
      </c>
      <c r="BA96" s="636"/>
    </row>
    <row r="97" spans="2:53">
      <c r="B97" s="622"/>
      <c r="C97" s="298">
        <v>11</v>
      </c>
      <c r="D97" s="226"/>
      <c r="E97" s="182"/>
      <c r="F97" s="466"/>
      <c r="G97" s="467"/>
      <c r="H97" s="664"/>
      <c r="I97" s="516" t="str">
        <f t="shared" si="74"/>
        <v>-</v>
      </c>
      <c r="J97" s="516" t="str">
        <f t="shared" si="75"/>
        <v>-</v>
      </c>
      <c r="K97" s="200" t="str">
        <f t="shared" si="76"/>
        <v>-</v>
      </c>
      <c r="L97" s="596"/>
      <c r="M97" s="201" t="e">
        <f>RANK(K97, K$87:$K$101)</f>
        <v>#VALUE!</v>
      </c>
      <c r="N97" s="614"/>
      <c r="O97" s="614"/>
      <c r="P97" s="509"/>
      <c r="Q97" s="510"/>
      <c r="R97" s="510"/>
      <c r="S97" s="298" t="e">
        <f t="shared" si="91"/>
        <v>#N/A</v>
      </c>
      <c r="T97" s="636"/>
      <c r="U97" s="509"/>
      <c r="V97" s="510"/>
      <c r="W97" s="510"/>
      <c r="X97" s="442" t="e">
        <f t="shared" si="77"/>
        <v>#N/A</v>
      </c>
      <c r="Y97" s="636"/>
      <c r="Z97" s="509"/>
      <c r="AA97" s="510"/>
      <c r="AB97" s="510"/>
      <c r="AC97" s="442" t="e">
        <f t="shared" si="79"/>
        <v>#N/A</v>
      </c>
      <c r="AD97" s="636"/>
      <c r="AE97" s="509"/>
      <c r="AF97" s="510"/>
      <c r="AG97" s="510"/>
      <c r="AH97" s="442" t="e">
        <f t="shared" si="81"/>
        <v>#N/A</v>
      </c>
      <c r="AI97" s="636"/>
      <c r="AJ97" s="509"/>
      <c r="AK97" s="510"/>
      <c r="AL97" s="510"/>
      <c r="AM97" s="442" t="e">
        <f t="shared" si="83"/>
        <v>#N/A</v>
      </c>
      <c r="AN97" s="636"/>
      <c r="AO97" s="509"/>
      <c r="AP97" s="510"/>
      <c r="AQ97" s="510"/>
      <c r="AR97" s="442" t="e">
        <f t="shared" si="85"/>
        <v>#N/A</v>
      </c>
      <c r="AS97" s="636"/>
      <c r="AT97" s="509"/>
      <c r="AU97" s="510"/>
      <c r="AV97" s="510"/>
      <c r="AW97" s="442" t="e">
        <f t="shared" si="87"/>
        <v>#N/A</v>
      </c>
      <c r="AX97" s="636"/>
      <c r="AZ97" s="524" t="e">
        <f t="shared" si="89"/>
        <v>#N/A</v>
      </c>
      <c r="BA97" s="636"/>
    </row>
    <row r="98" spans="2:53">
      <c r="B98" s="622"/>
      <c r="C98" s="298">
        <v>12</v>
      </c>
      <c r="D98" s="226"/>
      <c r="E98" s="182"/>
      <c r="F98" s="466"/>
      <c r="G98" s="467"/>
      <c r="H98" s="664"/>
      <c r="I98" s="516" t="str">
        <f t="shared" si="74"/>
        <v>-</v>
      </c>
      <c r="J98" s="516" t="str">
        <f t="shared" si="75"/>
        <v>-</v>
      </c>
      <c r="K98" s="200" t="str">
        <f t="shared" si="76"/>
        <v>-</v>
      </c>
      <c r="L98" s="596"/>
      <c r="M98" s="201" t="e">
        <f>RANK(K98, K$87:$K$101)</f>
        <v>#VALUE!</v>
      </c>
      <c r="N98" s="614"/>
      <c r="O98" s="614"/>
      <c r="P98" s="509"/>
      <c r="Q98" s="510"/>
      <c r="R98" s="510"/>
      <c r="S98" s="298" t="e">
        <f t="shared" si="91"/>
        <v>#N/A</v>
      </c>
      <c r="T98" s="636"/>
      <c r="U98" s="509"/>
      <c r="V98" s="510"/>
      <c r="W98" s="510"/>
      <c r="X98" s="442" t="e">
        <f t="shared" si="77"/>
        <v>#N/A</v>
      </c>
      <c r="Y98" s="636"/>
      <c r="Z98" s="509"/>
      <c r="AA98" s="510"/>
      <c r="AB98" s="510"/>
      <c r="AC98" s="442" t="e">
        <f t="shared" si="79"/>
        <v>#N/A</v>
      </c>
      <c r="AD98" s="636"/>
      <c r="AE98" s="509"/>
      <c r="AF98" s="510"/>
      <c r="AG98" s="510"/>
      <c r="AH98" s="442" t="e">
        <f t="shared" si="81"/>
        <v>#N/A</v>
      </c>
      <c r="AI98" s="636"/>
      <c r="AJ98" s="509"/>
      <c r="AK98" s="510"/>
      <c r="AL98" s="510"/>
      <c r="AM98" s="442" t="e">
        <f t="shared" si="83"/>
        <v>#N/A</v>
      </c>
      <c r="AN98" s="636"/>
      <c r="AO98" s="509"/>
      <c r="AP98" s="510"/>
      <c r="AQ98" s="510"/>
      <c r="AR98" s="442" t="e">
        <f t="shared" si="85"/>
        <v>#N/A</v>
      </c>
      <c r="AS98" s="636"/>
      <c r="AT98" s="509"/>
      <c r="AU98" s="510"/>
      <c r="AV98" s="510"/>
      <c r="AW98" s="442" t="e">
        <f t="shared" si="87"/>
        <v>#N/A</v>
      </c>
      <c r="AX98" s="636"/>
      <c r="AZ98" s="524" t="e">
        <f t="shared" si="89"/>
        <v>#N/A</v>
      </c>
      <c r="BA98" s="636"/>
    </row>
    <row r="99" spans="2:53">
      <c r="B99" s="622"/>
      <c r="C99" s="298">
        <v>13</v>
      </c>
      <c r="D99" s="226"/>
      <c r="E99" s="182"/>
      <c r="F99" s="466"/>
      <c r="G99" s="467"/>
      <c r="H99" s="664"/>
      <c r="I99" s="516" t="str">
        <f t="shared" si="74"/>
        <v>-</v>
      </c>
      <c r="J99" s="516" t="str">
        <f t="shared" si="75"/>
        <v>-</v>
      </c>
      <c r="K99" s="200" t="str">
        <f t="shared" si="76"/>
        <v>-</v>
      </c>
      <c r="L99" s="596"/>
      <c r="M99" s="201" t="e">
        <f>RANK(K99, K$87:$K$101)</f>
        <v>#VALUE!</v>
      </c>
      <c r="N99" s="614"/>
      <c r="O99" s="614"/>
      <c r="P99" s="509"/>
      <c r="Q99" s="510"/>
      <c r="R99" s="510"/>
      <c r="S99" s="298" t="e">
        <f t="shared" si="91"/>
        <v>#N/A</v>
      </c>
      <c r="T99" s="636"/>
      <c r="U99" s="509"/>
      <c r="V99" s="510"/>
      <c r="W99" s="510"/>
      <c r="X99" s="442" t="e">
        <f t="shared" si="77"/>
        <v>#N/A</v>
      </c>
      <c r="Y99" s="636"/>
      <c r="Z99" s="509"/>
      <c r="AA99" s="510"/>
      <c r="AB99" s="510"/>
      <c r="AC99" s="442" t="e">
        <f t="shared" si="79"/>
        <v>#N/A</v>
      </c>
      <c r="AD99" s="636"/>
      <c r="AE99" s="509"/>
      <c r="AF99" s="510"/>
      <c r="AG99" s="510"/>
      <c r="AH99" s="442" t="e">
        <f t="shared" si="81"/>
        <v>#N/A</v>
      </c>
      <c r="AI99" s="636"/>
      <c r="AJ99" s="509"/>
      <c r="AK99" s="510"/>
      <c r="AL99" s="510"/>
      <c r="AM99" s="442" t="e">
        <f t="shared" si="83"/>
        <v>#N/A</v>
      </c>
      <c r="AN99" s="636"/>
      <c r="AO99" s="509"/>
      <c r="AP99" s="510"/>
      <c r="AQ99" s="510"/>
      <c r="AR99" s="442" t="e">
        <f t="shared" si="85"/>
        <v>#N/A</v>
      </c>
      <c r="AS99" s="636"/>
      <c r="AT99" s="509"/>
      <c r="AU99" s="510"/>
      <c r="AV99" s="510"/>
      <c r="AW99" s="442" t="e">
        <f t="shared" si="87"/>
        <v>#N/A</v>
      </c>
      <c r="AX99" s="636"/>
      <c r="AZ99" s="524" t="e">
        <f t="shared" si="89"/>
        <v>#N/A</v>
      </c>
      <c r="BA99" s="636"/>
    </row>
    <row r="100" spans="2:53">
      <c r="B100" s="622"/>
      <c r="C100" s="298">
        <v>14</v>
      </c>
      <c r="D100" s="226"/>
      <c r="E100" s="182"/>
      <c r="F100" s="466"/>
      <c r="G100" s="467"/>
      <c r="H100" s="664"/>
      <c r="I100" s="516" t="str">
        <f t="shared" si="74"/>
        <v>-</v>
      </c>
      <c r="J100" s="516" t="str">
        <f t="shared" si="75"/>
        <v>-</v>
      </c>
      <c r="K100" s="200" t="str">
        <f t="shared" si="76"/>
        <v>-</v>
      </c>
      <c r="L100" s="596"/>
      <c r="M100" s="201" t="e">
        <f>RANK(K100, K$87:$K$101)</f>
        <v>#VALUE!</v>
      </c>
      <c r="N100" s="614"/>
      <c r="O100" s="614"/>
      <c r="P100" s="509"/>
      <c r="Q100" s="510"/>
      <c r="R100" s="510"/>
      <c r="S100" s="298" t="e">
        <f t="shared" si="91"/>
        <v>#N/A</v>
      </c>
      <c r="T100" s="636"/>
      <c r="U100" s="509"/>
      <c r="V100" s="510"/>
      <c r="W100" s="510"/>
      <c r="X100" s="442" t="e">
        <f t="shared" si="77"/>
        <v>#N/A</v>
      </c>
      <c r="Y100" s="636"/>
      <c r="Z100" s="509"/>
      <c r="AA100" s="510"/>
      <c r="AB100" s="510"/>
      <c r="AC100" s="442" t="e">
        <f t="shared" si="79"/>
        <v>#N/A</v>
      </c>
      <c r="AD100" s="636"/>
      <c r="AE100" s="509"/>
      <c r="AF100" s="510"/>
      <c r="AG100" s="510"/>
      <c r="AH100" s="442" t="e">
        <f t="shared" si="81"/>
        <v>#N/A</v>
      </c>
      <c r="AI100" s="636"/>
      <c r="AJ100" s="509"/>
      <c r="AK100" s="510"/>
      <c r="AL100" s="510"/>
      <c r="AM100" s="442" t="e">
        <f t="shared" si="83"/>
        <v>#N/A</v>
      </c>
      <c r="AN100" s="636"/>
      <c r="AO100" s="509"/>
      <c r="AP100" s="510"/>
      <c r="AQ100" s="510"/>
      <c r="AR100" s="442" t="e">
        <f t="shared" si="85"/>
        <v>#N/A</v>
      </c>
      <c r="AS100" s="636"/>
      <c r="AT100" s="509"/>
      <c r="AU100" s="510"/>
      <c r="AV100" s="510"/>
      <c r="AW100" s="442" t="e">
        <f t="shared" si="87"/>
        <v>#N/A</v>
      </c>
      <c r="AX100" s="636"/>
      <c r="AZ100" s="524" t="e">
        <f t="shared" si="89"/>
        <v>#N/A</v>
      </c>
      <c r="BA100" s="636"/>
    </row>
    <row r="101" spans="2:53">
      <c r="B101" s="622"/>
      <c r="C101" s="298">
        <v>15</v>
      </c>
      <c r="D101" s="226"/>
      <c r="E101" s="182"/>
      <c r="F101" s="466"/>
      <c r="G101" s="467"/>
      <c r="H101" s="665"/>
      <c r="I101" s="521"/>
      <c r="J101" s="521"/>
      <c r="K101" s="517"/>
      <c r="L101" s="597"/>
      <c r="M101" s="199" t="e">
        <f>RANK(K101, K$87:$K$101)</f>
        <v>#N/A</v>
      </c>
      <c r="N101" s="614"/>
      <c r="O101" s="614"/>
      <c r="P101" s="509"/>
      <c r="Q101" s="510"/>
      <c r="R101" s="510"/>
      <c r="S101" s="298" t="e">
        <f t="shared" si="91"/>
        <v>#N/A</v>
      </c>
      <c r="T101" s="636"/>
      <c r="U101" s="509"/>
      <c r="V101" s="510"/>
      <c r="W101" s="510"/>
      <c r="X101" s="442" t="e">
        <f t="shared" si="77"/>
        <v>#N/A</v>
      </c>
      <c r="Y101" s="636"/>
      <c r="Z101" s="509"/>
      <c r="AA101" s="510"/>
      <c r="AB101" s="510"/>
      <c r="AC101" s="442" t="e">
        <f t="shared" si="79"/>
        <v>#N/A</v>
      </c>
      <c r="AD101" s="636"/>
      <c r="AE101" s="509"/>
      <c r="AF101" s="510"/>
      <c r="AG101" s="510"/>
      <c r="AH101" s="442" t="e">
        <f t="shared" si="81"/>
        <v>#N/A</v>
      </c>
      <c r="AI101" s="636"/>
      <c r="AJ101" s="509"/>
      <c r="AK101" s="510"/>
      <c r="AL101" s="510"/>
      <c r="AM101" s="442" t="e">
        <f t="shared" si="83"/>
        <v>#N/A</v>
      </c>
      <c r="AN101" s="636"/>
      <c r="AO101" s="509"/>
      <c r="AP101" s="510"/>
      <c r="AQ101" s="510"/>
      <c r="AR101" s="442" t="e">
        <f t="shared" si="85"/>
        <v>#N/A</v>
      </c>
      <c r="AS101" s="636"/>
      <c r="AT101" s="509"/>
      <c r="AU101" s="510"/>
      <c r="AV101" s="510"/>
      <c r="AW101" s="442" t="e">
        <f t="shared" si="87"/>
        <v>#N/A</v>
      </c>
      <c r="AX101" s="636"/>
      <c r="AZ101" s="524" t="e">
        <f t="shared" si="89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680</v>
      </c>
      <c r="C104" s="614" t="s">
        <v>681</v>
      </c>
      <c r="D104" s="614"/>
      <c r="E104" s="614" t="s">
        <v>682</v>
      </c>
      <c r="F104" s="614"/>
      <c r="G104" s="614"/>
      <c r="H104" s="630" t="s">
        <v>683</v>
      </c>
      <c r="I104" s="614" t="s">
        <v>684</v>
      </c>
      <c r="J104" s="614"/>
      <c r="K104" s="614"/>
      <c r="L104" s="630" t="s">
        <v>395</v>
      </c>
      <c r="M104" s="615" t="s">
        <v>685</v>
      </c>
      <c r="N104" s="614"/>
      <c r="O104" s="614" t="s">
        <v>686</v>
      </c>
      <c r="P104" s="611" t="s">
        <v>687</v>
      </c>
      <c r="Q104" s="612"/>
      <c r="R104" s="612"/>
      <c r="S104" s="613"/>
      <c r="T104" s="614" t="s">
        <v>683</v>
      </c>
      <c r="U104" s="611" t="s">
        <v>687</v>
      </c>
      <c r="V104" s="612"/>
      <c r="W104" s="612"/>
      <c r="X104" s="613"/>
      <c r="Y104" s="614" t="s">
        <v>683</v>
      </c>
      <c r="Z104" s="611" t="s">
        <v>687</v>
      </c>
      <c r="AA104" s="612"/>
      <c r="AB104" s="612"/>
      <c r="AC104" s="613"/>
      <c r="AD104" s="614" t="s">
        <v>683</v>
      </c>
      <c r="AE104" s="611" t="s">
        <v>687</v>
      </c>
      <c r="AF104" s="612"/>
      <c r="AG104" s="612"/>
      <c r="AH104" s="613"/>
      <c r="AI104" s="614" t="s">
        <v>683</v>
      </c>
      <c r="AJ104" s="611" t="s">
        <v>687</v>
      </c>
      <c r="AK104" s="612"/>
      <c r="AL104" s="612"/>
      <c r="AM104" s="613"/>
      <c r="AN104" s="614" t="s">
        <v>683</v>
      </c>
      <c r="AO104" s="611" t="s">
        <v>687</v>
      </c>
      <c r="AP104" s="612"/>
      <c r="AQ104" s="612"/>
      <c r="AR104" s="613"/>
      <c r="AS104" s="614" t="s">
        <v>683</v>
      </c>
      <c r="AT104" s="611" t="s">
        <v>687</v>
      </c>
      <c r="AU104" s="612"/>
      <c r="AV104" s="612"/>
      <c r="AW104" s="613"/>
      <c r="AX104" s="614" t="s">
        <v>683</v>
      </c>
      <c r="BA104" s="614" t="s">
        <v>395</v>
      </c>
    </row>
    <row r="105" spans="2:53">
      <c r="B105" s="614"/>
      <c r="C105" s="614"/>
      <c r="D105" s="614"/>
      <c r="E105" s="614" t="s">
        <v>688</v>
      </c>
      <c r="F105" s="614"/>
      <c r="G105" s="614"/>
      <c r="H105" s="631"/>
      <c r="I105" s="614" t="s">
        <v>688</v>
      </c>
      <c r="J105" s="614"/>
      <c r="K105" s="614"/>
      <c r="L105" s="631"/>
      <c r="M105" s="616"/>
      <c r="N105" s="614"/>
      <c r="O105" s="614"/>
      <c r="P105" s="611" t="s">
        <v>689</v>
      </c>
      <c r="Q105" s="612"/>
      <c r="R105" s="612"/>
      <c r="S105" s="613"/>
      <c r="T105" s="614"/>
      <c r="U105" s="611" t="s">
        <v>689</v>
      </c>
      <c r="V105" s="612"/>
      <c r="W105" s="612"/>
      <c r="X105" s="613"/>
      <c r="Y105" s="614"/>
      <c r="Z105" s="611" t="s">
        <v>689</v>
      </c>
      <c r="AA105" s="612"/>
      <c r="AB105" s="612"/>
      <c r="AC105" s="613"/>
      <c r="AD105" s="614"/>
      <c r="AE105" s="611" t="s">
        <v>689</v>
      </c>
      <c r="AF105" s="612"/>
      <c r="AG105" s="612"/>
      <c r="AH105" s="613"/>
      <c r="AI105" s="614"/>
      <c r="AJ105" s="611" t="s">
        <v>689</v>
      </c>
      <c r="AK105" s="612"/>
      <c r="AL105" s="612"/>
      <c r="AM105" s="613"/>
      <c r="AN105" s="614"/>
      <c r="AO105" s="611" t="s">
        <v>689</v>
      </c>
      <c r="AP105" s="612"/>
      <c r="AQ105" s="612"/>
      <c r="AR105" s="613"/>
      <c r="AS105" s="614"/>
      <c r="AT105" s="611" t="s">
        <v>689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447" t="s">
        <v>690</v>
      </c>
      <c r="F106" s="447" t="s">
        <v>691</v>
      </c>
      <c r="G106" s="447" t="s">
        <v>692</v>
      </c>
      <c r="H106" s="632"/>
      <c r="I106" s="447" t="s">
        <v>690</v>
      </c>
      <c r="J106" s="447" t="s">
        <v>691</v>
      </c>
      <c r="K106" s="447" t="s">
        <v>692</v>
      </c>
      <c r="L106" s="632"/>
      <c r="M106" s="617"/>
      <c r="N106" s="614"/>
      <c r="O106" s="614"/>
      <c r="P106" s="447" t="s">
        <v>690</v>
      </c>
      <c r="Q106" s="447" t="s">
        <v>691</v>
      </c>
      <c r="R106" s="447" t="s">
        <v>692</v>
      </c>
      <c r="S106" s="447" t="s">
        <v>685</v>
      </c>
      <c r="T106" s="614"/>
      <c r="U106" s="447" t="s">
        <v>690</v>
      </c>
      <c r="V106" s="447" t="s">
        <v>691</v>
      </c>
      <c r="W106" s="447" t="s">
        <v>692</v>
      </c>
      <c r="X106" s="447" t="s">
        <v>685</v>
      </c>
      <c r="Y106" s="614"/>
      <c r="Z106" s="447" t="s">
        <v>690</v>
      </c>
      <c r="AA106" s="447" t="s">
        <v>691</v>
      </c>
      <c r="AB106" s="447" t="s">
        <v>692</v>
      </c>
      <c r="AC106" s="447" t="s">
        <v>685</v>
      </c>
      <c r="AD106" s="614"/>
      <c r="AE106" s="447" t="s">
        <v>690</v>
      </c>
      <c r="AF106" s="447" t="s">
        <v>691</v>
      </c>
      <c r="AG106" s="447" t="s">
        <v>692</v>
      </c>
      <c r="AH106" s="447" t="s">
        <v>685</v>
      </c>
      <c r="AI106" s="614"/>
      <c r="AJ106" s="447" t="s">
        <v>690</v>
      </c>
      <c r="AK106" s="447" t="s">
        <v>691</v>
      </c>
      <c r="AL106" s="447" t="s">
        <v>692</v>
      </c>
      <c r="AM106" s="447" t="s">
        <v>685</v>
      </c>
      <c r="AN106" s="614"/>
      <c r="AO106" s="447" t="s">
        <v>690</v>
      </c>
      <c r="AP106" s="447" t="s">
        <v>691</v>
      </c>
      <c r="AQ106" s="447" t="s">
        <v>692</v>
      </c>
      <c r="AR106" s="447" t="s">
        <v>685</v>
      </c>
      <c r="AS106" s="614"/>
      <c r="AT106" s="447" t="s">
        <v>690</v>
      </c>
      <c r="AU106" s="447" t="s">
        <v>691</v>
      </c>
      <c r="AV106" s="447" t="s">
        <v>692</v>
      </c>
      <c r="AW106" s="447" t="s">
        <v>685</v>
      </c>
      <c r="AX106" s="614"/>
      <c r="AZ106" s="523" t="s">
        <v>685</v>
      </c>
      <c r="BA106" s="614"/>
    </row>
    <row r="107" spans="2:53">
      <c r="B107" s="662" t="s">
        <v>694</v>
      </c>
      <c r="C107" s="452">
        <v>1</v>
      </c>
      <c r="D107" s="456"/>
      <c r="E107" s="453"/>
      <c r="F107" s="453"/>
      <c r="G107" s="453"/>
      <c r="H107" s="658" t="e">
        <f>AVERAGE(G107:G121)</f>
        <v>#DIV/0!</v>
      </c>
      <c r="I107" s="516" t="str">
        <f t="shared" ref="I107:I120" si="92">IFERROR(AVERAGE(P107,U107,Z107,AE107,AJ107,AO107,AT107),"-")</f>
        <v>-</v>
      </c>
      <c r="J107" s="516" t="str">
        <f t="shared" ref="J107:J120" si="93">IFERROR(AVERAGE(Q107,V107,AA107,AF107,AK107,AP107,AU107),"-")</f>
        <v>-</v>
      </c>
      <c r="K107" s="200" t="str">
        <f t="shared" ref="K107:K120" si="94">IFERROR(AVERAGE(R107,W107,AB107,AG107,AL107,AQ107,AV107),"-")</f>
        <v>-</v>
      </c>
      <c r="L107" s="595" t="str">
        <f>IFERROR(AVERAGE(K107:K121),"-")</f>
        <v>-</v>
      </c>
      <c r="M107" s="453" t="e">
        <f>RANK(K107, K$67:$K$81)</f>
        <v>#VALUE!</v>
      </c>
      <c r="N107" s="614"/>
      <c r="O107" s="614"/>
      <c r="P107" s="182"/>
      <c r="Q107" s="182"/>
      <c r="R107" s="182"/>
      <c r="S107" s="452" t="e">
        <f>RANK(R107, R$67:R$81)</f>
        <v>#N/A</v>
      </c>
      <c r="T107" s="661" t="e">
        <f>AVERAGE(R107:R121)</f>
        <v>#DIV/0!</v>
      </c>
      <c r="U107" s="182"/>
      <c r="V107" s="182"/>
      <c r="W107" s="182"/>
      <c r="X107" s="452" t="e">
        <f t="shared" ref="X107:AM121" si="95">RANK(W107, W$67:W$81)</f>
        <v>#N/A</v>
      </c>
      <c r="Y107" s="661" t="e">
        <f t="shared" ref="Y107" si="96">AVERAGE(W107:W121)</f>
        <v>#DIV/0!</v>
      </c>
      <c r="Z107" s="182"/>
      <c r="AA107" s="182"/>
      <c r="AB107" s="182"/>
      <c r="AC107" s="452" t="e">
        <f t="shared" ref="AC107" si="97">RANK(AB107, AB$67:AB$81)</f>
        <v>#N/A</v>
      </c>
      <c r="AD107" s="661" t="e">
        <f t="shared" ref="AD107" si="98">AVERAGE(AB107:AB121)</f>
        <v>#DIV/0!</v>
      </c>
      <c r="AE107" s="182"/>
      <c r="AF107" s="182"/>
      <c r="AG107" s="182"/>
      <c r="AH107" s="452" t="e">
        <f t="shared" ref="AH107" si="99">RANK(AG107, AG$67:AG$81)</f>
        <v>#N/A</v>
      </c>
      <c r="AI107" s="661" t="e">
        <f t="shared" ref="AI107" si="100">AVERAGE(AG107:AG121)</f>
        <v>#DIV/0!</v>
      </c>
      <c r="AJ107" s="182"/>
      <c r="AK107" s="182"/>
      <c r="AL107" s="182"/>
      <c r="AM107" s="452" t="e">
        <f t="shared" ref="AM107" si="101">RANK(AL107, AL$67:AL$81)</f>
        <v>#N/A</v>
      </c>
      <c r="AN107" s="661" t="e">
        <f t="shared" ref="AN107" si="102">AVERAGE(AL107:AL121)</f>
        <v>#DIV/0!</v>
      </c>
      <c r="AO107" s="182"/>
      <c r="AP107" s="182"/>
      <c r="AQ107" s="182"/>
      <c r="AR107" s="452" t="e">
        <f t="shared" ref="AR107:AW121" si="103">RANK(AQ107, AQ$67:AQ$81)</f>
        <v>#N/A</v>
      </c>
      <c r="AS107" s="661" t="e">
        <f t="shared" ref="AS107" si="104">AVERAGE(AQ107:AQ121)</f>
        <v>#DIV/0!</v>
      </c>
      <c r="AT107" s="182"/>
      <c r="AU107" s="182"/>
      <c r="AV107" s="182"/>
      <c r="AW107" s="452" t="e">
        <f t="shared" ref="AW107" si="105">RANK(AV107, AV$67:AV$81)</f>
        <v>#N/A</v>
      </c>
      <c r="AX107" s="661" t="e">
        <f t="shared" ref="AX107" si="106">AVERAGE(AV107:AV121)</f>
        <v>#DIV/0!</v>
      </c>
      <c r="AZ107" s="525" t="e">
        <f t="shared" ref="AZ107:AZ121" si="107">RANK(AY107, AY$67:AY$81)</f>
        <v>#N/A</v>
      </c>
      <c r="BA107" s="661" t="e">
        <f t="shared" ref="BA107" si="108">AVERAGE(AY107:AY121)</f>
        <v>#DIV/0!</v>
      </c>
    </row>
    <row r="108" spans="2:53">
      <c r="B108" s="647"/>
      <c r="C108" s="452">
        <v>2</v>
      </c>
      <c r="D108" s="456"/>
      <c r="E108" s="453"/>
      <c r="F108" s="453"/>
      <c r="G108" s="453"/>
      <c r="H108" s="659"/>
      <c r="I108" s="516" t="str">
        <f t="shared" si="92"/>
        <v>-</v>
      </c>
      <c r="J108" s="516" t="str">
        <f t="shared" si="93"/>
        <v>-</v>
      </c>
      <c r="K108" s="200" t="str">
        <f t="shared" si="94"/>
        <v>-</v>
      </c>
      <c r="L108" s="596"/>
      <c r="M108" s="453" t="e">
        <f>RANK(K108, K$67:$K$81)</f>
        <v>#VALUE!</v>
      </c>
      <c r="N108" s="614"/>
      <c r="O108" s="614"/>
      <c r="P108" s="182"/>
      <c r="Q108" s="182"/>
      <c r="R108" s="182"/>
      <c r="S108" s="452" t="e">
        <f t="shared" ref="S108:S121" si="109">RANK(R108, R$67:R$81)</f>
        <v>#N/A</v>
      </c>
      <c r="T108" s="661"/>
      <c r="U108" s="182"/>
      <c r="V108" s="182"/>
      <c r="W108" s="182"/>
      <c r="X108" s="452" t="e">
        <f t="shared" si="95"/>
        <v>#N/A</v>
      </c>
      <c r="Y108" s="661"/>
      <c r="Z108" s="182"/>
      <c r="AA108" s="182"/>
      <c r="AB108" s="182"/>
      <c r="AC108" s="452" t="e">
        <f t="shared" si="95"/>
        <v>#N/A</v>
      </c>
      <c r="AD108" s="661"/>
      <c r="AE108" s="182"/>
      <c r="AF108" s="182"/>
      <c r="AG108" s="182"/>
      <c r="AH108" s="452" t="e">
        <f t="shared" si="95"/>
        <v>#N/A</v>
      </c>
      <c r="AI108" s="661"/>
      <c r="AJ108" s="182"/>
      <c r="AK108" s="182"/>
      <c r="AL108" s="182"/>
      <c r="AM108" s="452" t="e">
        <f t="shared" si="95"/>
        <v>#N/A</v>
      </c>
      <c r="AN108" s="661"/>
      <c r="AO108" s="182"/>
      <c r="AP108" s="182"/>
      <c r="AQ108" s="182"/>
      <c r="AR108" s="452" t="e">
        <f t="shared" si="103"/>
        <v>#N/A</v>
      </c>
      <c r="AS108" s="661"/>
      <c r="AT108" s="182"/>
      <c r="AU108" s="182"/>
      <c r="AV108" s="182"/>
      <c r="AW108" s="452" t="e">
        <f t="shared" si="103"/>
        <v>#N/A</v>
      </c>
      <c r="AX108" s="661"/>
      <c r="AZ108" s="525" t="e">
        <f t="shared" si="107"/>
        <v>#N/A</v>
      </c>
      <c r="BA108" s="661"/>
    </row>
    <row r="109" spans="2:53">
      <c r="B109" s="647"/>
      <c r="C109" s="452">
        <v>3</v>
      </c>
      <c r="D109" s="456"/>
      <c r="E109" s="453"/>
      <c r="F109" s="453"/>
      <c r="G109" s="453"/>
      <c r="H109" s="659"/>
      <c r="I109" s="516" t="str">
        <f t="shared" si="92"/>
        <v>-</v>
      </c>
      <c r="J109" s="516" t="str">
        <f t="shared" si="93"/>
        <v>-</v>
      </c>
      <c r="K109" s="200" t="str">
        <f t="shared" si="94"/>
        <v>-</v>
      </c>
      <c r="L109" s="596"/>
      <c r="M109" s="453" t="e">
        <f>RANK(K109, K$67:$K$81)</f>
        <v>#VALUE!</v>
      </c>
      <c r="N109" s="614"/>
      <c r="O109" s="614"/>
      <c r="P109" s="182"/>
      <c r="Q109" s="182"/>
      <c r="R109" s="182"/>
      <c r="S109" s="452" t="e">
        <f t="shared" si="109"/>
        <v>#N/A</v>
      </c>
      <c r="T109" s="661"/>
      <c r="U109" s="182"/>
      <c r="V109" s="182"/>
      <c r="W109" s="182"/>
      <c r="X109" s="452" t="e">
        <f t="shared" si="95"/>
        <v>#N/A</v>
      </c>
      <c r="Y109" s="661"/>
      <c r="Z109" s="182"/>
      <c r="AA109" s="182"/>
      <c r="AB109" s="182"/>
      <c r="AC109" s="452" t="e">
        <f t="shared" si="95"/>
        <v>#N/A</v>
      </c>
      <c r="AD109" s="661"/>
      <c r="AE109" s="182"/>
      <c r="AF109" s="182"/>
      <c r="AG109" s="182"/>
      <c r="AH109" s="452" t="e">
        <f t="shared" si="95"/>
        <v>#N/A</v>
      </c>
      <c r="AI109" s="661"/>
      <c r="AJ109" s="182"/>
      <c r="AK109" s="182"/>
      <c r="AL109" s="182"/>
      <c r="AM109" s="452" t="e">
        <f t="shared" si="95"/>
        <v>#N/A</v>
      </c>
      <c r="AN109" s="661"/>
      <c r="AO109" s="182"/>
      <c r="AP109" s="182"/>
      <c r="AQ109" s="182"/>
      <c r="AR109" s="452" t="e">
        <f t="shared" si="103"/>
        <v>#N/A</v>
      </c>
      <c r="AS109" s="661"/>
      <c r="AT109" s="182"/>
      <c r="AU109" s="182"/>
      <c r="AV109" s="182"/>
      <c r="AW109" s="452" t="e">
        <f t="shared" si="103"/>
        <v>#N/A</v>
      </c>
      <c r="AX109" s="661"/>
      <c r="AZ109" s="525" t="e">
        <f t="shared" si="107"/>
        <v>#N/A</v>
      </c>
      <c r="BA109" s="661"/>
    </row>
    <row r="110" spans="2:53">
      <c r="B110" s="647"/>
      <c r="C110" s="452">
        <v>4</v>
      </c>
      <c r="D110" s="456"/>
      <c r="E110" s="453"/>
      <c r="F110" s="453"/>
      <c r="G110" s="453"/>
      <c r="H110" s="659"/>
      <c r="I110" s="516" t="str">
        <f t="shared" si="92"/>
        <v>-</v>
      </c>
      <c r="J110" s="516" t="str">
        <f t="shared" si="93"/>
        <v>-</v>
      </c>
      <c r="K110" s="200" t="str">
        <f t="shared" si="94"/>
        <v>-</v>
      </c>
      <c r="L110" s="596"/>
      <c r="M110" s="453" t="e">
        <f>RANK(K110, K$67:$K$81)</f>
        <v>#VALUE!</v>
      </c>
      <c r="N110" s="614"/>
      <c r="O110" s="614"/>
      <c r="P110" s="182"/>
      <c r="Q110" s="182"/>
      <c r="R110" s="182"/>
      <c r="S110" s="452" t="e">
        <f t="shared" si="109"/>
        <v>#N/A</v>
      </c>
      <c r="T110" s="661"/>
      <c r="U110" s="182"/>
      <c r="V110" s="182"/>
      <c r="W110" s="182"/>
      <c r="X110" s="452" t="e">
        <f t="shared" si="95"/>
        <v>#N/A</v>
      </c>
      <c r="Y110" s="661"/>
      <c r="Z110" s="182"/>
      <c r="AA110" s="182"/>
      <c r="AB110" s="182"/>
      <c r="AC110" s="452" t="e">
        <f t="shared" si="95"/>
        <v>#N/A</v>
      </c>
      <c r="AD110" s="661"/>
      <c r="AE110" s="182"/>
      <c r="AF110" s="182"/>
      <c r="AG110" s="182"/>
      <c r="AH110" s="452" t="e">
        <f t="shared" si="95"/>
        <v>#N/A</v>
      </c>
      <c r="AI110" s="661"/>
      <c r="AJ110" s="182"/>
      <c r="AK110" s="182"/>
      <c r="AL110" s="182"/>
      <c r="AM110" s="452" t="e">
        <f t="shared" si="95"/>
        <v>#N/A</v>
      </c>
      <c r="AN110" s="661"/>
      <c r="AO110" s="182"/>
      <c r="AP110" s="182"/>
      <c r="AQ110" s="182"/>
      <c r="AR110" s="452" t="e">
        <f t="shared" si="103"/>
        <v>#N/A</v>
      </c>
      <c r="AS110" s="661"/>
      <c r="AT110" s="182"/>
      <c r="AU110" s="182"/>
      <c r="AV110" s="182"/>
      <c r="AW110" s="452" t="e">
        <f t="shared" si="103"/>
        <v>#N/A</v>
      </c>
      <c r="AX110" s="661"/>
      <c r="AZ110" s="525" t="e">
        <f t="shared" si="107"/>
        <v>#N/A</v>
      </c>
      <c r="BA110" s="661"/>
    </row>
    <row r="111" spans="2:53">
      <c r="B111" s="647"/>
      <c r="C111" s="452">
        <v>5</v>
      </c>
      <c r="D111" s="456"/>
      <c r="E111" s="453"/>
      <c r="F111" s="453"/>
      <c r="G111" s="453"/>
      <c r="H111" s="659"/>
      <c r="I111" s="516" t="str">
        <f t="shared" si="92"/>
        <v>-</v>
      </c>
      <c r="J111" s="516" t="str">
        <f t="shared" si="93"/>
        <v>-</v>
      </c>
      <c r="K111" s="200" t="str">
        <f t="shared" si="94"/>
        <v>-</v>
      </c>
      <c r="L111" s="596"/>
      <c r="M111" s="453" t="e">
        <f>RANK(K111, K$67:$K$81)</f>
        <v>#VALUE!</v>
      </c>
      <c r="N111" s="614"/>
      <c r="O111" s="614"/>
      <c r="P111" s="182"/>
      <c r="Q111" s="182"/>
      <c r="R111" s="182"/>
      <c r="S111" s="452" t="e">
        <f t="shared" si="109"/>
        <v>#N/A</v>
      </c>
      <c r="T111" s="661"/>
      <c r="U111" s="182"/>
      <c r="V111" s="182"/>
      <c r="W111" s="182"/>
      <c r="X111" s="452" t="e">
        <f t="shared" si="95"/>
        <v>#N/A</v>
      </c>
      <c r="Y111" s="661"/>
      <c r="Z111" s="182"/>
      <c r="AA111" s="182"/>
      <c r="AB111" s="182"/>
      <c r="AC111" s="452" t="e">
        <f t="shared" si="95"/>
        <v>#N/A</v>
      </c>
      <c r="AD111" s="661"/>
      <c r="AE111" s="182"/>
      <c r="AF111" s="182"/>
      <c r="AG111" s="182"/>
      <c r="AH111" s="452" t="e">
        <f t="shared" si="95"/>
        <v>#N/A</v>
      </c>
      <c r="AI111" s="661"/>
      <c r="AJ111" s="182"/>
      <c r="AK111" s="182"/>
      <c r="AL111" s="182"/>
      <c r="AM111" s="452" t="e">
        <f t="shared" si="95"/>
        <v>#N/A</v>
      </c>
      <c r="AN111" s="661"/>
      <c r="AO111" s="182"/>
      <c r="AP111" s="182"/>
      <c r="AQ111" s="182"/>
      <c r="AR111" s="452" t="e">
        <f t="shared" si="103"/>
        <v>#N/A</v>
      </c>
      <c r="AS111" s="661"/>
      <c r="AT111" s="182"/>
      <c r="AU111" s="182"/>
      <c r="AV111" s="182"/>
      <c r="AW111" s="452" t="e">
        <f t="shared" si="103"/>
        <v>#N/A</v>
      </c>
      <c r="AX111" s="661"/>
      <c r="AZ111" s="525" t="e">
        <f t="shared" si="107"/>
        <v>#N/A</v>
      </c>
      <c r="BA111" s="661"/>
    </row>
    <row r="112" spans="2:53">
      <c r="B112" s="647"/>
      <c r="C112" s="452">
        <v>6</v>
      </c>
      <c r="D112" s="456"/>
      <c r="E112" s="453"/>
      <c r="F112" s="453"/>
      <c r="G112" s="453"/>
      <c r="H112" s="659"/>
      <c r="I112" s="516" t="str">
        <f t="shared" si="92"/>
        <v>-</v>
      </c>
      <c r="J112" s="516" t="str">
        <f t="shared" si="93"/>
        <v>-</v>
      </c>
      <c r="K112" s="200" t="str">
        <f t="shared" si="94"/>
        <v>-</v>
      </c>
      <c r="L112" s="596"/>
      <c r="M112" s="453" t="e">
        <f>RANK(K112, K$67:$K$81)</f>
        <v>#VALUE!</v>
      </c>
      <c r="N112" s="614"/>
      <c r="O112" s="614"/>
      <c r="P112" s="182"/>
      <c r="Q112" s="182"/>
      <c r="R112" s="182"/>
      <c r="S112" s="452" t="e">
        <f t="shared" si="109"/>
        <v>#N/A</v>
      </c>
      <c r="T112" s="661"/>
      <c r="U112" s="182"/>
      <c r="V112" s="182"/>
      <c r="W112" s="182"/>
      <c r="X112" s="452" t="e">
        <f t="shared" si="95"/>
        <v>#N/A</v>
      </c>
      <c r="Y112" s="661"/>
      <c r="Z112" s="182"/>
      <c r="AA112" s="182"/>
      <c r="AB112" s="182"/>
      <c r="AC112" s="452" t="e">
        <f t="shared" si="95"/>
        <v>#N/A</v>
      </c>
      <c r="AD112" s="661"/>
      <c r="AE112" s="182"/>
      <c r="AF112" s="182"/>
      <c r="AG112" s="182"/>
      <c r="AH112" s="452" t="e">
        <f t="shared" si="95"/>
        <v>#N/A</v>
      </c>
      <c r="AI112" s="661"/>
      <c r="AJ112" s="182"/>
      <c r="AK112" s="182"/>
      <c r="AL112" s="182"/>
      <c r="AM112" s="452" t="e">
        <f t="shared" si="95"/>
        <v>#N/A</v>
      </c>
      <c r="AN112" s="661"/>
      <c r="AO112" s="182"/>
      <c r="AP112" s="182"/>
      <c r="AQ112" s="182"/>
      <c r="AR112" s="452" t="e">
        <f t="shared" si="103"/>
        <v>#N/A</v>
      </c>
      <c r="AS112" s="661"/>
      <c r="AT112" s="182"/>
      <c r="AU112" s="182"/>
      <c r="AV112" s="182"/>
      <c r="AW112" s="452" t="e">
        <f t="shared" si="103"/>
        <v>#N/A</v>
      </c>
      <c r="AX112" s="661"/>
      <c r="AZ112" s="525" t="e">
        <f t="shared" si="107"/>
        <v>#N/A</v>
      </c>
      <c r="BA112" s="661"/>
    </row>
    <row r="113" spans="2:53">
      <c r="B113" s="647"/>
      <c r="C113" s="452">
        <v>7</v>
      </c>
      <c r="D113" s="456"/>
      <c r="E113" s="453"/>
      <c r="F113" s="453"/>
      <c r="G113" s="453"/>
      <c r="H113" s="659"/>
      <c r="I113" s="516" t="str">
        <f t="shared" si="92"/>
        <v>-</v>
      </c>
      <c r="J113" s="516" t="str">
        <f t="shared" si="93"/>
        <v>-</v>
      </c>
      <c r="K113" s="200" t="str">
        <f t="shared" si="94"/>
        <v>-</v>
      </c>
      <c r="L113" s="596"/>
      <c r="M113" s="453" t="e">
        <f>RANK(K113, K$67:$K$81)</f>
        <v>#VALUE!</v>
      </c>
      <c r="N113" s="614"/>
      <c r="O113" s="614"/>
      <c r="P113" s="182"/>
      <c r="Q113" s="182"/>
      <c r="R113" s="182"/>
      <c r="S113" s="452" t="e">
        <f t="shared" si="109"/>
        <v>#N/A</v>
      </c>
      <c r="T113" s="661"/>
      <c r="U113" s="182"/>
      <c r="V113" s="182"/>
      <c r="W113" s="182"/>
      <c r="X113" s="452" t="e">
        <f t="shared" si="95"/>
        <v>#N/A</v>
      </c>
      <c r="Y113" s="661"/>
      <c r="Z113" s="182"/>
      <c r="AA113" s="182"/>
      <c r="AB113" s="182"/>
      <c r="AC113" s="452" t="e">
        <f t="shared" si="95"/>
        <v>#N/A</v>
      </c>
      <c r="AD113" s="661"/>
      <c r="AE113" s="182"/>
      <c r="AF113" s="182"/>
      <c r="AG113" s="182"/>
      <c r="AH113" s="452" t="e">
        <f t="shared" si="95"/>
        <v>#N/A</v>
      </c>
      <c r="AI113" s="661"/>
      <c r="AJ113" s="182"/>
      <c r="AK113" s="182"/>
      <c r="AL113" s="182"/>
      <c r="AM113" s="452" t="e">
        <f t="shared" si="95"/>
        <v>#N/A</v>
      </c>
      <c r="AN113" s="661"/>
      <c r="AO113" s="182"/>
      <c r="AP113" s="182"/>
      <c r="AQ113" s="182"/>
      <c r="AR113" s="452" t="e">
        <f t="shared" si="103"/>
        <v>#N/A</v>
      </c>
      <c r="AS113" s="661"/>
      <c r="AT113" s="182"/>
      <c r="AU113" s="182"/>
      <c r="AV113" s="182"/>
      <c r="AW113" s="452" t="e">
        <f t="shared" si="103"/>
        <v>#N/A</v>
      </c>
      <c r="AX113" s="661"/>
      <c r="AZ113" s="525" t="e">
        <f t="shared" si="107"/>
        <v>#N/A</v>
      </c>
      <c r="BA113" s="661"/>
    </row>
    <row r="114" spans="2:53">
      <c r="B114" s="647"/>
      <c r="C114" s="452">
        <v>8</v>
      </c>
      <c r="D114" s="456"/>
      <c r="E114" s="453"/>
      <c r="F114" s="453"/>
      <c r="G114" s="453"/>
      <c r="H114" s="659"/>
      <c r="I114" s="516" t="str">
        <f t="shared" si="92"/>
        <v>-</v>
      </c>
      <c r="J114" s="516" t="str">
        <f t="shared" si="93"/>
        <v>-</v>
      </c>
      <c r="K114" s="200" t="str">
        <f t="shared" si="94"/>
        <v>-</v>
      </c>
      <c r="L114" s="596"/>
      <c r="M114" s="453" t="e">
        <f>RANK(K114, K$67:$K$81)</f>
        <v>#VALUE!</v>
      </c>
      <c r="N114" s="614"/>
      <c r="O114" s="614"/>
      <c r="P114" s="182"/>
      <c r="Q114" s="182"/>
      <c r="R114" s="182"/>
      <c r="S114" s="452" t="e">
        <f t="shared" si="109"/>
        <v>#N/A</v>
      </c>
      <c r="T114" s="661"/>
      <c r="U114" s="182"/>
      <c r="V114" s="182"/>
      <c r="W114" s="182"/>
      <c r="X114" s="452" t="e">
        <f t="shared" si="95"/>
        <v>#N/A</v>
      </c>
      <c r="Y114" s="661"/>
      <c r="Z114" s="182"/>
      <c r="AA114" s="182"/>
      <c r="AB114" s="182"/>
      <c r="AC114" s="452" t="e">
        <f t="shared" si="95"/>
        <v>#N/A</v>
      </c>
      <c r="AD114" s="661"/>
      <c r="AE114" s="182"/>
      <c r="AF114" s="182"/>
      <c r="AG114" s="182"/>
      <c r="AH114" s="452" t="e">
        <f t="shared" si="95"/>
        <v>#N/A</v>
      </c>
      <c r="AI114" s="661"/>
      <c r="AJ114" s="182"/>
      <c r="AK114" s="182"/>
      <c r="AL114" s="182"/>
      <c r="AM114" s="452" t="e">
        <f t="shared" si="95"/>
        <v>#N/A</v>
      </c>
      <c r="AN114" s="661"/>
      <c r="AO114" s="182"/>
      <c r="AP114" s="182"/>
      <c r="AQ114" s="182"/>
      <c r="AR114" s="452" t="e">
        <f t="shared" si="103"/>
        <v>#N/A</v>
      </c>
      <c r="AS114" s="661"/>
      <c r="AT114" s="182"/>
      <c r="AU114" s="182"/>
      <c r="AV114" s="182"/>
      <c r="AW114" s="452" t="e">
        <f t="shared" si="103"/>
        <v>#N/A</v>
      </c>
      <c r="AX114" s="661"/>
      <c r="AZ114" s="525" t="e">
        <f t="shared" si="107"/>
        <v>#N/A</v>
      </c>
      <c r="BA114" s="661"/>
    </row>
    <row r="115" spans="2:53">
      <c r="B115" s="647"/>
      <c r="C115" s="452">
        <v>9</v>
      </c>
      <c r="D115" s="456"/>
      <c r="E115" s="453"/>
      <c r="F115" s="453"/>
      <c r="G115" s="453"/>
      <c r="H115" s="659"/>
      <c r="I115" s="516" t="str">
        <f t="shared" si="92"/>
        <v>-</v>
      </c>
      <c r="J115" s="516" t="str">
        <f t="shared" si="93"/>
        <v>-</v>
      </c>
      <c r="K115" s="200" t="str">
        <f t="shared" si="94"/>
        <v>-</v>
      </c>
      <c r="L115" s="596"/>
      <c r="M115" s="453" t="e">
        <f>RANK(K115, K$67:$K$81)</f>
        <v>#VALUE!</v>
      </c>
      <c r="N115" s="614"/>
      <c r="O115" s="614"/>
      <c r="P115" s="182"/>
      <c r="Q115" s="182"/>
      <c r="R115" s="182"/>
      <c r="S115" s="452" t="e">
        <f t="shared" si="109"/>
        <v>#N/A</v>
      </c>
      <c r="T115" s="661"/>
      <c r="U115" s="182"/>
      <c r="V115" s="182"/>
      <c r="W115" s="182"/>
      <c r="X115" s="452" t="e">
        <f t="shared" si="95"/>
        <v>#N/A</v>
      </c>
      <c r="Y115" s="661"/>
      <c r="Z115" s="182"/>
      <c r="AA115" s="182"/>
      <c r="AB115" s="182"/>
      <c r="AC115" s="452" t="e">
        <f t="shared" si="95"/>
        <v>#N/A</v>
      </c>
      <c r="AD115" s="661"/>
      <c r="AE115" s="182"/>
      <c r="AF115" s="182"/>
      <c r="AG115" s="182"/>
      <c r="AH115" s="452" t="e">
        <f t="shared" si="95"/>
        <v>#N/A</v>
      </c>
      <c r="AI115" s="661"/>
      <c r="AJ115" s="182"/>
      <c r="AK115" s="182"/>
      <c r="AL115" s="182"/>
      <c r="AM115" s="452" t="e">
        <f t="shared" si="95"/>
        <v>#N/A</v>
      </c>
      <c r="AN115" s="661"/>
      <c r="AO115" s="182"/>
      <c r="AP115" s="182"/>
      <c r="AQ115" s="182"/>
      <c r="AR115" s="452" t="e">
        <f t="shared" si="103"/>
        <v>#N/A</v>
      </c>
      <c r="AS115" s="661"/>
      <c r="AT115" s="182"/>
      <c r="AU115" s="182"/>
      <c r="AV115" s="182"/>
      <c r="AW115" s="452" t="e">
        <f t="shared" si="103"/>
        <v>#N/A</v>
      </c>
      <c r="AX115" s="661"/>
      <c r="AZ115" s="525" t="e">
        <f t="shared" si="107"/>
        <v>#N/A</v>
      </c>
      <c r="BA115" s="661"/>
    </row>
    <row r="116" spans="2:53">
      <c r="B116" s="647"/>
      <c r="C116" s="452">
        <v>10</v>
      </c>
      <c r="D116" s="456"/>
      <c r="E116" s="453"/>
      <c r="F116" s="453"/>
      <c r="G116" s="453"/>
      <c r="H116" s="659"/>
      <c r="I116" s="516" t="str">
        <f t="shared" si="92"/>
        <v>-</v>
      </c>
      <c r="J116" s="516" t="str">
        <f t="shared" si="93"/>
        <v>-</v>
      </c>
      <c r="K116" s="200" t="str">
        <f t="shared" si="94"/>
        <v>-</v>
      </c>
      <c r="L116" s="596"/>
      <c r="M116" s="453" t="e">
        <f>RANK(K116, K$67:$K$81)</f>
        <v>#VALUE!</v>
      </c>
      <c r="N116" s="614"/>
      <c r="O116" s="614"/>
      <c r="P116" s="182"/>
      <c r="Q116" s="182"/>
      <c r="R116" s="182"/>
      <c r="S116" s="452" t="e">
        <f t="shared" si="109"/>
        <v>#N/A</v>
      </c>
      <c r="T116" s="661"/>
      <c r="U116" s="182"/>
      <c r="V116" s="182"/>
      <c r="W116" s="182"/>
      <c r="X116" s="452" t="e">
        <f t="shared" si="95"/>
        <v>#N/A</v>
      </c>
      <c r="Y116" s="661"/>
      <c r="Z116" s="182"/>
      <c r="AA116" s="182"/>
      <c r="AB116" s="182"/>
      <c r="AC116" s="452" t="e">
        <f t="shared" si="95"/>
        <v>#N/A</v>
      </c>
      <c r="AD116" s="661"/>
      <c r="AE116" s="182"/>
      <c r="AF116" s="182"/>
      <c r="AG116" s="182"/>
      <c r="AH116" s="452" t="e">
        <f t="shared" si="95"/>
        <v>#N/A</v>
      </c>
      <c r="AI116" s="661"/>
      <c r="AJ116" s="182"/>
      <c r="AK116" s="182"/>
      <c r="AL116" s="182"/>
      <c r="AM116" s="452" t="e">
        <f t="shared" si="95"/>
        <v>#N/A</v>
      </c>
      <c r="AN116" s="661"/>
      <c r="AO116" s="182"/>
      <c r="AP116" s="182"/>
      <c r="AQ116" s="182"/>
      <c r="AR116" s="452" t="e">
        <f t="shared" si="103"/>
        <v>#N/A</v>
      </c>
      <c r="AS116" s="661"/>
      <c r="AT116" s="182"/>
      <c r="AU116" s="182"/>
      <c r="AV116" s="182"/>
      <c r="AW116" s="452" t="e">
        <f t="shared" si="103"/>
        <v>#N/A</v>
      </c>
      <c r="AX116" s="661"/>
      <c r="AZ116" s="525" t="e">
        <f t="shared" si="107"/>
        <v>#N/A</v>
      </c>
      <c r="BA116" s="661"/>
    </row>
    <row r="117" spans="2:53">
      <c r="B117" s="647"/>
      <c r="C117" s="452">
        <v>11</v>
      </c>
      <c r="D117" s="456"/>
      <c r="E117" s="453"/>
      <c r="F117" s="453"/>
      <c r="G117" s="453"/>
      <c r="H117" s="659"/>
      <c r="I117" s="516" t="str">
        <f t="shared" si="92"/>
        <v>-</v>
      </c>
      <c r="J117" s="516" t="str">
        <f t="shared" si="93"/>
        <v>-</v>
      </c>
      <c r="K117" s="200" t="str">
        <f t="shared" si="94"/>
        <v>-</v>
      </c>
      <c r="L117" s="596"/>
      <c r="M117" s="453" t="e">
        <f>RANK(K117, K$67:$K$81)</f>
        <v>#VALUE!</v>
      </c>
      <c r="N117" s="614"/>
      <c r="O117" s="614"/>
      <c r="P117" s="182"/>
      <c r="Q117" s="182"/>
      <c r="R117" s="182"/>
      <c r="S117" s="452" t="e">
        <f t="shared" si="109"/>
        <v>#N/A</v>
      </c>
      <c r="T117" s="661"/>
      <c r="U117" s="182"/>
      <c r="V117" s="182"/>
      <c r="W117" s="182"/>
      <c r="X117" s="452" t="e">
        <f t="shared" si="95"/>
        <v>#N/A</v>
      </c>
      <c r="Y117" s="661"/>
      <c r="Z117" s="182"/>
      <c r="AA117" s="182"/>
      <c r="AB117" s="182"/>
      <c r="AC117" s="452" t="e">
        <f t="shared" si="95"/>
        <v>#N/A</v>
      </c>
      <c r="AD117" s="661"/>
      <c r="AE117" s="182"/>
      <c r="AF117" s="182"/>
      <c r="AG117" s="182"/>
      <c r="AH117" s="452" t="e">
        <f t="shared" si="95"/>
        <v>#N/A</v>
      </c>
      <c r="AI117" s="661"/>
      <c r="AJ117" s="182"/>
      <c r="AK117" s="182"/>
      <c r="AL117" s="182"/>
      <c r="AM117" s="452" t="e">
        <f t="shared" si="95"/>
        <v>#N/A</v>
      </c>
      <c r="AN117" s="661"/>
      <c r="AO117" s="182"/>
      <c r="AP117" s="182"/>
      <c r="AQ117" s="182"/>
      <c r="AR117" s="452" t="e">
        <f t="shared" si="103"/>
        <v>#N/A</v>
      </c>
      <c r="AS117" s="661"/>
      <c r="AT117" s="182"/>
      <c r="AU117" s="182"/>
      <c r="AV117" s="182"/>
      <c r="AW117" s="452" t="e">
        <f t="shared" si="103"/>
        <v>#N/A</v>
      </c>
      <c r="AX117" s="661"/>
      <c r="AZ117" s="525" t="e">
        <f t="shared" si="107"/>
        <v>#N/A</v>
      </c>
      <c r="BA117" s="661"/>
    </row>
    <row r="118" spans="2:53">
      <c r="B118" s="647"/>
      <c r="C118" s="452">
        <v>12</v>
      </c>
      <c r="D118" s="456"/>
      <c r="E118" s="453"/>
      <c r="F118" s="453"/>
      <c r="G118" s="453"/>
      <c r="H118" s="659"/>
      <c r="I118" s="516" t="str">
        <f t="shared" si="92"/>
        <v>-</v>
      </c>
      <c r="J118" s="516" t="str">
        <f t="shared" si="93"/>
        <v>-</v>
      </c>
      <c r="K118" s="200" t="str">
        <f t="shared" si="94"/>
        <v>-</v>
      </c>
      <c r="L118" s="596"/>
      <c r="M118" s="453" t="e">
        <f>RANK(K118, K$67:$K$81)</f>
        <v>#VALUE!</v>
      </c>
      <c r="N118" s="614"/>
      <c r="O118" s="614"/>
      <c r="P118" s="182"/>
      <c r="Q118" s="182"/>
      <c r="R118" s="182"/>
      <c r="S118" s="452" t="e">
        <f t="shared" si="109"/>
        <v>#N/A</v>
      </c>
      <c r="T118" s="661"/>
      <c r="U118" s="182"/>
      <c r="V118" s="182"/>
      <c r="W118" s="182"/>
      <c r="X118" s="452" t="e">
        <f t="shared" si="95"/>
        <v>#N/A</v>
      </c>
      <c r="Y118" s="661"/>
      <c r="Z118" s="182"/>
      <c r="AA118" s="182"/>
      <c r="AB118" s="182"/>
      <c r="AC118" s="452" t="e">
        <f t="shared" si="95"/>
        <v>#N/A</v>
      </c>
      <c r="AD118" s="661"/>
      <c r="AE118" s="182"/>
      <c r="AF118" s="182"/>
      <c r="AG118" s="182"/>
      <c r="AH118" s="452" t="e">
        <f t="shared" si="95"/>
        <v>#N/A</v>
      </c>
      <c r="AI118" s="661"/>
      <c r="AJ118" s="182"/>
      <c r="AK118" s="182"/>
      <c r="AL118" s="182"/>
      <c r="AM118" s="452" t="e">
        <f t="shared" si="95"/>
        <v>#N/A</v>
      </c>
      <c r="AN118" s="661"/>
      <c r="AO118" s="182"/>
      <c r="AP118" s="182"/>
      <c r="AQ118" s="182"/>
      <c r="AR118" s="452" t="e">
        <f t="shared" si="103"/>
        <v>#N/A</v>
      </c>
      <c r="AS118" s="661"/>
      <c r="AT118" s="182"/>
      <c r="AU118" s="182"/>
      <c r="AV118" s="182"/>
      <c r="AW118" s="452" t="e">
        <f t="shared" si="103"/>
        <v>#N/A</v>
      </c>
      <c r="AX118" s="661"/>
      <c r="AZ118" s="525" t="e">
        <f t="shared" si="107"/>
        <v>#N/A</v>
      </c>
      <c r="BA118" s="661"/>
    </row>
    <row r="119" spans="2:53">
      <c r="B119" s="647"/>
      <c r="C119" s="452">
        <v>13</v>
      </c>
      <c r="D119" s="456"/>
      <c r="E119" s="453"/>
      <c r="F119" s="453"/>
      <c r="G119" s="453"/>
      <c r="H119" s="659"/>
      <c r="I119" s="516" t="str">
        <f t="shared" si="92"/>
        <v>-</v>
      </c>
      <c r="J119" s="516" t="str">
        <f t="shared" si="93"/>
        <v>-</v>
      </c>
      <c r="K119" s="200" t="str">
        <f t="shared" si="94"/>
        <v>-</v>
      </c>
      <c r="L119" s="596"/>
      <c r="M119" s="453" t="e">
        <f>RANK(K119, K$67:$K$81)</f>
        <v>#VALUE!</v>
      </c>
      <c r="N119" s="614"/>
      <c r="O119" s="614"/>
      <c r="P119" s="182"/>
      <c r="Q119" s="182"/>
      <c r="R119" s="182"/>
      <c r="S119" s="452" t="e">
        <f t="shared" si="109"/>
        <v>#N/A</v>
      </c>
      <c r="T119" s="661"/>
      <c r="U119" s="182"/>
      <c r="V119" s="182"/>
      <c r="W119" s="182"/>
      <c r="X119" s="452" t="e">
        <f t="shared" si="95"/>
        <v>#N/A</v>
      </c>
      <c r="Y119" s="661"/>
      <c r="Z119" s="182"/>
      <c r="AA119" s="182"/>
      <c r="AB119" s="182"/>
      <c r="AC119" s="452" t="e">
        <f t="shared" si="95"/>
        <v>#N/A</v>
      </c>
      <c r="AD119" s="661"/>
      <c r="AE119" s="182"/>
      <c r="AF119" s="182"/>
      <c r="AG119" s="182"/>
      <c r="AH119" s="452" t="e">
        <f t="shared" si="95"/>
        <v>#N/A</v>
      </c>
      <c r="AI119" s="661"/>
      <c r="AJ119" s="182"/>
      <c r="AK119" s="182"/>
      <c r="AL119" s="182"/>
      <c r="AM119" s="452" t="e">
        <f t="shared" si="95"/>
        <v>#N/A</v>
      </c>
      <c r="AN119" s="661"/>
      <c r="AO119" s="182"/>
      <c r="AP119" s="182"/>
      <c r="AQ119" s="182"/>
      <c r="AR119" s="452" t="e">
        <f t="shared" si="103"/>
        <v>#N/A</v>
      </c>
      <c r="AS119" s="661"/>
      <c r="AT119" s="182"/>
      <c r="AU119" s="182"/>
      <c r="AV119" s="182"/>
      <c r="AW119" s="452" t="e">
        <f t="shared" si="103"/>
        <v>#N/A</v>
      </c>
      <c r="AX119" s="661"/>
      <c r="AZ119" s="525" t="e">
        <f t="shared" si="107"/>
        <v>#N/A</v>
      </c>
      <c r="BA119" s="661"/>
    </row>
    <row r="120" spans="2:53">
      <c r="B120" s="647"/>
      <c r="C120" s="452">
        <v>14</v>
      </c>
      <c r="D120" s="456"/>
      <c r="E120" s="453"/>
      <c r="F120" s="453"/>
      <c r="G120" s="453"/>
      <c r="H120" s="659"/>
      <c r="I120" s="516" t="str">
        <f t="shared" si="92"/>
        <v>-</v>
      </c>
      <c r="J120" s="516" t="str">
        <f t="shared" si="93"/>
        <v>-</v>
      </c>
      <c r="K120" s="200" t="str">
        <f t="shared" si="94"/>
        <v>-</v>
      </c>
      <c r="L120" s="596"/>
      <c r="M120" s="453" t="e">
        <f>RANK(K120, K$67:$K$81)</f>
        <v>#VALUE!</v>
      </c>
      <c r="N120" s="614"/>
      <c r="O120" s="614"/>
      <c r="P120" s="182"/>
      <c r="Q120" s="182"/>
      <c r="R120" s="182"/>
      <c r="S120" s="452" t="e">
        <f t="shared" si="109"/>
        <v>#N/A</v>
      </c>
      <c r="T120" s="661"/>
      <c r="U120" s="182"/>
      <c r="V120" s="182"/>
      <c r="W120" s="182"/>
      <c r="X120" s="452" t="e">
        <f t="shared" si="95"/>
        <v>#N/A</v>
      </c>
      <c r="Y120" s="661"/>
      <c r="Z120" s="182"/>
      <c r="AA120" s="182"/>
      <c r="AB120" s="182"/>
      <c r="AC120" s="452" t="e">
        <f t="shared" si="95"/>
        <v>#N/A</v>
      </c>
      <c r="AD120" s="661"/>
      <c r="AE120" s="182"/>
      <c r="AF120" s="182"/>
      <c r="AG120" s="182"/>
      <c r="AH120" s="452" t="e">
        <f t="shared" si="95"/>
        <v>#N/A</v>
      </c>
      <c r="AI120" s="661"/>
      <c r="AJ120" s="182"/>
      <c r="AK120" s="182"/>
      <c r="AL120" s="182"/>
      <c r="AM120" s="452" t="e">
        <f t="shared" si="95"/>
        <v>#N/A</v>
      </c>
      <c r="AN120" s="661"/>
      <c r="AO120" s="182"/>
      <c r="AP120" s="182"/>
      <c r="AQ120" s="182"/>
      <c r="AR120" s="452" t="e">
        <f t="shared" si="103"/>
        <v>#N/A</v>
      </c>
      <c r="AS120" s="661"/>
      <c r="AT120" s="182"/>
      <c r="AU120" s="182"/>
      <c r="AV120" s="182"/>
      <c r="AW120" s="452" t="e">
        <f t="shared" si="103"/>
        <v>#N/A</v>
      </c>
      <c r="AX120" s="661"/>
      <c r="AZ120" s="525" t="e">
        <f t="shared" si="107"/>
        <v>#N/A</v>
      </c>
      <c r="BA120" s="661"/>
    </row>
    <row r="121" spans="2:53">
      <c r="B121" s="647"/>
      <c r="C121" s="452">
        <v>15</v>
      </c>
      <c r="D121" s="456"/>
      <c r="E121" s="453"/>
      <c r="F121" s="453"/>
      <c r="G121" s="453"/>
      <c r="H121" s="669"/>
      <c r="I121" s="521"/>
      <c r="J121" s="521"/>
      <c r="K121" s="517"/>
      <c r="L121" s="597"/>
      <c r="M121" s="453" t="e">
        <f>RANK(K121, K$67:$K$81)</f>
        <v>#N/A</v>
      </c>
      <c r="N121" s="614"/>
      <c r="O121" s="614"/>
      <c r="P121" s="182"/>
      <c r="Q121" s="182"/>
      <c r="R121" s="182"/>
      <c r="S121" s="452" t="e">
        <f t="shared" si="109"/>
        <v>#N/A</v>
      </c>
      <c r="T121" s="661"/>
      <c r="U121" s="182"/>
      <c r="V121" s="182"/>
      <c r="W121" s="182"/>
      <c r="X121" s="452" t="e">
        <f t="shared" si="95"/>
        <v>#N/A</v>
      </c>
      <c r="Y121" s="661"/>
      <c r="Z121" s="182"/>
      <c r="AA121" s="182"/>
      <c r="AB121" s="182"/>
      <c r="AC121" s="452" t="e">
        <f t="shared" si="95"/>
        <v>#N/A</v>
      </c>
      <c r="AD121" s="661"/>
      <c r="AE121" s="182"/>
      <c r="AF121" s="182"/>
      <c r="AG121" s="182"/>
      <c r="AH121" s="452" t="e">
        <f t="shared" si="95"/>
        <v>#N/A</v>
      </c>
      <c r="AI121" s="661"/>
      <c r="AJ121" s="182"/>
      <c r="AK121" s="182"/>
      <c r="AL121" s="182"/>
      <c r="AM121" s="452" t="e">
        <f t="shared" si="95"/>
        <v>#N/A</v>
      </c>
      <c r="AN121" s="661"/>
      <c r="AO121" s="182"/>
      <c r="AP121" s="182"/>
      <c r="AQ121" s="182"/>
      <c r="AR121" s="452" t="e">
        <f t="shared" si="103"/>
        <v>#N/A</v>
      </c>
      <c r="AS121" s="661"/>
      <c r="AT121" s="182"/>
      <c r="AU121" s="182"/>
      <c r="AV121" s="182"/>
      <c r="AW121" s="452" t="e">
        <f t="shared" si="103"/>
        <v>#N/A</v>
      </c>
      <c r="AX121" s="661"/>
      <c r="AZ121" s="525" t="e">
        <f t="shared" si="107"/>
        <v>#N/A</v>
      </c>
      <c r="BA121" s="661"/>
    </row>
    <row r="123" spans="2:53" ht="15.75">
      <c r="B123" s="653" t="s">
        <v>573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154</v>
      </c>
      <c r="C125" s="614" t="s">
        <v>408</v>
      </c>
      <c r="D125" s="614"/>
      <c r="E125" s="614" t="s">
        <v>399</v>
      </c>
      <c r="F125" s="614"/>
      <c r="G125" s="614"/>
      <c r="H125" s="630" t="s">
        <v>395</v>
      </c>
      <c r="I125" s="657" t="s">
        <v>400</v>
      </c>
      <c r="J125" s="657"/>
      <c r="K125" s="657"/>
      <c r="L125" s="673" t="s">
        <v>395</v>
      </c>
      <c r="M125" s="676" t="s">
        <v>396</v>
      </c>
    </row>
    <row r="126" spans="2:53">
      <c r="B126" s="614"/>
      <c r="C126" s="614"/>
      <c r="D126" s="614"/>
      <c r="E126" s="614" t="s">
        <v>402</v>
      </c>
      <c r="F126" s="614"/>
      <c r="G126" s="614"/>
      <c r="H126" s="631"/>
      <c r="I126" s="657" t="s">
        <v>402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404</v>
      </c>
      <c r="F127" s="335" t="s">
        <v>405</v>
      </c>
      <c r="G127" s="335" t="s">
        <v>406</v>
      </c>
      <c r="H127" s="632"/>
      <c r="I127" s="342" t="s">
        <v>404</v>
      </c>
      <c r="J127" s="342" t="s">
        <v>405</v>
      </c>
      <c r="K127" s="342" t="s">
        <v>406</v>
      </c>
      <c r="L127" s="675"/>
      <c r="M127" s="678"/>
    </row>
    <row r="128" spans="2:53">
      <c r="B128" s="662" t="s">
        <v>407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J138" si="110">AVERAGEIF($D$7:$D$121,$D128,I$7:I$121)</f>
        <v>#DIV/0!</v>
      </c>
      <c r="J128" s="199" t="e">
        <f t="shared" si="110"/>
        <v>#DIV/0!</v>
      </c>
      <c r="K128" s="199" t="e">
        <f t="shared" ref="K128:K138" si="111"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39">
      <c r="B129" s="622"/>
      <c r="C129" s="334">
        <v>2</v>
      </c>
      <c r="D129" s="226"/>
      <c r="E129" s="182"/>
      <c r="F129" s="334"/>
      <c r="G129" s="337"/>
      <c r="H129" s="664"/>
      <c r="I129" s="199" t="e">
        <f t="shared" si="110"/>
        <v>#DIV/0!</v>
      </c>
      <c r="J129" s="199" t="e">
        <f t="shared" si="110"/>
        <v>#DIV/0!</v>
      </c>
      <c r="K129" s="199" t="e">
        <f t="shared" si="111"/>
        <v>#DIV/0!</v>
      </c>
      <c r="L129" s="671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2"/>
      <c r="C130" s="334">
        <v>3</v>
      </c>
      <c r="D130" s="226"/>
      <c r="E130" s="182"/>
      <c r="F130" s="334"/>
      <c r="G130" s="337"/>
      <c r="H130" s="664"/>
      <c r="I130" s="199" t="e">
        <f t="shared" si="110"/>
        <v>#DIV/0!</v>
      </c>
      <c r="J130" s="199" t="e">
        <f t="shared" si="110"/>
        <v>#DIV/0!</v>
      </c>
      <c r="K130" s="199" t="e">
        <f t="shared" si="111"/>
        <v>#DIV/0!</v>
      </c>
      <c r="L130" s="671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2"/>
      <c r="C131" s="334">
        <v>4</v>
      </c>
      <c r="D131" s="226"/>
      <c r="E131" s="182"/>
      <c r="F131" s="334"/>
      <c r="G131" s="337"/>
      <c r="H131" s="664"/>
      <c r="I131" s="199" t="e">
        <f t="shared" si="110"/>
        <v>#DIV/0!</v>
      </c>
      <c r="J131" s="199" t="e">
        <f t="shared" si="110"/>
        <v>#DIV/0!</v>
      </c>
      <c r="K131" s="199" t="e">
        <f t="shared" si="111"/>
        <v>#DIV/0!</v>
      </c>
      <c r="L131" s="671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2"/>
      <c r="C132" s="334">
        <v>5</v>
      </c>
      <c r="D132" s="226"/>
      <c r="E132" s="182"/>
      <c r="F132" s="334"/>
      <c r="G132" s="337"/>
      <c r="H132" s="664"/>
      <c r="I132" s="199" t="e">
        <f t="shared" si="110"/>
        <v>#DIV/0!</v>
      </c>
      <c r="J132" s="199" t="e">
        <f t="shared" si="110"/>
        <v>#DIV/0!</v>
      </c>
      <c r="K132" s="199" t="e">
        <f t="shared" si="111"/>
        <v>#DIV/0!</v>
      </c>
      <c r="L132" s="671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2"/>
      <c r="C133" s="334">
        <v>6</v>
      </c>
      <c r="D133" s="343"/>
      <c r="E133" s="182"/>
      <c r="F133" s="334"/>
      <c r="G133" s="337"/>
      <c r="H133" s="664"/>
      <c r="I133" s="199" t="e">
        <f t="shared" si="110"/>
        <v>#DIV/0!</v>
      </c>
      <c r="J133" s="199" t="e">
        <f t="shared" si="110"/>
        <v>#DIV/0!</v>
      </c>
      <c r="K133" s="199" t="e">
        <f t="shared" si="111"/>
        <v>#DIV/0!</v>
      </c>
      <c r="L133" s="671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2"/>
      <c r="C134" s="334">
        <v>7</v>
      </c>
      <c r="D134" s="226"/>
      <c r="E134" s="182"/>
      <c r="F134" s="334"/>
      <c r="G134" s="337"/>
      <c r="H134" s="664"/>
      <c r="I134" s="199" t="e">
        <f t="shared" si="110"/>
        <v>#DIV/0!</v>
      </c>
      <c r="J134" s="199" t="e">
        <f t="shared" si="110"/>
        <v>#DIV/0!</v>
      </c>
      <c r="K134" s="199" t="e">
        <f t="shared" si="111"/>
        <v>#DIV/0!</v>
      </c>
      <c r="L134" s="671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2"/>
      <c r="C135" s="334">
        <v>8</v>
      </c>
      <c r="D135" s="226"/>
      <c r="E135" s="182"/>
      <c r="F135" s="334"/>
      <c r="G135" s="337"/>
      <c r="H135" s="664"/>
      <c r="I135" s="199" t="e">
        <f t="shared" si="110"/>
        <v>#DIV/0!</v>
      </c>
      <c r="J135" s="199" t="e">
        <f t="shared" si="110"/>
        <v>#DIV/0!</v>
      </c>
      <c r="K135" s="199" t="e">
        <f t="shared" si="111"/>
        <v>#DIV/0!</v>
      </c>
      <c r="L135" s="671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2"/>
      <c r="C136" s="334">
        <v>9</v>
      </c>
      <c r="D136" s="226"/>
      <c r="E136" s="334"/>
      <c r="F136" s="334"/>
      <c r="G136" s="334"/>
      <c r="H136" s="664"/>
      <c r="I136" s="199" t="e">
        <f t="shared" si="110"/>
        <v>#DIV/0!</v>
      </c>
      <c r="J136" s="199" t="e">
        <f t="shared" si="110"/>
        <v>#DIV/0!</v>
      </c>
      <c r="K136" s="199" t="e">
        <f t="shared" si="111"/>
        <v>#DIV/0!</v>
      </c>
      <c r="L136" s="671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2"/>
      <c r="C137" s="334">
        <v>10</v>
      </c>
      <c r="D137" s="226"/>
      <c r="E137" s="334"/>
      <c r="F137" s="334"/>
      <c r="G137" s="334"/>
      <c r="H137" s="664"/>
      <c r="I137" s="199" t="e">
        <f t="shared" si="110"/>
        <v>#DIV/0!</v>
      </c>
      <c r="J137" s="199" t="e">
        <f t="shared" si="110"/>
        <v>#DIV/0!</v>
      </c>
      <c r="K137" s="199" t="e">
        <f t="shared" si="111"/>
        <v>#DIV/0!</v>
      </c>
      <c r="L137" s="671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2"/>
      <c r="C138" s="334">
        <v>11</v>
      </c>
      <c r="D138" s="226"/>
      <c r="E138" s="334"/>
      <c r="F138" s="334"/>
      <c r="G138" s="334"/>
      <c r="H138" s="664"/>
      <c r="I138" s="199" t="e">
        <f t="shared" si="110"/>
        <v>#DIV/0!</v>
      </c>
      <c r="J138" s="199" t="e">
        <f t="shared" si="110"/>
        <v>#DIV/0!</v>
      </c>
      <c r="K138" s="199" t="e">
        <f t="shared" si="111"/>
        <v>#DIV/0!</v>
      </c>
      <c r="L138" s="671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AW1" sqref="AW1:AY1048576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111.81630036630034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79">
        <v>46112</v>
      </c>
      <c r="Q2" s="680"/>
      <c r="R2" s="680"/>
      <c r="S2" s="680"/>
      <c r="T2" s="681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424</v>
      </c>
      <c r="C4" s="614" t="s">
        <v>425</v>
      </c>
      <c r="D4" s="614"/>
      <c r="E4" s="614" t="s">
        <v>426</v>
      </c>
      <c r="F4" s="614"/>
      <c r="G4" s="614"/>
      <c r="H4" s="630" t="s">
        <v>427</v>
      </c>
      <c r="I4" s="598" t="s">
        <v>428</v>
      </c>
      <c r="J4" s="598"/>
      <c r="K4" s="598"/>
      <c r="L4" s="599" t="s">
        <v>427</v>
      </c>
      <c r="M4" s="605" t="s">
        <v>429</v>
      </c>
      <c r="N4" s="614"/>
      <c r="O4" s="614" t="s">
        <v>430</v>
      </c>
      <c r="P4" s="611" t="s">
        <v>431</v>
      </c>
      <c r="Q4" s="612"/>
      <c r="R4" s="612"/>
      <c r="S4" s="613"/>
      <c r="T4" s="614" t="s">
        <v>427</v>
      </c>
      <c r="U4" s="611" t="s">
        <v>431</v>
      </c>
      <c r="V4" s="612"/>
      <c r="W4" s="612"/>
      <c r="X4" s="613"/>
      <c r="Y4" s="614" t="s">
        <v>427</v>
      </c>
      <c r="Z4" s="611" t="s">
        <v>431</v>
      </c>
      <c r="AA4" s="612"/>
      <c r="AB4" s="612"/>
      <c r="AC4" s="613"/>
      <c r="AD4" s="614" t="s">
        <v>427</v>
      </c>
      <c r="AE4" s="611" t="s">
        <v>431</v>
      </c>
      <c r="AF4" s="612"/>
      <c r="AG4" s="612"/>
      <c r="AH4" s="613"/>
      <c r="AI4" s="614" t="s">
        <v>427</v>
      </c>
      <c r="AJ4" s="611" t="s">
        <v>431</v>
      </c>
      <c r="AK4" s="612"/>
      <c r="AL4" s="612"/>
      <c r="AM4" s="613"/>
      <c r="AN4" s="614" t="s">
        <v>427</v>
      </c>
      <c r="AO4" s="611" t="s">
        <v>431</v>
      </c>
      <c r="AP4" s="612"/>
      <c r="AQ4" s="612"/>
      <c r="AR4" s="613"/>
      <c r="AS4" s="614" t="s">
        <v>427</v>
      </c>
      <c r="AT4" s="611" t="s">
        <v>431</v>
      </c>
      <c r="AU4" s="612"/>
      <c r="AV4" s="612"/>
      <c r="AW4" s="613"/>
      <c r="AX4" s="614" t="s">
        <v>427</v>
      </c>
      <c r="BA4" s="614" t="s">
        <v>395</v>
      </c>
    </row>
    <row r="5" spans="1:53" ht="14.25">
      <c r="A5" s="81"/>
      <c r="B5" s="614"/>
      <c r="C5" s="614"/>
      <c r="D5" s="614"/>
      <c r="E5" s="614" t="s">
        <v>432</v>
      </c>
      <c r="F5" s="614"/>
      <c r="G5" s="614"/>
      <c r="H5" s="631"/>
      <c r="I5" s="598" t="s">
        <v>432</v>
      </c>
      <c r="J5" s="598"/>
      <c r="K5" s="598"/>
      <c r="L5" s="600"/>
      <c r="M5" s="606"/>
      <c r="N5" s="614"/>
      <c r="O5" s="614"/>
      <c r="P5" s="611" t="s">
        <v>433</v>
      </c>
      <c r="Q5" s="612"/>
      <c r="R5" s="612"/>
      <c r="S5" s="613"/>
      <c r="T5" s="614"/>
      <c r="U5" s="611" t="s">
        <v>433</v>
      </c>
      <c r="V5" s="612"/>
      <c r="W5" s="612"/>
      <c r="X5" s="613"/>
      <c r="Y5" s="614"/>
      <c r="Z5" s="611" t="s">
        <v>433</v>
      </c>
      <c r="AA5" s="612"/>
      <c r="AB5" s="612"/>
      <c r="AC5" s="613"/>
      <c r="AD5" s="614"/>
      <c r="AE5" s="611" t="s">
        <v>433</v>
      </c>
      <c r="AF5" s="612"/>
      <c r="AG5" s="612"/>
      <c r="AH5" s="613"/>
      <c r="AI5" s="614"/>
      <c r="AJ5" s="611" t="s">
        <v>433</v>
      </c>
      <c r="AK5" s="612"/>
      <c r="AL5" s="612"/>
      <c r="AM5" s="613"/>
      <c r="AN5" s="614"/>
      <c r="AO5" s="611" t="s">
        <v>433</v>
      </c>
      <c r="AP5" s="612"/>
      <c r="AQ5" s="612"/>
      <c r="AR5" s="613"/>
      <c r="AS5" s="614"/>
      <c r="AT5" s="611" t="s">
        <v>433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26" t="s">
        <v>434</v>
      </c>
      <c r="F6" s="426" t="s">
        <v>435</v>
      </c>
      <c r="G6" s="426" t="s">
        <v>436</v>
      </c>
      <c r="H6" s="632"/>
      <c r="I6" s="427" t="s">
        <v>434</v>
      </c>
      <c r="J6" s="427" t="s">
        <v>435</v>
      </c>
      <c r="K6" s="427" t="s">
        <v>436</v>
      </c>
      <c r="L6" s="601"/>
      <c r="M6" s="607"/>
      <c r="N6" s="614"/>
      <c r="O6" s="614"/>
      <c r="P6" s="426" t="s">
        <v>434</v>
      </c>
      <c r="Q6" s="426" t="s">
        <v>435</v>
      </c>
      <c r="R6" s="426" t="s">
        <v>436</v>
      </c>
      <c r="S6" s="426" t="s">
        <v>429</v>
      </c>
      <c r="T6" s="614"/>
      <c r="U6" s="426" t="s">
        <v>434</v>
      </c>
      <c r="V6" s="426" t="s">
        <v>435</v>
      </c>
      <c r="W6" s="426" t="s">
        <v>436</v>
      </c>
      <c r="X6" s="426" t="s">
        <v>429</v>
      </c>
      <c r="Y6" s="614"/>
      <c r="Z6" s="426" t="s">
        <v>434</v>
      </c>
      <c r="AA6" s="426" t="s">
        <v>435</v>
      </c>
      <c r="AB6" s="426" t="s">
        <v>436</v>
      </c>
      <c r="AC6" s="426" t="s">
        <v>429</v>
      </c>
      <c r="AD6" s="614"/>
      <c r="AE6" s="426" t="s">
        <v>434</v>
      </c>
      <c r="AF6" s="426" t="s">
        <v>435</v>
      </c>
      <c r="AG6" s="426" t="s">
        <v>436</v>
      </c>
      <c r="AH6" s="426" t="s">
        <v>429</v>
      </c>
      <c r="AI6" s="614"/>
      <c r="AJ6" s="426" t="s">
        <v>434</v>
      </c>
      <c r="AK6" s="426" t="s">
        <v>435</v>
      </c>
      <c r="AL6" s="426" t="s">
        <v>436</v>
      </c>
      <c r="AM6" s="426" t="s">
        <v>429</v>
      </c>
      <c r="AN6" s="614"/>
      <c r="AO6" s="426" t="s">
        <v>434</v>
      </c>
      <c r="AP6" s="426" t="s">
        <v>435</v>
      </c>
      <c r="AQ6" s="426" t="s">
        <v>436</v>
      </c>
      <c r="AR6" s="426" t="s">
        <v>429</v>
      </c>
      <c r="AS6" s="614"/>
      <c r="AT6" s="426" t="s">
        <v>434</v>
      </c>
      <c r="AU6" s="426" t="s">
        <v>435</v>
      </c>
      <c r="AV6" s="426" t="s">
        <v>436</v>
      </c>
      <c r="AW6" s="426" t="s">
        <v>429</v>
      </c>
      <c r="AX6" s="614"/>
      <c r="AZ6" s="523" t="s">
        <v>396</v>
      </c>
      <c r="BA6" s="614"/>
    </row>
    <row r="7" spans="1:53" ht="14.25">
      <c r="A7" s="81"/>
      <c r="B7" s="614" t="s">
        <v>439</v>
      </c>
      <c r="C7" s="423">
        <v>1</v>
      </c>
      <c r="D7" s="226" t="s">
        <v>742</v>
      </c>
      <c r="E7" s="182">
        <v>13</v>
      </c>
      <c r="F7" s="490">
        <v>1500</v>
      </c>
      <c r="G7" s="491">
        <v>115.38461538461539</v>
      </c>
      <c r="H7" s="663">
        <f>AVERAGE(G7:G21)</f>
        <v>107.69230769230769</v>
      </c>
      <c r="I7" s="516">
        <f t="shared" ref="I7:I20" si="0">IFERROR(AVERAGE(P7,U7,Z7,AE7,AJ7,AO7,AT7),"-")</f>
        <v>13</v>
      </c>
      <c r="J7" s="516">
        <f t="shared" ref="J7:J20" si="1">IFERROR(AVERAGE(Q7,V7,AA7,AF7,AK7,AP7,AU7),"-")</f>
        <v>1411.9047619047615</v>
      </c>
      <c r="K7" s="200">
        <f t="shared" ref="K7:K20" si="2">IFERROR(AVERAGE(R7,W7,AB7,AG7,AL7,AQ7,AV7),"-")</f>
        <v>108.60805860805856</v>
      </c>
      <c r="L7" s="595">
        <f>IFERROR(AVERAGE(K7:K21),"-")</f>
        <v>112.2247752247752</v>
      </c>
      <c r="M7" s="428">
        <f>RANK(K7, $K$7:K$21)</f>
        <v>2</v>
      </c>
      <c r="N7" s="614"/>
      <c r="O7" s="614"/>
      <c r="P7" s="524">
        <v>13</v>
      </c>
      <c r="Q7" s="182">
        <v>1383.3333333333321</v>
      </c>
      <c r="R7" s="182">
        <v>106.41025641025632</v>
      </c>
      <c r="S7" s="524">
        <f t="shared" ref="S7:S21" si="3">RANK(R7, R$7:R$21)</f>
        <v>2</v>
      </c>
      <c r="T7" s="636">
        <f t="shared" ref="T7" si="4">AVERAGE(R7:R21)</f>
        <v>119.54079254079248</v>
      </c>
      <c r="U7" s="524">
        <v>13</v>
      </c>
      <c r="V7" s="182">
        <v>1516.0000000000055</v>
      </c>
      <c r="W7" s="182">
        <v>116.61538461538504</v>
      </c>
      <c r="X7" s="524">
        <f t="shared" ref="X7:X21" si="5">RANK(W7, W$7:W$21)</f>
        <v>1</v>
      </c>
      <c r="Y7" s="636">
        <f t="shared" ref="Y7" si="6">AVERAGE(W7:W21)</f>
        <v>114.30769230769253</v>
      </c>
      <c r="Z7" s="524">
        <v>13</v>
      </c>
      <c r="AA7" s="182">
        <v>1232.9999999999995</v>
      </c>
      <c r="AB7" s="182">
        <v>94.846153846153811</v>
      </c>
      <c r="AC7" s="524">
        <f t="shared" ref="AC7:AC21" si="7">RANK(AB7, AB$7:AB$21)</f>
        <v>2</v>
      </c>
      <c r="AD7" s="636">
        <f t="shared" ref="AD7" si="8">AVERAGE(AB7:AB21)</f>
        <v>105.24125874125872</v>
      </c>
      <c r="AE7" s="524">
        <v>13</v>
      </c>
      <c r="AF7" s="182">
        <v>1507.9999999999975</v>
      </c>
      <c r="AG7" s="182">
        <v>115.9999999999998</v>
      </c>
      <c r="AH7" s="524">
        <f t="shared" ref="AH7:AH21" si="9">RANK(AG7, AG$7:AG$21)</f>
        <v>1</v>
      </c>
      <c r="AI7" s="636">
        <f t="shared" ref="AI7" si="10">AVERAGE(AG7:AG21)</f>
        <v>114.66666666666661</v>
      </c>
      <c r="AJ7" s="524">
        <v>13</v>
      </c>
      <c r="AK7" s="182">
        <v>1563.9999999999973</v>
      </c>
      <c r="AL7" s="182">
        <v>120.30769230769209</v>
      </c>
      <c r="AM7" s="524">
        <f t="shared" ref="AM7:AM21" si="11">RANK(AL7, AL$7:AL$21)</f>
        <v>1</v>
      </c>
      <c r="AN7" s="636">
        <f t="shared" ref="AN7" si="12">AVERAGE(AL7:AL21)</f>
        <v>115.49650349650338</v>
      </c>
      <c r="AO7" s="524">
        <v>13</v>
      </c>
      <c r="AP7" s="182">
        <v>1367.9999999999975</v>
      </c>
      <c r="AQ7" s="182">
        <v>105.23076923076904</v>
      </c>
      <c r="AR7" s="524">
        <f t="shared" ref="AR7:AR21" si="13">RANK(AQ7, AQ$7:AQ$21)</f>
        <v>2</v>
      </c>
      <c r="AS7" s="636">
        <f t="shared" ref="AS7" si="14">AVERAGE(AQ7:AQ21)</f>
        <v>109.43589743589739</v>
      </c>
      <c r="AT7" s="524">
        <v>13</v>
      </c>
      <c r="AU7" s="182">
        <v>1310.9999999999995</v>
      </c>
      <c r="AV7" s="182">
        <v>100.84615384615381</v>
      </c>
      <c r="AW7" s="524">
        <f t="shared" ref="AW7:AW21" si="15">RANK(AV7, AV$7:AV$21)</f>
        <v>2</v>
      </c>
      <c r="AX7" s="636">
        <f t="shared" ref="AX7" si="16">AVERAGE(AV7:AV21)</f>
        <v>106.88461538461534</v>
      </c>
      <c r="AZ7" s="524" t="e">
        <f t="shared" ref="AZ7:AZ21" si="17">RANK(AY7, AY$7:AY$21)</f>
        <v>#N/A</v>
      </c>
      <c r="BA7" s="636" t="e">
        <f t="shared" ref="BA7" si="18">AVERAGE(AY7:AY21)</f>
        <v>#DIV/0!</v>
      </c>
    </row>
    <row r="8" spans="1:53" ht="15" customHeight="1">
      <c r="A8" s="81"/>
      <c r="B8" s="622"/>
      <c r="C8" s="423">
        <v>2</v>
      </c>
      <c r="D8" s="226" t="s">
        <v>840</v>
      </c>
      <c r="E8" s="182">
        <v>15</v>
      </c>
      <c r="F8" s="490">
        <v>1500</v>
      </c>
      <c r="G8" s="491">
        <v>100</v>
      </c>
      <c r="H8" s="664"/>
      <c r="I8" s="516">
        <f t="shared" si="0"/>
        <v>12.714285714285714</v>
      </c>
      <c r="J8" s="516">
        <f t="shared" si="1"/>
        <v>1468.0333000333001</v>
      </c>
      <c r="K8" s="200">
        <f t="shared" si="2"/>
        <v>115.84149184149184</v>
      </c>
      <c r="L8" s="596"/>
      <c r="M8" s="428">
        <f>RANK(K8, $K$7:K$21)</f>
        <v>1</v>
      </c>
      <c r="N8" s="614"/>
      <c r="O8" s="614"/>
      <c r="P8" s="524">
        <v>11</v>
      </c>
      <c r="Q8" s="182">
        <v>1459.384615384615</v>
      </c>
      <c r="R8" s="182">
        <v>132.67132867132864</v>
      </c>
      <c r="S8" s="524">
        <f t="shared" si="3"/>
        <v>1</v>
      </c>
      <c r="T8" s="636"/>
      <c r="U8" s="524">
        <v>13</v>
      </c>
      <c r="V8" s="182">
        <v>1456.0000000000005</v>
      </c>
      <c r="W8" s="182">
        <v>112.00000000000003</v>
      </c>
      <c r="X8" s="524">
        <f t="shared" si="5"/>
        <v>2</v>
      </c>
      <c r="Y8" s="636"/>
      <c r="Z8" s="524">
        <v>13</v>
      </c>
      <c r="AA8" s="182">
        <v>1503.272727272727</v>
      </c>
      <c r="AB8" s="182">
        <v>115.63636363636361</v>
      </c>
      <c r="AC8" s="524">
        <f t="shared" si="7"/>
        <v>1</v>
      </c>
      <c r="AD8" s="636"/>
      <c r="AE8" s="524">
        <v>13</v>
      </c>
      <c r="AF8" s="182">
        <v>1473.3333333333346</v>
      </c>
      <c r="AG8" s="182">
        <v>113.33333333333343</v>
      </c>
      <c r="AH8" s="524">
        <f t="shared" si="9"/>
        <v>2</v>
      </c>
      <c r="AI8" s="636"/>
      <c r="AJ8" s="524">
        <v>13</v>
      </c>
      <c r="AK8" s="182">
        <v>1438.9090909090905</v>
      </c>
      <c r="AL8" s="182">
        <v>110.68531468531465</v>
      </c>
      <c r="AM8" s="524">
        <f t="shared" si="11"/>
        <v>2</v>
      </c>
      <c r="AN8" s="636"/>
      <c r="AO8" s="524">
        <v>13</v>
      </c>
      <c r="AP8" s="182">
        <v>1477.3333333333346</v>
      </c>
      <c r="AQ8" s="182">
        <v>113.64102564102573</v>
      </c>
      <c r="AR8" s="524">
        <f t="shared" si="13"/>
        <v>1</v>
      </c>
      <c r="AS8" s="636"/>
      <c r="AT8" s="524">
        <v>13</v>
      </c>
      <c r="AU8" s="182">
        <v>1467.9999999999993</v>
      </c>
      <c r="AV8" s="182">
        <v>112.92307692307688</v>
      </c>
      <c r="AW8" s="524">
        <f t="shared" si="15"/>
        <v>1</v>
      </c>
      <c r="AX8" s="636"/>
      <c r="AZ8" s="524" t="e">
        <f t="shared" si="17"/>
        <v>#N/A</v>
      </c>
      <c r="BA8" s="636"/>
    </row>
    <row r="9" spans="1:53" ht="14.25">
      <c r="A9" s="81"/>
      <c r="B9" s="622"/>
      <c r="C9" s="423">
        <v>3</v>
      </c>
      <c r="D9" s="226"/>
      <c r="E9" s="182"/>
      <c r="F9" s="442"/>
      <c r="G9" s="443"/>
      <c r="H9" s="664"/>
      <c r="I9" s="516" t="str">
        <f t="shared" si="0"/>
        <v>-</v>
      </c>
      <c r="J9" s="516" t="str">
        <f t="shared" si="1"/>
        <v>-</v>
      </c>
      <c r="K9" s="200" t="str">
        <f t="shared" si="2"/>
        <v>-</v>
      </c>
      <c r="L9" s="596"/>
      <c r="M9" s="428" t="e">
        <f>RANK(K9, $K$7:K$21)</f>
        <v>#VALUE!</v>
      </c>
      <c r="N9" s="614"/>
      <c r="O9" s="614"/>
      <c r="P9" s="524" t="s">
        <v>839</v>
      </c>
      <c r="Q9" s="182" t="s">
        <v>839</v>
      </c>
      <c r="R9" s="182" t="s">
        <v>839</v>
      </c>
      <c r="S9" s="524" t="e">
        <f t="shared" si="3"/>
        <v>#VALUE!</v>
      </c>
      <c r="T9" s="636"/>
      <c r="U9" s="524" t="s">
        <v>839</v>
      </c>
      <c r="V9" s="182" t="s">
        <v>839</v>
      </c>
      <c r="W9" s="182" t="s">
        <v>839</v>
      </c>
      <c r="X9" s="524" t="e">
        <f t="shared" si="5"/>
        <v>#VALUE!</v>
      </c>
      <c r="Y9" s="636"/>
      <c r="Z9" s="524" t="s">
        <v>839</v>
      </c>
      <c r="AA9" s="182" t="s">
        <v>839</v>
      </c>
      <c r="AB9" s="182" t="s">
        <v>839</v>
      </c>
      <c r="AC9" s="524" t="e">
        <f t="shared" si="7"/>
        <v>#VALUE!</v>
      </c>
      <c r="AD9" s="636"/>
      <c r="AE9" s="524" t="s">
        <v>839</v>
      </c>
      <c r="AF9" s="182" t="s">
        <v>839</v>
      </c>
      <c r="AG9" s="182" t="s">
        <v>839</v>
      </c>
      <c r="AH9" s="524" t="e">
        <f t="shared" si="9"/>
        <v>#VALUE!</v>
      </c>
      <c r="AI9" s="636"/>
      <c r="AJ9" s="524" t="s">
        <v>839</v>
      </c>
      <c r="AK9" s="182" t="s">
        <v>839</v>
      </c>
      <c r="AL9" s="182" t="s">
        <v>839</v>
      </c>
      <c r="AM9" s="524" t="e">
        <f t="shared" si="11"/>
        <v>#VALUE!</v>
      </c>
      <c r="AN9" s="636"/>
      <c r="AO9" s="524" t="s">
        <v>839</v>
      </c>
      <c r="AP9" s="182" t="s">
        <v>839</v>
      </c>
      <c r="AQ9" s="182" t="s">
        <v>839</v>
      </c>
      <c r="AR9" s="524" t="e">
        <f t="shared" si="13"/>
        <v>#VALUE!</v>
      </c>
      <c r="AS9" s="636"/>
      <c r="AT9" s="524" t="s">
        <v>839</v>
      </c>
      <c r="AU9" s="182" t="s">
        <v>839</v>
      </c>
      <c r="AV9" s="182" t="s">
        <v>839</v>
      </c>
      <c r="AW9" s="524" t="e">
        <f t="shared" si="15"/>
        <v>#VALUE!</v>
      </c>
      <c r="AX9" s="636"/>
      <c r="AZ9" s="524" t="e">
        <f t="shared" si="17"/>
        <v>#N/A</v>
      </c>
      <c r="BA9" s="636"/>
    </row>
    <row r="10" spans="1:53" ht="14.25">
      <c r="A10" s="81"/>
      <c r="B10" s="622"/>
      <c r="C10" s="423">
        <v>4</v>
      </c>
      <c r="D10" s="226"/>
      <c r="E10" s="182"/>
      <c r="F10" s="442"/>
      <c r="G10" s="443"/>
      <c r="H10" s="664"/>
      <c r="I10" s="516" t="str">
        <f t="shared" si="0"/>
        <v>-</v>
      </c>
      <c r="J10" s="516" t="str">
        <f t="shared" si="1"/>
        <v>-</v>
      </c>
      <c r="K10" s="200" t="str">
        <f t="shared" si="2"/>
        <v>-</v>
      </c>
      <c r="L10" s="596"/>
      <c r="M10" s="428" t="e">
        <f>RANK(K10, $K$7:K$21)</f>
        <v>#VALUE!</v>
      </c>
      <c r="N10" s="614"/>
      <c r="O10" s="614"/>
      <c r="P10" s="524" t="s">
        <v>839</v>
      </c>
      <c r="Q10" s="182" t="s">
        <v>839</v>
      </c>
      <c r="R10" s="182" t="s">
        <v>839</v>
      </c>
      <c r="S10" s="524" t="e">
        <f t="shared" si="3"/>
        <v>#VALUE!</v>
      </c>
      <c r="T10" s="636"/>
      <c r="U10" s="524" t="s">
        <v>839</v>
      </c>
      <c r="V10" s="182" t="s">
        <v>839</v>
      </c>
      <c r="W10" s="182" t="s">
        <v>839</v>
      </c>
      <c r="X10" s="524" t="e">
        <f t="shared" si="5"/>
        <v>#VALUE!</v>
      </c>
      <c r="Y10" s="636"/>
      <c r="Z10" s="524" t="s">
        <v>839</v>
      </c>
      <c r="AA10" s="182" t="s">
        <v>839</v>
      </c>
      <c r="AB10" s="182" t="s">
        <v>839</v>
      </c>
      <c r="AC10" s="524" t="e">
        <f t="shared" si="7"/>
        <v>#VALUE!</v>
      </c>
      <c r="AD10" s="636"/>
      <c r="AE10" s="524" t="s">
        <v>839</v>
      </c>
      <c r="AF10" s="182" t="s">
        <v>839</v>
      </c>
      <c r="AG10" s="182" t="s">
        <v>839</v>
      </c>
      <c r="AH10" s="524" t="e">
        <f t="shared" si="9"/>
        <v>#VALUE!</v>
      </c>
      <c r="AI10" s="636"/>
      <c r="AJ10" s="524" t="s">
        <v>839</v>
      </c>
      <c r="AK10" s="182" t="s">
        <v>839</v>
      </c>
      <c r="AL10" s="182" t="s">
        <v>839</v>
      </c>
      <c r="AM10" s="524" t="e">
        <f t="shared" si="11"/>
        <v>#VALUE!</v>
      </c>
      <c r="AN10" s="636"/>
      <c r="AO10" s="524" t="s">
        <v>839</v>
      </c>
      <c r="AP10" s="182" t="s">
        <v>839</v>
      </c>
      <c r="AQ10" s="182" t="s">
        <v>839</v>
      </c>
      <c r="AR10" s="524" t="e">
        <f t="shared" si="13"/>
        <v>#VALUE!</v>
      </c>
      <c r="AS10" s="636"/>
      <c r="AT10" s="524" t="s">
        <v>839</v>
      </c>
      <c r="AU10" s="182" t="s">
        <v>839</v>
      </c>
      <c r="AV10" s="182" t="s">
        <v>839</v>
      </c>
      <c r="AW10" s="524" t="e">
        <f t="shared" si="15"/>
        <v>#VALUE!</v>
      </c>
      <c r="AX10" s="636"/>
      <c r="AZ10" s="524" t="e">
        <f t="shared" si="17"/>
        <v>#N/A</v>
      </c>
      <c r="BA10" s="636"/>
    </row>
    <row r="11" spans="1:53" ht="14.25">
      <c r="A11" s="81"/>
      <c r="B11" s="622"/>
      <c r="C11" s="423">
        <v>5</v>
      </c>
      <c r="D11" s="226"/>
      <c r="E11" s="182"/>
      <c r="F11" s="442"/>
      <c r="G11" s="443"/>
      <c r="H11" s="664"/>
      <c r="I11" s="516" t="str">
        <f t="shared" si="0"/>
        <v>-</v>
      </c>
      <c r="J11" s="516" t="str">
        <f t="shared" si="1"/>
        <v>-</v>
      </c>
      <c r="K11" s="200" t="str">
        <f t="shared" si="2"/>
        <v>-</v>
      </c>
      <c r="L11" s="596"/>
      <c r="M11" s="428" t="e">
        <f>RANK(K11, $K$7:K$21)</f>
        <v>#VALUE!</v>
      </c>
      <c r="N11" s="614"/>
      <c r="O11" s="614"/>
      <c r="P11" s="524" t="s">
        <v>839</v>
      </c>
      <c r="Q11" s="182" t="s">
        <v>839</v>
      </c>
      <c r="R11" s="182" t="s">
        <v>839</v>
      </c>
      <c r="S11" s="524" t="e">
        <f t="shared" si="3"/>
        <v>#VALUE!</v>
      </c>
      <c r="T11" s="636"/>
      <c r="U11" s="524" t="s">
        <v>839</v>
      </c>
      <c r="V11" s="182" t="s">
        <v>839</v>
      </c>
      <c r="W11" s="182" t="s">
        <v>839</v>
      </c>
      <c r="X11" s="524" t="e">
        <f t="shared" si="5"/>
        <v>#VALUE!</v>
      </c>
      <c r="Y11" s="636"/>
      <c r="Z11" s="524" t="s">
        <v>839</v>
      </c>
      <c r="AA11" s="182" t="s">
        <v>839</v>
      </c>
      <c r="AB11" s="182" t="s">
        <v>839</v>
      </c>
      <c r="AC11" s="524" t="e">
        <f t="shared" si="7"/>
        <v>#VALUE!</v>
      </c>
      <c r="AD11" s="636"/>
      <c r="AE11" s="524" t="s">
        <v>839</v>
      </c>
      <c r="AF11" s="182" t="s">
        <v>839</v>
      </c>
      <c r="AG11" s="182" t="s">
        <v>839</v>
      </c>
      <c r="AH11" s="524" t="e">
        <f t="shared" si="9"/>
        <v>#VALUE!</v>
      </c>
      <c r="AI11" s="636"/>
      <c r="AJ11" s="524" t="s">
        <v>839</v>
      </c>
      <c r="AK11" s="182" t="s">
        <v>839</v>
      </c>
      <c r="AL11" s="182" t="s">
        <v>839</v>
      </c>
      <c r="AM11" s="524" t="e">
        <f t="shared" si="11"/>
        <v>#VALUE!</v>
      </c>
      <c r="AN11" s="636"/>
      <c r="AO11" s="524" t="s">
        <v>839</v>
      </c>
      <c r="AP11" s="182" t="s">
        <v>839</v>
      </c>
      <c r="AQ11" s="182" t="s">
        <v>839</v>
      </c>
      <c r="AR11" s="524" t="e">
        <f t="shared" si="13"/>
        <v>#VALUE!</v>
      </c>
      <c r="AS11" s="636"/>
      <c r="AT11" s="524" t="s">
        <v>839</v>
      </c>
      <c r="AU11" s="182" t="s">
        <v>839</v>
      </c>
      <c r="AV11" s="182" t="s">
        <v>839</v>
      </c>
      <c r="AW11" s="524" t="e">
        <f t="shared" si="15"/>
        <v>#VALUE!</v>
      </c>
      <c r="AX11" s="636"/>
      <c r="AZ11" s="524" t="e">
        <f t="shared" si="17"/>
        <v>#N/A</v>
      </c>
      <c r="BA11" s="636"/>
    </row>
    <row r="12" spans="1:53" ht="14.25">
      <c r="A12" s="81"/>
      <c r="B12" s="622"/>
      <c r="C12" s="423">
        <v>6</v>
      </c>
      <c r="D12" s="226"/>
      <c r="E12" s="182"/>
      <c r="F12" s="442"/>
      <c r="G12" s="443"/>
      <c r="H12" s="664"/>
      <c r="I12" s="516" t="str">
        <f t="shared" si="0"/>
        <v>-</v>
      </c>
      <c r="J12" s="516" t="str">
        <f t="shared" si="1"/>
        <v>-</v>
      </c>
      <c r="K12" s="200" t="str">
        <f t="shared" si="2"/>
        <v>-</v>
      </c>
      <c r="L12" s="596"/>
      <c r="M12" s="428" t="e">
        <f>RANK(K12, $K$7:K$21)</f>
        <v>#VALUE!</v>
      </c>
      <c r="N12" s="614"/>
      <c r="O12" s="614"/>
      <c r="P12" s="524" t="s">
        <v>839</v>
      </c>
      <c r="Q12" s="182" t="s">
        <v>839</v>
      </c>
      <c r="R12" s="182" t="s">
        <v>839</v>
      </c>
      <c r="S12" s="524" t="e">
        <f t="shared" si="3"/>
        <v>#VALUE!</v>
      </c>
      <c r="T12" s="636"/>
      <c r="U12" s="524" t="s">
        <v>839</v>
      </c>
      <c r="V12" s="182" t="s">
        <v>839</v>
      </c>
      <c r="W12" s="182" t="s">
        <v>839</v>
      </c>
      <c r="X12" s="524" t="e">
        <f t="shared" si="5"/>
        <v>#VALUE!</v>
      </c>
      <c r="Y12" s="636"/>
      <c r="Z12" s="524" t="s">
        <v>839</v>
      </c>
      <c r="AA12" s="182" t="s">
        <v>839</v>
      </c>
      <c r="AB12" s="182" t="s">
        <v>839</v>
      </c>
      <c r="AC12" s="524" t="e">
        <f t="shared" si="7"/>
        <v>#VALUE!</v>
      </c>
      <c r="AD12" s="636"/>
      <c r="AE12" s="524" t="s">
        <v>839</v>
      </c>
      <c r="AF12" s="182" t="s">
        <v>839</v>
      </c>
      <c r="AG12" s="182" t="s">
        <v>839</v>
      </c>
      <c r="AH12" s="524" t="e">
        <f t="shared" si="9"/>
        <v>#VALUE!</v>
      </c>
      <c r="AI12" s="636"/>
      <c r="AJ12" s="524" t="s">
        <v>839</v>
      </c>
      <c r="AK12" s="182" t="s">
        <v>839</v>
      </c>
      <c r="AL12" s="182" t="s">
        <v>839</v>
      </c>
      <c r="AM12" s="524" t="e">
        <f t="shared" si="11"/>
        <v>#VALUE!</v>
      </c>
      <c r="AN12" s="636"/>
      <c r="AO12" s="524" t="s">
        <v>839</v>
      </c>
      <c r="AP12" s="182" t="s">
        <v>839</v>
      </c>
      <c r="AQ12" s="182" t="s">
        <v>839</v>
      </c>
      <c r="AR12" s="524" t="e">
        <f t="shared" si="13"/>
        <v>#VALUE!</v>
      </c>
      <c r="AS12" s="636"/>
      <c r="AT12" s="524" t="s">
        <v>839</v>
      </c>
      <c r="AU12" s="182" t="s">
        <v>839</v>
      </c>
      <c r="AV12" s="182" t="s">
        <v>839</v>
      </c>
      <c r="AW12" s="524" t="e">
        <f t="shared" si="15"/>
        <v>#VALUE!</v>
      </c>
      <c r="AX12" s="636"/>
      <c r="AZ12" s="524" t="e">
        <f t="shared" si="17"/>
        <v>#N/A</v>
      </c>
      <c r="BA12" s="636"/>
    </row>
    <row r="13" spans="1:53" ht="14.25">
      <c r="A13" s="81"/>
      <c r="B13" s="622"/>
      <c r="C13" s="423">
        <v>7</v>
      </c>
      <c r="D13" s="226"/>
      <c r="E13" s="182"/>
      <c r="F13" s="442"/>
      <c r="G13" s="443"/>
      <c r="H13" s="664"/>
      <c r="I13" s="516" t="str">
        <f t="shared" si="0"/>
        <v>-</v>
      </c>
      <c r="J13" s="516" t="str">
        <f t="shared" si="1"/>
        <v>-</v>
      </c>
      <c r="K13" s="200" t="str">
        <f t="shared" si="2"/>
        <v>-</v>
      </c>
      <c r="L13" s="596"/>
      <c r="M13" s="428" t="e">
        <f>RANK(K13, $K$7:K$21)</f>
        <v>#VALUE!</v>
      </c>
      <c r="N13" s="614"/>
      <c r="O13" s="614"/>
      <c r="P13" s="524" t="s">
        <v>839</v>
      </c>
      <c r="Q13" s="182" t="s">
        <v>839</v>
      </c>
      <c r="R13" s="182" t="s">
        <v>839</v>
      </c>
      <c r="S13" s="524" t="e">
        <f t="shared" si="3"/>
        <v>#VALUE!</v>
      </c>
      <c r="T13" s="636"/>
      <c r="U13" s="524" t="s">
        <v>839</v>
      </c>
      <c r="V13" s="182" t="s">
        <v>839</v>
      </c>
      <c r="W13" s="182" t="s">
        <v>839</v>
      </c>
      <c r="X13" s="524" t="e">
        <f t="shared" si="5"/>
        <v>#VALUE!</v>
      </c>
      <c r="Y13" s="636"/>
      <c r="Z13" s="524" t="s">
        <v>839</v>
      </c>
      <c r="AA13" s="182" t="s">
        <v>839</v>
      </c>
      <c r="AB13" s="182" t="s">
        <v>839</v>
      </c>
      <c r="AC13" s="524" t="e">
        <f t="shared" si="7"/>
        <v>#VALUE!</v>
      </c>
      <c r="AD13" s="636"/>
      <c r="AE13" s="524" t="s">
        <v>839</v>
      </c>
      <c r="AF13" s="182" t="s">
        <v>839</v>
      </c>
      <c r="AG13" s="182" t="s">
        <v>839</v>
      </c>
      <c r="AH13" s="524" t="e">
        <f t="shared" si="9"/>
        <v>#VALUE!</v>
      </c>
      <c r="AI13" s="636"/>
      <c r="AJ13" s="524" t="s">
        <v>839</v>
      </c>
      <c r="AK13" s="182" t="s">
        <v>839</v>
      </c>
      <c r="AL13" s="182" t="s">
        <v>839</v>
      </c>
      <c r="AM13" s="524" t="e">
        <f t="shared" si="11"/>
        <v>#VALUE!</v>
      </c>
      <c r="AN13" s="636"/>
      <c r="AO13" s="524" t="s">
        <v>839</v>
      </c>
      <c r="AP13" s="182" t="s">
        <v>839</v>
      </c>
      <c r="AQ13" s="182" t="s">
        <v>839</v>
      </c>
      <c r="AR13" s="524" t="e">
        <f t="shared" si="13"/>
        <v>#VALUE!</v>
      </c>
      <c r="AS13" s="636"/>
      <c r="AT13" s="524" t="s">
        <v>839</v>
      </c>
      <c r="AU13" s="182" t="s">
        <v>839</v>
      </c>
      <c r="AV13" s="182" t="s">
        <v>839</v>
      </c>
      <c r="AW13" s="524" t="e">
        <f t="shared" si="15"/>
        <v>#VALUE!</v>
      </c>
      <c r="AX13" s="636"/>
      <c r="AZ13" s="524" t="e">
        <f t="shared" si="17"/>
        <v>#N/A</v>
      </c>
      <c r="BA13" s="636"/>
    </row>
    <row r="14" spans="1:53" ht="14.25">
      <c r="A14" s="81"/>
      <c r="B14" s="622"/>
      <c r="C14" s="423">
        <v>8</v>
      </c>
      <c r="D14" s="226"/>
      <c r="E14" s="182"/>
      <c r="F14" s="442"/>
      <c r="G14" s="443"/>
      <c r="H14" s="664"/>
      <c r="I14" s="516" t="str">
        <f t="shared" si="0"/>
        <v>-</v>
      </c>
      <c r="J14" s="516" t="str">
        <f t="shared" si="1"/>
        <v>-</v>
      </c>
      <c r="K14" s="200" t="str">
        <f t="shared" si="2"/>
        <v>-</v>
      </c>
      <c r="L14" s="596"/>
      <c r="M14" s="428" t="e">
        <f>RANK(K14, $K$7:K$21)</f>
        <v>#VALUE!</v>
      </c>
      <c r="N14" s="614"/>
      <c r="O14" s="614"/>
      <c r="P14" s="524" t="s">
        <v>839</v>
      </c>
      <c r="Q14" s="182" t="s">
        <v>839</v>
      </c>
      <c r="R14" s="182" t="s">
        <v>839</v>
      </c>
      <c r="S14" s="524" t="e">
        <f t="shared" si="3"/>
        <v>#VALUE!</v>
      </c>
      <c r="T14" s="636"/>
      <c r="U14" s="524" t="s">
        <v>839</v>
      </c>
      <c r="V14" s="182" t="s">
        <v>839</v>
      </c>
      <c r="W14" s="182" t="s">
        <v>839</v>
      </c>
      <c r="X14" s="524" t="e">
        <f t="shared" si="5"/>
        <v>#VALUE!</v>
      </c>
      <c r="Y14" s="636"/>
      <c r="Z14" s="524" t="s">
        <v>839</v>
      </c>
      <c r="AA14" s="182" t="s">
        <v>839</v>
      </c>
      <c r="AB14" s="182" t="s">
        <v>839</v>
      </c>
      <c r="AC14" s="524" t="e">
        <f t="shared" si="7"/>
        <v>#VALUE!</v>
      </c>
      <c r="AD14" s="636"/>
      <c r="AE14" s="524" t="s">
        <v>839</v>
      </c>
      <c r="AF14" s="182" t="s">
        <v>839</v>
      </c>
      <c r="AG14" s="182" t="s">
        <v>839</v>
      </c>
      <c r="AH14" s="524" t="e">
        <f t="shared" si="9"/>
        <v>#VALUE!</v>
      </c>
      <c r="AI14" s="636"/>
      <c r="AJ14" s="524" t="s">
        <v>839</v>
      </c>
      <c r="AK14" s="182" t="s">
        <v>839</v>
      </c>
      <c r="AL14" s="182" t="s">
        <v>839</v>
      </c>
      <c r="AM14" s="524" t="e">
        <f t="shared" si="11"/>
        <v>#VALUE!</v>
      </c>
      <c r="AN14" s="636"/>
      <c r="AO14" s="524" t="s">
        <v>839</v>
      </c>
      <c r="AP14" s="182" t="s">
        <v>839</v>
      </c>
      <c r="AQ14" s="182" t="s">
        <v>839</v>
      </c>
      <c r="AR14" s="524" t="e">
        <f t="shared" si="13"/>
        <v>#VALUE!</v>
      </c>
      <c r="AS14" s="636"/>
      <c r="AT14" s="524" t="s">
        <v>839</v>
      </c>
      <c r="AU14" s="182" t="s">
        <v>839</v>
      </c>
      <c r="AV14" s="182" t="s">
        <v>839</v>
      </c>
      <c r="AW14" s="524" t="e">
        <f t="shared" si="15"/>
        <v>#VALUE!</v>
      </c>
      <c r="AX14" s="636"/>
      <c r="AZ14" s="524" t="e">
        <f t="shared" si="17"/>
        <v>#N/A</v>
      </c>
      <c r="BA14" s="636"/>
    </row>
    <row r="15" spans="1:53" ht="14.25">
      <c r="A15" s="81"/>
      <c r="B15" s="622"/>
      <c r="C15" s="423">
        <v>9</v>
      </c>
      <c r="D15" s="226"/>
      <c r="E15" s="182"/>
      <c r="F15" s="423"/>
      <c r="G15" s="424"/>
      <c r="H15" s="664"/>
      <c r="I15" s="516" t="str">
        <f t="shared" si="0"/>
        <v>-</v>
      </c>
      <c r="J15" s="516" t="str">
        <f t="shared" si="1"/>
        <v>-</v>
      </c>
      <c r="K15" s="200" t="str">
        <f t="shared" si="2"/>
        <v>-</v>
      </c>
      <c r="L15" s="596"/>
      <c r="M15" s="428" t="e">
        <f>RANK(K15, $K$7:K$21)</f>
        <v>#VALUE!</v>
      </c>
      <c r="N15" s="614"/>
      <c r="O15" s="614"/>
      <c r="P15" s="524" t="s">
        <v>839</v>
      </c>
      <c r="Q15" s="182" t="s">
        <v>839</v>
      </c>
      <c r="R15" s="182" t="s">
        <v>839</v>
      </c>
      <c r="S15" s="524" t="e">
        <f t="shared" si="3"/>
        <v>#VALUE!</v>
      </c>
      <c r="T15" s="636"/>
      <c r="U15" s="524" t="s">
        <v>839</v>
      </c>
      <c r="V15" s="182" t="s">
        <v>839</v>
      </c>
      <c r="W15" s="182" t="s">
        <v>839</v>
      </c>
      <c r="X15" s="524" t="e">
        <f t="shared" si="5"/>
        <v>#VALUE!</v>
      </c>
      <c r="Y15" s="636"/>
      <c r="Z15" s="524" t="s">
        <v>839</v>
      </c>
      <c r="AA15" s="182" t="s">
        <v>839</v>
      </c>
      <c r="AB15" s="182" t="s">
        <v>839</v>
      </c>
      <c r="AC15" s="524" t="e">
        <f t="shared" si="7"/>
        <v>#VALUE!</v>
      </c>
      <c r="AD15" s="636"/>
      <c r="AE15" s="524" t="s">
        <v>839</v>
      </c>
      <c r="AF15" s="182" t="s">
        <v>839</v>
      </c>
      <c r="AG15" s="182" t="s">
        <v>839</v>
      </c>
      <c r="AH15" s="524" t="e">
        <f t="shared" si="9"/>
        <v>#VALUE!</v>
      </c>
      <c r="AI15" s="636"/>
      <c r="AJ15" s="524" t="s">
        <v>839</v>
      </c>
      <c r="AK15" s="182" t="s">
        <v>839</v>
      </c>
      <c r="AL15" s="182" t="s">
        <v>839</v>
      </c>
      <c r="AM15" s="524" t="e">
        <f t="shared" si="11"/>
        <v>#VALUE!</v>
      </c>
      <c r="AN15" s="636"/>
      <c r="AO15" s="524" t="s">
        <v>839</v>
      </c>
      <c r="AP15" s="182" t="s">
        <v>839</v>
      </c>
      <c r="AQ15" s="182" t="s">
        <v>839</v>
      </c>
      <c r="AR15" s="524" t="e">
        <f t="shared" si="13"/>
        <v>#VALUE!</v>
      </c>
      <c r="AS15" s="636"/>
      <c r="AT15" s="524" t="s">
        <v>839</v>
      </c>
      <c r="AU15" s="182" t="s">
        <v>839</v>
      </c>
      <c r="AV15" s="182" t="s">
        <v>839</v>
      </c>
      <c r="AW15" s="524" t="e">
        <f t="shared" si="15"/>
        <v>#VALUE!</v>
      </c>
      <c r="AX15" s="636"/>
      <c r="AZ15" s="524" t="e">
        <f t="shared" si="17"/>
        <v>#N/A</v>
      </c>
      <c r="BA15" s="636"/>
    </row>
    <row r="16" spans="1:53" ht="14.25">
      <c r="A16" s="81"/>
      <c r="B16" s="622"/>
      <c r="C16" s="423">
        <v>10</v>
      </c>
      <c r="D16" s="226"/>
      <c r="E16" s="182"/>
      <c r="F16" s="423"/>
      <c r="G16" s="424"/>
      <c r="H16" s="664"/>
      <c r="I16" s="516" t="str">
        <f t="shared" si="0"/>
        <v>-</v>
      </c>
      <c r="J16" s="516" t="str">
        <f t="shared" si="1"/>
        <v>-</v>
      </c>
      <c r="K16" s="200" t="str">
        <f t="shared" si="2"/>
        <v>-</v>
      </c>
      <c r="L16" s="596"/>
      <c r="M16" s="428" t="e">
        <f>RANK(K16, $K$7:K$21)</f>
        <v>#VALUE!</v>
      </c>
      <c r="N16" s="614"/>
      <c r="O16" s="614"/>
      <c r="P16" s="524" t="s">
        <v>839</v>
      </c>
      <c r="Q16" s="182" t="s">
        <v>839</v>
      </c>
      <c r="R16" s="182" t="s">
        <v>839</v>
      </c>
      <c r="S16" s="524" t="e">
        <f t="shared" si="3"/>
        <v>#VALUE!</v>
      </c>
      <c r="T16" s="636"/>
      <c r="U16" s="524" t="s">
        <v>839</v>
      </c>
      <c r="V16" s="182" t="s">
        <v>839</v>
      </c>
      <c r="W16" s="182" t="s">
        <v>839</v>
      </c>
      <c r="X16" s="524" t="e">
        <f t="shared" si="5"/>
        <v>#VALUE!</v>
      </c>
      <c r="Y16" s="636"/>
      <c r="Z16" s="524" t="s">
        <v>839</v>
      </c>
      <c r="AA16" s="182" t="s">
        <v>839</v>
      </c>
      <c r="AB16" s="182" t="s">
        <v>839</v>
      </c>
      <c r="AC16" s="524" t="e">
        <f t="shared" si="7"/>
        <v>#VALUE!</v>
      </c>
      <c r="AD16" s="636"/>
      <c r="AE16" s="524" t="s">
        <v>839</v>
      </c>
      <c r="AF16" s="182" t="s">
        <v>839</v>
      </c>
      <c r="AG16" s="182" t="s">
        <v>839</v>
      </c>
      <c r="AH16" s="524" t="e">
        <f t="shared" si="9"/>
        <v>#VALUE!</v>
      </c>
      <c r="AI16" s="636"/>
      <c r="AJ16" s="524" t="s">
        <v>839</v>
      </c>
      <c r="AK16" s="182" t="s">
        <v>839</v>
      </c>
      <c r="AL16" s="182" t="s">
        <v>839</v>
      </c>
      <c r="AM16" s="524" t="e">
        <f t="shared" si="11"/>
        <v>#VALUE!</v>
      </c>
      <c r="AN16" s="636"/>
      <c r="AO16" s="524" t="s">
        <v>839</v>
      </c>
      <c r="AP16" s="182" t="s">
        <v>839</v>
      </c>
      <c r="AQ16" s="182" t="s">
        <v>839</v>
      </c>
      <c r="AR16" s="524" t="e">
        <f t="shared" si="13"/>
        <v>#VALUE!</v>
      </c>
      <c r="AS16" s="636"/>
      <c r="AT16" s="524" t="s">
        <v>839</v>
      </c>
      <c r="AU16" s="182" t="s">
        <v>839</v>
      </c>
      <c r="AV16" s="182" t="s">
        <v>839</v>
      </c>
      <c r="AW16" s="524" t="e">
        <f t="shared" si="15"/>
        <v>#VALUE!</v>
      </c>
      <c r="AX16" s="636"/>
      <c r="AZ16" s="524" t="e">
        <f t="shared" si="17"/>
        <v>#N/A</v>
      </c>
      <c r="BA16" s="636"/>
    </row>
    <row r="17" spans="2:53">
      <c r="B17" s="622"/>
      <c r="C17" s="423">
        <v>11</v>
      </c>
      <c r="D17" s="226"/>
      <c r="E17" s="182"/>
      <c r="F17" s="423"/>
      <c r="G17" s="424"/>
      <c r="H17" s="664"/>
      <c r="I17" s="516" t="str">
        <f t="shared" si="0"/>
        <v>-</v>
      </c>
      <c r="J17" s="516" t="str">
        <f t="shared" si="1"/>
        <v>-</v>
      </c>
      <c r="K17" s="200" t="str">
        <f t="shared" si="2"/>
        <v>-</v>
      </c>
      <c r="L17" s="596"/>
      <c r="M17" s="428" t="e">
        <f>RANK(K17, $K$7:K$21)</f>
        <v>#VALUE!</v>
      </c>
      <c r="N17" s="614"/>
      <c r="O17" s="614"/>
      <c r="P17" s="524" t="s">
        <v>839</v>
      </c>
      <c r="Q17" s="182" t="s">
        <v>839</v>
      </c>
      <c r="R17" s="182" t="s">
        <v>839</v>
      </c>
      <c r="S17" s="524" t="e">
        <f t="shared" si="3"/>
        <v>#VALUE!</v>
      </c>
      <c r="T17" s="636"/>
      <c r="U17" s="524" t="s">
        <v>839</v>
      </c>
      <c r="V17" s="182" t="s">
        <v>839</v>
      </c>
      <c r="W17" s="182" t="s">
        <v>839</v>
      </c>
      <c r="X17" s="524" t="e">
        <f t="shared" si="5"/>
        <v>#VALUE!</v>
      </c>
      <c r="Y17" s="636"/>
      <c r="Z17" s="524" t="s">
        <v>839</v>
      </c>
      <c r="AA17" s="182" t="s">
        <v>839</v>
      </c>
      <c r="AB17" s="182" t="s">
        <v>839</v>
      </c>
      <c r="AC17" s="524" t="e">
        <f t="shared" si="7"/>
        <v>#VALUE!</v>
      </c>
      <c r="AD17" s="636"/>
      <c r="AE17" s="524" t="s">
        <v>839</v>
      </c>
      <c r="AF17" s="182" t="s">
        <v>839</v>
      </c>
      <c r="AG17" s="182" t="s">
        <v>839</v>
      </c>
      <c r="AH17" s="524" t="e">
        <f t="shared" si="9"/>
        <v>#VALUE!</v>
      </c>
      <c r="AI17" s="636"/>
      <c r="AJ17" s="524" t="s">
        <v>839</v>
      </c>
      <c r="AK17" s="182" t="s">
        <v>839</v>
      </c>
      <c r="AL17" s="182" t="s">
        <v>839</v>
      </c>
      <c r="AM17" s="524" t="e">
        <f t="shared" si="11"/>
        <v>#VALUE!</v>
      </c>
      <c r="AN17" s="636"/>
      <c r="AO17" s="524" t="s">
        <v>839</v>
      </c>
      <c r="AP17" s="182" t="s">
        <v>839</v>
      </c>
      <c r="AQ17" s="182" t="s">
        <v>839</v>
      </c>
      <c r="AR17" s="524" t="e">
        <f t="shared" si="13"/>
        <v>#VALUE!</v>
      </c>
      <c r="AS17" s="636"/>
      <c r="AT17" s="524" t="s">
        <v>839</v>
      </c>
      <c r="AU17" s="182" t="s">
        <v>839</v>
      </c>
      <c r="AV17" s="182" t="s">
        <v>839</v>
      </c>
      <c r="AW17" s="524" t="e">
        <f t="shared" si="15"/>
        <v>#VALUE!</v>
      </c>
      <c r="AX17" s="636"/>
      <c r="AZ17" s="524" t="e">
        <f t="shared" si="17"/>
        <v>#N/A</v>
      </c>
      <c r="BA17" s="636"/>
    </row>
    <row r="18" spans="2:53">
      <c r="B18" s="622"/>
      <c r="C18" s="423">
        <v>12</v>
      </c>
      <c r="D18" s="226"/>
      <c r="E18" s="182"/>
      <c r="F18" s="423"/>
      <c r="G18" s="424"/>
      <c r="H18" s="664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596"/>
      <c r="M18" s="428" t="e">
        <f>RANK(K18, $K$7:K$21)</f>
        <v>#VALUE!</v>
      </c>
      <c r="N18" s="614"/>
      <c r="O18" s="614"/>
      <c r="P18" s="524" t="s">
        <v>839</v>
      </c>
      <c r="Q18" s="182" t="s">
        <v>839</v>
      </c>
      <c r="R18" s="182" t="s">
        <v>839</v>
      </c>
      <c r="S18" s="524" t="e">
        <f t="shared" si="3"/>
        <v>#VALUE!</v>
      </c>
      <c r="T18" s="636"/>
      <c r="U18" s="524" t="s">
        <v>839</v>
      </c>
      <c r="V18" s="182" t="s">
        <v>839</v>
      </c>
      <c r="W18" s="182" t="s">
        <v>839</v>
      </c>
      <c r="X18" s="524" t="e">
        <f t="shared" si="5"/>
        <v>#VALUE!</v>
      </c>
      <c r="Y18" s="636"/>
      <c r="Z18" s="524" t="s">
        <v>839</v>
      </c>
      <c r="AA18" s="182" t="s">
        <v>839</v>
      </c>
      <c r="AB18" s="182" t="s">
        <v>839</v>
      </c>
      <c r="AC18" s="524" t="e">
        <f t="shared" si="7"/>
        <v>#VALUE!</v>
      </c>
      <c r="AD18" s="636"/>
      <c r="AE18" s="524" t="s">
        <v>839</v>
      </c>
      <c r="AF18" s="182" t="s">
        <v>839</v>
      </c>
      <c r="AG18" s="182" t="s">
        <v>839</v>
      </c>
      <c r="AH18" s="524" t="e">
        <f t="shared" si="9"/>
        <v>#VALUE!</v>
      </c>
      <c r="AI18" s="636"/>
      <c r="AJ18" s="524" t="s">
        <v>839</v>
      </c>
      <c r="AK18" s="182" t="s">
        <v>839</v>
      </c>
      <c r="AL18" s="182" t="s">
        <v>839</v>
      </c>
      <c r="AM18" s="524" t="e">
        <f t="shared" si="11"/>
        <v>#VALUE!</v>
      </c>
      <c r="AN18" s="636"/>
      <c r="AO18" s="524" t="s">
        <v>839</v>
      </c>
      <c r="AP18" s="182" t="s">
        <v>839</v>
      </c>
      <c r="AQ18" s="182" t="s">
        <v>839</v>
      </c>
      <c r="AR18" s="524" t="e">
        <f t="shared" si="13"/>
        <v>#VALUE!</v>
      </c>
      <c r="AS18" s="636"/>
      <c r="AT18" s="524" t="s">
        <v>839</v>
      </c>
      <c r="AU18" s="182" t="s">
        <v>839</v>
      </c>
      <c r="AV18" s="182" t="s">
        <v>839</v>
      </c>
      <c r="AW18" s="524" t="e">
        <f t="shared" si="15"/>
        <v>#VALUE!</v>
      </c>
      <c r="AX18" s="636"/>
      <c r="AZ18" s="524" t="e">
        <f t="shared" si="17"/>
        <v>#N/A</v>
      </c>
      <c r="BA18" s="636"/>
    </row>
    <row r="19" spans="2:53">
      <c r="B19" s="622"/>
      <c r="C19" s="423">
        <v>13</v>
      </c>
      <c r="D19" s="226"/>
      <c r="E19" s="182"/>
      <c r="F19" s="423"/>
      <c r="G19" s="424"/>
      <c r="H19" s="664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596"/>
      <c r="M19" s="428" t="e">
        <f>RANK(K19, $K$7:K$21)</f>
        <v>#VALUE!</v>
      </c>
      <c r="N19" s="614"/>
      <c r="O19" s="614"/>
      <c r="P19" s="524" t="s">
        <v>839</v>
      </c>
      <c r="Q19" s="182" t="s">
        <v>839</v>
      </c>
      <c r="R19" s="182" t="s">
        <v>839</v>
      </c>
      <c r="S19" s="524" t="e">
        <f t="shared" si="3"/>
        <v>#VALUE!</v>
      </c>
      <c r="T19" s="636"/>
      <c r="U19" s="524" t="s">
        <v>839</v>
      </c>
      <c r="V19" s="182" t="s">
        <v>839</v>
      </c>
      <c r="W19" s="182" t="s">
        <v>839</v>
      </c>
      <c r="X19" s="524" t="e">
        <f t="shared" si="5"/>
        <v>#VALUE!</v>
      </c>
      <c r="Y19" s="636"/>
      <c r="Z19" s="524" t="s">
        <v>839</v>
      </c>
      <c r="AA19" s="182" t="s">
        <v>839</v>
      </c>
      <c r="AB19" s="182" t="s">
        <v>839</v>
      </c>
      <c r="AC19" s="524" t="e">
        <f t="shared" si="7"/>
        <v>#VALUE!</v>
      </c>
      <c r="AD19" s="636"/>
      <c r="AE19" s="524" t="s">
        <v>839</v>
      </c>
      <c r="AF19" s="182" t="s">
        <v>839</v>
      </c>
      <c r="AG19" s="182" t="s">
        <v>839</v>
      </c>
      <c r="AH19" s="524" t="e">
        <f t="shared" si="9"/>
        <v>#VALUE!</v>
      </c>
      <c r="AI19" s="636"/>
      <c r="AJ19" s="524" t="s">
        <v>839</v>
      </c>
      <c r="AK19" s="182" t="s">
        <v>839</v>
      </c>
      <c r="AL19" s="182" t="s">
        <v>839</v>
      </c>
      <c r="AM19" s="524" t="e">
        <f t="shared" si="11"/>
        <v>#VALUE!</v>
      </c>
      <c r="AN19" s="636"/>
      <c r="AO19" s="524" t="s">
        <v>839</v>
      </c>
      <c r="AP19" s="182" t="s">
        <v>839</v>
      </c>
      <c r="AQ19" s="182" t="s">
        <v>839</v>
      </c>
      <c r="AR19" s="524" t="e">
        <f t="shared" si="13"/>
        <v>#VALUE!</v>
      </c>
      <c r="AS19" s="636"/>
      <c r="AT19" s="524" t="s">
        <v>839</v>
      </c>
      <c r="AU19" s="182" t="s">
        <v>839</v>
      </c>
      <c r="AV19" s="182" t="s">
        <v>839</v>
      </c>
      <c r="AW19" s="524" t="e">
        <f t="shared" si="15"/>
        <v>#VALUE!</v>
      </c>
      <c r="AX19" s="636"/>
      <c r="AZ19" s="524" t="e">
        <f t="shared" si="17"/>
        <v>#N/A</v>
      </c>
      <c r="BA19" s="636"/>
    </row>
    <row r="20" spans="2:53">
      <c r="B20" s="622"/>
      <c r="C20" s="423">
        <v>14</v>
      </c>
      <c r="D20" s="226"/>
      <c r="E20" s="182"/>
      <c r="F20" s="423"/>
      <c r="G20" s="424"/>
      <c r="H20" s="664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596"/>
      <c r="M20" s="428" t="e">
        <f>RANK(K20, $K$7:K$21)</f>
        <v>#VALUE!</v>
      </c>
      <c r="N20" s="614"/>
      <c r="O20" s="614"/>
      <c r="P20" s="524" t="s">
        <v>839</v>
      </c>
      <c r="Q20" s="182" t="s">
        <v>839</v>
      </c>
      <c r="R20" s="182" t="s">
        <v>839</v>
      </c>
      <c r="S20" s="524" t="e">
        <f t="shared" si="3"/>
        <v>#VALUE!</v>
      </c>
      <c r="T20" s="636"/>
      <c r="U20" s="524" t="s">
        <v>839</v>
      </c>
      <c r="V20" s="182" t="s">
        <v>839</v>
      </c>
      <c r="W20" s="182" t="s">
        <v>839</v>
      </c>
      <c r="X20" s="524" t="e">
        <f t="shared" si="5"/>
        <v>#VALUE!</v>
      </c>
      <c r="Y20" s="636"/>
      <c r="Z20" s="524" t="s">
        <v>839</v>
      </c>
      <c r="AA20" s="182" t="s">
        <v>839</v>
      </c>
      <c r="AB20" s="182" t="s">
        <v>839</v>
      </c>
      <c r="AC20" s="524" t="e">
        <f t="shared" si="7"/>
        <v>#VALUE!</v>
      </c>
      <c r="AD20" s="636"/>
      <c r="AE20" s="524" t="s">
        <v>839</v>
      </c>
      <c r="AF20" s="182" t="s">
        <v>839</v>
      </c>
      <c r="AG20" s="182" t="s">
        <v>839</v>
      </c>
      <c r="AH20" s="524" t="e">
        <f t="shared" si="9"/>
        <v>#VALUE!</v>
      </c>
      <c r="AI20" s="636"/>
      <c r="AJ20" s="524" t="s">
        <v>839</v>
      </c>
      <c r="AK20" s="182" t="s">
        <v>839</v>
      </c>
      <c r="AL20" s="182" t="s">
        <v>839</v>
      </c>
      <c r="AM20" s="524" t="e">
        <f t="shared" si="11"/>
        <v>#VALUE!</v>
      </c>
      <c r="AN20" s="636"/>
      <c r="AO20" s="524" t="s">
        <v>839</v>
      </c>
      <c r="AP20" s="182" t="s">
        <v>839</v>
      </c>
      <c r="AQ20" s="182" t="s">
        <v>839</v>
      </c>
      <c r="AR20" s="524" t="e">
        <f t="shared" si="13"/>
        <v>#VALUE!</v>
      </c>
      <c r="AS20" s="636"/>
      <c r="AT20" s="524" t="s">
        <v>839</v>
      </c>
      <c r="AU20" s="182" t="s">
        <v>839</v>
      </c>
      <c r="AV20" s="182" t="s">
        <v>839</v>
      </c>
      <c r="AW20" s="524" t="e">
        <f t="shared" si="15"/>
        <v>#VALUE!</v>
      </c>
      <c r="AX20" s="636"/>
      <c r="AZ20" s="524" t="e">
        <f t="shared" si="17"/>
        <v>#N/A</v>
      </c>
      <c r="BA20" s="636"/>
    </row>
    <row r="21" spans="2:53">
      <c r="B21" s="622"/>
      <c r="C21" s="423">
        <v>15</v>
      </c>
      <c r="D21" s="226"/>
      <c r="E21" s="182"/>
      <c r="F21" s="423"/>
      <c r="G21" s="424"/>
      <c r="H21" s="665"/>
      <c r="I21" s="202"/>
      <c r="J21" s="202"/>
      <c r="K21" s="202"/>
      <c r="L21" s="597"/>
      <c r="M21" s="425" t="e">
        <f>RANK(K21, $K$7:K$21)</f>
        <v>#N/A</v>
      </c>
      <c r="N21" s="614"/>
      <c r="O21" s="614"/>
      <c r="P21" s="524" t="s">
        <v>839</v>
      </c>
      <c r="Q21" s="182" t="s">
        <v>839</v>
      </c>
      <c r="R21" s="182" t="s">
        <v>839</v>
      </c>
      <c r="S21" s="524" t="e">
        <f t="shared" si="3"/>
        <v>#VALUE!</v>
      </c>
      <c r="T21" s="636"/>
      <c r="U21" s="524" t="s">
        <v>839</v>
      </c>
      <c r="V21" s="182" t="s">
        <v>839</v>
      </c>
      <c r="W21" s="182" t="s">
        <v>839</v>
      </c>
      <c r="X21" s="524" t="e">
        <f t="shared" si="5"/>
        <v>#VALUE!</v>
      </c>
      <c r="Y21" s="636"/>
      <c r="Z21" s="524" t="s">
        <v>839</v>
      </c>
      <c r="AA21" s="182" t="s">
        <v>839</v>
      </c>
      <c r="AB21" s="182" t="s">
        <v>839</v>
      </c>
      <c r="AC21" s="524" t="e">
        <f t="shared" si="7"/>
        <v>#VALUE!</v>
      </c>
      <c r="AD21" s="636"/>
      <c r="AE21" s="524" t="s">
        <v>839</v>
      </c>
      <c r="AF21" s="182" t="s">
        <v>839</v>
      </c>
      <c r="AG21" s="182" t="s">
        <v>839</v>
      </c>
      <c r="AH21" s="524" t="e">
        <f t="shared" si="9"/>
        <v>#VALUE!</v>
      </c>
      <c r="AI21" s="636"/>
      <c r="AJ21" s="524" t="s">
        <v>839</v>
      </c>
      <c r="AK21" s="182" t="s">
        <v>839</v>
      </c>
      <c r="AL21" s="182" t="s">
        <v>839</v>
      </c>
      <c r="AM21" s="524" t="e">
        <f t="shared" si="11"/>
        <v>#VALUE!</v>
      </c>
      <c r="AN21" s="636"/>
      <c r="AO21" s="524" t="s">
        <v>839</v>
      </c>
      <c r="AP21" s="182" t="s">
        <v>839</v>
      </c>
      <c r="AQ21" s="182" t="s">
        <v>839</v>
      </c>
      <c r="AR21" s="524" t="e">
        <f t="shared" si="13"/>
        <v>#VALUE!</v>
      </c>
      <c r="AS21" s="636"/>
      <c r="AT21" s="524" t="s">
        <v>839</v>
      </c>
      <c r="AU21" s="182" t="s">
        <v>839</v>
      </c>
      <c r="AV21" s="182" t="s">
        <v>839</v>
      </c>
      <c r="AW21" s="524" t="e">
        <f t="shared" si="15"/>
        <v>#VALUE!</v>
      </c>
      <c r="AX21" s="636"/>
      <c r="AZ21" s="524" t="e">
        <f t="shared" si="17"/>
        <v>#N/A</v>
      </c>
      <c r="BA21" s="636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154</v>
      </c>
      <c r="C24" s="614" t="s">
        <v>408</v>
      </c>
      <c r="D24" s="614"/>
      <c r="E24" s="614" t="s">
        <v>399</v>
      </c>
      <c r="F24" s="614"/>
      <c r="G24" s="614"/>
      <c r="H24" s="630" t="s">
        <v>395</v>
      </c>
      <c r="I24" s="598" t="s">
        <v>400</v>
      </c>
      <c r="J24" s="598"/>
      <c r="K24" s="598"/>
      <c r="L24" s="599" t="s">
        <v>395</v>
      </c>
      <c r="M24" s="605" t="s">
        <v>396</v>
      </c>
      <c r="N24" s="614"/>
      <c r="O24" s="614" t="s">
        <v>401</v>
      </c>
      <c r="P24" s="611" t="s">
        <v>397</v>
      </c>
      <c r="Q24" s="612"/>
      <c r="R24" s="612"/>
      <c r="S24" s="613"/>
      <c r="T24" s="614" t="s">
        <v>395</v>
      </c>
      <c r="U24" s="611" t="s">
        <v>397</v>
      </c>
      <c r="V24" s="612"/>
      <c r="W24" s="612"/>
      <c r="X24" s="613"/>
      <c r="Y24" s="614" t="s">
        <v>395</v>
      </c>
      <c r="Z24" s="611" t="s">
        <v>397</v>
      </c>
      <c r="AA24" s="612"/>
      <c r="AB24" s="612"/>
      <c r="AC24" s="613"/>
      <c r="AD24" s="614" t="s">
        <v>395</v>
      </c>
      <c r="AE24" s="611" t="s">
        <v>397</v>
      </c>
      <c r="AF24" s="612"/>
      <c r="AG24" s="612"/>
      <c r="AH24" s="613"/>
      <c r="AI24" s="614" t="s">
        <v>395</v>
      </c>
      <c r="AJ24" s="611" t="s">
        <v>397</v>
      </c>
      <c r="AK24" s="612"/>
      <c r="AL24" s="612"/>
      <c r="AM24" s="613"/>
      <c r="AN24" s="614" t="s">
        <v>395</v>
      </c>
      <c r="AO24" s="611" t="s">
        <v>397</v>
      </c>
      <c r="AP24" s="612"/>
      <c r="AQ24" s="612"/>
      <c r="AR24" s="613"/>
      <c r="AS24" s="614" t="s">
        <v>395</v>
      </c>
      <c r="AT24" s="611" t="s">
        <v>397</v>
      </c>
      <c r="AU24" s="612"/>
      <c r="AV24" s="612"/>
      <c r="AW24" s="613"/>
      <c r="AX24" s="614" t="s">
        <v>395</v>
      </c>
      <c r="BA24" s="614" t="s">
        <v>395</v>
      </c>
    </row>
    <row r="25" spans="2:53">
      <c r="B25" s="614"/>
      <c r="C25" s="614"/>
      <c r="D25" s="614"/>
      <c r="E25" s="614" t="s">
        <v>402</v>
      </c>
      <c r="F25" s="614"/>
      <c r="G25" s="614"/>
      <c r="H25" s="631"/>
      <c r="I25" s="598" t="s">
        <v>402</v>
      </c>
      <c r="J25" s="598"/>
      <c r="K25" s="598"/>
      <c r="L25" s="600"/>
      <c r="M25" s="606"/>
      <c r="N25" s="614"/>
      <c r="O25" s="614"/>
      <c r="P25" s="611" t="s">
        <v>403</v>
      </c>
      <c r="Q25" s="612"/>
      <c r="R25" s="612"/>
      <c r="S25" s="613"/>
      <c r="T25" s="614"/>
      <c r="U25" s="611" t="s">
        <v>403</v>
      </c>
      <c r="V25" s="612"/>
      <c r="W25" s="612"/>
      <c r="X25" s="613"/>
      <c r="Y25" s="614"/>
      <c r="Z25" s="611" t="s">
        <v>403</v>
      </c>
      <c r="AA25" s="612"/>
      <c r="AB25" s="612"/>
      <c r="AC25" s="613"/>
      <c r="AD25" s="614"/>
      <c r="AE25" s="611" t="s">
        <v>403</v>
      </c>
      <c r="AF25" s="612"/>
      <c r="AG25" s="612"/>
      <c r="AH25" s="613"/>
      <c r="AI25" s="614"/>
      <c r="AJ25" s="611" t="s">
        <v>403</v>
      </c>
      <c r="AK25" s="612"/>
      <c r="AL25" s="612"/>
      <c r="AM25" s="613"/>
      <c r="AN25" s="614"/>
      <c r="AO25" s="611" t="s">
        <v>403</v>
      </c>
      <c r="AP25" s="612"/>
      <c r="AQ25" s="612"/>
      <c r="AR25" s="613"/>
      <c r="AS25" s="614"/>
      <c r="AT25" s="611" t="s">
        <v>477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317" t="s">
        <v>404</v>
      </c>
      <c r="F26" s="317" t="s">
        <v>405</v>
      </c>
      <c r="G26" s="317" t="s">
        <v>406</v>
      </c>
      <c r="H26" s="632"/>
      <c r="I26" s="316" t="s">
        <v>404</v>
      </c>
      <c r="J26" s="316" t="s">
        <v>405</v>
      </c>
      <c r="K26" s="316" t="s">
        <v>406</v>
      </c>
      <c r="L26" s="601"/>
      <c r="M26" s="607"/>
      <c r="N26" s="614"/>
      <c r="O26" s="614"/>
      <c r="P26" s="317" t="s">
        <v>404</v>
      </c>
      <c r="Q26" s="317" t="s">
        <v>405</v>
      </c>
      <c r="R26" s="317" t="s">
        <v>406</v>
      </c>
      <c r="S26" s="317" t="s">
        <v>396</v>
      </c>
      <c r="T26" s="614"/>
      <c r="U26" s="317" t="s">
        <v>404</v>
      </c>
      <c r="V26" s="317" t="s">
        <v>405</v>
      </c>
      <c r="W26" s="317" t="s">
        <v>406</v>
      </c>
      <c r="X26" s="317" t="s">
        <v>478</v>
      </c>
      <c r="Y26" s="614"/>
      <c r="Z26" s="317" t="s">
        <v>479</v>
      </c>
      <c r="AA26" s="317" t="s">
        <v>405</v>
      </c>
      <c r="AB26" s="317" t="s">
        <v>406</v>
      </c>
      <c r="AC26" s="317" t="s">
        <v>396</v>
      </c>
      <c r="AD26" s="614"/>
      <c r="AE26" s="317" t="s">
        <v>480</v>
      </c>
      <c r="AF26" s="317" t="s">
        <v>481</v>
      </c>
      <c r="AG26" s="317" t="s">
        <v>406</v>
      </c>
      <c r="AH26" s="317" t="s">
        <v>396</v>
      </c>
      <c r="AI26" s="614"/>
      <c r="AJ26" s="317" t="s">
        <v>479</v>
      </c>
      <c r="AK26" s="317" t="s">
        <v>481</v>
      </c>
      <c r="AL26" s="317" t="s">
        <v>406</v>
      </c>
      <c r="AM26" s="317" t="s">
        <v>396</v>
      </c>
      <c r="AN26" s="614"/>
      <c r="AO26" s="317" t="s">
        <v>404</v>
      </c>
      <c r="AP26" s="317" t="s">
        <v>481</v>
      </c>
      <c r="AQ26" s="317" t="s">
        <v>406</v>
      </c>
      <c r="AR26" s="317" t="s">
        <v>396</v>
      </c>
      <c r="AS26" s="614"/>
      <c r="AT26" s="317" t="s">
        <v>479</v>
      </c>
      <c r="AU26" s="317" t="s">
        <v>481</v>
      </c>
      <c r="AV26" s="317" t="s">
        <v>406</v>
      </c>
      <c r="AW26" s="317" t="s">
        <v>396</v>
      </c>
      <c r="AX26" s="614"/>
      <c r="AZ26" s="523" t="s">
        <v>396</v>
      </c>
      <c r="BA26" s="614"/>
    </row>
    <row r="27" spans="2:53">
      <c r="B27" s="614" t="s">
        <v>409</v>
      </c>
      <c r="C27" s="318">
        <v>1</v>
      </c>
      <c r="D27" s="226" t="s">
        <v>742</v>
      </c>
      <c r="E27" s="182">
        <v>13</v>
      </c>
      <c r="F27" s="514">
        <v>1500</v>
      </c>
      <c r="G27" s="515">
        <v>115.38461538461539</v>
      </c>
      <c r="H27" s="663">
        <f>AVERAGE(G27:G41)</f>
        <v>107.69230769230769</v>
      </c>
      <c r="I27" s="516">
        <f t="shared" ref="I27:I40" si="19">IFERROR(AVERAGE(P27,U27,Z27,AE27,AJ27,AO27,AT27),"-")</f>
        <v>13</v>
      </c>
      <c r="J27" s="516">
        <f t="shared" ref="J27:J40" si="20">IFERROR(AVERAGE(Q27,V27,AA27,AF27,AK27,AP27,AU27),"-")</f>
        <v>1391</v>
      </c>
      <c r="K27" s="200">
        <f t="shared" ref="K27:K40" si="21">IFERROR(AVERAGE(R27,W27,AB27,AG27,AL27,AQ27,AV27),"-")</f>
        <v>107</v>
      </c>
      <c r="L27" s="595">
        <f>IFERROR(AVERAGE(K27:K41),"-")</f>
        <v>111.40782550782546</v>
      </c>
      <c r="M27" s="201">
        <f>RANK(K27, K$27:$K$41)</f>
        <v>2</v>
      </c>
      <c r="N27" s="614"/>
      <c r="O27" s="614"/>
      <c r="P27" s="529">
        <v>13</v>
      </c>
      <c r="Q27" s="533">
        <v>1399.9999999999975</v>
      </c>
      <c r="R27" s="533">
        <v>107.69230769230749</v>
      </c>
      <c r="S27" s="529">
        <f t="shared" ref="S27:S41" si="22">RANK(R27, R$27:R$41)</f>
        <v>2</v>
      </c>
      <c r="T27" s="623">
        <f t="shared" ref="T27" si="23">AVERAGE(R27:R41)</f>
        <v>111.16923076923059</v>
      </c>
      <c r="U27" s="529">
        <v>13</v>
      </c>
      <c r="V27" s="533">
        <v>1348.0000000000048</v>
      </c>
      <c r="W27" s="533">
        <v>103.69230769230806</v>
      </c>
      <c r="X27" s="529">
        <f t="shared" ref="X27:X41" si="24">RANK(W27, W$27:W$41)</f>
        <v>2</v>
      </c>
      <c r="Y27" s="623">
        <f t="shared" ref="Y27" si="25">AVERAGE(W27:W41)</f>
        <v>108.02797202797225</v>
      </c>
      <c r="Z27" s="529">
        <v>13</v>
      </c>
      <c r="AA27" s="533">
        <v>1631.9999999999973</v>
      </c>
      <c r="AB27" s="533">
        <v>125.53846153846133</v>
      </c>
      <c r="AC27" s="529">
        <f t="shared" ref="AC27:AC41" si="26">RANK(AB27, AB$27:AB$41)</f>
        <v>1</v>
      </c>
      <c r="AD27" s="623">
        <f t="shared" ref="AD27" si="27">AVERAGE(AB27:AB41)</f>
        <v>122.26573426573412</v>
      </c>
      <c r="AE27" s="529">
        <v>13</v>
      </c>
      <c r="AF27" s="533">
        <v>1379.9999999999975</v>
      </c>
      <c r="AG27" s="533">
        <v>106.15384615384596</v>
      </c>
      <c r="AH27" s="529">
        <f t="shared" ref="AH27:AH41" si="28">RANK(AG27, AG$27:AG$41)</f>
        <v>2</v>
      </c>
      <c r="AI27" s="623">
        <f t="shared" ref="AI27" si="29">AVERAGE(AG27:AG41)</f>
        <v>108.05128205128196</v>
      </c>
      <c r="AJ27" s="529">
        <v>13</v>
      </c>
      <c r="AK27" s="533">
        <v>1464.0000000000052</v>
      </c>
      <c r="AL27" s="533">
        <v>112.61538461538501</v>
      </c>
      <c r="AM27" s="529">
        <f t="shared" ref="AM27:AM41" si="30">RANK(AL27, AL$27:AL$41)</f>
        <v>2</v>
      </c>
      <c r="AN27" s="623">
        <f t="shared" ref="AN27" si="31">AVERAGE(AL27:AL41)</f>
        <v>115.93846153846167</v>
      </c>
      <c r="AO27" s="529">
        <v>13</v>
      </c>
      <c r="AP27" s="533">
        <v>1291.9999999999977</v>
      </c>
      <c r="AQ27" s="533">
        <v>99.384615384615216</v>
      </c>
      <c r="AR27" s="529">
        <f t="shared" ref="AR27:AR41" si="32">RANK(AQ27, AQ$27:AQ$41)</f>
        <v>2</v>
      </c>
      <c r="AS27" s="623">
        <f t="shared" ref="AS27" si="33">AVERAGE(AQ27:AQ41)</f>
        <v>108.15384615384608</v>
      </c>
      <c r="AT27" s="529">
        <v>13</v>
      </c>
      <c r="AU27" s="533">
        <v>1220.9999999999995</v>
      </c>
      <c r="AV27" s="533">
        <v>93.923076923076891</v>
      </c>
      <c r="AW27" s="529">
        <f t="shared" ref="AW27:AW41" si="34">RANK(AV27, AV$27:AV$41)</f>
        <v>2</v>
      </c>
      <c r="AX27" s="623">
        <f t="shared" ref="AX27" si="35">AVERAGE(AV27:AV41)</f>
        <v>106.24825174825159</v>
      </c>
      <c r="AZ27" s="524" t="e">
        <f t="shared" ref="AZ27:AZ41" si="36">RANK(AY27, AY$27:AY$41)</f>
        <v>#N/A</v>
      </c>
      <c r="BA27" s="623" t="e">
        <f t="shared" ref="BA27" si="37">AVERAGE(AY27:AY41)</f>
        <v>#DIV/0!</v>
      </c>
    </row>
    <row r="28" spans="2:53">
      <c r="B28" s="622"/>
      <c r="C28" s="318">
        <v>2</v>
      </c>
      <c r="D28" s="226" t="s">
        <v>840</v>
      </c>
      <c r="E28" s="182">
        <v>15</v>
      </c>
      <c r="F28" s="514">
        <v>1500</v>
      </c>
      <c r="G28" s="515">
        <v>100</v>
      </c>
      <c r="H28" s="664"/>
      <c r="I28" s="516">
        <f t="shared" si="19"/>
        <v>13</v>
      </c>
      <c r="J28" s="516">
        <f t="shared" si="20"/>
        <v>1505.6034632034623</v>
      </c>
      <c r="K28" s="200">
        <f t="shared" si="21"/>
        <v>115.81565101565094</v>
      </c>
      <c r="L28" s="596"/>
      <c r="M28" s="201">
        <f>RANK(K28, K$27:$K$41)</f>
        <v>1</v>
      </c>
      <c r="N28" s="614"/>
      <c r="O28" s="614"/>
      <c r="P28" s="529">
        <v>13</v>
      </c>
      <c r="Q28" s="533">
        <v>1490.399999999998</v>
      </c>
      <c r="R28" s="533">
        <v>114.64615384615369</v>
      </c>
      <c r="S28" s="529">
        <f t="shared" si="22"/>
        <v>1</v>
      </c>
      <c r="T28" s="624"/>
      <c r="U28" s="529">
        <v>13</v>
      </c>
      <c r="V28" s="533">
        <v>1460.7272727272737</v>
      </c>
      <c r="W28" s="533">
        <v>112.36363636363643</v>
      </c>
      <c r="X28" s="529">
        <f t="shared" si="24"/>
        <v>1</v>
      </c>
      <c r="Y28" s="624"/>
      <c r="Z28" s="529">
        <v>13</v>
      </c>
      <c r="AA28" s="533">
        <v>1546.9090909090899</v>
      </c>
      <c r="AB28" s="533">
        <v>118.99300699300692</v>
      </c>
      <c r="AC28" s="529">
        <f t="shared" si="26"/>
        <v>2</v>
      </c>
      <c r="AD28" s="624"/>
      <c r="AE28" s="529">
        <v>13</v>
      </c>
      <c r="AF28" s="533">
        <v>1429.3333333333335</v>
      </c>
      <c r="AG28" s="533">
        <v>109.94871794871796</v>
      </c>
      <c r="AH28" s="529">
        <f t="shared" si="28"/>
        <v>1</v>
      </c>
      <c r="AI28" s="624"/>
      <c r="AJ28" s="529">
        <v>13</v>
      </c>
      <c r="AK28" s="533">
        <v>1550.399999999998</v>
      </c>
      <c r="AL28" s="533">
        <v>119.26153846153831</v>
      </c>
      <c r="AM28" s="529">
        <f t="shared" si="30"/>
        <v>1</v>
      </c>
      <c r="AN28" s="624"/>
      <c r="AO28" s="529">
        <v>13</v>
      </c>
      <c r="AP28" s="533">
        <v>1520</v>
      </c>
      <c r="AQ28" s="533">
        <v>116.92307692307692</v>
      </c>
      <c r="AR28" s="529">
        <f t="shared" si="32"/>
        <v>1</v>
      </c>
      <c r="AS28" s="624"/>
      <c r="AT28" s="529">
        <v>13</v>
      </c>
      <c r="AU28" s="533">
        <v>1541.4545454545419</v>
      </c>
      <c r="AV28" s="533">
        <v>118.5734265734263</v>
      </c>
      <c r="AW28" s="529">
        <f t="shared" si="34"/>
        <v>1</v>
      </c>
      <c r="AX28" s="624"/>
      <c r="AZ28" s="524" t="e">
        <f t="shared" si="36"/>
        <v>#N/A</v>
      </c>
      <c r="BA28" s="624"/>
    </row>
    <row r="29" spans="2:53">
      <c r="B29" s="622"/>
      <c r="C29" s="318">
        <v>3</v>
      </c>
      <c r="D29" s="226"/>
      <c r="E29" s="182"/>
      <c r="F29" s="514"/>
      <c r="G29" s="515"/>
      <c r="H29" s="664"/>
      <c r="I29" s="516" t="str">
        <f t="shared" si="19"/>
        <v>-</v>
      </c>
      <c r="J29" s="516" t="str">
        <f t="shared" si="20"/>
        <v>-</v>
      </c>
      <c r="K29" s="200" t="str">
        <f t="shared" si="21"/>
        <v>-</v>
      </c>
      <c r="L29" s="596"/>
      <c r="M29" s="201" t="e">
        <f>RANK(K29, K$27:$K$41)</f>
        <v>#VALUE!</v>
      </c>
      <c r="N29" s="614"/>
      <c r="O29" s="614"/>
      <c r="P29" s="529" t="s">
        <v>839</v>
      </c>
      <c r="Q29" s="533" t="s">
        <v>839</v>
      </c>
      <c r="R29" s="533" t="s">
        <v>839</v>
      </c>
      <c r="S29" s="529" t="e">
        <f t="shared" si="22"/>
        <v>#VALUE!</v>
      </c>
      <c r="T29" s="624"/>
      <c r="U29" s="529"/>
      <c r="V29" s="529"/>
      <c r="W29" s="529"/>
      <c r="X29" s="529" t="e">
        <f t="shared" si="24"/>
        <v>#N/A</v>
      </c>
      <c r="Y29" s="624"/>
      <c r="Z29" s="529"/>
      <c r="AA29" s="529"/>
      <c r="AB29" s="529"/>
      <c r="AC29" s="529" t="e">
        <f t="shared" si="26"/>
        <v>#N/A</v>
      </c>
      <c r="AD29" s="624"/>
      <c r="AE29" s="529"/>
      <c r="AF29" s="529"/>
      <c r="AG29" s="529"/>
      <c r="AH29" s="529" t="e">
        <f t="shared" si="28"/>
        <v>#N/A</v>
      </c>
      <c r="AI29" s="624"/>
      <c r="AJ29" s="529"/>
      <c r="AK29" s="529"/>
      <c r="AL29" s="529"/>
      <c r="AM29" s="529" t="e">
        <f t="shared" si="30"/>
        <v>#N/A</v>
      </c>
      <c r="AN29" s="624"/>
      <c r="AO29" s="529"/>
      <c r="AP29" s="529"/>
      <c r="AQ29" s="529"/>
      <c r="AR29" s="529" t="e">
        <f t="shared" si="32"/>
        <v>#N/A</v>
      </c>
      <c r="AS29" s="624"/>
      <c r="AT29" s="529"/>
      <c r="AU29" s="529"/>
      <c r="AV29" s="529"/>
      <c r="AW29" s="529" t="e">
        <f t="shared" si="34"/>
        <v>#N/A</v>
      </c>
      <c r="AX29" s="624"/>
      <c r="AZ29" s="524" t="e">
        <f t="shared" si="36"/>
        <v>#N/A</v>
      </c>
      <c r="BA29" s="624"/>
    </row>
    <row r="30" spans="2:53">
      <c r="B30" s="622"/>
      <c r="C30" s="318">
        <v>4</v>
      </c>
      <c r="D30" s="226"/>
      <c r="E30" s="182"/>
      <c r="F30" s="514"/>
      <c r="G30" s="515"/>
      <c r="H30" s="664"/>
      <c r="I30" s="516" t="str">
        <f t="shared" si="19"/>
        <v>-</v>
      </c>
      <c r="J30" s="516" t="str">
        <f t="shared" si="20"/>
        <v>-</v>
      </c>
      <c r="K30" s="200" t="str">
        <f t="shared" si="21"/>
        <v>-</v>
      </c>
      <c r="L30" s="596"/>
      <c r="M30" s="201" t="e">
        <f>RANK(K30, K$27:$K$41)</f>
        <v>#VALUE!</v>
      </c>
      <c r="N30" s="614"/>
      <c r="O30" s="614"/>
      <c r="P30" s="529" t="s">
        <v>839</v>
      </c>
      <c r="Q30" s="533" t="s">
        <v>839</v>
      </c>
      <c r="R30" s="533" t="s">
        <v>839</v>
      </c>
      <c r="S30" s="529" t="e">
        <f t="shared" si="22"/>
        <v>#VALUE!</v>
      </c>
      <c r="T30" s="624"/>
      <c r="U30" s="529"/>
      <c r="V30" s="529"/>
      <c r="W30" s="529"/>
      <c r="X30" s="529" t="e">
        <f t="shared" si="24"/>
        <v>#N/A</v>
      </c>
      <c r="Y30" s="624"/>
      <c r="Z30" s="529"/>
      <c r="AA30" s="529"/>
      <c r="AB30" s="529"/>
      <c r="AC30" s="529" t="e">
        <f t="shared" si="26"/>
        <v>#N/A</v>
      </c>
      <c r="AD30" s="624"/>
      <c r="AE30" s="529"/>
      <c r="AF30" s="529"/>
      <c r="AG30" s="529"/>
      <c r="AH30" s="529" t="e">
        <f t="shared" si="28"/>
        <v>#N/A</v>
      </c>
      <c r="AI30" s="624"/>
      <c r="AJ30" s="529"/>
      <c r="AK30" s="529"/>
      <c r="AL30" s="529"/>
      <c r="AM30" s="529" t="e">
        <f t="shared" si="30"/>
        <v>#N/A</v>
      </c>
      <c r="AN30" s="624"/>
      <c r="AO30" s="529"/>
      <c r="AP30" s="529"/>
      <c r="AQ30" s="529"/>
      <c r="AR30" s="529" t="e">
        <f t="shared" si="32"/>
        <v>#N/A</v>
      </c>
      <c r="AS30" s="624"/>
      <c r="AT30" s="529"/>
      <c r="AU30" s="529"/>
      <c r="AV30" s="529"/>
      <c r="AW30" s="529" t="e">
        <f t="shared" si="34"/>
        <v>#N/A</v>
      </c>
      <c r="AX30" s="624"/>
      <c r="AZ30" s="524" t="e">
        <f t="shared" si="36"/>
        <v>#N/A</v>
      </c>
      <c r="BA30" s="624"/>
    </row>
    <row r="31" spans="2:53">
      <c r="B31" s="622"/>
      <c r="C31" s="318">
        <v>5</v>
      </c>
      <c r="D31" s="226"/>
      <c r="E31" s="182"/>
      <c r="F31" s="514"/>
      <c r="G31" s="515"/>
      <c r="H31" s="664"/>
      <c r="I31" s="516" t="str">
        <f t="shared" si="19"/>
        <v>-</v>
      </c>
      <c r="J31" s="516" t="str">
        <f t="shared" si="20"/>
        <v>-</v>
      </c>
      <c r="K31" s="200" t="str">
        <f t="shared" si="21"/>
        <v>-</v>
      </c>
      <c r="L31" s="596"/>
      <c r="M31" s="201" t="e">
        <f>RANK(K31, K$27:$K$41)</f>
        <v>#VALUE!</v>
      </c>
      <c r="N31" s="614"/>
      <c r="O31" s="614"/>
      <c r="P31" s="529" t="s">
        <v>839</v>
      </c>
      <c r="Q31" s="533" t="s">
        <v>839</v>
      </c>
      <c r="R31" s="533" t="s">
        <v>839</v>
      </c>
      <c r="S31" s="529" t="e">
        <f t="shared" si="22"/>
        <v>#VALUE!</v>
      </c>
      <c r="T31" s="624"/>
      <c r="U31" s="529"/>
      <c r="V31" s="529"/>
      <c r="W31" s="529"/>
      <c r="X31" s="529" t="e">
        <f t="shared" si="24"/>
        <v>#N/A</v>
      </c>
      <c r="Y31" s="624"/>
      <c r="Z31" s="529"/>
      <c r="AA31" s="529"/>
      <c r="AB31" s="529"/>
      <c r="AC31" s="529" t="e">
        <f t="shared" si="26"/>
        <v>#N/A</v>
      </c>
      <c r="AD31" s="624"/>
      <c r="AE31" s="529"/>
      <c r="AF31" s="529"/>
      <c r="AG31" s="529"/>
      <c r="AH31" s="529" t="e">
        <f t="shared" si="28"/>
        <v>#N/A</v>
      </c>
      <c r="AI31" s="624"/>
      <c r="AJ31" s="529"/>
      <c r="AK31" s="529"/>
      <c r="AL31" s="529"/>
      <c r="AM31" s="529" t="e">
        <f t="shared" si="30"/>
        <v>#N/A</v>
      </c>
      <c r="AN31" s="624"/>
      <c r="AO31" s="529"/>
      <c r="AP31" s="529"/>
      <c r="AQ31" s="529"/>
      <c r="AR31" s="529" t="e">
        <f t="shared" si="32"/>
        <v>#N/A</v>
      </c>
      <c r="AS31" s="624"/>
      <c r="AT31" s="529"/>
      <c r="AU31" s="529"/>
      <c r="AV31" s="529"/>
      <c r="AW31" s="529" t="e">
        <f t="shared" si="34"/>
        <v>#N/A</v>
      </c>
      <c r="AX31" s="624"/>
      <c r="AZ31" s="524" t="e">
        <f t="shared" si="36"/>
        <v>#N/A</v>
      </c>
      <c r="BA31" s="624"/>
    </row>
    <row r="32" spans="2:53">
      <c r="B32" s="622"/>
      <c r="C32" s="318">
        <v>6</v>
      </c>
      <c r="D32" s="226"/>
      <c r="E32" s="182"/>
      <c r="F32" s="514"/>
      <c r="G32" s="515"/>
      <c r="H32" s="664"/>
      <c r="I32" s="516" t="str">
        <f t="shared" si="19"/>
        <v>-</v>
      </c>
      <c r="J32" s="516" t="str">
        <f t="shared" si="20"/>
        <v>-</v>
      </c>
      <c r="K32" s="200" t="str">
        <f t="shared" si="21"/>
        <v>-</v>
      </c>
      <c r="L32" s="596"/>
      <c r="M32" s="201" t="e">
        <f>RANK(K32, K$27:$K$41)</f>
        <v>#VALUE!</v>
      </c>
      <c r="N32" s="614"/>
      <c r="O32" s="614"/>
      <c r="P32" s="529" t="s">
        <v>839</v>
      </c>
      <c r="Q32" s="533" t="s">
        <v>839</v>
      </c>
      <c r="R32" s="533" t="s">
        <v>839</v>
      </c>
      <c r="S32" s="529" t="e">
        <f t="shared" si="22"/>
        <v>#VALUE!</v>
      </c>
      <c r="T32" s="624"/>
      <c r="U32" s="529"/>
      <c r="V32" s="529"/>
      <c r="W32" s="529"/>
      <c r="X32" s="529" t="e">
        <f t="shared" si="24"/>
        <v>#N/A</v>
      </c>
      <c r="Y32" s="624"/>
      <c r="Z32" s="529"/>
      <c r="AA32" s="529"/>
      <c r="AB32" s="529"/>
      <c r="AC32" s="529" t="e">
        <f t="shared" si="26"/>
        <v>#N/A</v>
      </c>
      <c r="AD32" s="624"/>
      <c r="AE32" s="529"/>
      <c r="AF32" s="529"/>
      <c r="AG32" s="529"/>
      <c r="AH32" s="529" t="e">
        <f t="shared" si="28"/>
        <v>#N/A</v>
      </c>
      <c r="AI32" s="624"/>
      <c r="AJ32" s="529"/>
      <c r="AK32" s="529"/>
      <c r="AL32" s="529"/>
      <c r="AM32" s="529" t="e">
        <f t="shared" si="30"/>
        <v>#N/A</v>
      </c>
      <c r="AN32" s="624"/>
      <c r="AO32" s="529"/>
      <c r="AP32" s="529"/>
      <c r="AQ32" s="529"/>
      <c r="AR32" s="529" t="e">
        <f t="shared" si="32"/>
        <v>#N/A</v>
      </c>
      <c r="AS32" s="624"/>
      <c r="AT32" s="529"/>
      <c r="AU32" s="529"/>
      <c r="AV32" s="529"/>
      <c r="AW32" s="529" t="e">
        <f t="shared" si="34"/>
        <v>#N/A</v>
      </c>
      <c r="AX32" s="624"/>
      <c r="AZ32" s="524" t="e">
        <f t="shared" si="36"/>
        <v>#N/A</v>
      </c>
      <c r="BA32" s="624"/>
    </row>
    <row r="33" spans="2:53">
      <c r="B33" s="622"/>
      <c r="C33" s="318">
        <v>7</v>
      </c>
      <c r="D33" s="226"/>
      <c r="E33" s="182"/>
      <c r="F33" s="514"/>
      <c r="G33" s="515"/>
      <c r="H33" s="664"/>
      <c r="I33" s="516" t="str">
        <f t="shared" si="19"/>
        <v>-</v>
      </c>
      <c r="J33" s="516" t="str">
        <f t="shared" si="20"/>
        <v>-</v>
      </c>
      <c r="K33" s="200" t="str">
        <f t="shared" si="21"/>
        <v>-</v>
      </c>
      <c r="L33" s="596"/>
      <c r="M33" s="201" t="e">
        <f>RANK(K33, K$27:$K$41)</f>
        <v>#VALUE!</v>
      </c>
      <c r="N33" s="614"/>
      <c r="O33" s="614"/>
      <c r="P33" s="529" t="s">
        <v>839</v>
      </c>
      <c r="Q33" s="533" t="s">
        <v>839</v>
      </c>
      <c r="R33" s="533" t="s">
        <v>839</v>
      </c>
      <c r="S33" s="529" t="e">
        <f t="shared" si="22"/>
        <v>#VALUE!</v>
      </c>
      <c r="T33" s="624"/>
      <c r="U33" s="529"/>
      <c r="V33" s="529"/>
      <c r="W33" s="529"/>
      <c r="X33" s="529" t="e">
        <f t="shared" si="24"/>
        <v>#N/A</v>
      </c>
      <c r="Y33" s="624"/>
      <c r="Z33" s="529"/>
      <c r="AA33" s="529"/>
      <c r="AB33" s="529"/>
      <c r="AC33" s="529" t="e">
        <f t="shared" si="26"/>
        <v>#N/A</v>
      </c>
      <c r="AD33" s="624"/>
      <c r="AE33" s="529"/>
      <c r="AF33" s="529"/>
      <c r="AG33" s="529"/>
      <c r="AH33" s="529" t="e">
        <f t="shared" si="28"/>
        <v>#N/A</v>
      </c>
      <c r="AI33" s="624"/>
      <c r="AJ33" s="529"/>
      <c r="AK33" s="529"/>
      <c r="AL33" s="529"/>
      <c r="AM33" s="529" t="e">
        <f t="shared" si="30"/>
        <v>#N/A</v>
      </c>
      <c r="AN33" s="624"/>
      <c r="AO33" s="529"/>
      <c r="AP33" s="529"/>
      <c r="AQ33" s="529"/>
      <c r="AR33" s="529" t="e">
        <f t="shared" si="32"/>
        <v>#N/A</v>
      </c>
      <c r="AS33" s="624"/>
      <c r="AT33" s="529"/>
      <c r="AU33" s="529"/>
      <c r="AV33" s="529"/>
      <c r="AW33" s="529" t="e">
        <f t="shared" si="34"/>
        <v>#N/A</v>
      </c>
      <c r="AX33" s="624"/>
      <c r="AZ33" s="524" t="e">
        <f t="shared" si="36"/>
        <v>#N/A</v>
      </c>
      <c r="BA33" s="624"/>
    </row>
    <row r="34" spans="2:53">
      <c r="B34" s="622"/>
      <c r="C34" s="318">
        <v>8</v>
      </c>
      <c r="D34" s="226"/>
      <c r="E34" s="182"/>
      <c r="F34" s="514"/>
      <c r="G34" s="515"/>
      <c r="H34" s="664"/>
      <c r="I34" s="516" t="str">
        <f t="shared" si="19"/>
        <v>-</v>
      </c>
      <c r="J34" s="516" t="str">
        <f t="shared" si="20"/>
        <v>-</v>
      </c>
      <c r="K34" s="200" t="str">
        <f t="shared" si="21"/>
        <v>-</v>
      </c>
      <c r="L34" s="596"/>
      <c r="M34" s="201" t="e">
        <f>RANK(K34, K$27:$K$41)</f>
        <v>#VALUE!</v>
      </c>
      <c r="N34" s="614"/>
      <c r="O34" s="614"/>
      <c r="P34" s="529" t="s">
        <v>839</v>
      </c>
      <c r="Q34" s="533" t="s">
        <v>839</v>
      </c>
      <c r="R34" s="533" t="s">
        <v>839</v>
      </c>
      <c r="S34" s="529" t="e">
        <f t="shared" si="22"/>
        <v>#VALUE!</v>
      </c>
      <c r="T34" s="624"/>
      <c r="U34" s="529"/>
      <c r="V34" s="529"/>
      <c r="W34" s="529"/>
      <c r="X34" s="529" t="e">
        <f t="shared" si="24"/>
        <v>#N/A</v>
      </c>
      <c r="Y34" s="624"/>
      <c r="Z34" s="529"/>
      <c r="AA34" s="529"/>
      <c r="AB34" s="529"/>
      <c r="AC34" s="529" t="e">
        <f t="shared" si="26"/>
        <v>#N/A</v>
      </c>
      <c r="AD34" s="624"/>
      <c r="AE34" s="529"/>
      <c r="AF34" s="529"/>
      <c r="AG34" s="529"/>
      <c r="AH34" s="529" t="e">
        <f t="shared" si="28"/>
        <v>#N/A</v>
      </c>
      <c r="AI34" s="624"/>
      <c r="AJ34" s="529"/>
      <c r="AK34" s="529"/>
      <c r="AL34" s="529"/>
      <c r="AM34" s="529" t="e">
        <f t="shared" si="30"/>
        <v>#N/A</v>
      </c>
      <c r="AN34" s="624"/>
      <c r="AO34" s="529"/>
      <c r="AP34" s="529"/>
      <c r="AQ34" s="529"/>
      <c r="AR34" s="529" t="e">
        <f t="shared" si="32"/>
        <v>#N/A</v>
      </c>
      <c r="AS34" s="624"/>
      <c r="AT34" s="529"/>
      <c r="AU34" s="529"/>
      <c r="AV34" s="529"/>
      <c r="AW34" s="529" t="e">
        <f t="shared" si="34"/>
        <v>#N/A</v>
      </c>
      <c r="AX34" s="624"/>
      <c r="AZ34" s="524" t="e">
        <f t="shared" si="36"/>
        <v>#N/A</v>
      </c>
      <c r="BA34" s="624"/>
    </row>
    <row r="35" spans="2:53">
      <c r="B35" s="622"/>
      <c r="C35" s="318">
        <v>9</v>
      </c>
      <c r="D35" s="226"/>
      <c r="E35" s="182"/>
      <c r="F35" s="514"/>
      <c r="G35" s="515"/>
      <c r="H35" s="664"/>
      <c r="I35" s="516" t="str">
        <f t="shared" si="19"/>
        <v>-</v>
      </c>
      <c r="J35" s="516" t="str">
        <f t="shared" si="20"/>
        <v>-</v>
      </c>
      <c r="K35" s="200" t="str">
        <f t="shared" si="21"/>
        <v>-</v>
      </c>
      <c r="L35" s="596"/>
      <c r="M35" s="201" t="e">
        <f>RANK(K35, K$27:$K$41)</f>
        <v>#VALUE!</v>
      </c>
      <c r="N35" s="614"/>
      <c r="O35" s="614"/>
      <c r="P35" s="529" t="s">
        <v>839</v>
      </c>
      <c r="Q35" s="533" t="s">
        <v>839</v>
      </c>
      <c r="R35" s="533" t="s">
        <v>839</v>
      </c>
      <c r="S35" s="529" t="e">
        <f t="shared" si="22"/>
        <v>#VALUE!</v>
      </c>
      <c r="T35" s="624"/>
      <c r="U35" s="529"/>
      <c r="V35" s="529"/>
      <c r="W35" s="529"/>
      <c r="X35" s="529" t="e">
        <f t="shared" si="24"/>
        <v>#N/A</v>
      </c>
      <c r="Y35" s="624"/>
      <c r="Z35" s="529"/>
      <c r="AA35" s="529"/>
      <c r="AB35" s="529"/>
      <c r="AC35" s="529" t="e">
        <f t="shared" si="26"/>
        <v>#N/A</v>
      </c>
      <c r="AD35" s="624"/>
      <c r="AE35" s="529"/>
      <c r="AF35" s="529"/>
      <c r="AG35" s="529"/>
      <c r="AH35" s="529" t="e">
        <f t="shared" si="28"/>
        <v>#N/A</v>
      </c>
      <c r="AI35" s="624"/>
      <c r="AJ35" s="529"/>
      <c r="AK35" s="529"/>
      <c r="AL35" s="529"/>
      <c r="AM35" s="529" t="e">
        <f t="shared" si="30"/>
        <v>#N/A</v>
      </c>
      <c r="AN35" s="624"/>
      <c r="AO35" s="529"/>
      <c r="AP35" s="529"/>
      <c r="AQ35" s="529"/>
      <c r="AR35" s="529" t="e">
        <f t="shared" si="32"/>
        <v>#N/A</v>
      </c>
      <c r="AS35" s="624"/>
      <c r="AT35" s="529"/>
      <c r="AU35" s="529"/>
      <c r="AV35" s="529"/>
      <c r="AW35" s="529" t="e">
        <f t="shared" si="34"/>
        <v>#N/A</v>
      </c>
      <c r="AX35" s="624"/>
      <c r="AZ35" s="524" t="e">
        <f t="shared" si="36"/>
        <v>#N/A</v>
      </c>
      <c r="BA35" s="624"/>
    </row>
    <row r="36" spans="2:53">
      <c r="B36" s="622"/>
      <c r="C36" s="318">
        <v>10</v>
      </c>
      <c r="D36" s="226"/>
      <c r="E36" s="182"/>
      <c r="F36" s="514"/>
      <c r="G36" s="515"/>
      <c r="H36" s="664"/>
      <c r="I36" s="516" t="str">
        <f t="shared" si="19"/>
        <v>-</v>
      </c>
      <c r="J36" s="516" t="str">
        <f t="shared" si="20"/>
        <v>-</v>
      </c>
      <c r="K36" s="200" t="str">
        <f t="shared" si="21"/>
        <v>-</v>
      </c>
      <c r="L36" s="596"/>
      <c r="M36" s="201" t="e">
        <f>RANK(K36, K$27:$K$41)</f>
        <v>#VALUE!</v>
      </c>
      <c r="N36" s="614"/>
      <c r="O36" s="614"/>
      <c r="P36" s="529" t="s">
        <v>839</v>
      </c>
      <c r="Q36" s="533" t="s">
        <v>839</v>
      </c>
      <c r="R36" s="533" t="s">
        <v>839</v>
      </c>
      <c r="S36" s="529" t="e">
        <f t="shared" si="22"/>
        <v>#VALUE!</v>
      </c>
      <c r="T36" s="624"/>
      <c r="U36" s="529"/>
      <c r="V36" s="529"/>
      <c r="W36" s="529"/>
      <c r="X36" s="529" t="e">
        <f t="shared" si="24"/>
        <v>#N/A</v>
      </c>
      <c r="Y36" s="624"/>
      <c r="Z36" s="529"/>
      <c r="AA36" s="529"/>
      <c r="AB36" s="529"/>
      <c r="AC36" s="529" t="e">
        <f t="shared" si="26"/>
        <v>#N/A</v>
      </c>
      <c r="AD36" s="624"/>
      <c r="AE36" s="529"/>
      <c r="AF36" s="529"/>
      <c r="AG36" s="529"/>
      <c r="AH36" s="529" t="e">
        <f t="shared" si="28"/>
        <v>#N/A</v>
      </c>
      <c r="AI36" s="624"/>
      <c r="AJ36" s="529"/>
      <c r="AK36" s="529"/>
      <c r="AL36" s="529"/>
      <c r="AM36" s="529" t="e">
        <f t="shared" si="30"/>
        <v>#N/A</v>
      </c>
      <c r="AN36" s="624"/>
      <c r="AO36" s="529"/>
      <c r="AP36" s="529"/>
      <c r="AQ36" s="529"/>
      <c r="AR36" s="529" t="e">
        <f t="shared" si="32"/>
        <v>#N/A</v>
      </c>
      <c r="AS36" s="624"/>
      <c r="AT36" s="529"/>
      <c r="AU36" s="529"/>
      <c r="AV36" s="529"/>
      <c r="AW36" s="529" t="e">
        <f t="shared" si="34"/>
        <v>#N/A</v>
      </c>
      <c r="AX36" s="624"/>
      <c r="AZ36" s="524" t="e">
        <f t="shared" si="36"/>
        <v>#N/A</v>
      </c>
      <c r="BA36" s="624"/>
    </row>
    <row r="37" spans="2:53">
      <c r="B37" s="622"/>
      <c r="C37" s="318">
        <v>11</v>
      </c>
      <c r="D37" s="226"/>
      <c r="E37" s="182"/>
      <c r="F37" s="514"/>
      <c r="G37" s="515"/>
      <c r="H37" s="664"/>
      <c r="I37" s="516" t="str">
        <f t="shared" si="19"/>
        <v>-</v>
      </c>
      <c r="J37" s="516" t="str">
        <f t="shared" si="20"/>
        <v>-</v>
      </c>
      <c r="K37" s="200" t="str">
        <f t="shared" si="21"/>
        <v>-</v>
      </c>
      <c r="L37" s="596"/>
      <c r="M37" s="201" t="e">
        <f>RANK(K37, K$27:$K$41)</f>
        <v>#VALUE!</v>
      </c>
      <c r="N37" s="614"/>
      <c r="O37" s="614"/>
      <c r="P37" s="529" t="s">
        <v>839</v>
      </c>
      <c r="Q37" s="533" t="s">
        <v>839</v>
      </c>
      <c r="R37" s="533" t="s">
        <v>839</v>
      </c>
      <c r="S37" s="529" t="e">
        <f t="shared" si="22"/>
        <v>#VALUE!</v>
      </c>
      <c r="T37" s="624"/>
      <c r="U37" s="529"/>
      <c r="V37" s="529"/>
      <c r="W37" s="529"/>
      <c r="X37" s="529" t="e">
        <f t="shared" si="24"/>
        <v>#N/A</v>
      </c>
      <c r="Y37" s="624"/>
      <c r="Z37" s="529"/>
      <c r="AA37" s="529"/>
      <c r="AB37" s="529"/>
      <c r="AC37" s="529" t="e">
        <f t="shared" si="26"/>
        <v>#N/A</v>
      </c>
      <c r="AD37" s="624"/>
      <c r="AE37" s="529"/>
      <c r="AF37" s="529"/>
      <c r="AG37" s="529"/>
      <c r="AH37" s="529" t="e">
        <f t="shared" si="28"/>
        <v>#N/A</v>
      </c>
      <c r="AI37" s="624"/>
      <c r="AJ37" s="529"/>
      <c r="AK37" s="529"/>
      <c r="AL37" s="529"/>
      <c r="AM37" s="529" t="e">
        <f t="shared" si="30"/>
        <v>#N/A</v>
      </c>
      <c r="AN37" s="624"/>
      <c r="AO37" s="529"/>
      <c r="AP37" s="529"/>
      <c r="AQ37" s="529"/>
      <c r="AR37" s="529" t="e">
        <f t="shared" si="32"/>
        <v>#N/A</v>
      </c>
      <c r="AS37" s="624"/>
      <c r="AT37" s="529"/>
      <c r="AU37" s="529"/>
      <c r="AV37" s="529"/>
      <c r="AW37" s="529" t="e">
        <f t="shared" si="34"/>
        <v>#N/A</v>
      </c>
      <c r="AX37" s="624"/>
      <c r="AZ37" s="524" t="e">
        <f t="shared" si="36"/>
        <v>#N/A</v>
      </c>
      <c r="BA37" s="624"/>
    </row>
    <row r="38" spans="2:53">
      <c r="B38" s="622"/>
      <c r="C38" s="318">
        <v>12</v>
      </c>
      <c r="D38" s="226"/>
      <c r="E38" s="182"/>
      <c r="F38" s="514"/>
      <c r="G38" s="515"/>
      <c r="H38" s="664"/>
      <c r="I38" s="516" t="str">
        <f t="shared" si="19"/>
        <v>-</v>
      </c>
      <c r="J38" s="516" t="str">
        <f t="shared" si="20"/>
        <v>-</v>
      </c>
      <c r="K38" s="200" t="str">
        <f t="shared" si="21"/>
        <v>-</v>
      </c>
      <c r="L38" s="596"/>
      <c r="M38" s="201" t="e">
        <f>RANK(K38, K$27:$K$41)</f>
        <v>#VALUE!</v>
      </c>
      <c r="N38" s="614"/>
      <c r="O38" s="614"/>
      <c r="P38" s="529" t="s">
        <v>839</v>
      </c>
      <c r="Q38" s="533" t="s">
        <v>839</v>
      </c>
      <c r="R38" s="533" t="s">
        <v>839</v>
      </c>
      <c r="S38" s="529" t="e">
        <f t="shared" si="22"/>
        <v>#VALUE!</v>
      </c>
      <c r="T38" s="624"/>
      <c r="U38" s="529"/>
      <c r="V38" s="529"/>
      <c r="W38" s="529"/>
      <c r="X38" s="529" t="e">
        <f t="shared" si="24"/>
        <v>#N/A</v>
      </c>
      <c r="Y38" s="624"/>
      <c r="Z38" s="529"/>
      <c r="AA38" s="529"/>
      <c r="AB38" s="529"/>
      <c r="AC38" s="529" t="e">
        <f t="shared" si="26"/>
        <v>#N/A</v>
      </c>
      <c r="AD38" s="624"/>
      <c r="AE38" s="529"/>
      <c r="AF38" s="529"/>
      <c r="AG38" s="529"/>
      <c r="AH38" s="529" t="e">
        <f t="shared" si="28"/>
        <v>#N/A</v>
      </c>
      <c r="AI38" s="624"/>
      <c r="AJ38" s="529"/>
      <c r="AK38" s="529"/>
      <c r="AL38" s="529"/>
      <c r="AM38" s="529" t="e">
        <f t="shared" si="30"/>
        <v>#N/A</v>
      </c>
      <c r="AN38" s="624"/>
      <c r="AO38" s="529"/>
      <c r="AP38" s="529"/>
      <c r="AQ38" s="529"/>
      <c r="AR38" s="529" t="e">
        <f t="shared" si="32"/>
        <v>#N/A</v>
      </c>
      <c r="AS38" s="624"/>
      <c r="AT38" s="529"/>
      <c r="AU38" s="529"/>
      <c r="AV38" s="529"/>
      <c r="AW38" s="529" t="e">
        <f t="shared" si="34"/>
        <v>#N/A</v>
      </c>
      <c r="AX38" s="624"/>
      <c r="AZ38" s="524" t="e">
        <f t="shared" si="36"/>
        <v>#N/A</v>
      </c>
      <c r="BA38" s="624"/>
    </row>
    <row r="39" spans="2:53">
      <c r="B39" s="622"/>
      <c r="C39" s="318">
        <v>13</v>
      </c>
      <c r="D39" s="226"/>
      <c r="E39" s="182"/>
      <c r="F39" s="514"/>
      <c r="G39" s="515"/>
      <c r="H39" s="664"/>
      <c r="I39" s="516" t="str">
        <f t="shared" si="19"/>
        <v>-</v>
      </c>
      <c r="J39" s="516" t="str">
        <f t="shared" si="20"/>
        <v>-</v>
      </c>
      <c r="K39" s="200" t="str">
        <f t="shared" si="21"/>
        <v>-</v>
      </c>
      <c r="L39" s="596"/>
      <c r="M39" s="201" t="e">
        <f>RANK(K39, K$27:$K$41)</f>
        <v>#VALUE!</v>
      </c>
      <c r="N39" s="614"/>
      <c r="O39" s="614"/>
      <c r="P39" s="529" t="s">
        <v>839</v>
      </c>
      <c r="Q39" s="533" t="s">
        <v>839</v>
      </c>
      <c r="R39" s="533" t="s">
        <v>839</v>
      </c>
      <c r="S39" s="529" t="e">
        <f t="shared" si="22"/>
        <v>#VALUE!</v>
      </c>
      <c r="T39" s="624"/>
      <c r="U39" s="529"/>
      <c r="V39" s="529"/>
      <c r="W39" s="529"/>
      <c r="X39" s="529" t="e">
        <f t="shared" si="24"/>
        <v>#N/A</v>
      </c>
      <c r="Y39" s="624"/>
      <c r="Z39" s="529"/>
      <c r="AA39" s="529"/>
      <c r="AB39" s="529"/>
      <c r="AC39" s="529" t="e">
        <f t="shared" si="26"/>
        <v>#N/A</v>
      </c>
      <c r="AD39" s="624"/>
      <c r="AE39" s="529"/>
      <c r="AF39" s="529"/>
      <c r="AG39" s="529"/>
      <c r="AH39" s="529" t="e">
        <f t="shared" si="28"/>
        <v>#N/A</v>
      </c>
      <c r="AI39" s="624"/>
      <c r="AJ39" s="529"/>
      <c r="AK39" s="529"/>
      <c r="AL39" s="529"/>
      <c r="AM39" s="529" t="e">
        <f t="shared" si="30"/>
        <v>#N/A</v>
      </c>
      <c r="AN39" s="624"/>
      <c r="AO39" s="529"/>
      <c r="AP39" s="529"/>
      <c r="AQ39" s="529"/>
      <c r="AR39" s="529" t="e">
        <f t="shared" si="32"/>
        <v>#N/A</v>
      </c>
      <c r="AS39" s="624"/>
      <c r="AT39" s="529"/>
      <c r="AU39" s="529"/>
      <c r="AV39" s="529"/>
      <c r="AW39" s="529" t="e">
        <f t="shared" si="34"/>
        <v>#N/A</v>
      </c>
      <c r="AX39" s="624"/>
      <c r="AZ39" s="524" t="e">
        <f t="shared" si="36"/>
        <v>#N/A</v>
      </c>
      <c r="BA39" s="624"/>
    </row>
    <row r="40" spans="2:53">
      <c r="B40" s="622"/>
      <c r="C40" s="318">
        <v>14</v>
      </c>
      <c r="D40" s="226"/>
      <c r="E40" s="182"/>
      <c r="F40" s="514"/>
      <c r="G40" s="515"/>
      <c r="H40" s="664"/>
      <c r="I40" s="516" t="str">
        <f t="shared" si="19"/>
        <v>-</v>
      </c>
      <c r="J40" s="516" t="str">
        <f t="shared" si="20"/>
        <v>-</v>
      </c>
      <c r="K40" s="200" t="str">
        <f t="shared" si="21"/>
        <v>-</v>
      </c>
      <c r="L40" s="596"/>
      <c r="M40" s="201" t="e">
        <f>RANK(K40, K$27:$K$41)</f>
        <v>#VALUE!</v>
      </c>
      <c r="N40" s="614"/>
      <c r="O40" s="614"/>
      <c r="P40" s="529" t="s">
        <v>839</v>
      </c>
      <c r="Q40" s="533" t="s">
        <v>839</v>
      </c>
      <c r="R40" s="533" t="s">
        <v>839</v>
      </c>
      <c r="S40" s="529" t="e">
        <f t="shared" si="22"/>
        <v>#VALUE!</v>
      </c>
      <c r="T40" s="624"/>
      <c r="U40" s="529"/>
      <c r="V40" s="529"/>
      <c r="W40" s="529"/>
      <c r="X40" s="529" t="e">
        <f t="shared" si="24"/>
        <v>#N/A</v>
      </c>
      <c r="Y40" s="624"/>
      <c r="Z40" s="529"/>
      <c r="AA40" s="529"/>
      <c r="AB40" s="529"/>
      <c r="AC40" s="529" t="e">
        <f t="shared" si="26"/>
        <v>#N/A</v>
      </c>
      <c r="AD40" s="624"/>
      <c r="AE40" s="529"/>
      <c r="AF40" s="529"/>
      <c r="AG40" s="529"/>
      <c r="AH40" s="529" t="e">
        <f t="shared" si="28"/>
        <v>#N/A</v>
      </c>
      <c r="AI40" s="624"/>
      <c r="AJ40" s="529"/>
      <c r="AK40" s="529"/>
      <c r="AL40" s="529"/>
      <c r="AM40" s="529" t="e">
        <f t="shared" si="30"/>
        <v>#N/A</v>
      </c>
      <c r="AN40" s="624"/>
      <c r="AO40" s="529"/>
      <c r="AP40" s="529"/>
      <c r="AQ40" s="529"/>
      <c r="AR40" s="529" t="e">
        <f t="shared" si="32"/>
        <v>#N/A</v>
      </c>
      <c r="AS40" s="624"/>
      <c r="AT40" s="529"/>
      <c r="AU40" s="529"/>
      <c r="AV40" s="529"/>
      <c r="AW40" s="529" t="e">
        <f t="shared" si="34"/>
        <v>#N/A</v>
      </c>
      <c r="AX40" s="624"/>
      <c r="AZ40" s="524" t="e">
        <f t="shared" si="36"/>
        <v>#N/A</v>
      </c>
      <c r="BA40" s="624"/>
    </row>
    <row r="41" spans="2:53">
      <c r="B41" s="622"/>
      <c r="C41" s="318">
        <v>15</v>
      </c>
      <c r="D41" s="226"/>
      <c r="E41" s="182"/>
      <c r="F41" s="514"/>
      <c r="G41" s="515"/>
      <c r="H41" s="665"/>
      <c r="I41" s="202"/>
      <c r="J41" s="202"/>
      <c r="K41" s="202"/>
      <c r="L41" s="597"/>
      <c r="M41" s="199" t="e">
        <f>RANK(K41, K$27:$K$41)</f>
        <v>#N/A</v>
      </c>
      <c r="N41" s="614"/>
      <c r="O41" s="614"/>
      <c r="P41" s="529" t="s">
        <v>839</v>
      </c>
      <c r="Q41" s="533" t="s">
        <v>839</v>
      </c>
      <c r="R41" s="533" t="s">
        <v>839</v>
      </c>
      <c r="S41" s="529" t="e">
        <f t="shared" si="22"/>
        <v>#VALUE!</v>
      </c>
      <c r="T41" s="625"/>
      <c r="U41" s="529"/>
      <c r="V41" s="529"/>
      <c r="W41" s="529"/>
      <c r="X41" s="529" t="e">
        <f t="shared" si="24"/>
        <v>#N/A</v>
      </c>
      <c r="Y41" s="625"/>
      <c r="Z41" s="529"/>
      <c r="AA41" s="529"/>
      <c r="AB41" s="529"/>
      <c r="AC41" s="529" t="e">
        <f t="shared" si="26"/>
        <v>#N/A</v>
      </c>
      <c r="AD41" s="625"/>
      <c r="AE41" s="529"/>
      <c r="AF41" s="529"/>
      <c r="AG41" s="529"/>
      <c r="AH41" s="529" t="e">
        <f t="shared" si="28"/>
        <v>#N/A</v>
      </c>
      <c r="AI41" s="625"/>
      <c r="AJ41" s="529"/>
      <c r="AK41" s="529"/>
      <c r="AL41" s="529"/>
      <c r="AM41" s="529" t="e">
        <f t="shared" si="30"/>
        <v>#N/A</v>
      </c>
      <c r="AN41" s="625"/>
      <c r="AO41" s="529"/>
      <c r="AP41" s="529"/>
      <c r="AQ41" s="529"/>
      <c r="AR41" s="529" t="e">
        <f t="shared" si="32"/>
        <v>#N/A</v>
      </c>
      <c r="AS41" s="625"/>
      <c r="AT41" s="529"/>
      <c r="AU41" s="529"/>
      <c r="AV41" s="529"/>
      <c r="AW41" s="529" t="e">
        <f t="shared" si="34"/>
        <v>#N/A</v>
      </c>
      <c r="AX41" s="625"/>
      <c r="AZ41" s="524" t="e">
        <f t="shared" si="36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531</v>
      </c>
      <c r="C44" s="614" t="s">
        <v>532</v>
      </c>
      <c r="D44" s="614"/>
      <c r="E44" s="614" t="s">
        <v>533</v>
      </c>
      <c r="F44" s="614"/>
      <c r="G44" s="614"/>
      <c r="H44" s="630" t="s">
        <v>534</v>
      </c>
      <c r="I44" s="598" t="s">
        <v>535</v>
      </c>
      <c r="J44" s="598"/>
      <c r="K44" s="598"/>
      <c r="L44" s="599" t="s">
        <v>534</v>
      </c>
      <c r="M44" s="605" t="s">
        <v>536</v>
      </c>
      <c r="N44" s="614"/>
      <c r="O44" s="614" t="s">
        <v>537</v>
      </c>
      <c r="P44" s="611" t="s">
        <v>538</v>
      </c>
      <c r="Q44" s="612"/>
      <c r="R44" s="612"/>
      <c r="S44" s="613"/>
      <c r="T44" s="614" t="s">
        <v>534</v>
      </c>
      <c r="U44" s="611" t="s">
        <v>538</v>
      </c>
      <c r="V44" s="612"/>
      <c r="W44" s="612"/>
      <c r="X44" s="613"/>
      <c r="Y44" s="614" t="s">
        <v>534</v>
      </c>
      <c r="Z44" s="611" t="s">
        <v>538</v>
      </c>
      <c r="AA44" s="612"/>
      <c r="AB44" s="612"/>
      <c r="AC44" s="613"/>
      <c r="AD44" s="614" t="s">
        <v>534</v>
      </c>
      <c r="AE44" s="611" t="s">
        <v>538</v>
      </c>
      <c r="AF44" s="612"/>
      <c r="AG44" s="612"/>
      <c r="AH44" s="613"/>
      <c r="AI44" s="614" t="s">
        <v>534</v>
      </c>
      <c r="AJ44" s="611" t="s">
        <v>538</v>
      </c>
      <c r="AK44" s="612"/>
      <c r="AL44" s="612"/>
      <c r="AM44" s="613"/>
      <c r="AN44" s="614" t="s">
        <v>534</v>
      </c>
      <c r="AO44" s="611" t="s">
        <v>538</v>
      </c>
      <c r="AP44" s="612"/>
      <c r="AQ44" s="612"/>
      <c r="AR44" s="613"/>
      <c r="AS44" s="614" t="s">
        <v>534</v>
      </c>
      <c r="AT44" s="611" t="s">
        <v>538</v>
      </c>
      <c r="AU44" s="612"/>
      <c r="AV44" s="612"/>
      <c r="AW44" s="613"/>
      <c r="AX44" s="614" t="s">
        <v>534</v>
      </c>
      <c r="BA44" s="614" t="s">
        <v>395</v>
      </c>
    </row>
    <row r="45" spans="2:53">
      <c r="B45" s="614"/>
      <c r="C45" s="614"/>
      <c r="D45" s="614"/>
      <c r="E45" s="614" t="s">
        <v>539</v>
      </c>
      <c r="F45" s="614"/>
      <c r="G45" s="614"/>
      <c r="H45" s="631"/>
      <c r="I45" s="598" t="s">
        <v>539</v>
      </c>
      <c r="J45" s="598"/>
      <c r="K45" s="598"/>
      <c r="L45" s="600"/>
      <c r="M45" s="606"/>
      <c r="N45" s="614"/>
      <c r="O45" s="614"/>
      <c r="P45" s="611" t="s">
        <v>540</v>
      </c>
      <c r="Q45" s="612"/>
      <c r="R45" s="612"/>
      <c r="S45" s="613"/>
      <c r="T45" s="614"/>
      <c r="U45" s="611" t="s">
        <v>540</v>
      </c>
      <c r="V45" s="612"/>
      <c r="W45" s="612"/>
      <c r="X45" s="613"/>
      <c r="Y45" s="614"/>
      <c r="Z45" s="611" t="s">
        <v>540</v>
      </c>
      <c r="AA45" s="612"/>
      <c r="AB45" s="612"/>
      <c r="AC45" s="613"/>
      <c r="AD45" s="614"/>
      <c r="AE45" s="611" t="s">
        <v>540</v>
      </c>
      <c r="AF45" s="612"/>
      <c r="AG45" s="612"/>
      <c r="AH45" s="613"/>
      <c r="AI45" s="614"/>
      <c r="AJ45" s="611" t="s">
        <v>540</v>
      </c>
      <c r="AK45" s="612"/>
      <c r="AL45" s="612"/>
      <c r="AM45" s="613"/>
      <c r="AN45" s="614"/>
      <c r="AO45" s="611" t="s">
        <v>540</v>
      </c>
      <c r="AP45" s="612"/>
      <c r="AQ45" s="612"/>
      <c r="AR45" s="613"/>
      <c r="AS45" s="614"/>
      <c r="AT45" s="611" t="s">
        <v>540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20" t="s">
        <v>541</v>
      </c>
      <c r="F46" s="320" t="s">
        <v>542</v>
      </c>
      <c r="G46" s="320" t="s">
        <v>543</v>
      </c>
      <c r="H46" s="632"/>
      <c r="I46" s="319" t="s">
        <v>541</v>
      </c>
      <c r="J46" s="319" t="s">
        <v>542</v>
      </c>
      <c r="K46" s="319" t="s">
        <v>543</v>
      </c>
      <c r="L46" s="601"/>
      <c r="M46" s="607"/>
      <c r="N46" s="614"/>
      <c r="O46" s="614"/>
      <c r="P46" s="320" t="s">
        <v>541</v>
      </c>
      <c r="Q46" s="320" t="s">
        <v>542</v>
      </c>
      <c r="R46" s="320" t="s">
        <v>543</v>
      </c>
      <c r="S46" s="320" t="s">
        <v>536</v>
      </c>
      <c r="T46" s="614"/>
      <c r="U46" s="320" t="s">
        <v>541</v>
      </c>
      <c r="V46" s="320" t="s">
        <v>542</v>
      </c>
      <c r="W46" s="320" t="s">
        <v>543</v>
      </c>
      <c r="X46" s="320" t="s">
        <v>536</v>
      </c>
      <c r="Y46" s="614"/>
      <c r="Z46" s="320" t="s">
        <v>541</v>
      </c>
      <c r="AA46" s="320" t="s">
        <v>542</v>
      </c>
      <c r="AB46" s="320" t="s">
        <v>543</v>
      </c>
      <c r="AC46" s="320" t="s">
        <v>536</v>
      </c>
      <c r="AD46" s="614"/>
      <c r="AE46" s="320" t="s">
        <v>541</v>
      </c>
      <c r="AF46" s="320" t="s">
        <v>542</v>
      </c>
      <c r="AG46" s="320" t="s">
        <v>543</v>
      </c>
      <c r="AH46" s="320" t="s">
        <v>536</v>
      </c>
      <c r="AI46" s="614"/>
      <c r="AJ46" s="320" t="s">
        <v>541</v>
      </c>
      <c r="AK46" s="320" t="s">
        <v>542</v>
      </c>
      <c r="AL46" s="320" t="s">
        <v>543</v>
      </c>
      <c r="AM46" s="320" t="s">
        <v>536</v>
      </c>
      <c r="AN46" s="614"/>
      <c r="AO46" s="320" t="s">
        <v>541</v>
      </c>
      <c r="AP46" s="320" t="s">
        <v>542</v>
      </c>
      <c r="AQ46" s="320" t="s">
        <v>543</v>
      </c>
      <c r="AR46" s="320" t="s">
        <v>536</v>
      </c>
      <c r="AS46" s="614"/>
      <c r="AT46" s="320" t="s">
        <v>541</v>
      </c>
      <c r="AU46" s="320" t="s">
        <v>542</v>
      </c>
      <c r="AV46" s="320" t="s">
        <v>543</v>
      </c>
      <c r="AW46" s="320" t="s">
        <v>536</v>
      </c>
      <c r="AX46" s="614"/>
      <c r="AZ46" s="523" t="s">
        <v>396</v>
      </c>
      <c r="BA46" s="614"/>
    </row>
    <row r="47" spans="2:53">
      <c r="B47" s="614" t="s">
        <v>544</v>
      </c>
      <c r="C47" s="321">
        <v>1</v>
      </c>
      <c r="D47" s="226"/>
      <c r="E47" s="182"/>
      <c r="F47" s="514"/>
      <c r="G47" s="515"/>
      <c r="H47" s="663" t="e">
        <f>AVERAGE(G47:G61)</f>
        <v>#DIV/0!</v>
      </c>
      <c r="I47" s="516" t="str">
        <f t="shared" ref="I47:I60" si="38">IFERROR(AVERAGE(P47,U47,Z47,AE47,AJ47,AO47,AT47),"-")</f>
        <v>-</v>
      </c>
      <c r="J47" s="516" t="str">
        <f t="shared" ref="J47:J60" si="39">IFERROR(AVERAGE(Q47,V47,AA47,AF47,AK47,AP47,AU47),"-")</f>
        <v>-</v>
      </c>
      <c r="K47" s="200" t="str">
        <f t="shared" ref="K47:K60" si="40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182"/>
      <c r="Q47" s="182"/>
      <c r="R47" s="515"/>
      <c r="S47" s="514" t="e">
        <f>RANK(R47, R$47:R$61)</f>
        <v>#N/A</v>
      </c>
      <c r="T47" s="623" t="e">
        <f>AVERAGE(R47:R61)</f>
        <v>#DIV/0!</v>
      </c>
      <c r="U47" s="182"/>
      <c r="V47" s="182"/>
      <c r="W47" s="515"/>
      <c r="X47" s="514" t="e">
        <f t="shared" ref="X47:X61" si="41">RANK(W47, W$47:W$61)</f>
        <v>#N/A</v>
      </c>
      <c r="Y47" s="623" t="e">
        <f t="shared" ref="Y47" si="42">AVERAGE(W47:W61)</f>
        <v>#DIV/0!</v>
      </c>
      <c r="Z47" s="182"/>
      <c r="AA47" s="182"/>
      <c r="AB47" s="515"/>
      <c r="AC47" s="514" t="e">
        <f t="shared" ref="AC47:AC61" si="43">RANK(AB47, AB$47:AB$61)</f>
        <v>#N/A</v>
      </c>
      <c r="AD47" s="623" t="e">
        <f t="shared" ref="AD47" si="44">AVERAGE(AB47:AB61)</f>
        <v>#DIV/0!</v>
      </c>
      <c r="AE47" s="182"/>
      <c r="AF47" s="182"/>
      <c r="AG47" s="515"/>
      <c r="AH47" s="514" t="e">
        <f t="shared" ref="AH47:AH61" si="45">RANK(AG47, AG$47:AG$61)</f>
        <v>#N/A</v>
      </c>
      <c r="AI47" s="623" t="e">
        <f t="shared" ref="AI47" si="46">AVERAGE(AG47:AG61)</f>
        <v>#DIV/0!</v>
      </c>
      <c r="AJ47" s="182"/>
      <c r="AK47" s="182"/>
      <c r="AL47" s="515"/>
      <c r="AM47" s="514" t="e">
        <f t="shared" ref="AM47:AM61" si="47">RANK(AL47, AL$47:AL$61)</f>
        <v>#N/A</v>
      </c>
      <c r="AN47" s="623" t="e">
        <f t="shared" ref="AN47" si="48">AVERAGE(AL47:AL61)</f>
        <v>#DIV/0!</v>
      </c>
      <c r="AO47" s="182"/>
      <c r="AP47" s="182"/>
      <c r="AQ47" s="515"/>
      <c r="AR47" s="514" t="e">
        <f t="shared" ref="AR47:AR61" si="49">RANK(AQ47, AQ$47:AQ$61)</f>
        <v>#N/A</v>
      </c>
      <c r="AS47" s="623" t="e">
        <f t="shared" ref="AS47" si="50">AVERAGE(AQ47:AQ61)</f>
        <v>#DIV/0!</v>
      </c>
      <c r="AT47" s="182"/>
      <c r="AU47" s="182"/>
      <c r="AV47" s="515"/>
      <c r="AW47" s="514" t="e">
        <f t="shared" ref="AW47:AW61" si="51">RANK(AV47, AV$47:AV$61)</f>
        <v>#N/A</v>
      </c>
      <c r="AX47" s="623" t="e">
        <f t="shared" ref="AX47" si="52">AVERAGE(AV47:AV61)</f>
        <v>#DIV/0!</v>
      </c>
      <c r="AZ47" s="524" t="e">
        <f t="shared" ref="AZ47:AZ61" si="53">RANK(AY47, AY$47:AY$61)</f>
        <v>#N/A</v>
      </c>
      <c r="BA47" s="623" t="e">
        <f t="shared" ref="BA47" si="54">AVERAGE(AY47:AY61)</f>
        <v>#DIV/0!</v>
      </c>
    </row>
    <row r="48" spans="2:53">
      <c r="B48" s="622"/>
      <c r="C48" s="321">
        <v>2</v>
      </c>
      <c r="D48" s="226"/>
      <c r="E48" s="182"/>
      <c r="F48" s="514"/>
      <c r="G48" s="515"/>
      <c r="H48" s="664"/>
      <c r="I48" s="516" t="str">
        <f t="shared" si="38"/>
        <v>-</v>
      </c>
      <c r="J48" s="516" t="str">
        <f t="shared" si="39"/>
        <v>-</v>
      </c>
      <c r="K48" s="200" t="str">
        <f t="shared" si="40"/>
        <v>-</v>
      </c>
      <c r="L48" s="596"/>
      <c r="M48" s="201" t="e">
        <f>RANK(K48, K$47:$K$61)</f>
        <v>#VALUE!</v>
      </c>
      <c r="N48" s="614"/>
      <c r="O48" s="614"/>
      <c r="P48" s="514"/>
      <c r="Q48" s="182"/>
      <c r="R48" s="515"/>
      <c r="S48" s="514" t="e">
        <f t="shared" ref="S48:S61" si="55">RANK(R48, R$47:R$61)</f>
        <v>#N/A</v>
      </c>
      <c r="T48" s="624"/>
      <c r="U48" s="514"/>
      <c r="V48" s="182"/>
      <c r="W48" s="515"/>
      <c r="X48" s="514" t="e">
        <f t="shared" si="41"/>
        <v>#N/A</v>
      </c>
      <c r="Y48" s="624"/>
      <c r="Z48" s="514"/>
      <c r="AA48" s="182"/>
      <c r="AB48" s="515"/>
      <c r="AC48" s="514" t="e">
        <f t="shared" si="43"/>
        <v>#N/A</v>
      </c>
      <c r="AD48" s="624"/>
      <c r="AE48" s="514"/>
      <c r="AF48" s="182"/>
      <c r="AG48" s="515"/>
      <c r="AH48" s="514" t="e">
        <f t="shared" si="45"/>
        <v>#N/A</v>
      </c>
      <c r="AI48" s="624"/>
      <c r="AJ48" s="514"/>
      <c r="AK48" s="182"/>
      <c r="AL48" s="515"/>
      <c r="AM48" s="514" t="e">
        <f t="shared" si="47"/>
        <v>#N/A</v>
      </c>
      <c r="AN48" s="624"/>
      <c r="AO48" s="514"/>
      <c r="AP48" s="182"/>
      <c r="AQ48" s="515"/>
      <c r="AR48" s="514" t="e">
        <f t="shared" si="49"/>
        <v>#N/A</v>
      </c>
      <c r="AS48" s="624"/>
      <c r="AT48" s="514"/>
      <c r="AU48" s="182"/>
      <c r="AV48" s="515"/>
      <c r="AW48" s="514" t="e">
        <f t="shared" si="51"/>
        <v>#N/A</v>
      </c>
      <c r="AX48" s="624"/>
      <c r="AZ48" s="524" t="e">
        <f t="shared" si="53"/>
        <v>#N/A</v>
      </c>
      <c r="BA48" s="624"/>
    </row>
    <row r="49" spans="2:53">
      <c r="B49" s="622"/>
      <c r="C49" s="321">
        <v>3</v>
      </c>
      <c r="D49" s="226"/>
      <c r="E49" s="182"/>
      <c r="F49" s="514"/>
      <c r="G49" s="515"/>
      <c r="H49" s="664"/>
      <c r="I49" s="516" t="str">
        <f t="shared" si="38"/>
        <v>-</v>
      </c>
      <c r="J49" s="516" t="str">
        <f t="shared" si="39"/>
        <v>-</v>
      </c>
      <c r="K49" s="200" t="str">
        <f t="shared" si="40"/>
        <v>-</v>
      </c>
      <c r="L49" s="596"/>
      <c r="M49" s="201" t="e">
        <f>RANK(K49, K$47:$K$61)</f>
        <v>#VALUE!</v>
      </c>
      <c r="N49" s="614"/>
      <c r="O49" s="614"/>
      <c r="P49" s="514"/>
      <c r="Q49" s="514"/>
      <c r="R49" s="514"/>
      <c r="S49" s="514" t="e">
        <f t="shared" si="55"/>
        <v>#N/A</v>
      </c>
      <c r="T49" s="624"/>
      <c r="U49" s="514"/>
      <c r="V49" s="514"/>
      <c r="W49" s="514"/>
      <c r="X49" s="514" t="e">
        <f t="shared" si="41"/>
        <v>#N/A</v>
      </c>
      <c r="Y49" s="624"/>
      <c r="Z49" s="514"/>
      <c r="AA49" s="514"/>
      <c r="AB49" s="514"/>
      <c r="AC49" s="514" t="e">
        <f t="shared" si="43"/>
        <v>#N/A</v>
      </c>
      <c r="AD49" s="624"/>
      <c r="AE49" s="514"/>
      <c r="AF49" s="514"/>
      <c r="AG49" s="514"/>
      <c r="AH49" s="514" t="e">
        <f t="shared" si="45"/>
        <v>#N/A</v>
      </c>
      <c r="AI49" s="624"/>
      <c r="AJ49" s="514"/>
      <c r="AK49" s="514"/>
      <c r="AL49" s="514"/>
      <c r="AM49" s="514" t="e">
        <f t="shared" si="47"/>
        <v>#N/A</v>
      </c>
      <c r="AN49" s="624"/>
      <c r="AO49" s="514"/>
      <c r="AP49" s="514"/>
      <c r="AQ49" s="514"/>
      <c r="AR49" s="514" t="e">
        <f t="shared" si="49"/>
        <v>#N/A</v>
      </c>
      <c r="AS49" s="624"/>
      <c r="AT49" s="514"/>
      <c r="AU49" s="514"/>
      <c r="AV49" s="514"/>
      <c r="AW49" s="514" t="e">
        <f t="shared" si="51"/>
        <v>#N/A</v>
      </c>
      <c r="AX49" s="624"/>
      <c r="AZ49" s="524" t="e">
        <f t="shared" si="53"/>
        <v>#N/A</v>
      </c>
      <c r="BA49" s="624"/>
    </row>
    <row r="50" spans="2:53">
      <c r="B50" s="622"/>
      <c r="C50" s="321">
        <v>4</v>
      </c>
      <c r="D50" s="226"/>
      <c r="E50" s="182"/>
      <c r="F50" s="514"/>
      <c r="G50" s="515"/>
      <c r="H50" s="664"/>
      <c r="I50" s="516" t="str">
        <f t="shared" si="38"/>
        <v>-</v>
      </c>
      <c r="J50" s="516" t="str">
        <f t="shared" si="39"/>
        <v>-</v>
      </c>
      <c r="K50" s="200" t="str">
        <f t="shared" si="40"/>
        <v>-</v>
      </c>
      <c r="L50" s="596"/>
      <c r="M50" s="201" t="e">
        <f>RANK(K50, K$47:$K$61)</f>
        <v>#VALUE!</v>
      </c>
      <c r="N50" s="614"/>
      <c r="O50" s="614"/>
      <c r="P50" s="514"/>
      <c r="Q50" s="514"/>
      <c r="R50" s="514"/>
      <c r="S50" s="514" t="e">
        <f t="shared" si="55"/>
        <v>#N/A</v>
      </c>
      <c r="T50" s="624"/>
      <c r="U50" s="514"/>
      <c r="V50" s="514"/>
      <c r="W50" s="514"/>
      <c r="X50" s="514" t="e">
        <f t="shared" si="41"/>
        <v>#N/A</v>
      </c>
      <c r="Y50" s="624"/>
      <c r="Z50" s="514"/>
      <c r="AA50" s="514"/>
      <c r="AB50" s="514"/>
      <c r="AC50" s="514" t="e">
        <f t="shared" si="43"/>
        <v>#N/A</v>
      </c>
      <c r="AD50" s="624"/>
      <c r="AE50" s="514"/>
      <c r="AF50" s="514"/>
      <c r="AG50" s="514"/>
      <c r="AH50" s="514" t="e">
        <f t="shared" si="45"/>
        <v>#N/A</v>
      </c>
      <c r="AI50" s="624"/>
      <c r="AJ50" s="514"/>
      <c r="AK50" s="514"/>
      <c r="AL50" s="514"/>
      <c r="AM50" s="514" t="e">
        <f t="shared" si="47"/>
        <v>#N/A</v>
      </c>
      <c r="AN50" s="624"/>
      <c r="AO50" s="514"/>
      <c r="AP50" s="514"/>
      <c r="AQ50" s="514"/>
      <c r="AR50" s="514" t="e">
        <f t="shared" si="49"/>
        <v>#N/A</v>
      </c>
      <c r="AS50" s="624"/>
      <c r="AT50" s="514"/>
      <c r="AU50" s="514"/>
      <c r="AV50" s="514"/>
      <c r="AW50" s="514" t="e">
        <f t="shared" si="51"/>
        <v>#N/A</v>
      </c>
      <c r="AX50" s="624"/>
      <c r="AZ50" s="524" t="e">
        <f t="shared" si="53"/>
        <v>#N/A</v>
      </c>
      <c r="BA50" s="624"/>
    </row>
    <row r="51" spans="2:53">
      <c r="B51" s="622"/>
      <c r="C51" s="321">
        <v>5</v>
      </c>
      <c r="D51" s="226"/>
      <c r="E51" s="182"/>
      <c r="F51" s="514"/>
      <c r="G51" s="515"/>
      <c r="H51" s="664"/>
      <c r="I51" s="516" t="str">
        <f t="shared" si="38"/>
        <v>-</v>
      </c>
      <c r="J51" s="516" t="str">
        <f t="shared" si="39"/>
        <v>-</v>
      </c>
      <c r="K51" s="200" t="str">
        <f t="shared" si="40"/>
        <v>-</v>
      </c>
      <c r="L51" s="596"/>
      <c r="M51" s="201" t="e">
        <f>RANK(K51, K$47:$K$61)</f>
        <v>#VALUE!</v>
      </c>
      <c r="N51" s="614"/>
      <c r="O51" s="614"/>
      <c r="P51" s="514"/>
      <c r="Q51" s="514"/>
      <c r="R51" s="514"/>
      <c r="S51" s="514" t="e">
        <f t="shared" si="55"/>
        <v>#N/A</v>
      </c>
      <c r="T51" s="624"/>
      <c r="U51" s="514"/>
      <c r="V51" s="514"/>
      <c r="W51" s="514"/>
      <c r="X51" s="514" t="e">
        <f t="shared" si="41"/>
        <v>#N/A</v>
      </c>
      <c r="Y51" s="624"/>
      <c r="Z51" s="514"/>
      <c r="AA51" s="514"/>
      <c r="AB51" s="514"/>
      <c r="AC51" s="514" t="e">
        <f t="shared" si="43"/>
        <v>#N/A</v>
      </c>
      <c r="AD51" s="624"/>
      <c r="AE51" s="514"/>
      <c r="AF51" s="514"/>
      <c r="AG51" s="514"/>
      <c r="AH51" s="514" t="e">
        <f t="shared" si="45"/>
        <v>#N/A</v>
      </c>
      <c r="AI51" s="624"/>
      <c r="AJ51" s="514"/>
      <c r="AK51" s="514"/>
      <c r="AL51" s="514"/>
      <c r="AM51" s="514" t="e">
        <f t="shared" si="47"/>
        <v>#N/A</v>
      </c>
      <c r="AN51" s="624"/>
      <c r="AO51" s="514"/>
      <c r="AP51" s="514"/>
      <c r="AQ51" s="514"/>
      <c r="AR51" s="514" t="e">
        <f t="shared" si="49"/>
        <v>#N/A</v>
      </c>
      <c r="AS51" s="624"/>
      <c r="AT51" s="514"/>
      <c r="AU51" s="514"/>
      <c r="AV51" s="514"/>
      <c r="AW51" s="514" t="e">
        <f t="shared" si="51"/>
        <v>#N/A</v>
      </c>
      <c r="AX51" s="624"/>
      <c r="AZ51" s="524" t="e">
        <f t="shared" si="53"/>
        <v>#N/A</v>
      </c>
      <c r="BA51" s="624"/>
    </row>
    <row r="52" spans="2:53">
      <c r="B52" s="622"/>
      <c r="C52" s="321">
        <v>6</v>
      </c>
      <c r="D52" s="226"/>
      <c r="E52" s="182"/>
      <c r="F52" s="514"/>
      <c r="G52" s="515"/>
      <c r="H52" s="664"/>
      <c r="I52" s="516" t="str">
        <f t="shared" si="38"/>
        <v>-</v>
      </c>
      <c r="J52" s="516" t="str">
        <f t="shared" si="39"/>
        <v>-</v>
      </c>
      <c r="K52" s="200" t="str">
        <f t="shared" si="40"/>
        <v>-</v>
      </c>
      <c r="L52" s="596"/>
      <c r="M52" s="201" t="e">
        <f>RANK(K52, K$47:$K$61)</f>
        <v>#VALUE!</v>
      </c>
      <c r="N52" s="614"/>
      <c r="O52" s="614"/>
      <c r="P52" s="514"/>
      <c r="Q52" s="514"/>
      <c r="R52" s="514"/>
      <c r="S52" s="514" t="e">
        <f t="shared" si="55"/>
        <v>#N/A</v>
      </c>
      <c r="T52" s="624"/>
      <c r="U52" s="514"/>
      <c r="V52" s="514"/>
      <c r="W52" s="514"/>
      <c r="X52" s="514" t="e">
        <f t="shared" si="41"/>
        <v>#N/A</v>
      </c>
      <c r="Y52" s="624"/>
      <c r="Z52" s="514"/>
      <c r="AA52" s="514"/>
      <c r="AB52" s="514"/>
      <c r="AC52" s="514" t="e">
        <f t="shared" si="43"/>
        <v>#N/A</v>
      </c>
      <c r="AD52" s="624"/>
      <c r="AE52" s="514"/>
      <c r="AF52" s="514"/>
      <c r="AG52" s="514"/>
      <c r="AH52" s="514" t="e">
        <f t="shared" si="45"/>
        <v>#N/A</v>
      </c>
      <c r="AI52" s="624"/>
      <c r="AJ52" s="514"/>
      <c r="AK52" s="514"/>
      <c r="AL52" s="514"/>
      <c r="AM52" s="514" t="e">
        <f t="shared" si="47"/>
        <v>#N/A</v>
      </c>
      <c r="AN52" s="624"/>
      <c r="AO52" s="514"/>
      <c r="AP52" s="514"/>
      <c r="AQ52" s="514"/>
      <c r="AR52" s="514" t="e">
        <f t="shared" si="49"/>
        <v>#N/A</v>
      </c>
      <c r="AS52" s="624"/>
      <c r="AT52" s="514"/>
      <c r="AU52" s="514"/>
      <c r="AV52" s="514"/>
      <c r="AW52" s="514" t="e">
        <f t="shared" si="51"/>
        <v>#N/A</v>
      </c>
      <c r="AX52" s="624"/>
      <c r="AZ52" s="524" t="e">
        <f t="shared" si="53"/>
        <v>#N/A</v>
      </c>
      <c r="BA52" s="624"/>
    </row>
    <row r="53" spans="2:53">
      <c r="B53" s="622"/>
      <c r="C53" s="321">
        <v>7</v>
      </c>
      <c r="D53" s="226"/>
      <c r="E53" s="182"/>
      <c r="F53" s="514"/>
      <c r="G53" s="515"/>
      <c r="H53" s="664"/>
      <c r="I53" s="516" t="str">
        <f t="shared" si="38"/>
        <v>-</v>
      </c>
      <c r="J53" s="516" t="str">
        <f t="shared" si="39"/>
        <v>-</v>
      </c>
      <c r="K53" s="200" t="str">
        <f t="shared" si="40"/>
        <v>-</v>
      </c>
      <c r="L53" s="596"/>
      <c r="M53" s="201" t="e">
        <f>RANK(K53, K$47:$K$61)</f>
        <v>#VALUE!</v>
      </c>
      <c r="N53" s="614"/>
      <c r="O53" s="614"/>
      <c r="P53" s="514"/>
      <c r="Q53" s="514"/>
      <c r="R53" s="514"/>
      <c r="S53" s="514" t="e">
        <f t="shared" si="55"/>
        <v>#N/A</v>
      </c>
      <c r="T53" s="624"/>
      <c r="U53" s="514"/>
      <c r="V53" s="514"/>
      <c r="W53" s="514"/>
      <c r="X53" s="514" t="e">
        <f t="shared" si="41"/>
        <v>#N/A</v>
      </c>
      <c r="Y53" s="624"/>
      <c r="Z53" s="514"/>
      <c r="AA53" s="514"/>
      <c r="AB53" s="514"/>
      <c r="AC53" s="514" t="e">
        <f t="shared" si="43"/>
        <v>#N/A</v>
      </c>
      <c r="AD53" s="624"/>
      <c r="AE53" s="514"/>
      <c r="AF53" s="514"/>
      <c r="AG53" s="514"/>
      <c r="AH53" s="514" t="e">
        <f t="shared" si="45"/>
        <v>#N/A</v>
      </c>
      <c r="AI53" s="624"/>
      <c r="AJ53" s="514"/>
      <c r="AK53" s="514"/>
      <c r="AL53" s="514"/>
      <c r="AM53" s="514" t="e">
        <f t="shared" si="47"/>
        <v>#N/A</v>
      </c>
      <c r="AN53" s="624"/>
      <c r="AO53" s="514"/>
      <c r="AP53" s="514"/>
      <c r="AQ53" s="514"/>
      <c r="AR53" s="514" t="e">
        <f t="shared" si="49"/>
        <v>#N/A</v>
      </c>
      <c r="AS53" s="624"/>
      <c r="AT53" s="514"/>
      <c r="AU53" s="514"/>
      <c r="AV53" s="514"/>
      <c r="AW53" s="514" t="e">
        <f t="shared" si="51"/>
        <v>#N/A</v>
      </c>
      <c r="AX53" s="624"/>
      <c r="AZ53" s="524" t="e">
        <f t="shared" si="53"/>
        <v>#N/A</v>
      </c>
      <c r="BA53" s="624"/>
    </row>
    <row r="54" spans="2:53">
      <c r="B54" s="622"/>
      <c r="C54" s="321">
        <v>8</v>
      </c>
      <c r="D54" s="226"/>
      <c r="E54" s="182"/>
      <c r="F54" s="514"/>
      <c r="G54" s="515"/>
      <c r="H54" s="664"/>
      <c r="I54" s="516" t="str">
        <f t="shared" si="38"/>
        <v>-</v>
      </c>
      <c r="J54" s="516" t="str">
        <f t="shared" si="39"/>
        <v>-</v>
      </c>
      <c r="K54" s="200" t="str">
        <f t="shared" si="40"/>
        <v>-</v>
      </c>
      <c r="L54" s="596"/>
      <c r="M54" s="201" t="e">
        <f>RANK(K54, K$47:$K$61)</f>
        <v>#VALUE!</v>
      </c>
      <c r="N54" s="614"/>
      <c r="O54" s="614"/>
      <c r="P54" s="514"/>
      <c r="Q54" s="514"/>
      <c r="R54" s="514"/>
      <c r="S54" s="514" t="e">
        <f t="shared" si="55"/>
        <v>#N/A</v>
      </c>
      <c r="T54" s="624"/>
      <c r="U54" s="514"/>
      <c r="V54" s="514"/>
      <c r="W54" s="514"/>
      <c r="X54" s="514" t="e">
        <f t="shared" si="41"/>
        <v>#N/A</v>
      </c>
      <c r="Y54" s="624"/>
      <c r="Z54" s="514"/>
      <c r="AA54" s="514"/>
      <c r="AB54" s="514"/>
      <c r="AC54" s="514" t="e">
        <f t="shared" si="43"/>
        <v>#N/A</v>
      </c>
      <c r="AD54" s="624"/>
      <c r="AE54" s="514"/>
      <c r="AF54" s="514"/>
      <c r="AG54" s="514"/>
      <c r="AH54" s="514" t="e">
        <f t="shared" si="45"/>
        <v>#N/A</v>
      </c>
      <c r="AI54" s="624"/>
      <c r="AJ54" s="514"/>
      <c r="AK54" s="514"/>
      <c r="AL54" s="514"/>
      <c r="AM54" s="514" t="e">
        <f t="shared" si="47"/>
        <v>#N/A</v>
      </c>
      <c r="AN54" s="624"/>
      <c r="AO54" s="514"/>
      <c r="AP54" s="514"/>
      <c r="AQ54" s="514"/>
      <c r="AR54" s="514" t="e">
        <f t="shared" si="49"/>
        <v>#N/A</v>
      </c>
      <c r="AS54" s="624"/>
      <c r="AT54" s="514"/>
      <c r="AU54" s="514"/>
      <c r="AV54" s="514"/>
      <c r="AW54" s="514" t="e">
        <f t="shared" si="51"/>
        <v>#N/A</v>
      </c>
      <c r="AX54" s="624"/>
      <c r="AZ54" s="524" t="e">
        <f t="shared" si="53"/>
        <v>#N/A</v>
      </c>
      <c r="BA54" s="624"/>
    </row>
    <row r="55" spans="2:53">
      <c r="B55" s="622"/>
      <c r="C55" s="321">
        <v>9</v>
      </c>
      <c r="D55" s="226"/>
      <c r="E55" s="182"/>
      <c r="F55" s="514"/>
      <c r="G55" s="515"/>
      <c r="H55" s="664"/>
      <c r="I55" s="516" t="str">
        <f t="shared" si="38"/>
        <v>-</v>
      </c>
      <c r="J55" s="516" t="str">
        <f t="shared" si="39"/>
        <v>-</v>
      </c>
      <c r="K55" s="200" t="str">
        <f t="shared" si="40"/>
        <v>-</v>
      </c>
      <c r="L55" s="596"/>
      <c r="M55" s="201" t="e">
        <f>RANK(K55, K$47:$K$61)</f>
        <v>#VALUE!</v>
      </c>
      <c r="N55" s="614"/>
      <c r="O55" s="614"/>
      <c r="P55" s="514"/>
      <c r="Q55" s="514"/>
      <c r="R55" s="514"/>
      <c r="S55" s="514" t="e">
        <f t="shared" si="55"/>
        <v>#N/A</v>
      </c>
      <c r="T55" s="624"/>
      <c r="U55" s="514"/>
      <c r="V55" s="514"/>
      <c r="W55" s="514"/>
      <c r="X55" s="514" t="e">
        <f t="shared" si="41"/>
        <v>#N/A</v>
      </c>
      <c r="Y55" s="624"/>
      <c r="Z55" s="514"/>
      <c r="AA55" s="514"/>
      <c r="AB55" s="514"/>
      <c r="AC55" s="514" t="e">
        <f t="shared" si="43"/>
        <v>#N/A</v>
      </c>
      <c r="AD55" s="624"/>
      <c r="AE55" s="514"/>
      <c r="AF55" s="514"/>
      <c r="AG55" s="514"/>
      <c r="AH55" s="514" t="e">
        <f t="shared" si="45"/>
        <v>#N/A</v>
      </c>
      <c r="AI55" s="624"/>
      <c r="AJ55" s="514"/>
      <c r="AK55" s="514"/>
      <c r="AL55" s="514"/>
      <c r="AM55" s="514" t="e">
        <f t="shared" si="47"/>
        <v>#N/A</v>
      </c>
      <c r="AN55" s="624"/>
      <c r="AO55" s="514"/>
      <c r="AP55" s="514"/>
      <c r="AQ55" s="514"/>
      <c r="AR55" s="514" t="e">
        <f t="shared" si="49"/>
        <v>#N/A</v>
      </c>
      <c r="AS55" s="624"/>
      <c r="AT55" s="514"/>
      <c r="AU55" s="514"/>
      <c r="AV55" s="514"/>
      <c r="AW55" s="514" t="e">
        <f t="shared" si="51"/>
        <v>#N/A</v>
      </c>
      <c r="AX55" s="624"/>
      <c r="AZ55" s="524" t="e">
        <f t="shared" si="53"/>
        <v>#N/A</v>
      </c>
      <c r="BA55" s="624"/>
    </row>
    <row r="56" spans="2:53">
      <c r="B56" s="622"/>
      <c r="C56" s="321">
        <v>10</v>
      </c>
      <c r="D56" s="226"/>
      <c r="E56" s="182"/>
      <c r="F56" s="514"/>
      <c r="G56" s="515"/>
      <c r="H56" s="664"/>
      <c r="I56" s="516" t="str">
        <f t="shared" si="38"/>
        <v>-</v>
      </c>
      <c r="J56" s="516" t="str">
        <f t="shared" si="39"/>
        <v>-</v>
      </c>
      <c r="K56" s="200" t="str">
        <f t="shared" si="40"/>
        <v>-</v>
      </c>
      <c r="L56" s="596"/>
      <c r="M56" s="201" t="e">
        <f>RANK(K56, K$47:$K$61)</f>
        <v>#VALUE!</v>
      </c>
      <c r="N56" s="614"/>
      <c r="O56" s="614"/>
      <c r="P56" s="514"/>
      <c r="Q56" s="514"/>
      <c r="R56" s="514"/>
      <c r="S56" s="514" t="e">
        <f t="shared" si="55"/>
        <v>#N/A</v>
      </c>
      <c r="T56" s="624"/>
      <c r="U56" s="514"/>
      <c r="V56" s="514"/>
      <c r="W56" s="514"/>
      <c r="X56" s="514" t="e">
        <f t="shared" si="41"/>
        <v>#N/A</v>
      </c>
      <c r="Y56" s="624"/>
      <c r="Z56" s="514"/>
      <c r="AA56" s="514"/>
      <c r="AB56" s="514"/>
      <c r="AC56" s="514" t="e">
        <f t="shared" si="43"/>
        <v>#N/A</v>
      </c>
      <c r="AD56" s="624"/>
      <c r="AE56" s="514"/>
      <c r="AF56" s="514"/>
      <c r="AG56" s="514"/>
      <c r="AH56" s="514" t="e">
        <f t="shared" si="45"/>
        <v>#N/A</v>
      </c>
      <c r="AI56" s="624"/>
      <c r="AJ56" s="514"/>
      <c r="AK56" s="514"/>
      <c r="AL56" s="514"/>
      <c r="AM56" s="514" t="e">
        <f t="shared" si="47"/>
        <v>#N/A</v>
      </c>
      <c r="AN56" s="624"/>
      <c r="AO56" s="514"/>
      <c r="AP56" s="514"/>
      <c r="AQ56" s="514"/>
      <c r="AR56" s="514" t="e">
        <f t="shared" si="49"/>
        <v>#N/A</v>
      </c>
      <c r="AS56" s="624"/>
      <c r="AT56" s="514"/>
      <c r="AU56" s="514"/>
      <c r="AV56" s="514"/>
      <c r="AW56" s="514" t="e">
        <f t="shared" si="51"/>
        <v>#N/A</v>
      </c>
      <c r="AX56" s="624"/>
      <c r="AZ56" s="524" t="e">
        <f t="shared" si="53"/>
        <v>#N/A</v>
      </c>
      <c r="BA56" s="624"/>
    </row>
    <row r="57" spans="2:53">
      <c r="B57" s="622"/>
      <c r="C57" s="321">
        <v>11</v>
      </c>
      <c r="D57" s="226"/>
      <c r="E57" s="182"/>
      <c r="F57" s="514"/>
      <c r="G57" s="515"/>
      <c r="H57" s="664"/>
      <c r="I57" s="516" t="str">
        <f t="shared" si="38"/>
        <v>-</v>
      </c>
      <c r="J57" s="516" t="str">
        <f t="shared" si="39"/>
        <v>-</v>
      </c>
      <c r="K57" s="200" t="str">
        <f t="shared" si="40"/>
        <v>-</v>
      </c>
      <c r="L57" s="596"/>
      <c r="M57" s="201" t="e">
        <f>RANK(K57, K$47:$K$61)</f>
        <v>#VALUE!</v>
      </c>
      <c r="N57" s="614"/>
      <c r="O57" s="614"/>
      <c r="P57" s="514"/>
      <c r="Q57" s="514"/>
      <c r="R57" s="514"/>
      <c r="S57" s="514" t="e">
        <f t="shared" si="55"/>
        <v>#N/A</v>
      </c>
      <c r="T57" s="624"/>
      <c r="U57" s="514"/>
      <c r="V57" s="514"/>
      <c r="W57" s="514"/>
      <c r="X57" s="514" t="e">
        <f t="shared" si="41"/>
        <v>#N/A</v>
      </c>
      <c r="Y57" s="624"/>
      <c r="Z57" s="514"/>
      <c r="AA57" s="514"/>
      <c r="AB57" s="514"/>
      <c r="AC57" s="514" t="e">
        <f t="shared" si="43"/>
        <v>#N/A</v>
      </c>
      <c r="AD57" s="624"/>
      <c r="AE57" s="514"/>
      <c r="AF57" s="514"/>
      <c r="AG57" s="514"/>
      <c r="AH57" s="514" t="e">
        <f t="shared" si="45"/>
        <v>#N/A</v>
      </c>
      <c r="AI57" s="624"/>
      <c r="AJ57" s="514"/>
      <c r="AK57" s="514"/>
      <c r="AL57" s="514"/>
      <c r="AM57" s="514" t="e">
        <f t="shared" si="47"/>
        <v>#N/A</v>
      </c>
      <c r="AN57" s="624"/>
      <c r="AO57" s="514"/>
      <c r="AP57" s="514"/>
      <c r="AQ57" s="514"/>
      <c r="AR57" s="514" t="e">
        <f t="shared" si="49"/>
        <v>#N/A</v>
      </c>
      <c r="AS57" s="624"/>
      <c r="AT57" s="514"/>
      <c r="AU57" s="514"/>
      <c r="AV57" s="514"/>
      <c r="AW57" s="514" t="e">
        <f t="shared" si="51"/>
        <v>#N/A</v>
      </c>
      <c r="AX57" s="624"/>
      <c r="AZ57" s="524" t="e">
        <f t="shared" si="53"/>
        <v>#N/A</v>
      </c>
      <c r="BA57" s="624"/>
    </row>
    <row r="58" spans="2:53">
      <c r="B58" s="622"/>
      <c r="C58" s="321">
        <v>12</v>
      </c>
      <c r="D58" s="226"/>
      <c r="E58" s="182"/>
      <c r="F58" s="514"/>
      <c r="G58" s="515"/>
      <c r="H58" s="664"/>
      <c r="I58" s="516" t="str">
        <f t="shared" si="38"/>
        <v>-</v>
      </c>
      <c r="J58" s="516" t="str">
        <f t="shared" si="39"/>
        <v>-</v>
      </c>
      <c r="K58" s="200" t="str">
        <f t="shared" si="40"/>
        <v>-</v>
      </c>
      <c r="L58" s="596"/>
      <c r="M58" s="201" t="e">
        <f>RANK(K58, K$47:$K$61)</f>
        <v>#VALUE!</v>
      </c>
      <c r="N58" s="614"/>
      <c r="O58" s="614"/>
      <c r="P58" s="514"/>
      <c r="Q58" s="514"/>
      <c r="R58" s="514"/>
      <c r="S58" s="514" t="e">
        <f t="shared" si="55"/>
        <v>#N/A</v>
      </c>
      <c r="T58" s="624"/>
      <c r="U58" s="514"/>
      <c r="V58" s="514"/>
      <c r="W58" s="514"/>
      <c r="X58" s="514" t="e">
        <f t="shared" si="41"/>
        <v>#N/A</v>
      </c>
      <c r="Y58" s="624"/>
      <c r="Z58" s="514"/>
      <c r="AA58" s="514"/>
      <c r="AB58" s="514"/>
      <c r="AC58" s="514" t="e">
        <f t="shared" si="43"/>
        <v>#N/A</v>
      </c>
      <c r="AD58" s="624"/>
      <c r="AE58" s="514"/>
      <c r="AF58" s="514"/>
      <c r="AG58" s="514"/>
      <c r="AH58" s="514" t="e">
        <f t="shared" si="45"/>
        <v>#N/A</v>
      </c>
      <c r="AI58" s="624"/>
      <c r="AJ58" s="514"/>
      <c r="AK58" s="514"/>
      <c r="AL58" s="514"/>
      <c r="AM58" s="514" t="e">
        <f t="shared" si="47"/>
        <v>#N/A</v>
      </c>
      <c r="AN58" s="624"/>
      <c r="AO58" s="514"/>
      <c r="AP58" s="514"/>
      <c r="AQ58" s="514"/>
      <c r="AR58" s="514" t="e">
        <f t="shared" si="49"/>
        <v>#N/A</v>
      </c>
      <c r="AS58" s="624"/>
      <c r="AT58" s="514"/>
      <c r="AU58" s="514"/>
      <c r="AV58" s="514"/>
      <c r="AW58" s="514" t="e">
        <f t="shared" si="51"/>
        <v>#N/A</v>
      </c>
      <c r="AX58" s="624"/>
      <c r="AZ58" s="524" t="e">
        <f t="shared" si="53"/>
        <v>#N/A</v>
      </c>
      <c r="BA58" s="624"/>
    </row>
    <row r="59" spans="2:53">
      <c r="B59" s="622"/>
      <c r="C59" s="321">
        <v>13</v>
      </c>
      <c r="D59" s="226"/>
      <c r="E59" s="182"/>
      <c r="F59" s="514"/>
      <c r="G59" s="515"/>
      <c r="H59" s="664"/>
      <c r="I59" s="516" t="str">
        <f t="shared" si="38"/>
        <v>-</v>
      </c>
      <c r="J59" s="516" t="str">
        <f t="shared" si="39"/>
        <v>-</v>
      </c>
      <c r="K59" s="200" t="str">
        <f t="shared" si="40"/>
        <v>-</v>
      </c>
      <c r="L59" s="596"/>
      <c r="M59" s="201" t="e">
        <f>RANK(K59, K$47:$K$61)</f>
        <v>#VALUE!</v>
      </c>
      <c r="N59" s="614"/>
      <c r="O59" s="614"/>
      <c r="P59" s="514"/>
      <c r="Q59" s="514"/>
      <c r="R59" s="514"/>
      <c r="S59" s="514" t="e">
        <f t="shared" si="55"/>
        <v>#N/A</v>
      </c>
      <c r="T59" s="624"/>
      <c r="U59" s="514"/>
      <c r="V59" s="514"/>
      <c r="W59" s="514"/>
      <c r="X59" s="514" t="e">
        <f t="shared" si="41"/>
        <v>#N/A</v>
      </c>
      <c r="Y59" s="624"/>
      <c r="Z59" s="514"/>
      <c r="AA59" s="514"/>
      <c r="AB59" s="514"/>
      <c r="AC59" s="514" t="e">
        <f t="shared" si="43"/>
        <v>#N/A</v>
      </c>
      <c r="AD59" s="624"/>
      <c r="AE59" s="514"/>
      <c r="AF59" s="514"/>
      <c r="AG59" s="514"/>
      <c r="AH59" s="514" t="e">
        <f t="shared" si="45"/>
        <v>#N/A</v>
      </c>
      <c r="AI59" s="624"/>
      <c r="AJ59" s="514"/>
      <c r="AK59" s="514"/>
      <c r="AL59" s="514"/>
      <c r="AM59" s="514" t="e">
        <f t="shared" si="47"/>
        <v>#N/A</v>
      </c>
      <c r="AN59" s="624"/>
      <c r="AO59" s="514"/>
      <c r="AP59" s="514"/>
      <c r="AQ59" s="514"/>
      <c r="AR59" s="514" t="e">
        <f t="shared" si="49"/>
        <v>#N/A</v>
      </c>
      <c r="AS59" s="624"/>
      <c r="AT59" s="514"/>
      <c r="AU59" s="514"/>
      <c r="AV59" s="514"/>
      <c r="AW59" s="514" t="e">
        <f t="shared" si="51"/>
        <v>#N/A</v>
      </c>
      <c r="AX59" s="624"/>
      <c r="AZ59" s="524" t="e">
        <f t="shared" si="53"/>
        <v>#N/A</v>
      </c>
      <c r="BA59" s="624"/>
    </row>
    <row r="60" spans="2:53">
      <c r="B60" s="622"/>
      <c r="C60" s="321">
        <v>14</v>
      </c>
      <c r="D60" s="226"/>
      <c r="E60" s="182"/>
      <c r="F60" s="514"/>
      <c r="G60" s="515"/>
      <c r="H60" s="664"/>
      <c r="I60" s="516" t="str">
        <f t="shared" si="38"/>
        <v>-</v>
      </c>
      <c r="J60" s="516" t="str">
        <f t="shared" si="39"/>
        <v>-</v>
      </c>
      <c r="K60" s="200" t="str">
        <f t="shared" si="40"/>
        <v>-</v>
      </c>
      <c r="L60" s="596"/>
      <c r="M60" s="201" t="e">
        <f>RANK(K60, K$47:$K$61)</f>
        <v>#VALUE!</v>
      </c>
      <c r="N60" s="614"/>
      <c r="O60" s="614"/>
      <c r="P60" s="514"/>
      <c r="Q60" s="514"/>
      <c r="R60" s="514"/>
      <c r="S60" s="514" t="e">
        <f t="shared" si="55"/>
        <v>#N/A</v>
      </c>
      <c r="T60" s="624"/>
      <c r="U60" s="514"/>
      <c r="V60" s="514"/>
      <c r="W60" s="514"/>
      <c r="X60" s="514" t="e">
        <f t="shared" si="41"/>
        <v>#N/A</v>
      </c>
      <c r="Y60" s="624"/>
      <c r="Z60" s="514"/>
      <c r="AA60" s="514"/>
      <c r="AB60" s="514"/>
      <c r="AC60" s="514" t="e">
        <f t="shared" si="43"/>
        <v>#N/A</v>
      </c>
      <c r="AD60" s="624"/>
      <c r="AE60" s="514"/>
      <c r="AF60" s="514"/>
      <c r="AG60" s="514"/>
      <c r="AH60" s="514" t="e">
        <f t="shared" si="45"/>
        <v>#N/A</v>
      </c>
      <c r="AI60" s="624"/>
      <c r="AJ60" s="514"/>
      <c r="AK60" s="514"/>
      <c r="AL60" s="514"/>
      <c r="AM60" s="514" t="e">
        <f t="shared" si="47"/>
        <v>#N/A</v>
      </c>
      <c r="AN60" s="624"/>
      <c r="AO60" s="514"/>
      <c r="AP60" s="514"/>
      <c r="AQ60" s="514"/>
      <c r="AR60" s="514" t="e">
        <f t="shared" si="49"/>
        <v>#N/A</v>
      </c>
      <c r="AS60" s="624"/>
      <c r="AT60" s="514"/>
      <c r="AU60" s="514"/>
      <c r="AV60" s="514"/>
      <c r="AW60" s="514" t="e">
        <f t="shared" si="51"/>
        <v>#N/A</v>
      </c>
      <c r="AX60" s="624"/>
      <c r="AZ60" s="524" t="e">
        <f t="shared" si="53"/>
        <v>#N/A</v>
      </c>
      <c r="BA60" s="624"/>
    </row>
    <row r="61" spans="2:53">
      <c r="B61" s="622"/>
      <c r="C61" s="321">
        <v>15</v>
      </c>
      <c r="D61" s="226"/>
      <c r="E61" s="182"/>
      <c r="F61" s="514"/>
      <c r="G61" s="515"/>
      <c r="H61" s="665"/>
      <c r="I61" s="202"/>
      <c r="J61" s="202"/>
      <c r="K61" s="202"/>
      <c r="L61" s="597"/>
      <c r="M61" s="201" t="e">
        <f>RANK(K61, K$47:$K$61)</f>
        <v>#N/A</v>
      </c>
      <c r="N61" s="614"/>
      <c r="O61" s="614"/>
      <c r="P61" s="514"/>
      <c r="Q61" s="514"/>
      <c r="R61" s="514"/>
      <c r="S61" s="514" t="e">
        <f t="shared" si="55"/>
        <v>#N/A</v>
      </c>
      <c r="T61" s="625"/>
      <c r="U61" s="514"/>
      <c r="V61" s="514"/>
      <c r="W61" s="514"/>
      <c r="X61" s="514" t="e">
        <f t="shared" si="41"/>
        <v>#N/A</v>
      </c>
      <c r="Y61" s="625"/>
      <c r="Z61" s="514"/>
      <c r="AA61" s="514"/>
      <c r="AB61" s="514"/>
      <c r="AC61" s="514" t="e">
        <f t="shared" si="43"/>
        <v>#N/A</v>
      </c>
      <c r="AD61" s="625"/>
      <c r="AE61" s="514"/>
      <c r="AF61" s="514"/>
      <c r="AG61" s="514"/>
      <c r="AH61" s="514" t="e">
        <f t="shared" si="45"/>
        <v>#N/A</v>
      </c>
      <c r="AI61" s="625"/>
      <c r="AJ61" s="514"/>
      <c r="AK61" s="514"/>
      <c r="AL61" s="514"/>
      <c r="AM61" s="514" t="e">
        <f t="shared" si="47"/>
        <v>#N/A</v>
      </c>
      <c r="AN61" s="625"/>
      <c r="AO61" s="514"/>
      <c r="AP61" s="514"/>
      <c r="AQ61" s="514"/>
      <c r="AR61" s="514" t="e">
        <f t="shared" si="49"/>
        <v>#N/A</v>
      </c>
      <c r="AS61" s="625"/>
      <c r="AT61" s="514"/>
      <c r="AU61" s="514"/>
      <c r="AV61" s="514"/>
      <c r="AW61" s="514" t="e">
        <f t="shared" si="51"/>
        <v>#N/A</v>
      </c>
      <c r="AX61" s="625"/>
      <c r="AZ61" s="524" t="e">
        <f t="shared" si="53"/>
        <v>#N/A</v>
      </c>
      <c r="BA61" s="625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398</v>
      </c>
      <c r="C64" s="614" t="s">
        <v>408</v>
      </c>
      <c r="D64" s="614"/>
      <c r="E64" s="614" t="s">
        <v>399</v>
      </c>
      <c r="F64" s="614"/>
      <c r="G64" s="614"/>
      <c r="H64" s="630" t="s">
        <v>395</v>
      </c>
      <c r="I64" s="598" t="s">
        <v>400</v>
      </c>
      <c r="J64" s="598"/>
      <c r="K64" s="598"/>
      <c r="L64" s="599" t="s">
        <v>395</v>
      </c>
      <c r="M64" s="605" t="s">
        <v>396</v>
      </c>
      <c r="N64" s="614"/>
      <c r="O64" s="614" t="s">
        <v>401</v>
      </c>
      <c r="P64" s="611" t="s">
        <v>397</v>
      </c>
      <c r="Q64" s="612"/>
      <c r="R64" s="612"/>
      <c r="S64" s="613"/>
      <c r="T64" s="614" t="s">
        <v>395</v>
      </c>
      <c r="U64" s="611" t="s">
        <v>397</v>
      </c>
      <c r="V64" s="612"/>
      <c r="W64" s="612"/>
      <c r="X64" s="613"/>
      <c r="Y64" s="614" t="s">
        <v>395</v>
      </c>
      <c r="Z64" s="611" t="s">
        <v>397</v>
      </c>
      <c r="AA64" s="612"/>
      <c r="AB64" s="612"/>
      <c r="AC64" s="613"/>
      <c r="AD64" s="614" t="s">
        <v>395</v>
      </c>
      <c r="AE64" s="611" t="s">
        <v>397</v>
      </c>
      <c r="AF64" s="612"/>
      <c r="AG64" s="612"/>
      <c r="AH64" s="613"/>
      <c r="AI64" s="614" t="s">
        <v>395</v>
      </c>
      <c r="AJ64" s="611" t="s">
        <v>397</v>
      </c>
      <c r="AK64" s="612"/>
      <c r="AL64" s="612"/>
      <c r="AM64" s="613"/>
      <c r="AN64" s="614" t="s">
        <v>395</v>
      </c>
      <c r="AO64" s="611" t="s">
        <v>397</v>
      </c>
      <c r="AP64" s="612"/>
      <c r="AQ64" s="612"/>
      <c r="AR64" s="613"/>
      <c r="AS64" s="614" t="s">
        <v>395</v>
      </c>
      <c r="AT64" s="611" t="s">
        <v>397</v>
      </c>
      <c r="AU64" s="612"/>
      <c r="AV64" s="612"/>
      <c r="AW64" s="613"/>
      <c r="AX64" s="614" t="s">
        <v>395</v>
      </c>
      <c r="BA64" s="614" t="s">
        <v>395</v>
      </c>
    </row>
    <row r="65" spans="2:53">
      <c r="B65" s="614"/>
      <c r="C65" s="614"/>
      <c r="D65" s="614"/>
      <c r="E65" s="614" t="s">
        <v>402</v>
      </c>
      <c r="F65" s="614"/>
      <c r="G65" s="614"/>
      <c r="H65" s="631"/>
      <c r="I65" s="598" t="s">
        <v>402</v>
      </c>
      <c r="J65" s="598"/>
      <c r="K65" s="598"/>
      <c r="L65" s="600"/>
      <c r="M65" s="606"/>
      <c r="N65" s="614"/>
      <c r="O65" s="614"/>
      <c r="P65" s="611" t="s">
        <v>403</v>
      </c>
      <c r="Q65" s="612"/>
      <c r="R65" s="612"/>
      <c r="S65" s="613"/>
      <c r="T65" s="614"/>
      <c r="U65" s="611" t="s">
        <v>403</v>
      </c>
      <c r="V65" s="612"/>
      <c r="W65" s="612"/>
      <c r="X65" s="613"/>
      <c r="Y65" s="614"/>
      <c r="Z65" s="611" t="s">
        <v>403</v>
      </c>
      <c r="AA65" s="612"/>
      <c r="AB65" s="612"/>
      <c r="AC65" s="613"/>
      <c r="AD65" s="614"/>
      <c r="AE65" s="611" t="s">
        <v>403</v>
      </c>
      <c r="AF65" s="612"/>
      <c r="AG65" s="612"/>
      <c r="AH65" s="613"/>
      <c r="AI65" s="614"/>
      <c r="AJ65" s="611" t="s">
        <v>403</v>
      </c>
      <c r="AK65" s="612"/>
      <c r="AL65" s="612"/>
      <c r="AM65" s="613"/>
      <c r="AN65" s="614"/>
      <c r="AO65" s="611" t="s">
        <v>403</v>
      </c>
      <c r="AP65" s="612"/>
      <c r="AQ65" s="612"/>
      <c r="AR65" s="613"/>
      <c r="AS65" s="614"/>
      <c r="AT65" s="611" t="s">
        <v>403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404</v>
      </c>
      <c r="F66" s="305" t="s">
        <v>405</v>
      </c>
      <c r="G66" s="305" t="s">
        <v>406</v>
      </c>
      <c r="H66" s="632"/>
      <c r="I66" s="304" t="s">
        <v>404</v>
      </c>
      <c r="J66" s="304" t="s">
        <v>405</v>
      </c>
      <c r="K66" s="304" t="s">
        <v>406</v>
      </c>
      <c r="L66" s="601"/>
      <c r="M66" s="607"/>
      <c r="N66" s="614"/>
      <c r="O66" s="614"/>
      <c r="P66" s="305" t="s">
        <v>404</v>
      </c>
      <c r="Q66" s="305" t="s">
        <v>405</v>
      </c>
      <c r="R66" s="305" t="s">
        <v>406</v>
      </c>
      <c r="S66" s="305" t="s">
        <v>396</v>
      </c>
      <c r="T66" s="614"/>
      <c r="U66" s="305" t="s">
        <v>404</v>
      </c>
      <c r="V66" s="305" t="s">
        <v>405</v>
      </c>
      <c r="W66" s="305" t="s">
        <v>406</v>
      </c>
      <c r="X66" s="305" t="s">
        <v>396</v>
      </c>
      <c r="Y66" s="614"/>
      <c r="Z66" s="305" t="s">
        <v>404</v>
      </c>
      <c r="AA66" s="305" t="s">
        <v>405</v>
      </c>
      <c r="AB66" s="305" t="s">
        <v>406</v>
      </c>
      <c r="AC66" s="305" t="s">
        <v>396</v>
      </c>
      <c r="AD66" s="614"/>
      <c r="AE66" s="305" t="s">
        <v>404</v>
      </c>
      <c r="AF66" s="305" t="s">
        <v>405</v>
      </c>
      <c r="AG66" s="305" t="s">
        <v>406</v>
      </c>
      <c r="AH66" s="305" t="s">
        <v>396</v>
      </c>
      <c r="AI66" s="614"/>
      <c r="AJ66" s="305" t="s">
        <v>404</v>
      </c>
      <c r="AK66" s="305" t="s">
        <v>405</v>
      </c>
      <c r="AL66" s="305" t="s">
        <v>406</v>
      </c>
      <c r="AM66" s="305" t="s">
        <v>396</v>
      </c>
      <c r="AN66" s="614"/>
      <c r="AO66" s="305" t="s">
        <v>404</v>
      </c>
      <c r="AP66" s="305" t="s">
        <v>405</v>
      </c>
      <c r="AQ66" s="305" t="s">
        <v>406</v>
      </c>
      <c r="AR66" s="305" t="s">
        <v>396</v>
      </c>
      <c r="AS66" s="614"/>
      <c r="AT66" s="305" t="s">
        <v>404</v>
      </c>
      <c r="AU66" s="305" t="s">
        <v>405</v>
      </c>
      <c r="AV66" s="305" t="s">
        <v>406</v>
      </c>
      <c r="AW66" s="305" t="s">
        <v>396</v>
      </c>
      <c r="AX66" s="614"/>
      <c r="AZ66" s="523" t="s">
        <v>396</v>
      </c>
      <c r="BA66" s="614"/>
    </row>
    <row r="67" spans="2:53">
      <c r="B67" s="614" t="s">
        <v>409</v>
      </c>
      <c r="C67" s="306">
        <v>1</v>
      </c>
      <c r="D67" s="226"/>
      <c r="E67" s="182"/>
      <c r="F67" s="514"/>
      <c r="G67" s="515"/>
      <c r="H67" s="663" t="e">
        <f>AVERAGE(G67:G81)</f>
        <v>#DIV/0!</v>
      </c>
      <c r="I67" s="516" t="str">
        <f t="shared" ref="I67:I80" si="56">IFERROR(AVERAGE(P67,U67,Z67,AE67,AJ67,AO67,AT67),"-")</f>
        <v>-</v>
      </c>
      <c r="J67" s="516" t="str">
        <f t="shared" ref="J67:J80" si="57">IFERROR(AVERAGE(Q67,V67,AA67,AF67,AK67,AP67,AU67),"-")</f>
        <v>-</v>
      </c>
      <c r="K67" s="200" t="str">
        <f t="shared" ref="K67:K80" si="58">IFERROR(AVERAGE(R67,W67,AB67,AG67,AL67,AQ67,AV67),"-")</f>
        <v>-</v>
      </c>
      <c r="L67" s="595" t="str">
        <f>IFERROR(AVERAGE(K67:K81),"-")</f>
        <v>-</v>
      </c>
      <c r="M67" s="201" t="e">
        <f>RANK(K67, K$67:$K$81)</f>
        <v>#VALUE!</v>
      </c>
      <c r="N67" s="614"/>
      <c r="O67" s="614"/>
      <c r="P67" s="182"/>
      <c r="Q67" s="182"/>
      <c r="R67" s="515"/>
      <c r="S67" s="514" t="e">
        <f>RANK(R67, R$67:R$81)</f>
        <v>#N/A</v>
      </c>
      <c r="T67" s="623" t="e">
        <f>AVERAGE(R67:R81)</f>
        <v>#DIV/0!</v>
      </c>
      <c r="U67" s="182"/>
      <c r="V67" s="182"/>
      <c r="W67" s="515"/>
      <c r="X67" s="514" t="e">
        <f t="shared" ref="X67:X81" si="59">RANK(W67, W$67:W$81)</f>
        <v>#N/A</v>
      </c>
      <c r="Y67" s="623" t="e">
        <f t="shared" ref="Y67" si="60">AVERAGE(W67:W81)</f>
        <v>#DIV/0!</v>
      </c>
      <c r="Z67" s="182"/>
      <c r="AA67" s="182"/>
      <c r="AB67" s="515"/>
      <c r="AC67" s="514" t="e">
        <f t="shared" ref="AC67:AC81" si="61">RANK(AB67, AB$67:AB$81)</f>
        <v>#N/A</v>
      </c>
      <c r="AD67" s="623" t="e">
        <f t="shared" ref="AD67" si="62">AVERAGE(AB67:AB81)</f>
        <v>#DIV/0!</v>
      </c>
      <c r="AE67" s="182"/>
      <c r="AF67" s="182"/>
      <c r="AG67" s="515"/>
      <c r="AH67" s="514" t="e">
        <f t="shared" ref="AH67:AH81" si="63">RANK(AG67, AG$67:AG$81)</f>
        <v>#N/A</v>
      </c>
      <c r="AI67" s="623" t="e">
        <f t="shared" ref="AI67" si="64">AVERAGE(AG67:AG81)</f>
        <v>#DIV/0!</v>
      </c>
      <c r="AJ67" s="182"/>
      <c r="AK67" s="182"/>
      <c r="AL67" s="515"/>
      <c r="AM67" s="514" t="e">
        <f t="shared" ref="AM67:AM81" si="65">RANK(AL67, AL$67:AL$81)</f>
        <v>#N/A</v>
      </c>
      <c r="AN67" s="623" t="e">
        <f t="shared" ref="AN67" si="66">AVERAGE(AL67:AL81)</f>
        <v>#DIV/0!</v>
      </c>
      <c r="AO67" s="182"/>
      <c r="AP67" s="182"/>
      <c r="AQ67" s="515"/>
      <c r="AR67" s="514" t="e">
        <f t="shared" ref="AR67:AR81" si="67">RANK(AQ67, AQ$67:AQ$81)</f>
        <v>#N/A</v>
      </c>
      <c r="AS67" s="623" t="e">
        <f t="shared" ref="AS67" si="68">AVERAGE(AQ67:AQ81)</f>
        <v>#DIV/0!</v>
      </c>
      <c r="AT67" s="182"/>
      <c r="AU67" s="182"/>
      <c r="AV67" s="515"/>
      <c r="AW67" s="514" t="e">
        <f t="shared" ref="AW67:AW81" si="69">RANK(AV67, AV$67:AV$81)</f>
        <v>#N/A</v>
      </c>
      <c r="AX67" s="623" t="e">
        <f t="shared" ref="AX67" si="70">AVERAGE(AV67:AV81)</f>
        <v>#DIV/0!</v>
      </c>
      <c r="AZ67" s="524" t="e">
        <f t="shared" ref="AZ67:AZ81" si="71">RANK(AY67, AY$67:AY$81)</f>
        <v>#N/A</v>
      </c>
      <c r="BA67" s="623" t="e">
        <f t="shared" ref="BA67" si="72">AVERAGE(AY67:AY81)</f>
        <v>#DIV/0!</v>
      </c>
    </row>
    <row r="68" spans="2:53">
      <c r="B68" s="622"/>
      <c r="C68" s="306">
        <v>2</v>
      </c>
      <c r="D68" s="226"/>
      <c r="E68" s="182"/>
      <c r="F68" s="514"/>
      <c r="G68" s="515"/>
      <c r="H68" s="664"/>
      <c r="I68" s="516" t="str">
        <f t="shared" si="56"/>
        <v>-</v>
      </c>
      <c r="J68" s="516" t="str">
        <f t="shared" si="57"/>
        <v>-</v>
      </c>
      <c r="K68" s="200" t="str">
        <f t="shared" si="58"/>
        <v>-</v>
      </c>
      <c r="L68" s="596"/>
      <c r="M68" s="201" t="e">
        <f>RANK(K68, K$67:$K$81)</f>
        <v>#VALUE!</v>
      </c>
      <c r="N68" s="614"/>
      <c r="O68" s="614"/>
      <c r="P68" s="514"/>
      <c r="Q68" s="182"/>
      <c r="R68" s="515"/>
      <c r="S68" s="514" t="e">
        <f t="shared" ref="S68:S81" si="73">RANK(R68, R$67:R$81)</f>
        <v>#N/A</v>
      </c>
      <c r="T68" s="624"/>
      <c r="U68" s="514"/>
      <c r="V68" s="182"/>
      <c r="W68" s="515"/>
      <c r="X68" s="514" t="e">
        <f t="shared" si="59"/>
        <v>#N/A</v>
      </c>
      <c r="Y68" s="624"/>
      <c r="Z68" s="514"/>
      <c r="AA68" s="182"/>
      <c r="AB68" s="515"/>
      <c r="AC68" s="514" t="e">
        <f t="shared" si="61"/>
        <v>#N/A</v>
      </c>
      <c r="AD68" s="624"/>
      <c r="AE68" s="514"/>
      <c r="AF68" s="182"/>
      <c r="AG68" s="515"/>
      <c r="AH68" s="514" t="e">
        <f t="shared" si="63"/>
        <v>#N/A</v>
      </c>
      <c r="AI68" s="624"/>
      <c r="AJ68" s="514"/>
      <c r="AK68" s="182"/>
      <c r="AL68" s="515"/>
      <c r="AM68" s="514" t="e">
        <f t="shared" si="65"/>
        <v>#N/A</v>
      </c>
      <c r="AN68" s="624"/>
      <c r="AO68" s="514"/>
      <c r="AP68" s="182"/>
      <c r="AQ68" s="515"/>
      <c r="AR68" s="514" t="e">
        <f t="shared" si="67"/>
        <v>#N/A</v>
      </c>
      <c r="AS68" s="624"/>
      <c r="AT68" s="514"/>
      <c r="AU68" s="182"/>
      <c r="AV68" s="515"/>
      <c r="AW68" s="514" t="e">
        <f t="shared" si="69"/>
        <v>#N/A</v>
      </c>
      <c r="AX68" s="624"/>
      <c r="AZ68" s="524" t="e">
        <f t="shared" si="71"/>
        <v>#N/A</v>
      </c>
      <c r="BA68" s="624"/>
    </row>
    <row r="69" spans="2:53">
      <c r="B69" s="622"/>
      <c r="C69" s="306">
        <v>3</v>
      </c>
      <c r="D69" s="226"/>
      <c r="E69" s="182"/>
      <c r="F69" s="514"/>
      <c r="G69" s="515"/>
      <c r="H69" s="664"/>
      <c r="I69" s="516" t="str">
        <f t="shared" si="56"/>
        <v>-</v>
      </c>
      <c r="J69" s="516" t="str">
        <f t="shared" si="57"/>
        <v>-</v>
      </c>
      <c r="K69" s="200" t="str">
        <f t="shared" si="58"/>
        <v>-</v>
      </c>
      <c r="L69" s="596"/>
      <c r="M69" s="201" t="e">
        <f>RANK(K69, K$67:$K$81)</f>
        <v>#VALUE!</v>
      </c>
      <c r="N69" s="614"/>
      <c r="O69" s="614"/>
      <c r="P69" s="514"/>
      <c r="Q69" s="514"/>
      <c r="R69" s="514"/>
      <c r="S69" s="514" t="e">
        <f t="shared" si="73"/>
        <v>#N/A</v>
      </c>
      <c r="T69" s="624"/>
      <c r="U69" s="514"/>
      <c r="V69" s="514"/>
      <c r="W69" s="514"/>
      <c r="X69" s="514" t="e">
        <f t="shared" si="59"/>
        <v>#N/A</v>
      </c>
      <c r="Y69" s="624"/>
      <c r="Z69" s="514"/>
      <c r="AA69" s="514"/>
      <c r="AB69" s="514"/>
      <c r="AC69" s="514" t="e">
        <f t="shared" si="61"/>
        <v>#N/A</v>
      </c>
      <c r="AD69" s="624"/>
      <c r="AE69" s="514"/>
      <c r="AF69" s="514"/>
      <c r="AG69" s="514"/>
      <c r="AH69" s="514" t="e">
        <f t="shared" si="63"/>
        <v>#N/A</v>
      </c>
      <c r="AI69" s="624"/>
      <c r="AJ69" s="514"/>
      <c r="AK69" s="514"/>
      <c r="AL69" s="514"/>
      <c r="AM69" s="514" t="e">
        <f t="shared" si="65"/>
        <v>#N/A</v>
      </c>
      <c r="AN69" s="624"/>
      <c r="AO69" s="514"/>
      <c r="AP69" s="514"/>
      <c r="AQ69" s="514"/>
      <c r="AR69" s="514" t="e">
        <f t="shared" si="67"/>
        <v>#N/A</v>
      </c>
      <c r="AS69" s="624"/>
      <c r="AT69" s="514"/>
      <c r="AU69" s="514"/>
      <c r="AV69" s="514"/>
      <c r="AW69" s="514" t="e">
        <f t="shared" si="69"/>
        <v>#N/A</v>
      </c>
      <c r="AX69" s="624"/>
      <c r="AZ69" s="524" t="e">
        <f t="shared" si="71"/>
        <v>#N/A</v>
      </c>
      <c r="BA69" s="624"/>
    </row>
    <row r="70" spans="2:53">
      <c r="B70" s="622"/>
      <c r="C70" s="306">
        <v>4</v>
      </c>
      <c r="D70" s="226"/>
      <c r="E70" s="182"/>
      <c r="F70" s="514"/>
      <c r="G70" s="515"/>
      <c r="H70" s="664"/>
      <c r="I70" s="516" t="str">
        <f t="shared" si="56"/>
        <v>-</v>
      </c>
      <c r="J70" s="516" t="str">
        <f t="shared" si="57"/>
        <v>-</v>
      </c>
      <c r="K70" s="200" t="str">
        <f t="shared" si="58"/>
        <v>-</v>
      </c>
      <c r="L70" s="596"/>
      <c r="M70" s="201" t="e">
        <f>RANK(K70, K$67:$K$81)</f>
        <v>#VALUE!</v>
      </c>
      <c r="N70" s="614"/>
      <c r="O70" s="614"/>
      <c r="P70" s="514"/>
      <c r="Q70" s="514"/>
      <c r="R70" s="514"/>
      <c r="S70" s="514" t="e">
        <f t="shared" si="73"/>
        <v>#N/A</v>
      </c>
      <c r="T70" s="624"/>
      <c r="U70" s="514"/>
      <c r="V70" s="514"/>
      <c r="W70" s="514"/>
      <c r="X70" s="514" t="e">
        <f t="shared" si="59"/>
        <v>#N/A</v>
      </c>
      <c r="Y70" s="624"/>
      <c r="Z70" s="514"/>
      <c r="AA70" s="514"/>
      <c r="AB70" s="514"/>
      <c r="AC70" s="514" t="e">
        <f t="shared" si="61"/>
        <v>#N/A</v>
      </c>
      <c r="AD70" s="624"/>
      <c r="AE70" s="514"/>
      <c r="AF70" s="514"/>
      <c r="AG70" s="514"/>
      <c r="AH70" s="514" t="e">
        <f t="shared" si="63"/>
        <v>#N/A</v>
      </c>
      <c r="AI70" s="624"/>
      <c r="AJ70" s="514"/>
      <c r="AK70" s="514"/>
      <c r="AL70" s="514"/>
      <c r="AM70" s="514" t="e">
        <f t="shared" si="65"/>
        <v>#N/A</v>
      </c>
      <c r="AN70" s="624"/>
      <c r="AO70" s="514"/>
      <c r="AP70" s="514"/>
      <c r="AQ70" s="514"/>
      <c r="AR70" s="514" t="e">
        <f t="shared" si="67"/>
        <v>#N/A</v>
      </c>
      <c r="AS70" s="624"/>
      <c r="AT70" s="514"/>
      <c r="AU70" s="514"/>
      <c r="AV70" s="514"/>
      <c r="AW70" s="514" t="e">
        <f t="shared" si="69"/>
        <v>#N/A</v>
      </c>
      <c r="AX70" s="624"/>
      <c r="AZ70" s="524" t="e">
        <f t="shared" si="71"/>
        <v>#N/A</v>
      </c>
      <c r="BA70" s="624"/>
    </row>
    <row r="71" spans="2:53">
      <c r="B71" s="622"/>
      <c r="C71" s="306">
        <v>5</v>
      </c>
      <c r="D71" s="226"/>
      <c r="E71" s="182"/>
      <c r="F71" s="514"/>
      <c r="G71" s="515"/>
      <c r="H71" s="664"/>
      <c r="I71" s="516" t="str">
        <f t="shared" si="56"/>
        <v>-</v>
      </c>
      <c r="J71" s="516" t="str">
        <f t="shared" si="57"/>
        <v>-</v>
      </c>
      <c r="K71" s="200" t="str">
        <f t="shared" si="58"/>
        <v>-</v>
      </c>
      <c r="L71" s="596"/>
      <c r="M71" s="201" t="e">
        <f>RANK(K71, K$67:$K$81)</f>
        <v>#VALUE!</v>
      </c>
      <c r="N71" s="614"/>
      <c r="O71" s="614"/>
      <c r="P71" s="514"/>
      <c r="Q71" s="514"/>
      <c r="R71" s="514"/>
      <c r="S71" s="514" t="e">
        <f t="shared" si="73"/>
        <v>#N/A</v>
      </c>
      <c r="T71" s="624"/>
      <c r="U71" s="514"/>
      <c r="V71" s="514"/>
      <c r="W71" s="514"/>
      <c r="X71" s="514" t="e">
        <f t="shared" si="59"/>
        <v>#N/A</v>
      </c>
      <c r="Y71" s="624"/>
      <c r="Z71" s="514"/>
      <c r="AA71" s="514"/>
      <c r="AB71" s="514"/>
      <c r="AC71" s="514" t="e">
        <f t="shared" si="61"/>
        <v>#N/A</v>
      </c>
      <c r="AD71" s="624"/>
      <c r="AE71" s="514"/>
      <c r="AF71" s="514"/>
      <c r="AG71" s="514"/>
      <c r="AH71" s="514" t="e">
        <f t="shared" si="63"/>
        <v>#N/A</v>
      </c>
      <c r="AI71" s="624"/>
      <c r="AJ71" s="514"/>
      <c r="AK71" s="514"/>
      <c r="AL71" s="514"/>
      <c r="AM71" s="514" t="e">
        <f t="shared" si="65"/>
        <v>#N/A</v>
      </c>
      <c r="AN71" s="624"/>
      <c r="AO71" s="514"/>
      <c r="AP71" s="514"/>
      <c r="AQ71" s="514"/>
      <c r="AR71" s="514" t="e">
        <f t="shared" si="67"/>
        <v>#N/A</v>
      </c>
      <c r="AS71" s="624"/>
      <c r="AT71" s="514"/>
      <c r="AU71" s="514"/>
      <c r="AV71" s="514"/>
      <c r="AW71" s="514" t="e">
        <f t="shared" si="69"/>
        <v>#N/A</v>
      </c>
      <c r="AX71" s="624"/>
      <c r="AZ71" s="524" t="e">
        <f t="shared" si="71"/>
        <v>#N/A</v>
      </c>
      <c r="BA71" s="624"/>
    </row>
    <row r="72" spans="2:53">
      <c r="B72" s="622"/>
      <c r="C72" s="306">
        <v>6</v>
      </c>
      <c r="D72" s="226"/>
      <c r="E72" s="182"/>
      <c r="F72" s="514"/>
      <c r="G72" s="515"/>
      <c r="H72" s="664"/>
      <c r="I72" s="516" t="str">
        <f t="shared" si="56"/>
        <v>-</v>
      </c>
      <c r="J72" s="516" t="str">
        <f t="shared" si="57"/>
        <v>-</v>
      </c>
      <c r="K72" s="200" t="str">
        <f t="shared" si="58"/>
        <v>-</v>
      </c>
      <c r="L72" s="596"/>
      <c r="M72" s="201" t="e">
        <f>RANK(K72, K$67:$K$81)</f>
        <v>#VALUE!</v>
      </c>
      <c r="N72" s="614"/>
      <c r="O72" s="614"/>
      <c r="P72" s="514"/>
      <c r="Q72" s="514"/>
      <c r="R72" s="514"/>
      <c r="S72" s="514" t="e">
        <f t="shared" si="73"/>
        <v>#N/A</v>
      </c>
      <c r="T72" s="624"/>
      <c r="U72" s="514"/>
      <c r="V72" s="514"/>
      <c r="W72" s="514"/>
      <c r="X72" s="514" t="e">
        <f t="shared" si="59"/>
        <v>#N/A</v>
      </c>
      <c r="Y72" s="624"/>
      <c r="Z72" s="514"/>
      <c r="AA72" s="514"/>
      <c r="AB72" s="514"/>
      <c r="AC72" s="514" t="e">
        <f t="shared" si="61"/>
        <v>#N/A</v>
      </c>
      <c r="AD72" s="624"/>
      <c r="AE72" s="514"/>
      <c r="AF72" s="514"/>
      <c r="AG72" s="514"/>
      <c r="AH72" s="514" t="e">
        <f t="shared" si="63"/>
        <v>#N/A</v>
      </c>
      <c r="AI72" s="624"/>
      <c r="AJ72" s="514"/>
      <c r="AK72" s="514"/>
      <c r="AL72" s="514"/>
      <c r="AM72" s="514" t="e">
        <f t="shared" si="65"/>
        <v>#N/A</v>
      </c>
      <c r="AN72" s="624"/>
      <c r="AO72" s="514"/>
      <c r="AP72" s="514"/>
      <c r="AQ72" s="514"/>
      <c r="AR72" s="514" t="e">
        <f t="shared" si="67"/>
        <v>#N/A</v>
      </c>
      <c r="AS72" s="624"/>
      <c r="AT72" s="514"/>
      <c r="AU72" s="514"/>
      <c r="AV72" s="514"/>
      <c r="AW72" s="514" t="e">
        <f t="shared" si="69"/>
        <v>#N/A</v>
      </c>
      <c r="AX72" s="624"/>
      <c r="AZ72" s="524" t="e">
        <f t="shared" si="71"/>
        <v>#N/A</v>
      </c>
      <c r="BA72" s="624"/>
    </row>
    <row r="73" spans="2:53">
      <c r="B73" s="622"/>
      <c r="C73" s="306">
        <v>7</v>
      </c>
      <c r="D73" s="226"/>
      <c r="E73" s="182"/>
      <c r="F73" s="514"/>
      <c r="G73" s="515"/>
      <c r="H73" s="664"/>
      <c r="I73" s="516" t="str">
        <f t="shared" si="56"/>
        <v>-</v>
      </c>
      <c r="J73" s="516" t="str">
        <f t="shared" si="57"/>
        <v>-</v>
      </c>
      <c r="K73" s="200" t="str">
        <f t="shared" si="58"/>
        <v>-</v>
      </c>
      <c r="L73" s="596"/>
      <c r="M73" s="201" t="e">
        <f>RANK(K73, K$67:$K$81)</f>
        <v>#VALUE!</v>
      </c>
      <c r="N73" s="614"/>
      <c r="O73" s="614"/>
      <c r="P73" s="514"/>
      <c r="Q73" s="514"/>
      <c r="R73" s="514"/>
      <c r="S73" s="514" t="e">
        <f t="shared" si="73"/>
        <v>#N/A</v>
      </c>
      <c r="T73" s="624"/>
      <c r="U73" s="514"/>
      <c r="V73" s="514"/>
      <c r="W73" s="514"/>
      <c r="X73" s="514" t="e">
        <f t="shared" si="59"/>
        <v>#N/A</v>
      </c>
      <c r="Y73" s="624"/>
      <c r="Z73" s="514"/>
      <c r="AA73" s="514"/>
      <c r="AB73" s="514"/>
      <c r="AC73" s="514" t="e">
        <f t="shared" si="61"/>
        <v>#N/A</v>
      </c>
      <c r="AD73" s="624"/>
      <c r="AE73" s="514"/>
      <c r="AF73" s="514"/>
      <c r="AG73" s="514"/>
      <c r="AH73" s="514" t="e">
        <f t="shared" si="63"/>
        <v>#N/A</v>
      </c>
      <c r="AI73" s="624"/>
      <c r="AJ73" s="514"/>
      <c r="AK73" s="514"/>
      <c r="AL73" s="514"/>
      <c r="AM73" s="514" t="e">
        <f t="shared" si="65"/>
        <v>#N/A</v>
      </c>
      <c r="AN73" s="624"/>
      <c r="AO73" s="514"/>
      <c r="AP73" s="514"/>
      <c r="AQ73" s="514"/>
      <c r="AR73" s="514" t="e">
        <f t="shared" si="67"/>
        <v>#N/A</v>
      </c>
      <c r="AS73" s="624"/>
      <c r="AT73" s="514"/>
      <c r="AU73" s="514"/>
      <c r="AV73" s="514"/>
      <c r="AW73" s="514" t="e">
        <f t="shared" si="69"/>
        <v>#N/A</v>
      </c>
      <c r="AX73" s="624"/>
      <c r="AZ73" s="524" t="e">
        <f t="shared" si="71"/>
        <v>#N/A</v>
      </c>
      <c r="BA73" s="624"/>
    </row>
    <row r="74" spans="2:53">
      <c r="B74" s="622"/>
      <c r="C74" s="306">
        <v>8</v>
      </c>
      <c r="D74" s="226"/>
      <c r="E74" s="182"/>
      <c r="F74" s="514"/>
      <c r="G74" s="515"/>
      <c r="H74" s="664"/>
      <c r="I74" s="516" t="str">
        <f t="shared" si="56"/>
        <v>-</v>
      </c>
      <c r="J74" s="516" t="str">
        <f t="shared" si="57"/>
        <v>-</v>
      </c>
      <c r="K74" s="200" t="str">
        <f t="shared" si="58"/>
        <v>-</v>
      </c>
      <c r="L74" s="596"/>
      <c r="M74" s="201" t="e">
        <f>RANK(K74, K$67:$K$81)</f>
        <v>#VALUE!</v>
      </c>
      <c r="N74" s="614"/>
      <c r="O74" s="614"/>
      <c r="P74" s="514"/>
      <c r="Q74" s="514"/>
      <c r="R74" s="514"/>
      <c r="S74" s="514" t="e">
        <f t="shared" si="73"/>
        <v>#N/A</v>
      </c>
      <c r="T74" s="624"/>
      <c r="U74" s="514"/>
      <c r="V74" s="514"/>
      <c r="W74" s="514"/>
      <c r="X74" s="514" t="e">
        <f t="shared" si="59"/>
        <v>#N/A</v>
      </c>
      <c r="Y74" s="624"/>
      <c r="Z74" s="514"/>
      <c r="AA74" s="514"/>
      <c r="AB74" s="514"/>
      <c r="AC74" s="514" t="e">
        <f t="shared" si="61"/>
        <v>#N/A</v>
      </c>
      <c r="AD74" s="624"/>
      <c r="AE74" s="514"/>
      <c r="AF74" s="514"/>
      <c r="AG74" s="514"/>
      <c r="AH74" s="514" t="e">
        <f t="shared" si="63"/>
        <v>#N/A</v>
      </c>
      <c r="AI74" s="624"/>
      <c r="AJ74" s="514"/>
      <c r="AK74" s="514"/>
      <c r="AL74" s="514"/>
      <c r="AM74" s="514" t="e">
        <f t="shared" si="65"/>
        <v>#N/A</v>
      </c>
      <c r="AN74" s="624"/>
      <c r="AO74" s="514"/>
      <c r="AP74" s="514"/>
      <c r="AQ74" s="514"/>
      <c r="AR74" s="514" t="e">
        <f t="shared" si="67"/>
        <v>#N/A</v>
      </c>
      <c r="AS74" s="624"/>
      <c r="AT74" s="514"/>
      <c r="AU74" s="514"/>
      <c r="AV74" s="514"/>
      <c r="AW74" s="514" t="e">
        <f t="shared" si="69"/>
        <v>#N/A</v>
      </c>
      <c r="AX74" s="624"/>
      <c r="AZ74" s="524" t="e">
        <f t="shared" si="71"/>
        <v>#N/A</v>
      </c>
      <c r="BA74" s="624"/>
    </row>
    <row r="75" spans="2:53">
      <c r="B75" s="622"/>
      <c r="C75" s="306">
        <v>9</v>
      </c>
      <c r="D75" s="226"/>
      <c r="E75" s="182"/>
      <c r="F75" s="514"/>
      <c r="G75" s="515"/>
      <c r="H75" s="664"/>
      <c r="I75" s="516" t="str">
        <f t="shared" si="56"/>
        <v>-</v>
      </c>
      <c r="J75" s="516" t="str">
        <f t="shared" si="57"/>
        <v>-</v>
      </c>
      <c r="K75" s="200" t="str">
        <f t="shared" si="58"/>
        <v>-</v>
      </c>
      <c r="L75" s="596"/>
      <c r="M75" s="201" t="e">
        <f>RANK(K75, K$67:$K$81)</f>
        <v>#VALUE!</v>
      </c>
      <c r="N75" s="614"/>
      <c r="O75" s="614"/>
      <c r="P75" s="514"/>
      <c r="Q75" s="514"/>
      <c r="R75" s="514"/>
      <c r="S75" s="514" t="e">
        <f t="shared" si="73"/>
        <v>#N/A</v>
      </c>
      <c r="T75" s="624"/>
      <c r="U75" s="514"/>
      <c r="V75" s="514"/>
      <c r="W75" s="514"/>
      <c r="X75" s="514" t="e">
        <f t="shared" si="59"/>
        <v>#N/A</v>
      </c>
      <c r="Y75" s="624"/>
      <c r="Z75" s="514"/>
      <c r="AA75" s="514"/>
      <c r="AB75" s="514"/>
      <c r="AC75" s="514" t="e">
        <f t="shared" si="61"/>
        <v>#N/A</v>
      </c>
      <c r="AD75" s="624"/>
      <c r="AE75" s="514"/>
      <c r="AF75" s="514"/>
      <c r="AG75" s="514"/>
      <c r="AH75" s="514" t="e">
        <f t="shared" si="63"/>
        <v>#N/A</v>
      </c>
      <c r="AI75" s="624"/>
      <c r="AJ75" s="514"/>
      <c r="AK75" s="514"/>
      <c r="AL75" s="514"/>
      <c r="AM75" s="514" t="e">
        <f t="shared" si="65"/>
        <v>#N/A</v>
      </c>
      <c r="AN75" s="624"/>
      <c r="AO75" s="514"/>
      <c r="AP75" s="514"/>
      <c r="AQ75" s="514"/>
      <c r="AR75" s="514" t="e">
        <f t="shared" si="67"/>
        <v>#N/A</v>
      </c>
      <c r="AS75" s="624"/>
      <c r="AT75" s="514"/>
      <c r="AU75" s="514"/>
      <c r="AV75" s="514"/>
      <c r="AW75" s="514" t="e">
        <f t="shared" si="69"/>
        <v>#N/A</v>
      </c>
      <c r="AX75" s="624"/>
      <c r="AZ75" s="524" t="e">
        <f t="shared" si="71"/>
        <v>#N/A</v>
      </c>
      <c r="BA75" s="624"/>
    </row>
    <row r="76" spans="2:53">
      <c r="B76" s="622"/>
      <c r="C76" s="306">
        <v>10</v>
      </c>
      <c r="D76" s="226"/>
      <c r="E76" s="182"/>
      <c r="F76" s="514"/>
      <c r="G76" s="515"/>
      <c r="H76" s="664"/>
      <c r="I76" s="516" t="str">
        <f t="shared" si="56"/>
        <v>-</v>
      </c>
      <c r="J76" s="516" t="str">
        <f t="shared" si="57"/>
        <v>-</v>
      </c>
      <c r="K76" s="200" t="str">
        <f t="shared" si="58"/>
        <v>-</v>
      </c>
      <c r="L76" s="596"/>
      <c r="M76" s="201" t="e">
        <f>RANK(K76, K$67:$K$81)</f>
        <v>#VALUE!</v>
      </c>
      <c r="N76" s="614"/>
      <c r="O76" s="614"/>
      <c r="P76" s="514"/>
      <c r="Q76" s="514"/>
      <c r="R76" s="514"/>
      <c r="S76" s="514" t="e">
        <f t="shared" si="73"/>
        <v>#N/A</v>
      </c>
      <c r="T76" s="624"/>
      <c r="U76" s="514"/>
      <c r="V76" s="514"/>
      <c r="W76" s="514"/>
      <c r="X76" s="514" t="e">
        <f t="shared" si="59"/>
        <v>#N/A</v>
      </c>
      <c r="Y76" s="624"/>
      <c r="Z76" s="514"/>
      <c r="AA76" s="514"/>
      <c r="AB76" s="514"/>
      <c r="AC76" s="514" t="e">
        <f t="shared" si="61"/>
        <v>#N/A</v>
      </c>
      <c r="AD76" s="624"/>
      <c r="AE76" s="514"/>
      <c r="AF76" s="514"/>
      <c r="AG76" s="514"/>
      <c r="AH76" s="514" t="e">
        <f t="shared" si="63"/>
        <v>#N/A</v>
      </c>
      <c r="AI76" s="624"/>
      <c r="AJ76" s="514"/>
      <c r="AK76" s="514"/>
      <c r="AL76" s="514"/>
      <c r="AM76" s="514" t="e">
        <f t="shared" si="65"/>
        <v>#N/A</v>
      </c>
      <c r="AN76" s="624"/>
      <c r="AO76" s="514"/>
      <c r="AP76" s="514"/>
      <c r="AQ76" s="514"/>
      <c r="AR76" s="514" t="e">
        <f t="shared" si="67"/>
        <v>#N/A</v>
      </c>
      <c r="AS76" s="624"/>
      <c r="AT76" s="514"/>
      <c r="AU76" s="514"/>
      <c r="AV76" s="514"/>
      <c r="AW76" s="514" t="e">
        <f t="shared" si="69"/>
        <v>#N/A</v>
      </c>
      <c r="AX76" s="624"/>
      <c r="AZ76" s="524" t="e">
        <f t="shared" si="71"/>
        <v>#N/A</v>
      </c>
      <c r="BA76" s="624"/>
    </row>
    <row r="77" spans="2:53">
      <c r="B77" s="622"/>
      <c r="C77" s="306">
        <v>11</v>
      </c>
      <c r="D77" s="226"/>
      <c r="E77" s="182"/>
      <c r="F77" s="514"/>
      <c r="G77" s="515"/>
      <c r="H77" s="664"/>
      <c r="I77" s="516" t="str">
        <f t="shared" si="56"/>
        <v>-</v>
      </c>
      <c r="J77" s="516" t="str">
        <f t="shared" si="57"/>
        <v>-</v>
      </c>
      <c r="K77" s="200" t="str">
        <f t="shared" si="58"/>
        <v>-</v>
      </c>
      <c r="L77" s="596"/>
      <c r="M77" s="201" t="e">
        <f>RANK(K77, K$67:$K$81)</f>
        <v>#VALUE!</v>
      </c>
      <c r="N77" s="614"/>
      <c r="O77" s="614"/>
      <c r="P77" s="514"/>
      <c r="Q77" s="514"/>
      <c r="R77" s="514"/>
      <c r="S77" s="514" t="e">
        <f t="shared" si="73"/>
        <v>#N/A</v>
      </c>
      <c r="T77" s="624"/>
      <c r="U77" s="514"/>
      <c r="V77" s="514"/>
      <c r="W77" s="514"/>
      <c r="X77" s="514" t="e">
        <f t="shared" si="59"/>
        <v>#N/A</v>
      </c>
      <c r="Y77" s="624"/>
      <c r="Z77" s="514"/>
      <c r="AA77" s="514"/>
      <c r="AB77" s="514"/>
      <c r="AC77" s="514" t="e">
        <f t="shared" si="61"/>
        <v>#N/A</v>
      </c>
      <c r="AD77" s="624"/>
      <c r="AE77" s="514"/>
      <c r="AF77" s="514"/>
      <c r="AG77" s="514"/>
      <c r="AH77" s="514" t="e">
        <f t="shared" si="63"/>
        <v>#N/A</v>
      </c>
      <c r="AI77" s="624"/>
      <c r="AJ77" s="514"/>
      <c r="AK77" s="514"/>
      <c r="AL77" s="514"/>
      <c r="AM77" s="514" t="e">
        <f t="shared" si="65"/>
        <v>#N/A</v>
      </c>
      <c r="AN77" s="624"/>
      <c r="AO77" s="514"/>
      <c r="AP77" s="514"/>
      <c r="AQ77" s="514"/>
      <c r="AR77" s="514" t="e">
        <f t="shared" si="67"/>
        <v>#N/A</v>
      </c>
      <c r="AS77" s="624"/>
      <c r="AT77" s="514"/>
      <c r="AU77" s="514"/>
      <c r="AV77" s="514"/>
      <c r="AW77" s="514" t="e">
        <f t="shared" si="69"/>
        <v>#N/A</v>
      </c>
      <c r="AX77" s="624"/>
      <c r="AZ77" s="524" t="e">
        <f t="shared" si="71"/>
        <v>#N/A</v>
      </c>
      <c r="BA77" s="624"/>
    </row>
    <row r="78" spans="2:53">
      <c r="B78" s="622"/>
      <c r="C78" s="306">
        <v>12</v>
      </c>
      <c r="D78" s="226"/>
      <c r="E78" s="182"/>
      <c r="F78" s="514"/>
      <c r="G78" s="515"/>
      <c r="H78" s="664"/>
      <c r="I78" s="516" t="str">
        <f t="shared" si="56"/>
        <v>-</v>
      </c>
      <c r="J78" s="516" t="str">
        <f t="shared" si="57"/>
        <v>-</v>
      </c>
      <c r="K78" s="200" t="str">
        <f t="shared" si="58"/>
        <v>-</v>
      </c>
      <c r="L78" s="596"/>
      <c r="M78" s="201" t="e">
        <f>RANK(K78, K$67:$K$81)</f>
        <v>#VALUE!</v>
      </c>
      <c r="N78" s="614"/>
      <c r="O78" s="614"/>
      <c r="P78" s="514"/>
      <c r="Q78" s="514"/>
      <c r="R78" s="514"/>
      <c r="S78" s="514" t="e">
        <f t="shared" si="73"/>
        <v>#N/A</v>
      </c>
      <c r="T78" s="624"/>
      <c r="U78" s="514"/>
      <c r="V78" s="514"/>
      <c r="W78" s="514"/>
      <c r="X78" s="514" t="e">
        <f t="shared" si="59"/>
        <v>#N/A</v>
      </c>
      <c r="Y78" s="624"/>
      <c r="Z78" s="514"/>
      <c r="AA78" s="514"/>
      <c r="AB78" s="514"/>
      <c r="AC78" s="514" t="e">
        <f t="shared" si="61"/>
        <v>#N/A</v>
      </c>
      <c r="AD78" s="624"/>
      <c r="AE78" s="514"/>
      <c r="AF78" s="514"/>
      <c r="AG78" s="514"/>
      <c r="AH78" s="514" t="e">
        <f t="shared" si="63"/>
        <v>#N/A</v>
      </c>
      <c r="AI78" s="624"/>
      <c r="AJ78" s="514"/>
      <c r="AK78" s="514"/>
      <c r="AL78" s="514"/>
      <c r="AM78" s="514" t="e">
        <f t="shared" si="65"/>
        <v>#N/A</v>
      </c>
      <c r="AN78" s="624"/>
      <c r="AO78" s="514"/>
      <c r="AP78" s="514"/>
      <c r="AQ78" s="514"/>
      <c r="AR78" s="514" t="e">
        <f t="shared" si="67"/>
        <v>#N/A</v>
      </c>
      <c r="AS78" s="624"/>
      <c r="AT78" s="514"/>
      <c r="AU78" s="514"/>
      <c r="AV78" s="514"/>
      <c r="AW78" s="514" t="e">
        <f t="shared" si="69"/>
        <v>#N/A</v>
      </c>
      <c r="AX78" s="624"/>
      <c r="AZ78" s="524" t="e">
        <f t="shared" si="71"/>
        <v>#N/A</v>
      </c>
      <c r="BA78" s="624"/>
    </row>
    <row r="79" spans="2:53">
      <c r="B79" s="622"/>
      <c r="C79" s="306">
        <v>13</v>
      </c>
      <c r="D79" s="226"/>
      <c r="E79" s="182"/>
      <c r="F79" s="514"/>
      <c r="G79" s="515"/>
      <c r="H79" s="664"/>
      <c r="I79" s="516" t="str">
        <f t="shared" si="56"/>
        <v>-</v>
      </c>
      <c r="J79" s="516" t="str">
        <f t="shared" si="57"/>
        <v>-</v>
      </c>
      <c r="K79" s="200" t="str">
        <f t="shared" si="58"/>
        <v>-</v>
      </c>
      <c r="L79" s="596"/>
      <c r="M79" s="201" t="e">
        <f>RANK(K79, K$67:$K$81)</f>
        <v>#VALUE!</v>
      </c>
      <c r="N79" s="614"/>
      <c r="O79" s="614"/>
      <c r="P79" s="514"/>
      <c r="Q79" s="514"/>
      <c r="R79" s="514"/>
      <c r="S79" s="514" t="e">
        <f t="shared" si="73"/>
        <v>#N/A</v>
      </c>
      <c r="T79" s="624"/>
      <c r="U79" s="514"/>
      <c r="V79" s="514"/>
      <c r="W79" s="514"/>
      <c r="X79" s="514" t="e">
        <f t="shared" si="59"/>
        <v>#N/A</v>
      </c>
      <c r="Y79" s="624"/>
      <c r="Z79" s="514"/>
      <c r="AA79" s="514"/>
      <c r="AB79" s="514"/>
      <c r="AC79" s="514" t="e">
        <f t="shared" si="61"/>
        <v>#N/A</v>
      </c>
      <c r="AD79" s="624"/>
      <c r="AE79" s="514"/>
      <c r="AF79" s="514"/>
      <c r="AG79" s="514"/>
      <c r="AH79" s="514" t="e">
        <f t="shared" si="63"/>
        <v>#N/A</v>
      </c>
      <c r="AI79" s="624"/>
      <c r="AJ79" s="514"/>
      <c r="AK79" s="514"/>
      <c r="AL79" s="514"/>
      <c r="AM79" s="514" t="e">
        <f t="shared" si="65"/>
        <v>#N/A</v>
      </c>
      <c r="AN79" s="624"/>
      <c r="AO79" s="514"/>
      <c r="AP79" s="514"/>
      <c r="AQ79" s="514"/>
      <c r="AR79" s="514" t="e">
        <f t="shared" si="67"/>
        <v>#N/A</v>
      </c>
      <c r="AS79" s="624"/>
      <c r="AT79" s="514"/>
      <c r="AU79" s="514"/>
      <c r="AV79" s="514"/>
      <c r="AW79" s="514" t="e">
        <f t="shared" si="69"/>
        <v>#N/A</v>
      </c>
      <c r="AX79" s="624"/>
      <c r="AZ79" s="524" t="e">
        <f t="shared" si="71"/>
        <v>#N/A</v>
      </c>
      <c r="BA79" s="624"/>
    </row>
    <row r="80" spans="2:53">
      <c r="B80" s="622"/>
      <c r="C80" s="306">
        <v>14</v>
      </c>
      <c r="D80" s="226"/>
      <c r="E80" s="182"/>
      <c r="F80" s="514"/>
      <c r="G80" s="515"/>
      <c r="H80" s="664"/>
      <c r="I80" s="516" t="str">
        <f t="shared" si="56"/>
        <v>-</v>
      </c>
      <c r="J80" s="516" t="str">
        <f t="shared" si="57"/>
        <v>-</v>
      </c>
      <c r="K80" s="200" t="str">
        <f t="shared" si="58"/>
        <v>-</v>
      </c>
      <c r="L80" s="596"/>
      <c r="M80" s="201" t="e">
        <f>RANK(K80, K$67:$K$81)</f>
        <v>#VALUE!</v>
      </c>
      <c r="N80" s="614"/>
      <c r="O80" s="614"/>
      <c r="P80" s="514"/>
      <c r="Q80" s="514"/>
      <c r="R80" s="514"/>
      <c r="S80" s="514" t="e">
        <f t="shared" si="73"/>
        <v>#N/A</v>
      </c>
      <c r="T80" s="624"/>
      <c r="U80" s="514"/>
      <c r="V80" s="514"/>
      <c r="W80" s="514"/>
      <c r="X80" s="514" t="e">
        <f t="shared" si="59"/>
        <v>#N/A</v>
      </c>
      <c r="Y80" s="624"/>
      <c r="Z80" s="514"/>
      <c r="AA80" s="514"/>
      <c r="AB80" s="514"/>
      <c r="AC80" s="514" t="e">
        <f t="shared" si="61"/>
        <v>#N/A</v>
      </c>
      <c r="AD80" s="624"/>
      <c r="AE80" s="514"/>
      <c r="AF80" s="514"/>
      <c r="AG80" s="514"/>
      <c r="AH80" s="514" t="e">
        <f t="shared" si="63"/>
        <v>#N/A</v>
      </c>
      <c r="AI80" s="624"/>
      <c r="AJ80" s="514"/>
      <c r="AK80" s="514"/>
      <c r="AL80" s="514"/>
      <c r="AM80" s="514" t="e">
        <f t="shared" si="65"/>
        <v>#N/A</v>
      </c>
      <c r="AN80" s="624"/>
      <c r="AO80" s="514"/>
      <c r="AP80" s="514"/>
      <c r="AQ80" s="514"/>
      <c r="AR80" s="514" t="e">
        <f t="shared" si="67"/>
        <v>#N/A</v>
      </c>
      <c r="AS80" s="624"/>
      <c r="AT80" s="514"/>
      <c r="AU80" s="514"/>
      <c r="AV80" s="514"/>
      <c r="AW80" s="514" t="e">
        <f t="shared" si="69"/>
        <v>#N/A</v>
      </c>
      <c r="AX80" s="624"/>
      <c r="AZ80" s="524" t="e">
        <f t="shared" si="71"/>
        <v>#N/A</v>
      </c>
      <c r="BA80" s="624"/>
    </row>
    <row r="81" spans="2:53">
      <c r="B81" s="622"/>
      <c r="C81" s="306">
        <v>15</v>
      </c>
      <c r="D81" s="226"/>
      <c r="E81" s="182"/>
      <c r="F81" s="514"/>
      <c r="G81" s="515"/>
      <c r="H81" s="665"/>
      <c r="I81" s="202"/>
      <c r="J81" s="202"/>
      <c r="K81" s="202"/>
      <c r="L81" s="597"/>
      <c r="M81" s="201" t="e">
        <f>RANK(K81, K$67:$K$81)</f>
        <v>#N/A</v>
      </c>
      <c r="N81" s="614"/>
      <c r="O81" s="614"/>
      <c r="P81" s="514"/>
      <c r="Q81" s="514"/>
      <c r="R81" s="514"/>
      <c r="S81" s="514" t="e">
        <f t="shared" si="73"/>
        <v>#N/A</v>
      </c>
      <c r="T81" s="625"/>
      <c r="U81" s="514"/>
      <c r="V81" s="514"/>
      <c r="W81" s="514"/>
      <c r="X81" s="514" t="e">
        <f t="shared" si="59"/>
        <v>#N/A</v>
      </c>
      <c r="Y81" s="625"/>
      <c r="Z81" s="514"/>
      <c r="AA81" s="514"/>
      <c r="AB81" s="514"/>
      <c r="AC81" s="514" t="e">
        <f t="shared" si="61"/>
        <v>#N/A</v>
      </c>
      <c r="AD81" s="625"/>
      <c r="AE81" s="514"/>
      <c r="AF81" s="514"/>
      <c r="AG81" s="514"/>
      <c r="AH81" s="514" t="e">
        <f t="shared" si="63"/>
        <v>#N/A</v>
      </c>
      <c r="AI81" s="625"/>
      <c r="AJ81" s="514"/>
      <c r="AK81" s="514"/>
      <c r="AL81" s="514"/>
      <c r="AM81" s="514" t="e">
        <f t="shared" si="65"/>
        <v>#N/A</v>
      </c>
      <c r="AN81" s="625"/>
      <c r="AO81" s="514"/>
      <c r="AP81" s="514"/>
      <c r="AQ81" s="514"/>
      <c r="AR81" s="514" t="e">
        <f t="shared" si="67"/>
        <v>#N/A</v>
      </c>
      <c r="AS81" s="625"/>
      <c r="AT81" s="514"/>
      <c r="AU81" s="514"/>
      <c r="AV81" s="514"/>
      <c r="AW81" s="514" t="e">
        <f t="shared" si="69"/>
        <v>#N/A</v>
      </c>
      <c r="AX81" s="625"/>
      <c r="AZ81" s="524" t="e">
        <f t="shared" si="71"/>
        <v>#N/A</v>
      </c>
      <c r="BA81" s="625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424</v>
      </c>
      <c r="C84" s="614" t="s">
        <v>425</v>
      </c>
      <c r="D84" s="614"/>
      <c r="E84" s="614" t="s">
        <v>426</v>
      </c>
      <c r="F84" s="614"/>
      <c r="G84" s="614"/>
      <c r="H84" s="630" t="s">
        <v>427</v>
      </c>
      <c r="I84" s="598" t="s">
        <v>428</v>
      </c>
      <c r="J84" s="598"/>
      <c r="K84" s="598"/>
      <c r="L84" s="599" t="s">
        <v>427</v>
      </c>
      <c r="M84" s="605" t="s">
        <v>429</v>
      </c>
      <c r="N84" s="614"/>
      <c r="O84" s="614" t="s">
        <v>430</v>
      </c>
      <c r="P84" s="611" t="s">
        <v>431</v>
      </c>
      <c r="Q84" s="612"/>
      <c r="R84" s="612"/>
      <c r="S84" s="613"/>
      <c r="T84" s="614" t="s">
        <v>427</v>
      </c>
      <c r="U84" s="611" t="s">
        <v>431</v>
      </c>
      <c r="V84" s="612"/>
      <c r="W84" s="612"/>
      <c r="X84" s="613"/>
      <c r="Y84" s="614" t="s">
        <v>427</v>
      </c>
      <c r="Z84" s="611" t="s">
        <v>431</v>
      </c>
      <c r="AA84" s="612"/>
      <c r="AB84" s="612"/>
      <c r="AC84" s="613"/>
      <c r="AD84" s="614" t="s">
        <v>427</v>
      </c>
      <c r="AE84" s="611" t="s">
        <v>431</v>
      </c>
      <c r="AF84" s="612"/>
      <c r="AG84" s="612"/>
      <c r="AH84" s="613"/>
      <c r="AI84" s="614" t="s">
        <v>427</v>
      </c>
      <c r="AJ84" s="611" t="s">
        <v>431</v>
      </c>
      <c r="AK84" s="612"/>
      <c r="AL84" s="612"/>
      <c r="AM84" s="613"/>
      <c r="AN84" s="614" t="s">
        <v>427</v>
      </c>
      <c r="AO84" s="611" t="s">
        <v>431</v>
      </c>
      <c r="AP84" s="612"/>
      <c r="AQ84" s="612"/>
      <c r="AR84" s="613"/>
      <c r="AS84" s="614" t="s">
        <v>427</v>
      </c>
      <c r="AT84" s="611" t="s">
        <v>431</v>
      </c>
      <c r="AU84" s="612"/>
      <c r="AV84" s="612"/>
      <c r="AW84" s="613"/>
      <c r="AX84" s="614" t="s">
        <v>427</v>
      </c>
      <c r="BA84" s="614" t="s">
        <v>395</v>
      </c>
    </row>
    <row r="85" spans="2:53">
      <c r="B85" s="614"/>
      <c r="C85" s="614"/>
      <c r="D85" s="614"/>
      <c r="E85" s="614" t="s">
        <v>432</v>
      </c>
      <c r="F85" s="614"/>
      <c r="G85" s="614"/>
      <c r="H85" s="631"/>
      <c r="I85" s="598" t="s">
        <v>432</v>
      </c>
      <c r="J85" s="598"/>
      <c r="K85" s="598"/>
      <c r="L85" s="600"/>
      <c r="M85" s="606"/>
      <c r="N85" s="614"/>
      <c r="O85" s="614"/>
      <c r="P85" s="611" t="s">
        <v>433</v>
      </c>
      <c r="Q85" s="612"/>
      <c r="R85" s="612"/>
      <c r="S85" s="613"/>
      <c r="T85" s="614"/>
      <c r="U85" s="611" t="s">
        <v>433</v>
      </c>
      <c r="V85" s="612"/>
      <c r="W85" s="612"/>
      <c r="X85" s="613"/>
      <c r="Y85" s="614"/>
      <c r="Z85" s="611" t="s">
        <v>433</v>
      </c>
      <c r="AA85" s="612"/>
      <c r="AB85" s="612"/>
      <c r="AC85" s="613"/>
      <c r="AD85" s="614"/>
      <c r="AE85" s="611" t="s">
        <v>433</v>
      </c>
      <c r="AF85" s="612"/>
      <c r="AG85" s="612"/>
      <c r="AH85" s="613"/>
      <c r="AI85" s="614"/>
      <c r="AJ85" s="611" t="s">
        <v>433</v>
      </c>
      <c r="AK85" s="612"/>
      <c r="AL85" s="612"/>
      <c r="AM85" s="613"/>
      <c r="AN85" s="614"/>
      <c r="AO85" s="611" t="s">
        <v>433</v>
      </c>
      <c r="AP85" s="612"/>
      <c r="AQ85" s="612"/>
      <c r="AR85" s="613"/>
      <c r="AS85" s="614"/>
      <c r="AT85" s="611" t="s">
        <v>433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299" t="s">
        <v>434</v>
      </c>
      <c r="F86" s="299" t="s">
        <v>435</v>
      </c>
      <c r="G86" s="299" t="s">
        <v>436</v>
      </c>
      <c r="H86" s="632"/>
      <c r="I86" s="300" t="s">
        <v>434</v>
      </c>
      <c r="J86" s="300" t="s">
        <v>435</v>
      </c>
      <c r="K86" s="300" t="s">
        <v>436</v>
      </c>
      <c r="L86" s="601"/>
      <c r="M86" s="607"/>
      <c r="N86" s="614"/>
      <c r="O86" s="614"/>
      <c r="P86" s="299" t="s">
        <v>434</v>
      </c>
      <c r="Q86" s="299" t="s">
        <v>435</v>
      </c>
      <c r="R86" s="299" t="s">
        <v>436</v>
      </c>
      <c r="S86" s="299" t="s">
        <v>429</v>
      </c>
      <c r="T86" s="614"/>
      <c r="U86" s="299" t="s">
        <v>434</v>
      </c>
      <c r="V86" s="299" t="s">
        <v>435</v>
      </c>
      <c r="W86" s="299" t="s">
        <v>436</v>
      </c>
      <c r="X86" s="299" t="s">
        <v>429</v>
      </c>
      <c r="Y86" s="614"/>
      <c r="Z86" s="299" t="s">
        <v>434</v>
      </c>
      <c r="AA86" s="299" t="s">
        <v>435</v>
      </c>
      <c r="AB86" s="299" t="s">
        <v>436</v>
      </c>
      <c r="AC86" s="299" t="s">
        <v>429</v>
      </c>
      <c r="AD86" s="614"/>
      <c r="AE86" s="299" t="s">
        <v>434</v>
      </c>
      <c r="AF86" s="299" t="s">
        <v>435</v>
      </c>
      <c r="AG86" s="299" t="s">
        <v>436</v>
      </c>
      <c r="AH86" s="299" t="s">
        <v>429</v>
      </c>
      <c r="AI86" s="614"/>
      <c r="AJ86" s="299" t="s">
        <v>434</v>
      </c>
      <c r="AK86" s="299" t="s">
        <v>435</v>
      </c>
      <c r="AL86" s="299" t="s">
        <v>436</v>
      </c>
      <c r="AM86" s="299" t="s">
        <v>429</v>
      </c>
      <c r="AN86" s="614"/>
      <c r="AO86" s="299" t="s">
        <v>434</v>
      </c>
      <c r="AP86" s="299" t="s">
        <v>435</v>
      </c>
      <c r="AQ86" s="299" t="s">
        <v>436</v>
      </c>
      <c r="AR86" s="299" t="s">
        <v>429</v>
      </c>
      <c r="AS86" s="614"/>
      <c r="AT86" s="299" t="s">
        <v>434</v>
      </c>
      <c r="AU86" s="299" t="s">
        <v>435</v>
      </c>
      <c r="AV86" s="299" t="s">
        <v>436</v>
      </c>
      <c r="AW86" s="299" t="s">
        <v>429</v>
      </c>
      <c r="AX86" s="614"/>
      <c r="AZ86" s="523" t="s">
        <v>396</v>
      </c>
      <c r="BA86" s="614"/>
    </row>
    <row r="87" spans="2:53">
      <c r="B87" s="614" t="s">
        <v>439</v>
      </c>
      <c r="C87" s="298">
        <v>1</v>
      </c>
      <c r="D87" s="226"/>
      <c r="E87" s="182"/>
      <c r="F87" s="423"/>
      <c r="G87" s="424"/>
      <c r="H87" s="663" t="e">
        <f>AVERAGE(G87:G101)</f>
        <v>#DIV/0!</v>
      </c>
      <c r="I87" s="516" t="str">
        <f t="shared" ref="I87:I100" si="74">IFERROR(AVERAGE(P87,U87,Z87,AE87,AJ87,AO87,AT87),"-")</f>
        <v>-</v>
      </c>
      <c r="J87" s="516" t="str">
        <f t="shared" ref="J87:J100" si="75">IFERROR(AVERAGE(Q87,V87,AA87,AF87,AK87,AP87,AU87),"-")</f>
        <v>-</v>
      </c>
      <c r="K87" s="200" t="str">
        <f t="shared" ref="K87:K100" si="76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182"/>
      <c r="Q87" s="182"/>
      <c r="R87" s="506"/>
      <c r="S87" s="298" t="e">
        <f>RANK(R87, R$87:R$101)</f>
        <v>#N/A</v>
      </c>
      <c r="T87" s="636" t="e">
        <f>AVERAGE(R87:R101)</f>
        <v>#DIV/0!</v>
      </c>
      <c r="U87" s="182"/>
      <c r="V87" s="182"/>
      <c r="W87" s="506"/>
      <c r="X87" s="487">
        <v>1</v>
      </c>
      <c r="Y87" s="636" t="e">
        <f t="shared" ref="Y87" si="77">AVERAGE(W87:W101)</f>
        <v>#DIV/0!</v>
      </c>
      <c r="Z87" s="182"/>
      <c r="AA87" s="182"/>
      <c r="AB87" s="506"/>
      <c r="AC87" s="442" t="e">
        <f t="shared" ref="AC87:AC101" si="78">RANK(AB87, AB$87:AB$101)</f>
        <v>#N/A</v>
      </c>
      <c r="AD87" s="636" t="e">
        <f t="shared" ref="AD87" si="79">AVERAGE(AB87:AB101)</f>
        <v>#DIV/0!</v>
      </c>
      <c r="AE87" s="182"/>
      <c r="AF87" s="182"/>
      <c r="AG87" s="506"/>
      <c r="AH87" s="442" t="e">
        <f t="shared" ref="AH87:AH101" si="80">RANK(AG87, AG$87:AG$101)</f>
        <v>#N/A</v>
      </c>
      <c r="AI87" s="636" t="e">
        <f t="shared" ref="AI87" si="81">AVERAGE(AG87:AG101)</f>
        <v>#DIV/0!</v>
      </c>
      <c r="AJ87" s="182"/>
      <c r="AK87" s="182"/>
      <c r="AL87" s="506"/>
      <c r="AM87" s="442" t="e">
        <f t="shared" ref="AM87:AM101" si="82">RANK(AL87, AL$87:AL$101)</f>
        <v>#N/A</v>
      </c>
      <c r="AN87" s="636" t="e">
        <f t="shared" ref="AN87" si="83">AVERAGE(AL87:AL101)</f>
        <v>#DIV/0!</v>
      </c>
      <c r="AO87" s="182"/>
      <c r="AP87" s="182"/>
      <c r="AQ87" s="506"/>
      <c r="AR87" s="442" t="e">
        <f t="shared" ref="AR87:AR101" si="84">RANK(AQ87, AQ$87:AQ$101)</f>
        <v>#N/A</v>
      </c>
      <c r="AS87" s="636" t="e">
        <f t="shared" ref="AS87" si="85">AVERAGE(AQ87:AQ101)</f>
        <v>#DIV/0!</v>
      </c>
      <c r="AT87" s="182"/>
      <c r="AU87" s="182"/>
      <c r="AV87" s="506"/>
      <c r="AW87" s="442" t="e">
        <f t="shared" ref="AW87:AW101" si="86">RANK(AV87, AV$87:AV$101)</f>
        <v>#N/A</v>
      </c>
      <c r="AX87" s="636" t="e">
        <f t="shared" ref="AX87" si="87">AVERAGE(AV87:AV101)</f>
        <v>#DIV/0!</v>
      </c>
      <c r="AZ87" s="524" t="e">
        <f t="shared" ref="AZ87:AZ101" si="88">RANK(AY87, AY$87:AY$101)</f>
        <v>#N/A</v>
      </c>
      <c r="BA87" s="636" t="e">
        <f t="shared" ref="BA87" si="89">AVERAGE(AY87:AY101)</f>
        <v>#DIV/0!</v>
      </c>
    </row>
    <row r="88" spans="2:53">
      <c r="B88" s="622"/>
      <c r="C88" s="298">
        <v>2</v>
      </c>
      <c r="D88" s="226"/>
      <c r="E88" s="182"/>
      <c r="F88" s="423"/>
      <c r="G88" s="424"/>
      <c r="H88" s="664"/>
      <c r="I88" s="516" t="str">
        <f t="shared" si="74"/>
        <v>-</v>
      </c>
      <c r="J88" s="516" t="str">
        <f t="shared" si="75"/>
        <v>-</v>
      </c>
      <c r="K88" s="200" t="str">
        <f t="shared" si="76"/>
        <v>-</v>
      </c>
      <c r="L88" s="596"/>
      <c r="M88" s="201" t="e">
        <f>RANK(K88, K$87:$K$101)</f>
        <v>#VALUE!</v>
      </c>
      <c r="N88" s="614"/>
      <c r="O88" s="614"/>
      <c r="P88" s="505"/>
      <c r="Q88" s="182"/>
      <c r="R88" s="506"/>
      <c r="S88" s="298" t="e">
        <f t="shared" ref="S88:S101" si="90">RANK(R88, R$87:R$101)</f>
        <v>#N/A</v>
      </c>
      <c r="T88" s="636"/>
      <c r="U88" s="505"/>
      <c r="V88" s="182"/>
      <c r="W88" s="506"/>
      <c r="X88" s="487">
        <v>2</v>
      </c>
      <c r="Y88" s="636"/>
      <c r="Z88" s="505"/>
      <c r="AA88" s="182"/>
      <c r="AB88" s="506"/>
      <c r="AC88" s="442" t="e">
        <f t="shared" si="78"/>
        <v>#N/A</v>
      </c>
      <c r="AD88" s="636"/>
      <c r="AE88" s="505"/>
      <c r="AF88" s="182"/>
      <c r="AG88" s="506"/>
      <c r="AH88" s="442" t="e">
        <f t="shared" si="80"/>
        <v>#N/A</v>
      </c>
      <c r="AI88" s="636"/>
      <c r="AJ88" s="505"/>
      <c r="AK88" s="182"/>
      <c r="AL88" s="506"/>
      <c r="AM88" s="442" t="e">
        <f t="shared" si="82"/>
        <v>#N/A</v>
      </c>
      <c r="AN88" s="636"/>
      <c r="AO88" s="505"/>
      <c r="AP88" s="182"/>
      <c r="AQ88" s="506"/>
      <c r="AR88" s="442" t="e">
        <f t="shared" si="84"/>
        <v>#N/A</v>
      </c>
      <c r="AS88" s="636"/>
      <c r="AT88" s="505"/>
      <c r="AU88" s="182"/>
      <c r="AV88" s="506"/>
      <c r="AW88" s="442" t="e">
        <f t="shared" si="86"/>
        <v>#N/A</v>
      </c>
      <c r="AX88" s="636"/>
      <c r="AZ88" s="524" t="e">
        <f t="shared" si="88"/>
        <v>#N/A</v>
      </c>
      <c r="BA88" s="636"/>
    </row>
    <row r="89" spans="2:53">
      <c r="B89" s="622"/>
      <c r="C89" s="298">
        <v>3</v>
      </c>
      <c r="D89" s="226"/>
      <c r="E89" s="182"/>
      <c r="F89" s="423"/>
      <c r="G89" s="424"/>
      <c r="H89" s="664"/>
      <c r="I89" s="516" t="str">
        <f t="shared" si="74"/>
        <v>-</v>
      </c>
      <c r="J89" s="516" t="str">
        <f t="shared" si="75"/>
        <v>-</v>
      </c>
      <c r="K89" s="200" t="str">
        <f t="shared" si="76"/>
        <v>-</v>
      </c>
      <c r="L89" s="596"/>
      <c r="M89" s="201" t="e">
        <f>RANK(K89, K$87:$K$101)</f>
        <v>#VALUE!</v>
      </c>
      <c r="N89" s="614"/>
      <c r="O89" s="614"/>
      <c r="P89" s="505"/>
      <c r="Q89" s="505"/>
      <c r="R89" s="505"/>
      <c r="S89" s="298" t="e">
        <f t="shared" si="90"/>
        <v>#N/A</v>
      </c>
      <c r="T89" s="636"/>
      <c r="U89" s="505"/>
      <c r="V89" s="505"/>
      <c r="W89" s="505"/>
      <c r="X89" s="442" t="e">
        <f t="shared" ref="X89:X101" si="91">RANK(W89, W$87:W$101)</f>
        <v>#N/A</v>
      </c>
      <c r="Y89" s="636"/>
      <c r="Z89" s="505"/>
      <c r="AA89" s="505"/>
      <c r="AB89" s="505"/>
      <c r="AC89" s="442" t="e">
        <f t="shared" si="78"/>
        <v>#N/A</v>
      </c>
      <c r="AD89" s="636"/>
      <c r="AE89" s="505"/>
      <c r="AF89" s="505"/>
      <c r="AG89" s="505"/>
      <c r="AH89" s="442" t="e">
        <f t="shared" si="80"/>
        <v>#N/A</v>
      </c>
      <c r="AI89" s="636"/>
      <c r="AJ89" s="505"/>
      <c r="AK89" s="505"/>
      <c r="AL89" s="505"/>
      <c r="AM89" s="442" t="e">
        <f t="shared" si="82"/>
        <v>#N/A</v>
      </c>
      <c r="AN89" s="636"/>
      <c r="AO89" s="505"/>
      <c r="AP89" s="505"/>
      <c r="AQ89" s="505"/>
      <c r="AR89" s="442" t="e">
        <f t="shared" si="84"/>
        <v>#N/A</v>
      </c>
      <c r="AS89" s="636"/>
      <c r="AT89" s="505"/>
      <c r="AU89" s="505"/>
      <c r="AV89" s="505"/>
      <c r="AW89" s="442" t="e">
        <f t="shared" si="86"/>
        <v>#N/A</v>
      </c>
      <c r="AX89" s="636"/>
      <c r="AZ89" s="524" t="e">
        <f t="shared" si="88"/>
        <v>#N/A</v>
      </c>
      <c r="BA89" s="636"/>
    </row>
    <row r="90" spans="2:53">
      <c r="B90" s="622"/>
      <c r="C90" s="298">
        <v>4</v>
      </c>
      <c r="D90" s="226"/>
      <c r="E90" s="182"/>
      <c r="F90" s="423"/>
      <c r="G90" s="424"/>
      <c r="H90" s="664"/>
      <c r="I90" s="516" t="str">
        <f t="shared" si="74"/>
        <v>-</v>
      </c>
      <c r="J90" s="516" t="str">
        <f t="shared" si="75"/>
        <v>-</v>
      </c>
      <c r="K90" s="200" t="str">
        <f t="shared" si="76"/>
        <v>-</v>
      </c>
      <c r="L90" s="596"/>
      <c r="M90" s="201" t="e">
        <f>RANK(K90, K$87:$K$101)</f>
        <v>#VALUE!</v>
      </c>
      <c r="N90" s="614"/>
      <c r="O90" s="614"/>
      <c r="P90" s="505"/>
      <c r="Q90" s="505"/>
      <c r="R90" s="505"/>
      <c r="S90" s="298" t="e">
        <f t="shared" si="90"/>
        <v>#N/A</v>
      </c>
      <c r="T90" s="636"/>
      <c r="U90" s="505"/>
      <c r="V90" s="505"/>
      <c r="W90" s="505"/>
      <c r="X90" s="442" t="e">
        <f t="shared" si="91"/>
        <v>#N/A</v>
      </c>
      <c r="Y90" s="636"/>
      <c r="Z90" s="505"/>
      <c r="AA90" s="505"/>
      <c r="AB90" s="505"/>
      <c r="AC90" s="442" t="e">
        <f t="shared" si="78"/>
        <v>#N/A</v>
      </c>
      <c r="AD90" s="636"/>
      <c r="AE90" s="505"/>
      <c r="AF90" s="505"/>
      <c r="AG90" s="505"/>
      <c r="AH90" s="442" t="e">
        <f t="shared" si="80"/>
        <v>#N/A</v>
      </c>
      <c r="AI90" s="636"/>
      <c r="AJ90" s="505"/>
      <c r="AK90" s="505"/>
      <c r="AL90" s="505"/>
      <c r="AM90" s="442" t="e">
        <f t="shared" si="82"/>
        <v>#N/A</v>
      </c>
      <c r="AN90" s="636"/>
      <c r="AO90" s="505"/>
      <c r="AP90" s="505"/>
      <c r="AQ90" s="505"/>
      <c r="AR90" s="442" t="e">
        <f t="shared" si="84"/>
        <v>#N/A</v>
      </c>
      <c r="AS90" s="636"/>
      <c r="AT90" s="505"/>
      <c r="AU90" s="505"/>
      <c r="AV90" s="505"/>
      <c r="AW90" s="442" t="e">
        <f t="shared" si="86"/>
        <v>#N/A</v>
      </c>
      <c r="AX90" s="636"/>
      <c r="AZ90" s="524" t="e">
        <f t="shared" si="88"/>
        <v>#N/A</v>
      </c>
      <c r="BA90" s="636"/>
    </row>
    <row r="91" spans="2:53">
      <c r="B91" s="622"/>
      <c r="C91" s="298">
        <v>5</v>
      </c>
      <c r="D91" s="226"/>
      <c r="E91" s="182"/>
      <c r="F91" s="423"/>
      <c r="G91" s="424"/>
      <c r="H91" s="664"/>
      <c r="I91" s="516" t="str">
        <f t="shared" si="74"/>
        <v>-</v>
      </c>
      <c r="J91" s="516" t="str">
        <f t="shared" si="75"/>
        <v>-</v>
      </c>
      <c r="K91" s="200" t="str">
        <f t="shared" si="76"/>
        <v>-</v>
      </c>
      <c r="L91" s="596"/>
      <c r="M91" s="201" t="e">
        <f>RANK(K91, K$87:$K$101)</f>
        <v>#VALUE!</v>
      </c>
      <c r="N91" s="614"/>
      <c r="O91" s="614"/>
      <c r="P91" s="505"/>
      <c r="Q91" s="505"/>
      <c r="R91" s="505"/>
      <c r="S91" s="298" t="e">
        <f t="shared" si="90"/>
        <v>#N/A</v>
      </c>
      <c r="T91" s="636"/>
      <c r="U91" s="505"/>
      <c r="V91" s="505"/>
      <c r="W91" s="505"/>
      <c r="X91" s="442" t="e">
        <f t="shared" si="91"/>
        <v>#N/A</v>
      </c>
      <c r="Y91" s="636"/>
      <c r="Z91" s="505"/>
      <c r="AA91" s="505"/>
      <c r="AB91" s="505"/>
      <c r="AC91" s="442" t="e">
        <f t="shared" si="78"/>
        <v>#N/A</v>
      </c>
      <c r="AD91" s="636"/>
      <c r="AE91" s="505"/>
      <c r="AF91" s="505"/>
      <c r="AG91" s="505"/>
      <c r="AH91" s="442" t="e">
        <f t="shared" si="80"/>
        <v>#N/A</v>
      </c>
      <c r="AI91" s="636"/>
      <c r="AJ91" s="505"/>
      <c r="AK91" s="505"/>
      <c r="AL91" s="505"/>
      <c r="AM91" s="442" t="e">
        <f t="shared" si="82"/>
        <v>#N/A</v>
      </c>
      <c r="AN91" s="636"/>
      <c r="AO91" s="505"/>
      <c r="AP91" s="505"/>
      <c r="AQ91" s="505"/>
      <c r="AR91" s="442" t="e">
        <f t="shared" si="84"/>
        <v>#N/A</v>
      </c>
      <c r="AS91" s="636"/>
      <c r="AT91" s="505"/>
      <c r="AU91" s="505"/>
      <c r="AV91" s="505"/>
      <c r="AW91" s="442" t="e">
        <f t="shared" si="86"/>
        <v>#N/A</v>
      </c>
      <c r="AX91" s="636"/>
      <c r="AZ91" s="524" t="e">
        <f t="shared" si="88"/>
        <v>#N/A</v>
      </c>
      <c r="BA91" s="636"/>
    </row>
    <row r="92" spans="2:53">
      <c r="B92" s="622"/>
      <c r="C92" s="298">
        <v>6</v>
      </c>
      <c r="D92" s="226"/>
      <c r="E92" s="182"/>
      <c r="F92" s="423"/>
      <c r="G92" s="424"/>
      <c r="H92" s="664"/>
      <c r="I92" s="516" t="str">
        <f t="shared" si="74"/>
        <v>-</v>
      </c>
      <c r="J92" s="516" t="str">
        <f t="shared" si="75"/>
        <v>-</v>
      </c>
      <c r="K92" s="200" t="str">
        <f t="shared" si="76"/>
        <v>-</v>
      </c>
      <c r="L92" s="596"/>
      <c r="M92" s="201" t="e">
        <f>RANK(K92, K$87:$K$101)</f>
        <v>#VALUE!</v>
      </c>
      <c r="N92" s="614"/>
      <c r="O92" s="614"/>
      <c r="P92" s="505"/>
      <c r="Q92" s="505"/>
      <c r="R92" s="505"/>
      <c r="S92" s="298" t="e">
        <f t="shared" si="90"/>
        <v>#N/A</v>
      </c>
      <c r="T92" s="636"/>
      <c r="U92" s="505"/>
      <c r="V92" s="505"/>
      <c r="W92" s="505"/>
      <c r="X92" s="442" t="e">
        <f t="shared" si="91"/>
        <v>#N/A</v>
      </c>
      <c r="Y92" s="636"/>
      <c r="Z92" s="505"/>
      <c r="AA92" s="505"/>
      <c r="AB92" s="505"/>
      <c r="AC92" s="442" t="e">
        <f t="shared" si="78"/>
        <v>#N/A</v>
      </c>
      <c r="AD92" s="636"/>
      <c r="AE92" s="505"/>
      <c r="AF92" s="505"/>
      <c r="AG92" s="505"/>
      <c r="AH92" s="442" t="e">
        <f t="shared" si="80"/>
        <v>#N/A</v>
      </c>
      <c r="AI92" s="636"/>
      <c r="AJ92" s="505"/>
      <c r="AK92" s="505"/>
      <c r="AL92" s="505"/>
      <c r="AM92" s="442" t="e">
        <f t="shared" si="82"/>
        <v>#N/A</v>
      </c>
      <c r="AN92" s="636"/>
      <c r="AO92" s="505"/>
      <c r="AP92" s="505"/>
      <c r="AQ92" s="505"/>
      <c r="AR92" s="442" t="e">
        <f t="shared" si="84"/>
        <v>#N/A</v>
      </c>
      <c r="AS92" s="636"/>
      <c r="AT92" s="505"/>
      <c r="AU92" s="505"/>
      <c r="AV92" s="505"/>
      <c r="AW92" s="442" t="e">
        <f t="shared" si="86"/>
        <v>#N/A</v>
      </c>
      <c r="AX92" s="636"/>
      <c r="AZ92" s="524" t="e">
        <f t="shared" si="88"/>
        <v>#N/A</v>
      </c>
      <c r="BA92" s="636"/>
    </row>
    <row r="93" spans="2:53">
      <c r="B93" s="622"/>
      <c r="C93" s="298">
        <v>7</v>
      </c>
      <c r="D93" s="226"/>
      <c r="E93" s="182"/>
      <c r="F93" s="423"/>
      <c r="G93" s="424"/>
      <c r="H93" s="664"/>
      <c r="I93" s="516" t="str">
        <f t="shared" si="74"/>
        <v>-</v>
      </c>
      <c r="J93" s="516" t="str">
        <f t="shared" si="75"/>
        <v>-</v>
      </c>
      <c r="K93" s="200" t="str">
        <f t="shared" si="76"/>
        <v>-</v>
      </c>
      <c r="L93" s="596"/>
      <c r="M93" s="201" t="e">
        <f>RANK(K93, K$87:$K$101)</f>
        <v>#VALUE!</v>
      </c>
      <c r="N93" s="614"/>
      <c r="O93" s="614"/>
      <c r="P93" s="505"/>
      <c r="Q93" s="505"/>
      <c r="R93" s="505"/>
      <c r="S93" s="298" t="e">
        <f t="shared" si="90"/>
        <v>#N/A</v>
      </c>
      <c r="T93" s="636"/>
      <c r="U93" s="505"/>
      <c r="V93" s="505"/>
      <c r="W93" s="505"/>
      <c r="X93" s="442" t="e">
        <f t="shared" si="91"/>
        <v>#N/A</v>
      </c>
      <c r="Y93" s="636"/>
      <c r="Z93" s="505"/>
      <c r="AA93" s="505"/>
      <c r="AB93" s="505"/>
      <c r="AC93" s="442" t="e">
        <f t="shared" si="78"/>
        <v>#N/A</v>
      </c>
      <c r="AD93" s="636"/>
      <c r="AE93" s="505"/>
      <c r="AF93" s="505"/>
      <c r="AG93" s="505"/>
      <c r="AH93" s="442" t="e">
        <f t="shared" si="80"/>
        <v>#N/A</v>
      </c>
      <c r="AI93" s="636"/>
      <c r="AJ93" s="505"/>
      <c r="AK93" s="505"/>
      <c r="AL93" s="505"/>
      <c r="AM93" s="442" t="e">
        <f t="shared" si="82"/>
        <v>#N/A</v>
      </c>
      <c r="AN93" s="636"/>
      <c r="AO93" s="505"/>
      <c r="AP93" s="505"/>
      <c r="AQ93" s="505"/>
      <c r="AR93" s="442" t="e">
        <f t="shared" si="84"/>
        <v>#N/A</v>
      </c>
      <c r="AS93" s="636"/>
      <c r="AT93" s="505"/>
      <c r="AU93" s="505"/>
      <c r="AV93" s="505"/>
      <c r="AW93" s="442" t="e">
        <f t="shared" si="86"/>
        <v>#N/A</v>
      </c>
      <c r="AX93" s="636"/>
      <c r="AZ93" s="524" t="e">
        <f t="shared" si="88"/>
        <v>#N/A</v>
      </c>
      <c r="BA93" s="636"/>
    </row>
    <row r="94" spans="2:53">
      <c r="B94" s="622"/>
      <c r="C94" s="298">
        <v>8</v>
      </c>
      <c r="D94" s="226"/>
      <c r="E94" s="182"/>
      <c r="F94" s="423"/>
      <c r="G94" s="424"/>
      <c r="H94" s="664"/>
      <c r="I94" s="516" t="str">
        <f t="shared" si="74"/>
        <v>-</v>
      </c>
      <c r="J94" s="516" t="str">
        <f t="shared" si="75"/>
        <v>-</v>
      </c>
      <c r="K94" s="200" t="str">
        <f t="shared" si="76"/>
        <v>-</v>
      </c>
      <c r="L94" s="596"/>
      <c r="M94" s="201" t="e">
        <f>RANK(K94, K$87:$K$101)</f>
        <v>#VALUE!</v>
      </c>
      <c r="N94" s="614"/>
      <c r="O94" s="614"/>
      <c r="P94" s="505"/>
      <c r="Q94" s="505"/>
      <c r="R94" s="505"/>
      <c r="S94" s="298" t="e">
        <f t="shared" si="90"/>
        <v>#N/A</v>
      </c>
      <c r="T94" s="636"/>
      <c r="U94" s="505"/>
      <c r="V94" s="505"/>
      <c r="W94" s="505"/>
      <c r="X94" s="442" t="e">
        <f t="shared" si="91"/>
        <v>#N/A</v>
      </c>
      <c r="Y94" s="636"/>
      <c r="Z94" s="505"/>
      <c r="AA94" s="505"/>
      <c r="AB94" s="505"/>
      <c r="AC94" s="442" t="e">
        <f t="shared" si="78"/>
        <v>#N/A</v>
      </c>
      <c r="AD94" s="636"/>
      <c r="AE94" s="505"/>
      <c r="AF94" s="505"/>
      <c r="AG94" s="505"/>
      <c r="AH94" s="442" t="e">
        <f t="shared" si="80"/>
        <v>#N/A</v>
      </c>
      <c r="AI94" s="636"/>
      <c r="AJ94" s="505"/>
      <c r="AK94" s="505"/>
      <c r="AL94" s="505"/>
      <c r="AM94" s="442" t="e">
        <f t="shared" si="82"/>
        <v>#N/A</v>
      </c>
      <c r="AN94" s="636"/>
      <c r="AO94" s="505"/>
      <c r="AP94" s="505"/>
      <c r="AQ94" s="505"/>
      <c r="AR94" s="442" t="e">
        <f t="shared" si="84"/>
        <v>#N/A</v>
      </c>
      <c r="AS94" s="636"/>
      <c r="AT94" s="505"/>
      <c r="AU94" s="505"/>
      <c r="AV94" s="505"/>
      <c r="AW94" s="442" t="e">
        <f t="shared" si="86"/>
        <v>#N/A</v>
      </c>
      <c r="AX94" s="636"/>
      <c r="AZ94" s="524" t="e">
        <f t="shared" si="88"/>
        <v>#N/A</v>
      </c>
      <c r="BA94" s="636"/>
    </row>
    <row r="95" spans="2:53">
      <c r="B95" s="622"/>
      <c r="C95" s="298">
        <v>9</v>
      </c>
      <c r="D95" s="226"/>
      <c r="E95" s="182"/>
      <c r="F95" s="423"/>
      <c r="G95" s="424"/>
      <c r="H95" s="664"/>
      <c r="I95" s="516" t="str">
        <f t="shared" si="74"/>
        <v>-</v>
      </c>
      <c r="J95" s="516" t="str">
        <f t="shared" si="75"/>
        <v>-</v>
      </c>
      <c r="K95" s="200" t="str">
        <f t="shared" si="76"/>
        <v>-</v>
      </c>
      <c r="L95" s="596"/>
      <c r="M95" s="201" t="e">
        <f>RANK(K95, K$87:$K$101)</f>
        <v>#VALUE!</v>
      </c>
      <c r="N95" s="614"/>
      <c r="O95" s="614"/>
      <c r="P95" s="505"/>
      <c r="Q95" s="505"/>
      <c r="R95" s="505"/>
      <c r="S95" s="298" t="e">
        <f t="shared" si="90"/>
        <v>#N/A</v>
      </c>
      <c r="T95" s="636"/>
      <c r="U95" s="505"/>
      <c r="V95" s="505"/>
      <c r="W95" s="505"/>
      <c r="X95" s="442" t="e">
        <f t="shared" si="91"/>
        <v>#N/A</v>
      </c>
      <c r="Y95" s="636"/>
      <c r="Z95" s="505"/>
      <c r="AA95" s="505"/>
      <c r="AB95" s="505"/>
      <c r="AC95" s="442" t="e">
        <f t="shared" si="78"/>
        <v>#N/A</v>
      </c>
      <c r="AD95" s="636"/>
      <c r="AE95" s="505"/>
      <c r="AF95" s="505"/>
      <c r="AG95" s="505"/>
      <c r="AH95" s="442" t="e">
        <f t="shared" si="80"/>
        <v>#N/A</v>
      </c>
      <c r="AI95" s="636"/>
      <c r="AJ95" s="505"/>
      <c r="AK95" s="505"/>
      <c r="AL95" s="505"/>
      <c r="AM95" s="442" t="e">
        <f t="shared" si="82"/>
        <v>#N/A</v>
      </c>
      <c r="AN95" s="636"/>
      <c r="AO95" s="505"/>
      <c r="AP95" s="505"/>
      <c r="AQ95" s="505"/>
      <c r="AR95" s="442" t="e">
        <f t="shared" si="84"/>
        <v>#N/A</v>
      </c>
      <c r="AS95" s="636"/>
      <c r="AT95" s="505"/>
      <c r="AU95" s="505"/>
      <c r="AV95" s="505"/>
      <c r="AW95" s="442" t="e">
        <f t="shared" si="86"/>
        <v>#N/A</v>
      </c>
      <c r="AX95" s="636"/>
      <c r="AZ95" s="524" t="e">
        <f t="shared" si="88"/>
        <v>#N/A</v>
      </c>
      <c r="BA95" s="636"/>
    </row>
    <row r="96" spans="2:53">
      <c r="B96" s="622"/>
      <c r="C96" s="298">
        <v>10</v>
      </c>
      <c r="D96" s="226"/>
      <c r="E96" s="182"/>
      <c r="F96" s="423"/>
      <c r="G96" s="424"/>
      <c r="H96" s="664"/>
      <c r="I96" s="516" t="str">
        <f t="shared" si="74"/>
        <v>-</v>
      </c>
      <c r="J96" s="516" t="str">
        <f t="shared" si="75"/>
        <v>-</v>
      </c>
      <c r="K96" s="200" t="str">
        <f t="shared" si="76"/>
        <v>-</v>
      </c>
      <c r="L96" s="596"/>
      <c r="M96" s="201" t="e">
        <f>RANK(K96, K$87:$K$101)</f>
        <v>#VALUE!</v>
      </c>
      <c r="N96" s="614"/>
      <c r="O96" s="614"/>
      <c r="P96" s="505"/>
      <c r="Q96" s="505"/>
      <c r="R96" s="505"/>
      <c r="S96" s="298" t="e">
        <f t="shared" si="90"/>
        <v>#N/A</v>
      </c>
      <c r="T96" s="636"/>
      <c r="U96" s="505"/>
      <c r="V96" s="505"/>
      <c r="W96" s="505"/>
      <c r="X96" s="442" t="e">
        <f t="shared" si="91"/>
        <v>#N/A</v>
      </c>
      <c r="Y96" s="636"/>
      <c r="Z96" s="505"/>
      <c r="AA96" s="505"/>
      <c r="AB96" s="505"/>
      <c r="AC96" s="442" t="e">
        <f t="shared" si="78"/>
        <v>#N/A</v>
      </c>
      <c r="AD96" s="636"/>
      <c r="AE96" s="505"/>
      <c r="AF96" s="505"/>
      <c r="AG96" s="505"/>
      <c r="AH96" s="442" t="e">
        <f t="shared" si="80"/>
        <v>#N/A</v>
      </c>
      <c r="AI96" s="636"/>
      <c r="AJ96" s="505"/>
      <c r="AK96" s="505"/>
      <c r="AL96" s="505"/>
      <c r="AM96" s="442" t="e">
        <f t="shared" si="82"/>
        <v>#N/A</v>
      </c>
      <c r="AN96" s="636"/>
      <c r="AO96" s="505"/>
      <c r="AP96" s="505"/>
      <c r="AQ96" s="505"/>
      <c r="AR96" s="442" t="e">
        <f t="shared" si="84"/>
        <v>#N/A</v>
      </c>
      <c r="AS96" s="636"/>
      <c r="AT96" s="505"/>
      <c r="AU96" s="505"/>
      <c r="AV96" s="505"/>
      <c r="AW96" s="442" t="e">
        <f t="shared" si="86"/>
        <v>#N/A</v>
      </c>
      <c r="AX96" s="636"/>
      <c r="AZ96" s="524" t="e">
        <f t="shared" si="88"/>
        <v>#N/A</v>
      </c>
      <c r="BA96" s="636"/>
    </row>
    <row r="97" spans="2:53">
      <c r="B97" s="622"/>
      <c r="C97" s="298">
        <v>11</v>
      </c>
      <c r="D97" s="226"/>
      <c r="E97" s="182"/>
      <c r="F97" s="423"/>
      <c r="G97" s="424"/>
      <c r="H97" s="664"/>
      <c r="I97" s="516" t="str">
        <f t="shared" si="74"/>
        <v>-</v>
      </c>
      <c r="J97" s="516" t="str">
        <f t="shared" si="75"/>
        <v>-</v>
      </c>
      <c r="K97" s="200" t="str">
        <f t="shared" si="76"/>
        <v>-</v>
      </c>
      <c r="L97" s="596"/>
      <c r="M97" s="201" t="e">
        <f>RANK(K97, K$87:$K$101)</f>
        <v>#VALUE!</v>
      </c>
      <c r="N97" s="614"/>
      <c r="O97" s="614"/>
      <c r="P97" s="505"/>
      <c r="Q97" s="505"/>
      <c r="R97" s="505"/>
      <c r="S97" s="298" t="e">
        <f t="shared" si="90"/>
        <v>#N/A</v>
      </c>
      <c r="T97" s="636"/>
      <c r="U97" s="505"/>
      <c r="V97" s="505"/>
      <c r="W97" s="505"/>
      <c r="X97" s="442" t="e">
        <f t="shared" si="91"/>
        <v>#N/A</v>
      </c>
      <c r="Y97" s="636"/>
      <c r="Z97" s="505"/>
      <c r="AA97" s="505"/>
      <c r="AB97" s="505"/>
      <c r="AC97" s="442" t="e">
        <f t="shared" si="78"/>
        <v>#N/A</v>
      </c>
      <c r="AD97" s="636"/>
      <c r="AE97" s="505"/>
      <c r="AF97" s="505"/>
      <c r="AG97" s="505"/>
      <c r="AH97" s="442" t="e">
        <f t="shared" si="80"/>
        <v>#N/A</v>
      </c>
      <c r="AI97" s="636"/>
      <c r="AJ97" s="505"/>
      <c r="AK97" s="505"/>
      <c r="AL97" s="505"/>
      <c r="AM97" s="442" t="e">
        <f t="shared" si="82"/>
        <v>#N/A</v>
      </c>
      <c r="AN97" s="636"/>
      <c r="AO97" s="505"/>
      <c r="AP97" s="505"/>
      <c r="AQ97" s="505"/>
      <c r="AR97" s="442" t="e">
        <f t="shared" si="84"/>
        <v>#N/A</v>
      </c>
      <c r="AS97" s="636"/>
      <c r="AT97" s="505"/>
      <c r="AU97" s="505"/>
      <c r="AV97" s="505"/>
      <c r="AW97" s="442" t="e">
        <f t="shared" si="86"/>
        <v>#N/A</v>
      </c>
      <c r="AX97" s="636"/>
      <c r="AZ97" s="524" t="e">
        <f t="shared" si="88"/>
        <v>#N/A</v>
      </c>
      <c r="BA97" s="636"/>
    </row>
    <row r="98" spans="2:53">
      <c r="B98" s="622"/>
      <c r="C98" s="298">
        <v>12</v>
      </c>
      <c r="D98" s="226"/>
      <c r="E98" s="182"/>
      <c r="F98" s="423"/>
      <c r="G98" s="424"/>
      <c r="H98" s="664"/>
      <c r="I98" s="516" t="str">
        <f t="shared" si="74"/>
        <v>-</v>
      </c>
      <c r="J98" s="516" t="str">
        <f t="shared" si="75"/>
        <v>-</v>
      </c>
      <c r="K98" s="200" t="str">
        <f t="shared" si="76"/>
        <v>-</v>
      </c>
      <c r="L98" s="596"/>
      <c r="M98" s="201" t="e">
        <f>RANK(K98, K$87:$K$101)</f>
        <v>#VALUE!</v>
      </c>
      <c r="N98" s="614"/>
      <c r="O98" s="614"/>
      <c r="P98" s="505"/>
      <c r="Q98" s="505"/>
      <c r="R98" s="505"/>
      <c r="S98" s="298" t="e">
        <f t="shared" si="90"/>
        <v>#N/A</v>
      </c>
      <c r="T98" s="636"/>
      <c r="U98" s="505"/>
      <c r="V98" s="505"/>
      <c r="W98" s="505"/>
      <c r="X98" s="442" t="e">
        <f t="shared" si="91"/>
        <v>#N/A</v>
      </c>
      <c r="Y98" s="636"/>
      <c r="Z98" s="505"/>
      <c r="AA98" s="505"/>
      <c r="AB98" s="505"/>
      <c r="AC98" s="442" t="e">
        <f t="shared" si="78"/>
        <v>#N/A</v>
      </c>
      <c r="AD98" s="636"/>
      <c r="AE98" s="505"/>
      <c r="AF98" s="505"/>
      <c r="AG98" s="505"/>
      <c r="AH98" s="442" t="e">
        <f t="shared" si="80"/>
        <v>#N/A</v>
      </c>
      <c r="AI98" s="636"/>
      <c r="AJ98" s="505"/>
      <c r="AK98" s="505"/>
      <c r="AL98" s="505"/>
      <c r="AM98" s="442" t="e">
        <f t="shared" si="82"/>
        <v>#N/A</v>
      </c>
      <c r="AN98" s="636"/>
      <c r="AO98" s="505"/>
      <c r="AP98" s="505"/>
      <c r="AQ98" s="505"/>
      <c r="AR98" s="442" t="e">
        <f t="shared" si="84"/>
        <v>#N/A</v>
      </c>
      <c r="AS98" s="636"/>
      <c r="AT98" s="505"/>
      <c r="AU98" s="505"/>
      <c r="AV98" s="505"/>
      <c r="AW98" s="442" t="e">
        <f t="shared" si="86"/>
        <v>#N/A</v>
      </c>
      <c r="AX98" s="636"/>
      <c r="AZ98" s="524" t="e">
        <f t="shared" si="88"/>
        <v>#N/A</v>
      </c>
      <c r="BA98" s="636"/>
    </row>
    <row r="99" spans="2:53">
      <c r="B99" s="622"/>
      <c r="C99" s="298">
        <v>13</v>
      </c>
      <c r="D99" s="226"/>
      <c r="E99" s="182"/>
      <c r="F99" s="423"/>
      <c r="G99" s="424"/>
      <c r="H99" s="664"/>
      <c r="I99" s="516" t="str">
        <f t="shared" si="74"/>
        <v>-</v>
      </c>
      <c r="J99" s="516" t="str">
        <f t="shared" si="75"/>
        <v>-</v>
      </c>
      <c r="K99" s="200" t="str">
        <f t="shared" si="76"/>
        <v>-</v>
      </c>
      <c r="L99" s="596"/>
      <c r="M99" s="201" t="e">
        <f>RANK(K99, K$87:$K$101)</f>
        <v>#VALUE!</v>
      </c>
      <c r="N99" s="614"/>
      <c r="O99" s="614"/>
      <c r="P99" s="505"/>
      <c r="Q99" s="505"/>
      <c r="R99" s="505"/>
      <c r="S99" s="298" t="e">
        <f t="shared" si="90"/>
        <v>#N/A</v>
      </c>
      <c r="T99" s="636"/>
      <c r="U99" s="505"/>
      <c r="V99" s="505"/>
      <c r="W99" s="505"/>
      <c r="X99" s="442" t="e">
        <f t="shared" si="91"/>
        <v>#N/A</v>
      </c>
      <c r="Y99" s="636"/>
      <c r="Z99" s="505"/>
      <c r="AA99" s="505"/>
      <c r="AB99" s="505"/>
      <c r="AC99" s="442" t="e">
        <f t="shared" si="78"/>
        <v>#N/A</v>
      </c>
      <c r="AD99" s="636"/>
      <c r="AE99" s="505"/>
      <c r="AF99" s="505"/>
      <c r="AG99" s="505"/>
      <c r="AH99" s="442" t="e">
        <f t="shared" si="80"/>
        <v>#N/A</v>
      </c>
      <c r="AI99" s="636"/>
      <c r="AJ99" s="505"/>
      <c r="AK99" s="505"/>
      <c r="AL99" s="505"/>
      <c r="AM99" s="442" t="e">
        <f t="shared" si="82"/>
        <v>#N/A</v>
      </c>
      <c r="AN99" s="636"/>
      <c r="AO99" s="505"/>
      <c r="AP99" s="505"/>
      <c r="AQ99" s="505"/>
      <c r="AR99" s="442" t="e">
        <f t="shared" si="84"/>
        <v>#N/A</v>
      </c>
      <c r="AS99" s="636"/>
      <c r="AT99" s="505"/>
      <c r="AU99" s="505"/>
      <c r="AV99" s="505"/>
      <c r="AW99" s="442" t="e">
        <f t="shared" si="86"/>
        <v>#N/A</v>
      </c>
      <c r="AX99" s="636"/>
      <c r="AZ99" s="524" t="e">
        <f t="shared" si="88"/>
        <v>#N/A</v>
      </c>
      <c r="BA99" s="636"/>
    </row>
    <row r="100" spans="2:53">
      <c r="B100" s="622"/>
      <c r="C100" s="298">
        <v>14</v>
      </c>
      <c r="D100" s="226"/>
      <c r="E100" s="182"/>
      <c r="F100" s="423"/>
      <c r="G100" s="424"/>
      <c r="H100" s="664"/>
      <c r="I100" s="516" t="str">
        <f t="shared" si="74"/>
        <v>-</v>
      </c>
      <c r="J100" s="516" t="str">
        <f t="shared" si="75"/>
        <v>-</v>
      </c>
      <c r="K100" s="200" t="str">
        <f t="shared" si="76"/>
        <v>-</v>
      </c>
      <c r="L100" s="596"/>
      <c r="M100" s="201" t="e">
        <f>RANK(K100, K$87:$K$101)</f>
        <v>#VALUE!</v>
      </c>
      <c r="N100" s="614"/>
      <c r="O100" s="614"/>
      <c r="P100" s="505"/>
      <c r="Q100" s="505"/>
      <c r="R100" s="505"/>
      <c r="S100" s="298" t="e">
        <f t="shared" si="90"/>
        <v>#N/A</v>
      </c>
      <c r="T100" s="636"/>
      <c r="U100" s="505"/>
      <c r="V100" s="505"/>
      <c r="W100" s="505"/>
      <c r="X100" s="442" t="e">
        <f t="shared" si="91"/>
        <v>#N/A</v>
      </c>
      <c r="Y100" s="636"/>
      <c r="Z100" s="505"/>
      <c r="AA100" s="505"/>
      <c r="AB100" s="505"/>
      <c r="AC100" s="442" t="e">
        <f t="shared" si="78"/>
        <v>#N/A</v>
      </c>
      <c r="AD100" s="636"/>
      <c r="AE100" s="505"/>
      <c r="AF100" s="505"/>
      <c r="AG100" s="505"/>
      <c r="AH100" s="442" t="e">
        <f t="shared" si="80"/>
        <v>#N/A</v>
      </c>
      <c r="AI100" s="636"/>
      <c r="AJ100" s="505"/>
      <c r="AK100" s="505"/>
      <c r="AL100" s="505"/>
      <c r="AM100" s="442" t="e">
        <f t="shared" si="82"/>
        <v>#N/A</v>
      </c>
      <c r="AN100" s="636"/>
      <c r="AO100" s="505"/>
      <c r="AP100" s="505"/>
      <c r="AQ100" s="505"/>
      <c r="AR100" s="442" t="e">
        <f t="shared" si="84"/>
        <v>#N/A</v>
      </c>
      <c r="AS100" s="636"/>
      <c r="AT100" s="505"/>
      <c r="AU100" s="505"/>
      <c r="AV100" s="505"/>
      <c r="AW100" s="442" t="e">
        <f t="shared" si="86"/>
        <v>#N/A</v>
      </c>
      <c r="AX100" s="636"/>
      <c r="AZ100" s="524" t="e">
        <f t="shared" si="88"/>
        <v>#N/A</v>
      </c>
      <c r="BA100" s="636"/>
    </row>
    <row r="101" spans="2:53">
      <c r="B101" s="622"/>
      <c r="C101" s="298">
        <v>15</v>
      </c>
      <c r="D101" s="226"/>
      <c r="E101" s="182"/>
      <c r="F101" s="423"/>
      <c r="G101" s="424"/>
      <c r="H101" s="665"/>
      <c r="I101" s="202"/>
      <c r="J101" s="202"/>
      <c r="K101" s="202"/>
      <c r="L101" s="597"/>
      <c r="M101" s="199" t="e">
        <f>RANK(K101, K$87:$K$101)</f>
        <v>#N/A</v>
      </c>
      <c r="N101" s="614"/>
      <c r="O101" s="614"/>
      <c r="P101" s="505"/>
      <c r="Q101" s="505"/>
      <c r="R101" s="505"/>
      <c r="S101" s="298" t="e">
        <f t="shared" si="90"/>
        <v>#N/A</v>
      </c>
      <c r="T101" s="636"/>
      <c r="U101" s="505"/>
      <c r="V101" s="505"/>
      <c r="W101" s="505"/>
      <c r="X101" s="442" t="e">
        <f t="shared" si="91"/>
        <v>#N/A</v>
      </c>
      <c r="Y101" s="636"/>
      <c r="Z101" s="505"/>
      <c r="AA101" s="505"/>
      <c r="AB101" s="505"/>
      <c r="AC101" s="442" t="e">
        <f t="shared" si="78"/>
        <v>#N/A</v>
      </c>
      <c r="AD101" s="636"/>
      <c r="AE101" s="505"/>
      <c r="AF101" s="505"/>
      <c r="AG101" s="505"/>
      <c r="AH101" s="442" t="e">
        <f t="shared" si="80"/>
        <v>#N/A</v>
      </c>
      <c r="AI101" s="636"/>
      <c r="AJ101" s="505"/>
      <c r="AK101" s="505"/>
      <c r="AL101" s="505"/>
      <c r="AM101" s="442" t="e">
        <f t="shared" si="82"/>
        <v>#N/A</v>
      </c>
      <c r="AN101" s="636"/>
      <c r="AO101" s="505"/>
      <c r="AP101" s="505"/>
      <c r="AQ101" s="505"/>
      <c r="AR101" s="442" t="e">
        <f t="shared" si="84"/>
        <v>#N/A</v>
      </c>
      <c r="AS101" s="636"/>
      <c r="AT101" s="505"/>
      <c r="AU101" s="505"/>
      <c r="AV101" s="505"/>
      <c r="AW101" s="442" t="e">
        <f t="shared" si="86"/>
        <v>#N/A</v>
      </c>
      <c r="AX101" s="636"/>
      <c r="AZ101" s="524" t="e">
        <f t="shared" si="88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154</v>
      </c>
      <c r="C104" s="614" t="s">
        <v>408</v>
      </c>
      <c r="D104" s="614"/>
      <c r="E104" s="614" t="s">
        <v>399</v>
      </c>
      <c r="F104" s="614"/>
      <c r="G104" s="614"/>
      <c r="H104" s="630" t="s">
        <v>395</v>
      </c>
      <c r="I104" s="598" t="s">
        <v>400</v>
      </c>
      <c r="J104" s="598"/>
      <c r="K104" s="598"/>
      <c r="L104" s="599" t="s">
        <v>395</v>
      </c>
      <c r="M104" s="605" t="s">
        <v>396</v>
      </c>
      <c r="N104" s="614"/>
      <c r="O104" s="614" t="s">
        <v>401</v>
      </c>
      <c r="P104" s="611" t="s">
        <v>397</v>
      </c>
      <c r="Q104" s="612"/>
      <c r="R104" s="612"/>
      <c r="S104" s="613"/>
      <c r="T104" s="614" t="s">
        <v>395</v>
      </c>
      <c r="U104" s="611" t="s">
        <v>397</v>
      </c>
      <c r="V104" s="612"/>
      <c r="W104" s="612"/>
      <c r="X104" s="613"/>
      <c r="Y104" s="614" t="s">
        <v>395</v>
      </c>
      <c r="Z104" s="611" t="s">
        <v>397</v>
      </c>
      <c r="AA104" s="612"/>
      <c r="AB104" s="612"/>
      <c r="AC104" s="613"/>
      <c r="AD104" s="614" t="s">
        <v>395</v>
      </c>
      <c r="AE104" s="611" t="s">
        <v>397</v>
      </c>
      <c r="AF104" s="612"/>
      <c r="AG104" s="612"/>
      <c r="AH104" s="613"/>
      <c r="AI104" s="614" t="s">
        <v>395</v>
      </c>
      <c r="AJ104" s="611" t="s">
        <v>397</v>
      </c>
      <c r="AK104" s="612"/>
      <c r="AL104" s="612"/>
      <c r="AM104" s="613"/>
      <c r="AN104" s="614" t="s">
        <v>395</v>
      </c>
      <c r="AO104" s="611" t="s">
        <v>397</v>
      </c>
      <c r="AP104" s="612"/>
      <c r="AQ104" s="612"/>
      <c r="AR104" s="613"/>
      <c r="AS104" s="614" t="s">
        <v>395</v>
      </c>
      <c r="AT104" s="611" t="s">
        <v>397</v>
      </c>
      <c r="AU104" s="612"/>
      <c r="AV104" s="612"/>
      <c r="AW104" s="613"/>
      <c r="AX104" s="614" t="s">
        <v>395</v>
      </c>
      <c r="BA104" s="614" t="s">
        <v>395</v>
      </c>
    </row>
    <row r="105" spans="2:53">
      <c r="B105" s="614"/>
      <c r="C105" s="614"/>
      <c r="D105" s="614"/>
      <c r="E105" s="614" t="s">
        <v>402</v>
      </c>
      <c r="F105" s="614"/>
      <c r="G105" s="614"/>
      <c r="H105" s="631"/>
      <c r="I105" s="598" t="s">
        <v>402</v>
      </c>
      <c r="J105" s="598"/>
      <c r="K105" s="598"/>
      <c r="L105" s="600"/>
      <c r="M105" s="606"/>
      <c r="N105" s="614"/>
      <c r="O105" s="614"/>
      <c r="P105" s="611" t="s">
        <v>403</v>
      </c>
      <c r="Q105" s="612"/>
      <c r="R105" s="612"/>
      <c r="S105" s="613"/>
      <c r="T105" s="614"/>
      <c r="U105" s="611" t="s">
        <v>403</v>
      </c>
      <c r="V105" s="612"/>
      <c r="W105" s="612"/>
      <c r="X105" s="613"/>
      <c r="Y105" s="614"/>
      <c r="Z105" s="611" t="s">
        <v>403</v>
      </c>
      <c r="AA105" s="612"/>
      <c r="AB105" s="612"/>
      <c r="AC105" s="613"/>
      <c r="AD105" s="614"/>
      <c r="AE105" s="611" t="s">
        <v>403</v>
      </c>
      <c r="AF105" s="612"/>
      <c r="AG105" s="612"/>
      <c r="AH105" s="613"/>
      <c r="AI105" s="614"/>
      <c r="AJ105" s="611" t="s">
        <v>403</v>
      </c>
      <c r="AK105" s="612"/>
      <c r="AL105" s="612"/>
      <c r="AM105" s="613"/>
      <c r="AN105" s="614"/>
      <c r="AO105" s="611" t="s">
        <v>403</v>
      </c>
      <c r="AP105" s="612"/>
      <c r="AQ105" s="612"/>
      <c r="AR105" s="613"/>
      <c r="AS105" s="614"/>
      <c r="AT105" s="611" t="s">
        <v>403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335" t="s">
        <v>404</v>
      </c>
      <c r="F106" s="335" t="s">
        <v>405</v>
      </c>
      <c r="G106" s="335" t="s">
        <v>406</v>
      </c>
      <c r="H106" s="632"/>
      <c r="I106" s="336" t="s">
        <v>404</v>
      </c>
      <c r="J106" s="336" t="s">
        <v>405</v>
      </c>
      <c r="K106" s="336" t="s">
        <v>406</v>
      </c>
      <c r="L106" s="601"/>
      <c r="M106" s="607"/>
      <c r="N106" s="614"/>
      <c r="O106" s="614"/>
      <c r="P106" s="335" t="s">
        <v>404</v>
      </c>
      <c r="Q106" s="335" t="s">
        <v>405</v>
      </c>
      <c r="R106" s="335" t="s">
        <v>406</v>
      </c>
      <c r="S106" s="335" t="s">
        <v>396</v>
      </c>
      <c r="T106" s="614"/>
      <c r="U106" s="335" t="s">
        <v>404</v>
      </c>
      <c r="V106" s="335" t="s">
        <v>405</v>
      </c>
      <c r="W106" s="335" t="s">
        <v>406</v>
      </c>
      <c r="X106" s="335" t="s">
        <v>396</v>
      </c>
      <c r="Y106" s="614"/>
      <c r="Z106" s="335" t="s">
        <v>404</v>
      </c>
      <c r="AA106" s="335" t="s">
        <v>405</v>
      </c>
      <c r="AB106" s="335" t="s">
        <v>406</v>
      </c>
      <c r="AC106" s="335" t="s">
        <v>396</v>
      </c>
      <c r="AD106" s="614"/>
      <c r="AE106" s="335" t="s">
        <v>404</v>
      </c>
      <c r="AF106" s="335" t="s">
        <v>405</v>
      </c>
      <c r="AG106" s="335" t="s">
        <v>406</v>
      </c>
      <c r="AH106" s="335" t="s">
        <v>396</v>
      </c>
      <c r="AI106" s="614"/>
      <c r="AJ106" s="335" t="s">
        <v>404</v>
      </c>
      <c r="AK106" s="335" t="s">
        <v>405</v>
      </c>
      <c r="AL106" s="335" t="s">
        <v>406</v>
      </c>
      <c r="AM106" s="335" t="s">
        <v>396</v>
      </c>
      <c r="AN106" s="614"/>
      <c r="AO106" s="335" t="s">
        <v>404</v>
      </c>
      <c r="AP106" s="335" t="s">
        <v>405</v>
      </c>
      <c r="AQ106" s="335" t="s">
        <v>406</v>
      </c>
      <c r="AR106" s="335" t="s">
        <v>396</v>
      </c>
      <c r="AS106" s="614"/>
      <c r="AT106" s="335" t="s">
        <v>404</v>
      </c>
      <c r="AU106" s="335" t="s">
        <v>405</v>
      </c>
      <c r="AV106" s="335" t="s">
        <v>406</v>
      </c>
      <c r="AW106" s="335" t="s">
        <v>396</v>
      </c>
      <c r="AX106" s="614"/>
      <c r="AZ106" s="523" t="s">
        <v>396</v>
      </c>
      <c r="BA106" s="614"/>
    </row>
    <row r="107" spans="2:53">
      <c r="B107" s="614" t="s">
        <v>409</v>
      </c>
      <c r="C107" s="334">
        <v>1</v>
      </c>
      <c r="D107" s="226"/>
      <c r="E107" s="182"/>
      <c r="F107" s="334"/>
      <c r="G107" s="337"/>
      <c r="H107" s="663" t="e">
        <f>AVERAGE(G107:G121)</f>
        <v>#DIV/0!</v>
      </c>
      <c r="I107" s="516" t="str">
        <f t="shared" ref="I107:I120" si="92">IFERROR(AVERAGE(P107,U107,Z107,AE107,AJ107,AO107,AT107),"-")</f>
        <v>-</v>
      </c>
      <c r="J107" s="516" t="str">
        <f t="shared" ref="J107:J120" si="93">IFERROR(AVERAGE(Q107,V107,AA107,AF107,AK107,AP107,AU107),"-")</f>
        <v>-</v>
      </c>
      <c r="K107" s="200" t="str">
        <f t="shared" ref="K107:K120" si="94">IFERROR(AVERAGE(R107,W107,AB107,AG107,AL107,AQ107,AV107),"-")</f>
        <v>-</v>
      </c>
      <c r="L107" s="595" t="str">
        <f>IFERROR(AVERAGE(K107:K121),"-")</f>
        <v>-</v>
      </c>
      <c r="M107" s="201" t="e">
        <f>RANK(K107, K$87:$K$101)</f>
        <v>#VALUE!</v>
      </c>
      <c r="N107" s="614"/>
      <c r="O107" s="614"/>
      <c r="P107" s="182"/>
      <c r="Q107" s="182"/>
      <c r="R107" s="337"/>
      <c r="S107" s="334" t="e">
        <f>RANK(R107, R$107:R$121)</f>
        <v>#N/A</v>
      </c>
      <c r="T107" s="636" t="e">
        <f>AVERAGE(R107:R121)</f>
        <v>#DIV/0!</v>
      </c>
      <c r="U107" s="182"/>
      <c r="V107" s="182"/>
      <c r="W107" s="349"/>
      <c r="X107" s="345" t="e">
        <f>RANK(W107, W$107:W$121)</f>
        <v>#N/A</v>
      </c>
      <c r="Y107" s="636" t="e">
        <f>AVERAGE(W107:W121)</f>
        <v>#DIV/0!</v>
      </c>
      <c r="Z107" s="182"/>
      <c r="AA107" s="182"/>
      <c r="AB107" s="349"/>
      <c r="AC107" s="345" t="e">
        <f>RANK(AB107, AB$107:AB$121)</f>
        <v>#N/A</v>
      </c>
      <c r="AD107" s="636" t="e">
        <f>AVERAGE(AB107:AB121)</f>
        <v>#DIV/0!</v>
      </c>
      <c r="AE107" s="182"/>
      <c r="AF107" s="182"/>
      <c r="AG107" s="349"/>
      <c r="AH107" s="345" t="e">
        <f>RANK(AG107, AG$107:AG$121)</f>
        <v>#N/A</v>
      </c>
      <c r="AI107" s="636" t="e">
        <f>AVERAGE(AG107:AG121)</f>
        <v>#DIV/0!</v>
      </c>
      <c r="AJ107" s="182"/>
      <c r="AK107" s="182"/>
      <c r="AL107" s="349"/>
      <c r="AM107" s="345" t="e">
        <f>RANK(AL107, AL$107:AL$121)</f>
        <v>#N/A</v>
      </c>
      <c r="AN107" s="636" t="e">
        <f>AVERAGE(AL107:AL121)</f>
        <v>#DIV/0!</v>
      </c>
      <c r="AO107" s="182"/>
      <c r="AP107" s="182"/>
      <c r="AQ107" s="349"/>
      <c r="AR107" s="345" t="e">
        <f>RANK(AQ107, AQ$107:AQ$121)</f>
        <v>#N/A</v>
      </c>
      <c r="AS107" s="636" t="e">
        <f>AVERAGE(AQ107:AQ121)</f>
        <v>#DIV/0!</v>
      </c>
      <c r="AT107" s="182"/>
      <c r="AU107" s="182"/>
      <c r="AV107" s="349"/>
      <c r="AW107" s="345" t="e">
        <f>RANK(AV107, AV$107:AV$121)</f>
        <v>#N/A</v>
      </c>
      <c r="AX107" s="636" t="e">
        <f>AVERAGE(AV107:AV121)</f>
        <v>#DIV/0!</v>
      </c>
      <c r="AZ107" s="524" t="e">
        <f>RANK(AY107, AY$107:AY$121)</f>
        <v>#N/A</v>
      </c>
      <c r="BA107" s="636" t="e">
        <f>AVERAGE(AY107:AY121)</f>
        <v>#DIV/0!</v>
      </c>
    </row>
    <row r="108" spans="2:53">
      <c r="B108" s="622"/>
      <c r="C108" s="334">
        <v>2</v>
      </c>
      <c r="D108" s="226"/>
      <c r="E108" s="182"/>
      <c r="F108" s="334"/>
      <c r="G108" s="337"/>
      <c r="H108" s="664"/>
      <c r="I108" s="516" t="str">
        <f t="shared" si="92"/>
        <v>-</v>
      </c>
      <c r="J108" s="516" t="str">
        <f t="shared" si="93"/>
        <v>-</v>
      </c>
      <c r="K108" s="200" t="str">
        <f t="shared" si="94"/>
        <v>-</v>
      </c>
      <c r="L108" s="596"/>
      <c r="M108" s="201" t="e">
        <f>RANK(K108, K$87:$K$101)</f>
        <v>#VALUE!</v>
      </c>
      <c r="N108" s="614"/>
      <c r="O108" s="614"/>
      <c r="P108" s="334"/>
      <c r="Q108" s="182"/>
      <c r="R108" s="346"/>
      <c r="S108" s="345" t="e">
        <f t="shared" ref="S108:S121" si="95">RANK(R108, R$107:R$121)</f>
        <v>#N/A</v>
      </c>
      <c r="T108" s="636"/>
      <c r="U108" s="348"/>
      <c r="V108" s="182"/>
      <c r="W108" s="349"/>
      <c r="X108" s="345" t="e">
        <f t="shared" ref="X108:X121" si="96">RANK(W108, W$107:W$121)</f>
        <v>#N/A</v>
      </c>
      <c r="Y108" s="636"/>
      <c r="Z108" s="348"/>
      <c r="AA108" s="182"/>
      <c r="AB108" s="349"/>
      <c r="AC108" s="345" t="e">
        <f t="shared" ref="AC108:AC121" si="97">RANK(AB108, AB$107:AB$121)</f>
        <v>#N/A</v>
      </c>
      <c r="AD108" s="636"/>
      <c r="AE108" s="348"/>
      <c r="AF108" s="182"/>
      <c r="AG108" s="349"/>
      <c r="AH108" s="345" t="e">
        <f t="shared" ref="AH108:AH121" si="98">RANK(AG108, AG$107:AG$121)</f>
        <v>#N/A</v>
      </c>
      <c r="AI108" s="636"/>
      <c r="AJ108" s="348"/>
      <c r="AK108" s="182"/>
      <c r="AL108" s="349"/>
      <c r="AM108" s="345" t="e">
        <f t="shared" ref="AM108:AM121" si="99">RANK(AL108, AL$107:AL$121)</f>
        <v>#N/A</v>
      </c>
      <c r="AN108" s="636"/>
      <c r="AO108" s="348"/>
      <c r="AP108" s="182"/>
      <c r="AQ108" s="349"/>
      <c r="AR108" s="345" t="e">
        <f t="shared" ref="AR108:AR121" si="100">RANK(AQ108, AQ$107:AQ$121)</f>
        <v>#N/A</v>
      </c>
      <c r="AS108" s="636"/>
      <c r="AT108" s="348"/>
      <c r="AU108" s="182"/>
      <c r="AV108" s="349"/>
      <c r="AW108" s="345" t="e">
        <f t="shared" ref="AW108:AW121" si="101">RANK(AV108, AV$107:AV$121)</f>
        <v>#N/A</v>
      </c>
      <c r="AX108" s="636"/>
      <c r="AZ108" s="524" t="e">
        <f t="shared" ref="AZ108:AZ121" si="102">RANK(AY108, AY$107:AY$121)</f>
        <v>#N/A</v>
      </c>
      <c r="BA108" s="636"/>
    </row>
    <row r="109" spans="2:53">
      <c r="B109" s="622"/>
      <c r="C109" s="334">
        <v>3</v>
      </c>
      <c r="D109" s="226"/>
      <c r="E109" s="182"/>
      <c r="F109" s="334"/>
      <c r="G109" s="337"/>
      <c r="H109" s="664"/>
      <c r="I109" s="516" t="str">
        <f t="shared" si="92"/>
        <v>-</v>
      </c>
      <c r="J109" s="516" t="str">
        <f t="shared" si="93"/>
        <v>-</v>
      </c>
      <c r="K109" s="200" t="str">
        <f t="shared" si="94"/>
        <v>-</v>
      </c>
      <c r="L109" s="596"/>
      <c r="M109" s="201" t="e">
        <f>RANK(K109, K$87:$K$101)</f>
        <v>#VALUE!</v>
      </c>
      <c r="N109" s="614"/>
      <c r="O109" s="614"/>
      <c r="P109" s="334"/>
      <c r="Q109" s="334"/>
      <c r="R109" s="334"/>
      <c r="S109" s="345" t="e">
        <f t="shared" si="95"/>
        <v>#N/A</v>
      </c>
      <c r="T109" s="636"/>
      <c r="U109" s="348"/>
      <c r="V109" s="348"/>
      <c r="W109" s="348"/>
      <c r="X109" s="345" t="e">
        <f t="shared" si="96"/>
        <v>#N/A</v>
      </c>
      <c r="Y109" s="636"/>
      <c r="Z109" s="348"/>
      <c r="AA109" s="348"/>
      <c r="AB109" s="348"/>
      <c r="AC109" s="345" t="e">
        <f t="shared" si="97"/>
        <v>#N/A</v>
      </c>
      <c r="AD109" s="636"/>
      <c r="AE109" s="348"/>
      <c r="AF109" s="348"/>
      <c r="AG109" s="348"/>
      <c r="AH109" s="345" t="e">
        <f t="shared" si="98"/>
        <v>#N/A</v>
      </c>
      <c r="AI109" s="636"/>
      <c r="AJ109" s="348"/>
      <c r="AK109" s="348"/>
      <c r="AL109" s="348"/>
      <c r="AM109" s="345" t="e">
        <f t="shared" si="99"/>
        <v>#N/A</v>
      </c>
      <c r="AN109" s="636"/>
      <c r="AO109" s="348"/>
      <c r="AP109" s="348"/>
      <c r="AQ109" s="348"/>
      <c r="AR109" s="345" t="e">
        <f t="shared" si="100"/>
        <v>#N/A</v>
      </c>
      <c r="AS109" s="636"/>
      <c r="AT109" s="348"/>
      <c r="AU109" s="348"/>
      <c r="AV109" s="348"/>
      <c r="AW109" s="345" t="e">
        <f t="shared" si="101"/>
        <v>#N/A</v>
      </c>
      <c r="AX109" s="636"/>
      <c r="AZ109" s="524" t="e">
        <f t="shared" si="102"/>
        <v>#N/A</v>
      </c>
      <c r="BA109" s="636"/>
    </row>
    <row r="110" spans="2:53">
      <c r="B110" s="622"/>
      <c r="C110" s="334">
        <v>4</v>
      </c>
      <c r="D110" s="226"/>
      <c r="E110" s="182"/>
      <c r="F110" s="334"/>
      <c r="G110" s="337"/>
      <c r="H110" s="664"/>
      <c r="I110" s="516" t="str">
        <f t="shared" si="92"/>
        <v>-</v>
      </c>
      <c r="J110" s="516" t="str">
        <f t="shared" si="93"/>
        <v>-</v>
      </c>
      <c r="K110" s="200" t="str">
        <f t="shared" si="94"/>
        <v>-</v>
      </c>
      <c r="L110" s="596"/>
      <c r="M110" s="201" t="e">
        <f>RANK(K110, K$87:$K$101)</f>
        <v>#VALUE!</v>
      </c>
      <c r="N110" s="614"/>
      <c r="O110" s="614"/>
      <c r="P110" s="334"/>
      <c r="Q110" s="334"/>
      <c r="R110" s="334"/>
      <c r="S110" s="345" t="e">
        <f t="shared" si="95"/>
        <v>#N/A</v>
      </c>
      <c r="T110" s="636"/>
      <c r="U110" s="348"/>
      <c r="V110" s="348"/>
      <c r="W110" s="348"/>
      <c r="X110" s="345" t="e">
        <f t="shared" si="96"/>
        <v>#N/A</v>
      </c>
      <c r="Y110" s="636"/>
      <c r="Z110" s="348"/>
      <c r="AA110" s="348"/>
      <c r="AB110" s="348"/>
      <c r="AC110" s="345" t="e">
        <f t="shared" si="97"/>
        <v>#N/A</v>
      </c>
      <c r="AD110" s="636"/>
      <c r="AE110" s="348"/>
      <c r="AF110" s="348"/>
      <c r="AG110" s="348"/>
      <c r="AH110" s="345" t="e">
        <f t="shared" si="98"/>
        <v>#N/A</v>
      </c>
      <c r="AI110" s="636"/>
      <c r="AJ110" s="348"/>
      <c r="AK110" s="348"/>
      <c r="AL110" s="348"/>
      <c r="AM110" s="345" t="e">
        <f t="shared" si="99"/>
        <v>#N/A</v>
      </c>
      <c r="AN110" s="636"/>
      <c r="AO110" s="348"/>
      <c r="AP110" s="348"/>
      <c r="AQ110" s="348"/>
      <c r="AR110" s="345" t="e">
        <f t="shared" si="100"/>
        <v>#N/A</v>
      </c>
      <c r="AS110" s="636"/>
      <c r="AT110" s="348"/>
      <c r="AU110" s="348"/>
      <c r="AV110" s="348"/>
      <c r="AW110" s="345" t="e">
        <f t="shared" si="101"/>
        <v>#N/A</v>
      </c>
      <c r="AX110" s="636"/>
      <c r="AZ110" s="524" t="e">
        <f t="shared" si="102"/>
        <v>#N/A</v>
      </c>
      <c r="BA110" s="636"/>
    </row>
    <row r="111" spans="2:53">
      <c r="B111" s="622"/>
      <c r="C111" s="334">
        <v>5</v>
      </c>
      <c r="D111" s="226"/>
      <c r="E111" s="182"/>
      <c r="F111" s="334"/>
      <c r="G111" s="337"/>
      <c r="H111" s="664"/>
      <c r="I111" s="516" t="str">
        <f t="shared" si="92"/>
        <v>-</v>
      </c>
      <c r="J111" s="516" t="str">
        <f t="shared" si="93"/>
        <v>-</v>
      </c>
      <c r="K111" s="200" t="str">
        <f t="shared" si="94"/>
        <v>-</v>
      </c>
      <c r="L111" s="596"/>
      <c r="M111" s="201" t="e">
        <f>RANK(K111, K$87:$K$101)</f>
        <v>#VALUE!</v>
      </c>
      <c r="N111" s="614"/>
      <c r="O111" s="614"/>
      <c r="P111" s="334"/>
      <c r="Q111" s="334"/>
      <c r="R111" s="334"/>
      <c r="S111" s="345" t="e">
        <f t="shared" si="95"/>
        <v>#N/A</v>
      </c>
      <c r="T111" s="636"/>
      <c r="U111" s="348"/>
      <c r="V111" s="348"/>
      <c r="W111" s="348"/>
      <c r="X111" s="345" t="e">
        <f t="shared" si="96"/>
        <v>#N/A</v>
      </c>
      <c r="Y111" s="636"/>
      <c r="Z111" s="348"/>
      <c r="AA111" s="348"/>
      <c r="AB111" s="348"/>
      <c r="AC111" s="345" t="e">
        <f t="shared" si="97"/>
        <v>#N/A</v>
      </c>
      <c r="AD111" s="636"/>
      <c r="AE111" s="348"/>
      <c r="AF111" s="348"/>
      <c r="AG111" s="348"/>
      <c r="AH111" s="345" t="e">
        <f t="shared" si="98"/>
        <v>#N/A</v>
      </c>
      <c r="AI111" s="636"/>
      <c r="AJ111" s="348"/>
      <c r="AK111" s="348"/>
      <c r="AL111" s="348"/>
      <c r="AM111" s="345" t="e">
        <f t="shared" si="99"/>
        <v>#N/A</v>
      </c>
      <c r="AN111" s="636"/>
      <c r="AO111" s="348"/>
      <c r="AP111" s="348"/>
      <c r="AQ111" s="348"/>
      <c r="AR111" s="345" t="e">
        <f t="shared" si="100"/>
        <v>#N/A</v>
      </c>
      <c r="AS111" s="636"/>
      <c r="AT111" s="348"/>
      <c r="AU111" s="348"/>
      <c r="AV111" s="348"/>
      <c r="AW111" s="345" t="e">
        <f t="shared" si="101"/>
        <v>#N/A</v>
      </c>
      <c r="AX111" s="636"/>
      <c r="AZ111" s="524" t="e">
        <f t="shared" si="102"/>
        <v>#N/A</v>
      </c>
      <c r="BA111" s="636"/>
    </row>
    <row r="112" spans="2:53">
      <c r="B112" s="622"/>
      <c r="C112" s="334">
        <v>6</v>
      </c>
      <c r="D112" s="226"/>
      <c r="E112" s="182"/>
      <c r="F112" s="334"/>
      <c r="G112" s="337"/>
      <c r="H112" s="664"/>
      <c r="I112" s="516" t="str">
        <f t="shared" si="92"/>
        <v>-</v>
      </c>
      <c r="J112" s="516" t="str">
        <f t="shared" si="93"/>
        <v>-</v>
      </c>
      <c r="K112" s="200" t="str">
        <f t="shared" si="94"/>
        <v>-</v>
      </c>
      <c r="L112" s="596"/>
      <c r="M112" s="201" t="e">
        <f>RANK(K112, K$87:$K$101)</f>
        <v>#VALUE!</v>
      </c>
      <c r="N112" s="614"/>
      <c r="O112" s="614"/>
      <c r="P112" s="334"/>
      <c r="Q112" s="334"/>
      <c r="R112" s="334"/>
      <c r="S112" s="345" t="e">
        <f t="shared" si="95"/>
        <v>#N/A</v>
      </c>
      <c r="T112" s="636"/>
      <c r="U112" s="348"/>
      <c r="V112" s="348"/>
      <c r="W112" s="348"/>
      <c r="X112" s="345" t="e">
        <f t="shared" si="96"/>
        <v>#N/A</v>
      </c>
      <c r="Y112" s="636"/>
      <c r="Z112" s="348"/>
      <c r="AA112" s="348"/>
      <c r="AB112" s="348"/>
      <c r="AC112" s="345" t="e">
        <f t="shared" si="97"/>
        <v>#N/A</v>
      </c>
      <c r="AD112" s="636"/>
      <c r="AE112" s="348"/>
      <c r="AF112" s="348"/>
      <c r="AG112" s="348"/>
      <c r="AH112" s="345" t="e">
        <f t="shared" si="98"/>
        <v>#N/A</v>
      </c>
      <c r="AI112" s="636"/>
      <c r="AJ112" s="348"/>
      <c r="AK112" s="348"/>
      <c r="AL112" s="348"/>
      <c r="AM112" s="345" t="e">
        <f t="shared" si="99"/>
        <v>#N/A</v>
      </c>
      <c r="AN112" s="636"/>
      <c r="AO112" s="348"/>
      <c r="AP112" s="348"/>
      <c r="AQ112" s="348"/>
      <c r="AR112" s="345" t="e">
        <f t="shared" si="100"/>
        <v>#N/A</v>
      </c>
      <c r="AS112" s="636"/>
      <c r="AT112" s="348"/>
      <c r="AU112" s="348"/>
      <c r="AV112" s="348"/>
      <c r="AW112" s="345" t="e">
        <f t="shared" si="101"/>
        <v>#N/A</v>
      </c>
      <c r="AX112" s="636"/>
      <c r="AZ112" s="524" t="e">
        <f t="shared" si="102"/>
        <v>#N/A</v>
      </c>
      <c r="BA112" s="636"/>
    </row>
    <row r="113" spans="2:53">
      <c r="B113" s="622"/>
      <c r="C113" s="334">
        <v>7</v>
      </c>
      <c r="D113" s="226"/>
      <c r="E113" s="182"/>
      <c r="F113" s="334"/>
      <c r="G113" s="337"/>
      <c r="H113" s="664"/>
      <c r="I113" s="516" t="str">
        <f t="shared" si="92"/>
        <v>-</v>
      </c>
      <c r="J113" s="516" t="str">
        <f t="shared" si="93"/>
        <v>-</v>
      </c>
      <c r="K113" s="200" t="str">
        <f t="shared" si="94"/>
        <v>-</v>
      </c>
      <c r="L113" s="596"/>
      <c r="M113" s="201" t="e">
        <f>RANK(K113, K$87:$K$101)</f>
        <v>#VALUE!</v>
      </c>
      <c r="N113" s="614"/>
      <c r="O113" s="614"/>
      <c r="P113" s="334"/>
      <c r="Q113" s="334"/>
      <c r="R113" s="334"/>
      <c r="S113" s="345" t="e">
        <f t="shared" si="95"/>
        <v>#N/A</v>
      </c>
      <c r="T113" s="636"/>
      <c r="U113" s="348"/>
      <c r="V113" s="348"/>
      <c r="W113" s="348"/>
      <c r="X113" s="345" t="e">
        <f t="shared" si="96"/>
        <v>#N/A</v>
      </c>
      <c r="Y113" s="636"/>
      <c r="Z113" s="348"/>
      <c r="AA113" s="348"/>
      <c r="AB113" s="348"/>
      <c r="AC113" s="345" t="e">
        <f t="shared" si="97"/>
        <v>#N/A</v>
      </c>
      <c r="AD113" s="636"/>
      <c r="AE113" s="348"/>
      <c r="AF113" s="348"/>
      <c r="AG113" s="348"/>
      <c r="AH113" s="345" t="e">
        <f t="shared" si="98"/>
        <v>#N/A</v>
      </c>
      <c r="AI113" s="636"/>
      <c r="AJ113" s="348"/>
      <c r="AK113" s="348"/>
      <c r="AL113" s="348"/>
      <c r="AM113" s="345" t="e">
        <f t="shared" si="99"/>
        <v>#N/A</v>
      </c>
      <c r="AN113" s="636"/>
      <c r="AO113" s="348"/>
      <c r="AP113" s="348"/>
      <c r="AQ113" s="348"/>
      <c r="AR113" s="345" t="e">
        <f t="shared" si="100"/>
        <v>#N/A</v>
      </c>
      <c r="AS113" s="636"/>
      <c r="AT113" s="348"/>
      <c r="AU113" s="348"/>
      <c r="AV113" s="348"/>
      <c r="AW113" s="345" t="e">
        <f t="shared" si="101"/>
        <v>#N/A</v>
      </c>
      <c r="AX113" s="636"/>
      <c r="AZ113" s="524" t="e">
        <f t="shared" si="102"/>
        <v>#N/A</v>
      </c>
      <c r="BA113" s="636"/>
    </row>
    <row r="114" spans="2:53">
      <c r="B114" s="622"/>
      <c r="C114" s="334">
        <v>8</v>
      </c>
      <c r="D114" s="226"/>
      <c r="E114" s="182"/>
      <c r="F114" s="334"/>
      <c r="G114" s="337"/>
      <c r="H114" s="664"/>
      <c r="I114" s="516" t="str">
        <f t="shared" si="92"/>
        <v>-</v>
      </c>
      <c r="J114" s="516" t="str">
        <f t="shared" si="93"/>
        <v>-</v>
      </c>
      <c r="K114" s="200" t="str">
        <f t="shared" si="94"/>
        <v>-</v>
      </c>
      <c r="L114" s="596"/>
      <c r="M114" s="201" t="e">
        <f>RANK(K114, K$87:$K$101)</f>
        <v>#VALUE!</v>
      </c>
      <c r="N114" s="614"/>
      <c r="O114" s="614"/>
      <c r="P114" s="334"/>
      <c r="Q114" s="334"/>
      <c r="R114" s="334"/>
      <c r="S114" s="345" t="e">
        <f t="shared" si="95"/>
        <v>#N/A</v>
      </c>
      <c r="T114" s="636"/>
      <c r="U114" s="348"/>
      <c r="V114" s="348"/>
      <c r="W114" s="348"/>
      <c r="X114" s="345" t="e">
        <f t="shared" si="96"/>
        <v>#N/A</v>
      </c>
      <c r="Y114" s="636"/>
      <c r="Z114" s="348"/>
      <c r="AA114" s="348"/>
      <c r="AB114" s="348"/>
      <c r="AC114" s="345" t="e">
        <f t="shared" si="97"/>
        <v>#N/A</v>
      </c>
      <c r="AD114" s="636"/>
      <c r="AE114" s="348"/>
      <c r="AF114" s="348"/>
      <c r="AG114" s="348"/>
      <c r="AH114" s="345" t="e">
        <f t="shared" si="98"/>
        <v>#N/A</v>
      </c>
      <c r="AI114" s="636"/>
      <c r="AJ114" s="348"/>
      <c r="AK114" s="348"/>
      <c r="AL114" s="348"/>
      <c r="AM114" s="345" t="e">
        <f t="shared" si="99"/>
        <v>#N/A</v>
      </c>
      <c r="AN114" s="636"/>
      <c r="AO114" s="348"/>
      <c r="AP114" s="348"/>
      <c r="AQ114" s="348"/>
      <c r="AR114" s="345" t="e">
        <f t="shared" si="100"/>
        <v>#N/A</v>
      </c>
      <c r="AS114" s="636"/>
      <c r="AT114" s="348"/>
      <c r="AU114" s="348"/>
      <c r="AV114" s="348"/>
      <c r="AW114" s="345" t="e">
        <f t="shared" si="101"/>
        <v>#N/A</v>
      </c>
      <c r="AX114" s="636"/>
      <c r="AZ114" s="524" t="e">
        <f t="shared" si="102"/>
        <v>#N/A</v>
      </c>
      <c r="BA114" s="636"/>
    </row>
    <row r="115" spans="2:53">
      <c r="B115" s="622"/>
      <c r="C115" s="334">
        <v>9</v>
      </c>
      <c r="D115" s="226"/>
      <c r="E115" s="182"/>
      <c r="F115" s="334"/>
      <c r="G115" s="337"/>
      <c r="H115" s="664"/>
      <c r="I115" s="516" t="str">
        <f t="shared" si="92"/>
        <v>-</v>
      </c>
      <c r="J115" s="516" t="str">
        <f t="shared" si="93"/>
        <v>-</v>
      </c>
      <c r="K115" s="200" t="str">
        <f t="shared" si="94"/>
        <v>-</v>
      </c>
      <c r="L115" s="596"/>
      <c r="M115" s="201" t="e">
        <f>RANK(K115, K$87:$K$101)</f>
        <v>#VALUE!</v>
      </c>
      <c r="N115" s="614"/>
      <c r="O115" s="614"/>
      <c r="P115" s="334"/>
      <c r="Q115" s="334"/>
      <c r="R115" s="334"/>
      <c r="S115" s="345" t="e">
        <f t="shared" si="95"/>
        <v>#N/A</v>
      </c>
      <c r="T115" s="636"/>
      <c r="U115" s="348"/>
      <c r="V115" s="348"/>
      <c r="W115" s="348"/>
      <c r="X115" s="345" t="e">
        <f t="shared" si="96"/>
        <v>#N/A</v>
      </c>
      <c r="Y115" s="636"/>
      <c r="Z115" s="348"/>
      <c r="AA115" s="348"/>
      <c r="AB115" s="348"/>
      <c r="AC115" s="345" t="e">
        <f t="shared" si="97"/>
        <v>#N/A</v>
      </c>
      <c r="AD115" s="636"/>
      <c r="AE115" s="348"/>
      <c r="AF115" s="348"/>
      <c r="AG115" s="348"/>
      <c r="AH115" s="345" t="e">
        <f t="shared" si="98"/>
        <v>#N/A</v>
      </c>
      <c r="AI115" s="636"/>
      <c r="AJ115" s="348"/>
      <c r="AK115" s="348"/>
      <c r="AL115" s="348"/>
      <c r="AM115" s="345" t="e">
        <f t="shared" si="99"/>
        <v>#N/A</v>
      </c>
      <c r="AN115" s="636"/>
      <c r="AO115" s="348"/>
      <c r="AP115" s="348"/>
      <c r="AQ115" s="348"/>
      <c r="AR115" s="345" t="e">
        <f t="shared" si="100"/>
        <v>#N/A</v>
      </c>
      <c r="AS115" s="636"/>
      <c r="AT115" s="348"/>
      <c r="AU115" s="348"/>
      <c r="AV115" s="348"/>
      <c r="AW115" s="345" t="e">
        <f t="shared" si="101"/>
        <v>#N/A</v>
      </c>
      <c r="AX115" s="636"/>
      <c r="AZ115" s="524" t="e">
        <f t="shared" si="102"/>
        <v>#N/A</v>
      </c>
      <c r="BA115" s="636"/>
    </row>
    <row r="116" spans="2:53">
      <c r="B116" s="622"/>
      <c r="C116" s="334">
        <v>10</v>
      </c>
      <c r="D116" s="226"/>
      <c r="E116" s="182"/>
      <c r="F116" s="334"/>
      <c r="G116" s="337"/>
      <c r="H116" s="664"/>
      <c r="I116" s="516" t="str">
        <f t="shared" si="92"/>
        <v>-</v>
      </c>
      <c r="J116" s="516" t="str">
        <f t="shared" si="93"/>
        <v>-</v>
      </c>
      <c r="K116" s="200" t="str">
        <f t="shared" si="94"/>
        <v>-</v>
      </c>
      <c r="L116" s="596"/>
      <c r="M116" s="201" t="e">
        <f>RANK(K116, K$87:$K$101)</f>
        <v>#VALUE!</v>
      </c>
      <c r="N116" s="614"/>
      <c r="O116" s="614"/>
      <c r="P116" s="334"/>
      <c r="Q116" s="334"/>
      <c r="R116" s="334"/>
      <c r="S116" s="345" t="e">
        <f t="shared" si="95"/>
        <v>#N/A</v>
      </c>
      <c r="T116" s="636"/>
      <c r="U116" s="348"/>
      <c r="V116" s="348"/>
      <c r="W116" s="348"/>
      <c r="X116" s="345" t="e">
        <f t="shared" si="96"/>
        <v>#N/A</v>
      </c>
      <c r="Y116" s="636"/>
      <c r="Z116" s="348"/>
      <c r="AA116" s="348"/>
      <c r="AB116" s="348"/>
      <c r="AC116" s="345" t="e">
        <f t="shared" si="97"/>
        <v>#N/A</v>
      </c>
      <c r="AD116" s="636"/>
      <c r="AE116" s="348"/>
      <c r="AF116" s="348"/>
      <c r="AG116" s="348"/>
      <c r="AH116" s="345" t="e">
        <f t="shared" si="98"/>
        <v>#N/A</v>
      </c>
      <c r="AI116" s="636"/>
      <c r="AJ116" s="348"/>
      <c r="AK116" s="348"/>
      <c r="AL116" s="348"/>
      <c r="AM116" s="345" t="e">
        <f t="shared" si="99"/>
        <v>#N/A</v>
      </c>
      <c r="AN116" s="636"/>
      <c r="AO116" s="348"/>
      <c r="AP116" s="348"/>
      <c r="AQ116" s="348"/>
      <c r="AR116" s="345" t="e">
        <f t="shared" si="100"/>
        <v>#N/A</v>
      </c>
      <c r="AS116" s="636"/>
      <c r="AT116" s="348"/>
      <c r="AU116" s="348"/>
      <c r="AV116" s="348"/>
      <c r="AW116" s="345" t="e">
        <f t="shared" si="101"/>
        <v>#N/A</v>
      </c>
      <c r="AX116" s="636"/>
      <c r="AZ116" s="524" t="e">
        <f t="shared" si="102"/>
        <v>#N/A</v>
      </c>
      <c r="BA116" s="636"/>
    </row>
    <row r="117" spans="2:53">
      <c r="B117" s="622"/>
      <c r="C117" s="334">
        <v>11</v>
      </c>
      <c r="D117" s="226"/>
      <c r="E117" s="182"/>
      <c r="F117" s="334"/>
      <c r="G117" s="337"/>
      <c r="H117" s="664"/>
      <c r="I117" s="516" t="str">
        <f t="shared" si="92"/>
        <v>-</v>
      </c>
      <c r="J117" s="516" t="str">
        <f t="shared" si="93"/>
        <v>-</v>
      </c>
      <c r="K117" s="200" t="str">
        <f t="shared" si="94"/>
        <v>-</v>
      </c>
      <c r="L117" s="596"/>
      <c r="M117" s="201" t="e">
        <f>RANK(K117, K$87:$K$101)</f>
        <v>#VALUE!</v>
      </c>
      <c r="N117" s="614"/>
      <c r="O117" s="614"/>
      <c r="P117" s="334"/>
      <c r="Q117" s="334"/>
      <c r="R117" s="334"/>
      <c r="S117" s="345" t="e">
        <f t="shared" si="95"/>
        <v>#N/A</v>
      </c>
      <c r="T117" s="636"/>
      <c r="U117" s="348"/>
      <c r="V117" s="348"/>
      <c r="W117" s="348"/>
      <c r="X117" s="345" t="e">
        <f t="shared" si="96"/>
        <v>#N/A</v>
      </c>
      <c r="Y117" s="636"/>
      <c r="Z117" s="348"/>
      <c r="AA117" s="348"/>
      <c r="AB117" s="348"/>
      <c r="AC117" s="345" t="e">
        <f t="shared" si="97"/>
        <v>#N/A</v>
      </c>
      <c r="AD117" s="636"/>
      <c r="AE117" s="348"/>
      <c r="AF117" s="348"/>
      <c r="AG117" s="348"/>
      <c r="AH117" s="345" t="e">
        <f t="shared" si="98"/>
        <v>#N/A</v>
      </c>
      <c r="AI117" s="636"/>
      <c r="AJ117" s="348"/>
      <c r="AK117" s="348"/>
      <c r="AL117" s="348"/>
      <c r="AM117" s="345" t="e">
        <f t="shared" si="99"/>
        <v>#N/A</v>
      </c>
      <c r="AN117" s="636"/>
      <c r="AO117" s="348"/>
      <c r="AP117" s="348"/>
      <c r="AQ117" s="348"/>
      <c r="AR117" s="345" t="e">
        <f t="shared" si="100"/>
        <v>#N/A</v>
      </c>
      <c r="AS117" s="636"/>
      <c r="AT117" s="348"/>
      <c r="AU117" s="348"/>
      <c r="AV117" s="348"/>
      <c r="AW117" s="345" t="e">
        <f t="shared" si="101"/>
        <v>#N/A</v>
      </c>
      <c r="AX117" s="636"/>
      <c r="AZ117" s="524" t="e">
        <f t="shared" si="102"/>
        <v>#N/A</v>
      </c>
      <c r="BA117" s="636"/>
    </row>
    <row r="118" spans="2:53">
      <c r="B118" s="622"/>
      <c r="C118" s="334">
        <v>12</v>
      </c>
      <c r="D118" s="226"/>
      <c r="E118" s="182"/>
      <c r="F118" s="334"/>
      <c r="G118" s="337"/>
      <c r="H118" s="664"/>
      <c r="I118" s="516" t="str">
        <f t="shared" si="92"/>
        <v>-</v>
      </c>
      <c r="J118" s="516" t="str">
        <f t="shared" si="93"/>
        <v>-</v>
      </c>
      <c r="K118" s="200" t="str">
        <f t="shared" si="94"/>
        <v>-</v>
      </c>
      <c r="L118" s="596"/>
      <c r="M118" s="201" t="e">
        <f>RANK(K118, K$87:$K$101)</f>
        <v>#VALUE!</v>
      </c>
      <c r="N118" s="614"/>
      <c r="O118" s="614"/>
      <c r="P118" s="334"/>
      <c r="Q118" s="334"/>
      <c r="R118" s="334"/>
      <c r="S118" s="345" t="e">
        <f t="shared" si="95"/>
        <v>#N/A</v>
      </c>
      <c r="T118" s="636"/>
      <c r="U118" s="348"/>
      <c r="V118" s="348"/>
      <c r="W118" s="348"/>
      <c r="X118" s="345" t="e">
        <f t="shared" si="96"/>
        <v>#N/A</v>
      </c>
      <c r="Y118" s="636"/>
      <c r="Z118" s="348"/>
      <c r="AA118" s="348"/>
      <c r="AB118" s="348"/>
      <c r="AC118" s="345" t="e">
        <f t="shared" si="97"/>
        <v>#N/A</v>
      </c>
      <c r="AD118" s="636"/>
      <c r="AE118" s="348"/>
      <c r="AF118" s="348"/>
      <c r="AG118" s="348"/>
      <c r="AH118" s="345" t="e">
        <f t="shared" si="98"/>
        <v>#N/A</v>
      </c>
      <c r="AI118" s="636"/>
      <c r="AJ118" s="348"/>
      <c r="AK118" s="348"/>
      <c r="AL118" s="348"/>
      <c r="AM118" s="345" t="e">
        <f t="shared" si="99"/>
        <v>#N/A</v>
      </c>
      <c r="AN118" s="636"/>
      <c r="AO118" s="348"/>
      <c r="AP118" s="348"/>
      <c r="AQ118" s="348"/>
      <c r="AR118" s="345" t="e">
        <f t="shared" si="100"/>
        <v>#N/A</v>
      </c>
      <c r="AS118" s="636"/>
      <c r="AT118" s="348"/>
      <c r="AU118" s="348"/>
      <c r="AV118" s="348"/>
      <c r="AW118" s="345" t="e">
        <f t="shared" si="101"/>
        <v>#N/A</v>
      </c>
      <c r="AX118" s="636"/>
      <c r="AZ118" s="524" t="e">
        <f t="shared" si="102"/>
        <v>#N/A</v>
      </c>
      <c r="BA118" s="636"/>
    </row>
    <row r="119" spans="2:53">
      <c r="B119" s="622"/>
      <c r="C119" s="334">
        <v>13</v>
      </c>
      <c r="D119" s="226"/>
      <c r="E119" s="182"/>
      <c r="F119" s="334"/>
      <c r="G119" s="337"/>
      <c r="H119" s="664"/>
      <c r="I119" s="516" t="str">
        <f t="shared" si="92"/>
        <v>-</v>
      </c>
      <c r="J119" s="516" t="str">
        <f t="shared" si="93"/>
        <v>-</v>
      </c>
      <c r="K119" s="200" t="str">
        <f t="shared" si="94"/>
        <v>-</v>
      </c>
      <c r="L119" s="596"/>
      <c r="M119" s="201" t="e">
        <f>RANK(K119, K$87:$K$101)</f>
        <v>#VALUE!</v>
      </c>
      <c r="N119" s="614"/>
      <c r="O119" s="614"/>
      <c r="P119" s="334"/>
      <c r="Q119" s="334"/>
      <c r="R119" s="334"/>
      <c r="S119" s="345" t="e">
        <f t="shared" si="95"/>
        <v>#N/A</v>
      </c>
      <c r="T119" s="636"/>
      <c r="U119" s="348"/>
      <c r="V119" s="348"/>
      <c r="W119" s="348"/>
      <c r="X119" s="345" t="e">
        <f t="shared" si="96"/>
        <v>#N/A</v>
      </c>
      <c r="Y119" s="636"/>
      <c r="Z119" s="348"/>
      <c r="AA119" s="348"/>
      <c r="AB119" s="348"/>
      <c r="AC119" s="345" t="e">
        <f t="shared" si="97"/>
        <v>#N/A</v>
      </c>
      <c r="AD119" s="636"/>
      <c r="AE119" s="348"/>
      <c r="AF119" s="348"/>
      <c r="AG119" s="348"/>
      <c r="AH119" s="345" t="e">
        <f t="shared" si="98"/>
        <v>#N/A</v>
      </c>
      <c r="AI119" s="636"/>
      <c r="AJ119" s="348"/>
      <c r="AK119" s="348"/>
      <c r="AL119" s="348"/>
      <c r="AM119" s="345" t="e">
        <f t="shared" si="99"/>
        <v>#N/A</v>
      </c>
      <c r="AN119" s="636"/>
      <c r="AO119" s="348"/>
      <c r="AP119" s="348"/>
      <c r="AQ119" s="348"/>
      <c r="AR119" s="345" t="e">
        <f t="shared" si="100"/>
        <v>#N/A</v>
      </c>
      <c r="AS119" s="636"/>
      <c r="AT119" s="348"/>
      <c r="AU119" s="348"/>
      <c r="AV119" s="348"/>
      <c r="AW119" s="345" t="e">
        <f t="shared" si="101"/>
        <v>#N/A</v>
      </c>
      <c r="AX119" s="636"/>
      <c r="AZ119" s="524" t="e">
        <f t="shared" si="102"/>
        <v>#N/A</v>
      </c>
      <c r="BA119" s="636"/>
    </row>
    <row r="120" spans="2:53">
      <c r="B120" s="622"/>
      <c r="C120" s="334">
        <v>14</v>
      </c>
      <c r="D120" s="226"/>
      <c r="E120" s="182"/>
      <c r="F120" s="334"/>
      <c r="G120" s="337"/>
      <c r="H120" s="664"/>
      <c r="I120" s="516" t="str">
        <f t="shared" si="92"/>
        <v>-</v>
      </c>
      <c r="J120" s="516" t="str">
        <f t="shared" si="93"/>
        <v>-</v>
      </c>
      <c r="K120" s="200" t="str">
        <f t="shared" si="94"/>
        <v>-</v>
      </c>
      <c r="L120" s="596"/>
      <c r="M120" s="201" t="e">
        <f>RANK(K120, K$87:$K$101)</f>
        <v>#VALUE!</v>
      </c>
      <c r="N120" s="614"/>
      <c r="O120" s="614"/>
      <c r="P120" s="334"/>
      <c r="Q120" s="334"/>
      <c r="R120" s="334"/>
      <c r="S120" s="345" t="e">
        <f t="shared" si="95"/>
        <v>#N/A</v>
      </c>
      <c r="T120" s="636"/>
      <c r="U120" s="348"/>
      <c r="V120" s="348"/>
      <c r="W120" s="348"/>
      <c r="X120" s="345" t="e">
        <f t="shared" si="96"/>
        <v>#N/A</v>
      </c>
      <c r="Y120" s="636"/>
      <c r="Z120" s="348"/>
      <c r="AA120" s="348"/>
      <c r="AB120" s="348"/>
      <c r="AC120" s="345" t="e">
        <f t="shared" si="97"/>
        <v>#N/A</v>
      </c>
      <c r="AD120" s="636"/>
      <c r="AE120" s="348"/>
      <c r="AF120" s="348"/>
      <c r="AG120" s="348"/>
      <c r="AH120" s="345" t="e">
        <f t="shared" si="98"/>
        <v>#N/A</v>
      </c>
      <c r="AI120" s="636"/>
      <c r="AJ120" s="348"/>
      <c r="AK120" s="348"/>
      <c r="AL120" s="348"/>
      <c r="AM120" s="345" t="e">
        <f t="shared" si="99"/>
        <v>#N/A</v>
      </c>
      <c r="AN120" s="636"/>
      <c r="AO120" s="348"/>
      <c r="AP120" s="348"/>
      <c r="AQ120" s="348"/>
      <c r="AR120" s="345" t="e">
        <f t="shared" si="100"/>
        <v>#N/A</v>
      </c>
      <c r="AS120" s="636"/>
      <c r="AT120" s="348"/>
      <c r="AU120" s="348"/>
      <c r="AV120" s="348"/>
      <c r="AW120" s="345" t="e">
        <f t="shared" si="101"/>
        <v>#N/A</v>
      </c>
      <c r="AX120" s="636"/>
      <c r="AZ120" s="524" t="e">
        <f t="shared" si="102"/>
        <v>#N/A</v>
      </c>
      <c r="BA120" s="636"/>
    </row>
    <row r="121" spans="2:53">
      <c r="B121" s="622"/>
      <c r="C121" s="334">
        <v>15</v>
      </c>
      <c r="D121" s="226"/>
      <c r="E121" s="182"/>
      <c r="F121" s="334"/>
      <c r="G121" s="337"/>
      <c r="H121" s="665"/>
      <c r="I121" s="202"/>
      <c r="J121" s="202"/>
      <c r="K121" s="202"/>
      <c r="L121" s="597"/>
      <c r="M121" s="199" t="e">
        <f>RANK(K121, K$87:$K$101)</f>
        <v>#N/A</v>
      </c>
      <c r="N121" s="614"/>
      <c r="O121" s="614"/>
      <c r="P121" s="334"/>
      <c r="Q121" s="334"/>
      <c r="R121" s="334"/>
      <c r="S121" s="345" t="e">
        <f t="shared" si="95"/>
        <v>#N/A</v>
      </c>
      <c r="T121" s="636"/>
      <c r="U121" s="348"/>
      <c r="V121" s="348"/>
      <c r="W121" s="348"/>
      <c r="X121" s="345" t="e">
        <f t="shared" si="96"/>
        <v>#N/A</v>
      </c>
      <c r="Y121" s="636"/>
      <c r="Z121" s="348"/>
      <c r="AA121" s="348"/>
      <c r="AB121" s="348"/>
      <c r="AC121" s="345" t="e">
        <f t="shared" si="97"/>
        <v>#N/A</v>
      </c>
      <c r="AD121" s="636"/>
      <c r="AE121" s="348"/>
      <c r="AF121" s="348"/>
      <c r="AG121" s="348"/>
      <c r="AH121" s="345" t="e">
        <f t="shared" si="98"/>
        <v>#N/A</v>
      </c>
      <c r="AI121" s="636"/>
      <c r="AJ121" s="348"/>
      <c r="AK121" s="348"/>
      <c r="AL121" s="348"/>
      <c r="AM121" s="345" t="e">
        <f t="shared" si="99"/>
        <v>#N/A</v>
      </c>
      <c r="AN121" s="636"/>
      <c r="AO121" s="348"/>
      <c r="AP121" s="348"/>
      <c r="AQ121" s="348"/>
      <c r="AR121" s="345" t="e">
        <f t="shared" si="100"/>
        <v>#N/A</v>
      </c>
      <c r="AS121" s="636"/>
      <c r="AT121" s="348"/>
      <c r="AU121" s="348"/>
      <c r="AV121" s="348"/>
      <c r="AW121" s="345" t="e">
        <f t="shared" si="101"/>
        <v>#N/A</v>
      </c>
      <c r="AX121" s="636"/>
      <c r="AZ121" s="524" t="e">
        <f t="shared" si="102"/>
        <v>#N/A</v>
      </c>
      <c r="BA121" s="636"/>
    </row>
    <row r="123" spans="2:53" ht="15.75">
      <c r="B123" s="653" t="s">
        <v>560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561</v>
      </c>
      <c r="C125" s="614" t="s">
        <v>562</v>
      </c>
      <c r="D125" s="614"/>
      <c r="E125" s="614" t="s">
        <v>563</v>
      </c>
      <c r="F125" s="614"/>
      <c r="G125" s="614"/>
      <c r="H125" s="630" t="s">
        <v>564</v>
      </c>
      <c r="I125" s="657" t="s">
        <v>565</v>
      </c>
      <c r="J125" s="657"/>
      <c r="K125" s="657"/>
      <c r="L125" s="673" t="s">
        <v>564</v>
      </c>
      <c r="M125" s="676" t="s">
        <v>566</v>
      </c>
    </row>
    <row r="126" spans="2:53">
      <c r="B126" s="614"/>
      <c r="C126" s="614"/>
      <c r="D126" s="614"/>
      <c r="E126" s="614" t="s">
        <v>567</v>
      </c>
      <c r="F126" s="614"/>
      <c r="G126" s="614"/>
      <c r="H126" s="631"/>
      <c r="I126" s="657" t="s">
        <v>567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568</v>
      </c>
      <c r="F127" s="335" t="s">
        <v>569</v>
      </c>
      <c r="G127" s="335" t="s">
        <v>570</v>
      </c>
      <c r="H127" s="632"/>
      <c r="I127" s="342" t="s">
        <v>568</v>
      </c>
      <c r="J127" s="342" t="s">
        <v>569</v>
      </c>
      <c r="K127" s="342" t="s">
        <v>570</v>
      </c>
      <c r="L127" s="675"/>
      <c r="M127" s="678"/>
    </row>
    <row r="128" spans="2:53">
      <c r="B128" s="614" t="s">
        <v>574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J128" si="103">AVERAGEIF($D$7:$D$121,$D128,I$7:I$121)</f>
        <v>#DIV/0!</v>
      </c>
      <c r="J128" s="199" t="e">
        <f t="shared" si="103"/>
        <v>#DIV/0!</v>
      </c>
      <c r="K128" s="199" t="e">
        <f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39">
      <c r="B129" s="622"/>
      <c r="C129" s="334">
        <v>2</v>
      </c>
      <c r="D129" s="226"/>
      <c r="E129" s="182"/>
      <c r="F129" s="334"/>
      <c r="G129" s="337"/>
      <c r="H129" s="664"/>
      <c r="I129" s="199"/>
      <c r="J129" s="199"/>
      <c r="K129" s="199"/>
      <c r="L129" s="671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2"/>
      <c r="C130" s="334">
        <v>3</v>
      </c>
      <c r="D130" s="226"/>
      <c r="E130" s="182"/>
      <c r="F130" s="334"/>
      <c r="G130" s="337"/>
      <c r="H130" s="664"/>
      <c r="I130" s="199"/>
      <c r="J130" s="199"/>
      <c r="K130" s="199"/>
      <c r="L130" s="671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2"/>
      <c r="C131" s="334">
        <v>4</v>
      </c>
      <c r="D131" s="226"/>
      <c r="E131" s="182"/>
      <c r="F131" s="334"/>
      <c r="G131" s="337"/>
      <c r="H131" s="664"/>
      <c r="I131" s="199"/>
      <c r="J131" s="199"/>
      <c r="K131" s="199"/>
      <c r="L131" s="671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2"/>
      <c r="C132" s="334">
        <v>5</v>
      </c>
      <c r="D132" s="226"/>
      <c r="E132" s="182"/>
      <c r="F132" s="334"/>
      <c r="G132" s="337"/>
      <c r="H132" s="664"/>
      <c r="I132" s="199"/>
      <c r="J132" s="199"/>
      <c r="K132" s="199"/>
      <c r="L132" s="671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2"/>
      <c r="C133" s="334">
        <v>6</v>
      </c>
      <c r="D133" s="343"/>
      <c r="E133" s="182"/>
      <c r="F133" s="334"/>
      <c r="G133" s="337"/>
      <c r="H133" s="664"/>
      <c r="I133" s="199"/>
      <c r="J133" s="199"/>
      <c r="K133" s="199"/>
      <c r="L133" s="671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2"/>
      <c r="C134" s="334">
        <v>7</v>
      </c>
      <c r="D134" s="226"/>
      <c r="E134" s="182"/>
      <c r="F134" s="334"/>
      <c r="G134" s="337"/>
      <c r="H134" s="664"/>
      <c r="I134" s="199"/>
      <c r="J134" s="199"/>
      <c r="K134" s="199"/>
      <c r="L134" s="671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2"/>
      <c r="C135" s="334">
        <v>8</v>
      </c>
      <c r="D135" s="226"/>
      <c r="E135" s="182"/>
      <c r="F135" s="334"/>
      <c r="G135" s="337"/>
      <c r="H135" s="664"/>
      <c r="I135" s="199"/>
      <c r="J135" s="199"/>
      <c r="K135" s="199"/>
      <c r="L135" s="671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2"/>
      <c r="C136" s="334">
        <v>9</v>
      </c>
      <c r="D136" s="226"/>
      <c r="E136" s="334"/>
      <c r="F136" s="334"/>
      <c r="G136" s="334"/>
      <c r="H136" s="664"/>
      <c r="I136" s="199"/>
      <c r="J136" s="199"/>
      <c r="K136" s="199"/>
      <c r="L136" s="671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2"/>
      <c r="C137" s="334">
        <v>10</v>
      </c>
      <c r="D137" s="226"/>
      <c r="E137" s="334"/>
      <c r="F137" s="334"/>
      <c r="G137" s="334"/>
      <c r="H137" s="664"/>
      <c r="I137" s="199"/>
      <c r="J137" s="199"/>
      <c r="K137" s="199"/>
      <c r="L137" s="671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2"/>
      <c r="C138" s="334">
        <v>11</v>
      </c>
      <c r="D138" s="226"/>
      <c r="E138" s="334"/>
      <c r="F138" s="334"/>
      <c r="G138" s="334"/>
      <c r="H138" s="664"/>
      <c r="I138" s="199"/>
      <c r="J138" s="199"/>
      <c r="K138" s="199"/>
      <c r="L138" s="671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zoomScale="40" zoomScaleNormal="40" workbookViewId="0">
      <pane xSplit="15" topLeftCell="P1" activePane="topRight" state="frozen"/>
      <selection activeCell="K7" sqref="I7:K36"/>
      <selection pane="topRight" activeCell="T42" activeCellId="6" sqref="AW42:AX71 AR42:AS71 AM42:AN71 AH42:AI71 AC42:AD71 X42:Y71 S42:T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AVERAGE(L7,L42,L77,L112,L147,L182)</f>
        <v>87.340598787652354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154</v>
      </c>
      <c r="C4" s="614" t="s">
        <v>408</v>
      </c>
      <c r="D4" s="614"/>
      <c r="E4" s="614" t="s">
        <v>399</v>
      </c>
      <c r="F4" s="614"/>
      <c r="G4" s="614"/>
      <c r="H4" s="630" t="s">
        <v>395</v>
      </c>
      <c r="I4" s="598" t="s">
        <v>400</v>
      </c>
      <c r="J4" s="598"/>
      <c r="K4" s="598"/>
      <c r="L4" s="599" t="s">
        <v>395</v>
      </c>
      <c r="M4" s="605" t="s">
        <v>396</v>
      </c>
      <c r="N4" s="614"/>
      <c r="O4" s="614" t="s">
        <v>401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402</v>
      </c>
      <c r="F5" s="614"/>
      <c r="G5" s="614"/>
      <c r="H5" s="631"/>
      <c r="I5" s="598" t="s">
        <v>402</v>
      </c>
      <c r="J5" s="598"/>
      <c r="K5" s="598"/>
      <c r="L5" s="600"/>
      <c r="M5" s="606"/>
      <c r="N5" s="614"/>
      <c r="O5" s="614"/>
      <c r="P5" s="611" t="s">
        <v>403</v>
      </c>
      <c r="Q5" s="612"/>
      <c r="R5" s="612"/>
      <c r="S5" s="613"/>
      <c r="T5" s="614"/>
      <c r="U5" s="611" t="s">
        <v>403</v>
      </c>
      <c r="V5" s="612"/>
      <c r="W5" s="612"/>
      <c r="X5" s="613"/>
      <c r="Y5" s="614"/>
      <c r="Z5" s="611" t="s">
        <v>403</v>
      </c>
      <c r="AA5" s="612"/>
      <c r="AB5" s="612"/>
      <c r="AC5" s="613"/>
      <c r="AD5" s="614"/>
      <c r="AE5" s="611" t="s">
        <v>403</v>
      </c>
      <c r="AF5" s="612"/>
      <c r="AG5" s="612"/>
      <c r="AH5" s="613"/>
      <c r="AI5" s="614"/>
      <c r="AJ5" s="611" t="s">
        <v>403</v>
      </c>
      <c r="AK5" s="612"/>
      <c r="AL5" s="612"/>
      <c r="AM5" s="613"/>
      <c r="AN5" s="614"/>
      <c r="AO5" s="611" t="s">
        <v>403</v>
      </c>
      <c r="AP5" s="612"/>
      <c r="AQ5" s="612"/>
      <c r="AR5" s="613"/>
      <c r="AS5" s="614"/>
      <c r="AT5" s="611" t="s">
        <v>403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9" t="s">
        <v>404</v>
      </c>
      <c r="F6" s="469" t="s">
        <v>405</v>
      </c>
      <c r="G6" s="469" t="s">
        <v>406</v>
      </c>
      <c r="H6" s="632"/>
      <c r="I6" s="471" t="s">
        <v>404</v>
      </c>
      <c r="J6" s="471" t="s">
        <v>405</v>
      </c>
      <c r="K6" s="471" t="s">
        <v>406</v>
      </c>
      <c r="L6" s="601"/>
      <c r="M6" s="607"/>
      <c r="N6" s="614"/>
      <c r="O6" s="614"/>
      <c r="P6" s="469" t="s">
        <v>404</v>
      </c>
      <c r="Q6" s="469" t="s">
        <v>405</v>
      </c>
      <c r="R6" s="469" t="s">
        <v>406</v>
      </c>
      <c r="S6" s="469" t="s">
        <v>396</v>
      </c>
      <c r="T6" s="614"/>
      <c r="U6" s="469" t="s">
        <v>404</v>
      </c>
      <c r="V6" s="469" t="s">
        <v>405</v>
      </c>
      <c r="W6" s="469" t="s">
        <v>406</v>
      </c>
      <c r="X6" s="469" t="s">
        <v>396</v>
      </c>
      <c r="Y6" s="614"/>
      <c r="Z6" s="469" t="s">
        <v>404</v>
      </c>
      <c r="AA6" s="469" t="s">
        <v>405</v>
      </c>
      <c r="AB6" s="469" t="s">
        <v>406</v>
      </c>
      <c r="AC6" s="469" t="s">
        <v>396</v>
      </c>
      <c r="AD6" s="614"/>
      <c r="AE6" s="469" t="s">
        <v>404</v>
      </c>
      <c r="AF6" s="469" t="s">
        <v>405</v>
      </c>
      <c r="AG6" s="469" t="s">
        <v>406</v>
      </c>
      <c r="AH6" s="469" t="s">
        <v>396</v>
      </c>
      <c r="AI6" s="614"/>
      <c r="AJ6" s="469" t="s">
        <v>404</v>
      </c>
      <c r="AK6" s="469" t="s">
        <v>405</v>
      </c>
      <c r="AL6" s="469" t="s">
        <v>406</v>
      </c>
      <c r="AM6" s="469" t="s">
        <v>396</v>
      </c>
      <c r="AN6" s="614"/>
      <c r="AO6" s="469" t="s">
        <v>404</v>
      </c>
      <c r="AP6" s="469" t="s">
        <v>405</v>
      </c>
      <c r="AQ6" s="469" t="s">
        <v>406</v>
      </c>
      <c r="AR6" s="469" t="s">
        <v>396</v>
      </c>
      <c r="AS6" s="614"/>
      <c r="AT6" s="469" t="s">
        <v>404</v>
      </c>
      <c r="AU6" s="469" t="s">
        <v>405</v>
      </c>
      <c r="AV6" s="469" t="s">
        <v>406</v>
      </c>
      <c r="AW6" s="469" t="s">
        <v>396</v>
      </c>
      <c r="AX6" s="614"/>
      <c r="AZ6" s="523" t="s">
        <v>396</v>
      </c>
      <c r="BA6" s="614"/>
    </row>
    <row r="7" spans="1:53" ht="14.25">
      <c r="A7" s="81"/>
      <c r="B7" s="614" t="s">
        <v>134</v>
      </c>
      <c r="C7" s="466">
        <v>1</v>
      </c>
      <c r="D7" s="226" t="s">
        <v>367</v>
      </c>
      <c r="E7" s="182">
        <v>6</v>
      </c>
      <c r="F7" s="505">
        <v>1500</v>
      </c>
      <c r="G7" s="506">
        <v>250</v>
      </c>
      <c r="H7" s="663">
        <f>AVERAGE(G7:G36)</f>
        <v>97.962962962962976</v>
      </c>
      <c r="I7" s="516">
        <f>IFERROR(AVERAGE(P7,U7,Z7,AE7,AJ7,AO7,AT7),"-")</f>
        <v>6.1428571428571432</v>
      </c>
      <c r="J7" s="516">
        <f>IFERROR(AVERAGE(Q7,V7,AA7,AF7,AK7,AP7,AU7),"-")</f>
        <v>1457.050921624</v>
      </c>
      <c r="K7" s="200">
        <f>IFERROR(AVERAGE(R7,W7,AB7,AG7,AL7,AQ7,AV7),"-")</f>
        <v>237.80450437343396</v>
      </c>
      <c r="L7" s="595">
        <f>IFERROR(AVERAGE(K7:K36),"-")</f>
        <v>87.362432734179066</v>
      </c>
      <c r="M7" s="472">
        <f>RANK(K7, K$7:$K$36)</f>
        <v>2</v>
      </c>
      <c r="N7" s="614"/>
      <c r="O7" s="614"/>
      <c r="P7" s="524">
        <v>7</v>
      </c>
      <c r="Q7" s="182">
        <v>1480.970873786408</v>
      </c>
      <c r="R7" s="182">
        <v>211.56726768377257</v>
      </c>
      <c r="S7" s="524">
        <f>RANK(R7, R$7:R$36)</f>
        <v>1</v>
      </c>
      <c r="T7" s="636">
        <f>AVERAGE(R7:R36)</f>
        <v>84.754779963634064</v>
      </c>
      <c r="U7" s="524">
        <v>6</v>
      </c>
      <c r="V7" s="182">
        <v>1464.2231707317069</v>
      </c>
      <c r="W7" s="182">
        <v>244.03719512195116</v>
      </c>
      <c r="X7" s="524">
        <f>RANK(W7, W$7:W$36)</f>
        <v>1</v>
      </c>
      <c r="Y7" s="636">
        <f>AVERAGE(W7:W36)</f>
        <v>87.806557601947802</v>
      </c>
      <c r="Z7" s="524">
        <v>6</v>
      </c>
      <c r="AA7" s="182">
        <v>1447.5712500000009</v>
      </c>
      <c r="AB7" s="182">
        <v>241.26187500000015</v>
      </c>
      <c r="AC7" s="524">
        <f>RANK(AB7, AB$7:AB$36)</f>
        <v>2</v>
      </c>
      <c r="AD7" s="636">
        <f>AVERAGE(AB7:AB36)</f>
        <v>87.189976934819853</v>
      </c>
      <c r="AE7" s="524">
        <v>6</v>
      </c>
      <c r="AF7" s="182">
        <v>1446.3529411764712</v>
      </c>
      <c r="AG7" s="182">
        <v>241.05882352941185</v>
      </c>
      <c r="AH7" s="524">
        <f>RANK(AG7, AG$7:AG$36)</f>
        <v>2</v>
      </c>
      <c r="AI7" s="636">
        <f>AVERAGE(AG7:AG36)</f>
        <v>88.085856127896122</v>
      </c>
      <c r="AJ7" s="524">
        <v>6</v>
      </c>
      <c r="AK7" s="182">
        <v>1447.8171428571438</v>
      </c>
      <c r="AL7" s="182">
        <v>241.30285714285731</v>
      </c>
      <c r="AM7" s="524">
        <f>RANK(AL7, AL$7:AL$36)</f>
        <v>2</v>
      </c>
      <c r="AN7" s="636">
        <f>AVERAGE(AL7:AL36)</f>
        <v>88.040913713225862</v>
      </c>
      <c r="AO7" s="524">
        <v>6</v>
      </c>
      <c r="AP7" s="182">
        <v>1459.096240601504</v>
      </c>
      <c r="AQ7" s="182">
        <v>243.18270676691733</v>
      </c>
      <c r="AR7" s="524">
        <f>RANK(AQ7, AQ$7:AQ$36)</f>
        <v>2</v>
      </c>
      <c r="AS7" s="636">
        <f>AVERAGE(AQ7:AQ36)</f>
        <v>87.732264558071066</v>
      </c>
      <c r="AT7" s="524">
        <v>6</v>
      </c>
      <c r="AU7" s="182">
        <v>1453.3248322147649</v>
      </c>
      <c r="AV7" s="182">
        <v>242.22080536912748</v>
      </c>
      <c r="AW7" s="524">
        <f>RANK(AV7, AV$7:AV$36)</f>
        <v>2</v>
      </c>
      <c r="AX7" s="636">
        <f>AVERAGE(AV7:AV36)</f>
        <v>87.926680239658822</v>
      </c>
      <c r="AZ7" s="524" t="e">
        <f>RANK(AY7, AY$7:AY$36)</f>
        <v>#N/A</v>
      </c>
      <c r="BA7" s="636" t="e">
        <f>AVERAGE(AY7:AY36)</f>
        <v>#DIV/0!</v>
      </c>
    </row>
    <row r="8" spans="1:53" ht="15" customHeight="1">
      <c r="A8" s="81"/>
      <c r="B8" s="622"/>
      <c r="C8" s="466">
        <v>2</v>
      </c>
      <c r="D8" s="226" t="s">
        <v>841</v>
      </c>
      <c r="E8" s="182">
        <v>6</v>
      </c>
      <c r="F8" s="505">
        <v>1500</v>
      </c>
      <c r="G8" s="506">
        <v>250</v>
      </c>
      <c r="H8" s="664"/>
      <c r="I8" s="516">
        <f t="shared" ref="I8:K36" si="0">IFERROR(AVERAGE(P8,U8,Z8,AE8,AJ8,AO8,AT8),"-")</f>
        <v>6.1428571428571432</v>
      </c>
      <c r="J8" s="516">
        <f t="shared" si="0"/>
        <v>1462.0756821341877</v>
      </c>
      <c r="K8" s="200">
        <f t="shared" si="0"/>
        <v>238.87361286577206</v>
      </c>
      <c r="L8" s="596"/>
      <c r="M8" s="472">
        <f>RANK(K8, K$7:$K$36)</f>
        <v>1</v>
      </c>
      <c r="N8" s="614"/>
      <c r="O8" s="614"/>
      <c r="P8" s="524">
        <v>7</v>
      </c>
      <c r="Q8" s="182">
        <v>1412.8662420382168</v>
      </c>
      <c r="R8" s="182">
        <v>201.83803457688811</v>
      </c>
      <c r="S8" s="524">
        <f t="shared" ref="S8:S36" si="1">RANK(R8, R$7:R$36)</f>
        <v>2</v>
      </c>
      <c r="T8" s="636"/>
      <c r="U8" s="524">
        <v>6</v>
      </c>
      <c r="V8" s="182">
        <v>1461.6986301369864</v>
      </c>
      <c r="W8" s="182">
        <v>243.61643835616439</v>
      </c>
      <c r="X8" s="524">
        <f t="shared" ref="X8:X36" si="2">RANK(W8, W$7:W$36)</f>
        <v>2</v>
      </c>
      <c r="Y8" s="636"/>
      <c r="Z8" s="524">
        <v>6</v>
      </c>
      <c r="AA8" s="182">
        <v>1468.4023668639054</v>
      </c>
      <c r="AB8" s="182">
        <v>244.73372781065089</v>
      </c>
      <c r="AC8" s="524">
        <f t="shared" ref="AC8:AC36" si="3">RANK(AB8, AB$7:AB$36)</f>
        <v>1</v>
      </c>
      <c r="AD8" s="636"/>
      <c r="AE8" s="524">
        <v>6</v>
      </c>
      <c r="AF8" s="182">
        <v>1476.9230769230769</v>
      </c>
      <c r="AG8" s="182">
        <v>246.15384615384616</v>
      </c>
      <c r="AH8" s="524">
        <f t="shared" ref="AH8:AH36" si="4">RANK(AG8, AG$7:AG$36)</f>
        <v>1</v>
      </c>
      <c r="AI8" s="636"/>
      <c r="AJ8" s="524">
        <v>6</v>
      </c>
      <c r="AK8" s="182">
        <v>1457.3831775700933</v>
      </c>
      <c r="AL8" s="182">
        <v>242.89719626168221</v>
      </c>
      <c r="AM8" s="524">
        <f t="shared" ref="AM8:AM36" si="5">RANK(AL8, AL$7:AL$36)</f>
        <v>1</v>
      </c>
      <c r="AN8" s="636"/>
      <c r="AO8" s="524">
        <v>6</v>
      </c>
      <c r="AP8" s="182">
        <v>1491.2562814070352</v>
      </c>
      <c r="AQ8" s="182">
        <v>248.5427135678392</v>
      </c>
      <c r="AR8" s="524">
        <f t="shared" ref="AR8:AR36" si="6">RANK(AQ8, AQ$7:AQ$36)</f>
        <v>1</v>
      </c>
      <c r="AS8" s="636"/>
      <c r="AT8" s="524">
        <v>6</v>
      </c>
      <c r="AU8" s="182">
        <v>1466.0000000000005</v>
      </c>
      <c r="AV8" s="182">
        <v>244.3333333333334</v>
      </c>
      <c r="AW8" s="524">
        <f t="shared" ref="AW8:AW36" si="7">RANK(AV8, AV$7:AV$36)</f>
        <v>1</v>
      </c>
      <c r="AX8" s="636"/>
      <c r="AZ8" s="524" t="e">
        <f t="shared" ref="AZ8:AZ36" si="8">RANK(AY8, AY$7:AY$36)</f>
        <v>#N/A</v>
      </c>
      <c r="BA8" s="636"/>
    </row>
    <row r="9" spans="1:53" ht="14.25">
      <c r="A9" s="81"/>
      <c r="B9" s="622"/>
      <c r="C9" s="466">
        <v>3</v>
      </c>
      <c r="D9" s="226" t="s">
        <v>804</v>
      </c>
      <c r="E9" s="182">
        <v>18</v>
      </c>
      <c r="F9" s="505">
        <v>1500</v>
      </c>
      <c r="G9" s="506">
        <v>83.3</v>
      </c>
      <c r="H9" s="664"/>
      <c r="I9" s="516">
        <f t="shared" si="0"/>
        <v>18</v>
      </c>
      <c r="J9" s="516">
        <f t="shared" si="0"/>
        <v>1310.9818279977719</v>
      </c>
      <c r="K9" s="200">
        <f t="shared" si="0"/>
        <v>72.832323777653997</v>
      </c>
      <c r="L9" s="596"/>
      <c r="M9" s="472">
        <f>RANK(K9, K$7:$K$36)</f>
        <v>17</v>
      </c>
      <c r="N9" s="614"/>
      <c r="O9" s="614"/>
      <c r="P9" s="524">
        <v>18</v>
      </c>
      <c r="Q9" s="182">
        <v>1261.7716535433069</v>
      </c>
      <c r="R9" s="182">
        <v>70.098425196850386</v>
      </c>
      <c r="S9" s="524">
        <f t="shared" si="1"/>
        <v>18</v>
      </c>
      <c r="T9" s="636"/>
      <c r="U9" s="524">
        <v>18</v>
      </c>
      <c r="V9" s="182">
        <v>1252.6153846153845</v>
      </c>
      <c r="W9" s="182">
        <v>69.589743589743591</v>
      </c>
      <c r="X9" s="524">
        <f t="shared" si="2"/>
        <v>19</v>
      </c>
      <c r="Y9" s="636"/>
      <c r="Z9" s="524">
        <v>18</v>
      </c>
      <c r="AA9" s="182">
        <v>1257.8365384615392</v>
      </c>
      <c r="AB9" s="182">
        <v>69.879807692307736</v>
      </c>
      <c r="AC9" s="524">
        <f t="shared" si="3"/>
        <v>20</v>
      </c>
      <c r="AD9" s="636"/>
      <c r="AE9" s="524">
        <v>18</v>
      </c>
      <c r="AF9" s="182">
        <v>1275.4067796610179</v>
      </c>
      <c r="AG9" s="182">
        <v>70.855932203389884</v>
      </c>
      <c r="AH9" s="524">
        <f t="shared" si="4"/>
        <v>19</v>
      </c>
      <c r="AI9" s="636"/>
      <c r="AJ9" s="524">
        <v>18</v>
      </c>
      <c r="AK9" s="182">
        <v>1378.390909090909</v>
      </c>
      <c r="AL9" s="182">
        <v>76.577272727272714</v>
      </c>
      <c r="AM9" s="524">
        <f t="shared" si="5"/>
        <v>14</v>
      </c>
      <c r="AN9" s="636"/>
      <c r="AO9" s="524">
        <v>18</v>
      </c>
      <c r="AP9" s="182">
        <v>1375.7250000000004</v>
      </c>
      <c r="AQ9" s="182">
        <v>76.429166666666688</v>
      </c>
      <c r="AR9" s="524">
        <f t="shared" si="6"/>
        <v>14</v>
      </c>
      <c r="AS9" s="636"/>
      <c r="AT9" s="524">
        <v>18</v>
      </c>
      <c r="AU9" s="182">
        <v>1375.1265306122452</v>
      </c>
      <c r="AV9" s="182">
        <v>76.395918367346951</v>
      </c>
      <c r="AW9" s="524">
        <f t="shared" si="7"/>
        <v>14</v>
      </c>
      <c r="AX9" s="636"/>
      <c r="AZ9" s="524" t="e">
        <f t="shared" si="8"/>
        <v>#N/A</v>
      </c>
      <c r="BA9" s="636"/>
    </row>
    <row r="10" spans="1:53" ht="14.25">
      <c r="A10" s="81"/>
      <c r="B10" s="622"/>
      <c r="C10" s="466">
        <v>4</v>
      </c>
      <c r="D10" s="226" t="s">
        <v>743</v>
      </c>
      <c r="E10" s="182">
        <v>18</v>
      </c>
      <c r="F10" s="505">
        <v>1500</v>
      </c>
      <c r="G10" s="506">
        <v>83.3</v>
      </c>
      <c r="H10" s="664"/>
      <c r="I10" s="516">
        <f t="shared" si="0"/>
        <v>18</v>
      </c>
      <c r="J10" s="516">
        <f t="shared" si="0"/>
        <v>1332.7527807652027</v>
      </c>
      <c r="K10" s="200">
        <f t="shared" si="0"/>
        <v>74.041821153622365</v>
      </c>
      <c r="L10" s="596"/>
      <c r="M10" s="472">
        <f>RANK(K10, K$7:$K$36)</f>
        <v>15</v>
      </c>
      <c r="N10" s="614"/>
      <c r="O10" s="614"/>
      <c r="P10" s="524">
        <v>18</v>
      </c>
      <c r="Q10" s="182">
        <v>1325.2173913043478</v>
      </c>
      <c r="R10" s="182">
        <v>73.623188405797094</v>
      </c>
      <c r="S10" s="524">
        <f t="shared" si="1"/>
        <v>15</v>
      </c>
      <c r="T10" s="636"/>
      <c r="U10" s="524">
        <v>18</v>
      </c>
      <c r="V10" s="182">
        <v>1326.1538461538455</v>
      </c>
      <c r="W10" s="182">
        <v>73.675213675213641</v>
      </c>
      <c r="X10" s="524">
        <f t="shared" si="2"/>
        <v>15</v>
      </c>
      <c r="Y10" s="636"/>
      <c r="Z10" s="524">
        <v>18</v>
      </c>
      <c r="AA10" s="182">
        <v>1327.6923076923069</v>
      </c>
      <c r="AB10" s="182">
        <v>73.760683760683719</v>
      </c>
      <c r="AC10" s="524">
        <f t="shared" si="3"/>
        <v>14</v>
      </c>
      <c r="AD10" s="636"/>
      <c r="AE10" s="524">
        <v>18</v>
      </c>
      <c r="AF10" s="182">
        <v>1325.9999999999995</v>
      </c>
      <c r="AG10" s="182">
        <v>73.666666666666643</v>
      </c>
      <c r="AH10" s="524">
        <f t="shared" si="4"/>
        <v>17</v>
      </c>
      <c r="AI10" s="636"/>
      <c r="AJ10" s="524">
        <v>18</v>
      </c>
      <c r="AK10" s="182">
        <v>1337.1428571428567</v>
      </c>
      <c r="AL10" s="182">
        <v>74.285714285714263</v>
      </c>
      <c r="AM10" s="524">
        <f t="shared" si="5"/>
        <v>16</v>
      </c>
      <c r="AN10" s="636"/>
      <c r="AO10" s="524">
        <v>18</v>
      </c>
      <c r="AP10" s="182">
        <v>1329.7297297297287</v>
      </c>
      <c r="AQ10" s="182">
        <v>73.873873873873819</v>
      </c>
      <c r="AR10" s="524">
        <f t="shared" si="6"/>
        <v>17</v>
      </c>
      <c r="AS10" s="636"/>
      <c r="AT10" s="524">
        <v>18</v>
      </c>
      <c r="AU10" s="182">
        <v>1357.3333333333335</v>
      </c>
      <c r="AV10" s="182">
        <v>75.407407407407419</v>
      </c>
      <c r="AW10" s="524">
        <f t="shared" si="7"/>
        <v>16</v>
      </c>
      <c r="AX10" s="636"/>
      <c r="AZ10" s="524" t="e">
        <f t="shared" si="8"/>
        <v>#N/A</v>
      </c>
      <c r="BA10" s="636"/>
    </row>
    <row r="11" spans="1:53" ht="14.25">
      <c r="A11" s="81"/>
      <c r="B11" s="622"/>
      <c r="C11" s="466">
        <v>5</v>
      </c>
      <c r="D11" s="226" t="s">
        <v>353</v>
      </c>
      <c r="E11" s="182">
        <v>16</v>
      </c>
      <c r="F11" s="505">
        <v>1500</v>
      </c>
      <c r="G11" s="506">
        <v>93.8</v>
      </c>
      <c r="H11" s="664"/>
      <c r="I11" s="516">
        <f t="shared" si="0"/>
        <v>16</v>
      </c>
      <c r="J11" s="516">
        <f t="shared" si="0"/>
        <v>1400.0564539037682</v>
      </c>
      <c r="K11" s="200">
        <f t="shared" si="0"/>
        <v>87.503528368985513</v>
      </c>
      <c r="L11" s="596"/>
      <c r="M11" s="472">
        <f>RANK(K11, K$7:$K$36)</f>
        <v>4</v>
      </c>
      <c r="N11" s="614"/>
      <c r="O11" s="614"/>
      <c r="P11" s="524">
        <v>16</v>
      </c>
      <c r="Q11" s="182">
        <v>1407.80487804878</v>
      </c>
      <c r="R11" s="182">
        <v>87.987804878048749</v>
      </c>
      <c r="S11" s="524">
        <f t="shared" si="1"/>
        <v>5</v>
      </c>
      <c r="T11" s="636"/>
      <c r="U11" s="524">
        <v>16</v>
      </c>
      <c r="V11" s="182">
        <v>1422.3529411764687</v>
      </c>
      <c r="W11" s="182">
        <v>88.897058823529292</v>
      </c>
      <c r="X11" s="524">
        <f t="shared" si="2"/>
        <v>4</v>
      </c>
      <c r="Y11" s="636"/>
      <c r="Z11" s="524">
        <v>16</v>
      </c>
      <c r="AA11" s="182">
        <v>1399.4117647058806</v>
      </c>
      <c r="AB11" s="182">
        <v>87.463235294117538</v>
      </c>
      <c r="AC11" s="524">
        <f t="shared" si="3"/>
        <v>4</v>
      </c>
      <c r="AD11" s="636"/>
      <c r="AE11" s="524">
        <v>16</v>
      </c>
      <c r="AF11" s="182">
        <v>1404.7058823529394</v>
      </c>
      <c r="AG11" s="182">
        <v>87.794117647058712</v>
      </c>
      <c r="AH11" s="524">
        <f t="shared" si="4"/>
        <v>4</v>
      </c>
      <c r="AI11" s="636"/>
      <c r="AJ11" s="524">
        <v>16</v>
      </c>
      <c r="AK11" s="182">
        <v>1386.315789473683</v>
      </c>
      <c r="AL11" s="182">
        <v>86.644736842105189</v>
      </c>
      <c r="AM11" s="524">
        <f t="shared" si="5"/>
        <v>5</v>
      </c>
      <c r="AN11" s="636"/>
      <c r="AO11" s="524">
        <v>16</v>
      </c>
      <c r="AP11" s="182">
        <v>1406.4705882352923</v>
      </c>
      <c r="AQ11" s="182">
        <v>87.90441176470577</v>
      </c>
      <c r="AR11" s="524">
        <f t="shared" si="6"/>
        <v>4</v>
      </c>
      <c r="AS11" s="636"/>
      <c r="AT11" s="524">
        <v>16</v>
      </c>
      <c r="AU11" s="182">
        <v>1373.3333333333333</v>
      </c>
      <c r="AV11" s="182">
        <v>85.833333333333329</v>
      </c>
      <c r="AW11" s="524">
        <f t="shared" si="7"/>
        <v>5</v>
      </c>
      <c r="AX11" s="636"/>
      <c r="AZ11" s="524" t="e">
        <f t="shared" si="8"/>
        <v>#N/A</v>
      </c>
      <c r="BA11" s="636"/>
    </row>
    <row r="12" spans="1:53" ht="14.25">
      <c r="A12" s="81"/>
      <c r="B12" s="622"/>
      <c r="C12" s="466">
        <v>6</v>
      </c>
      <c r="D12" s="226" t="s">
        <v>369</v>
      </c>
      <c r="E12" s="182">
        <v>16</v>
      </c>
      <c r="F12" s="505">
        <v>1565</v>
      </c>
      <c r="G12" s="506">
        <v>97.8</v>
      </c>
      <c r="H12" s="664"/>
      <c r="I12" s="516">
        <f t="shared" si="0"/>
        <v>16</v>
      </c>
      <c r="J12" s="516">
        <f t="shared" si="0"/>
        <v>1388.7521612837586</v>
      </c>
      <c r="K12" s="200">
        <f t="shared" si="0"/>
        <v>86.797010080234912</v>
      </c>
      <c r="L12" s="596"/>
      <c r="M12" s="472">
        <f>RANK(K12, K$7:$K$36)</f>
        <v>5</v>
      </c>
      <c r="N12" s="614"/>
      <c r="O12" s="614"/>
      <c r="P12" s="524">
        <v>16</v>
      </c>
      <c r="Q12" s="182">
        <v>1397.8378378378368</v>
      </c>
      <c r="R12" s="182">
        <v>87.364864864864799</v>
      </c>
      <c r="S12" s="524">
        <f t="shared" si="1"/>
        <v>6</v>
      </c>
      <c r="T12" s="636"/>
      <c r="U12" s="524">
        <v>16</v>
      </c>
      <c r="V12" s="182">
        <v>1376.3636363636379</v>
      </c>
      <c r="W12" s="182">
        <v>86.022727272727366</v>
      </c>
      <c r="X12" s="524">
        <f t="shared" si="2"/>
        <v>6</v>
      </c>
      <c r="Y12" s="636"/>
      <c r="Z12" s="524">
        <v>16</v>
      </c>
      <c r="AA12" s="182">
        <v>1388.5714285714273</v>
      </c>
      <c r="AB12" s="182">
        <v>86.785714285714207</v>
      </c>
      <c r="AC12" s="524">
        <f t="shared" si="3"/>
        <v>5</v>
      </c>
      <c r="AD12" s="636"/>
      <c r="AE12" s="524">
        <v>16</v>
      </c>
      <c r="AF12" s="182">
        <v>1395.4285714285702</v>
      </c>
      <c r="AG12" s="182">
        <v>87.214285714285637</v>
      </c>
      <c r="AH12" s="524">
        <f t="shared" si="4"/>
        <v>5</v>
      </c>
      <c r="AI12" s="636"/>
      <c r="AJ12" s="524">
        <v>16</v>
      </c>
      <c r="AK12" s="182">
        <v>1397.6470588235277</v>
      </c>
      <c r="AL12" s="182">
        <v>87.35294117647048</v>
      </c>
      <c r="AM12" s="524">
        <f t="shared" si="5"/>
        <v>4</v>
      </c>
      <c r="AN12" s="636"/>
      <c r="AO12" s="524">
        <v>16</v>
      </c>
      <c r="AP12" s="182">
        <v>1377.4647887323929</v>
      </c>
      <c r="AQ12" s="182">
        <v>86.091549295774556</v>
      </c>
      <c r="AR12" s="524">
        <f t="shared" si="6"/>
        <v>5</v>
      </c>
      <c r="AS12" s="636"/>
      <c r="AT12" s="524">
        <v>16</v>
      </c>
      <c r="AU12" s="182">
        <v>1387.9518072289152</v>
      </c>
      <c r="AV12" s="182">
        <v>86.746987951807199</v>
      </c>
      <c r="AW12" s="524">
        <f t="shared" si="7"/>
        <v>4</v>
      </c>
      <c r="AX12" s="636"/>
      <c r="AZ12" s="524" t="e">
        <f t="shared" si="8"/>
        <v>#N/A</v>
      </c>
      <c r="BA12" s="636"/>
    </row>
    <row r="13" spans="1:53" ht="14.25">
      <c r="A13" s="81"/>
      <c r="B13" s="622"/>
      <c r="C13" s="466">
        <v>7</v>
      </c>
      <c r="D13" s="226" t="s">
        <v>345</v>
      </c>
      <c r="E13" s="182">
        <v>14</v>
      </c>
      <c r="F13" s="505">
        <v>1440</v>
      </c>
      <c r="G13" s="506">
        <v>102.9</v>
      </c>
      <c r="H13" s="664"/>
      <c r="I13" s="516">
        <f t="shared" si="0"/>
        <v>15</v>
      </c>
      <c r="J13" s="516">
        <f t="shared" si="0"/>
        <v>1205.1397783251211</v>
      </c>
      <c r="K13" s="200">
        <f t="shared" si="0"/>
        <v>80.342651888341393</v>
      </c>
      <c r="L13" s="596"/>
      <c r="M13" s="472">
        <f>RANK(K13, K$7:$K$36)</f>
        <v>10</v>
      </c>
      <c r="N13" s="614"/>
      <c r="O13" s="614"/>
      <c r="P13" s="524">
        <v>15</v>
      </c>
      <c r="Q13" s="182">
        <v>1185.5172413793082</v>
      </c>
      <c r="R13" s="182">
        <v>79.034482758620541</v>
      </c>
      <c r="S13" s="524">
        <f t="shared" si="1"/>
        <v>13</v>
      </c>
      <c r="T13" s="636"/>
      <c r="U13" s="524">
        <v>15</v>
      </c>
      <c r="V13" s="182">
        <v>1277.9999999999977</v>
      </c>
      <c r="W13" s="182">
        <v>85.199999999999847</v>
      </c>
      <c r="X13" s="524">
        <f t="shared" si="2"/>
        <v>7</v>
      </c>
      <c r="Y13" s="636"/>
      <c r="Z13" s="524">
        <v>15</v>
      </c>
      <c r="AA13" s="182">
        <v>1096.8749999999984</v>
      </c>
      <c r="AB13" s="182">
        <v>73.124999999999901</v>
      </c>
      <c r="AC13" s="524">
        <f t="shared" si="3"/>
        <v>15</v>
      </c>
      <c r="AD13" s="636"/>
      <c r="AE13" s="524">
        <v>15</v>
      </c>
      <c r="AF13" s="182">
        <v>1267.9999999999977</v>
      </c>
      <c r="AG13" s="182">
        <v>84.533333333333175</v>
      </c>
      <c r="AH13" s="524">
        <f t="shared" si="4"/>
        <v>7</v>
      </c>
      <c r="AI13" s="636"/>
      <c r="AJ13" s="524">
        <v>15</v>
      </c>
      <c r="AK13" s="182">
        <v>1255.9999999999977</v>
      </c>
      <c r="AL13" s="182">
        <v>83.733333333333178</v>
      </c>
      <c r="AM13" s="524">
        <f t="shared" si="5"/>
        <v>9</v>
      </c>
      <c r="AN13" s="636"/>
      <c r="AO13" s="524">
        <v>15</v>
      </c>
      <c r="AP13" s="182">
        <v>1103.999999999998</v>
      </c>
      <c r="AQ13" s="182">
        <v>73.599999999999866</v>
      </c>
      <c r="AR13" s="524">
        <f t="shared" si="6"/>
        <v>18</v>
      </c>
      <c r="AS13" s="636"/>
      <c r="AT13" s="524">
        <v>15</v>
      </c>
      <c r="AU13" s="182">
        <v>1247.5862068965494</v>
      </c>
      <c r="AV13" s="182">
        <v>83.172413793103289</v>
      </c>
      <c r="AW13" s="524">
        <f t="shared" si="7"/>
        <v>9</v>
      </c>
      <c r="AX13" s="636"/>
      <c r="AZ13" s="524" t="e">
        <f t="shared" si="8"/>
        <v>#N/A</v>
      </c>
      <c r="BA13" s="636"/>
    </row>
    <row r="14" spans="1:53" ht="14.25">
      <c r="A14" s="81"/>
      <c r="B14" s="622"/>
      <c r="C14" s="466">
        <v>8</v>
      </c>
      <c r="D14" s="226" t="s">
        <v>786</v>
      </c>
      <c r="E14" s="182">
        <v>16</v>
      </c>
      <c r="F14" s="505">
        <v>1440</v>
      </c>
      <c r="G14" s="506">
        <v>90</v>
      </c>
      <c r="H14" s="664"/>
      <c r="I14" s="516">
        <f t="shared" si="0"/>
        <v>16</v>
      </c>
      <c r="J14" s="516">
        <f t="shared" si="0"/>
        <v>1280.2711392448225</v>
      </c>
      <c r="K14" s="200">
        <f t="shared" si="0"/>
        <v>80.016946202801407</v>
      </c>
      <c r="L14" s="596"/>
      <c r="M14" s="472">
        <f>RANK(K14, K$7:$K$36)</f>
        <v>11</v>
      </c>
      <c r="N14" s="614"/>
      <c r="O14" s="614"/>
      <c r="P14" s="524">
        <v>16</v>
      </c>
      <c r="Q14" s="182">
        <v>1341.0810810810799</v>
      </c>
      <c r="R14" s="182">
        <v>83.817567567567494</v>
      </c>
      <c r="S14" s="524">
        <f t="shared" si="1"/>
        <v>9</v>
      </c>
      <c r="T14" s="636"/>
      <c r="U14" s="524">
        <v>16</v>
      </c>
      <c r="V14" s="182">
        <v>1275.7894736842095</v>
      </c>
      <c r="W14" s="182">
        <v>79.736842105263094</v>
      </c>
      <c r="X14" s="524">
        <f t="shared" si="2"/>
        <v>11</v>
      </c>
      <c r="Y14" s="636"/>
      <c r="Z14" s="524">
        <v>16</v>
      </c>
      <c r="AA14" s="182">
        <v>1265.4545454545439</v>
      </c>
      <c r="AB14" s="182">
        <v>79.090909090908994</v>
      </c>
      <c r="AC14" s="524">
        <f t="shared" si="3"/>
        <v>11</v>
      </c>
      <c r="AD14" s="636"/>
      <c r="AE14" s="524">
        <v>16</v>
      </c>
      <c r="AF14" s="182">
        <v>1269.2307692307686</v>
      </c>
      <c r="AG14" s="182">
        <v>79.326923076923038</v>
      </c>
      <c r="AH14" s="524">
        <f t="shared" si="4"/>
        <v>12</v>
      </c>
      <c r="AI14" s="636"/>
      <c r="AJ14" s="524">
        <v>16</v>
      </c>
      <c r="AK14" s="182">
        <v>1286.842105263157</v>
      </c>
      <c r="AL14" s="182">
        <v>80.427631578947313</v>
      </c>
      <c r="AM14" s="524">
        <f t="shared" si="5"/>
        <v>12</v>
      </c>
      <c r="AN14" s="636"/>
      <c r="AO14" s="524">
        <v>16</v>
      </c>
      <c r="AP14" s="182">
        <v>1267.4999999999995</v>
      </c>
      <c r="AQ14" s="182">
        <v>79.218749999999972</v>
      </c>
      <c r="AR14" s="524">
        <f t="shared" si="6"/>
        <v>10</v>
      </c>
      <c r="AS14" s="636"/>
      <c r="AT14" s="524">
        <v>16</v>
      </c>
      <c r="AU14" s="182">
        <v>1256</v>
      </c>
      <c r="AV14" s="182">
        <v>78.5</v>
      </c>
      <c r="AW14" s="524">
        <f t="shared" si="7"/>
        <v>11</v>
      </c>
      <c r="AX14" s="636"/>
      <c r="AZ14" s="524" t="e">
        <f t="shared" si="8"/>
        <v>#N/A</v>
      </c>
      <c r="BA14" s="636"/>
    </row>
    <row r="15" spans="1:53" ht="14.25">
      <c r="A15" s="81"/>
      <c r="B15" s="622"/>
      <c r="C15" s="466">
        <v>9</v>
      </c>
      <c r="D15" s="226" t="s">
        <v>787</v>
      </c>
      <c r="E15" s="182">
        <v>16</v>
      </c>
      <c r="F15" s="505">
        <v>1440</v>
      </c>
      <c r="G15" s="506">
        <v>90</v>
      </c>
      <c r="H15" s="664"/>
      <c r="I15" s="516">
        <f t="shared" si="0"/>
        <v>16.714285714285715</v>
      </c>
      <c r="J15" s="516">
        <f t="shared" si="0"/>
        <v>1161.3749521681534</v>
      </c>
      <c r="K15" s="200">
        <f t="shared" si="0"/>
        <v>69.534310911852145</v>
      </c>
      <c r="L15" s="596"/>
      <c r="M15" s="472">
        <f>RANK(K15, K$7:$K$36)</f>
        <v>21</v>
      </c>
      <c r="N15" s="614"/>
      <c r="O15" s="614"/>
      <c r="P15" s="524">
        <v>17</v>
      </c>
      <c r="Q15" s="182">
        <v>1134.5454545454545</v>
      </c>
      <c r="R15" s="182">
        <v>66.737967914438499</v>
      </c>
      <c r="S15" s="524">
        <f t="shared" si="1"/>
        <v>23</v>
      </c>
      <c r="T15" s="636"/>
      <c r="U15" s="524">
        <v>17</v>
      </c>
      <c r="V15" s="182">
        <v>1177.8947368421045</v>
      </c>
      <c r="W15" s="182">
        <v>69.287925696594385</v>
      </c>
      <c r="X15" s="524">
        <f t="shared" si="2"/>
        <v>20</v>
      </c>
      <c r="Y15" s="636"/>
      <c r="Z15" s="524">
        <v>17</v>
      </c>
      <c r="AA15" s="182">
        <v>1219.4117647058808</v>
      </c>
      <c r="AB15" s="182">
        <v>71.730103806228286</v>
      </c>
      <c r="AC15" s="524">
        <f t="shared" si="3"/>
        <v>16</v>
      </c>
      <c r="AD15" s="636"/>
      <c r="AE15" s="524">
        <v>16</v>
      </c>
      <c r="AF15" s="182">
        <v>1205.9999999999995</v>
      </c>
      <c r="AG15" s="182">
        <v>75.374999999999972</v>
      </c>
      <c r="AH15" s="524">
        <f t="shared" si="4"/>
        <v>15</v>
      </c>
      <c r="AI15" s="636"/>
      <c r="AJ15" s="524">
        <v>16</v>
      </c>
      <c r="AK15" s="182">
        <v>1113.3333333333323</v>
      </c>
      <c r="AL15" s="182">
        <v>69.583333333333272</v>
      </c>
      <c r="AM15" s="524">
        <f t="shared" si="5"/>
        <v>21</v>
      </c>
      <c r="AN15" s="636"/>
      <c r="AO15" s="524">
        <v>17</v>
      </c>
      <c r="AP15" s="182">
        <v>1130.2040816326535</v>
      </c>
      <c r="AQ15" s="182">
        <v>66.482593037214912</v>
      </c>
      <c r="AR15" s="524">
        <f t="shared" si="6"/>
        <v>22</v>
      </c>
      <c r="AS15" s="636"/>
      <c r="AT15" s="524">
        <v>17</v>
      </c>
      <c r="AU15" s="182">
        <v>1148.2352941176475</v>
      </c>
      <c r="AV15" s="182">
        <v>67.543252595155735</v>
      </c>
      <c r="AW15" s="524">
        <f t="shared" si="7"/>
        <v>22</v>
      </c>
      <c r="AX15" s="636"/>
      <c r="AZ15" s="524" t="e">
        <f t="shared" si="8"/>
        <v>#N/A</v>
      </c>
      <c r="BA15" s="636"/>
    </row>
    <row r="16" spans="1:53" ht="14.25">
      <c r="A16" s="81"/>
      <c r="B16" s="622"/>
      <c r="C16" s="466">
        <v>10</v>
      </c>
      <c r="D16" s="226" t="s">
        <v>788</v>
      </c>
      <c r="E16" s="182">
        <v>18</v>
      </c>
      <c r="F16" s="505">
        <v>1636</v>
      </c>
      <c r="G16" s="506">
        <v>90.9</v>
      </c>
      <c r="H16" s="664"/>
      <c r="I16" s="516">
        <f t="shared" si="0"/>
        <v>18</v>
      </c>
      <c r="J16" s="516">
        <f t="shared" si="0"/>
        <v>1537.1983812440496</v>
      </c>
      <c r="K16" s="200">
        <f t="shared" si="0"/>
        <v>85.399910069113844</v>
      </c>
      <c r="L16" s="596"/>
      <c r="M16" s="472">
        <f>RANK(K16, K$7:$K$36)</f>
        <v>6</v>
      </c>
      <c r="N16" s="614"/>
      <c r="O16" s="614"/>
      <c r="P16" s="524">
        <v>18</v>
      </c>
      <c r="Q16" s="182">
        <v>1565.7692307692316</v>
      </c>
      <c r="R16" s="182">
        <v>86.987179487179532</v>
      </c>
      <c r="S16" s="524">
        <f t="shared" si="1"/>
        <v>7</v>
      </c>
      <c r="T16" s="636"/>
      <c r="U16" s="524">
        <v>18</v>
      </c>
      <c r="V16" s="182">
        <v>1514.6938775510209</v>
      </c>
      <c r="W16" s="182">
        <v>84.149659863945601</v>
      </c>
      <c r="X16" s="524">
        <f t="shared" si="2"/>
        <v>9</v>
      </c>
      <c r="Y16" s="636"/>
      <c r="Z16" s="524">
        <v>18</v>
      </c>
      <c r="AA16" s="182">
        <v>1552.8571428571424</v>
      </c>
      <c r="AB16" s="182">
        <v>86.269841269841251</v>
      </c>
      <c r="AC16" s="524">
        <f t="shared" si="3"/>
        <v>6</v>
      </c>
      <c r="AD16" s="636"/>
      <c r="AE16" s="524">
        <v>18</v>
      </c>
      <c r="AF16" s="182">
        <v>1537.5000000000005</v>
      </c>
      <c r="AG16" s="182">
        <v>85.416666666666686</v>
      </c>
      <c r="AH16" s="524">
        <f t="shared" si="4"/>
        <v>6</v>
      </c>
      <c r="AI16" s="636"/>
      <c r="AJ16" s="524">
        <v>18</v>
      </c>
      <c r="AK16" s="182">
        <v>1536.7346938775513</v>
      </c>
      <c r="AL16" s="182">
        <v>85.37414965986396</v>
      </c>
      <c r="AM16" s="524">
        <f t="shared" si="5"/>
        <v>8</v>
      </c>
      <c r="AN16" s="636"/>
      <c r="AO16" s="524">
        <v>18</v>
      </c>
      <c r="AP16" s="182">
        <v>1508.5714285714298</v>
      </c>
      <c r="AQ16" s="182">
        <v>83.809523809523881</v>
      </c>
      <c r="AR16" s="524">
        <f t="shared" si="6"/>
        <v>9</v>
      </c>
      <c r="AS16" s="636"/>
      <c r="AT16" s="524">
        <v>18</v>
      </c>
      <c r="AU16" s="182">
        <v>1544.2622950819687</v>
      </c>
      <c r="AV16" s="182">
        <v>85.792349726776038</v>
      </c>
      <c r="AW16" s="524">
        <f t="shared" si="7"/>
        <v>6</v>
      </c>
      <c r="AX16" s="636"/>
      <c r="AZ16" s="524" t="e">
        <f t="shared" si="8"/>
        <v>#N/A</v>
      </c>
      <c r="BA16" s="636"/>
    </row>
    <row r="17" spans="2:53">
      <c r="B17" s="622"/>
      <c r="C17" s="466">
        <v>11</v>
      </c>
      <c r="D17" s="226" t="s">
        <v>789</v>
      </c>
      <c r="E17" s="182">
        <v>18</v>
      </c>
      <c r="F17" s="505">
        <v>1636</v>
      </c>
      <c r="G17" s="506">
        <v>90.9</v>
      </c>
      <c r="H17" s="664"/>
      <c r="I17" s="516">
        <f t="shared" si="0"/>
        <v>18</v>
      </c>
      <c r="J17" s="516">
        <f t="shared" si="0"/>
        <v>1525.0125348819868</v>
      </c>
      <c r="K17" s="200">
        <f t="shared" si="0"/>
        <v>84.722918604554806</v>
      </c>
      <c r="L17" s="596"/>
      <c r="M17" s="472">
        <f>RANK(K17, K$7:$K$36)</f>
        <v>8</v>
      </c>
      <c r="N17" s="614"/>
      <c r="O17" s="614"/>
      <c r="P17" s="524">
        <v>18</v>
      </c>
      <c r="Q17" s="182">
        <v>1545.365853658536</v>
      </c>
      <c r="R17" s="182">
        <v>85.853658536585328</v>
      </c>
      <c r="S17" s="524">
        <f t="shared" si="1"/>
        <v>8</v>
      </c>
      <c r="T17" s="636"/>
      <c r="U17" s="524">
        <v>18</v>
      </c>
      <c r="V17" s="182">
        <v>1525.7142857142842</v>
      </c>
      <c r="W17" s="182">
        <v>84.761904761904674</v>
      </c>
      <c r="X17" s="524">
        <f t="shared" si="2"/>
        <v>8</v>
      </c>
      <c r="Y17" s="636"/>
      <c r="Z17" s="524">
        <v>18</v>
      </c>
      <c r="AA17" s="182">
        <v>1535.624999999998</v>
      </c>
      <c r="AB17" s="182">
        <v>85.312499999999886</v>
      </c>
      <c r="AC17" s="524">
        <f t="shared" si="3"/>
        <v>7</v>
      </c>
      <c r="AD17" s="636"/>
      <c r="AE17" s="524">
        <v>18</v>
      </c>
      <c r="AF17" s="182">
        <v>1492.1052631578937</v>
      </c>
      <c r="AG17" s="182">
        <v>82.894736842105203</v>
      </c>
      <c r="AH17" s="524">
        <f t="shared" si="4"/>
        <v>9</v>
      </c>
      <c r="AI17" s="636"/>
      <c r="AJ17" s="524">
        <v>18</v>
      </c>
      <c r="AK17" s="182">
        <v>1537.2972972972962</v>
      </c>
      <c r="AL17" s="182">
        <v>85.405405405405347</v>
      </c>
      <c r="AM17" s="524">
        <f t="shared" si="5"/>
        <v>7</v>
      </c>
      <c r="AN17" s="636"/>
      <c r="AO17" s="524">
        <v>18</v>
      </c>
      <c r="AP17" s="182">
        <v>1511.7073170731701</v>
      </c>
      <c r="AQ17" s="182">
        <v>83.983739837398332</v>
      </c>
      <c r="AR17" s="524">
        <f t="shared" si="6"/>
        <v>7</v>
      </c>
      <c r="AS17" s="636"/>
      <c r="AT17" s="524">
        <v>18</v>
      </c>
      <c r="AU17" s="182">
        <v>1527.2727272727273</v>
      </c>
      <c r="AV17" s="182">
        <v>84.848484848484844</v>
      </c>
      <c r="AW17" s="524">
        <f t="shared" si="7"/>
        <v>7</v>
      </c>
      <c r="AX17" s="636"/>
      <c r="AZ17" s="524" t="e">
        <f t="shared" si="8"/>
        <v>#N/A</v>
      </c>
      <c r="BA17" s="636"/>
    </row>
    <row r="18" spans="2:53">
      <c r="B18" s="622"/>
      <c r="C18" s="466">
        <v>12</v>
      </c>
      <c r="D18" s="226" t="s">
        <v>355</v>
      </c>
      <c r="E18" s="182">
        <v>17</v>
      </c>
      <c r="F18" s="505">
        <v>1500</v>
      </c>
      <c r="G18" s="506">
        <v>88.2</v>
      </c>
      <c r="H18" s="664"/>
      <c r="I18" s="516">
        <f t="shared" si="0"/>
        <v>17</v>
      </c>
      <c r="J18" s="516">
        <f t="shared" si="0"/>
        <v>1399.7579421526782</v>
      </c>
      <c r="K18" s="200">
        <f t="shared" si="0"/>
        <v>82.338702479569307</v>
      </c>
      <c r="L18" s="596"/>
      <c r="M18" s="472">
        <f>RANK(K18, K$7:$K$36)</f>
        <v>9</v>
      </c>
      <c r="N18" s="614"/>
      <c r="O18" s="614"/>
      <c r="P18" s="524">
        <v>17</v>
      </c>
      <c r="Q18" s="182">
        <v>1400.5263157894726</v>
      </c>
      <c r="R18" s="182">
        <v>82.383900928792514</v>
      </c>
      <c r="S18" s="524">
        <f t="shared" si="1"/>
        <v>10</v>
      </c>
      <c r="T18" s="636"/>
      <c r="U18" s="524">
        <v>17</v>
      </c>
      <c r="V18" s="182">
        <v>1403.3333333333323</v>
      </c>
      <c r="W18" s="182">
        <v>82.549019607843078</v>
      </c>
      <c r="X18" s="524">
        <f t="shared" si="2"/>
        <v>10</v>
      </c>
      <c r="Y18" s="636"/>
      <c r="Z18" s="524">
        <v>17</v>
      </c>
      <c r="AA18" s="182">
        <v>1374.9999999999991</v>
      </c>
      <c r="AB18" s="182">
        <v>80.882352941176421</v>
      </c>
      <c r="AC18" s="524">
        <f t="shared" si="3"/>
        <v>9</v>
      </c>
      <c r="AD18" s="636"/>
      <c r="AE18" s="524">
        <v>17</v>
      </c>
      <c r="AF18" s="182">
        <v>1378.4999999999995</v>
      </c>
      <c r="AG18" s="182">
        <v>81.088235294117624</v>
      </c>
      <c r="AH18" s="524">
        <f t="shared" si="4"/>
        <v>10</v>
      </c>
      <c r="AI18" s="636"/>
      <c r="AJ18" s="524">
        <v>17</v>
      </c>
      <c r="AK18" s="182">
        <v>1405.9459459459449</v>
      </c>
      <c r="AL18" s="182">
        <v>82.702702702702638</v>
      </c>
      <c r="AM18" s="524">
        <f t="shared" si="5"/>
        <v>10</v>
      </c>
      <c r="AN18" s="636"/>
      <c r="AO18" s="524">
        <v>17</v>
      </c>
      <c r="AP18" s="182">
        <v>1424.9999999999989</v>
      </c>
      <c r="AQ18" s="182">
        <v>83.823529411764639</v>
      </c>
      <c r="AR18" s="524">
        <f t="shared" si="6"/>
        <v>8</v>
      </c>
      <c r="AS18" s="636"/>
      <c r="AT18" s="524">
        <v>17</v>
      </c>
      <c r="AU18" s="182">
        <v>1409.9999999999995</v>
      </c>
      <c r="AV18" s="182">
        <v>82.941176470588204</v>
      </c>
      <c r="AW18" s="524">
        <f t="shared" si="7"/>
        <v>10</v>
      </c>
      <c r="AX18" s="636"/>
      <c r="AZ18" s="524" t="e">
        <f t="shared" si="8"/>
        <v>#N/A</v>
      </c>
      <c r="BA18" s="636"/>
    </row>
    <row r="19" spans="2:53">
      <c r="B19" s="622"/>
      <c r="C19" s="466">
        <v>13</v>
      </c>
      <c r="D19" s="226" t="s">
        <v>666</v>
      </c>
      <c r="E19" s="182">
        <v>20</v>
      </c>
      <c r="F19" s="505">
        <v>1440</v>
      </c>
      <c r="G19" s="506">
        <v>72</v>
      </c>
      <c r="H19" s="664"/>
      <c r="I19" s="516">
        <f t="shared" si="0"/>
        <v>20</v>
      </c>
      <c r="J19" s="516">
        <f t="shared" si="0"/>
        <v>1337.8806129642587</v>
      </c>
      <c r="K19" s="200">
        <f t="shared" si="0"/>
        <v>66.894030648212933</v>
      </c>
      <c r="L19" s="596"/>
      <c r="M19" s="472">
        <f>RANK(K19, K$7:$K$36)</f>
        <v>23</v>
      </c>
      <c r="N19" s="614"/>
      <c r="O19" s="614"/>
      <c r="P19" s="524">
        <v>20</v>
      </c>
      <c r="Q19" s="182">
        <v>1371.3043478260856</v>
      </c>
      <c r="R19" s="182">
        <v>68.565217391304287</v>
      </c>
      <c r="S19" s="524">
        <f t="shared" si="1"/>
        <v>21</v>
      </c>
      <c r="T19" s="636"/>
      <c r="U19" s="524">
        <v>20</v>
      </c>
      <c r="V19" s="182">
        <v>1326.176470588237</v>
      </c>
      <c r="W19" s="182">
        <v>66.308823529411853</v>
      </c>
      <c r="X19" s="524">
        <f t="shared" si="2"/>
        <v>23</v>
      </c>
      <c r="Y19" s="636"/>
      <c r="Z19" s="524">
        <v>20</v>
      </c>
      <c r="AA19" s="182">
        <v>1342.2580645161304</v>
      </c>
      <c r="AB19" s="182">
        <v>67.112903225806519</v>
      </c>
      <c r="AC19" s="524">
        <f t="shared" si="3"/>
        <v>22</v>
      </c>
      <c r="AD19" s="636"/>
      <c r="AE19" s="524">
        <v>20</v>
      </c>
      <c r="AF19" s="182">
        <v>1356.4864864864855</v>
      </c>
      <c r="AG19" s="182">
        <v>67.82432432432428</v>
      </c>
      <c r="AH19" s="524">
        <f t="shared" si="4"/>
        <v>22</v>
      </c>
      <c r="AI19" s="636"/>
      <c r="AJ19" s="524">
        <v>20</v>
      </c>
      <c r="AK19" s="182">
        <v>1319.1999999999989</v>
      </c>
      <c r="AL19" s="182">
        <v>65.959999999999951</v>
      </c>
      <c r="AM19" s="524">
        <f t="shared" si="5"/>
        <v>23</v>
      </c>
      <c r="AN19" s="636"/>
      <c r="AO19" s="524">
        <v>20</v>
      </c>
      <c r="AP19" s="182">
        <v>1321.6901408450692</v>
      </c>
      <c r="AQ19" s="182">
        <v>66.084507042253463</v>
      </c>
      <c r="AR19" s="524">
        <f t="shared" si="6"/>
        <v>23</v>
      </c>
      <c r="AS19" s="636"/>
      <c r="AT19" s="524">
        <v>20</v>
      </c>
      <c r="AU19" s="182">
        <v>1328.0487804878044</v>
      </c>
      <c r="AV19" s="182">
        <v>66.402439024390219</v>
      </c>
      <c r="AW19" s="524">
        <f t="shared" si="7"/>
        <v>23</v>
      </c>
      <c r="AX19" s="636"/>
      <c r="AZ19" s="524" t="e">
        <f t="shared" si="8"/>
        <v>#N/A</v>
      </c>
      <c r="BA19" s="636"/>
    </row>
    <row r="20" spans="2:53">
      <c r="B20" s="622"/>
      <c r="C20" s="466">
        <v>14</v>
      </c>
      <c r="D20" s="226" t="s">
        <v>370</v>
      </c>
      <c r="E20" s="182">
        <v>14</v>
      </c>
      <c r="F20" s="505">
        <v>1440</v>
      </c>
      <c r="G20" s="506">
        <v>102.9</v>
      </c>
      <c r="H20" s="664"/>
      <c r="I20" s="516">
        <f t="shared" si="0"/>
        <v>15</v>
      </c>
      <c r="J20" s="516">
        <f t="shared" si="0"/>
        <v>1345.3890336624081</v>
      </c>
      <c r="K20" s="200">
        <f t="shared" si="0"/>
        <v>89.69260224416054</v>
      </c>
      <c r="L20" s="596"/>
      <c r="M20" s="472">
        <f>RANK(K20, K$7:$K$36)</f>
        <v>3</v>
      </c>
      <c r="N20" s="614"/>
      <c r="O20" s="614"/>
      <c r="P20" s="524">
        <v>15</v>
      </c>
      <c r="Q20" s="182">
        <v>1365.5555555555561</v>
      </c>
      <c r="R20" s="182">
        <v>91.037037037037081</v>
      </c>
      <c r="S20" s="524">
        <f t="shared" si="1"/>
        <v>3</v>
      </c>
      <c r="T20" s="636"/>
      <c r="U20" s="524">
        <v>15</v>
      </c>
      <c r="V20" s="182">
        <v>1356.6101694915267</v>
      </c>
      <c r="W20" s="182">
        <v>90.440677966101774</v>
      </c>
      <c r="X20" s="524">
        <f t="shared" si="2"/>
        <v>3</v>
      </c>
      <c r="Y20" s="636"/>
      <c r="Z20" s="524">
        <v>15</v>
      </c>
      <c r="AA20" s="182">
        <v>1345.2631578947378</v>
      </c>
      <c r="AB20" s="182">
        <v>89.684210526315852</v>
      </c>
      <c r="AC20" s="524">
        <f t="shared" si="3"/>
        <v>3</v>
      </c>
      <c r="AD20" s="636"/>
      <c r="AE20" s="524">
        <v>15</v>
      </c>
      <c r="AF20" s="182">
        <v>1334.7368421052643</v>
      </c>
      <c r="AG20" s="182">
        <v>88.982456140350948</v>
      </c>
      <c r="AH20" s="524">
        <f t="shared" si="4"/>
        <v>3</v>
      </c>
      <c r="AI20" s="636"/>
      <c r="AJ20" s="524">
        <v>15</v>
      </c>
      <c r="AK20" s="182">
        <v>1327.6363636363646</v>
      </c>
      <c r="AL20" s="182">
        <v>88.509090909090972</v>
      </c>
      <c r="AM20" s="524">
        <f t="shared" si="5"/>
        <v>3</v>
      </c>
      <c r="AN20" s="636"/>
      <c r="AO20" s="524">
        <v>15</v>
      </c>
      <c r="AP20" s="182">
        <v>1338.8888888888896</v>
      </c>
      <c r="AQ20" s="182">
        <v>89.259259259259309</v>
      </c>
      <c r="AR20" s="524">
        <f t="shared" si="6"/>
        <v>3</v>
      </c>
      <c r="AS20" s="636"/>
      <c r="AT20" s="524">
        <v>15</v>
      </c>
      <c r="AU20" s="182">
        <v>1349.0322580645175</v>
      </c>
      <c r="AV20" s="182">
        <v>89.935483870967829</v>
      </c>
      <c r="AW20" s="524">
        <f t="shared" si="7"/>
        <v>3</v>
      </c>
      <c r="AX20" s="636"/>
      <c r="AZ20" s="524" t="e">
        <f t="shared" si="8"/>
        <v>#N/A</v>
      </c>
      <c r="BA20" s="636"/>
    </row>
    <row r="21" spans="2:53">
      <c r="B21" s="622"/>
      <c r="C21" s="466">
        <v>15</v>
      </c>
      <c r="D21" s="226" t="s">
        <v>347</v>
      </c>
      <c r="E21" s="182">
        <v>19</v>
      </c>
      <c r="F21" s="505">
        <v>1440</v>
      </c>
      <c r="G21" s="506">
        <v>75.8</v>
      </c>
      <c r="H21" s="664"/>
      <c r="I21" s="516">
        <f t="shared" si="0"/>
        <v>19</v>
      </c>
      <c r="J21" s="516">
        <f t="shared" si="0"/>
        <v>1339.9129371983793</v>
      </c>
      <c r="K21" s="200">
        <f t="shared" si="0"/>
        <v>70.521733536756798</v>
      </c>
      <c r="L21" s="596"/>
      <c r="M21" s="472">
        <f>RANK(K21, K$7:$K$36)</f>
        <v>19</v>
      </c>
      <c r="N21" s="614"/>
      <c r="O21" s="614"/>
      <c r="P21" s="524">
        <v>19</v>
      </c>
      <c r="Q21" s="182">
        <v>1350.3703703703698</v>
      </c>
      <c r="R21" s="182">
        <v>71.072124756335256</v>
      </c>
      <c r="S21" s="524">
        <f t="shared" si="1"/>
        <v>17</v>
      </c>
      <c r="T21" s="636"/>
      <c r="U21" s="524">
        <v>19</v>
      </c>
      <c r="V21" s="182">
        <v>1334.0740740740735</v>
      </c>
      <c r="W21" s="182">
        <v>70.21442495126702</v>
      </c>
      <c r="X21" s="524">
        <f t="shared" si="2"/>
        <v>18</v>
      </c>
      <c r="Y21" s="636"/>
      <c r="Z21" s="524">
        <v>19</v>
      </c>
      <c r="AA21" s="182">
        <v>1329.599999999999</v>
      </c>
      <c r="AB21" s="182">
        <v>69.978947368421004</v>
      </c>
      <c r="AC21" s="524">
        <f t="shared" si="3"/>
        <v>19</v>
      </c>
      <c r="AD21" s="636"/>
      <c r="AE21" s="524">
        <v>19</v>
      </c>
      <c r="AF21" s="182">
        <v>1330.2439024390239</v>
      </c>
      <c r="AG21" s="182">
        <v>70.01283697047495</v>
      </c>
      <c r="AH21" s="524">
        <f t="shared" si="4"/>
        <v>21</v>
      </c>
      <c r="AI21" s="636"/>
      <c r="AJ21" s="524">
        <v>19</v>
      </c>
      <c r="AK21" s="182">
        <v>1358.3720930232557</v>
      </c>
      <c r="AL21" s="182">
        <v>71.493268053855559</v>
      </c>
      <c r="AM21" s="524">
        <f t="shared" si="5"/>
        <v>19</v>
      </c>
      <c r="AN21" s="636"/>
      <c r="AO21" s="524">
        <v>19</v>
      </c>
      <c r="AP21" s="182">
        <v>1352.530120481927</v>
      </c>
      <c r="AQ21" s="182">
        <v>71.185795814838272</v>
      </c>
      <c r="AR21" s="524">
        <f t="shared" si="6"/>
        <v>20</v>
      </c>
      <c r="AS21" s="636"/>
      <c r="AT21" s="524">
        <v>19</v>
      </c>
      <c r="AU21" s="182">
        <v>1324.2000000000048</v>
      </c>
      <c r="AV21" s="182">
        <v>69.694736842105513</v>
      </c>
      <c r="AW21" s="524">
        <f t="shared" si="7"/>
        <v>21</v>
      </c>
      <c r="AX21" s="636"/>
      <c r="AZ21" s="524" t="e">
        <f t="shared" si="8"/>
        <v>#N/A</v>
      </c>
      <c r="BA21" s="636"/>
    </row>
    <row r="22" spans="2:53">
      <c r="B22" s="622"/>
      <c r="C22" s="466">
        <v>16</v>
      </c>
      <c r="D22" s="226" t="s">
        <v>368</v>
      </c>
      <c r="E22" s="182">
        <v>19</v>
      </c>
      <c r="F22" s="505">
        <v>1440</v>
      </c>
      <c r="G22" s="506">
        <v>75.8</v>
      </c>
      <c r="H22" s="664"/>
      <c r="I22" s="516">
        <f t="shared" si="0"/>
        <v>19</v>
      </c>
      <c r="J22" s="516">
        <f t="shared" si="0"/>
        <v>1331.0422400835039</v>
      </c>
      <c r="K22" s="200">
        <f t="shared" si="0"/>
        <v>70.054854741237051</v>
      </c>
      <c r="L22" s="596"/>
      <c r="M22" s="472">
        <f>RANK(K22, K$7:$K$36)</f>
        <v>20</v>
      </c>
      <c r="N22" s="614"/>
      <c r="O22" s="614"/>
      <c r="P22" s="524">
        <v>19</v>
      </c>
      <c r="Q22" s="182">
        <v>1328.709677419356</v>
      </c>
      <c r="R22" s="182">
        <v>69.93208828522927</v>
      </c>
      <c r="S22" s="524">
        <f t="shared" si="1"/>
        <v>19</v>
      </c>
      <c r="T22" s="636"/>
      <c r="U22" s="524">
        <v>19</v>
      </c>
      <c r="V22" s="182">
        <v>1315.6363636363644</v>
      </c>
      <c r="W22" s="182">
        <v>69.244019138756016</v>
      </c>
      <c r="X22" s="524">
        <f t="shared" si="2"/>
        <v>21</v>
      </c>
      <c r="Y22" s="636"/>
      <c r="Z22" s="524">
        <v>19</v>
      </c>
      <c r="AA22" s="182">
        <v>1317.5510204081636</v>
      </c>
      <c r="AB22" s="182">
        <v>69.344790547798084</v>
      </c>
      <c r="AC22" s="524">
        <f t="shared" si="3"/>
        <v>21</v>
      </c>
      <c r="AD22" s="636"/>
      <c r="AE22" s="524">
        <v>19</v>
      </c>
      <c r="AF22" s="182">
        <v>1345.5555555555563</v>
      </c>
      <c r="AG22" s="182">
        <v>70.818713450292435</v>
      </c>
      <c r="AH22" s="524">
        <f t="shared" si="4"/>
        <v>20</v>
      </c>
      <c r="AI22" s="636"/>
      <c r="AJ22" s="524">
        <v>19</v>
      </c>
      <c r="AK22" s="182">
        <v>1339.6363636363644</v>
      </c>
      <c r="AL22" s="182">
        <v>70.507177033492866</v>
      </c>
      <c r="AM22" s="524">
        <f t="shared" si="5"/>
        <v>20</v>
      </c>
      <c r="AN22" s="636"/>
      <c r="AO22" s="524">
        <v>19</v>
      </c>
      <c r="AP22" s="182">
        <v>1318.0327868852471</v>
      </c>
      <c r="AQ22" s="182">
        <v>69.370146678170897</v>
      </c>
      <c r="AR22" s="524">
        <f t="shared" si="6"/>
        <v>21</v>
      </c>
      <c r="AS22" s="636"/>
      <c r="AT22" s="524">
        <v>19</v>
      </c>
      <c r="AU22" s="182">
        <v>1352.1739130434769</v>
      </c>
      <c r="AV22" s="182">
        <v>71.167048054919832</v>
      </c>
      <c r="AW22" s="524">
        <f t="shared" si="7"/>
        <v>19</v>
      </c>
      <c r="AX22" s="636"/>
      <c r="AZ22" s="524" t="e">
        <f t="shared" si="8"/>
        <v>#N/A</v>
      </c>
      <c r="BA22" s="636"/>
    </row>
    <row r="23" spans="2:53">
      <c r="B23" s="622"/>
      <c r="C23" s="466">
        <v>17</v>
      </c>
      <c r="D23" s="226" t="s">
        <v>790</v>
      </c>
      <c r="E23" s="182">
        <v>19</v>
      </c>
      <c r="F23" s="505">
        <v>1500</v>
      </c>
      <c r="G23" s="506">
        <v>78.900000000000006</v>
      </c>
      <c r="H23" s="664"/>
      <c r="I23" s="516">
        <f t="shared" si="0"/>
        <v>19</v>
      </c>
      <c r="J23" s="516">
        <f t="shared" si="0"/>
        <v>1398.6242771536879</v>
      </c>
      <c r="K23" s="200">
        <f t="shared" si="0"/>
        <v>73.611804060720402</v>
      </c>
      <c r="L23" s="596"/>
      <c r="M23" s="472">
        <f>RANK(K23, K$7:$K$36)</f>
        <v>16</v>
      </c>
      <c r="N23" s="614"/>
      <c r="O23" s="614"/>
      <c r="P23" s="524">
        <v>19</v>
      </c>
      <c r="Q23" s="182">
        <v>1404.3243243243232</v>
      </c>
      <c r="R23" s="182">
        <v>73.911806543385438</v>
      </c>
      <c r="S23" s="524">
        <f t="shared" si="1"/>
        <v>14</v>
      </c>
      <c r="T23" s="636"/>
      <c r="U23" s="524">
        <v>19</v>
      </c>
      <c r="V23" s="182">
        <v>1394.9999999999989</v>
      </c>
      <c r="W23" s="182">
        <v>73.421052631578888</v>
      </c>
      <c r="X23" s="524">
        <f t="shared" si="2"/>
        <v>16</v>
      </c>
      <c r="Y23" s="636"/>
      <c r="Z23" s="524">
        <v>19</v>
      </c>
      <c r="AA23" s="182">
        <v>1360.588235294116</v>
      </c>
      <c r="AB23" s="182">
        <v>71.609907120742946</v>
      </c>
      <c r="AC23" s="524">
        <f t="shared" si="3"/>
        <v>17</v>
      </c>
      <c r="AD23" s="636"/>
      <c r="AE23" s="524">
        <v>19</v>
      </c>
      <c r="AF23" s="182">
        <v>1392.972972972972</v>
      </c>
      <c r="AG23" s="182">
        <v>73.314366998577469</v>
      </c>
      <c r="AH23" s="524">
        <f t="shared" si="4"/>
        <v>18</v>
      </c>
      <c r="AI23" s="636"/>
      <c r="AJ23" s="524">
        <v>19</v>
      </c>
      <c r="AK23" s="182">
        <v>1409.9999999999989</v>
      </c>
      <c r="AL23" s="182">
        <v>74.210526315789409</v>
      </c>
      <c r="AM23" s="524">
        <f t="shared" si="5"/>
        <v>17</v>
      </c>
      <c r="AN23" s="636"/>
      <c r="AO23" s="524">
        <v>19</v>
      </c>
      <c r="AP23" s="182">
        <v>1405.9459459459449</v>
      </c>
      <c r="AQ23" s="182">
        <v>73.997155049786571</v>
      </c>
      <c r="AR23" s="524">
        <f t="shared" si="6"/>
        <v>16</v>
      </c>
      <c r="AS23" s="636"/>
      <c r="AT23" s="524">
        <v>19</v>
      </c>
      <c r="AU23" s="182">
        <v>1421.5384615384608</v>
      </c>
      <c r="AV23" s="182">
        <v>74.817813765182152</v>
      </c>
      <c r="AW23" s="524">
        <f t="shared" si="7"/>
        <v>18</v>
      </c>
      <c r="AX23" s="636"/>
      <c r="AZ23" s="524" t="e">
        <f t="shared" si="8"/>
        <v>#N/A</v>
      </c>
      <c r="BA23" s="636"/>
    </row>
    <row r="24" spans="2:53">
      <c r="B24" s="622"/>
      <c r="C24" s="466">
        <v>18</v>
      </c>
      <c r="D24" s="226" t="s">
        <v>816</v>
      </c>
      <c r="E24" s="182">
        <v>18</v>
      </c>
      <c r="F24" s="505">
        <v>1500</v>
      </c>
      <c r="G24" s="506">
        <v>83.3</v>
      </c>
      <c r="H24" s="664"/>
      <c r="I24" s="516">
        <f t="shared" si="0"/>
        <v>18</v>
      </c>
      <c r="J24" s="516">
        <f t="shared" si="0"/>
        <v>1306.4660974683491</v>
      </c>
      <c r="K24" s="200">
        <f t="shared" si="0"/>
        <v>72.581449859352745</v>
      </c>
      <c r="L24" s="596"/>
      <c r="M24" s="472">
        <f>RANK(K24, K$7:$K$36)</f>
        <v>18</v>
      </c>
      <c r="N24" s="614"/>
      <c r="O24" s="614"/>
      <c r="P24" s="524">
        <v>18</v>
      </c>
      <c r="Q24" s="182">
        <v>1234.6153846153852</v>
      </c>
      <c r="R24" s="182">
        <v>68.58974358974362</v>
      </c>
      <c r="S24" s="524">
        <f t="shared" si="1"/>
        <v>20</v>
      </c>
      <c r="T24" s="636"/>
      <c r="U24" s="524">
        <v>18</v>
      </c>
      <c r="V24" s="182">
        <v>1274.4578313253007</v>
      </c>
      <c r="W24" s="182">
        <v>70.80321285140559</v>
      </c>
      <c r="X24" s="524">
        <f t="shared" si="2"/>
        <v>17</v>
      </c>
      <c r="Y24" s="636"/>
      <c r="Z24" s="524">
        <v>18</v>
      </c>
      <c r="AA24" s="182">
        <v>1265.5670103092787</v>
      </c>
      <c r="AB24" s="182">
        <v>70.309278350515484</v>
      </c>
      <c r="AC24" s="524">
        <f t="shared" si="3"/>
        <v>18</v>
      </c>
      <c r="AD24" s="636"/>
      <c r="AE24" s="524">
        <v>18</v>
      </c>
      <c r="AF24" s="182">
        <v>1329.9999999999993</v>
      </c>
      <c r="AG24" s="182">
        <v>73.888888888888857</v>
      </c>
      <c r="AH24" s="524">
        <f t="shared" si="4"/>
        <v>16</v>
      </c>
      <c r="AI24" s="636"/>
      <c r="AJ24" s="524">
        <v>18</v>
      </c>
      <c r="AK24" s="182">
        <v>1329.6296296296291</v>
      </c>
      <c r="AL24" s="182">
        <v>73.868312757201622</v>
      </c>
      <c r="AM24" s="524">
        <f t="shared" si="5"/>
        <v>18</v>
      </c>
      <c r="AN24" s="636"/>
      <c r="AO24" s="524">
        <v>18</v>
      </c>
      <c r="AP24" s="182">
        <v>1359.5294117647059</v>
      </c>
      <c r="AQ24" s="182">
        <v>75.529411764705884</v>
      </c>
      <c r="AR24" s="524">
        <f t="shared" si="6"/>
        <v>15</v>
      </c>
      <c r="AS24" s="636"/>
      <c r="AT24" s="524">
        <v>18</v>
      </c>
      <c r="AU24" s="182">
        <v>1351.4634146341459</v>
      </c>
      <c r="AV24" s="182">
        <v>75.081300813008113</v>
      </c>
      <c r="AW24" s="524">
        <f t="shared" si="7"/>
        <v>17</v>
      </c>
      <c r="AX24" s="636"/>
      <c r="AZ24" s="524" t="e">
        <f t="shared" si="8"/>
        <v>#N/A</v>
      </c>
      <c r="BA24" s="636"/>
    </row>
    <row r="25" spans="2:53">
      <c r="B25" s="622"/>
      <c r="C25" s="466">
        <v>19</v>
      </c>
      <c r="D25" s="226" t="s">
        <v>643</v>
      </c>
      <c r="E25" s="182">
        <v>17</v>
      </c>
      <c r="F25" s="505">
        <v>1440</v>
      </c>
      <c r="G25" s="506">
        <v>84.7</v>
      </c>
      <c r="H25" s="664"/>
      <c r="I25" s="516">
        <f t="shared" si="0"/>
        <v>17</v>
      </c>
      <c r="J25" s="516">
        <f t="shared" si="0"/>
        <v>1346.4541181050938</v>
      </c>
      <c r="K25" s="200">
        <f t="shared" si="0"/>
        <v>79.20318341794669</v>
      </c>
      <c r="L25" s="596"/>
      <c r="M25" s="472">
        <f>RANK(K25, K$7:$K$36)</f>
        <v>12</v>
      </c>
      <c r="N25" s="614"/>
      <c r="O25" s="614"/>
      <c r="P25" s="524">
        <v>17</v>
      </c>
      <c r="Q25" s="182">
        <v>1361.3333333333335</v>
      </c>
      <c r="R25" s="182">
        <v>80.078431372549034</v>
      </c>
      <c r="S25" s="524">
        <f t="shared" si="1"/>
        <v>11</v>
      </c>
      <c r="T25" s="636"/>
      <c r="U25" s="524">
        <v>17</v>
      </c>
      <c r="V25" s="182">
        <v>1305.4054054054045</v>
      </c>
      <c r="W25" s="182">
        <v>76.788553259141437</v>
      </c>
      <c r="X25" s="524">
        <f t="shared" si="2"/>
        <v>14</v>
      </c>
      <c r="Y25" s="636"/>
      <c r="Z25" s="524">
        <v>17</v>
      </c>
      <c r="AA25" s="182">
        <v>1341.8181818181802</v>
      </c>
      <c r="AB25" s="182">
        <v>78.930481283422367</v>
      </c>
      <c r="AC25" s="524">
        <f t="shared" si="3"/>
        <v>12</v>
      </c>
      <c r="AD25" s="636"/>
      <c r="AE25" s="524">
        <v>17</v>
      </c>
      <c r="AF25" s="182">
        <v>1372.1052631578937</v>
      </c>
      <c r="AG25" s="182">
        <v>80.712074303405515</v>
      </c>
      <c r="AH25" s="524">
        <f t="shared" si="4"/>
        <v>11</v>
      </c>
      <c r="AI25" s="636"/>
      <c r="AJ25" s="524">
        <v>17</v>
      </c>
      <c r="AK25" s="182">
        <v>1374.7058823529394</v>
      </c>
      <c r="AL25" s="182">
        <v>80.865051903114079</v>
      </c>
      <c r="AM25" s="524">
        <f t="shared" si="5"/>
        <v>11</v>
      </c>
      <c r="AN25" s="636"/>
      <c r="AO25" s="524">
        <v>17</v>
      </c>
      <c r="AP25" s="182">
        <v>1343.2653061224494</v>
      </c>
      <c r="AQ25" s="182">
        <v>79.015606242497029</v>
      </c>
      <c r="AR25" s="524">
        <f t="shared" si="6"/>
        <v>11</v>
      </c>
      <c r="AS25" s="636"/>
      <c r="AT25" s="524">
        <v>17</v>
      </c>
      <c r="AU25" s="182">
        <v>1326.5454545454554</v>
      </c>
      <c r="AV25" s="182">
        <v>78.032085561497382</v>
      </c>
      <c r="AW25" s="524">
        <f t="shared" si="7"/>
        <v>12</v>
      </c>
      <c r="AX25" s="636"/>
      <c r="AZ25" s="524" t="e">
        <f t="shared" si="8"/>
        <v>#N/A</v>
      </c>
      <c r="BA25" s="636"/>
    </row>
    <row r="26" spans="2:53">
      <c r="B26" s="622"/>
      <c r="C26" s="466">
        <v>20</v>
      </c>
      <c r="D26" s="226" t="s">
        <v>667</v>
      </c>
      <c r="E26" s="182">
        <v>18</v>
      </c>
      <c r="F26" s="505">
        <v>1500</v>
      </c>
      <c r="G26" s="506">
        <v>83.3</v>
      </c>
      <c r="H26" s="664"/>
      <c r="I26" s="516">
        <f t="shared" si="0"/>
        <v>18</v>
      </c>
      <c r="J26" s="516">
        <f t="shared" si="0"/>
        <v>1398.2474126324853</v>
      </c>
      <c r="K26" s="200">
        <f t="shared" si="0"/>
        <v>77.68041181291585</v>
      </c>
      <c r="L26" s="596"/>
      <c r="M26" s="472">
        <f>RANK(K26, K$7:$K$36)</f>
        <v>13</v>
      </c>
      <c r="N26" s="614"/>
      <c r="O26" s="614"/>
      <c r="P26" s="524">
        <v>18</v>
      </c>
      <c r="Q26" s="182">
        <v>1423.1578947368432</v>
      </c>
      <c r="R26" s="182">
        <v>79.064327485380176</v>
      </c>
      <c r="S26" s="524">
        <f t="shared" si="1"/>
        <v>12</v>
      </c>
      <c r="T26" s="636"/>
      <c r="U26" s="524">
        <v>18</v>
      </c>
      <c r="V26" s="182">
        <v>1403.0769230769238</v>
      </c>
      <c r="W26" s="182">
        <v>77.948717948717984</v>
      </c>
      <c r="X26" s="524">
        <f t="shared" si="2"/>
        <v>13</v>
      </c>
      <c r="Y26" s="636"/>
      <c r="Z26" s="524">
        <v>18</v>
      </c>
      <c r="AA26" s="182">
        <v>1385.3333333333333</v>
      </c>
      <c r="AB26" s="182">
        <v>76.962962962962962</v>
      </c>
      <c r="AC26" s="524">
        <f t="shared" si="3"/>
        <v>13</v>
      </c>
      <c r="AD26" s="636"/>
      <c r="AE26" s="524">
        <v>18</v>
      </c>
      <c r="AF26" s="182">
        <v>1410.0000000000005</v>
      </c>
      <c r="AG26" s="182">
        <v>78.333333333333357</v>
      </c>
      <c r="AH26" s="524">
        <f t="shared" si="4"/>
        <v>13</v>
      </c>
      <c r="AI26" s="636"/>
      <c r="AJ26" s="524">
        <v>18</v>
      </c>
      <c r="AK26" s="182">
        <v>1414.4680851063831</v>
      </c>
      <c r="AL26" s="182">
        <v>78.581560283687949</v>
      </c>
      <c r="AM26" s="524">
        <f t="shared" si="5"/>
        <v>13</v>
      </c>
      <c r="AN26" s="636"/>
      <c r="AO26" s="524">
        <v>18</v>
      </c>
      <c r="AP26" s="182">
        <v>1383.0000000000014</v>
      </c>
      <c r="AQ26" s="182">
        <v>76.833333333333414</v>
      </c>
      <c r="AR26" s="524">
        <f t="shared" si="6"/>
        <v>12</v>
      </c>
      <c r="AS26" s="636"/>
      <c r="AT26" s="524">
        <v>18</v>
      </c>
      <c r="AU26" s="182">
        <v>1368.6956521739116</v>
      </c>
      <c r="AV26" s="182">
        <v>76.038647342995091</v>
      </c>
      <c r="AW26" s="524">
        <f t="shared" si="7"/>
        <v>15</v>
      </c>
      <c r="AX26" s="636"/>
      <c r="AZ26" s="524" t="e">
        <f t="shared" si="8"/>
        <v>#N/A</v>
      </c>
      <c r="BA26" s="636"/>
    </row>
    <row r="27" spans="2:53">
      <c r="B27" s="622"/>
      <c r="C27" s="466">
        <v>21</v>
      </c>
      <c r="D27" s="226" t="s">
        <v>794</v>
      </c>
      <c r="E27" s="182">
        <v>18</v>
      </c>
      <c r="F27" s="505">
        <v>1636</v>
      </c>
      <c r="G27" s="506">
        <v>90.9</v>
      </c>
      <c r="H27" s="664"/>
      <c r="I27" s="516">
        <f t="shared" si="0"/>
        <v>18</v>
      </c>
      <c r="J27" s="516">
        <f t="shared" si="0"/>
        <v>1232.3202799524593</v>
      </c>
      <c r="K27" s="200">
        <f t="shared" si="0"/>
        <v>68.462237775136629</v>
      </c>
      <c r="L27" s="596"/>
      <c r="M27" s="472">
        <f>RANK(K27, K$7:$K$36)</f>
        <v>22</v>
      </c>
      <c r="N27" s="614"/>
      <c r="O27" s="614"/>
      <c r="P27" s="524">
        <v>18</v>
      </c>
      <c r="Q27" s="182">
        <v>1205.0442477876106</v>
      </c>
      <c r="R27" s="182">
        <v>66.946902654867259</v>
      </c>
      <c r="S27" s="524">
        <f t="shared" si="1"/>
        <v>22</v>
      </c>
      <c r="T27" s="636"/>
      <c r="U27" s="524">
        <v>18</v>
      </c>
      <c r="V27" s="182">
        <v>1218.7786259541983</v>
      </c>
      <c r="W27" s="182">
        <v>67.70992366412213</v>
      </c>
      <c r="X27" s="524">
        <f t="shared" si="2"/>
        <v>22</v>
      </c>
      <c r="Y27" s="636"/>
      <c r="Z27" s="524">
        <v>18</v>
      </c>
      <c r="AA27" s="182">
        <v>1193.3999999999994</v>
      </c>
      <c r="AB27" s="182">
        <v>66.299999999999969</v>
      </c>
      <c r="AC27" s="524">
        <f t="shared" si="3"/>
        <v>23</v>
      </c>
      <c r="AD27" s="636"/>
      <c r="AE27" s="524">
        <v>18</v>
      </c>
      <c r="AF27" s="182">
        <v>1200.6250000000002</v>
      </c>
      <c r="AG27" s="182">
        <v>66.7013888888889</v>
      </c>
      <c r="AH27" s="524">
        <f t="shared" si="4"/>
        <v>23</v>
      </c>
      <c r="AI27" s="636"/>
      <c r="AJ27" s="524">
        <v>18</v>
      </c>
      <c r="AK27" s="182">
        <v>1219.8165137614678</v>
      </c>
      <c r="AL27" s="182">
        <v>67.767584097859327</v>
      </c>
      <c r="AM27" s="524">
        <f t="shared" si="5"/>
        <v>22</v>
      </c>
      <c r="AN27" s="636"/>
      <c r="AO27" s="524">
        <v>18</v>
      </c>
      <c r="AP27" s="182">
        <v>1311.2621359223297</v>
      </c>
      <c r="AQ27" s="182">
        <v>72.847896440129432</v>
      </c>
      <c r="AR27" s="524">
        <f t="shared" si="6"/>
        <v>19</v>
      </c>
      <c r="AS27" s="636"/>
      <c r="AT27" s="524">
        <v>18</v>
      </c>
      <c r="AU27" s="182">
        <v>1277.3154362416099</v>
      </c>
      <c r="AV27" s="182">
        <v>70.961968680089441</v>
      </c>
      <c r="AW27" s="524">
        <f t="shared" si="7"/>
        <v>20</v>
      </c>
      <c r="AX27" s="636"/>
      <c r="AZ27" s="524" t="e">
        <f t="shared" si="8"/>
        <v>#N/A</v>
      </c>
      <c r="BA27" s="636"/>
    </row>
    <row r="28" spans="2:53">
      <c r="B28" s="622"/>
      <c r="C28" s="466">
        <v>22</v>
      </c>
      <c r="D28" s="226" t="s">
        <v>669</v>
      </c>
      <c r="E28" s="182">
        <v>20</v>
      </c>
      <c r="F28" s="505">
        <v>1500</v>
      </c>
      <c r="G28" s="506">
        <v>75</v>
      </c>
      <c r="H28" s="664"/>
      <c r="I28" s="516">
        <f t="shared" si="0"/>
        <v>20</v>
      </c>
      <c r="J28" s="516">
        <f t="shared" si="0"/>
        <v>1213.8798405242176</v>
      </c>
      <c r="K28" s="200">
        <f t="shared" si="0"/>
        <v>60.693992026210886</v>
      </c>
      <c r="L28" s="596"/>
      <c r="M28" s="472">
        <f>RANK(K28, K$7:$K$36)</f>
        <v>26</v>
      </c>
      <c r="N28" s="614"/>
      <c r="O28" s="614"/>
      <c r="P28" s="524">
        <v>20</v>
      </c>
      <c r="Q28" s="182">
        <v>1184.7272727272734</v>
      </c>
      <c r="R28" s="182">
        <v>59.23636363636367</v>
      </c>
      <c r="S28" s="524">
        <f t="shared" si="1"/>
        <v>26</v>
      </c>
      <c r="T28" s="636"/>
      <c r="U28" s="524">
        <v>20</v>
      </c>
      <c r="V28" s="182">
        <v>1227.5000000000005</v>
      </c>
      <c r="W28" s="182">
        <v>61.375000000000021</v>
      </c>
      <c r="X28" s="524">
        <f t="shared" si="2"/>
        <v>26</v>
      </c>
      <c r="Y28" s="636"/>
      <c r="Z28" s="524">
        <v>20</v>
      </c>
      <c r="AA28" s="182">
        <v>1262.8571428571424</v>
      </c>
      <c r="AB28" s="182">
        <v>63.142857142857125</v>
      </c>
      <c r="AC28" s="524">
        <f t="shared" si="3"/>
        <v>25</v>
      </c>
      <c r="AD28" s="636"/>
      <c r="AE28" s="524">
        <v>20</v>
      </c>
      <c r="AF28" s="182">
        <v>1239.5744680851067</v>
      </c>
      <c r="AG28" s="182">
        <v>61.978723404255334</v>
      </c>
      <c r="AH28" s="524">
        <f t="shared" si="4"/>
        <v>26</v>
      </c>
      <c r="AI28" s="636"/>
      <c r="AJ28" s="524">
        <v>20</v>
      </c>
      <c r="AK28" s="182">
        <v>1187.5000000000002</v>
      </c>
      <c r="AL28" s="182">
        <v>59.375000000000014</v>
      </c>
      <c r="AM28" s="524">
        <f t="shared" si="5"/>
        <v>27</v>
      </c>
      <c r="AN28" s="636"/>
      <c r="AO28" s="524">
        <v>20</v>
      </c>
      <c r="AP28" s="182">
        <v>1180.0000000000005</v>
      </c>
      <c r="AQ28" s="182">
        <v>59.000000000000021</v>
      </c>
      <c r="AR28" s="524">
        <f t="shared" si="6"/>
        <v>27</v>
      </c>
      <c r="AS28" s="636"/>
      <c r="AT28" s="524">
        <v>20</v>
      </c>
      <c r="AU28" s="182">
        <v>1215.0000000000009</v>
      </c>
      <c r="AV28" s="182">
        <v>60.750000000000043</v>
      </c>
      <c r="AW28" s="524">
        <f t="shared" si="7"/>
        <v>26</v>
      </c>
      <c r="AX28" s="636"/>
      <c r="AZ28" s="524" t="e">
        <f t="shared" si="8"/>
        <v>#N/A</v>
      </c>
      <c r="BA28" s="636"/>
    </row>
    <row r="29" spans="2:53">
      <c r="B29" s="622"/>
      <c r="C29" s="466">
        <v>23</v>
      </c>
      <c r="D29" s="226" t="s">
        <v>791</v>
      </c>
      <c r="E29" s="182">
        <v>17</v>
      </c>
      <c r="F29" s="505">
        <v>1565</v>
      </c>
      <c r="G29" s="506">
        <v>92.1</v>
      </c>
      <c r="H29" s="664"/>
      <c r="I29" s="516">
        <f t="shared" si="0"/>
        <v>18.285714285714285</v>
      </c>
      <c r="J29" s="516">
        <f t="shared" si="0"/>
        <v>1398.7632830365922</v>
      </c>
      <c r="K29" s="200">
        <f t="shared" si="0"/>
        <v>76.575073494650084</v>
      </c>
      <c r="L29" s="596"/>
      <c r="M29" s="472">
        <f>RANK(K29, K$7:$K$36)</f>
        <v>14</v>
      </c>
      <c r="N29" s="614"/>
      <c r="O29" s="614"/>
      <c r="P29" s="524">
        <v>20</v>
      </c>
      <c r="Q29" s="182">
        <v>1428.8372093023254</v>
      </c>
      <c r="R29" s="182">
        <v>71.441860465116264</v>
      </c>
      <c r="S29" s="524">
        <f t="shared" si="1"/>
        <v>16</v>
      </c>
      <c r="T29" s="636"/>
      <c r="U29" s="524">
        <v>18</v>
      </c>
      <c r="V29" s="182">
        <v>1414.736842105262</v>
      </c>
      <c r="W29" s="182">
        <v>78.596491228070107</v>
      </c>
      <c r="X29" s="524">
        <f t="shared" si="2"/>
        <v>12</v>
      </c>
      <c r="Y29" s="636"/>
      <c r="Z29" s="524">
        <v>18</v>
      </c>
      <c r="AA29" s="182">
        <v>1425.8823529411745</v>
      </c>
      <c r="AB29" s="182">
        <v>79.215686274509693</v>
      </c>
      <c r="AC29" s="524">
        <f t="shared" si="3"/>
        <v>10</v>
      </c>
      <c r="AD29" s="636"/>
      <c r="AE29" s="524">
        <v>18</v>
      </c>
      <c r="AF29" s="182">
        <v>1387.8947368421043</v>
      </c>
      <c r="AG29" s="182">
        <v>77.105263157894683</v>
      </c>
      <c r="AH29" s="524">
        <f t="shared" si="4"/>
        <v>14</v>
      </c>
      <c r="AI29" s="636"/>
      <c r="AJ29" s="524">
        <v>18</v>
      </c>
      <c r="AK29" s="182">
        <v>1375.2631578947357</v>
      </c>
      <c r="AL29" s="182">
        <v>76.403508771929765</v>
      </c>
      <c r="AM29" s="524">
        <f t="shared" si="5"/>
        <v>15</v>
      </c>
      <c r="AN29" s="636"/>
      <c r="AO29" s="524">
        <v>18</v>
      </c>
      <c r="AP29" s="182">
        <v>1381.395348837209</v>
      </c>
      <c r="AQ29" s="182">
        <v>76.744186046511615</v>
      </c>
      <c r="AR29" s="524">
        <f t="shared" si="6"/>
        <v>13</v>
      </c>
      <c r="AS29" s="636"/>
      <c r="AT29" s="524">
        <v>18</v>
      </c>
      <c r="AU29" s="182">
        <v>1377.3333333333333</v>
      </c>
      <c r="AV29" s="182">
        <v>76.518518518518519</v>
      </c>
      <c r="AW29" s="524">
        <f t="shared" si="7"/>
        <v>13</v>
      </c>
      <c r="AX29" s="636"/>
      <c r="AZ29" s="524" t="e">
        <f t="shared" si="8"/>
        <v>#N/A</v>
      </c>
      <c r="BA29" s="636"/>
    </row>
    <row r="30" spans="2:53">
      <c r="B30" s="622"/>
      <c r="C30" s="466">
        <v>24</v>
      </c>
      <c r="D30" s="226" t="s">
        <v>677</v>
      </c>
      <c r="E30" s="182">
        <v>19</v>
      </c>
      <c r="F30" s="505">
        <v>1385</v>
      </c>
      <c r="G30" s="506">
        <v>72.900000000000006</v>
      </c>
      <c r="H30" s="664"/>
      <c r="I30" s="516">
        <f t="shared" si="0"/>
        <v>19.571428571428573</v>
      </c>
      <c r="J30" s="516">
        <f t="shared" si="0"/>
        <v>1179.5830044618685</v>
      </c>
      <c r="K30" s="200">
        <f t="shared" si="0"/>
        <v>60.283160248156094</v>
      </c>
      <c r="L30" s="596"/>
      <c r="M30" s="472">
        <f>RANK(K30, K$7:$K$36)</f>
        <v>27</v>
      </c>
      <c r="N30" s="614"/>
      <c r="O30" s="614"/>
      <c r="P30" s="524">
        <v>20</v>
      </c>
      <c r="Q30" s="182">
        <v>1160.4545454545455</v>
      </c>
      <c r="R30" s="182">
        <v>58.022727272727273</v>
      </c>
      <c r="S30" s="524">
        <f t="shared" si="1"/>
        <v>27</v>
      </c>
      <c r="T30" s="636"/>
      <c r="U30" s="524">
        <v>20</v>
      </c>
      <c r="V30" s="182">
        <v>1224.2857142857138</v>
      </c>
      <c r="W30" s="182">
        <v>61.214285714285687</v>
      </c>
      <c r="X30" s="524">
        <f t="shared" si="2"/>
        <v>27</v>
      </c>
      <c r="Y30" s="636"/>
      <c r="Z30" s="524">
        <v>20</v>
      </c>
      <c r="AA30" s="182">
        <v>1208.7804878048776</v>
      </c>
      <c r="AB30" s="182">
        <v>60.43902439024388</v>
      </c>
      <c r="AC30" s="524">
        <f t="shared" si="3"/>
        <v>27</v>
      </c>
      <c r="AD30" s="636"/>
      <c r="AE30" s="524">
        <v>20</v>
      </c>
      <c r="AF30" s="182">
        <v>1194.8936170212769</v>
      </c>
      <c r="AG30" s="182">
        <v>59.744680851063848</v>
      </c>
      <c r="AH30" s="524">
        <f t="shared" si="4"/>
        <v>27</v>
      </c>
      <c r="AI30" s="636"/>
      <c r="AJ30" s="524">
        <v>19</v>
      </c>
      <c r="AK30" s="182">
        <v>1166.6666666666665</v>
      </c>
      <c r="AL30" s="182">
        <v>61.403508771929815</v>
      </c>
      <c r="AM30" s="524">
        <f t="shared" si="5"/>
        <v>26</v>
      </c>
      <c r="AN30" s="636"/>
      <c r="AO30" s="524">
        <v>19</v>
      </c>
      <c r="AP30" s="182">
        <v>1168</v>
      </c>
      <c r="AQ30" s="182">
        <v>61.473684210526315</v>
      </c>
      <c r="AR30" s="524">
        <f t="shared" si="6"/>
        <v>26</v>
      </c>
      <c r="AS30" s="636"/>
      <c r="AT30" s="524">
        <v>19</v>
      </c>
      <c r="AU30" s="182">
        <v>1134.0000000000005</v>
      </c>
      <c r="AV30" s="182">
        <v>59.684210526315816</v>
      </c>
      <c r="AW30" s="524">
        <f t="shared" si="7"/>
        <v>27</v>
      </c>
      <c r="AX30" s="636"/>
      <c r="AZ30" s="524" t="e">
        <f t="shared" si="8"/>
        <v>#N/A</v>
      </c>
      <c r="BA30" s="636"/>
    </row>
    <row r="31" spans="2:53">
      <c r="B31" s="622"/>
      <c r="C31" s="466">
        <v>25</v>
      </c>
      <c r="D31" s="226" t="s">
        <v>792</v>
      </c>
      <c r="E31" s="182">
        <v>15</v>
      </c>
      <c r="F31" s="505">
        <v>1440</v>
      </c>
      <c r="G31" s="506">
        <v>96</v>
      </c>
      <c r="H31" s="664"/>
      <c r="I31" s="516">
        <f t="shared" si="0"/>
        <v>15</v>
      </c>
      <c r="J31" s="516">
        <f t="shared" si="0"/>
        <v>1272.0139353038498</v>
      </c>
      <c r="K31" s="200">
        <f t="shared" si="0"/>
        <v>84.800929020256632</v>
      </c>
      <c r="L31" s="596"/>
      <c r="M31" s="472">
        <f>RANK(K31, K$7:$K$36)</f>
        <v>7</v>
      </c>
      <c r="N31" s="614"/>
      <c r="O31" s="614"/>
      <c r="P31" s="524">
        <v>15</v>
      </c>
      <c r="Q31" s="182">
        <v>1321.8749999999982</v>
      </c>
      <c r="R31" s="182">
        <v>88.124999999999872</v>
      </c>
      <c r="S31" s="524">
        <f t="shared" si="1"/>
        <v>4</v>
      </c>
      <c r="T31" s="636"/>
      <c r="U31" s="524">
        <v>15</v>
      </c>
      <c r="V31" s="182">
        <v>1291.8749999999982</v>
      </c>
      <c r="W31" s="182">
        <v>86.124999999999872</v>
      </c>
      <c r="X31" s="524">
        <f t="shared" si="2"/>
        <v>5</v>
      </c>
      <c r="Y31" s="636"/>
      <c r="Z31" s="524">
        <v>15</v>
      </c>
      <c r="AA31" s="182">
        <v>1233.7499999999982</v>
      </c>
      <c r="AB31" s="182">
        <v>82.249999999999872</v>
      </c>
      <c r="AC31" s="524">
        <f t="shared" si="3"/>
        <v>8</v>
      </c>
      <c r="AD31" s="636"/>
      <c r="AE31" s="524">
        <v>15</v>
      </c>
      <c r="AF31" s="182">
        <v>1254.9999999999991</v>
      </c>
      <c r="AG31" s="182">
        <v>83.6666666666666</v>
      </c>
      <c r="AH31" s="524">
        <f t="shared" si="4"/>
        <v>8</v>
      </c>
      <c r="AI31" s="636"/>
      <c r="AJ31" s="524">
        <v>15</v>
      </c>
      <c r="AK31" s="182">
        <v>1282.9411764705865</v>
      </c>
      <c r="AL31" s="182">
        <v>85.52941176470577</v>
      </c>
      <c r="AM31" s="524">
        <f t="shared" si="5"/>
        <v>6</v>
      </c>
      <c r="AN31" s="636"/>
      <c r="AO31" s="524">
        <v>15</v>
      </c>
      <c r="AP31" s="182">
        <v>1265.1428571428557</v>
      </c>
      <c r="AQ31" s="182">
        <v>84.342857142857056</v>
      </c>
      <c r="AR31" s="524">
        <f t="shared" si="6"/>
        <v>6</v>
      </c>
      <c r="AS31" s="636"/>
      <c r="AT31" s="524">
        <v>15</v>
      </c>
      <c r="AU31" s="182">
        <v>1253.5135135135126</v>
      </c>
      <c r="AV31" s="182">
        <v>83.567567567567508</v>
      </c>
      <c r="AW31" s="524">
        <f t="shared" si="7"/>
        <v>8</v>
      </c>
      <c r="AX31" s="636"/>
      <c r="AZ31" s="524" t="e">
        <f t="shared" si="8"/>
        <v>#N/A</v>
      </c>
      <c r="BA31" s="636"/>
    </row>
    <row r="32" spans="2:53">
      <c r="B32" s="622"/>
      <c r="C32" s="466">
        <v>26</v>
      </c>
      <c r="D32" s="226" t="s">
        <v>744</v>
      </c>
      <c r="E32" s="182">
        <v>21</v>
      </c>
      <c r="F32" s="505">
        <v>1500</v>
      </c>
      <c r="G32" s="506">
        <v>71.400000000000006</v>
      </c>
      <c r="H32" s="664"/>
      <c r="I32" s="516">
        <f t="shared" si="0"/>
        <v>21</v>
      </c>
      <c r="J32" s="516">
        <f t="shared" si="0"/>
        <v>1338.3229957790365</v>
      </c>
      <c r="K32" s="200">
        <f t="shared" si="0"/>
        <v>63.729666465668402</v>
      </c>
      <c r="L32" s="596"/>
      <c r="M32" s="472">
        <f>RANK(K32, K$7:$K$36)</f>
        <v>25</v>
      </c>
      <c r="N32" s="614"/>
      <c r="O32" s="614"/>
      <c r="P32" s="524">
        <v>21</v>
      </c>
      <c r="Q32" s="182">
        <v>1340.4545454545455</v>
      </c>
      <c r="R32" s="182">
        <v>63.831168831168831</v>
      </c>
      <c r="S32" s="524">
        <f t="shared" si="1"/>
        <v>24</v>
      </c>
      <c r="T32" s="636"/>
      <c r="U32" s="524">
        <v>21</v>
      </c>
      <c r="V32" s="182">
        <v>1318.6046511627903</v>
      </c>
      <c r="W32" s="182">
        <v>62.790697674418588</v>
      </c>
      <c r="X32" s="524">
        <f t="shared" si="2"/>
        <v>25</v>
      </c>
      <c r="Y32" s="636"/>
      <c r="Z32" s="524">
        <v>21</v>
      </c>
      <c r="AA32" s="182">
        <v>1309.9999999999995</v>
      </c>
      <c r="AB32" s="182">
        <v>62.380952380952358</v>
      </c>
      <c r="AC32" s="524">
        <f t="shared" si="3"/>
        <v>26</v>
      </c>
      <c r="AD32" s="636"/>
      <c r="AE32" s="524">
        <v>21</v>
      </c>
      <c r="AF32" s="182">
        <v>1352.1951219512191</v>
      </c>
      <c r="AG32" s="182">
        <v>64.390243902439011</v>
      </c>
      <c r="AH32" s="524">
        <f t="shared" si="4"/>
        <v>25</v>
      </c>
      <c r="AI32" s="636"/>
      <c r="AJ32" s="524">
        <v>21</v>
      </c>
      <c r="AK32" s="182">
        <v>1360.909090909091</v>
      </c>
      <c r="AL32" s="182">
        <v>64.805194805194816</v>
      </c>
      <c r="AM32" s="524">
        <f t="shared" si="5"/>
        <v>24</v>
      </c>
      <c r="AN32" s="636"/>
      <c r="AO32" s="524">
        <v>21</v>
      </c>
      <c r="AP32" s="182">
        <v>1336.0975609756094</v>
      </c>
      <c r="AQ32" s="182">
        <v>63.623693379790929</v>
      </c>
      <c r="AR32" s="524">
        <f t="shared" si="6"/>
        <v>24</v>
      </c>
      <c r="AS32" s="636"/>
      <c r="AT32" s="524">
        <v>21</v>
      </c>
      <c r="AU32" s="182">
        <v>1350.0000000000005</v>
      </c>
      <c r="AV32" s="182">
        <v>64.285714285714306</v>
      </c>
      <c r="AW32" s="524">
        <f t="shared" si="7"/>
        <v>24</v>
      </c>
      <c r="AX32" s="636"/>
      <c r="AZ32" s="524" t="e">
        <f t="shared" si="8"/>
        <v>#N/A</v>
      </c>
      <c r="BA32" s="636"/>
    </row>
    <row r="33" spans="2:53">
      <c r="B33" s="622"/>
      <c r="C33" s="466">
        <v>27</v>
      </c>
      <c r="D33" s="226" t="s">
        <v>793</v>
      </c>
      <c r="E33" s="182">
        <v>19</v>
      </c>
      <c r="F33" s="505">
        <v>1500</v>
      </c>
      <c r="G33" s="506">
        <v>78.900000000000006</v>
      </c>
      <c r="H33" s="664"/>
      <c r="I33" s="516">
        <f t="shared" si="0"/>
        <v>19</v>
      </c>
      <c r="J33" s="516">
        <f t="shared" si="0"/>
        <v>1212.0539602148363</v>
      </c>
      <c r="K33" s="200">
        <f t="shared" si="0"/>
        <v>63.792313695517699</v>
      </c>
      <c r="L33" s="596"/>
      <c r="M33" s="472">
        <f>RANK(K33, K$7:$K$36)</f>
        <v>24</v>
      </c>
      <c r="N33" s="614"/>
      <c r="O33" s="614"/>
      <c r="P33" s="524">
        <v>19</v>
      </c>
      <c r="Q33" s="182">
        <v>1163.3684210526317</v>
      </c>
      <c r="R33" s="182">
        <v>61.229916897506932</v>
      </c>
      <c r="S33" s="524">
        <f t="shared" si="1"/>
        <v>25</v>
      </c>
      <c r="T33" s="636"/>
      <c r="U33" s="524">
        <v>19</v>
      </c>
      <c r="V33" s="182">
        <v>1259.1764705882358</v>
      </c>
      <c r="W33" s="182">
        <v>66.272445820433461</v>
      </c>
      <c r="X33" s="524">
        <f t="shared" si="2"/>
        <v>24</v>
      </c>
      <c r="Y33" s="636"/>
      <c r="Z33" s="524">
        <v>19</v>
      </c>
      <c r="AA33" s="182">
        <v>1257.2608695652173</v>
      </c>
      <c r="AB33" s="182">
        <v>66.171624713958806</v>
      </c>
      <c r="AC33" s="524">
        <f t="shared" si="3"/>
        <v>24</v>
      </c>
      <c r="AD33" s="636"/>
      <c r="AE33" s="524">
        <v>19</v>
      </c>
      <c r="AF33" s="182">
        <v>1243.8461538461545</v>
      </c>
      <c r="AG33" s="182">
        <v>65.465587044534445</v>
      </c>
      <c r="AH33" s="524">
        <f t="shared" si="4"/>
        <v>24</v>
      </c>
      <c r="AI33" s="636"/>
      <c r="AJ33" s="524">
        <v>19</v>
      </c>
      <c r="AK33" s="182">
        <v>1169.2258064516138</v>
      </c>
      <c r="AL33" s="182">
        <v>61.538200339558621</v>
      </c>
      <c r="AM33" s="524">
        <f t="shared" si="5"/>
        <v>25</v>
      </c>
      <c r="AN33" s="636"/>
      <c r="AO33" s="524">
        <v>19</v>
      </c>
      <c r="AP33" s="182">
        <v>1187.900000000001</v>
      </c>
      <c r="AQ33" s="182">
        <v>62.521052631579003</v>
      </c>
      <c r="AR33" s="524">
        <f t="shared" si="6"/>
        <v>25</v>
      </c>
      <c r="AS33" s="636"/>
      <c r="AT33" s="524">
        <v>19</v>
      </c>
      <c r="AU33" s="182">
        <v>1203.6000000000004</v>
      </c>
      <c r="AV33" s="182">
        <v>63.34736842105265</v>
      </c>
      <c r="AW33" s="524">
        <f t="shared" si="7"/>
        <v>25</v>
      </c>
      <c r="AX33" s="636"/>
      <c r="AZ33" s="524" t="e">
        <f t="shared" si="8"/>
        <v>#N/A</v>
      </c>
      <c r="BA33" s="636"/>
    </row>
    <row r="34" spans="2:53">
      <c r="B34" s="622"/>
      <c r="C34" s="466">
        <v>28</v>
      </c>
      <c r="D34" s="226"/>
      <c r="E34" s="182"/>
      <c r="F34" s="505"/>
      <c r="G34" s="506"/>
      <c r="H34" s="664"/>
      <c r="I34" s="516" t="str">
        <f t="shared" si="0"/>
        <v>-</v>
      </c>
      <c r="J34" s="516" t="str">
        <f t="shared" si="0"/>
        <v>-</v>
      </c>
      <c r="K34" s="200" t="str">
        <f t="shared" si="0"/>
        <v>-</v>
      </c>
      <c r="L34" s="596"/>
      <c r="M34" s="472" t="e">
        <f>RANK(K34, K$7:$K$36)</f>
        <v>#VALUE!</v>
      </c>
      <c r="N34" s="614"/>
      <c r="O34" s="614"/>
      <c r="P34" s="524" t="s">
        <v>839</v>
      </c>
      <c r="Q34" s="182" t="s">
        <v>839</v>
      </c>
      <c r="R34" s="182" t="s">
        <v>839</v>
      </c>
      <c r="S34" s="524" t="e">
        <f t="shared" si="1"/>
        <v>#VALUE!</v>
      </c>
      <c r="T34" s="636"/>
      <c r="U34" s="524" t="s">
        <v>839</v>
      </c>
      <c r="V34" s="182" t="s">
        <v>839</v>
      </c>
      <c r="W34" s="182" t="s">
        <v>839</v>
      </c>
      <c r="X34" s="524" t="e">
        <f t="shared" si="2"/>
        <v>#VALUE!</v>
      </c>
      <c r="Y34" s="636"/>
      <c r="Z34" s="524" t="s">
        <v>839</v>
      </c>
      <c r="AA34" s="182" t="s">
        <v>839</v>
      </c>
      <c r="AB34" s="182" t="s">
        <v>839</v>
      </c>
      <c r="AC34" s="524" t="e">
        <f t="shared" si="3"/>
        <v>#VALUE!</v>
      </c>
      <c r="AD34" s="636"/>
      <c r="AE34" s="524" t="s">
        <v>839</v>
      </c>
      <c r="AF34" s="182" t="s">
        <v>839</v>
      </c>
      <c r="AG34" s="182" t="s">
        <v>839</v>
      </c>
      <c r="AH34" s="524" t="e">
        <f t="shared" si="4"/>
        <v>#VALUE!</v>
      </c>
      <c r="AI34" s="636"/>
      <c r="AJ34" s="524" t="s">
        <v>839</v>
      </c>
      <c r="AK34" s="182" t="s">
        <v>839</v>
      </c>
      <c r="AL34" s="182" t="s">
        <v>839</v>
      </c>
      <c r="AM34" s="524" t="e">
        <f t="shared" si="5"/>
        <v>#VALUE!</v>
      </c>
      <c r="AN34" s="636"/>
      <c r="AO34" s="524" t="s">
        <v>839</v>
      </c>
      <c r="AP34" s="182" t="s">
        <v>839</v>
      </c>
      <c r="AQ34" s="182" t="s">
        <v>839</v>
      </c>
      <c r="AR34" s="524" t="e">
        <f t="shared" si="6"/>
        <v>#VALUE!</v>
      </c>
      <c r="AS34" s="636"/>
      <c r="AT34" s="524" t="s">
        <v>839</v>
      </c>
      <c r="AU34" s="182" t="s">
        <v>839</v>
      </c>
      <c r="AV34" s="182" t="s">
        <v>839</v>
      </c>
      <c r="AW34" s="524" t="e">
        <f t="shared" si="7"/>
        <v>#VALUE!</v>
      </c>
      <c r="AX34" s="636"/>
      <c r="AZ34" s="524" t="e">
        <f t="shared" si="8"/>
        <v>#N/A</v>
      </c>
      <c r="BA34" s="636"/>
    </row>
    <row r="35" spans="2:53">
      <c r="B35" s="622"/>
      <c r="C35" s="466">
        <v>29</v>
      </c>
      <c r="D35" s="226"/>
      <c r="E35" s="182"/>
      <c r="F35" s="505"/>
      <c r="G35" s="506"/>
      <c r="H35" s="664"/>
      <c r="I35" s="516" t="str">
        <f t="shared" si="0"/>
        <v>-</v>
      </c>
      <c r="J35" s="516" t="str">
        <f t="shared" si="0"/>
        <v>-</v>
      </c>
      <c r="K35" s="200" t="str">
        <f t="shared" si="0"/>
        <v>-</v>
      </c>
      <c r="L35" s="596"/>
      <c r="M35" s="472" t="e">
        <f>RANK(K35, K$7:$K$36)</f>
        <v>#VALUE!</v>
      </c>
      <c r="N35" s="614"/>
      <c r="O35" s="614"/>
      <c r="P35" s="524" t="s">
        <v>839</v>
      </c>
      <c r="Q35" s="182" t="s">
        <v>839</v>
      </c>
      <c r="R35" s="182" t="s">
        <v>839</v>
      </c>
      <c r="S35" s="524" t="e">
        <f t="shared" si="1"/>
        <v>#VALUE!</v>
      </c>
      <c r="T35" s="636"/>
      <c r="U35" s="524" t="s">
        <v>839</v>
      </c>
      <c r="V35" s="182" t="s">
        <v>839</v>
      </c>
      <c r="W35" s="182" t="s">
        <v>839</v>
      </c>
      <c r="X35" s="524" t="e">
        <f t="shared" si="2"/>
        <v>#VALUE!</v>
      </c>
      <c r="Y35" s="636"/>
      <c r="Z35" s="524" t="s">
        <v>839</v>
      </c>
      <c r="AA35" s="182" t="s">
        <v>839</v>
      </c>
      <c r="AB35" s="182" t="s">
        <v>839</v>
      </c>
      <c r="AC35" s="524" t="e">
        <f t="shared" si="3"/>
        <v>#VALUE!</v>
      </c>
      <c r="AD35" s="636"/>
      <c r="AE35" s="524" t="s">
        <v>839</v>
      </c>
      <c r="AF35" s="182" t="s">
        <v>839</v>
      </c>
      <c r="AG35" s="182" t="s">
        <v>839</v>
      </c>
      <c r="AH35" s="524" t="e">
        <f t="shared" si="4"/>
        <v>#VALUE!</v>
      </c>
      <c r="AI35" s="636"/>
      <c r="AJ35" s="524" t="s">
        <v>839</v>
      </c>
      <c r="AK35" s="182" t="s">
        <v>839</v>
      </c>
      <c r="AL35" s="182" t="s">
        <v>839</v>
      </c>
      <c r="AM35" s="524" t="e">
        <f t="shared" si="5"/>
        <v>#VALUE!</v>
      </c>
      <c r="AN35" s="636"/>
      <c r="AO35" s="524" t="s">
        <v>839</v>
      </c>
      <c r="AP35" s="182" t="s">
        <v>839</v>
      </c>
      <c r="AQ35" s="182" t="s">
        <v>839</v>
      </c>
      <c r="AR35" s="524" t="e">
        <f t="shared" si="6"/>
        <v>#VALUE!</v>
      </c>
      <c r="AS35" s="636"/>
      <c r="AT35" s="524" t="s">
        <v>839</v>
      </c>
      <c r="AU35" s="182" t="s">
        <v>839</v>
      </c>
      <c r="AV35" s="182" t="s">
        <v>839</v>
      </c>
      <c r="AW35" s="524" t="e">
        <f t="shared" si="7"/>
        <v>#VALUE!</v>
      </c>
      <c r="AX35" s="636"/>
      <c r="AZ35" s="524" t="e">
        <f t="shared" si="8"/>
        <v>#N/A</v>
      </c>
      <c r="BA35" s="636"/>
    </row>
    <row r="36" spans="2:53">
      <c r="B36" s="622"/>
      <c r="C36" s="466">
        <v>30</v>
      </c>
      <c r="D36" s="226"/>
      <c r="E36" s="182"/>
      <c r="F36" s="505"/>
      <c r="G36" s="506"/>
      <c r="H36" s="665"/>
      <c r="I36" s="516" t="str">
        <f t="shared" si="0"/>
        <v>-</v>
      </c>
      <c r="J36" s="516" t="str">
        <f t="shared" si="0"/>
        <v>-</v>
      </c>
      <c r="K36" s="200" t="str">
        <f t="shared" si="0"/>
        <v>-</v>
      </c>
      <c r="L36" s="597"/>
      <c r="M36" s="472" t="e">
        <f>RANK(K36, K$7:$K$36)</f>
        <v>#VALUE!</v>
      </c>
      <c r="N36" s="614"/>
      <c r="O36" s="614"/>
      <c r="P36" s="524" t="s">
        <v>839</v>
      </c>
      <c r="Q36" s="182" t="s">
        <v>839</v>
      </c>
      <c r="R36" s="182" t="s">
        <v>839</v>
      </c>
      <c r="S36" s="524" t="e">
        <f t="shared" si="1"/>
        <v>#VALUE!</v>
      </c>
      <c r="T36" s="636"/>
      <c r="U36" s="524" t="s">
        <v>839</v>
      </c>
      <c r="V36" s="182" t="s">
        <v>839</v>
      </c>
      <c r="W36" s="182" t="s">
        <v>839</v>
      </c>
      <c r="X36" s="524" t="e">
        <f t="shared" si="2"/>
        <v>#VALUE!</v>
      </c>
      <c r="Y36" s="636"/>
      <c r="Z36" s="524" t="s">
        <v>839</v>
      </c>
      <c r="AA36" s="182" t="s">
        <v>839</v>
      </c>
      <c r="AB36" s="182" t="s">
        <v>839</v>
      </c>
      <c r="AC36" s="524" t="e">
        <f t="shared" si="3"/>
        <v>#VALUE!</v>
      </c>
      <c r="AD36" s="636"/>
      <c r="AE36" s="524" t="s">
        <v>839</v>
      </c>
      <c r="AF36" s="182" t="s">
        <v>839</v>
      </c>
      <c r="AG36" s="182" t="s">
        <v>839</v>
      </c>
      <c r="AH36" s="524" t="e">
        <f t="shared" si="4"/>
        <v>#VALUE!</v>
      </c>
      <c r="AI36" s="636"/>
      <c r="AJ36" s="524" t="s">
        <v>839</v>
      </c>
      <c r="AK36" s="182" t="s">
        <v>839</v>
      </c>
      <c r="AL36" s="182" t="s">
        <v>839</v>
      </c>
      <c r="AM36" s="524" t="e">
        <f t="shared" si="5"/>
        <v>#VALUE!</v>
      </c>
      <c r="AN36" s="636"/>
      <c r="AO36" s="524" t="s">
        <v>839</v>
      </c>
      <c r="AP36" s="182" t="s">
        <v>839</v>
      </c>
      <c r="AQ36" s="182" t="s">
        <v>839</v>
      </c>
      <c r="AR36" s="524" t="e">
        <f t="shared" si="6"/>
        <v>#VALUE!</v>
      </c>
      <c r="AS36" s="636"/>
      <c r="AT36" s="524" t="s">
        <v>839</v>
      </c>
      <c r="AU36" s="182" t="s">
        <v>839</v>
      </c>
      <c r="AV36" s="182" t="s">
        <v>839</v>
      </c>
      <c r="AW36" s="524" t="e">
        <f t="shared" si="7"/>
        <v>#VALUE!</v>
      </c>
      <c r="AX36" s="636"/>
      <c r="AZ36" s="524" t="e">
        <f t="shared" si="8"/>
        <v>#N/A</v>
      </c>
      <c r="BA36" s="636"/>
    </row>
    <row r="37" spans="2:53" ht="15.75">
      <c r="B37" s="640" t="s">
        <v>163</v>
      </c>
      <c r="C37" s="641"/>
      <c r="D37" s="641"/>
      <c r="E37" s="641"/>
      <c r="F37" s="641"/>
      <c r="G37" s="641"/>
      <c r="H37" s="641"/>
      <c r="I37" s="203"/>
      <c r="J37" s="203"/>
      <c r="K37" s="203"/>
      <c r="L37" s="203"/>
      <c r="M37" s="204"/>
      <c r="N37" s="615" t="s">
        <v>156</v>
      </c>
      <c r="O37" s="615" t="s">
        <v>105</v>
      </c>
      <c r="P37" s="621">
        <f>AT2+1</f>
        <v>46119</v>
      </c>
      <c r="Q37" s="622"/>
      <c r="R37" s="622"/>
      <c r="S37" s="622"/>
      <c r="T37" s="622"/>
      <c r="U37" s="621">
        <f>P37+1</f>
        <v>46120</v>
      </c>
      <c r="V37" s="622"/>
      <c r="W37" s="622"/>
      <c r="X37" s="622"/>
      <c r="Y37" s="622"/>
      <c r="Z37" s="621">
        <f>U37+1</f>
        <v>46121</v>
      </c>
      <c r="AA37" s="622"/>
      <c r="AB37" s="622"/>
      <c r="AC37" s="622"/>
      <c r="AD37" s="622"/>
      <c r="AE37" s="621">
        <f>Z37+1</f>
        <v>46122</v>
      </c>
      <c r="AF37" s="622"/>
      <c r="AG37" s="622"/>
      <c r="AH37" s="622"/>
      <c r="AI37" s="622"/>
      <c r="AJ37" s="621">
        <f>AE37+1</f>
        <v>46123</v>
      </c>
      <c r="AK37" s="622"/>
      <c r="AL37" s="622"/>
      <c r="AM37" s="622"/>
      <c r="AN37" s="622"/>
      <c r="AO37" s="621">
        <f>AJ37+1</f>
        <v>46124</v>
      </c>
      <c r="AP37" s="622"/>
      <c r="AQ37" s="622"/>
      <c r="AR37" s="622"/>
      <c r="AS37" s="622"/>
      <c r="AT37" s="621">
        <f>AO37+1</f>
        <v>46125</v>
      </c>
      <c r="AU37" s="622"/>
      <c r="AV37" s="622"/>
      <c r="AW37" s="622"/>
      <c r="AX37" s="622"/>
    </row>
    <row r="38" spans="2:53" ht="15.75">
      <c r="B38" s="629"/>
      <c r="C38" s="629"/>
      <c r="D38" s="629"/>
      <c r="E38" s="629"/>
      <c r="F38" s="629"/>
      <c r="G38" s="629"/>
      <c r="H38" s="629"/>
      <c r="I38" s="205"/>
      <c r="J38" s="205"/>
      <c r="K38" s="205"/>
      <c r="L38" s="205"/>
      <c r="M38" s="206"/>
      <c r="N38" s="617"/>
      <c r="O38" s="617"/>
      <c r="P38" s="621" t="s">
        <v>336</v>
      </c>
      <c r="Q38" s="622"/>
      <c r="R38" s="622"/>
      <c r="S38" s="622"/>
      <c r="T38" s="622"/>
      <c r="U38" s="621" t="s">
        <v>337</v>
      </c>
      <c r="V38" s="622"/>
      <c r="W38" s="622"/>
      <c r="X38" s="622"/>
      <c r="Y38" s="622"/>
      <c r="Z38" s="621" t="s">
        <v>338</v>
      </c>
      <c r="AA38" s="622"/>
      <c r="AB38" s="622"/>
      <c r="AC38" s="622"/>
      <c r="AD38" s="622"/>
      <c r="AE38" s="621" t="s">
        <v>339</v>
      </c>
      <c r="AF38" s="622"/>
      <c r="AG38" s="622"/>
      <c r="AH38" s="622"/>
      <c r="AI38" s="622"/>
      <c r="AJ38" s="621" t="s">
        <v>340</v>
      </c>
      <c r="AK38" s="622"/>
      <c r="AL38" s="622"/>
      <c r="AM38" s="622"/>
      <c r="AN38" s="622"/>
      <c r="AO38" s="621" t="s">
        <v>341</v>
      </c>
      <c r="AP38" s="622"/>
      <c r="AQ38" s="622"/>
      <c r="AR38" s="622"/>
      <c r="AS38" s="622"/>
      <c r="AT38" s="621" t="s">
        <v>342</v>
      </c>
      <c r="AU38" s="622"/>
      <c r="AV38" s="622"/>
      <c r="AW38" s="622"/>
      <c r="AX38" s="622"/>
    </row>
    <row r="39" spans="2:53">
      <c r="B39" s="614" t="s">
        <v>442</v>
      </c>
      <c r="C39" s="614" t="s">
        <v>443</v>
      </c>
      <c r="D39" s="614"/>
      <c r="E39" s="614" t="s">
        <v>444</v>
      </c>
      <c r="F39" s="614"/>
      <c r="G39" s="614"/>
      <c r="H39" s="630" t="s">
        <v>445</v>
      </c>
      <c r="I39" s="598" t="s">
        <v>446</v>
      </c>
      <c r="J39" s="598"/>
      <c r="K39" s="598"/>
      <c r="L39" s="599" t="s">
        <v>445</v>
      </c>
      <c r="M39" s="605" t="s">
        <v>447</v>
      </c>
      <c r="N39" s="614"/>
      <c r="O39" s="614" t="s">
        <v>448</v>
      </c>
      <c r="P39" s="611" t="s">
        <v>449</v>
      </c>
      <c r="Q39" s="612"/>
      <c r="R39" s="612"/>
      <c r="S39" s="613"/>
      <c r="T39" s="614" t="s">
        <v>445</v>
      </c>
      <c r="U39" s="611" t="s">
        <v>449</v>
      </c>
      <c r="V39" s="612"/>
      <c r="W39" s="612"/>
      <c r="X39" s="613"/>
      <c r="Y39" s="614" t="s">
        <v>445</v>
      </c>
      <c r="Z39" s="611" t="s">
        <v>449</v>
      </c>
      <c r="AA39" s="612"/>
      <c r="AB39" s="612"/>
      <c r="AC39" s="613"/>
      <c r="AD39" s="614" t="s">
        <v>445</v>
      </c>
      <c r="AE39" s="611" t="s">
        <v>449</v>
      </c>
      <c r="AF39" s="612"/>
      <c r="AG39" s="612"/>
      <c r="AH39" s="613"/>
      <c r="AI39" s="614" t="s">
        <v>445</v>
      </c>
      <c r="AJ39" s="611" t="s">
        <v>449</v>
      </c>
      <c r="AK39" s="612"/>
      <c r="AL39" s="612"/>
      <c r="AM39" s="613"/>
      <c r="AN39" s="614" t="s">
        <v>445</v>
      </c>
      <c r="AO39" s="611" t="s">
        <v>449</v>
      </c>
      <c r="AP39" s="612"/>
      <c r="AQ39" s="612"/>
      <c r="AR39" s="613"/>
      <c r="AS39" s="614" t="s">
        <v>445</v>
      </c>
      <c r="AT39" s="611" t="s">
        <v>449</v>
      </c>
      <c r="AU39" s="612"/>
      <c r="AV39" s="612"/>
      <c r="AW39" s="613"/>
      <c r="AX39" s="614" t="s">
        <v>445</v>
      </c>
      <c r="BA39" s="614" t="s">
        <v>395</v>
      </c>
    </row>
    <row r="40" spans="2:53">
      <c r="B40" s="614"/>
      <c r="C40" s="614"/>
      <c r="D40" s="614"/>
      <c r="E40" s="614" t="s">
        <v>450</v>
      </c>
      <c r="F40" s="614"/>
      <c r="G40" s="614"/>
      <c r="H40" s="631"/>
      <c r="I40" s="598" t="s">
        <v>450</v>
      </c>
      <c r="J40" s="598"/>
      <c r="K40" s="598"/>
      <c r="L40" s="600"/>
      <c r="M40" s="606"/>
      <c r="N40" s="614"/>
      <c r="O40" s="614"/>
      <c r="P40" s="611" t="s">
        <v>451</v>
      </c>
      <c r="Q40" s="612"/>
      <c r="R40" s="612"/>
      <c r="S40" s="613"/>
      <c r="T40" s="614"/>
      <c r="U40" s="611" t="s">
        <v>451</v>
      </c>
      <c r="V40" s="612"/>
      <c r="W40" s="612"/>
      <c r="X40" s="613"/>
      <c r="Y40" s="614"/>
      <c r="Z40" s="611" t="s">
        <v>451</v>
      </c>
      <c r="AA40" s="612"/>
      <c r="AB40" s="612"/>
      <c r="AC40" s="613"/>
      <c r="AD40" s="614"/>
      <c r="AE40" s="611" t="s">
        <v>451</v>
      </c>
      <c r="AF40" s="612"/>
      <c r="AG40" s="612"/>
      <c r="AH40" s="613"/>
      <c r="AI40" s="614"/>
      <c r="AJ40" s="611" t="s">
        <v>451</v>
      </c>
      <c r="AK40" s="612"/>
      <c r="AL40" s="612"/>
      <c r="AM40" s="613"/>
      <c r="AN40" s="614"/>
      <c r="AO40" s="611" t="s">
        <v>451</v>
      </c>
      <c r="AP40" s="612"/>
      <c r="AQ40" s="612"/>
      <c r="AR40" s="613"/>
      <c r="AS40" s="614"/>
      <c r="AT40" s="611" t="s">
        <v>451</v>
      </c>
      <c r="AU40" s="612"/>
      <c r="AV40" s="612"/>
      <c r="AW40" s="613"/>
      <c r="AX40" s="614"/>
      <c r="BA40" s="614"/>
    </row>
    <row r="41" spans="2:53">
      <c r="B41" s="614"/>
      <c r="C41" s="614"/>
      <c r="D41" s="614"/>
      <c r="E41" s="305" t="s">
        <v>452</v>
      </c>
      <c r="F41" s="305" t="s">
        <v>453</v>
      </c>
      <c r="G41" s="305" t="s">
        <v>454</v>
      </c>
      <c r="H41" s="632"/>
      <c r="I41" s="304" t="s">
        <v>452</v>
      </c>
      <c r="J41" s="304" t="s">
        <v>453</v>
      </c>
      <c r="K41" s="304" t="s">
        <v>454</v>
      </c>
      <c r="L41" s="601"/>
      <c r="M41" s="607"/>
      <c r="N41" s="614"/>
      <c r="O41" s="614"/>
      <c r="P41" s="305" t="s">
        <v>452</v>
      </c>
      <c r="Q41" s="305" t="s">
        <v>453</v>
      </c>
      <c r="R41" s="305" t="s">
        <v>454</v>
      </c>
      <c r="S41" s="305" t="s">
        <v>447</v>
      </c>
      <c r="T41" s="614"/>
      <c r="U41" s="305" t="s">
        <v>452</v>
      </c>
      <c r="V41" s="305" t="s">
        <v>453</v>
      </c>
      <c r="W41" s="305" t="s">
        <v>454</v>
      </c>
      <c r="X41" s="305" t="s">
        <v>447</v>
      </c>
      <c r="Y41" s="614"/>
      <c r="Z41" s="305" t="s">
        <v>452</v>
      </c>
      <c r="AA41" s="305" t="s">
        <v>453</v>
      </c>
      <c r="AB41" s="305" t="s">
        <v>454</v>
      </c>
      <c r="AC41" s="305" t="s">
        <v>447</v>
      </c>
      <c r="AD41" s="614"/>
      <c r="AE41" s="305" t="s">
        <v>452</v>
      </c>
      <c r="AF41" s="305" t="s">
        <v>453</v>
      </c>
      <c r="AG41" s="305" t="s">
        <v>454</v>
      </c>
      <c r="AH41" s="305" t="s">
        <v>447</v>
      </c>
      <c r="AI41" s="614"/>
      <c r="AJ41" s="305" t="s">
        <v>452</v>
      </c>
      <c r="AK41" s="305" t="s">
        <v>453</v>
      </c>
      <c r="AL41" s="305" t="s">
        <v>454</v>
      </c>
      <c r="AM41" s="305" t="s">
        <v>447</v>
      </c>
      <c r="AN41" s="614"/>
      <c r="AO41" s="305" t="s">
        <v>452</v>
      </c>
      <c r="AP41" s="305" t="s">
        <v>453</v>
      </c>
      <c r="AQ41" s="305" t="s">
        <v>454</v>
      </c>
      <c r="AR41" s="305" t="s">
        <v>447</v>
      </c>
      <c r="AS41" s="614"/>
      <c r="AT41" s="305" t="s">
        <v>452</v>
      </c>
      <c r="AU41" s="305" t="s">
        <v>453</v>
      </c>
      <c r="AV41" s="305" t="s">
        <v>454</v>
      </c>
      <c r="AW41" s="305" t="s">
        <v>447</v>
      </c>
      <c r="AX41" s="614"/>
      <c r="AZ41" s="523" t="s">
        <v>396</v>
      </c>
      <c r="BA41" s="614"/>
    </row>
    <row r="42" spans="2:53">
      <c r="B42" s="614" t="s">
        <v>455</v>
      </c>
      <c r="C42" s="306">
        <v>1</v>
      </c>
      <c r="D42" s="226" t="s">
        <v>367</v>
      </c>
      <c r="E42" s="182">
        <v>6</v>
      </c>
      <c r="F42" s="505">
        <v>1500</v>
      </c>
      <c r="G42" s="506">
        <v>250</v>
      </c>
      <c r="H42" s="663">
        <f>AVERAGE(G42:G71)</f>
        <v>97.962962962962976</v>
      </c>
      <c r="I42" s="516">
        <f>IFERROR(AVERAGE(P42,U42,Z42,AE42,AJ42,AO42,AT42),"-")</f>
        <v>6</v>
      </c>
      <c r="J42" s="516">
        <f>IFERROR(AVERAGE(Q42,V42,AA42,AF42,AK42,AP42,AU42),"-")</f>
        <v>1414.1403226216937</v>
      </c>
      <c r="K42" s="200">
        <f>IFERROR(AVERAGE(R42,W42,AB42,AG42,AL42,AQ42,AV42),"-")</f>
        <v>235.6900537702823</v>
      </c>
      <c r="L42" s="595">
        <f>IFERROR(AVERAGE(K42:K71),"-")</f>
        <v>87.318764841125642</v>
      </c>
      <c r="M42" s="201">
        <f>RANK(K42, K$42:$K$71)</f>
        <v>2</v>
      </c>
      <c r="N42" s="614"/>
      <c r="O42" s="614"/>
      <c r="P42" s="529">
        <v>6</v>
      </c>
      <c r="Q42" s="533">
        <v>1410.2080291970808</v>
      </c>
      <c r="R42" s="533">
        <v>235.0346715328468</v>
      </c>
      <c r="S42" s="529">
        <f t="shared" ref="S42:S71" si="9">RANK(R42, R$42:R$71)</f>
        <v>2</v>
      </c>
      <c r="T42" s="636">
        <f>AVERAGE(R42:R71)</f>
        <v>88.071271356639485</v>
      </c>
      <c r="U42" s="529">
        <v>6</v>
      </c>
      <c r="V42" s="533">
        <v>1417.7490774907747</v>
      </c>
      <c r="W42" s="533">
        <v>236.29151291512912</v>
      </c>
      <c r="X42" s="529">
        <f t="shared" ref="X42:X71" si="10">RANK(W42, W$42:W$71)</f>
        <v>1</v>
      </c>
      <c r="Y42" s="636">
        <f>AVERAGE(W42:W71)</f>
        <v>86.416129741112073</v>
      </c>
      <c r="Z42" s="529">
        <v>6</v>
      </c>
      <c r="AA42" s="533">
        <v>1410.6730038022813</v>
      </c>
      <c r="AB42" s="533">
        <v>235.11216730038021</v>
      </c>
      <c r="AC42" s="529">
        <f t="shared" ref="AC42:AC71" si="11">RANK(AB42, AB$42:AB$71)</f>
        <v>2</v>
      </c>
      <c r="AD42" s="636">
        <f>AVERAGE(AB42:AB71)</f>
        <v>88.043208978842713</v>
      </c>
      <c r="AE42" s="529">
        <v>6</v>
      </c>
      <c r="AF42" s="533">
        <v>1403.2470119521913</v>
      </c>
      <c r="AG42" s="533">
        <v>233.8745019920319</v>
      </c>
      <c r="AH42" s="529">
        <f t="shared" ref="AH42:AH71" si="12">RANK(AG42, AG$42:AG$71)</f>
        <v>2</v>
      </c>
      <c r="AI42" s="636">
        <f>AVERAGE(AG42:AG71)</f>
        <v>87.760250455712153</v>
      </c>
      <c r="AJ42" s="529">
        <v>6</v>
      </c>
      <c r="AK42" s="533">
        <v>1427.4444444444443</v>
      </c>
      <c r="AL42" s="533">
        <v>237.90740740740739</v>
      </c>
      <c r="AM42" s="529">
        <f t="shared" ref="AM42:AM71" si="13">RANK(AL42, AL$42:AL$71)</f>
        <v>2</v>
      </c>
      <c r="AN42" s="636">
        <f>AVERAGE(AL42:AL71)</f>
        <v>88.454861134591766</v>
      </c>
      <c r="AO42" s="529">
        <v>6</v>
      </c>
      <c r="AP42" s="533">
        <v>1405.1214057507987</v>
      </c>
      <c r="AQ42" s="533">
        <v>234.18690095846645</v>
      </c>
      <c r="AR42" s="529">
        <f t="shared" ref="AR42:AR71" si="14">RANK(AQ42, AQ$42:AQ$71)</f>
        <v>2</v>
      </c>
      <c r="AS42" s="636">
        <f>AVERAGE(AQ42:AQ71)</f>
        <v>85.930886762100627</v>
      </c>
      <c r="AT42" s="529">
        <v>6</v>
      </c>
      <c r="AU42" s="533">
        <v>1424.5392857142856</v>
      </c>
      <c r="AV42" s="533">
        <v>237.42321428571427</v>
      </c>
      <c r="AW42" s="529">
        <f t="shared" ref="AW42:AW71" si="15">RANK(AV42, AV$42:AV$71)</f>
        <v>2</v>
      </c>
      <c r="AX42" s="636">
        <f>AVERAGE(AV42:AV71)</f>
        <v>86.554745458880674</v>
      </c>
      <c r="AZ42" s="524" t="e">
        <f t="shared" ref="AZ42:AZ71" si="16">RANK(AY42, AY$42:AY$71)</f>
        <v>#N/A</v>
      </c>
      <c r="BA42" s="636" t="e">
        <f>AVERAGE(AY42:AY71)</f>
        <v>#DIV/0!</v>
      </c>
    </row>
    <row r="43" spans="2:53">
      <c r="B43" s="622"/>
      <c r="C43" s="306">
        <v>2</v>
      </c>
      <c r="D43" s="226" t="s">
        <v>841</v>
      </c>
      <c r="E43" s="182">
        <v>6</v>
      </c>
      <c r="F43" s="505">
        <v>1500</v>
      </c>
      <c r="G43" s="506">
        <v>250</v>
      </c>
      <c r="H43" s="664"/>
      <c r="I43" s="516">
        <f t="shared" ref="I43:I71" si="17">IFERROR(AVERAGE(P43,U43,Z43,AE43,AJ43,AO43,AT43),"-")</f>
        <v>6.1428571428571432</v>
      </c>
      <c r="J43" s="516">
        <f t="shared" ref="J43:J71" si="18">IFERROR(AVERAGE(Q43,V43,AA43,AF43,AK43,AP43,AU43),"-")</f>
        <v>1444.2136233083472</v>
      </c>
      <c r="K43" s="200">
        <f t="shared" ref="K43:K71" si="19">IFERROR(AVERAGE(R43,W43,AB43,AG43,AL43,AQ43,AV43),"-")</f>
        <v>235.73462495656787</v>
      </c>
      <c r="L43" s="596"/>
      <c r="M43" s="201">
        <f>RANK(K43, K$42:$K$71)</f>
        <v>1</v>
      </c>
      <c r="N43" s="614"/>
      <c r="O43" s="614"/>
      <c r="P43" s="529">
        <v>6</v>
      </c>
      <c r="Q43" s="533">
        <v>1423.9655172413795</v>
      </c>
      <c r="R43" s="533">
        <v>237.3275862068966</v>
      </c>
      <c r="S43" s="529">
        <f t="shared" si="9"/>
        <v>1</v>
      </c>
      <c r="T43" s="636"/>
      <c r="U43" s="529">
        <v>7</v>
      </c>
      <c r="V43" s="533">
        <v>1460.4878048780492</v>
      </c>
      <c r="W43" s="533">
        <v>208.64111498257847</v>
      </c>
      <c r="X43" s="529">
        <f t="shared" si="10"/>
        <v>2</v>
      </c>
      <c r="Y43" s="636"/>
      <c r="Z43" s="529">
        <v>6</v>
      </c>
      <c r="AA43" s="533">
        <v>1422.9787234042556</v>
      </c>
      <c r="AB43" s="533">
        <v>237.16312056737593</v>
      </c>
      <c r="AC43" s="529">
        <f t="shared" si="11"/>
        <v>1</v>
      </c>
      <c r="AD43" s="636"/>
      <c r="AE43" s="529">
        <v>6</v>
      </c>
      <c r="AF43" s="533">
        <v>1432.6530612244896</v>
      </c>
      <c r="AG43" s="533">
        <v>238.7755102040816</v>
      </c>
      <c r="AH43" s="529">
        <f t="shared" si="12"/>
        <v>1</v>
      </c>
      <c r="AI43" s="636"/>
      <c r="AJ43" s="529">
        <v>6</v>
      </c>
      <c r="AK43" s="533">
        <v>1448.0769230769229</v>
      </c>
      <c r="AL43" s="533">
        <v>241.34615384615381</v>
      </c>
      <c r="AM43" s="529">
        <f t="shared" si="13"/>
        <v>1</v>
      </c>
      <c r="AN43" s="636"/>
      <c r="AO43" s="529">
        <v>6</v>
      </c>
      <c r="AP43" s="533">
        <v>1464.4444444444443</v>
      </c>
      <c r="AQ43" s="533">
        <v>244.07407407407405</v>
      </c>
      <c r="AR43" s="529">
        <f t="shared" si="14"/>
        <v>1</v>
      </c>
      <c r="AS43" s="636"/>
      <c r="AT43" s="529">
        <v>6</v>
      </c>
      <c r="AU43" s="533">
        <v>1456.8888888888889</v>
      </c>
      <c r="AV43" s="533">
        <v>242.81481481481481</v>
      </c>
      <c r="AW43" s="529">
        <f t="shared" si="15"/>
        <v>1</v>
      </c>
      <c r="AX43" s="636"/>
      <c r="AZ43" s="524" t="e">
        <f t="shared" si="16"/>
        <v>#N/A</v>
      </c>
      <c r="BA43" s="636"/>
    </row>
    <row r="44" spans="2:53">
      <c r="B44" s="622"/>
      <c r="C44" s="306">
        <v>3</v>
      </c>
      <c r="D44" s="226" t="s">
        <v>804</v>
      </c>
      <c r="E44" s="182">
        <v>18</v>
      </c>
      <c r="F44" s="505">
        <v>1500</v>
      </c>
      <c r="G44" s="506">
        <v>83.3</v>
      </c>
      <c r="H44" s="664"/>
      <c r="I44" s="516">
        <f t="shared" si="17"/>
        <v>18</v>
      </c>
      <c r="J44" s="516">
        <f t="shared" si="18"/>
        <v>1274.1975669066046</v>
      </c>
      <c r="K44" s="200">
        <f t="shared" si="19"/>
        <v>70.788753717033586</v>
      </c>
      <c r="L44" s="596"/>
      <c r="M44" s="201">
        <f>RANK(K44, K$42:$K$71)</f>
        <v>19</v>
      </c>
      <c r="N44" s="614"/>
      <c r="O44" s="614"/>
      <c r="P44" s="529">
        <v>18</v>
      </c>
      <c r="Q44" s="533">
        <v>1280.6191616766462</v>
      </c>
      <c r="R44" s="533">
        <v>71.145508982035892</v>
      </c>
      <c r="S44" s="529">
        <f t="shared" si="9"/>
        <v>21</v>
      </c>
      <c r="T44" s="636"/>
      <c r="U44" s="529">
        <v>18</v>
      </c>
      <c r="V44" s="533">
        <v>1282.2750000000001</v>
      </c>
      <c r="W44" s="533">
        <v>71.237500000000011</v>
      </c>
      <c r="X44" s="529">
        <f t="shared" si="10"/>
        <v>18</v>
      </c>
      <c r="Y44" s="636"/>
      <c r="Z44" s="529">
        <v>18</v>
      </c>
      <c r="AA44" s="533">
        <v>1271.489552238806</v>
      </c>
      <c r="AB44" s="533">
        <v>70.638308457711446</v>
      </c>
      <c r="AC44" s="529">
        <f t="shared" si="11"/>
        <v>22</v>
      </c>
      <c r="AD44" s="636"/>
      <c r="AE44" s="529">
        <v>18</v>
      </c>
      <c r="AF44" s="533">
        <v>1268.487096774194</v>
      </c>
      <c r="AG44" s="533">
        <v>70.471505376344112</v>
      </c>
      <c r="AH44" s="529">
        <f t="shared" si="12"/>
        <v>20</v>
      </c>
      <c r="AI44" s="636"/>
      <c r="AJ44" s="529">
        <v>18</v>
      </c>
      <c r="AK44" s="533">
        <v>1270.155882352941</v>
      </c>
      <c r="AL44" s="533">
        <v>70.564215686274508</v>
      </c>
      <c r="AM44" s="529">
        <f t="shared" si="13"/>
        <v>20</v>
      </c>
      <c r="AN44" s="636"/>
      <c r="AO44" s="529">
        <v>18</v>
      </c>
      <c r="AP44" s="533">
        <v>1279.894736842105</v>
      </c>
      <c r="AQ44" s="533">
        <v>71.105263157894726</v>
      </c>
      <c r="AR44" s="529">
        <f t="shared" si="14"/>
        <v>17</v>
      </c>
      <c r="AS44" s="636"/>
      <c r="AT44" s="529">
        <v>18</v>
      </c>
      <c r="AU44" s="533">
        <v>1266.4615384615381</v>
      </c>
      <c r="AV44" s="533">
        <v>70.358974358974336</v>
      </c>
      <c r="AW44" s="529">
        <f t="shared" si="15"/>
        <v>19</v>
      </c>
      <c r="AX44" s="636"/>
      <c r="AZ44" s="524" t="e">
        <f t="shared" si="16"/>
        <v>#N/A</v>
      </c>
      <c r="BA44" s="636"/>
    </row>
    <row r="45" spans="2:53">
      <c r="B45" s="622"/>
      <c r="C45" s="306">
        <v>4</v>
      </c>
      <c r="D45" s="226" t="s">
        <v>743</v>
      </c>
      <c r="E45" s="182">
        <v>18</v>
      </c>
      <c r="F45" s="505">
        <v>1500</v>
      </c>
      <c r="G45" s="506">
        <v>83.3</v>
      </c>
      <c r="H45" s="664"/>
      <c r="I45" s="516">
        <f t="shared" si="17"/>
        <v>18.142857142857142</v>
      </c>
      <c r="J45" s="516">
        <f t="shared" si="18"/>
        <v>1362.0167083307847</v>
      </c>
      <c r="K45" s="200">
        <f t="shared" si="19"/>
        <v>75.109817484986706</v>
      </c>
      <c r="L45" s="596"/>
      <c r="M45" s="201">
        <f>RANK(K45, K$42:$K$71)</f>
        <v>15</v>
      </c>
      <c r="N45" s="614"/>
      <c r="O45" s="614"/>
      <c r="P45" s="529">
        <v>18</v>
      </c>
      <c r="Q45" s="533">
        <v>1388</v>
      </c>
      <c r="R45" s="533">
        <v>77.111111111111114</v>
      </c>
      <c r="S45" s="529">
        <f t="shared" si="9"/>
        <v>13</v>
      </c>
      <c r="T45" s="636"/>
      <c r="U45" s="529">
        <v>18</v>
      </c>
      <c r="V45" s="533">
        <v>1368.2926829268288</v>
      </c>
      <c r="W45" s="533">
        <v>76.016260162601597</v>
      </c>
      <c r="X45" s="529">
        <f t="shared" si="10"/>
        <v>13</v>
      </c>
      <c r="Y45" s="636"/>
      <c r="Z45" s="529">
        <v>18</v>
      </c>
      <c r="AA45" s="533">
        <v>1368.5714285714282</v>
      </c>
      <c r="AB45" s="533">
        <v>76.03174603174601</v>
      </c>
      <c r="AC45" s="529">
        <f t="shared" si="11"/>
        <v>14</v>
      </c>
      <c r="AD45" s="636"/>
      <c r="AE45" s="529">
        <v>18</v>
      </c>
      <c r="AF45" s="533">
        <v>1387.8947368421043</v>
      </c>
      <c r="AG45" s="533">
        <v>77.105263157894683</v>
      </c>
      <c r="AH45" s="529">
        <f t="shared" si="12"/>
        <v>14</v>
      </c>
      <c r="AI45" s="636"/>
      <c r="AJ45" s="529">
        <v>18</v>
      </c>
      <c r="AK45" s="533">
        <v>1372.8571428571424</v>
      </c>
      <c r="AL45" s="533">
        <v>76.269841269841251</v>
      </c>
      <c r="AM45" s="529">
        <f t="shared" si="13"/>
        <v>14</v>
      </c>
      <c r="AN45" s="636"/>
      <c r="AO45" s="529">
        <v>18</v>
      </c>
      <c r="AP45" s="533">
        <v>1313.1818181818182</v>
      </c>
      <c r="AQ45" s="533">
        <v>72.954545454545453</v>
      </c>
      <c r="AR45" s="529">
        <f t="shared" si="14"/>
        <v>15</v>
      </c>
      <c r="AS45" s="636"/>
      <c r="AT45" s="529">
        <v>19</v>
      </c>
      <c r="AU45" s="533">
        <v>1335.3191489361704</v>
      </c>
      <c r="AV45" s="533">
        <v>70.279955207166864</v>
      </c>
      <c r="AW45" s="529">
        <f t="shared" si="15"/>
        <v>20</v>
      </c>
      <c r="AX45" s="636"/>
      <c r="AZ45" s="524" t="e">
        <f t="shared" si="16"/>
        <v>#N/A</v>
      </c>
      <c r="BA45" s="636"/>
    </row>
    <row r="46" spans="2:53">
      <c r="B46" s="622"/>
      <c r="C46" s="306">
        <v>5</v>
      </c>
      <c r="D46" s="226" t="s">
        <v>353</v>
      </c>
      <c r="E46" s="182">
        <v>16</v>
      </c>
      <c r="F46" s="505">
        <v>1500</v>
      </c>
      <c r="G46" s="506">
        <v>93.8</v>
      </c>
      <c r="H46" s="664"/>
      <c r="I46" s="516">
        <f t="shared" si="17"/>
        <v>16</v>
      </c>
      <c r="J46" s="516">
        <f t="shared" si="18"/>
        <v>1366.6229583424702</v>
      </c>
      <c r="K46" s="200">
        <f t="shared" si="19"/>
        <v>85.413934896404385</v>
      </c>
      <c r="L46" s="596"/>
      <c r="M46" s="201">
        <f>RANK(K46, K$42:$K$71)</f>
        <v>5</v>
      </c>
      <c r="N46" s="614"/>
      <c r="O46" s="614"/>
      <c r="P46" s="529">
        <v>16</v>
      </c>
      <c r="Q46" s="533">
        <v>1393.1707317073167</v>
      </c>
      <c r="R46" s="533">
        <v>87.073170731707293</v>
      </c>
      <c r="S46" s="529">
        <f t="shared" si="9"/>
        <v>5</v>
      </c>
      <c r="T46" s="636"/>
      <c r="U46" s="529">
        <v>16</v>
      </c>
      <c r="V46" s="533">
        <v>1321.4999999999995</v>
      </c>
      <c r="W46" s="533">
        <v>82.593749999999972</v>
      </c>
      <c r="X46" s="529">
        <f t="shared" si="10"/>
        <v>10</v>
      </c>
      <c r="Y46" s="636"/>
      <c r="Z46" s="529">
        <v>16</v>
      </c>
      <c r="AA46" s="533">
        <v>1401.5384615384608</v>
      </c>
      <c r="AB46" s="533">
        <v>87.596153846153797</v>
      </c>
      <c r="AC46" s="529">
        <f t="shared" si="11"/>
        <v>4</v>
      </c>
      <c r="AD46" s="636"/>
      <c r="AE46" s="529">
        <v>16</v>
      </c>
      <c r="AF46" s="533">
        <v>1383.3333333333321</v>
      </c>
      <c r="AG46" s="533">
        <v>86.458333333333258</v>
      </c>
      <c r="AH46" s="529">
        <f t="shared" si="12"/>
        <v>5</v>
      </c>
      <c r="AI46" s="636"/>
      <c r="AJ46" s="529">
        <v>16</v>
      </c>
      <c r="AK46" s="533">
        <v>1368.5714285714282</v>
      </c>
      <c r="AL46" s="533">
        <v>85.535714285714263</v>
      </c>
      <c r="AM46" s="529">
        <f t="shared" si="13"/>
        <v>7</v>
      </c>
      <c r="AN46" s="636"/>
      <c r="AO46" s="529">
        <v>16</v>
      </c>
      <c r="AP46" s="533">
        <v>1341.4285714285711</v>
      </c>
      <c r="AQ46" s="533">
        <v>83.839285714285694</v>
      </c>
      <c r="AR46" s="529">
        <f t="shared" si="14"/>
        <v>4</v>
      </c>
      <c r="AS46" s="636"/>
      <c r="AT46" s="529">
        <v>16</v>
      </c>
      <c r="AU46" s="533">
        <v>1356.8181818181818</v>
      </c>
      <c r="AV46" s="533">
        <v>84.80113636363636</v>
      </c>
      <c r="AW46" s="529">
        <f t="shared" si="15"/>
        <v>6</v>
      </c>
      <c r="AX46" s="636"/>
      <c r="AZ46" s="524" t="e">
        <f t="shared" si="16"/>
        <v>#N/A</v>
      </c>
      <c r="BA46" s="636"/>
    </row>
    <row r="47" spans="2:53">
      <c r="B47" s="622"/>
      <c r="C47" s="306">
        <v>6</v>
      </c>
      <c r="D47" s="226" t="s">
        <v>369</v>
      </c>
      <c r="E47" s="182">
        <v>16</v>
      </c>
      <c r="F47" s="505">
        <v>1565</v>
      </c>
      <c r="G47" s="506">
        <v>97.8</v>
      </c>
      <c r="H47" s="664"/>
      <c r="I47" s="516">
        <f t="shared" si="17"/>
        <v>16</v>
      </c>
      <c r="J47" s="516">
        <f t="shared" si="18"/>
        <v>1378.0846400400553</v>
      </c>
      <c r="K47" s="200">
        <f t="shared" si="19"/>
        <v>86.130290002503457</v>
      </c>
      <c r="L47" s="596"/>
      <c r="M47" s="201">
        <f>RANK(K47, K$42:$K$71)</f>
        <v>4</v>
      </c>
      <c r="N47" s="614"/>
      <c r="O47" s="614"/>
      <c r="P47" s="529">
        <v>16</v>
      </c>
      <c r="Q47" s="533">
        <v>1404.1558441558434</v>
      </c>
      <c r="R47" s="533">
        <v>87.759740259740212</v>
      </c>
      <c r="S47" s="529">
        <f t="shared" si="9"/>
        <v>4</v>
      </c>
      <c r="T47" s="636"/>
      <c r="U47" s="529">
        <v>16</v>
      </c>
      <c r="V47" s="533">
        <v>1336.9230769230762</v>
      </c>
      <c r="W47" s="533">
        <v>83.557692307692264</v>
      </c>
      <c r="X47" s="529">
        <f t="shared" si="10"/>
        <v>8</v>
      </c>
      <c r="Y47" s="636"/>
      <c r="Z47" s="529">
        <v>16</v>
      </c>
      <c r="AA47" s="533">
        <v>1394.9999999999982</v>
      </c>
      <c r="AB47" s="533">
        <v>87.187499999999886</v>
      </c>
      <c r="AC47" s="529">
        <f t="shared" si="11"/>
        <v>6</v>
      </c>
      <c r="AD47" s="636"/>
      <c r="AE47" s="529">
        <v>16</v>
      </c>
      <c r="AF47" s="533">
        <v>1404.1791044776137</v>
      </c>
      <c r="AG47" s="533">
        <v>87.761194029850856</v>
      </c>
      <c r="AH47" s="529">
        <f t="shared" si="12"/>
        <v>4</v>
      </c>
      <c r="AI47" s="636"/>
      <c r="AJ47" s="529">
        <v>16</v>
      </c>
      <c r="AK47" s="533">
        <v>1411.6666666666656</v>
      </c>
      <c r="AL47" s="533">
        <v>88.2291666666666</v>
      </c>
      <c r="AM47" s="529">
        <f t="shared" si="13"/>
        <v>5</v>
      </c>
      <c r="AN47" s="636"/>
      <c r="AO47" s="529">
        <v>16</v>
      </c>
      <c r="AP47" s="533">
        <v>1323.4482758620688</v>
      </c>
      <c r="AQ47" s="533">
        <v>82.715517241379303</v>
      </c>
      <c r="AR47" s="529">
        <f t="shared" si="14"/>
        <v>7</v>
      </c>
      <c r="AS47" s="636"/>
      <c r="AT47" s="529">
        <v>16</v>
      </c>
      <c r="AU47" s="533">
        <v>1371.2195121951213</v>
      </c>
      <c r="AV47" s="533">
        <v>85.701219512195081</v>
      </c>
      <c r="AW47" s="529">
        <f t="shared" si="15"/>
        <v>5</v>
      </c>
      <c r="AX47" s="636"/>
      <c r="AZ47" s="524" t="e">
        <f t="shared" si="16"/>
        <v>#N/A</v>
      </c>
      <c r="BA47" s="636"/>
    </row>
    <row r="48" spans="2:53">
      <c r="B48" s="622"/>
      <c r="C48" s="306">
        <v>7</v>
      </c>
      <c r="D48" s="226" t="s">
        <v>345</v>
      </c>
      <c r="E48" s="182">
        <v>14</v>
      </c>
      <c r="F48" s="505">
        <v>1440</v>
      </c>
      <c r="G48" s="506">
        <v>102.9</v>
      </c>
      <c r="H48" s="664"/>
      <c r="I48" s="516">
        <f t="shared" si="17"/>
        <v>15</v>
      </c>
      <c r="J48" s="516">
        <f t="shared" si="18"/>
        <v>1277.096504994252</v>
      </c>
      <c r="K48" s="200">
        <f t="shared" si="19"/>
        <v>85.139766999616796</v>
      </c>
      <c r="L48" s="596"/>
      <c r="M48" s="201">
        <f>RANK(K48, K$42:$K$71)</f>
        <v>6</v>
      </c>
      <c r="N48" s="614"/>
      <c r="O48" s="614"/>
      <c r="P48" s="529">
        <v>15</v>
      </c>
      <c r="Q48" s="533">
        <v>1065.4545454545439</v>
      </c>
      <c r="R48" s="533">
        <v>71.030303030302932</v>
      </c>
      <c r="S48" s="529">
        <f t="shared" si="9"/>
        <v>22</v>
      </c>
      <c r="T48" s="636"/>
      <c r="U48" s="529">
        <v>15</v>
      </c>
      <c r="V48" s="533">
        <v>1387.1999999999782</v>
      </c>
      <c r="W48" s="533">
        <v>92.479999999998554</v>
      </c>
      <c r="X48" s="529">
        <f t="shared" si="10"/>
        <v>3</v>
      </c>
      <c r="Y48" s="636"/>
      <c r="Z48" s="529">
        <v>15</v>
      </c>
      <c r="AA48" s="533">
        <v>1330.4347826087003</v>
      </c>
      <c r="AB48" s="533">
        <v>88.695652173913359</v>
      </c>
      <c r="AC48" s="529">
        <f t="shared" si="11"/>
        <v>3</v>
      </c>
      <c r="AD48" s="636"/>
      <c r="AE48" s="529">
        <v>15</v>
      </c>
      <c r="AF48" s="533">
        <v>1276.5517241379287</v>
      </c>
      <c r="AG48" s="533">
        <v>85.103448275861908</v>
      </c>
      <c r="AH48" s="529">
        <f t="shared" si="12"/>
        <v>7</v>
      </c>
      <c r="AI48" s="636"/>
      <c r="AJ48" s="529">
        <v>15</v>
      </c>
      <c r="AK48" s="533">
        <v>1343.9999999999961</v>
      </c>
      <c r="AL48" s="533">
        <v>89.599999999999739</v>
      </c>
      <c r="AM48" s="529">
        <f t="shared" si="13"/>
        <v>4</v>
      </c>
      <c r="AN48" s="636"/>
      <c r="AO48" s="529">
        <v>15</v>
      </c>
      <c r="AP48" s="533">
        <v>1244.9999999999982</v>
      </c>
      <c r="AQ48" s="533">
        <v>82.999999999999872</v>
      </c>
      <c r="AR48" s="529">
        <f t="shared" si="14"/>
        <v>6</v>
      </c>
      <c r="AS48" s="636"/>
      <c r="AT48" s="529">
        <v>15</v>
      </c>
      <c r="AU48" s="533">
        <v>1291.0344827586182</v>
      </c>
      <c r="AV48" s="533">
        <v>86.06896551724121</v>
      </c>
      <c r="AW48" s="529">
        <f t="shared" si="15"/>
        <v>4</v>
      </c>
      <c r="AX48" s="636"/>
      <c r="AZ48" s="524" t="e">
        <f t="shared" si="16"/>
        <v>#N/A</v>
      </c>
      <c r="BA48" s="636"/>
    </row>
    <row r="49" spans="2:53">
      <c r="B49" s="622"/>
      <c r="C49" s="306">
        <v>8</v>
      </c>
      <c r="D49" s="226" t="s">
        <v>786</v>
      </c>
      <c r="E49" s="182">
        <v>16</v>
      </c>
      <c r="F49" s="505">
        <v>1440</v>
      </c>
      <c r="G49" s="506">
        <v>90</v>
      </c>
      <c r="H49" s="664"/>
      <c r="I49" s="516">
        <f t="shared" si="17"/>
        <v>16</v>
      </c>
      <c r="J49" s="516">
        <f t="shared" si="18"/>
        <v>1332.7272519509174</v>
      </c>
      <c r="K49" s="200">
        <f t="shared" si="19"/>
        <v>83.29545324693234</v>
      </c>
      <c r="L49" s="596"/>
      <c r="M49" s="201">
        <f>RANK(K49, K$42:$K$71)</f>
        <v>7</v>
      </c>
      <c r="N49" s="614"/>
      <c r="O49" s="614"/>
      <c r="P49" s="529">
        <v>16</v>
      </c>
      <c r="Q49" s="533">
        <v>1327.4999999999995</v>
      </c>
      <c r="R49" s="533">
        <v>82.968749999999972</v>
      </c>
      <c r="S49" s="529">
        <f t="shared" si="9"/>
        <v>9</v>
      </c>
      <c r="T49" s="636"/>
      <c r="U49" s="529">
        <v>16</v>
      </c>
      <c r="V49" s="533">
        <v>1341.5384615384608</v>
      </c>
      <c r="W49" s="533">
        <v>83.846153846153797</v>
      </c>
      <c r="X49" s="529">
        <f t="shared" si="10"/>
        <v>7</v>
      </c>
      <c r="Y49" s="636"/>
      <c r="Z49" s="529">
        <v>16</v>
      </c>
      <c r="AA49" s="533">
        <v>1314.7058823529396</v>
      </c>
      <c r="AB49" s="533">
        <v>82.169117647058727</v>
      </c>
      <c r="AC49" s="529">
        <f t="shared" si="11"/>
        <v>11</v>
      </c>
      <c r="AD49" s="636"/>
      <c r="AE49" s="529">
        <v>16</v>
      </c>
      <c r="AF49" s="533">
        <v>1319.9999999999995</v>
      </c>
      <c r="AG49" s="533">
        <v>82.499999999999972</v>
      </c>
      <c r="AH49" s="529">
        <f t="shared" si="12"/>
        <v>10</v>
      </c>
      <c r="AI49" s="636"/>
      <c r="AJ49" s="529">
        <v>16</v>
      </c>
      <c r="AK49" s="533">
        <v>1362.1621621621609</v>
      </c>
      <c r="AL49" s="533">
        <v>85.135135135135059</v>
      </c>
      <c r="AM49" s="529">
        <f t="shared" si="13"/>
        <v>8</v>
      </c>
      <c r="AN49" s="636"/>
      <c r="AO49" s="529">
        <v>16</v>
      </c>
      <c r="AP49" s="533">
        <v>1333.9534883720928</v>
      </c>
      <c r="AQ49" s="533">
        <v>83.3720930232558</v>
      </c>
      <c r="AR49" s="529">
        <f t="shared" si="14"/>
        <v>5</v>
      </c>
      <c r="AS49" s="636"/>
      <c r="AT49" s="529">
        <v>16</v>
      </c>
      <c r="AU49" s="533">
        <v>1329.2307692307686</v>
      </c>
      <c r="AV49" s="533">
        <v>83.076923076923038</v>
      </c>
      <c r="AW49" s="529">
        <f t="shared" si="15"/>
        <v>7</v>
      </c>
      <c r="AX49" s="636"/>
      <c r="AZ49" s="524" t="e">
        <f t="shared" si="16"/>
        <v>#N/A</v>
      </c>
      <c r="BA49" s="636"/>
    </row>
    <row r="50" spans="2:53">
      <c r="B50" s="622"/>
      <c r="C50" s="306">
        <v>9</v>
      </c>
      <c r="D50" s="226" t="s">
        <v>787</v>
      </c>
      <c r="E50" s="182">
        <v>16</v>
      </c>
      <c r="F50" s="505">
        <v>1440</v>
      </c>
      <c r="G50" s="506">
        <v>90</v>
      </c>
      <c r="H50" s="664"/>
      <c r="I50" s="516">
        <f t="shared" si="17"/>
        <v>16.857142857142858</v>
      </c>
      <c r="J50" s="516">
        <f t="shared" si="18"/>
        <v>1211.3042671614107</v>
      </c>
      <c r="K50" s="200">
        <f t="shared" si="19"/>
        <v>71.889046527702021</v>
      </c>
      <c r="L50" s="596"/>
      <c r="M50" s="201">
        <f>RANK(K50, K$42:$K$71)</f>
        <v>18</v>
      </c>
      <c r="N50" s="614"/>
      <c r="O50" s="614"/>
      <c r="P50" s="529">
        <v>16</v>
      </c>
      <c r="Q50" s="533">
        <v>1210.6666666666665</v>
      </c>
      <c r="R50" s="533">
        <v>75.666666666666657</v>
      </c>
      <c r="S50" s="529">
        <f t="shared" si="9"/>
        <v>15</v>
      </c>
      <c r="T50" s="636"/>
      <c r="U50" s="529">
        <v>17</v>
      </c>
      <c r="V50" s="533">
        <v>1210.909090909091</v>
      </c>
      <c r="W50" s="533">
        <v>71.229946524064175</v>
      </c>
      <c r="X50" s="529">
        <f t="shared" si="10"/>
        <v>19</v>
      </c>
      <c r="Y50" s="636"/>
      <c r="Z50" s="529">
        <v>17</v>
      </c>
      <c r="AA50" s="533">
        <v>1254.8571428571531</v>
      </c>
      <c r="AB50" s="533">
        <v>73.815126050420773</v>
      </c>
      <c r="AC50" s="529">
        <f t="shared" si="11"/>
        <v>16</v>
      </c>
      <c r="AD50" s="636"/>
      <c r="AE50" s="529">
        <v>17</v>
      </c>
      <c r="AF50" s="533">
        <v>1186.3636363636365</v>
      </c>
      <c r="AG50" s="533">
        <v>69.786096256684502</v>
      </c>
      <c r="AH50" s="529">
        <f t="shared" si="12"/>
        <v>21</v>
      </c>
      <c r="AI50" s="636"/>
      <c r="AJ50" s="529">
        <v>17</v>
      </c>
      <c r="AK50" s="533">
        <v>1210.4999999999995</v>
      </c>
      <c r="AL50" s="533">
        <v>71.205882352941146</v>
      </c>
      <c r="AM50" s="529">
        <f t="shared" si="13"/>
        <v>18</v>
      </c>
      <c r="AN50" s="636"/>
      <c r="AO50" s="529">
        <v>17</v>
      </c>
      <c r="AP50" s="533">
        <v>1177.3333333333335</v>
      </c>
      <c r="AQ50" s="533">
        <v>69.254901960784323</v>
      </c>
      <c r="AR50" s="529">
        <f t="shared" si="14"/>
        <v>20</v>
      </c>
      <c r="AS50" s="636"/>
      <c r="AT50" s="529">
        <v>17</v>
      </c>
      <c r="AU50" s="533">
        <v>1228.4999999999945</v>
      </c>
      <c r="AV50" s="533">
        <v>72.264705882352615</v>
      </c>
      <c r="AW50" s="529">
        <f t="shared" si="15"/>
        <v>16</v>
      </c>
      <c r="AX50" s="636"/>
      <c r="AZ50" s="524" t="e">
        <f t="shared" si="16"/>
        <v>#N/A</v>
      </c>
      <c r="BA50" s="636"/>
    </row>
    <row r="51" spans="2:53">
      <c r="B51" s="622"/>
      <c r="C51" s="306">
        <v>10</v>
      </c>
      <c r="D51" s="226" t="s">
        <v>788</v>
      </c>
      <c r="E51" s="182">
        <v>18</v>
      </c>
      <c r="F51" s="505">
        <v>1636</v>
      </c>
      <c r="G51" s="506">
        <v>90.9</v>
      </c>
      <c r="H51" s="664"/>
      <c r="I51" s="516">
        <f t="shared" si="17"/>
        <v>18</v>
      </c>
      <c r="J51" s="516">
        <f t="shared" si="18"/>
        <v>1482.7951818195077</v>
      </c>
      <c r="K51" s="200">
        <f t="shared" si="19"/>
        <v>82.377510101083757</v>
      </c>
      <c r="L51" s="596"/>
      <c r="M51" s="201">
        <f>RANK(K51, K$42:$K$71)</f>
        <v>9</v>
      </c>
      <c r="N51" s="614"/>
      <c r="O51" s="614"/>
      <c r="P51" s="529">
        <v>18</v>
      </c>
      <c r="Q51" s="533">
        <v>1560.0000000000014</v>
      </c>
      <c r="R51" s="533">
        <v>86.666666666666742</v>
      </c>
      <c r="S51" s="529">
        <f t="shared" si="9"/>
        <v>6</v>
      </c>
      <c r="T51" s="636"/>
      <c r="U51" s="529">
        <v>18</v>
      </c>
      <c r="V51" s="533">
        <v>1558.9473684210539</v>
      </c>
      <c r="W51" s="533">
        <v>86.608187134502998</v>
      </c>
      <c r="X51" s="529">
        <f t="shared" si="10"/>
        <v>5</v>
      </c>
      <c r="Y51" s="636"/>
      <c r="Z51" s="529">
        <v>18</v>
      </c>
      <c r="AA51" s="533">
        <v>1510.3846153846162</v>
      </c>
      <c r="AB51" s="533">
        <v>83.910256410256451</v>
      </c>
      <c r="AC51" s="529">
        <f t="shared" si="11"/>
        <v>9</v>
      </c>
      <c r="AD51" s="636"/>
      <c r="AE51" s="529">
        <v>18</v>
      </c>
      <c r="AF51" s="533">
        <v>1503.1578947368432</v>
      </c>
      <c r="AG51" s="533">
        <v>83.508771929824618</v>
      </c>
      <c r="AH51" s="529">
        <f t="shared" si="12"/>
        <v>8</v>
      </c>
      <c r="AI51" s="636"/>
      <c r="AJ51" s="529">
        <v>18</v>
      </c>
      <c r="AK51" s="533">
        <v>1541.4545454545466</v>
      </c>
      <c r="AL51" s="533">
        <v>85.636363636363697</v>
      </c>
      <c r="AM51" s="529">
        <f t="shared" si="13"/>
        <v>6</v>
      </c>
      <c r="AN51" s="636"/>
      <c r="AO51" s="529">
        <v>18</v>
      </c>
      <c r="AP51" s="533">
        <v>1338.8571428571415</v>
      </c>
      <c r="AQ51" s="533">
        <v>74.380952380952309</v>
      </c>
      <c r="AR51" s="529">
        <f t="shared" si="14"/>
        <v>13</v>
      </c>
      <c r="AS51" s="636"/>
      <c r="AT51" s="529">
        <v>18</v>
      </c>
      <c r="AU51" s="533">
        <v>1366.7647058823511</v>
      </c>
      <c r="AV51" s="533">
        <v>75.9313725490195</v>
      </c>
      <c r="AW51" s="529">
        <f t="shared" si="15"/>
        <v>12</v>
      </c>
      <c r="AX51" s="636"/>
      <c r="AZ51" s="524" t="e">
        <f t="shared" si="16"/>
        <v>#N/A</v>
      </c>
      <c r="BA51" s="636"/>
    </row>
    <row r="52" spans="2:53">
      <c r="B52" s="622"/>
      <c r="C52" s="306">
        <v>11</v>
      </c>
      <c r="D52" s="226" t="s">
        <v>789</v>
      </c>
      <c r="E52" s="182">
        <v>18</v>
      </c>
      <c r="F52" s="505">
        <v>1636</v>
      </c>
      <c r="G52" s="506">
        <v>90.9</v>
      </c>
      <c r="H52" s="664"/>
      <c r="I52" s="516">
        <f t="shared" si="17"/>
        <v>18</v>
      </c>
      <c r="J52" s="516">
        <f t="shared" si="18"/>
        <v>1468.6581093325278</v>
      </c>
      <c r="K52" s="200">
        <f t="shared" si="19"/>
        <v>81.592117185140438</v>
      </c>
      <c r="L52" s="596"/>
      <c r="M52" s="201">
        <f>RANK(K52, K$42:$K$71)</f>
        <v>10</v>
      </c>
      <c r="N52" s="614"/>
      <c r="O52" s="614"/>
      <c r="P52" s="529">
        <v>18</v>
      </c>
      <c r="Q52" s="533">
        <v>1515</v>
      </c>
      <c r="R52" s="533">
        <v>84.166666666666671</v>
      </c>
      <c r="S52" s="529">
        <f t="shared" si="9"/>
        <v>8</v>
      </c>
      <c r="T52" s="636"/>
      <c r="U52" s="529">
        <v>18</v>
      </c>
      <c r="V52" s="533">
        <v>1510.909090909091</v>
      </c>
      <c r="W52" s="533">
        <v>83.939393939393938</v>
      </c>
      <c r="X52" s="529">
        <f t="shared" si="10"/>
        <v>6</v>
      </c>
      <c r="Y52" s="636"/>
      <c r="Z52" s="529">
        <v>18</v>
      </c>
      <c r="AA52" s="533">
        <v>1520.9999999999995</v>
      </c>
      <c r="AB52" s="533">
        <v>84.499999999999972</v>
      </c>
      <c r="AC52" s="529">
        <f t="shared" si="11"/>
        <v>7</v>
      </c>
      <c r="AD52" s="636"/>
      <c r="AE52" s="529">
        <v>18</v>
      </c>
      <c r="AF52" s="533">
        <v>1536.2790697674418</v>
      </c>
      <c r="AG52" s="533">
        <v>85.348837209302317</v>
      </c>
      <c r="AH52" s="529">
        <f t="shared" si="12"/>
        <v>6</v>
      </c>
      <c r="AI52" s="636"/>
      <c r="AJ52" s="529">
        <v>18</v>
      </c>
      <c r="AK52" s="533">
        <v>1494.4186046511625</v>
      </c>
      <c r="AL52" s="533">
        <v>83.023255813953469</v>
      </c>
      <c r="AM52" s="529">
        <f t="shared" si="13"/>
        <v>10</v>
      </c>
      <c r="AN52" s="636"/>
      <c r="AO52" s="529">
        <v>18</v>
      </c>
      <c r="AP52" s="533">
        <v>1308.0000000000009</v>
      </c>
      <c r="AQ52" s="533">
        <v>72.666666666666714</v>
      </c>
      <c r="AR52" s="529">
        <f t="shared" si="14"/>
        <v>16</v>
      </c>
      <c r="AS52" s="636"/>
      <c r="AT52" s="529">
        <v>18</v>
      </c>
      <c r="AU52" s="533">
        <v>1395.0000000000005</v>
      </c>
      <c r="AV52" s="533">
        <v>77.500000000000028</v>
      </c>
      <c r="AW52" s="529">
        <f t="shared" si="15"/>
        <v>11</v>
      </c>
      <c r="AX52" s="636"/>
      <c r="AZ52" s="524" t="e">
        <f t="shared" si="16"/>
        <v>#N/A</v>
      </c>
      <c r="BA52" s="636"/>
    </row>
    <row r="53" spans="2:53">
      <c r="B53" s="622"/>
      <c r="C53" s="306">
        <v>12</v>
      </c>
      <c r="D53" s="226" t="s">
        <v>355</v>
      </c>
      <c r="E53" s="182">
        <v>17</v>
      </c>
      <c r="F53" s="505">
        <v>1500</v>
      </c>
      <c r="G53" s="506">
        <v>88.2</v>
      </c>
      <c r="H53" s="664"/>
      <c r="I53" s="516">
        <f t="shared" si="17"/>
        <v>17</v>
      </c>
      <c r="J53" s="516">
        <f t="shared" si="18"/>
        <v>1374.64935064935</v>
      </c>
      <c r="K53" s="200">
        <f t="shared" si="19"/>
        <v>80.861726508785296</v>
      </c>
      <c r="L53" s="596"/>
      <c r="M53" s="201">
        <f>RANK(K53, K$42:$K$71)</f>
        <v>11</v>
      </c>
      <c r="N53" s="614"/>
      <c r="O53" s="614"/>
      <c r="P53" s="529">
        <v>17</v>
      </c>
      <c r="Q53" s="533">
        <v>1378.571428571428</v>
      </c>
      <c r="R53" s="533">
        <v>81.092436974789877</v>
      </c>
      <c r="S53" s="529">
        <f t="shared" si="9"/>
        <v>10</v>
      </c>
      <c r="T53" s="636"/>
      <c r="U53" s="529">
        <v>17</v>
      </c>
      <c r="V53" s="533">
        <v>1333.4999999999995</v>
      </c>
      <c r="W53" s="533">
        <v>78.441176470588204</v>
      </c>
      <c r="X53" s="529">
        <f t="shared" si="10"/>
        <v>12</v>
      </c>
      <c r="Y53" s="636"/>
      <c r="Z53" s="529">
        <v>17</v>
      </c>
      <c r="AA53" s="533">
        <v>1429.9999999999989</v>
      </c>
      <c r="AB53" s="533">
        <v>84.117647058823465</v>
      </c>
      <c r="AC53" s="529">
        <f t="shared" si="11"/>
        <v>8</v>
      </c>
      <c r="AD53" s="636"/>
      <c r="AE53" s="529">
        <v>17</v>
      </c>
      <c r="AF53" s="533">
        <v>1409.9999999999995</v>
      </c>
      <c r="AG53" s="533">
        <v>82.941176470588204</v>
      </c>
      <c r="AH53" s="529">
        <f t="shared" si="12"/>
        <v>9</v>
      </c>
      <c r="AI53" s="636"/>
      <c r="AJ53" s="529">
        <v>17</v>
      </c>
      <c r="AK53" s="533">
        <v>1384.4999999999995</v>
      </c>
      <c r="AL53" s="533">
        <v>81.441176470588204</v>
      </c>
      <c r="AM53" s="529">
        <f t="shared" si="13"/>
        <v>11</v>
      </c>
      <c r="AN53" s="636"/>
      <c r="AO53" s="529">
        <v>17</v>
      </c>
      <c r="AP53" s="533">
        <v>1344.5454545454545</v>
      </c>
      <c r="AQ53" s="533">
        <v>79.090909090909093</v>
      </c>
      <c r="AR53" s="529">
        <f t="shared" si="14"/>
        <v>9</v>
      </c>
      <c r="AS53" s="636"/>
      <c r="AT53" s="529">
        <v>17</v>
      </c>
      <c r="AU53" s="533">
        <v>1341.4285714285711</v>
      </c>
      <c r="AV53" s="533">
        <v>78.907563025210067</v>
      </c>
      <c r="AW53" s="529">
        <f t="shared" si="15"/>
        <v>9</v>
      </c>
      <c r="AX53" s="636"/>
      <c r="AZ53" s="524" t="e">
        <f t="shared" si="16"/>
        <v>#N/A</v>
      </c>
      <c r="BA53" s="636"/>
    </row>
    <row r="54" spans="2:53">
      <c r="B54" s="622"/>
      <c r="C54" s="306">
        <v>13</v>
      </c>
      <c r="D54" s="226" t="s">
        <v>666</v>
      </c>
      <c r="E54" s="182">
        <v>20</v>
      </c>
      <c r="F54" s="505">
        <v>1440</v>
      </c>
      <c r="G54" s="506">
        <v>72</v>
      </c>
      <c r="H54" s="664"/>
      <c r="I54" s="516">
        <f t="shared" si="17"/>
        <v>20</v>
      </c>
      <c r="J54" s="516">
        <f t="shared" si="18"/>
        <v>1333.4447440068288</v>
      </c>
      <c r="K54" s="200">
        <f t="shared" si="19"/>
        <v>66.672237200341442</v>
      </c>
      <c r="L54" s="596"/>
      <c r="M54" s="201">
        <f>RANK(K54, K$42:$K$71)</f>
        <v>23</v>
      </c>
      <c r="N54" s="614"/>
      <c r="O54" s="614"/>
      <c r="P54" s="529">
        <v>20</v>
      </c>
      <c r="Q54" s="533">
        <v>1311.0810810810799</v>
      </c>
      <c r="R54" s="533">
        <v>65.554054054053992</v>
      </c>
      <c r="S54" s="529">
        <f t="shared" si="9"/>
        <v>24</v>
      </c>
      <c r="T54" s="636"/>
      <c r="U54" s="529">
        <v>20</v>
      </c>
      <c r="V54" s="533">
        <v>1287.8873239436607</v>
      </c>
      <c r="W54" s="533">
        <v>64.394366197183032</v>
      </c>
      <c r="X54" s="529">
        <f t="shared" si="10"/>
        <v>25</v>
      </c>
      <c r="Y54" s="636"/>
      <c r="Z54" s="529">
        <v>20</v>
      </c>
      <c r="AA54" s="533">
        <v>1362.4615384615399</v>
      </c>
      <c r="AB54" s="533">
        <v>68.123076923076994</v>
      </c>
      <c r="AC54" s="529">
        <f t="shared" si="11"/>
        <v>23</v>
      </c>
      <c r="AD54" s="636"/>
      <c r="AE54" s="529">
        <v>20</v>
      </c>
      <c r="AF54" s="533">
        <v>1368.6956521739116</v>
      </c>
      <c r="AG54" s="533">
        <v>68.434782608695585</v>
      </c>
      <c r="AH54" s="529">
        <f t="shared" si="12"/>
        <v>23</v>
      </c>
      <c r="AI54" s="636"/>
      <c r="AJ54" s="529">
        <v>20</v>
      </c>
      <c r="AK54" s="533">
        <v>1361.599999999999</v>
      </c>
      <c r="AL54" s="533">
        <v>68.079999999999956</v>
      </c>
      <c r="AM54" s="529">
        <f t="shared" si="13"/>
        <v>23</v>
      </c>
      <c r="AN54" s="636"/>
      <c r="AO54" s="529">
        <v>20</v>
      </c>
      <c r="AP54" s="533">
        <v>1316.1538461538455</v>
      </c>
      <c r="AQ54" s="533">
        <v>65.807692307692278</v>
      </c>
      <c r="AR54" s="529">
        <f t="shared" si="14"/>
        <v>25</v>
      </c>
      <c r="AS54" s="636"/>
      <c r="AT54" s="529">
        <v>20</v>
      </c>
      <c r="AU54" s="533">
        <v>1326.2337662337654</v>
      </c>
      <c r="AV54" s="533">
        <v>66.311688311688272</v>
      </c>
      <c r="AW54" s="529">
        <f t="shared" si="15"/>
        <v>24</v>
      </c>
      <c r="AX54" s="636"/>
      <c r="AZ54" s="524" t="e">
        <f t="shared" si="16"/>
        <v>#N/A</v>
      </c>
      <c r="BA54" s="636"/>
    </row>
    <row r="55" spans="2:53">
      <c r="B55" s="622"/>
      <c r="C55" s="306">
        <v>14</v>
      </c>
      <c r="D55" s="226" t="s">
        <v>370</v>
      </c>
      <c r="E55" s="182">
        <v>14</v>
      </c>
      <c r="F55" s="505">
        <v>1440</v>
      </c>
      <c r="G55" s="506">
        <v>102.9</v>
      </c>
      <c r="H55" s="664"/>
      <c r="I55" s="516">
        <f t="shared" si="17"/>
        <v>14.857142857142858</v>
      </c>
      <c r="J55" s="516">
        <f t="shared" si="18"/>
        <v>1330.8224700956557</v>
      </c>
      <c r="K55" s="200">
        <f t="shared" si="19"/>
        <v>89.637824536989299</v>
      </c>
      <c r="L55" s="596"/>
      <c r="M55" s="201">
        <f>RANK(K55, K$42:$K$71)</f>
        <v>3</v>
      </c>
      <c r="N55" s="614"/>
      <c r="O55" s="614"/>
      <c r="P55" s="529">
        <v>14</v>
      </c>
      <c r="Q55" s="533">
        <v>1347.0000000000011</v>
      </c>
      <c r="R55" s="533">
        <v>96.214285714285793</v>
      </c>
      <c r="S55" s="529">
        <f t="shared" si="9"/>
        <v>3</v>
      </c>
      <c r="T55" s="636"/>
      <c r="U55" s="529">
        <v>15</v>
      </c>
      <c r="V55" s="533">
        <v>1351.9354838709689</v>
      </c>
      <c r="W55" s="533">
        <v>90.129032258064598</v>
      </c>
      <c r="X55" s="529">
        <f t="shared" si="10"/>
        <v>4</v>
      </c>
      <c r="Y55" s="636"/>
      <c r="Z55" s="529">
        <v>15</v>
      </c>
      <c r="AA55" s="533">
        <v>1313.3333333333339</v>
      </c>
      <c r="AB55" s="533">
        <v>87.5555555555556</v>
      </c>
      <c r="AC55" s="529">
        <f t="shared" si="11"/>
        <v>5</v>
      </c>
      <c r="AD55" s="636"/>
      <c r="AE55" s="529">
        <v>15</v>
      </c>
      <c r="AF55" s="533">
        <v>1332.6315789473695</v>
      </c>
      <c r="AG55" s="533">
        <v>88.842105263157961</v>
      </c>
      <c r="AH55" s="529">
        <f t="shared" si="12"/>
        <v>3</v>
      </c>
      <c r="AI55" s="636"/>
      <c r="AJ55" s="529">
        <v>15</v>
      </c>
      <c r="AK55" s="533">
        <v>1350.476190476192</v>
      </c>
      <c r="AL55" s="533">
        <v>90.031746031746124</v>
      </c>
      <c r="AM55" s="529">
        <f t="shared" si="13"/>
        <v>3</v>
      </c>
      <c r="AN55" s="636"/>
      <c r="AO55" s="529">
        <v>15</v>
      </c>
      <c r="AP55" s="533">
        <v>1272.9230769230783</v>
      </c>
      <c r="AQ55" s="533">
        <v>84.861538461538558</v>
      </c>
      <c r="AR55" s="529">
        <f t="shared" si="14"/>
        <v>3</v>
      </c>
      <c r="AS55" s="636"/>
      <c r="AT55" s="529">
        <v>15</v>
      </c>
      <c r="AU55" s="533">
        <v>1347.4576271186452</v>
      </c>
      <c r="AV55" s="533">
        <v>89.830508474576348</v>
      </c>
      <c r="AW55" s="529">
        <f t="shared" si="15"/>
        <v>3</v>
      </c>
      <c r="AX55" s="636"/>
      <c r="AZ55" s="524" t="e">
        <f t="shared" si="16"/>
        <v>#N/A</v>
      </c>
      <c r="BA55" s="636"/>
    </row>
    <row r="56" spans="2:53">
      <c r="B56" s="622"/>
      <c r="C56" s="306">
        <v>15</v>
      </c>
      <c r="D56" s="226" t="s">
        <v>347</v>
      </c>
      <c r="E56" s="182">
        <v>19</v>
      </c>
      <c r="F56" s="505">
        <v>1440</v>
      </c>
      <c r="G56" s="506">
        <v>75.8</v>
      </c>
      <c r="H56" s="664"/>
      <c r="I56" s="516">
        <f t="shared" si="17"/>
        <v>19</v>
      </c>
      <c r="J56" s="516">
        <f t="shared" si="18"/>
        <v>1334.6630209927077</v>
      </c>
      <c r="K56" s="200">
        <f t="shared" si="19"/>
        <v>70.245422157510944</v>
      </c>
      <c r="L56" s="596"/>
      <c r="M56" s="199">
        <f>RANK(K56, K$42:$K$71)</f>
        <v>21</v>
      </c>
      <c r="N56" s="614"/>
      <c r="O56" s="614"/>
      <c r="P56" s="529">
        <v>19</v>
      </c>
      <c r="Q56" s="533">
        <v>1375.862068965517</v>
      </c>
      <c r="R56" s="533">
        <v>72.413793103448256</v>
      </c>
      <c r="S56" s="529">
        <f t="shared" si="9"/>
        <v>18</v>
      </c>
      <c r="T56" s="636"/>
      <c r="U56" s="529">
        <v>19</v>
      </c>
      <c r="V56" s="533">
        <v>1313.2584269662921</v>
      </c>
      <c r="W56" s="533">
        <v>69.118864577173269</v>
      </c>
      <c r="X56" s="529">
        <f t="shared" si="10"/>
        <v>22</v>
      </c>
      <c r="Y56" s="636"/>
      <c r="Z56" s="529">
        <v>19</v>
      </c>
      <c r="AA56" s="533">
        <v>1345.8227848101258</v>
      </c>
      <c r="AB56" s="533">
        <v>70.832778147901351</v>
      </c>
      <c r="AC56" s="529">
        <f t="shared" si="11"/>
        <v>21</v>
      </c>
      <c r="AD56" s="636"/>
      <c r="AE56" s="529">
        <v>19</v>
      </c>
      <c r="AF56" s="533">
        <v>1341.4285714285711</v>
      </c>
      <c r="AG56" s="533">
        <v>70.601503759398483</v>
      </c>
      <c r="AH56" s="529">
        <f t="shared" si="12"/>
        <v>18</v>
      </c>
      <c r="AI56" s="636"/>
      <c r="AJ56" s="529">
        <v>19</v>
      </c>
      <c r="AK56" s="533">
        <v>1339.7727272727273</v>
      </c>
      <c r="AL56" s="533">
        <v>70.514354066985646</v>
      </c>
      <c r="AM56" s="529">
        <f t="shared" si="13"/>
        <v>21</v>
      </c>
      <c r="AN56" s="636"/>
      <c r="AO56" s="529">
        <v>19</v>
      </c>
      <c r="AP56" s="533">
        <v>1294.1052631578948</v>
      </c>
      <c r="AQ56" s="533">
        <v>68.11080332409972</v>
      </c>
      <c r="AR56" s="529">
        <f t="shared" si="14"/>
        <v>22</v>
      </c>
      <c r="AS56" s="636"/>
      <c r="AT56" s="529">
        <v>19</v>
      </c>
      <c r="AU56" s="533">
        <v>1332.391304347826</v>
      </c>
      <c r="AV56" s="533">
        <v>70.125858123569785</v>
      </c>
      <c r="AW56" s="529">
        <f t="shared" si="15"/>
        <v>21</v>
      </c>
      <c r="AX56" s="636"/>
      <c r="AZ56" s="524" t="e">
        <f t="shared" si="16"/>
        <v>#N/A</v>
      </c>
      <c r="BA56" s="636"/>
    </row>
    <row r="57" spans="2:53">
      <c r="B57" s="622"/>
      <c r="C57" s="306">
        <v>16</v>
      </c>
      <c r="D57" s="226" t="s">
        <v>368</v>
      </c>
      <c r="E57" s="182">
        <v>19</v>
      </c>
      <c r="F57" s="505">
        <v>1440</v>
      </c>
      <c r="G57" s="506">
        <v>75.8</v>
      </c>
      <c r="H57" s="664"/>
      <c r="I57" s="516">
        <f t="shared" si="17"/>
        <v>19</v>
      </c>
      <c r="J57" s="516">
        <f t="shared" si="18"/>
        <v>1330.9616971501798</v>
      </c>
      <c r="K57" s="200">
        <f t="shared" si="19"/>
        <v>70.050615639483155</v>
      </c>
      <c r="L57" s="596"/>
      <c r="M57" s="199">
        <f>RANK(K57, K$42:$K$71)</f>
        <v>22</v>
      </c>
      <c r="N57" s="614"/>
      <c r="O57" s="614"/>
      <c r="P57" s="529">
        <v>19</v>
      </c>
      <c r="Q57" s="533">
        <v>1355.0769230769247</v>
      </c>
      <c r="R57" s="533">
        <v>71.31983805668024</v>
      </c>
      <c r="S57" s="529">
        <f t="shared" si="9"/>
        <v>20</v>
      </c>
      <c r="T57" s="636"/>
      <c r="U57" s="529">
        <v>19</v>
      </c>
      <c r="V57" s="533">
        <v>1356.0000000000014</v>
      </c>
      <c r="W57" s="533">
        <v>71.368421052631646</v>
      </c>
      <c r="X57" s="529">
        <f t="shared" si="10"/>
        <v>17</v>
      </c>
      <c r="Y57" s="636"/>
      <c r="Z57" s="529">
        <v>19</v>
      </c>
      <c r="AA57" s="533">
        <v>1352.0689655172423</v>
      </c>
      <c r="AB57" s="533">
        <v>71.16152450090749</v>
      </c>
      <c r="AC57" s="529">
        <f t="shared" si="11"/>
        <v>19</v>
      </c>
      <c r="AD57" s="636"/>
      <c r="AE57" s="529">
        <v>19</v>
      </c>
      <c r="AF57" s="533">
        <v>1340.6557377049194</v>
      </c>
      <c r="AG57" s="533">
        <v>70.560828300258919</v>
      </c>
      <c r="AH57" s="529">
        <f t="shared" si="12"/>
        <v>19</v>
      </c>
      <c r="AI57" s="636"/>
      <c r="AJ57" s="529">
        <v>19</v>
      </c>
      <c r="AK57" s="533">
        <v>1338.4615384615399</v>
      </c>
      <c r="AL57" s="533">
        <v>70.445344129554726</v>
      </c>
      <c r="AM57" s="529">
        <f t="shared" si="13"/>
        <v>22</v>
      </c>
      <c r="AN57" s="636"/>
      <c r="AO57" s="529">
        <v>19</v>
      </c>
      <c r="AP57" s="533">
        <v>1303.7837837837828</v>
      </c>
      <c r="AQ57" s="533">
        <v>68.620199146514892</v>
      </c>
      <c r="AR57" s="529">
        <f t="shared" si="14"/>
        <v>21</v>
      </c>
      <c r="AS57" s="636"/>
      <c r="AT57" s="529">
        <v>19</v>
      </c>
      <c r="AU57" s="533">
        <v>1270.6849315068484</v>
      </c>
      <c r="AV57" s="533">
        <v>66.878154289834129</v>
      </c>
      <c r="AW57" s="529">
        <f t="shared" si="15"/>
        <v>23</v>
      </c>
      <c r="AX57" s="636"/>
      <c r="AZ57" s="524" t="e">
        <f t="shared" si="16"/>
        <v>#N/A</v>
      </c>
      <c r="BA57" s="636"/>
    </row>
    <row r="58" spans="2:53">
      <c r="B58" s="622"/>
      <c r="C58" s="306">
        <v>17</v>
      </c>
      <c r="D58" s="226" t="s">
        <v>790</v>
      </c>
      <c r="E58" s="182">
        <v>19</v>
      </c>
      <c r="F58" s="505">
        <v>1500</v>
      </c>
      <c r="G58" s="506">
        <v>78.900000000000006</v>
      </c>
      <c r="H58" s="664"/>
      <c r="I58" s="516">
        <f t="shared" si="17"/>
        <v>19</v>
      </c>
      <c r="J58" s="516">
        <f t="shared" si="18"/>
        <v>1375.135978124699</v>
      </c>
      <c r="K58" s="200">
        <f t="shared" si="19"/>
        <v>72.375577796036779</v>
      </c>
      <c r="L58" s="596"/>
      <c r="M58" s="199">
        <f>RANK(K58, K$42:$K$71)</f>
        <v>17</v>
      </c>
      <c r="N58" s="614"/>
      <c r="O58" s="614"/>
      <c r="P58" s="529">
        <v>19</v>
      </c>
      <c r="Q58" s="533">
        <v>1383.0769230769224</v>
      </c>
      <c r="R58" s="533">
        <v>72.793522267206441</v>
      </c>
      <c r="S58" s="529">
        <f t="shared" si="9"/>
        <v>17</v>
      </c>
      <c r="T58" s="636"/>
      <c r="U58" s="529">
        <v>19</v>
      </c>
      <c r="V58" s="533">
        <v>1346.842105263157</v>
      </c>
      <c r="W58" s="533">
        <v>70.886426592797733</v>
      </c>
      <c r="X58" s="529">
        <f t="shared" si="10"/>
        <v>20</v>
      </c>
      <c r="Y58" s="636"/>
      <c r="Z58" s="529">
        <v>19</v>
      </c>
      <c r="AA58" s="533">
        <v>1385.1428571428555</v>
      </c>
      <c r="AB58" s="533">
        <v>72.90225563909766</v>
      </c>
      <c r="AC58" s="529">
        <f t="shared" si="11"/>
        <v>17</v>
      </c>
      <c r="AD58" s="636"/>
      <c r="AE58" s="529">
        <v>19</v>
      </c>
      <c r="AF58" s="533">
        <v>1409.9999999999989</v>
      </c>
      <c r="AG58" s="533">
        <v>74.210526315789409</v>
      </c>
      <c r="AH58" s="529">
        <f t="shared" si="12"/>
        <v>16</v>
      </c>
      <c r="AI58" s="636"/>
      <c r="AJ58" s="529">
        <v>19</v>
      </c>
      <c r="AK58" s="533">
        <v>1415.6756756756745</v>
      </c>
      <c r="AL58" s="533">
        <v>74.509246088193393</v>
      </c>
      <c r="AM58" s="529">
        <f t="shared" si="13"/>
        <v>16</v>
      </c>
      <c r="AN58" s="636"/>
      <c r="AO58" s="529">
        <v>19</v>
      </c>
      <c r="AP58" s="533">
        <v>1345.7142857142851</v>
      </c>
      <c r="AQ58" s="533">
        <v>70.827067669172905</v>
      </c>
      <c r="AR58" s="529">
        <f t="shared" si="14"/>
        <v>18</v>
      </c>
      <c r="AS58" s="636"/>
      <c r="AT58" s="529">
        <v>19</v>
      </c>
      <c r="AU58" s="533">
        <v>1339.4999999999995</v>
      </c>
      <c r="AV58" s="533">
        <v>70.499999999999972</v>
      </c>
      <c r="AW58" s="529">
        <f t="shared" si="15"/>
        <v>18</v>
      </c>
      <c r="AX58" s="636"/>
      <c r="AZ58" s="524" t="e">
        <f t="shared" si="16"/>
        <v>#N/A</v>
      </c>
      <c r="BA58" s="636"/>
    </row>
    <row r="59" spans="2:53">
      <c r="B59" s="622"/>
      <c r="C59" s="306">
        <v>18</v>
      </c>
      <c r="D59" s="226" t="s">
        <v>816</v>
      </c>
      <c r="E59" s="182">
        <v>18</v>
      </c>
      <c r="F59" s="505">
        <v>1500</v>
      </c>
      <c r="G59" s="506">
        <v>83.3</v>
      </c>
      <c r="H59" s="664"/>
      <c r="I59" s="516">
        <f t="shared" si="17"/>
        <v>18</v>
      </c>
      <c r="J59" s="516">
        <f t="shared" si="18"/>
        <v>1271.2932604015955</v>
      </c>
      <c r="K59" s="200">
        <f t="shared" si="19"/>
        <v>70.627403355644191</v>
      </c>
      <c r="L59" s="596"/>
      <c r="M59" s="199">
        <f>RANK(K59, K$42:$K$71)</f>
        <v>20</v>
      </c>
      <c r="N59" s="614"/>
      <c r="O59" s="614"/>
      <c r="P59" s="529">
        <v>18</v>
      </c>
      <c r="Q59" s="533">
        <v>1285.4545454545457</v>
      </c>
      <c r="R59" s="533">
        <v>71.414141414141426</v>
      </c>
      <c r="S59" s="529">
        <f t="shared" si="9"/>
        <v>19</v>
      </c>
      <c r="T59" s="636"/>
      <c r="U59" s="529">
        <v>18</v>
      </c>
      <c r="V59" s="533">
        <v>1262.9411764705887</v>
      </c>
      <c r="W59" s="533">
        <v>70.163398692810489</v>
      </c>
      <c r="X59" s="529">
        <f t="shared" si="10"/>
        <v>21</v>
      </c>
      <c r="Y59" s="636"/>
      <c r="Z59" s="529">
        <v>18</v>
      </c>
      <c r="AA59" s="533">
        <v>1279.578947368421</v>
      </c>
      <c r="AB59" s="533">
        <v>71.087719298245617</v>
      </c>
      <c r="AC59" s="529">
        <f t="shared" si="11"/>
        <v>20</v>
      </c>
      <c r="AD59" s="636"/>
      <c r="AE59" s="529">
        <v>18</v>
      </c>
      <c r="AF59" s="533">
        <v>1247.0103092783509</v>
      </c>
      <c r="AG59" s="533">
        <v>69.278350515463941</v>
      </c>
      <c r="AH59" s="529">
        <f t="shared" si="12"/>
        <v>22</v>
      </c>
      <c r="AI59" s="636"/>
      <c r="AJ59" s="529">
        <v>18</v>
      </c>
      <c r="AK59" s="533">
        <v>1272.7659574468087</v>
      </c>
      <c r="AL59" s="533">
        <v>70.709219858156033</v>
      </c>
      <c r="AM59" s="529">
        <f t="shared" si="13"/>
        <v>19</v>
      </c>
      <c r="AN59" s="636"/>
      <c r="AO59" s="529">
        <v>18</v>
      </c>
      <c r="AP59" s="533">
        <v>1258.3018867924536</v>
      </c>
      <c r="AQ59" s="533">
        <v>69.905660377358529</v>
      </c>
      <c r="AR59" s="529">
        <f t="shared" si="14"/>
        <v>19</v>
      </c>
      <c r="AS59" s="636"/>
      <c r="AT59" s="529">
        <v>18</v>
      </c>
      <c r="AU59" s="533">
        <v>1293.0000000000005</v>
      </c>
      <c r="AV59" s="533">
        <v>71.833333333333357</v>
      </c>
      <c r="AW59" s="529">
        <f t="shared" si="15"/>
        <v>17</v>
      </c>
      <c r="AX59" s="636"/>
      <c r="AZ59" s="524" t="e">
        <f t="shared" si="16"/>
        <v>#N/A</v>
      </c>
      <c r="BA59" s="636"/>
    </row>
    <row r="60" spans="2:53">
      <c r="B60" s="622"/>
      <c r="C60" s="306">
        <v>19</v>
      </c>
      <c r="D60" s="226" t="s">
        <v>643</v>
      </c>
      <c r="E60" s="182">
        <v>17</v>
      </c>
      <c r="F60" s="505">
        <v>1440</v>
      </c>
      <c r="G60" s="506">
        <v>84.7</v>
      </c>
      <c r="H60" s="664"/>
      <c r="I60" s="516">
        <f t="shared" si="17"/>
        <v>17</v>
      </c>
      <c r="J60" s="516">
        <f t="shared" si="18"/>
        <v>1323.1728035620233</v>
      </c>
      <c r="K60" s="200">
        <f t="shared" si="19"/>
        <v>77.833694327177838</v>
      </c>
      <c r="L60" s="596"/>
      <c r="M60" s="199">
        <f>RANK(K60, K$42:$K$71)</f>
        <v>13</v>
      </c>
      <c r="N60" s="614"/>
      <c r="O60" s="614"/>
      <c r="P60" s="529">
        <v>17</v>
      </c>
      <c r="Q60" s="533">
        <v>1363.4042553191491</v>
      </c>
      <c r="R60" s="533">
        <v>80.200250312891129</v>
      </c>
      <c r="S60" s="529">
        <f t="shared" si="9"/>
        <v>11</v>
      </c>
      <c r="T60" s="636"/>
      <c r="U60" s="529">
        <v>17</v>
      </c>
      <c r="V60" s="533">
        <v>1265.7692307692314</v>
      </c>
      <c r="W60" s="533">
        <v>74.457013574660664</v>
      </c>
      <c r="X60" s="529">
        <f t="shared" si="10"/>
        <v>15</v>
      </c>
      <c r="Y60" s="636"/>
      <c r="Z60" s="529">
        <v>17</v>
      </c>
      <c r="AA60" s="533">
        <v>1371.2195121951213</v>
      </c>
      <c r="AB60" s="533">
        <v>80.659971305595377</v>
      </c>
      <c r="AC60" s="529">
        <f t="shared" si="11"/>
        <v>12</v>
      </c>
      <c r="AD60" s="636"/>
      <c r="AE60" s="529">
        <v>17</v>
      </c>
      <c r="AF60" s="533">
        <v>1341.2500000000005</v>
      </c>
      <c r="AG60" s="533">
        <v>78.897058823529434</v>
      </c>
      <c r="AH60" s="529">
        <f t="shared" si="12"/>
        <v>13</v>
      </c>
      <c r="AI60" s="636"/>
      <c r="AJ60" s="529">
        <v>17</v>
      </c>
      <c r="AK60" s="533">
        <v>1322.4489795918371</v>
      </c>
      <c r="AL60" s="533">
        <v>77.791116446578656</v>
      </c>
      <c r="AM60" s="529">
        <f t="shared" si="13"/>
        <v>13</v>
      </c>
      <c r="AN60" s="636"/>
      <c r="AO60" s="529">
        <v>17</v>
      </c>
      <c r="AP60" s="533">
        <v>1274.1176470588241</v>
      </c>
      <c r="AQ60" s="533">
        <v>74.948096885813186</v>
      </c>
      <c r="AR60" s="529">
        <f t="shared" si="14"/>
        <v>12</v>
      </c>
      <c r="AS60" s="636"/>
      <c r="AT60" s="529">
        <v>17</v>
      </c>
      <c r="AU60" s="533">
        <v>1324</v>
      </c>
      <c r="AV60" s="533">
        <v>77.882352941176464</v>
      </c>
      <c r="AW60" s="529">
        <f t="shared" si="15"/>
        <v>10</v>
      </c>
      <c r="AX60" s="636"/>
      <c r="AZ60" s="524" t="e">
        <f t="shared" si="16"/>
        <v>#N/A</v>
      </c>
      <c r="BA60" s="636"/>
    </row>
    <row r="61" spans="2:53">
      <c r="B61" s="622"/>
      <c r="C61" s="306">
        <v>20</v>
      </c>
      <c r="D61" s="226" t="s">
        <v>667</v>
      </c>
      <c r="E61" s="182">
        <v>18</v>
      </c>
      <c r="F61" s="505">
        <v>1500</v>
      </c>
      <c r="G61" s="506">
        <v>83.3</v>
      </c>
      <c r="H61" s="664"/>
      <c r="I61" s="516">
        <f t="shared" si="17"/>
        <v>18</v>
      </c>
      <c r="J61" s="516">
        <f t="shared" si="18"/>
        <v>1369.6114452537336</v>
      </c>
      <c r="K61" s="200">
        <f t="shared" si="19"/>
        <v>76.089524736318523</v>
      </c>
      <c r="L61" s="596"/>
      <c r="M61" s="199">
        <f>RANK(K61, K$42:$K$71)</f>
        <v>14</v>
      </c>
      <c r="N61" s="614"/>
      <c r="O61" s="614"/>
      <c r="P61" s="529">
        <v>18</v>
      </c>
      <c r="Q61" s="533">
        <v>1410.967741935485</v>
      </c>
      <c r="R61" s="533">
        <v>78.387096774193608</v>
      </c>
      <c r="S61" s="529">
        <f t="shared" si="9"/>
        <v>12</v>
      </c>
      <c r="T61" s="636"/>
      <c r="U61" s="529">
        <v>18</v>
      </c>
      <c r="V61" s="533">
        <v>1361.538461538463</v>
      </c>
      <c r="W61" s="533">
        <v>75.64102564102572</v>
      </c>
      <c r="X61" s="529">
        <f t="shared" si="10"/>
        <v>14</v>
      </c>
      <c r="Y61" s="636"/>
      <c r="Z61" s="529">
        <v>18</v>
      </c>
      <c r="AA61" s="533">
        <v>1310.9999999999907</v>
      </c>
      <c r="AB61" s="533">
        <v>72.833333333332817</v>
      </c>
      <c r="AC61" s="529">
        <f t="shared" si="11"/>
        <v>18</v>
      </c>
      <c r="AD61" s="636"/>
      <c r="AE61" s="529">
        <v>18</v>
      </c>
      <c r="AF61" s="533">
        <v>1381.0344827586218</v>
      </c>
      <c r="AG61" s="533">
        <v>76.724137931034548</v>
      </c>
      <c r="AH61" s="529">
        <f t="shared" si="12"/>
        <v>15</v>
      </c>
      <c r="AI61" s="636"/>
      <c r="AJ61" s="529">
        <v>18</v>
      </c>
      <c r="AK61" s="533">
        <v>1367.2131147540997</v>
      </c>
      <c r="AL61" s="533">
        <v>75.956284153005541</v>
      </c>
      <c r="AM61" s="529">
        <f t="shared" si="13"/>
        <v>15</v>
      </c>
      <c r="AN61" s="636"/>
      <c r="AO61" s="529">
        <v>18</v>
      </c>
      <c r="AP61" s="533">
        <v>1390.5263157894747</v>
      </c>
      <c r="AQ61" s="533">
        <v>77.251461988304143</v>
      </c>
      <c r="AR61" s="529">
        <f t="shared" si="14"/>
        <v>11</v>
      </c>
      <c r="AS61" s="636"/>
      <c r="AT61" s="529">
        <v>18</v>
      </c>
      <c r="AU61" s="533">
        <v>1365.0000000000014</v>
      </c>
      <c r="AV61" s="533">
        <v>75.833333333333414</v>
      </c>
      <c r="AW61" s="529">
        <f t="shared" si="15"/>
        <v>13</v>
      </c>
      <c r="AX61" s="636"/>
      <c r="AZ61" s="524" t="e">
        <f t="shared" si="16"/>
        <v>#N/A</v>
      </c>
      <c r="BA61" s="636"/>
    </row>
    <row r="62" spans="2:53">
      <c r="B62" s="622"/>
      <c r="C62" s="306">
        <v>21</v>
      </c>
      <c r="D62" s="226" t="s">
        <v>794</v>
      </c>
      <c r="E62" s="182">
        <v>18</v>
      </c>
      <c r="F62" s="505">
        <v>1636</v>
      </c>
      <c r="G62" s="506">
        <v>90.9</v>
      </c>
      <c r="H62" s="664"/>
      <c r="I62" s="516">
        <f t="shared" si="17"/>
        <v>18</v>
      </c>
      <c r="J62" s="516">
        <f t="shared" si="18"/>
        <v>1326.6620579190746</v>
      </c>
      <c r="K62" s="200">
        <f t="shared" si="19"/>
        <v>73.703447662170802</v>
      </c>
      <c r="L62" s="596"/>
      <c r="M62" s="199">
        <f>RANK(K62, K$42:$K$71)</f>
        <v>16</v>
      </c>
      <c r="N62" s="614"/>
      <c r="O62" s="614"/>
      <c r="P62" s="529">
        <v>18</v>
      </c>
      <c r="Q62" s="533">
        <v>1324.0298507462687</v>
      </c>
      <c r="R62" s="533">
        <v>73.557213930348269</v>
      </c>
      <c r="S62" s="529">
        <f t="shared" si="9"/>
        <v>16</v>
      </c>
      <c r="T62" s="636"/>
      <c r="U62" s="529">
        <v>18</v>
      </c>
      <c r="V62" s="533">
        <v>1326.3414634146336</v>
      </c>
      <c r="W62" s="533">
        <v>73.685636856368532</v>
      </c>
      <c r="X62" s="529">
        <f t="shared" si="10"/>
        <v>16</v>
      </c>
      <c r="Y62" s="636"/>
      <c r="Z62" s="529">
        <v>18</v>
      </c>
      <c r="AA62" s="533">
        <v>1340.847457627118</v>
      </c>
      <c r="AB62" s="533">
        <v>74.491525423728774</v>
      </c>
      <c r="AC62" s="529">
        <f t="shared" si="11"/>
        <v>15</v>
      </c>
      <c r="AD62" s="636"/>
      <c r="AE62" s="529">
        <v>18</v>
      </c>
      <c r="AF62" s="533">
        <v>1311.8446601941753</v>
      </c>
      <c r="AG62" s="533">
        <v>72.880258899676406</v>
      </c>
      <c r="AH62" s="529">
        <f t="shared" si="12"/>
        <v>17</v>
      </c>
      <c r="AI62" s="636"/>
      <c r="AJ62" s="529">
        <v>18</v>
      </c>
      <c r="AK62" s="533">
        <v>1320.5309734513273</v>
      </c>
      <c r="AL62" s="533">
        <v>73.362831858407077</v>
      </c>
      <c r="AM62" s="529">
        <f t="shared" si="13"/>
        <v>17</v>
      </c>
      <c r="AN62" s="636"/>
      <c r="AO62" s="529">
        <v>18</v>
      </c>
      <c r="AP62" s="533">
        <v>1319.9999999999998</v>
      </c>
      <c r="AQ62" s="533">
        <v>73.333333333333314</v>
      </c>
      <c r="AR62" s="529">
        <f t="shared" si="14"/>
        <v>14</v>
      </c>
      <c r="AS62" s="636"/>
      <c r="AT62" s="529">
        <v>18</v>
      </c>
      <c r="AU62" s="533">
        <v>1343.0399999999995</v>
      </c>
      <c r="AV62" s="533">
        <v>74.613333333333301</v>
      </c>
      <c r="AW62" s="529">
        <f t="shared" si="15"/>
        <v>14</v>
      </c>
      <c r="AX62" s="636"/>
      <c r="AZ62" s="524" t="e">
        <f t="shared" si="16"/>
        <v>#N/A</v>
      </c>
      <c r="BA62" s="636"/>
    </row>
    <row r="63" spans="2:53">
      <c r="B63" s="622"/>
      <c r="C63" s="306">
        <v>22</v>
      </c>
      <c r="D63" s="226" t="s">
        <v>669</v>
      </c>
      <c r="E63" s="182">
        <v>20</v>
      </c>
      <c r="F63" s="505">
        <v>1500</v>
      </c>
      <c r="G63" s="506">
        <v>75</v>
      </c>
      <c r="H63" s="664"/>
      <c r="I63" s="516">
        <f t="shared" si="17"/>
        <v>20</v>
      </c>
      <c r="J63" s="516">
        <f t="shared" si="18"/>
        <v>1232.6115240189599</v>
      </c>
      <c r="K63" s="200">
        <f t="shared" si="19"/>
        <v>61.630576200947999</v>
      </c>
      <c r="L63" s="596"/>
      <c r="M63" s="199">
        <f>RANK(K63, K$42:$K$71)</f>
        <v>26</v>
      </c>
      <c r="N63" s="614"/>
      <c r="O63" s="614"/>
      <c r="P63" s="529">
        <v>20</v>
      </c>
      <c r="Q63" s="533">
        <v>1237.3584905660384</v>
      </c>
      <c r="R63" s="533">
        <v>61.86792452830192</v>
      </c>
      <c r="S63" s="529">
        <f t="shared" si="9"/>
        <v>27</v>
      </c>
      <c r="T63" s="636"/>
      <c r="U63" s="529">
        <v>20</v>
      </c>
      <c r="V63" s="533">
        <v>1218.0000000000002</v>
      </c>
      <c r="W63" s="533">
        <v>60.900000000000013</v>
      </c>
      <c r="X63" s="529">
        <f t="shared" si="10"/>
        <v>26</v>
      </c>
      <c r="Y63" s="636"/>
      <c r="Z63" s="529">
        <v>20</v>
      </c>
      <c r="AA63" s="533">
        <v>1210.4347826086957</v>
      </c>
      <c r="AB63" s="533">
        <v>60.521739130434788</v>
      </c>
      <c r="AC63" s="529">
        <f t="shared" si="11"/>
        <v>27</v>
      </c>
      <c r="AD63" s="636"/>
      <c r="AE63" s="529">
        <v>20</v>
      </c>
      <c r="AF63" s="533">
        <v>1230.5882352941182</v>
      </c>
      <c r="AG63" s="533">
        <v>61.529411764705912</v>
      </c>
      <c r="AH63" s="529">
        <f t="shared" si="12"/>
        <v>26</v>
      </c>
      <c r="AI63" s="636"/>
      <c r="AJ63" s="529">
        <v>20</v>
      </c>
      <c r="AK63" s="533">
        <v>1256.4705882352946</v>
      </c>
      <c r="AL63" s="533">
        <v>62.823529411764731</v>
      </c>
      <c r="AM63" s="529">
        <f t="shared" si="13"/>
        <v>26</v>
      </c>
      <c r="AN63" s="636"/>
      <c r="AO63" s="529">
        <v>20</v>
      </c>
      <c r="AP63" s="533">
        <v>1251.4285714285722</v>
      </c>
      <c r="AQ63" s="533">
        <v>62.571428571428612</v>
      </c>
      <c r="AR63" s="529">
        <f t="shared" si="14"/>
        <v>26</v>
      </c>
      <c r="AS63" s="636"/>
      <c r="AT63" s="529">
        <v>20</v>
      </c>
      <c r="AU63" s="533">
        <v>1224.0000000000007</v>
      </c>
      <c r="AV63" s="533">
        <v>61.200000000000031</v>
      </c>
      <c r="AW63" s="529">
        <f t="shared" si="15"/>
        <v>26</v>
      </c>
      <c r="AX63" s="636"/>
      <c r="AZ63" s="524" t="e">
        <f t="shared" si="16"/>
        <v>#N/A</v>
      </c>
      <c r="BA63" s="636"/>
    </row>
    <row r="64" spans="2:53">
      <c r="B64" s="622"/>
      <c r="C64" s="306">
        <v>23</v>
      </c>
      <c r="D64" s="226" t="s">
        <v>791</v>
      </c>
      <c r="E64" s="182">
        <v>17</v>
      </c>
      <c r="F64" s="505">
        <v>1565</v>
      </c>
      <c r="G64" s="506">
        <v>92.1</v>
      </c>
      <c r="H64" s="664"/>
      <c r="I64" s="516">
        <f t="shared" si="17"/>
        <v>17.285714285714285</v>
      </c>
      <c r="J64" s="516">
        <f t="shared" si="18"/>
        <v>1371.0082828687787</v>
      </c>
      <c r="K64" s="200">
        <f t="shared" si="19"/>
        <v>79.379150494124104</v>
      </c>
      <c r="L64" s="596"/>
      <c r="M64" s="199">
        <f>RANK(K64, K$42:$K$71)</f>
        <v>12</v>
      </c>
      <c r="N64" s="614"/>
      <c r="O64" s="614"/>
      <c r="P64" s="529">
        <v>18</v>
      </c>
      <c r="Q64" s="533">
        <v>1376.0869565217392</v>
      </c>
      <c r="R64" s="533">
        <v>76.449275362318843</v>
      </c>
      <c r="S64" s="529">
        <f t="shared" si="9"/>
        <v>14</v>
      </c>
      <c r="T64" s="636"/>
      <c r="U64" s="529">
        <v>17</v>
      </c>
      <c r="V64" s="533">
        <v>1400.8695652173915</v>
      </c>
      <c r="W64" s="533">
        <v>82.404092071611259</v>
      </c>
      <c r="X64" s="529">
        <f t="shared" si="10"/>
        <v>11</v>
      </c>
      <c r="Y64" s="636"/>
      <c r="Z64" s="529">
        <v>17</v>
      </c>
      <c r="AA64" s="533">
        <v>1399.4999999999995</v>
      </c>
      <c r="AB64" s="533">
        <v>82.323529411764682</v>
      </c>
      <c r="AC64" s="529">
        <f t="shared" si="11"/>
        <v>10</v>
      </c>
      <c r="AD64" s="636"/>
      <c r="AE64" s="529">
        <v>17</v>
      </c>
      <c r="AF64" s="533">
        <v>1374.5454545454545</v>
      </c>
      <c r="AG64" s="533">
        <v>80.855614973262036</v>
      </c>
      <c r="AH64" s="529">
        <f t="shared" si="12"/>
        <v>12</v>
      </c>
      <c r="AI64" s="636"/>
      <c r="AJ64" s="529">
        <v>17</v>
      </c>
      <c r="AK64" s="533">
        <v>1382.7906976744184</v>
      </c>
      <c r="AL64" s="533">
        <v>81.340629274965792</v>
      </c>
      <c r="AM64" s="529">
        <f t="shared" si="13"/>
        <v>12</v>
      </c>
      <c r="AN64" s="636"/>
      <c r="AO64" s="529">
        <v>17</v>
      </c>
      <c r="AP64" s="533">
        <v>1322.4489795918371</v>
      </c>
      <c r="AQ64" s="533">
        <v>77.791116446578656</v>
      </c>
      <c r="AR64" s="529">
        <f t="shared" si="14"/>
        <v>10</v>
      </c>
      <c r="AS64" s="636"/>
      <c r="AT64" s="529">
        <v>18</v>
      </c>
      <c r="AU64" s="533">
        <v>1340.8163265306125</v>
      </c>
      <c r="AV64" s="533">
        <v>74.489795918367363</v>
      </c>
      <c r="AW64" s="529">
        <f t="shared" si="15"/>
        <v>15</v>
      </c>
      <c r="AX64" s="636"/>
      <c r="AZ64" s="524" t="e">
        <f t="shared" si="16"/>
        <v>#N/A</v>
      </c>
      <c r="BA64" s="636"/>
    </row>
    <row r="65" spans="2:53">
      <c r="B65" s="622"/>
      <c r="C65" s="306">
        <v>24</v>
      </c>
      <c r="D65" s="226" t="s">
        <v>677</v>
      </c>
      <c r="E65" s="182">
        <v>19</v>
      </c>
      <c r="F65" s="505">
        <v>1385</v>
      </c>
      <c r="G65" s="506">
        <v>72.900000000000006</v>
      </c>
      <c r="H65" s="664"/>
      <c r="I65" s="516">
        <f t="shared" si="17"/>
        <v>19.857142857142858</v>
      </c>
      <c r="J65" s="516">
        <f t="shared" si="18"/>
        <v>1216.5982976184332</v>
      </c>
      <c r="K65" s="200">
        <f t="shared" si="19"/>
        <v>61.283298339568276</v>
      </c>
      <c r="L65" s="596"/>
      <c r="M65" s="199">
        <f>RANK(K65, K$42:$K$71)</f>
        <v>27</v>
      </c>
      <c r="N65" s="614"/>
      <c r="O65" s="614"/>
      <c r="P65" s="529">
        <v>19</v>
      </c>
      <c r="Q65" s="533">
        <v>1205.9999999999995</v>
      </c>
      <c r="R65" s="533">
        <v>63.473684210526294</v>
      </c>
      <c r="S65" s="529">
        <f t="shared" si="9"/>
        <v>26</v>
      </c>
      <c r="T65" s="636"/>
      <c r="U65" s="529">
        <v>20</v>
      </c>
      <c r="V65" s="533">
        <v>1207.4999999999995</v>
      </c>
      <c r="W65" s="533">
        <v>60.374999999999979</v>
      </c>
      <c r="X65" s="529">
        <f t="shared" si="10"/>
        <v>27</v>
      </c>
      <c r="Y65" s="636"/>
      <c r="Z65" s="529">
        <v>20</v>
      </c>
      <c r="AA65" s="533">
        <v>1223.6842105263149</v>
      </c>
      <c r="AB65" s="533">
        <v>61.184210526315745</v>
      </c>
      <c r="AC65" s="529">
        <f t="shared" si="11"/>
        <v>26</v>
      </c>
      <c r="AD65" s="636"/>
      <c r="AE65" s="529">
        <v>20</v>
      </c>
      <c r="AF65" s="533">
        <v>1216.3636363636365</v>
      </c>
      <c r="AG65" s="533">
        <v>60.818181818181827</v>
      </c>
      <c r="AH65" s="529">
        <f t="shared" si="12"/>
        <v>27</v>
      </c>
      <c r="AI65" s="636"/>
      <c r="AJ65" s="529">
        <v>20</v>
      </c>
      <c r="AK65" s="533">
        <v>1206.3157894736833</v>
      </c>
      <c r="AL65" s="533">
        <v>60.315789473684163</v>
      </c>
      <c r="AM65" s="529">
        <f t="shared" si="13"/>
        <v>27</v>
      </c>
      <c r="AN65" s="636"/>
      <c r="AO65" s="529">
        <v>20</v>
      </c>
      <c r="AP65" s="533">
        <v>1215.348837209302</v>
      </c>
      <c r="AQ65" s="533">
        <v>60.767441860465098</v>
      </c>
      <c r="AR65" s="529">
        <f t="shared" si="14"/>
        <v>27</v>
      </c>
      <c r="AS65" s="636"/>
      <c r="AT65" s="529">
        <v>20</v>
      </c>
      <c r="AU65" s="533">
        <v>1240.9756097560971</v>
      </c>
      <c r="AV65" s="533">
        <v>62.048780487804855</v>
      </c>
      <c r="AW65" s="529">
        <f t="shared" si="15"/>
        <v>25</v>
      </c>
      <c r="AX65" s="636"/>
      <c r="AZ65" s="524" t="e">
        <f t="shared" si="16"/>
        <v>#N/A</v>
      </c>
      <c r="BA65" s="636"/>
    </row>
    <row r="66" spans="2:53">
      <c r="B66" s="622"/>
      <c r="C66" s="306">
        <v>25</v>
      </c>
      <c r="D66" s="226" t="s">
        <v>792</v>
      </c>
      <c r="E66" s="182">
        <v>15</v>
      </c>
      <c r="F66" s="505">
        <v>1440</v>
      </c>
      <c r="G66" s="506">
        <v>96</v>
      </c>
      <c r="H66" s="664"/>
      <c r="I66" s="516">
        <f t="shared" si="17"/>
        <v>15</v>
      </c>
      <c r="J66" s="516">
        <f t="shared" si="18"/>
        <v>1239.2921458509684</v>
      </c>
      <c r="K66" s="200">
        <f t="shared" si="19"/>
        <v>82.619476390064534</v>
      </c>
      <c r="L66" s="596"/>
      <c r="M66" s="199">
        <f>RANK(K66, K$42:$K$71)</f>
        <v>8</v>
      </c>
      <c r="N66" s="614"/>
      <c r="O66" s="614"/>
      <c r="P66" s="529">
        <v>15</v>
      </c>
      <c r="Q66" s="533">
        <v>1281.1764705882338</v>
      </c>
      <c r="R66" s="533">
        <v>85.411764705882248</v>
      </c>
      <c r="S66" s="529">
        <f t="shared" si="9"/>
        <v>7</v>
      </c>
      <c r="T66" s="636"/>
      <c r="U66" s="529">
        <v>15</v>
      </c>
      <c r="V66" s="533">
        <v>1248.3333333333323</v>
      </c>
      <c r="W66" s="533">
        <v>83.222222222222157</v>
      </c>
      <c r="X66" s="529">
        <f t="shared" si="10"/>
        <v>9</v>
      </c>
      <c r="Y66" s="636"/>
      <c r="Z66" s="529">
        <v>15</v>
      </c>
      <c r="AA66" s="533">
        <v>1207.2727272727257</v>
      </c>
      <c r="AB66" s="533">
        <v>80.484848484848371</v>
      </c>
      <c r="AC66" s="529">
        <f t="shared" si="11"/>
        <v>13</v>
      </c>
      <c r="AD66" s="636"/>
      <c r="AE66" s="529">
        <v>15</v>
      </c>
      <c r="AF66" s="533">
        <v>1219.4594594594585</v>
      </c>
      <c r="AG66" s="533">
        <v>81.297297297297234</v>
      </c>
      <c r="AH66" s="529">
        <f t="shared" si="12"/>
        <v>11</v>
      </c>
      <c r="AI66" s="636"/>
      <c r="AJ66" s="529">
        <v>15</v>
      </c>
      <c r="AK66" s="533">
        <v>1263.6363636363621</v>
      </c>
      <c r="AL66" s="533">
        <v>84.24242424242415</v>
      </c>
      <c r="AM66" s="529">
        <f t="shared" si="13"/>
        <v>9</v>
      </c>
      <c r="AN66" s="636"/>
      <c r="AO66" s="529">
        <v>15</v>
      </c>
      <c r="AP66" s="533">
        <v>1213.4999999999995</v>
      </c>
      <c r="AQ66" s="533">
        <v>80.899999999999963</v>
      </c>
      <c r="AR66" s="529">
        <f t="shared" si="14"/>
        <v>8</v>
      </c>
      <c r="AS66" s="636"/>
      <c r="AT66" s="529">
        <v>15</v>
      </c>
      <c r="AU66" s="533">
        <v>1241.6666666666656</v>
      </c>
      <c r="AV66" s="533">
        <v>82.7777777777777</v>
      </c>
      <c r="AW66" s="529">
        <f t="shared" si="15"/>
        <v>8</v>
      </c>
      <c r="AX66" s="636"/>
      <c r="AZ66" s="524" t="e">
        <f t="shared" si="16"/>
        <v>#N/A</v>
      </c>
      <c r="BA66" s="636"/>
    </row>
    <row r="67" spans="2:53">
      <c r="B67" s="622"/>
      <c r="C67" s="306">
        <v>26</v>
      </c>
      <c r="D67" s="226" t="s">
        <v>744</v>
      </c>
      <c r="E67" s="182">
        <v>21</v>
      </c>
      <c r="F67" s="505">
        <v>1500</v>
      </c>
      <c r="G67" s="506">
        <v>71.400000000000006</v>
      </c>
      <c r="H67" s="664"/>
      <c r="I67" s="516">
        <f t="shared" si="17"/>
        <v>21</v>
      </c>
      <c r="J67" s="516">
        <f t="shared" si="18"/>
        <v>1367.5186036716702</v>
      </c>
      <c r="K67" s="200">
        <f t="shared" si="19"/>
        <v>65.119933508174796</v>
      </c>
      <c r="L67" s="596"/>
      <c r="M67" s="199">
        <f>RANK(K67, K$42:$K$71)</f>
        <v>25</v>
      </c>
      <c r="N67" s="614"/>
      <c r="O67" s="614"/>
      <c r="P67" s="529">
        <v>21</v>
      </c>
      <c r="Q67" s="533">
        <v>1398.5714285714282</v>
      </c>
      <c r="R67" s="533">
        <v>66.59863945578229</v>
      </c>
      <c r="S67" s="529">
        <f t="shared" si="9"/>
        <v>23</v>
      </c>
      <c r="T67" s="636"/>
      <c r="U67" s="529">
        <v>21</v>
      </c>
      <c r="V67" s="533">
        <v>1368.5714285714282</v>
      </c>
      <c r="W67" s="533">
        <v>65.170068027210874</v>
      </c>
      <c r="X67" s="529">
        <f t="shared" si="10"/>
        <v>24</v>
      </c>
      <c r="Y67" s="636"/>
      <c r="Z67" s="529">
        <v>21</v>
      </c>
      <c r="AA67" s="533">
        <v>1393.1707317073167</v>
      </c>
      <c r="AB67" s="533">
        <v>66.341463414634134</v>
      </c>
      <c r="AC67" s="529">
        <f t="shared" si="11"/>
        <v>24</v>
      </c>
      <c r="AD67" s="636"/>
      <c r="AE67" s="529">
        <v>21</v>
      </c>
      <c r="AF67" s="533">
        <v>1366.1538461538453</v>
      </c>
      <c r="AG67" s="533">
        <v>65.054945054945009</v>
      </c>
      <c r="AH67" s="529">
        <f t="shared" si="12"/>
        <v>25</v>
      </c>
      <c r="AI67" s="636"/>
      <c r="AJ67" s="529">
        <v>21</v>
      </c>
      <c r="AK67" s="533">
        <v>1391.1627906976742</v>
      </c>
      <c r="AL67" s="533">
        <v>66.245847176079721</v>
      </c>
      <c r="AM67" s="529">
        <f t="shared" si="13"/>
        <v>24</v>
      </c>
      <c r="AN67" s="636"/>
      <c r="AO67" s="529">
        <v>21</v>
      </c>
      <c r="AP67" s="533">
        <v>1395</v>
      </c>
      <c r="AQ67" s="533">
        <v>66.428571428571431</v>
      </c>
      <c r="AR67" s="529">
        <f t="shared" si="14"/>
        <v>24</v>
      </c>
      <c r="AS67" s="636"/>
      <c r="AT67" s="529">
        <v>21</v>
      </c>
      <c r="AU67" s="533">
        <v>1260.0000000000007</v>
      </c>
      <c r="AV67" s="533">
        <v>60.000000000000036</v>
      </c>
      <c r="AW67" s="529">
        <f t="shared" si="15"/>
        <v>27</v>
      </c>
      <c r="AX67" s="636"/>
      <c r="AZ67" s="524" t="e">
        <f t="shared" si="16"/>
        <v>#N/A</v>
      </c>
      <c r="BA67" s="636"/>
    </row>
    <row r="68" spans="2:53">
      <c r="B68" s="622"/>
      <c r="C68" s="306">
        <v>27</v>
      </c>
      <c r="D68" s="226" t="s">
        <v>793</v>
      </c>
      <c r="E68" s="182">
        <v>19</v>
      </c>
      <c r="F68" s="505">
        <v>1500</v>
      </c>
      <c r="G68" s="506">
        <v>78.900000000000006</v>
      </c>
      <c r="H68" s="664"/>
      <c r="I68" s="516">
        <f t="shared" si="17"/>
        <v>19</v>
      </c>
      <c r="J68" s="516">
        <f t="shared" si="18"/>
        <v>1259.9920864072119</v>
      </c>
      <c r="K68" s="200">
        <f t="shared" si="19"/>
        <v>66.315372968800631</v>
      </c>
      <c r="L68" s="596"/>
      <c r="M68" s="199">
        <f>RANK(K68, K$42:$K$71)</f>
        <v>24</v>
      </c>
      <c r="N68" s="614"/>
      <c r="O68" s="614"/>
      <c r="P68" s="529">
        <v>19</v>
      </c>
      <c r="Q68" s="533">
        <v>1239.2857142857138</v>
      </c>
      <c r="R68" s="533">
        <v>65.225563909774408</v>
      </c>
      <c r="S68" s="529">
        <f t="shared" si="9"/>
        <v>25</v>
      </c>
      <c r="T68" s="636"/>
      <c r="U68" s="529">
        <v>19</v>
      </c>
      <c r="V68" s="533">
        <v>1262.3076923076915</v>
      </c>
      <c r="W68" s="533">
        <v>66.437246963562714</v>
      </c>
      <c r="X68" s="529">
        <f t="shared" si="10"/>
        <v>23</v>
      </c>
      <c r="Y68" s="636"/>
      <c r="Z68" s="529">
        <v>19</v>
      </c>
      <c r="AA68" s="533">
        <v>1248.799999999999</v>
      </c>
      <c r="AB68" s="533">
        <v>65.726315789473631</v>
      </c>
      <c r="AC68" s="529">
        <f t="shared" si="11"/>
        <v>25</v>
      </c>
      <c r="AD68" s="636"/>
      <c r="AE68" s="529">
        <v>19</v>
      </c>
      <c r="AF68" s="533">
        <v>1252.2352941176468</v>
      </c>
      <c r="AG68" s="533">
        <v>65.907120743034042</v>
      </c>
      <c r="AH68" s="529">
        <f t="shared" si="12"/>
        <v>24</v>
      </c>
      <c r="AI68" s="636"/>
      <c r="AJ68" s="529">
        <v>19</v>
      </c>
      <c r="AK68" s="533">
        <v>1254.3529411764705</v>
      </c>
      <c r="AL68" s="533">
        <v>66.01857585139318</v>
      </c>
      <c r="AM68" s="529">
        <f t="shared" si="13"/>
        <v>25</v>
      </c>
      <c r="AN68" s="636"/>
      <c r="AO68" s="529">
        <v>19</v>
      </c>
      <c r="AP68" s="533">
        <v>1279.9999999999995</v>
      </c>
      <c r="AQ68" s="533">
        <v>67.368421052631561</v>
      </c>
      <c r="AR68" s="529">
        <f t="shared" si="14"/>
        <v>23</v>
      </c>
      <c r="AS68" s="636"/>
      <c r="AT68" s="529">
        <v>19</v>
      </c>
      <c r="AU68" s="533">
        <v>1282.9629629629626</v>
      </c>
      <c r="AV68" s="533">
        <v>67.524366471734879</v>
      </c>
      <c r="AW68" s="529">
        <f t="shared" si="15"/>
        <v>22</v>
      </c>
      <c r="AX68" s="636"/>
      <c r="AZ68" s="524" t="e">
        <f t="shared" si="16"/>
        <v>#N/A</v>
      </c>
      <c r="BA68" s="636"/>
    </row>
    <row r="69" spans="2:53">
      <c r="B69" s="622"/>
      <c r="C69" s="306">
        <v>28</v>
      </c>
      <c r="D69" s="226"/>
      <c r="E69" s="182"/>
      <c r="F69" s="505"/>
      <c r="G69" s="506"/>
      <c r="H69" s="664"/>
      <c r="I69" s="516" t="str">
        <f t="shared" si="17"/>
        <v>-</v>
      </c>
      <c r="J69" s="516" t="str">
        <f t="shared" si="18"/>
        <v>-</v>
      </c>
      <c r="K69" s="200" t="str">
        <f t="shared" si="19"/>
        <v>-</v>
      </c>
      <c r="L69" s="596"/>
      <c r="M69" s="199" t="e">
        <f>RANK(K69, K$42:$K$71)</f>
        <v>#VALUE!</v>
      </c>
      <c r="N69" s="614"/>
      <c r="O69" s="614"/>
      <c r="P69" s="529" t="s">
        <v>839</v>
      </c>
      <c r="Q69" s="533" t="s">
        <v>839</v>
      </c>
      <c r="R69" s="533" t="s">
        <v>839</v>
      </c>
      <c r="S69" s="529" t="e">
        <f t="shared" si="9"/>
        <v>#VALUE!</v>
      </c>
      <c r="T69" s="636"/>
      <c r="U69" s="529" t="s">
        <v>839</v>
      </c>
      <c r="V69" s="533" t="s">
        <v>839</v>
      </c>
      <c r="W69" s="533" t="s">
        <v>839</v>
      </c>
      <c r="X69" s="529" t="e">
        <f t="shared" si="10"/>
        <v>#VALUE!</v>
      </c>
      <c r="Y69" s="636"/>
      <c r="Z69" s="529" t="s">
        <v>839</v>
      </c>
      <c r="AA69" s="533" t="s">
        <v>839</v>
      </c>
      <c r="AB69" s="533" t="s">
        <v>839</v>
      </c>
      <c r="AC69" s="529" t="e">
        <f t="shared" si="11"/>
        <v>#VALUE!</v>
      </c>
      <c r="AD69" s="636"/>
      <c r="AE69" s="529" t="s">
        <v>839</v>
      </c>
      <c r="AF69" s="533" t="s">
        <v>839</v>
      </c>
      <c r="AG69" s="533" t="s">
        <v>839</v>
      </c>
      <c r="AH69" s="529" t="e">
        <f t="shared" si="12"/>
        <v>#VALUE!</v>
      </c>
      <c r="AI69" s="636"/>
      <c r="AJ69" s="529" t="s">
        <v>839</v>
      </c>
      <c r="AK69" s="533" t="s">
        <v>839</v>
      </c>
      <c r="AL69" s="533" t="s">
        <v>839</v>
      </c>
      <c r="AM69" s="529" t="e">
        <f t="shared" si="13"/>
        <v>#VALUE!</v>
      </c>
      <c r="AN69" s="636"/>
      <c r="AO69" s="529" t="s">
        <v>839</v>
      </c>
      <c r="AP69" s="533" t="s">
        <v>839</v>
      </c>
      <c r="AQ69" s="533" t="s">
        <v>839</v>
      </c>
      <c r="AR69" s="529" t="e">
        <f t="shared" si="14"/>
        <v>#VALUE!</v>
      </c>
      <c r="AS69" s="636"/>
      <c r="AT69" s="529" t="s">
        <v>839</v>
      </c>
      <c r="AU69" s="533" t="s">
        <v>839</v>
      </c>
      <c r="AV69" s="533" t="s">
        <v>839</v>
      </c>
      <c r="AW69" s="529" t="e">
        <f t="shared" si="15"/>
        <v>#VALUE!</v>
      </c>
      <c r="AX69" s="636"/>
      <c r="AZ69" s="524" t="e">
        <f t="shared" si="16"/>
        <v>#N/A</v>
      </c>
      <c r="BA69" s="636"/>
    </row>
    <row r="70" spans="2:53">
      <c r="B70" s="622"/>
      <c r="C70" s="306">
        <v>29</v>
      </c>
      <c r="D70" s="226"/>
      <c r="E70" s="182"/>
      <c r="F70" s="505"/>
      <c r="G70" s="506"/>
      <c r="H70" s="664"/>
      <c r="I70" s="516" t="str">
        <f t="shared" si="17"/>
        <v>-</v>
      </c>
      <c r="J70" s="516" t="str">
        <f t="shared" si="18"/>
        <v>-</v>
      </c>
      <c r="K70" s="200" t="str">
        <f t="shared" si="19"/>
        <v>-</v>
      </c>
      <c r="L70" s="596"/>
      <c r="M70" s="199" t="e">
        <f>RANK(K70, K$42:$K$71)</f>
        <v>#VALUE!</v>
      </c>
      <c r="N70" s="614"/>
      <c r="O70" s="614"/>
      <c r="P70" s="529" t="s">
        <v>839</v>
      </c>
      <c r="Q70" s="533" t="s">
        <v>839</v>
      </c>
      <c r="R70" s="533" t="s">
        <v>839</v>
      </c>
      <c r="S70" s="529" t="e">
        <f t="shared" si="9"/>
        <v>#VALUE!</v>
      </c>
      <c r="T70" s="636"/>
      <c r="U70" s="529" t="s">
        <v>839</v>
      </c>
      <c r="V70" s="533" t="s">
        <v>839</v>
      </c>
      <c r="W70" s="533" t="s">
        <v>839</v>
      </c>
      <c r="X70" s="529" t="e">
        <f t="shared" si="10"/>
        <v>#VALUE!</v>
      </c>
      <c r="Y70" s="636"/>
      <c r="Z70" s="529" t="s">
        <v>839</v>
      </c>
      <c r="AA70" s="533" t="s">
        <v>839</v>
      </c>
      <c r="AB70" s="533" t="s">
        <v>839</v>
      </c>
      <c r="AC70" s="529" t="e">
        <f t="shared" si="11"/>
        <v>#VALUE!</v>
      </c>
      <c r="AD70" s="636"/>
      <c r="AE70" s="529" t="s">
        <v>839</v>
      </c>
      <c r="AF70" s="533" t="s">
        <v>839</v>
      </c>
      <c r="AG70" s="533" t="s">
        <v>839</v>
      </c>
      <c r="AH70" s="529" t="e">
        <f t="shared" si="12"/>
        <v>#VALUE!</v>
      </c>
      <c r="AI70" s="636"/>
      <c r="AJ70" s="529" t="s">
        <v>839</v>
      </c>
      <c r="AK70" s="533" t="s">
        <v>839</v>
      </c>
      <c r="AL70" s="533" t="s">
        <v>839</v>
      </c>
      <c r="AM70" s="529" t="e">
        <f t="shared" si="13"/>
        <v>#VALUE!</v>
      </c>
      <c r="AN70" s="636"/>
      <c r="AO70" s="529" t="s">
        <v>839</v>
      </c>
      <c r="AP70" s="533" t="s">
        <v>839</v>
      </c>
      <c r="AQ70" s="533" t="s">
        <v>839</v>
      </c>
      <c r="AR70" s="529" t="e">
        <f t="shared" si="14"/>
        <v>#VALUE!</v>
      </c>
      <c r="AS70" s="636"/>
      <c r="AT70" s="529" t="s">
        <v>839</v>
      </c>
      <c r="AU70" s="533" t="s">
        <v>839</v>
      </c>
      <c r="AV70" s="533" t="s">
        <v>839</v>
      </c>
      <c r="AW70" s="529" t="e">
        <f t="shared" si="15"/>
        <v>#VALUE!</v>
      </c>
      <c r="AX70" s="636"/>
      <c r="AZ70" s="524" t="e">
        <f t="shared" si="16"/>
        <v>#N/A</v>
      </c>
      <c r="BA70" s="636"/>
    </row>
    <row r="71" spans="2:53">
      <c r="B71" s="622"/>
      <c r="C71" s="306">
        <v>30</v>
      </c>
      <c r="D71" s="226"/>
      <c r="E71" s="182"/>
      <c r="F71" s="505"/>
      <c r="G71" s="506"/>
      <c r="H71" s="665"/>
      <c r="I71" s="516" t="str">
        <f t="shared" si="17"/>
        <v>-</v>
      </c>
      <c r="J71" s="516" t="str">
        <f t="shared" si="18"/>
        <v>-</v>
      </c>
      <c r="K71" s="200" t="str">
        <f t="shared" si="19"/>
        <v>-</v>
      </c>
      <c r="L71" s="597"/>
      <c r="M71" s="199" t="e">
        <f>RANK(K71, K$42:$K$71)</f>
        <v>#VALUE!</v>
      </c>
      <c r="N71" s="614"/>
      <c r="O71" s="614"/>
      <c r="P71" s="529" t="s">
        <v>839</v>
      </c>
      <c r="Q71" s="533" t="s">
        <v>839</v>
      </c>
      <c r="R71" s="533" t="s">
        <v>839</v>
      </c>
      <c r="S71" s="529" t="e">
        <f t="shared" si="9"/>
        <v>#VALUE!</v>
      </c>
      <c r="T71" s="636"/>
      <c r="U71" s="529" t="s">
        <v>839</v>
      </c>
      <c r="V71" s="533" t="s">
        <v>839</v>
      </c>
      <c r="W71" s="533" t="s">
        <v>839</v>
      </c>
      <c r="X71" s="529" t="e">
        <f t="shared" si="10"/>
        <v>#VALUE!</v>
      </c>
      <c r="Y71" s="636"/>
      <c r="Z71" s="529" t="s">
        <v>839</v>
      </c>
      <c r="AA71" s="533" t="s">
        <v>839</v>
      </c>
      <c r="AB71" s="533" t="s">
        <v>839</v>
      </c>
      <c r="AC71" s="529" t="e">
        <f t="shared" si="11"/>
        <v>#VALUE!</v>
      </c>
      <c r="AD71" s="636"/>
      <c r="AE71" s="529" t="s">
        <v>839</v>
      </c>
      <c r="AF71" s="533" t="s">
        <v>839</v>
      </c>
      <c r="AG71" s="533" t="s">
        <v>839</v>
      </c>
      <c r="AH71" s="529" t="e">
        <f t="shared" si="12"/>
        <v>#VALUE!</v>
      </c>
      <c r="AI71" s="636"/>
      <c r="AJ71" s="529" t="s">
        <v>839</v>
      </c>
      <c r="AK71" s="533" t="s">
        <v>839</v>
      </c>
      <c r="AL71" s="533" t="s">
        <v>839</v>
      </c>
      <c r="AM71" s="529" t="e">
        <f t="shared" si="13"/>
        <v>#VALUE!</v>
      </c>
      <c r="AN71" s="636"/>
      <c r="AO71" s="529" t="s">
        <v>839</v>
      </c>
      <c r="AP71" s="533" t="s">
        <v>839</v>
      </c>
      <c r="AQ71" s="533" t="s">
        <v>839</v>
      </c>
      <c r="AR71" s="529" t="e">
        <f t="shared" si="14"/>
        <v>#VALUE!</v>
      </c>
      <c r="AS71" s="636"/>
      <c r="AT71" s="529" t="s">
        <v>839</v>
      </c>
      <c r="AU71" s="533" t="s">
        <v>839</v>
      </c>
      <c r="AV71" s="533" t="s">
        <v>839</v>
      </c>
      <c r="AW71" s="529" t="e">
        <f t="shared" si="15"/>
        <v>#VALUE!</v>
      </c>
      <c r="AX71" s="636"/>
      <c r="AZ71" s="524" t="e">
        <f t="shared" si="16"/>
        <v>#N/A</v>
      </c>
      <c r="BA71" s="636"/>
    </row>
    <row r="72" spans="2:53" ht="15.75">
      <c r="B72" s="640" t="s">
        <v>163</v>
      </c>
      <c r="C72" s="641"/>
      <c r="D72" s="641"/>
      <c r="E72" s="641"/>
      <c r="F72" s="641"/>
      <c r="G72" s="641"/>
      <c r="H72" s="641"/>
      <c r="I72" s="208"/>
      <c r="J72" s="203"/>
      <c r="K72" s="208"/>
      <c r="L72" s="208"/>
      <c r="M72" s="204"/>
      <c r="N72" s="615" t="s">
        <v>156</v>
      </c>
      <c r="O72" s="615" t="s">
        <v>105</v>
      </c>
      <c r="P72" s="618">
        <f>P37+7</f>
        <v>46126</v>
      </c>
      <c r="Q72" s="619"/>
      <c r="R72" s="619"/>
      <c r="S72" s="619"/>
      <c r="T72" s="620"/>
      <c r="U72" s="618">
        <f>P72+1</f>
        <v>46127</v>
      </c>
      <c r="V72" s="619"/>
      <c r="W72" s="619"/>
      <c r="X72" s="619"/>
      <c r="Y72" s="620"/>
      <c r="Z72" s="618">
        <f>U72+1</f>
        <v>46128</v>
      </c>
      <c r="AA72" s="619"/>
      <c r="AB72" s="619"/>
      <c r="AC72" s="619"/>
      <c r="AD72" s="620"/>
      <c r="AE72" s="618">
        <f>Z72+1</f>
        <v>46129</v>
      </c>
      <c r="AF72" s="619"/>
      <c r="AG72" s="619"/>
      <c r="AH72" s="619"/>
      <c r="AI72" s="620"/>
      <c r="AJ72" s="618">
        <f>AE72+1</f>
        <v>46130</v>
      </c>
      <c r="AK72" s="619"/>
      <c r="AL72" s="619"/>
      <c r="AM72" s="619"/>
      <c r="AN72" s="620"/>
      <c r="AO72" s="618">
        <f>AJ72+1</f>
        <v>46131</v>
      </c>
      <c r="AP72" s="619"/>
      <c r="AQ72" s="619"/>
      <c r="AR72" s="619"/>
      <c r="AS72" s="620"/>
      <c r="AT72" s="618">
        <f>AO72+1</f>
        <v>46132</v>
      </c>
      <c r="AU72" s="619"/>
      <c r="AV72" s="619"/>
      <c r="AW72" s="619"/>
      <c r="AX72" s="620"/>
    </row>
    <row r="73" spans="2:53" ht="15.75">
      <c r="B73" s="629"/>
      <c r="C73" s="629"/>
      <c r="D73" s="629"/>
      <c r="E73" s="629"/>
      <c r="F73" s="629"/>
      <c r="G73" s="629"/>
      <c r="H73" s="629"/>
      <c r="I73" s="205"/>
      <c r="J73" s="205"/>
      <c r="K73" s="205"/>
      <c r="L73" s="205"/>
      <c r="M73" s="206"/>
      <c r="N73" s="617"/>
      <c r="O73" s="617"/>
      <c r="P73" s="618" t="s">
        <v>336</v>
      </c>
      <c r="Q73" s="619"/>
      <c r="R73" s="619"/>
      <c r="S73" s="619"/>
      <c r="T73" s="620"/>
      <c r="U73" s="618" t="s">
        <v>337</v>
      </c>
      <c r="V73" s="619"/>
      <c r="W73" s="619"/>
      <c r="X73" s="619"/>
      <c r="Y73" s="620"/>
      <c r="Z73" s="618" t="s">
        <v>338</v>
      </c>
      <c r="AA73" s="619"/>
      <c r="AB73" s="619"/>
      <c r="AC73" s="619"/>
      <c r="AD73" s="620"/>
      <c r="AE73" s="618" t="s">
        <v>339</v>
      </c>
      <c r="AF73" s="619"/>
      <c r="AG73" s="619"/>
      <c r="AH73" s="619"/>
      <c r="AI73" s="620"/>
      <c r="AJ73" s="618" t="s">
        <v>340</v>
      </c>
      <c r="AK73" s="619"/>
      <c r="AL73" s="619"/>
      <c r="AM73" s="619"/>
      <c r="AN73" s="620"/>
      <c r="AO73" s="618" t="s">
        <v>341</v>
      </c>
      <c r="AP73" s="619"/>
      <c r="AQ73" s="619"/>
      <c r="AR73" s="619"/>
      <c r="AS73" s="620"/>
      <c r="AT73" s="618" t="s">
        <v>342</v>
      </c>
      <c r="AU73" s="619"/>
      <c r="AV73" s="619"/>
      <c r="AW73" s="619"/>
      <c r="AX73" s="620"/>
    </row>
    <row r="74" spans="2:53">
      <c r="B74" s="614" t="s">
        <v>442</v>
      </c>
      <c r="C74" s="614" t="s">
        <v>443</v>
      </c>
      <c r="D74" s="614"/>
      <c r="E74" s="614" t="s">
        <v>444</v>
      </c>
      <c r="F74" s="614"/>
      <c r="G74" s="614"/>
      <c r="H74" s="630" t="s">
        <v>445</v>
      </c>
      <c r="I74" s="598" t="s">
        <v>446</v>
      </c>
      <c r="J74" s="598"/>
      <c r="K74" s="598"/>
      <c r="L74" s="599" t="s">
        <v>445</v>
      </c>
      <c r="M74" s="605" t="s">
        <v>447</v>
      </c>
      <c r="N74" s="614"/>
      <c r="O74" s="614" t="s">
        <v>448</v>
      </c>
      <c r="P74" s="611" t="s">
        <v>449</v>
      </c>
      <c r="Q74" s="612"/>
      <c r="R74" s="612"/>
      <c r="S74" s="613"/>
      <c r="T74" s="614" t="s">
        <v>445</v>
      </c>
      <c r="U74" s="611" t="s">
        <v>449</v>
      </c>
      <c r="V74" s="612"/>
      <c r="W74" s="612"/>
      <c r="X74" s="613"/>
      <c r="Y74" s="614" t="s">
        <v>445</v>
      </c>
      <c r="Z74" s="611" t="s">
        <v>449</v>
      </c>
      <c r="AA74" s="612"/>
      <c r="AB74" s="612"/>
      <c r="AC74" s="613"/>
      <c r="AD74" s="614" t="s">
        <v>445</v>
      </c>
      <c r="AE74" s="611" t="s">
        <v>449</v>
      </c>
      <c r="AF74" s="612"/>
      <c r="AG74" s="612"/>
      <c r="AH74" s="613"/>
      <c r="AI74" s="614" t="s">
        <v>445</v>
      </c>
      <c r="AJ74" s="611" t="s">
        <v>449</v>
      </c>
      <c r="AK74" s="612"/>
      <c r="AL74" s="612"/>
      <c r="AM74" s="613"/>
      <c r="AN74" s="614" t="s">
        <v>445</v>
      </c>
      <c r="AO74" s="611" t="s">
        <v>449</v>
      </c>
      <c r="AP74" s="612"/>
      <c r="AQ74" s="612"/>
      <c r="AR74" s="613"/>
      <c r="AS74" s="614" t="s">
        <v>445</v>
      </c>
      <c r="AT74" s="611" t="s">
        <v>449</v>
      </c>
      <c r="AU74" s="612"/>
      <c r="AV74" s="612"/>
      <c r="AW74" s="613"/>
      <c r="AX74" s="614" t="s">
        <v>445</v>
      </c>
      <c r="BA74" s="614" t="s">
        <v>395</v>
      </c>
    </row>
    <row r="75" spans="2:53">
      <c r="B75" s="614"/>
      <c r="C75" s="614"/>
      <c r="D75" s="614"/>
      <c r="E75" s="614" t="s">
        <v>450</v>
      </c>
      <c r="F75" s="614"/>
      <c r="G75" s="614"/>
      <c r="H75" s="631"/>
      <c r="I75" s="598" t="s">
        <v>450</v>
      </c>
      <c r="J75" s="598"/>
      <c r="K75" s="598"/>
      <c r="L75" s="600"/>
      <c r="M75" s="606"/>
      <c r="N75" s="614"/>
      <c r="O75" s="614"/>
      <c r="P75" s="611" t="s">
        <v>451</v>
      </c>
      <c r="Q75" s="612"/>
      <c r="R75" s="612"/>
      <c r="S75" s="613"/>
      <c r="T75" s="614"/>
      <c r="U75" s="611" t="s">
        <v>451</v>
      </c>
      <c r="V75" s="612"/>
      <c r="W75" s="612"/>
      <c r="X75" s="613"/>
      <c r="Y75" s="614"/>
      <c r="Z75" s="611" t="s">
        <v>451</v>
      </c>
      <c r="AA75" s="612"/>
      <c r="AB75" s="612"/>
      <c r="AC75" s="613"/>
      <c r="AD75" s="614"/>
      <c r="AE75" s="611" t="s">
        <v>451</v>
      </c>
      <c r="AF75" s="612"/>
      <c r="AG75" s="612"/>
      <c r="AH75" s="613"/>
      <c r="AI75" s="614"/>
      <c r="AJ75" s="611" t="s">
        <v>451</v>
      </c>
      <c r="AK75" s="612"/>
      <c r="AL75" s="612"/>
      <c r="AM75" s="613"/>
      <c r="AN75" s="614"/>
      <c r="AO75" s="611" t="s">
        <v>451</v>
      </c>
      <c r="AP75" s="612"/>
      <c r="AQ75" s="612"/>
      <c r="AR75" s="613"/>
      <c r="AS75" s="614"/>
      <c r="AT75" s="611" t="s">
        <v>451</v>
      </c>
      <c r="AU75" s="612"/>
      <c r="AV75" s="612"/>
      <c r="AW75" s="613"/>
      <c r="AX75" s="614"/>
      <c r="BA75" s="614"/>
    </row>
    <row r="76" spans="2:53">
      <c r="B76" s="614"/>
      <c r="C76" s="614"/>
      <c r="D76" s="614"/>
      <c r="E76" s="305" t="s">
        <v>452</v>
      </c>
      <c r="F76" s="305" t="s">
        <v>453</v>
      </c>
      <c r="G76" s="305" t="s">
        <v>454</v>
      </c>
      <c r="H76" s="632"/>
      <c r="I76" s="304" t="s">
        <v>452</v>
      </c>
      <c r="J76" s="304" t="s">
        <v>453</v>
      </c>
      <c r="K76" s="304" t="s">
        <v>454</v>
      </c>
      <c r="L76" s="601"/>
      <c r="M76" s="607"/>
      <c r="N76" s="614"/>
      <c r="O76" s="614"/>
      <c r="P76" s="305" t="s">
        <v>452</v>
      </c>
      <c r="Q76" s="305" t="s">
        <v>453</v>
      </c>
      <c r="R76" s="305" t="s">
        <v>454</v>
      </c>
      <c r="S76" s="305" t="s">
        <v>447</v>
      </c>
      <c r="T76" s="614"/>
      <c r="U76" s="305" t="s">
        <v>452</v>
      </c>
      <c r="V76" s="305" t="s">
        <v>453</v>
      </c>
      <c r="W76" s="305" t="s">
        <v>454</v>
      </c>
      <c r="X76" s="305" t="s">
        <v>447</v>
      </c>
      <c r="Y76" s="614"/>
      <c r="Z76" s="305" t="s">
        <v>452</v>
      </c>
      <c r="AA76" s="305" t="s">
        <v>453</v>
      </c>
      <c r="AB76" s="305" t="s">
        <v>454</v>
      </c>
      <c r="AC76" s="305" t="s">
        <v>447</v>
      </c>
      <c r="AD76" s="614"/>
      <c r="AE76" s="305" t="s">
        <v>452</v>
      </c>
      <c r="AF76" s="305" t="s">
        <v>453</v>
      </c>
      <c r="AG76" s="305" t="s">
        <v>454</v>
      </c>
      <c r="AH76" s="305" t="s">
        <v>447</v>
      </c>
      <c r="AI76" s="614"/>
      <c r="AJ76" s="305" t="s">
        <v>452</v>
      </c>
      <c r="AK76" s="305" t="s">
        <v>453</v>
      </c>
      <c r="AL76" s="305" t="s">
        <v>454</v>
      </c>
      <c r="AM76" s="305" t="s">
        <v>447</v>
      </c>
      <c r="AN76" s="614"/>
      <c r="AO76" s="305" t="s">
        <v>452</v>
      </c>
      <c r="AP76" s="305" t="s">
        <v>453</v>
      </c>
      <c r="AQ76" s="305" t="s">
        <v>454</v>
      </c>
      <c r="AR76" s="305" t="s">
        <v>447</v>
      </c>
      <c r="AS76" s="614"/>
      <c r="AT76" s="305" t="s">
        <v>452</v>
      </c>
      <c r="AU76" s="305" t="s">
        <v>453</v>
      </c>
      <c r="AV76" s="305" t="s">
        <v>454</v>
      </c>
      <c r="AW76" s="305" t="s">
        <v>447</v>
      </c>
      <c r="AX76" s="614"/>
      <c r="AZ76" s="523" t="s">
        <v>396</v>
      </c>
      <c r="BA76" s="614"/>
    </row>
    <row r="77" spans="2:53">
      <c r="B77" s="614" t="s">
        <v>455</v>
      </c>
      <c r="C77" s="306">
        <v>1</v>
      </c>
      <c r="D77" s="226"/>
      <c r="E77" s="182"/>
      <c r="F77" s="514"/>
      <c r="G77" s="515"/>
      <c r="H77" s="663" t="e">
        <f>AVERAGE(G77:G106)</f>
        <v>#DIV/0!</v>
      </c>
      <c r="I77" s="516" t="str">
        <f>IFERROR(AVERAGE(P77,U77,Z77,AE77,AJ77,AO77,AT77),"-")</f>
        <v>-</v>
      </c>
      <c r="J77" s="516" t="str">
        <f>IFERROR(AVERAGE(Q77,V77,AA77,AF77,AK77,AP77,AU77),"-")</f>
        <v>-</v>
      </c>
      <c r="K77" s="200" t="str">
        <f>IFERROR(AVERAGE(R77,W77,AB77,AG77,AL77,AQ77,AV77),"-")</f>
        <v>-</v>
      </c>
      <c r="L77" s="595" t="str">
        <f>IFERROR(AVERAGE(K77:K106),"-")</f>
        <v>-</v>
      </c>
      <c r="M77" s="201" t="e">
        <f>RANK(K77, K$77:$K$106)</f>
        <v>#VALUE!</v>
      </c>
      <c r="N77" s="614"/>
      <c r="O77" s="614"/>
      <c r="P77" s="182"/>
      <c r="Q77" s="182"/>
      <c r="R77" s="182"/>
      <c r="S77" s="306" t="e">
        <f>RANK(R77, R$77:R$106)</f>
        <v>#N/A</v>
      </c>
      <c r="T77" s="636" t="e">
        <f>AVERAGE(R77:R106)</f>
        <v>#DIV/0!</v>
      </c>
      <c r="U77" s="182"/>
      <c r="V77" s="182"/>
      <c r="W77" s="182"/>
      <c r="X77" s="327" t="e">
        <f>RANK(W77, W$77:W$106)</f>
        <v>#N/A</v>
      </c>
      <c r="Y77" s="636" t="e">
        <f>AVERAGE(W77:W106)</f>
        <v>#DIV/0!</v>
      </c>
      <c r="Z77" s="182"/>
      <c r="AA77" s="182"/>
      <c r="AB77" s="182"/>
      <c r="AC77" s="327" t="e">
        <f>RANK(AB77, AB$77:AB$106)</f>
        <v>#N/A</v>
      </c>
      <c r="AD77" s="636" t="e">
        <f>AVERAGE(AB77:AB106)</f>
        <v>#DIV/0!</v>
      </c>
      <c r="AE77" s="182"/>
      <c r="AF77" s="182"/>
      <c r="AG77" s="182"/>
      <c r="AH77" s="327" t="e">
        <f>RANK(AG77, AG$77:AG$106)</f>
        <v>#N/A</v>
      </c>
      <c r="AI77" s="636" t="e">
        <f>AVERAGE(AG77:AG106)</f>
        <v>#DIV/0!</v>
      </c>
      <c r="AJ77" s="182"/>
      <c r="AK77" s="182"/>
      <c r="AL77" s="182"/>
      <c r="AM77" s="327" t="e">
        <f>RANK(AL77, AL$77:AL$106)</f>
        <v>#N/A</v>
      </c>
      <c r="AN77" s="636" t="e">
        <f>AVERAGE(AL77:AL106)</f>
        <v>#DIV/0!</v>
      </c>
      <c r="AO77" s="182"/>
      <c r="AP77" s="182"/>
      <c r="AQ77" s="182"/>
      <c r="AR77" s="327" t="e">
        <f>RANK(AQ77, AQ$77:AQ$106)</f>
        <v>#N/A</v>
      </c>
      <c r="AS77" s="636" t="e">
        <f>AVERAGE(AQ77:AQ106)</f>
        <v>#DIV/0!</v>
      </c>
      <c r="AT77" s="182"/>
      <c r="AU77" s="182"/>
      <c r="AV77" s="182"/>
      <c r="AW77" s="327" t="e">
        <f>RANK(AV77, AV$77:AV$106)</f>
        <v>#N/A</v>
      </c>
      <c r="AX77" s="636" t="e">
        <f>AVERAGE(AV77:AV106)</f>
        <v>#DIV/0!</v>
      </c>
      <c r="AZ77" s="524" t="e">
        <f>RANK(AY77, AY$77:AY$106)</f>
        <v>#N/A</v>
      </c>
      <c r="BA77" s="636" t="e">
        <f>AVERAGE(AY77:AY106)</f>
        <v>#DIV/0!</v>
      </c>
    </row>
    <row r="78" spans="2:53">
      <c r="B78" s="622"/>
      <c r="C78" s="306">
        <v>2</v>
      </c>
      <c r="D78" s="226"/>
      <c r="E78" s="182"/>
      <c r="F78" s="514"/>
      <c r="G78" s="515"/>
      <c r="H78" s="664"/>
      <c r="I78" s="516" t="str">
        <f t="shared" ref="I78:I106" si="20">IFERROR(AVERAGE(P78,U78,Z78,AE78,AJ78,AO78,AT78),"-")</f>
        <v>-</v>
      </c>
      <c r="J78" s="516" t="str">
        <f t="shared" ref="J78:J106" si="21">IFERROR(AVERAGE(Q78,V78,AA78,AF78,AK78,AP78,AU78),"-")</f>
        <v>-</v>
      </c>
      <c r="K78" s="200" t="str">
        <f t="shared" ref="K78:K106" si="22">IFERROR(AVERAGE(R78,W78,AB78,AG78,AL78,AQ78,AV78),"-")</f>
        <v>-</v>
      </c>
      <c r="L78" s="596"/>
      <c r="M78" s="201" t="e">
        <f>RANK(K78, K$77:$K$106)</f>
        <v>#VALUE!</v>
      </c>
      <c r="N78" s="614"/>
      <c r="O78" s="614"/>
      <c r="P78" s="182"/>
      <c r="Q78" s="182"/>
      <c r="R78" s="182"/>
      <c r="S78" s="327" t="e">
        <f t="shared" ref="S78:S106" si="23">RANK(R78, R$77:R$106)</f>
        <v>#N/A</v>
      </c>
      <c r="T78" s="636"/>
      <c r="U78" s="182"/>
      <c r="V78" s="182"/>
      <c r="W78" s="182"/>
      <c r="X78" s="327" t="e">
        <f t="shared" ref="X78:X106" si="24">RANK(W78, W$77:W$106)</f>
        <v>#N/A</v>
      </c>
      <c r="Y78" s="636"/>
      <c r="Z78" s="182"/>
      <c r="AA78" s="182"/>
      <c r="AB78" s="182"/>
      <c r="AC78" s="327" t="e">
        <f t="shared" ref="AC78:AC106" si="25">RANK(AB78, AB$77:AB$106)</f>
        <v>#N/A</v>
      </c>
      <c r="AD78" s="636"/>
      <c r="AE78" s="182"/>
      <c r="AF78" s="182"/>
      <c r="AG78" s="182"/>
      <c r="AH78" s="327" t="e">
        <f t="shared" ref="AH78:AH106" si="26">RANK(AG78, AG$77:AG$106)</f>
        <v>#N/A</v>
      </c>
      <c r="AI78" s="636"/>
      <c r="AJ78" s="182"/>
      <c r="AK78" s="182"/>
      <c r="AL78" s="182"/>
      <c r="AM78" s="327" t="e">
        <f t="shared" ref="AM78:AM106" si="27">RANK(AL78, AL$77:AL$106)</f>
        <v>#N/A</v>
      </c>
      <c r="AN78" s="636"/>
      <c r="AO78" s="182"/>
      <c r="AP78" s="182"/>
      <c r="AQ78" s="182"/>
      <c r="AR78" s="327" t="e">
        <f t="shared" ref="AR78:AR106" si="28">RANK(AQ78, AQ$77:AQ$106)</f>
        <v>#N/A</v>
      </c>
      <c r="AS78" s="636"/>
      <c r="AT78" s="182"/>
      <c r="AU78" s="182"/>
      <c r="AV78" s="182"/>
      <c r="AW78" s="327" t="e">
        <f t="shared" ref="AW78:AW106" si="29">RANK(AV78, AV$77:AV$106)</f>
        <v>#N/A</v>
      </c>
      <c r="AX78" s="636"/>
      <c r="AZ78" s="524" t="e">
        <f t="shared" ref="AZ78:AZ106" si="30">RANK(AY78, AY$77:AY$106)</f>
        <v>#N/A</v>
      </c>
      <c r="BA78" s="636"/>
    </row>
    <row r="79" spans="2:53">
      <c r="B79" s="622"/>
      <c r="C79" s="306">
        <v>3</v>
      </c>
      <c r="D79" s="226"/>
      <c r="E79" s="182"/>
      <c r="F79" s="514"/>
      <c r="G79" s="515"/>
      <c r="H79" s="664"/>
      <c r="I79" s="516" t="str">
        <f t="shared" si="20"/>
        <v>-</v>
      </c>
      <c r="J79" s="516" t="str">
        <f t="shared" si="21"/>
        <v>-</v>
      </c>
      <c r="K79" s="200" t="str">
        <f t="shared" si="22"/>
        <v>-</v>
      </c>
      <c r="L79" s="596"/>
      <c r="M79" s="201" t="e">
        <f>RANK(K79, K$77:$K$106)</f>
        <v>#VALUE!</v>
      </c>
      <c r="N79" s="614"/>
      <c r="O79" s="614"/>
      <c r="P79" s="182"/>
      <c r="Q79" s="182"/>
      <c r="R79" s="182"/>
      <c r="S79" s="327" t="e">
        <f t="shared" si="23"/>
        <v>#N/A</v>
      </c>
      <c r="T79" s="636"/>
      <c r="U79" s="182"/>
      <c r="V79" s="182"/>
      <c r="W79" s="182"/>
      <c r="X79" s="327" t="e">
        <f t="shared" si="24"/>
        <v>#N/A</v>
      </c>
      <c r="Y79" s="636"/>
      <c r="Z79" s="182"/>
      <c r="AA79" s="182"/>
      <c r="AB79" s="182"/>
      <c r="AC79" s="327" t="e">
        <f t="shared" si="25"/>
        <v>#N/A</v>
      </c>
      <c r="AD79" s="636"/>
      <c r="AE79" s="182"/>
      <c r="AF79" s="182"/>
      <c r="AG79" s="182"/>
      <c r="AH79" s="327" t="e">
        <f t="shared" si="26"/>
        <v>#N/A</v>
      </c>
      <c r="AI79" s="636"/>
      <c r="AJ79" s="182"/>
      <c r="AK79" s="182"/>
      <c r="AL79" s="182"/>
      <c r="AM79" s="327" t="e">
        <f t="shared" si="27"/>
        <v>#N/A</v>
      </c>
      <c r="AN79" s="636"/>
      <c r="AO79" s="182"/>
      <c r="AP79" s="182"/>
      <c r="AQ79" s="182"/>
      <c r="AR79" s="327" t="e">
        <f t="shared" si="28"/>
        <v>#N/A</v>
      </c>
      <c r="AS79" s="636"/>
      <c r="AT79" s="182"/>
      <c r="AU79" s="182"/>
      <c r="AV79" s="182"/>
      <c r="AW79" s="327" t="e">
        <f t="shared" si="29"/>
        <v>#N/A</v>
      </c>
      <c r="AX79" s="636"/>
      <c r="AZ79" s="524" t="e">
        <f t="shared" si="30"/>
        <v>#N/A</v>
      </c>
      <c r="BA79" s="636"/>
    </row>
    <row r="80" spans="2:53">
      <c r="B80" s="622"/>
      <c r="C80" s="306">
        <v>4</v>
      </c>
      <c r="D80" s="226"/>
      <c r="E80" s="182"/>
      <c r="F80" s="514"/>
      <c r="G80" s="515"/>
      <c r="H80" s="664"/>
      <c r="I80" s="516" t="str">
        <f t="shared" si="20"/>
        <v>-</v>
      </c>
      <c r="J80" s="516" t="str">
        <f t="shared" si="21"/>
        <v>-</v>
      </c>
      <c r="K80" s="200" t="str">
        <f t="shared" si="22"/>
        <v>-</v>
      </c>
      <c r="L80" s="596"/>
      <c r="M80" s="201" t="e">
        <f>RANK(K80, K$77:$K$106)</f>
        <v>#VALUE!</v>
      </c>
      <c r="N80" s="614"/>
      <c r="O80" s="614"/>
      <c r="P80" s="182"/>
      <c r="Q80" s="182"/>
      <c r="R80" s="182"/>
      <c r="S80" s="327" t="e">
        <f t="shared" si="23"/>
        <v>#N/A</v>
      </c>
      <c r="T80" s="636"/>
      <c r="U80" s="182"/>
      <c r="V80" s="182"/>
      <c r="W80" s="182"/>
      <c r="X80" s="327" t="e">
        <f t="shared" si="24"/>
        <v>#N/A</v>
      </c>
      <c r="Y80" s="636"/>
      <c r="Z80" s="182"/>
      <c r="AA80" s="182"/>
      <c r="AB80" s="182"/>
      <c r="AC80" s="327" t="e">
        <f t="shared" si="25"/>
        <v>#N/A</v>
      </c>
      <c r="AD80" s="636"/>
      <c r="AE80" s="182"/>
      <c r="AF80" s="182"/>
      <c r="AG80" s="182"/>
      <c r="AH80" s="327" t="e">
        <f t="shared" si="26"/>
        <v>#N/A</v>
      </c>
      <c r="AI80" s="636"/>
      <c r="AJ80" s="182"/>
      <c r="AK80" s="182"/>
      <c r="AL80" s="182"/>
      <c r="AM80" s="327" t="e">
        <f t="shared" si="27"/>
        <v>#N/A</v>
      </c>
      <c r="AN80" s="636"/>
      <c r="AO80" s="182"/>
      <c r="AP80" s="182"/>
      <c r="AQ80" s="182"/>
      <c r="AR80" s="327" t="e">
        <f t="shared" si="28"/>
        <v>#N/A</v>
      </c>
      <c r="AS80" s="636"/>
      <c r="AT80" s="182"/>
      <c r="AU80" s="182"/>
      <c r="AV80" s="182"/>
      <c r="AW80" s="327" t="e">
        <f t="shared" si="29"/>
        <v>#N/A</v>
      </c>
      <c r="AX80" s="636"/>
      <c r="AZ80" s="524" t="e">
        <f t="shared" si="30"/>
        <v>#N/A</v>
      </c>
      <c r="BA80" s="636"/>
    </row>
    <row r="81" spans="2:53">
      <c r="B81" s="622"/>
      <c r="C81" s="306">
        <v>5</v>
      </c>
      <c r="D81" s="226"/>
      <c r="E81" s="182"/>
      <c r="F81" s="514"/>
      <c r="G81" s="515"/>
      <c r="H81" s="664"/>
      <c r="I81" s="516" t="str">
        <f t="shared" si="20"/>
        <v>-</v>
      </c>
      <c r="J81" s="516" t="str">
        <f t="shared" si="21"/>
        <v>-</v>
      </c>
      <c r="K81" s="200" t="str">
        <f t="shared" si="22"/>
        <v>-</v>
      </c>
      <c r="L81" s="596"/>
      <c r="M81" s="201" t="e">
        <f>RANK(K81, K$77:$K$106)</f>
        <v>#VALUE!</v>
      </c>
      <c r="N81" s="614"/>
      <c r="O81" s="614"/>
      <c r="P81" s="182"/>
      <c r="Q81" s="182"/>
      <c r="R81" s="182"/>
      <c r="S81" s="327" t="e">
        <f t="shared" si="23"/>
        <v>#N/A</v>
      </c>
      <c r="T81" s="636"/>
      <c r="U81" s="182"/>
      <c r="V81" s="182"/>
      <c r="W81" s="182"/>
      <c r="X81" s="327" t="e">
        <f t="shared" si="24"/>
        <v>#N/A</v>
      </c>
      <c r="Y81" s="636"/>
      <c r="Z81" s="182"/>
      <c r="AA81" s="182"/>
      <c r="AB81" s="182"/>
      <c r="AC81" s="327" t="e">
        <f t="shared" si="25"/>
        <v>#N/A</v>
      </c>
      <c r="AD81" s="636"/>
      <c r="AE81" s="182"/>
      <c r="AF81" s="182"/>
      <c r="AG81" s="182"/>
      <c r="AH81" s="327" t="e">
        <f t="shared" si="26"/>
        <v>#N/A</v>
      </c>
      <c r="AI81" s="636"/>
      <c r="AJ81" s="182"/>
      <c r="AK81" s="182"/>
      <c r="AL81" s="182"/>
      <c r="AM81" s="327" t="e">
        <f t="shared" si="27"/>
        <v>#N/A</v>
      </c>
      <c r="AN81" s="636"/>
      <c r="AO81" s="182"/>
      <c r="AP81" s="182"/>
      <c r="AQ81" s="182"/>
      <c r="AR81" s="327" t="e">
        <f t="shared" si="28"/>
        <v>#N/A</v>
      </c>
      <c r="AS81" s="636"/>
      <c r="AT81" s="182"/>
      <c r="AU81" s="182"/>
      <c r="AV81" s="182"/>
      <c r="AW81" s="327" t="e">
        <f t="shared" si="29"/>
        <v>#N/A</v>
      </c>
      <c r="AX81" s="636"/>
      <c r="AZ81" s="524" t="e">
        <f t="shared" si="30"/>
        <v>#N/A</v>
      </c>
      <c r="BA81" s="636"/>
    </row>
    <row r="82" spans="2:53">
      <c r="B82" s="622"/>
      <c r="C82" s="306">
        <v>6</v>
      </c>
      <c r="D82" s="226"/>
      <c r="E82" s="182"/>
      <c r="F82" s="514"/>
      <c r="G82" s="515"/>
      <c r="H82" s="664"/>
      <c r="I82" s="516" t="str">
        <f t="shared" si="20"/>
        <v>-</v>
      </c>
      <c r="J82" s="516" t="str">
        <f t="shared" si="21"/>
        <v>-</v>
      </c>
      <c r="K82" s="200" t="str">
        <f t="shared" si="22"/>
        <v>-</v>
      </c>
      <c r="L82" s="596"/>
      <c r="M82" s="201" t="e">
        <f>RANK(K82, K$77:$K$106)</f>
        <v>#VALUE!</v>
      </c>
      <c r="N82" s="614"/>
      <c r="O82" s="614"/>
      <c r="P82" s="182"/>
      <c r="Q82" s="182"/>
      <c r="R82" s="182"/>
      <c r="S82" s="327" t="e">
        <f t="shared" si="23"/>
        <v>#N/A</v>
      </c>
      <c r="T82" s="636"/>
      <c r="U82" s="182"/>
      <c r="V82" s="182"/>
      <c r="W82" s="182"/>
      <c r="X82" s="327" t="e">
        <f t="shared" si="24"/>
        <v>#N/A</v>
      </c>
      <c r="Y82" s="636"/>
      <c r="Z82" s="182"/>
      <c r="AA82" s="182"/>
      <c r="AB82" s="182"/>
      <c r="AC82" s="327" t="e">
        <f t="shared" si="25"/>
        <v>#N/A</v>
      </c>
      <c r="AD82" s="636"/>
      <c r="AE82" s="182"/>
      <c r="AF82" s="182"/>
      <c r="AG82" s="182"/>
      <c r="AH82" s="327" t="e">
        <f t="shared" si="26"/>
        <v>#N/A</v>
      </c>
      <c r="AI82" s="636"/>
      <c r="AJ82" s="182"/>
      <c r="AK82" s="182"/>
      <c r="AL82" s="182"/>
      <c r="AM82" s="327" t="e">
        <f t="shared" si="27"/>
        <v>#N/A</v>
      </c>
      <c r="AN82" s="636"/>
      <c r="AO82" s="182"/>
      <c r="AP82" s="182"/>
      <c r="AQ82" s="182"/>
      <c r="AR82" s="327" t="e">
        <f t="shared" si="28"/>
        <v>#N/A</v>
      </c>
      <c r="AS82" s="636"/>
      <c r="AT82" s="182"/>
      <c r="AU82" s="182"/>
      <c r="AV82" s="182"/>
      <c r="AW82" s="327" t="e">
        <f t="shared" si="29"/>
        <v>#N/A</v>
      </c>
      <c r="AX82" s="636"/>
      <c r="AZ82" s="524" t="e">
        <f t="shared" si="30"/>
        <v>#N/A</v>
      </c>
      <c r="BA82" s="636"/>
    </row>
    <row r="83" spans="2:53">
      <c r="B83" s="622"/>
      <c r="C83" s="306">
        <v>7</v>
      </c>
      <c r="D83" s="226"/>
      <c r="E83" s="182"/>
      <c r="F83" s="514"/>
      <c r="G83" s="515"/>
      <c r="H83" s="664"/>
      <c r="I83" s="516" t="str">
        <f t="shared" si="20"/>
        <v>-</v>
      </c>
      <c r="J83" s="516" t="str">
        <f t="shared" si="21"/>
        <v>-</v>
      </c>
      <c r="K83" s="200" t="str">
        <f t="shared" si="22"/>
        <v>-</v>
      </c>
      <c r="L83" s="596"/>
      <c r="M83" s="201" t="e">
        <f>RANK(K83, K$77:$K$106)</f>
        <v>#VALUE!</v>
      </c>
      <c r="N83" s="614"/>
      <c r="O83" s="614"/>
      <c r="P83" s="182"/>
      <c r="Q83" s="182"/>
      <c r="R83" s="182"/>
      <c r="S83" s="327" t="e">
        <f t="shared" si="23"/>
        <v>#N/A</v>
      </c>
      <c r="T83" s="636"/>
      <c r="U83" s="182"/>
      <c r="V83" s="182"/>
      <c r="W83" s="182"/>
      <c r="X83" s="327" t="e">
        <f t="shared" si="24"/>
        <v>#N/A</v>
      </c>
      <c r="Y83" s="636"/>
      <c r="Z83" s="182"/>
      <c r="AA83" s="182"/>
      <c r="AB83" s="182"/>
      <c r="AC83" s="327" t="e">
        <f t="shared" si="25"/>
        <v>#N/A</v>
      </c>
      <c r="AD83" s="636"/>
      <c r="AE83" s="182"/>
      <c r="AF83" s="182"/>
      <c r="AG83" s="182"/>
      <c r="AH83" s="327" t="e">
        <f t="shared" si="26"/>
        <v>#N/A</v>
      </c>
      <c r="AI83" s="636"/>
      <c r="AJ83" s="182"/>
      <c r="AK83" s="182"/>
      <c r="AL83" s="182"/>
      <c r="AM83" s="327" t="e">
        <f t="shared" si="27"/>
        <v>#N/A</v>
      </c>
      <c r="AN83" s="636"/>
      <c r="AO83" s="182"/>
      <c r="AP83" s="182"/>
      <c r="AQ83" s="182"/>
      <c r="AR83" s="327" t="e">
        <f t="shared" si="28"/>
        <v>#N/A</v>
      </c>
      <c r="AS83" s="636"/>
      <c r="AT83" s="182"/>
      <c r="AU83" s="182"/>
      <c r="AV83" s="182"/>
      <c r="AW83" s="327" t="e">
        <f t="shared" si="29"/>
        <v>#N/A</v>
      </c>
      <c r="AX83" s="636"/>
      <c r="AZ83" s="524" t="e">
        <f t="shared" si="30"/>
        <v>#N/A</v>
      </c>
      <c r="BA83" s="636"/>
    </row>
    <row r="84" spans="2:53">
      <c r="B84" s="622"/>
      <c r="C84" s="306">
        <v>8</v>
      </c>
      <c r="D84" s="226"/>
      <c r="E84" s="182"/>
      <c r="F84" s="514"/>
      <c r="G84" s="515"/>
      <c r="H84" s="664"/>
      <c r="I84" s="516" t="str">
        <f t="shared" si="20"/>
        <v>-</v>
      </c>
      <c r="J84" s="516" t="str">
        <f t="shared" si="21"/>
        <v>-</v>
      </c>
      <c r="K84" s="200" t="str">
        <f t="shared" si="22"/>
        <v>-</v>
      </c>
      <c r="L84" s="596"/>
      <c r="M84" s="201" t="e">
        <f>RANK(K84, K$77:$K$106)</f>
        <v>#VALUE!</v>
      </c>
      <c r="N84" s="614"/>
      <c r="O84" s="614"/>
      <c r="P84" s="182"/>
      <c r="Q84" s="182"/>
      <c r="R84" s="182"/>
      <c r="S84" s="327" t="e">
        <f t="shared" si="23"/>
        <v>#N/A</v>
      </c>
      <c r="T84" s="636"/>
      <c r="U84" s="182"/>
      <c r="V84" s="182"/>
      <c r="W84" s="182"/>
      <c r="X84" s="327" t="e">
        <f t="shared" si="24"/>
        <v>#N/A</v>
      </c>
      <c r="Y84" s="636"/>
      <c r="Z84" s="182"/>
      <c r="AA84" s="182"/>
      <c r="AB84" s="182"/>
      <c r="AC84" s="327" t="e">
        <f t="shared" si="25"/>
        <v>#N/A</v>
      </c>
      <c r="AD84" s="636"/>
      <c r="AE84" s="182"/>
      <c r="AF84" s="182"/>
      <c r="AG84" s="182"/>
      <c r="AH84" s="327" t="e">
        <f t="shared" si="26"/>
        <v>#N/A</v>
      </c>
      <c r="AI84" s="636"/>
      <c r="AJ84" s="182"/>
      <c r="AK84" s="182"/>
      <c r="AL84" s="182"/>
      <c r="AM84" s="327" t="e">
        <f t="shared" si="27"/>
        <v>#N/A</v>
      </c>
      <c r="AN84" s="636"/>
      <c r="AO84" s="182"/>
      <c r="AP84" s="182"/>
      <c r="AQ84" s="182"/>
      <c r="AR84" s="327" t="e">
        <f t="shared" si="28"/>
        <v>#N/A</v>
      </c>
      <c r="AS84" s="636"/>
      <c r="AT84" s="182"/>
      <c r="AU84" s="182"/>
      <c r="AV84" s="182"/>
      <c r="AW84" s="327" t="e">
        <f t="shared" si="29"/>
        <v>#N/A</v>
      </c>
      <c r="AX84" s="636"/>
      <c r="AZ84" s="524" t="e">
        <f t="shared" si="30"/>
        <v>#N/A</v>
      </c>
      <c r="BA84" s="636"/>
    </row>
    <row r="85" spans="2:53">
      <c r="B85" s="622"/>
      <c r="C85" s="306">
        <v>9</v>
      </c>
      <c r="D85" s="226"/>
      <c r="E85" s="182"/>
      <c r="F85" s="514"/>
      <c r="G85" s="515"/>
      <c r="H85" s="664"/>
      <c r="I85" s="516" t="str">
        <f t="shared" si="20"/>
        <v>-</v>
      </c>
      <c r="J85" s="516" t="str">
        <f t="shared" si="21"/>
        <v>-</v>
      </c>
      <c r="K85" s="200" t="str">
        <f t="shared" si="22"/>
        <v>-</v>
      </c>
      <c r="L85" s="596"/>
      <c r="M85" s="201" t="e">
        <f>RANK(K85, K$77:$K$106)</f>
        <v>#VALUE!</v>
      </c>
      <c r="N85" s="614"/>
      <c r="O85" s="614"/>
      <c r="P85" s="182"/>
      <c r="Q85" s="182"/>
      <c r="R85" s="182"/>
      <c r="S85" s="327" t="e">
        <f t="shared" si="23"/>
        <v>#N/A</v>
      </c>
      <c r="T85" s="636"/>
      <c r="U85" s="182"/>
      <c r="V85" s="182"/>
      <c r="W85" s="182"/>
      <c r="X85" s="327" t="e">
        <f t="shared" si="24"/>
        <v>#N/A</v>
      </c>
      <c r="Y85" s="636"/>
      <c r="Z85" s="182"/>
      <c r="AA85" s="182"/>
      <c r="AB85" s="182"/>
      <c r="AC85" s="327" t="e">
        <f t="shared" si="25"/>
        <v>#N/A</v>
      </c>
      <c r="AD85" s="636"/>
      <c r="AE85" s="182"/>
      <c r="AF85" s="182"/>
      <c r="AG85" s="182"/>
      <c r="AH85" s="327" t="e">
        <f t="shared" si="26"/>
        <v>#N/A</v>
      </c>
      <c r="AI85" s="636"/>
      <c r="AJ85" s="182"/>
      <c r="AK85" s="182"/>
      <c r="AL85" s="182"/>
      <c r="AM85" s="327" t="e">
        <f t="shared" si="27"/>
        <v>#N/A</v>
      </c>
      <c r="AN85" s="636"/>
      <c r="AO85" s="182"/>
      <c r="AP85" s="182"/>
      <c r="AQ85" s="182"/>
      <c r="AR85" s="327" t="e">
        <f t="shared" si="28"/>
        <v>#N/A</v>
      </c>
      <c r="AS85" s="636"/>
      <c r="AT85" s="182"/>
      <c r="AU85" s="182"/>
      <c r="AV85" s="182"/>
      <c r="AW85" s="327" t="e">
        <f t="shared" si="29"/>
        <v>#N/A</v>
      </c>
      <c r="AX85" s="636"/>
      <c r="AZ85" s="524" t="e">
        <f t="shared" si="30"/>
        <v>#N/A</v>
      </c>
      <c r="BA85" s="636"/>
    </row>
    <row r="86" spans="2:53">
      <c r="B86" s="622"/>
      <c r="C86" s="306">
        <v>10</v>
      </c>
      <c r="D86" s="226"/>
      <c r="E86" s="182"/>
      <c r="F86" s="514"/>
      <c r="G86" s="515"/>
      <c r="H86" s="664"/>
      <c r="I86" s="516" t="str">
        <f t="shared" si="20"/>
        <v>-</v>
      </c>
      <c r="J86" s="516" t="str">
        <f t="shared" si="21"/>
        <v>-</v>
      </c>
      <c r="K86" s="200" t="str">
        <f t="shared" si="22"/>
        <v>-</v>
      </c>
      <c r="L86" s="596"/>
      <c r="M86" s="201" t="e">
        <f>RANK(K86, K$77:$K$106)</f>
        <v>#VALUE!</v>
      </c>
      <c r="N86" s="614"/>
      <c r="O86" s="614"/>
      <c r="P86" s="182"/>
      <c r="Q86" s="182"/>
      <c r="R86" s="182"/>
      <c r="S86" s="327" t="e">
        <f t="shared" si="23"/>
        <v>#N/A</v>
      </c>
      <c r="T86" s="636"/>
      <c r="U86" s="182"/>
      <c r="V86" s="182"/>
      <c r="W86" s="182"/>
      <c r="X86" s="327" t="e">
        <f t="shared" si="24"/>
        <v>#N/A</v>
      </c>
      <c r="Y86" s="636"/>
      <c r="Z86" s="182"/>
      <c r="AA86" s="182"/>
      <c r="AB86" s="182"/>
      <c r="AC86" s="327" t="e">
        <f t="shared" si="25"/>
        <v>#N/A</v>
      </c>
      <c r="AD86" s="636"/>
      <c r="AE86" s="182"/>
      <c r="AF86" s="182"/>
      <c r="AG86" s="182"/>
      <c r="AH86" s="327" t="e">
        <f t="shared" si="26"/>
        <v>#N/A</v>
      </c>
      <c r="AI86" s="636"/>
      <c r="AJ86" s="182"/>
      <c r="AK86" s="182"/>
      <c r="AL86" s="182"/>
      <c r="AM86" s="327" t="e">
        <f t="shared" si="27"/>
        <v>#N/A</v>
      </c>
      <c r="AN86" s="636"/>
      <c r="AO86" s="182"/>
      <c r="AP86" s="182"/>
      <c r="AQ86" s="182"/>
      <c r="AR86" s="327" t="e">
        <f t="shared" si="28"/>
        <v>#N/A</v>
      </c>
      <c r="AS86" s="636"/>
      <c r="AT86" s="182"/>
      <c r="AU86" s="182"/>
      <c r="AV86" s="182"/>
      <c r="AW86" s="327" t="e">
        <f t="shared" si="29"/>
        <v>#N/A</v>
      </c>
      <c r="AX86" s="636"/>
      <c r="AZ86" s="524" t="e">
        <f t="shared" si="30"/>
        <v>#N/A</v>
      </c>
      <c r="BA86" s="636"/>
    </row>
    <row r="87" spans="2:53">
      <c r="B87" s="622"/>
      <c r="C87" s="306">
        <v>11</v>
      </c>
      <c r="D87" s="226"/>
      <c r="E87" s="182"/>
      <c r="F87" s="514"/>
      <c r="G87" s="515"/>
      <c r="H87" s="664"/>
      <c r="I87" s="516" t="str">
        <f t="shared" si="20"/>
        <v>-</v>
      </c>
      <c r="J87" s="516" t="str">
        <f t="shared" si="21"/>
        <v>-</v>
      </c>
      <c r="K87" s="200" t="str">
        <f t="shared" si="22"/>
        <v>-</v>
      </c>
      <c r="L87" s="596"/>
      <c r="M87" s="201" t="e">
        <f>RANK(K87, K$77:$K$106)</f>
        <v>#VALUE!</v>
      </c>
      <c r="N87" s="614"/>
      <c r="O87" s="614"/>
      <c r="P87" s="182"/>
      <c r="Q87" s="182"/>
      <c r="R87" s="182"/>
      <c r="S87" s="327" t="e">
        <f t="shared" si="23"/>
        <v>#N/A</v>
      </c>
      <c r="T87" s="636"/>
      <c r="U87" s="182"/>
      <c r="V87" s="182"/>
      <c r="W87" s="182"/>
      <c r="X87" s="327" t="e">
        <f t="shared" si="24"/>
        <v>#N/A</v>
      </c>
      <c r="Y87" s="636"/>
      <c r="Z87" s="182"/>
      <c r="AA87" s="182"/>
      <c r="AB87" s="182"/>
      <c r="AC87" s="327" t="e">
        <f t="shared" si="25"/>
        <v>#N/A</v>
      </c>
      <c r="AD87" s="636"/>
      <c r="AE87" s="182"/>
      <c r="AF87" s="182"/>
      <c r="AG87" s="182"/>
      <c r="AH87" s="327" t="e">
        <f t="shared" si="26"/>
        <v>#N/A</v>
      </c>
      <c r="AI87" s="636"/>
      <c r="AJ87" s="182"/>
      <c r="AK87" s="182"/>
      <c r="AL87" s="182"/>
      <c r="AM87" s="327" t="e">
        <f t="shared" si="27"/>
        <v>#N/A</v>
      </c>
      <c r="AN87" s="636"/>
      <c r="AO87" s="182"/>
      <c r="AP87" s="182"/>
      <c r="AQ87" s="182"/>
      <c r="AR87" s="327" t="e">
        <f t="shared" si="28"/>
        <v>#N/A</v>
      </c>
      <c r="AS87" s="636"/>
      <c r="AT87" s="182"/>
      <c r="AU87" s="182"/>
      <c r="AV87" s="182"/>
      <c r="AW87" s="327" t="e">
        <f t="shared" si="29"/>
        <v>#N/A</v>
      </c>
      <c r="AX87" s="636"/>
      <c r="AZ87" s="524" t="e">
        <f t="shared" si="30"/>
        <v>#N/A</v>
      </c>
      <c r="BA87" s="636"/>
    </row>
    <row r="88" spans="2:53">
      <c r="B88" s="622"/>
      <c r="C88" s="306">
        <v>12</v>
      </c>
      <c r="D88" s="226"/>
      <c r="E88" s="182"/>
      <c r="F88" s="514"/>
      <c r="G88" s="515"/>
      <c r="H88" s="664"/>
      <c r="I88" s="516" t="str">
        <f t="shared" si="20"/>
        <v>-</v>
      </c>
      <c r="J88" s="516" t="str">
        <f t="shared" si="21"/>
        <v>-</v>
      </c>
      <c r="K88" s="200" t="str">
        <f t="shared" si="22"/>
        <v>-</v>
      </c>
      <c r="L88" s="596"/>
      <c r="M88" s="201" t="e">
        <f>RANK(K88, K$77:$K$106)</f>
        <v>#VALUE!</v>
      </c>
      <c r="N88" s="614"/>
      <c r="O88" s="614"/>
      <c r="P88" s="182"/>
      <c r="Q88" s="182"/>
      <c r="R88" s="182"/>
      <c r="S88" s="327" t="e">
        <f t="shared" si="23"/>
        <v>#N/A</v>
      </c>
      <c r="T88" s="636"/>
      <c r="U88" s="182"/>
      <c r="V88" s="182"/>
      <c r="W88" s="182"/>
      <c r="X88" s="327" t="e">
        <f t="shared" si="24"/>
        <v>#N/A</v>
      </c>
      <c r="Y88" s="636"/>
      <c r="Z88" s="182"/>
      <c r="AA88" s="182"/>
      <c r="AB88" s="182"/>
      <c r="AC88" s="327" t="e">
        <f t="shared" si="25"/>
        <v>#N/A</v>
      </c>
      <c r="AD88" s="636"/>
      <c r="AE88" s="182"/>
      <c r="AF88" s="182"/>
      <c r="AG88" s="182"/>
      <c r="AH88" s="327" t="e">
        <f t="shared" si="26"/>
        <v>#N/A</v>
      </c>
      <c r="AI88" s="636"/>
      <c r="AJ88" s="182"/>
      <c r="AK88" s="182"/>
      <c r="AL88" s="182"/>
      <c r="AM88" s="327" t="e">
        <f t="shared" si="27"/>
        <v>#N/A</v>
      </c>
      <c r="AN88" s="636"/>
      <c r="AO88" s="182"/>
      <c r="AP88" s="182"/>
      <c r="AQ88" s="182"/>
      <c r="AR88" s="327" t="e">
        <f t="shared" si="28"/>
        <v>#N/A</v>
      </c>
      <c r="AS88" s="636"/>
      <c r="AT88" s="182"/>
      <c r="AU88" s="182"/>
      <c r="AV88" s="182"/>
      <c r="AW88" s="327" t="e">
        <f t="shared" si="29"/>
        <v>#N/A</v>
      </c>
      <c r="AX88" s="636"/>
      <c r="AZ88" s="524" t="e">
        <f t="shared" si="30"/>
        <v>#N/A</v>
      </c>
      <c r="BA88" s="636"/>
    </row>
    <row r="89" spans="2:53">
      <c r="B89" s="622"/>
      <c r="C89" s="306">
        <v>13</v>
      </c>
      <c r="D89" s="226"/>
      <c r="E89" s="182"/>
      <c r="F89" s="514"/>
      <c r="G89" s="515"/>
      <c r="H89" s="664"/>
      <c r="I89" s="516" t="str">
        <f t="shared" si="20"/>
        <v>-</v>
      </c>
      <c r="J89" s="516" t="str">
        <f t="shared" si="21"/>
        <v>-</v>
      </c>
      <c r="K89" s="200" t="str">
        <f t="shared" si="22"/>
        <v>-</v>
      </c>
      <c r="L89" s="596"/>
      <c r="M89" s="201" t="e">
        <f>RANK(K89, K$77:$K$106)</f>
        <v>#VALUE!</v>
      </c>
      <c r="N89" s="614"/>
      <c r="O89" s="614"/>
      <c r="P89" s="182"/>
      <c r="Q89" s="182"/>
      <c r="R89" s="182"/>
      <c r="S89" s="327" t="e">
        <f t="shared" si="23"/>
        <v>#N/A</v>
      </c>
      <c r="T89" s="636"/>
      <c r="U89" s="182"/>
      <c r="V89" s="182"/>
      <c r="W89" s="182"/>
      <c r="X89" s="327" t="e">
        <f t="shared" si="24"/>
        <v>#N/A</v>
      </c>
      <c r="Y89" s="636"/>
      <c r="Z89" s="182"/>
      <c r="AA89" s="182"/>
      <c r="AB89" s="182"/>
      <c r="AC89" s="327" t="e">
        <f t="shared" si="25"/>
        <v>#N/A</v>
      </c>
      <c r="AD89" s="636"/>
      <c r="AE89" s="182"/>
      <c r="AF89" s="182"/>
      <c r="AG89" s="182"/>
      <c r="AH89" s="327" t="e">
        <f t="shared" si="26"/>
        <v>#N/A</v>
      </c>
      <c r="AI89" s="636"/>
      <c r="AJ89" s="182"/>
      <c r="AK89" s="182"/>
      <c r="AL89" s="182"/>
      <c r="AM89" s="327" t="e">
        <f t="shared" si="27"/>
        <v>#N/A</v>
      </c>
      <c r="AN89" s="636"/>
      <c r="AO89" s="182"/>
      <c r="AP89" s="182"/>
      <c r="AQ89" s="182"/>
      <c r="AR89" s="327" t="e">
        <f t="shared" si="28"/>
        <v>#N/A</v>
      </c>
      <c r="AS89" s="636"/>
      <c r="AT89" s="182"/>
      <c r="AU89" s="182"/>
      <c r="AV89" s="182"/>
      <c r="AW89" s="327" t="e">
        <f t="shared" si="29"/>
        <v>#N/A</v>
      </c>
      <c r="AX89" s="636"/>
      <c r="AZ89" s="524" t="e">
        <f t="shared" si="30"/>
        <v>#N/A</v>
      </c>
      <c r="BA89" s="636"/>
    </row>
    <row r="90" spans="2:53">
      <c r="B90" s="622"/>
      <c r="C90" s="306">
        <v>14</v>
      </c>
      <c r="D90" s="226"/>
      <c r="E90" s="182"/>
      <c r="F90" s="514"/>
      <c r="G90" s="515"/>
      <c r="H90" s="664"/>
      <c r="I90" s="516" t="str">
        <f t="shared" si="20"/>
        <v>-</v>
      </c>
      <c r="J90" s="516" t="str">
        <f t="shared" si="21"/>
        <v>-</v>
      </c>
      <c r="K90" s="200" t="str">
        <f t="shared" si="22"/>
        <v>-</v>
      </c>
      <c r="L90" s="596"/>
      <c r="M90" s="201" t="e">
        <f>RANK(K90, K$77:$K$106)</f>
        <v>#VALUE!</v>
      </c>
      <c r="N90" s="614"/>
      <c r="O90" s="614"/>
      <c r="P90" s="182"/>
      <c r="Q90" s="182"/>
      <c r="R90" s="182"/>
      <c r="S90" s="327" t="e">
        <f t="shared" si="23"/>
        <v>#N/A</v>
      </c>
      <c r="T90" s="636"/>
      <c r="U90" s="182"/>
      <c r="V90" s="182"/>
      <c r="W90" s="182"/>
      <c r="X90" s="327" t="e">
        <f t="shared" si="24"/>
        <v>#N/A</v>
      </c>
      <c r="Y90" s="636"/>
      <c r="Z90" s="182"/>
      <c r="AA90" s="182"/>
      <c r="AB90" s="182"/>
      <c r="AC90" s="327" t="e">
        <f t="shared" si="25"/>
        <v>#N/A</v>
      </c>
      <c r="AD90" s="636"/>
      <c r="AE90" s="182"/>
      <c r="AF90" s="182"/>
      <c r="AG90" s="182"/>
      <c r="AH90" s="327" t="e">
        <f t="shared" si="26"/>
        <v>#N/A</v>
      </c>
      <c r="AI90" s="636"/>
      <c r="AJ90" s="182"/>
      <c r="AK90" s="182"/>
      <c r="AL90" s="182"/>
      <c r="AM90" s="327" t="e">
        <f t="shared" si="27"/>
        <v>#N/A</v>
      </c>
      <c r="AN90" s="636"/>
      <c r="AO90" s="182"/>
      <c r="AP90" s="182"/>
      <c r="AQ90" s="182"/>
      <c r="AR90" s="327" t="e">
        <f t="shared" si="28"/>
        <v>#N/A</v>
      </c>
      <c r="AS90" s="636"/>
      <c r="AT90" s="182"/>
      <c r="AU90" s="182"/>
      <c r="AV90" s="182"/>
      <c r="AW90" s="327" t="e">
        <f t="shared" si="29"/>
        <v>#N/A</v>
      </c>
      <c r="AX90" s="636"/>
      <c r="AZ90" s="524" t="e">
        <f t="shared" si="30"/>
        <v>#N/A</v>
      </c>
      <c r="BA90" s="636"/>
    </row>
    <row r="91" spans="2:53">
      <c r="B91" s="622"/>
      <c r="C91" s="306">
        <v>15</v>
      </c>
      <c r="D91" s="226"/>
      <c r="E91" s="182"/>
      <c r="F91" s="514"/>
      <c r="G91" s="515"/>
      <c r="H91" s="664"/>
      <c r="I91" s="516" t="str">
        <f t="shared" si="20"/>
        <v>-</v>
      </c>
      <c r="J91" s="516" t="str">
        <f t="shared" si="21"/>
        <v>-</v>
      </c>
      <c r="K91" s="200" t="str">
        <f t="shared" si="22"/>
        <v>-</v>
      </c>
      <c r="L91" s="596"/>
      <c r="M91" s="201" t="e">
        <f>RANK(K91, K$77:$K$106)</f>
        <v>#VALUE!</v>
      </c>
      <c r="N91" s="614"/>
      <c r="O91" s="614"/>
      <c r="P91" s="182"/>
      <c r="Q91" s="182"/>
      <c r="R91" s="182"/>
      <c r="S91" s="327" t="e">
        <f t="shared" si="23"/>
        <v>#N/A</v>
      </c>
      <c r="T91" s="636"/>
      <c r="U91" s="182"/>
      <c r="V91" s="182"/>
      <c r="W91" s="182"/>
      <c r="X91" s="327" t="e">
        <f t="shared" si="24"/>
        <v>#N/A</v>
      </c>
      <c r="Y91" s="636"/>
      <c r="Z91" s="182"/>
      <c r="AA91" s="182"/>
      <c r="AB91" s="182"/>
      <c r="AC91" s="327" t="e">
        <f t="shared" si="25"/>
        <v>#N/A</v>
      </c>
      <c r="AD91" s="636"/>
      <c r="AE91" s="182"/>
      <c r="AF91" s="182"/>
      <c r="AG91" s="182"/>
      <c r="AH91" s="327" t="e">
        <f t="shared" si="26"/>
        <v>#N/A</v>
      </c>
      <c r="AI91" s="636"/>
      <c r="AJ91" s="182"/>
      <c r="AK91" s="182"/>
      <c r="AL91" s="182"/>
      <c r="AM91" s="327" t="e">
        <f t="shared" si="27"/>
        <v>#N/A</v>
      </c>
      <c r="AN91" s="636"/>
      <c r="AO91" s="182"/>
      <c r="AP91" s="182"/>
      <c r="AQ91" s="182"/>
      <c r="AR91" s="327" t="e">
        <f t="shared" si="28"/>
        <v>#N/A</v>
      </c>
      <c r="AS91" s="636"/>
      <c r="AT91" s="182"/>
      <c r="AU91" s="182"/>
      <c r="AV91" s="182"/>
      <c r="AW91" s="327" t="e">
        <f t="shared" si="29"/>
        <v>#N/A</v>
      </c>
      <c r="AX91" s="636"/>
      <c r="AZ91" s="524" t="e">
        <f t="shared" si="30"/>
        <v>#N/A</v>
      </c>
      <c r="BA91" s="636"/>
    </row>
    <row r="92" spans="2:53">
      <c r="B92" s="622"/>
      <c r="C92" s="306">
        <v>16</v>
      </c>
      <c r="D92" s="226"/>
      <c r="E92" s="182"/>
      <c r="F92" s="514"/>
      <c r="G92" s="515"/>
      <c r="H92" s="664"/>
      <c r="I92" s="516" t="str">
        <f t="shared" si="20"/>
        <v>-</v>
      </c>
      <c r="J92" s="516" t="str">
        <f t="shared" si="21"/>
        <v>-</v>
      </c>
      <c r="K92" s="200" t="str">
        <f t="shared" si="22"/>
        <v>-</v>
      </c>
      <c r="L92" s="596"/>
      <c r="M92" s="201" t="e">
        <f>RANK(K92, K$77:$K$106)</f>
        <v>#VALUE!</v>
      </c>
      <c r="N92" s="614"/>
      <c r="O92" s="614"/>
      <c r="P92" s="182"/>
      <c r="Q92" s="182"/>
      <c r="R92" s="182"/>
      <c r="S92" s="327" t="e">
        <f t="shared" si="23"/>
        <v>#N/A</v>
      </c>
      <c r="T92" s="636"/>
      <c r="U92" s="182"/>
      <c r="V92" s="182"/>
      <c r="W92" s="182"/>
      <c r="X92" s="327" t="e">
        <f t="shared" si="24"/>
        <v>#N/A</v>
      </c>
      <c r="Y92" s="636"/>
      <c r="Z92" s="182"/>
      <c r="AA92" s="182"/>
      <c r="AB92" s="182"/>
      <c r="AC92" s="327" t="e">
        <f t="shared" si="25"/>
        <v>#N/A</v>
      </c>
      <c r="AD92" s="636"/>
      <c r="AE92" s="182"/>
      <c r="AF92" s="182"/>
      <c r="AG92" s="182"/>
      <c r="AH92" s="327" t="e">
        <f t="shared" si="26"/>
        <v>#N/A</v>
      </c>
      <c r="AI92" s="636"/>
      <c r="AJ92" s="182"/>
      <c r="AK92" s="182"/>
      <c r="AL92" s="182"/>
      <c r="AM92" s="327" t="e">
        <f t="shared" si="27"/>
        <v>#N/A</v>
      </c>
      <c r="AN92" s="636"/>
      <c r="AO92" s="182"/>
      <c r="AP92" s="182"/>
      <c r="AQ92" s="182"/>
      <c r="AR92" s="327" t="e">
        <f t="shared" si="28"/>
        <v>#N/A</v>
      </c>
      <c r="AS92" s="636"/>
      <c r="AT92" s="182"/>
      <c r="AU92" s="182"/>
      <c r="AV92" s="182"/>
      <c r="AW92" s="327" t="e">
        <f t="shared" si="29"/>
        <v>#N/A</v>
      </c>
      <c r="AX92" s="636"/>
      <c r="AZ92" s="524" t="e">
        <f t="shared" si="30"/>
        <v>#N/A</v>
      </c>
      <c r="BA92" s="636"/>
    </row>
    <row r="93" spans="2:53">
      <c r="B93" s="622"/>
      <c r="C93" s="306">
        <v>17</v>
      </c>
      <c r="D93" s="226"/>
      <c r="E93" s="182"/>
      <c r="F93" s="514"/>
      <c r="G93" s="515"/>
      <c r="H93" s="664"/>
      <c r="I93" s="516" t="str">
        <f t="shared" si="20"/>
        <v>-</v>
      </c>
      <c r="J93" s="516" t="str">
        <f t="shared" si="21"/>
        <v>-</v>
      </c>
      <c r="K93" s="200" t="str">
        <f t="shared" si="22"/>
        <v>-</v>
      </c>
      <c r="L93" s="596"/>
      <c r="M93" s="201" t="e">
        <f>RANK(K93, K$77:$K$106)</f>
        <v>#VALUE!</v>
      </c>
      <c r="N93" s="614"/>
      <c r="O93" s="614"/>
      <c r="P93" s="182"/>
      <c r="Q93" s="182"/>
      <c r="R93" s="182"/>
      <c r="S93" s="327" t="e">
        <f t="shared" si="23"/>
        <v>#N/A</v>
      </c>
      <c r="T93" s="636"/>
      <c r="U93" s="182"/>
      <c r="V93" s="182"/>
      <c r="W93" s="182"/>
      <c r="X93" s="327" t="e">
        <f t="shared" si="24"/>
        <v>#N/A</v>
      </c>
      <c r="Y93" s="636"/>
      <c r="Z93" s="182"/>
      <c r="AA93" s="182"/>
      <c r="AB93" s="182"/>
      <c r="AC93" s="327" t="e">
        <f t="shared" si="25"/>
        <v>#N/A</v>
      </c>
      <c r="AD93" s="636"/>
      <c r="AE93" s="182"/>
      <c r="AF93" s="182"/>
      <c r="AG93" s="182"/>
      <c r="AH93" s="327" t="e">
        <f t="shared" si="26"/>
        <v>#N/A</v>
      </c>
      <c r="AI93" s="636"/>
      <c r="AJ93" s="182"/>
      <c r="AK93" s="182"/>
      <c r="AL93" s="182"/>
      <c r="AM93" s="327" t="e">
        <f t="shared" si="27"/>
        <v>#N/A</v>
      </c>
      <c r="AN93" s="636"/>
      <c r="AO93" s="182"/>
      <c r="AP93" s="182"/>
      <c r="AQ93" s="182"/>
      <c r="AR93" s="327" t="e">
        <f t="shared" si="28"/>
        <v>#N/A</v>
      </c>
      <c r="AS93" s="636"/>
      <c r="AT93" s="182"/>
      <c r="AU93" s="182"/>
      <c r="AV93" s="182"/>
      <c r="AW93" s="327" t="e">
        <f t="shared" si="29"/>
        <v>#N/A</v>
      </c>
      <c r="AX93" s="636"/>
      <c r="AZ93" s="524" t="e">
        <f t="shared" si="30"/>
        <v>#N/A</v>
      </c>
      <c r="BA93" s="636"/>
    </row>
    <row r="94" spans="2:53">
      <c r="B94" s="622"/>
      <c r="C94" s="306">
        <v>18</v>
      </c>
      <c r="D94" s="226"/>
      <c r="E94" s="182"/>
      <c r="F94" s="514"/>
      <c r="G94" s="515"/>
      <c r="H94" s="664"/>
      <c r="I94" s="516" t="str">
        <f t="shared" si="20"/>
        <v>-</v>
      </c>
      <c r="J94" s="516" t="str">
        <f t="shared" si="21"/>
        <v>-</v>
      </c>
      <c r="K94" s="200" t="str">
        <f t="shared" si="22"/>
        <v>-</v>
      </c>
      <c r="L94" s="596"/>
      <c r="M94" s="201" t="e">
        <f>RANK(K94, K$77:$K$106)</f>
        <v>#VALUE!</v>
      </c>
      <c r="N94" s="614"/>
      <c r="O94" s="614"/>
      <c r="P94" s="182"/>
      <c r="Q94" s="182"/>
      <c r="R94" s="182"/>
      <c r="S94" s="327" t="e">
        <f t="shared" si="23"/>
        <v>#N/A</v>
      </c>
      <c r="T94" s="636"/>
      <c r="U94" s="182"/>
      <c r="V94" s="182"/>
      <c r="W94" s="182"/>
      <c r="X94" s="327" t="e">
        <f t="shared" si="24"/>
        <v>#N/A</v>
      </c>
      <c r="Y94" s="636"/>
      <c r="Z94" s="182"/>
      <c r="AA94" s="182"/>
      <c r="AB94" s="182"/>
      <c r="AC94" s="327" t="e">
        <f t="shared" si="25"/>
        <v>#N/A</v>
      </c>
      <c r="AD94" s="636"/>
      <c r="AE94" s="182"/>
      <c r="AF94" s="182"/>
      <c r="AG94" s="182"/>
      <c r="AH94" s="327" t="e">
        <f t="shared" si="26"/>
        <v>#N/A</v>
      </c>
      <c r="AI94" s="636"/>
      <c r="AJ94" s="182"/>
      <c r="AK94" s="182"/>
      <c r="AL94" s="182"/>
      <c r="AM94" s="327" t="e">
        <f t="shared" si="27"/>
        <v>#N/A</v>
      </c>
      <c r="AN94" s="636"/>
      <c r="AO94" s="182"/>
      <c r="AP94" s="182"/>
      <c r="AQ94" s="182"/>
      <c r="AR94" s="327" t="e">
        <f t="shared" si="28"/>
        <v>#N/A</v>
      </c>
      <c r="AS94" s="636"/>
      <c r="AT94" s="182"/>
      <c r="AU94" s="182"/>
      <c r="AV94" s="182"/>
      <c r="AW94" s="327" t="e">
        <f t="shared" si="29"/>
        <v>#N/A</v>
      </c>
      <c r="AX94" s="636"/>
      <c r="AZ94" s="524" t="e">
        <f t="shared" si="30"/>
        <v>#N/A</v>
      </c>
      <c r="BA94" s="636"/>
    </row>
    <row r="95" spans="2:53">
      <c r="B95" s="622"/>
      <c r="C95" s="306">
        <v>19</v>
      </c>
      <c r="D95" s="226"/>
      <c r="E95" s="182"/>
      <c r="F95" s="514"/>
      <c r="G95" s="515"/>
      <c r="H95" s="664"/>
      <c r="I95" s="516" t="str">
        <f t="shared" si="20"/>
        <v>-</v>
      </c>
      <c r="J95" s="516" t="str">
        <f t="shared" si="21"/>
        <v>-</v>
      </c>
      <c r="K95" s="200" t="str">
        <f t="shared" si="22"/>
        <v>-</v>
      </c>
      <c r="L95" s="596"/>
      <c r="M95" s="201" t="e">
        <f>RANK(K95, K$77:$K$106)</f>
        <v>#VALUE!</v>
      </c>
      <c r="N95" s="614"/>
      <c r="O95" s="614"/>
      <c r="P95" s="182"/>
      <c r="Q95" s="182"/>
      <c r="R95" s="182"/>
      <c r="S95" s="327" t="e">
        <f t="shared" si="23"/>
        <v>#N/A</v>
      </c>
      <c r="T95" s="636"/>
      <c r="U95" s="182"/>
      <c r="V95" s="182"/>
      <c r="W95" s="182"/>
      <c r="X95" s="327" t="e">
        <f t="shared" si="24"/>
        <v>#N/A</v>
      </c>
      <c r="Y95" s="636"/>
      <c r="Z95" s="182"/>
      <c r="AA95" s="182"/>
      <c r="AB95" s="182"/>
      <c r="AC95" s="327" t="e">
        <f t="shared" si="25"/>
        <v>#N/A</v>
      </c>
      <c r="AD95" s="636"/>
      <c r="AE95" s="182"/>
      <c r="AF95" s="182"/>
      <c r="AG95" s="182"/>
      <c r="AH95" s="327" t="e">
        <f t="shared" si="26"/>
        <v>#N/A</v>
      </c>
      <c r="AI95" s="636"/>
      <c r="AJ95" s="182"/>
      <c r="AK95" s="182"/>
      <c r="AL95" s="182"/>
      <c r="AM95" s="327" t="e">
        <f t="shared" si="27"/>
        <v>#N/A</v>
      </c>
      <c r="AN95" s="636"/>
      <c r="AO95" s="182"/>
      <c r="AP95" s="182"/>
      <c r="AQ95" s="182"/>
      <c r="AR95" s="327" t="e">
        <f t="shared" si="28"/>
        <v>#N/A</v>
      </c>
      <c r="AS95" s="636"/>
      <c r="AT95" s="182"/>
      <c r="AU95" s="182"/>
      <c r="AV95" s="182"/>
      <c r="AW95" s="327" t="e">
        <f t="shared" si="29"/>
        <v>#N/A</v>
      </c>
      <c r="AX95" s="636"/>
      <c r="AZ95" s="524" t="e">
        <f t="shared" si="30"/>
        <v>#N/A</v>
      </c>
      <c r="BA95" s="636"/>
    </row>
    <row r="96" spans="2:53">
      <c r="B96" s="622"/>
      <c r="C96" s="306">
        <v>20</v>
      </c>
      <c r="D96" s="226"/>
      <c r="E96" s="182"/>
      <c r="F96" s="514"/>
      <c r="G96" s="515"/>
      <c r="H96" s="664"/>
      <c r="I96" s="516" t="str">
        <f t="shared" si="20"/>
        <v>-</v>
      </c>
      <c r="J96" s="516" t="str">
        <f t="shared" si="21"/>
        <v>-</v>
      </c>
      <c r="K96" s="200" t="str">
        <f t="shared" si="22"/>
        <v>-</v>
      </c>
      <c r="L96" s="596"/>
      <c r="M96" s="201" t="e">
        <f>RANK(K96, K$77:$K$106)</f>
        <v>#VALUE!</v>
      </c>
      <c r="N96" s="614"/>
      <c r="O96" s="614"/>
      <c r="P96" s="182"/>
      <c r="Q96" s="182"/>
      <c r="R96" s="182"/>
      <c r="S96" s="327" t="e">
        <f t="shared" si="23"/>
        <v>#N/A</v>
      </c>
      <c r="T96" s="636"/>
      <c r="U96" s="182"/>
      <c r="V96" s="182"/>
      <c r="W96" s="182"/>
      <c r="X96" s="327" t="e">
        <f t="shared" si="24"/>
        <v>#N/A</v>
      </c>
      <c r="Y96" s="636"/>
      <c r="Z96" s="182"/>
      <c r="AA96" s="182"/>
      <c r="AB96" s="182"/>
      <c r="AC96" s="327" t="e">
        <f t="shared" si="25"/>
        <v>#N/A</v>
      </c>
      <c r="AD96" s="636"/>
      <c r="AE96" s="182"/>
      <c r="AF96" s="182"/>
      <c r="AG96" s="182"/>
      <c r="AH96" s="327" t="e">
        <f t="shared" si="26"/>
        <v>#N/A</v>
      </c>
      <c r="AI96" s="636"/>
      <c r="AJ96" s="182"/>
      <c r="AK96" s="182"/>
      <c r="AL96" s="182"/>
      <c r="AM96" s="327" t="e">
        <f t="shared" si="27"/>
        <v>#N/A</v>
      </c>
      <c r="AN96" s="636"/>
      <c r="AO96" s="182"/>
      <c r="AP96" s="182"/>
      <c r="AQ96" s="182"/>
      <c r="AR96" s="327" t="e">
        <f t="shared" si="28"/>
        <v>#N/A</v>
      </c>
      <c r="AS96" s="636"/>
      <c r="AT96" s="182"/>
      <c r="AU96" s="182"/>
      <c r="AV96" s="182"/>
      <c r="AW96" s="327" t="e">
        <f t="shared" si="29"/>
        <v>#N/A</v>
      </c>
      <c r="AX96" s="636"/>
      <c r="AZ96" s="524" t="e">
        <f t="shared" si="30"/>
        <v>#N/A</v>
      </c>
      <c r="BA96" s="636"/>
    </row>
    <row r="97" spans="2:53">
      <c r="B97" s="622"/>
      <c r="C97" s="306">
        <v>21</v>
      </c>
      <c r="D97" s="226"/>
      <c r="E97" s="182"/>
      <c r="F97" s="514"/>
      <c r="G97" s="515"/>
      <c r="H97" s="664"/>
      <c r="I97" s="516" t="str">
        <f t="shared" si="20"/>
        <v>-</v>
      </c>
      <c r="J97" s="516" t="str">
        <f t="shared" si="21"/>
        <v>-</v>
      </c>
      <c r="K97" s="200" t="str">
        <f t="shared" si="22"/>
        <v>-</v>
      </c>
      <c r="L97" s="596"/>
      <c r="M97" s="201" t="e">
        <f>RANK(K97, K$77:$K$106)</f>
        <v>#VALUE!</v>
      </c>
      <c r="N97" s="614"/>
      <c r="O97" s="614"/>
      <c r="P97" s="182"/>
      <c r="Q97" s="182"/>
      <c r="R97" s="182"/>
      <c r="S97" s="327" t="e">
        <f t="shared" si="23"/>
        <v>#N/A</v>
      </c>
      <c r="T97" s="636"/>
      <c r="U97" s="182"/>
      <c r="V97" s="182"/>
      <c r="W97" s="182"/>
      <c r="X97" s="327" t="e">
        <f t="shared" si="24"/>
        <v>#N/A</v>
      </c>
      <c r="Y97" s="636"/>
      <c r="Z97" s="182"/>
      <c r="AA97" s="182"/>
      <c r="AB97" s="182"/>
      <c r="AC97" s="327" t="e">
        <f t="shared" si="25"/>
        <v>#N/A</v>
      </c>
      <c r="AD97" s="636"/>
      <c r="AE97" s="182"/>
      <c r="AF97" s="182"/>
      <c r="AG97" s="182"/>
      <c r="AH97" s="327" t="e">
        <f t="shared" si="26"/>
        <v>#N/A</v>
      </c>
      <c r="AI97" s="636"/>
      <c r="AJ97" s="182"/>
      <c r="AK97" s="182"/>
      <c r="AL97" s="182"/>
      <c r="AM97" s="327" t="e">
        <f t="shared" si="27"/>
        <v>#N/A</v>
      </c>
      <c r="AN97" s="636"/>
      <c r="AO97" s="182"/>
      <c r="AP97" s="182"/>
      <c r="AQ97" s="182"/>
      <c r="AR97" s="327" t="e">
        <f t="shared" si="28"/>
        <v>#N/A</v>
      </c>
      <c r="AS97" s="636"/>
      <c r="AT97" s="182"/>
      <c r="AU97" s="182"/>
      <c r="AV97" s="182"/>
      <c r="AW97" s="327" t="e">
        <f t="shared" si="29"/>
        <v>#N/A</v>
      </c>
      <c r="AX97" s="636"/>
      <c r="AZ97" s="524" t="e">
        <f t="shared" si="30"/>
        <v>#N/A</v>
      </c>
      <c r="BA97" s="636"/>
    </row>
    <row r="98" spans="2:53">
      <c r="B98" s="622"/>
      <c r="C98" s="306">
        <v>22</v>
      </c>
      <c r="D98" s="226"/>
      <c r="E98" s="182"/>
      <c r="F98" s="514"/>
      <c r="G98" s="515"/>
      <c r="H98" s="664"/>
      <c r="I98" s="516" t="str">
        <f t="shared" si="20"/>
        <v>-</v>
      </c>
      <c r="J98" s="516" t="str">
        <f t="shared" si="21"/>
        <v>-</v>
      </c>
      <c r="K98" s="200" t="str">
        <f t="shared" si="22"/>
        <v>-</v>
      </c>
      <c r="L98" s="596"/>
      <c r="M98" s="201" t="e">
        <f>RANK(K98, K$77:$K$106)</f>
        <v>#VALUE!</v>
      </c>
      <c r="N98" s="614"/>
      <c r="O98" s="614"/>
      <c r="P98" s="182"/>
      <c r="Q98" s="182"/>
      <c r="R98" s="182"/>
      <c r="S98" s="327" t="e">
        <f t="shared" si="23"/>
        <v>#N/A</v>
      </c>
      <c r="T98" s="636"/>
      <c r="U98" s="182"/>
      <c r="V98" s="182"/>
      <c r="W98" s="182"/>
      <c r="X98" s="327" t="e">
        <f t="shared" si="24"/>
        <v>#N/A</v>
      </c>
      <c r="Y98" s="636"/>
      <c r="Z98" s="182"/>
      <c r="AA98" s="182"/>
      <c r="AB98" s="182"/>
      <c r="AC98" s="327" t="e">
        <f t="shared" si="25"/>
        <v>#N/A</v>
      </c>
      <c r="AD98" s="636"/>
      <c r="AE98" s="182"/>
      <c r="AF98" s="182"/>
      <c r="AG98" s="182"/>
      <c r="AH98" s="327" t="e">
        <f t="shared" si="26"/>
        <v>#N/A</v>
      </c>
      <c r="AI98" s="636"/>
      <c r="AJ98" s="182"/>
      <c r="AK98" s="182"/>
      <c r="AL98" s="182"/>
      <c r="AM98" s="327" t="e">
        <f t="shared" si="27"/>
        <v>#N/A</v>
      </c>
      <c r="AN98" s="636"/>
      <c r="AO98" s="182"/>
      <c r="AP98" s="182"/>
      <c r="AQ98" s="182"/>
      <c r="AR98" s="327" t="e">
        <f t="shared" si="28"/>
        <v>#N/A</v>
      </c>
      <c r="AS98" s="636"/>
      <c r="AT98" s="182"/>
      <c r="AU98" s="182"/>
      <c r="AV98" s="182"/>
      <c r="AW98" s="327" t="e">
        <f t="shared" si="29"/>
        <v>#N/A</v>
      </c>
      <c r="AX98" s="636"/>
      <c r="AZ98" s="524" t="e">
        <f t="shared" si="30"/>
        <v>#N/A</v>
      </c>
      <c r="BA98" s="636"/>
    </row>
    <row r="99" spans="2:53">
      <c r="B99" s="622"/>
      <c r="C99" s="306">
        <v>23</v>
      </c>
      <c r="D99" s="226"/>
      <c r="E99" s="182"/>
      <c r="F99" s="514"/>
      <c r="G99" s="515"/>
      <c r="H99" s="664"/>
      <c r="I99" s="516" t="str">
        <f t="shared" si="20"/>
        <v>-</v>
      </c>
      <c r="J99" s="516" t="str">
        <f t="shared" si="21"/>
        <v>-</v>
      </c>
      <c r="K99" s="200" t="str">
        <f t="shared" si="22"/>
        <v>-</v>
      </c>
      <c r="L99" s="596"/>
      <c r="M99" s="201" t="e">
        <f>RANK(K99, K$77:$K$106)</f>
        <v>#VALUE!</v>
      </c>
      <c r="N99" s="614"/>
      <c r="O99" s="614"/>
      <c r="P99" s="182"/>
      <c r="Q99" s="182"/>
      <c r="R99" s="182"/>
      <c r="S99" s="327" t="e">
        <f t="shared" si="23"/>
        <v>#N/A</v>
      </c>
      <c r="T99" s="636"/>
      <c r="U99" s="182"/>
      <c r="V99" s="182"/>
      <c r="W99" s="182"/>
      <c r="X99" s="327" t="e">
        <f t="shared" si="24"/>
        <v>#N/A</v>
      </c>
      <c r="Y99" s="636"/>
      <c r="Z99" s="182"/>
      <c r="AA99" s="182"/>
      <c r="AB99" s="182"/>
      <c r="AC99" s="327" t="e">
        <f t="shared" si="25"/>
        <v>#N/A</v>
      </c>
      <c r="AD99" s="636"/>
      <c r="AE99" s="182"/>
      <c r="AF99" s="182"/>
      <c r="AG99" s="182"/>
      <c r="AH99" s="327" t="e">
        <f t="shared" si="26"/>
        <v>#N/A</v>
      </c>
      <c r="AI99" s="636"/>
      <c r="AJ99" s="182"/>
      <c r="AK99" s="182"/>
      <c r="AL99" s="182"/>
      <c r="AM99" s="327" t="e">
        <f t="shared" si="27"/>
        <v>#N/A</v>
      </c>
      <c r="AN99" s="636"/>
      <c r="AO99" s="182"/>
      <c r="AP99" s="182"/>
      <c r="AQ99" s="182"/>
      <c r="AR99" s="327" t="e">
        <f t="shared" si="28"/>
        <v>#N/A</v>
      </c>
      <c r="AS99" s="636"/>
      <c r="AT99" s="182"/>
      <c r="AU99" s="182"/>
      <c r="AV99" s="182"/>
      <c r="AW99" s="327" t="e">
        <f t="shared" si="29"/>
        <v>#N/A</v>
      </c>
      <c r="AX99" s="636"/>
      <c r="AZ99" s="524" t="e">
        <f t="shared" si="30"/>
        <v>#N/A</v>
      </c>
      <c r="BA99" s="636"/>
    </row>
    <row r="100" spans="2:53">
      <c r="B100" s="622"/>
      <c r="C100" s="306">
        <v>24</v>
      </c>
      <c r="D100" s="226"/>
      <c r="E100" s="182"/>
      <c r="F100" s="514"/>
      <c r="G100" s="515"/>
      <c r="H100" s="664"/>
      <c r="I100" s="516" t="str">
        <f t="shared" si="20"/>
        <v>-</v>
      </c>
      <c r="J100" s="516" t="str">
        <f t="shared" si="21"/>
        <v>-</v>
      </c>
      <c r="K100" s="200" t="str">
        <f t="shared" si="22"/>
        <v>-</v>
      </c>
      <c r="L100" s="596"/>
      <c r="M100" s="201" t="e">
        <f>RANK(K100, K$77:$K$106)</f>
        <v>#VALUE!</v>
      </c>
      <c r="N100" s="614"/>
      <c r="O100" s="614"/>
      <c r="P100" s="514"/>
      <c r="Q100" s="515"/>
      <c r="R100" s="515"/>
      <c r="S100" s="327" t="e">
        <f t="shared" si="23"/>
        <v>#N/A</v>
      </c>
      <c r="T100" s="636"/>
      <c r="U100" s="514"/>
      <c r="V100" s="515"/>
      <c r="W100" s="515"/>
      <c r="X100" s="327" t="e">
        <f t="shared" si="24"/>
        <v>#N/A</v>
      </c>
      <c r="Y100" s="636"/>
      <c r="Z100" s="514"/>
      <c r="AA100" s="515"/>
      <c r="AB100" s="515"/>
      <c r="AC100" s="327" t="e">
        <f t="shared" si="25"/>
        <v>#N/A</v>
      </c>
      <c r="AD100" s="636"/>
      <c r="AE100" s="514"/>
      <c r="AF100" s="515"/>
      <c r="AG100" s="515"/>
      <c r="AH100" s="327" t="e">
        <f t="shared" si="26"/>
        <v>#N/A</v>
      </c>
      <c r="AI100" s="636"/>
      <c r="AJ100" s="514"/>
      <c r="AK100" s="515"/>
      <c r="AL100" s="515"/>
      <c r="AM100" s="327" t="e">
        <f t="shared" si="27"/>
        <v>#N/A</v>
      </c>
      <c r="AN100" s="636"/>
      <c r="AO100" s="514"/>
      <c r="AP100" s="515"/>
      <c r="AQ100" s="515"/>
      <c r="AR100" s="327" t="e">
        <f t="shared" si="28"/>
        <v>#N/A</v>
      </c>
      <c r="AS100" s="636"/>
      <c r="AT100" s="514"/>
      <c r="AU100" s="515"/>
      <c r="AV100" s="515"/>
      <c r="AW100" s="327" t="e">
        <f t="shared" si="29"/>
        <v>#N/A</v>
      </c>
      <c r="AX100" s="636"/>
      <c r="AZ100" s="524" t="e">
        <f t="shared" si="30"/>
        <v>#N/A</v>
      </c>
      <c r="BA100" s="636"/>
    </row>
    <row r="101" spans="2:53">
      <c r="B101" s="622"/>
      <c r="C101" s="306">
        <v>25</v>
      </c>
      <c r="D101" s="226"/>
      <c r="E101" s="182"/>
      <c r="F101" s="514"/>
      <c r="G101" s="515"/>
      <c r="H101" s="664"/>
      <c r="I101" s="516" t="str">
        <f t="shared" si="20"/>
        <v>-</v>
      </c>
      <c r="J101" s="516" t="str">
        <f t="shared" si="21"/>
        <v>-</v>
      </c>
      <c r="K101" s="200" t="str">
        <f t="shared" si="22"/>
        <v>-</v>
      </c>
      <c r="L101" s="596"/>
      <c r="M101" s="201" t="e">
        <f>RANK(K101, K$77:$K$106)</f>
        <v>#VALUE!</v>
      </c>
      <c r="N101" s="614"/>
      <c r="O101" s="614"/>
      <c r="P101" s="514"/>
      <c r="Q101" s="515"/>
      <c r="R101" s="515"/>
      <c r="S101" s="327" t="e">
        <f t="shared" si="23"/>
        <v>#N/A</v>
      </c>
      <c r="T101" s="636"/>
      <c r="U101" s="514"/>
      <c r="V101" s="515"/>
      <c r="W101" s="515"/>
      <c r="X101" s="327" t="e">
        <f t="shared" si="24"/>
        <v>#N/A</v>
      </c>
      <c r="Y101" s="636"/>
      <c r="Z101" s="514"/>
      <c r="AA101" s="515"/>
      <c r="AB101" s="515"/>
      <c r="AC101" s="327" t="e">
        <f t="shared" si="25"/>
        <v>#N/A</v>
      </c>
      <c r="AD101" s="636"/>
      <c r="AE101" s="514"/>
      <c r="AF101" s="515"/>
      <c r="AG101" s="515"/>
      <c r="AH101" s="327" t="e">
        <f t="shared" si="26"/>
        <v>#N/A</v>
      </c>
      <c r="AI101" s="636"/>
      <c r="AJ101" s="514"/>
      <c r="AK101" s="515"/>
      <c r="AL101" s="515"/>
      <c r="AM101" s="327" t="e">
        <f t="shared" si="27"/>
        <v>#N/A</v>
      </c>
      <c r="AN101" s="636"/>
      <c r="AO101" s="514"/>
      <c r="AP101" s="515"/>
      <c r="AQ101" s="515"/>
      <c r="AR101" s="327" t="e">
        <f t="shared" si="28"/>
        <v>#N/A</v>
      </c>
      <c r="AS101" s="636"/>
      <c r="AT101" s="514"/>
      <c r="AU101" s="515"/>
      <c r="AV101" s="515"/>
      <c r="AW101" s="327" t="e">
        <f t="shared" si="29"/>
        <v>#N/A</v>
      </c>
      <c r="AX101" s="636"/>
      <c r="AZ101" s="524" t="e">
        <f t="shared" si="30"/>
        <v>#N/A</v>
      </c>
      <c r="BA101" s="636"/>
    </row>
    <row r="102" spans="2:53">
      <c r="B102" s="622"/>
      <c r="C102" s="306">
        <v>26</v>
      </c>
      <c r="D102" s="226"/>
      <c r="E102" s="182"/>
      <c r="F102" s="514"/>
      <c r="G102" s="515"/>
      <c r="H102" s="664"/>
      <c r="I102" s="516" t="str">
        <f t="shared" si="20"/>
        <v>-</v>
      </c>
      <c r="J102" s="516" t="str">
        <f t="shared" si="21"/>
        <v>-</v>
      </c>
      <c r="K102" s="200" t="str">
        <f t="shared" si="22"/>
        <v>-</v>
      </c>
      <c r="L102" s="596"/>
      <c r="M102" s="201" t="e">
        <f>RANK(K102, K$77:$K$106)</f>
        <v>#VALUE!</v>
      </c>
      <c r="N102" s="614"/>
      <c r="O102" s="614"/>
      <c r="P102" s="514"/>
      <c r="Q102" s="515"/>
      <c r="R102" s="515"/>
      <c r="S102" s="327" t="e">
        <f t="shared" si="23"/>
        <v>#N/A</v>
      </c>
      <c r="T102" s="636"/>
      <c r="U102" s="514"/>
      <c r="V102" s="515"/>
      <c r="W102" s="515"/>
      <c r="X102" s="327" t="e">
        <f t="shared" si="24"/>
        <v>#N/A</v>
      </c>
      <c r="Y102" s="636"/>
      <c r="Z102" s="514"/>
      <c r="AA102" s="515"/>
      <c r="AB102" s="515"/>
      <c r="AC102" s="327" t="e">
        <f t="shared" si="25"/>
        <v>#N/A</v>
      </c>
      <c r="AD102" s="636"/>
      <c r="AE102" s="514"/>
      <c r="AF102" s="515"/>
      <c r="AG102" s="515"/>
      <c r="AH102" s="327" t="e">
        <f t="shared" si="26"/>
        <v>#N/A</v>
      </c>
      <c r="AI102" s="636"/>
      <c r="AJ102" s="514"/>
      <c r="AK102" s="515"/>
      <c r="AL102" s="515"/>
      <c r="AM102" s="327" t="e">
        <f t="shared" si="27"/>
        <v>#N/A</v>
      </c>
      <c r="AN102" s="636"/>
      <c r="AO102" s="514"/>
      <c r="AP102" s="515"/>
      <c r="AQ102" s="515"/>
      <c r="AR102" s="327" t="e">
        <f t="shared" si="28"/>
        <v>#N/A</v>
      </c>
      <c r="AS102" s="636"/>
      <c r="AT102" s="514"/>
      <c r="AU102" s="515"/>
      <c r="AV102" s="515"/>
      <c r="AW102" s="327" t="e">
        <f t="shared" si="29"/>
        <v>#N/A</v>
      </c>
      <c r="AX102" s="636"/>
      <c r="AZ102" s="524" t="e">
        <f t="shared" si="30"/>
        <v>#N/A</v>
      </c>
      <c r="BA102" s="636"/>
    </row>
    <row r="103" spans="2:53">
      <c r="B103" s="622"/>
      <c r="C103" s="306">
        <v>27</v>
      </c>
      <c r="D103" s="226"/>
      <c r="E103" s="182"/>
      <c r="F103" s="514"/>
      <c r="G103" s="515"/>
      <c r="H103" s="664"/>
      <c r="I103" s="516" t="str">
        <f t="shared" si="20"/>
        <v>-</v>
      </c>
      <c r="J103" s="516" t="str">
        <f t="shared" si="21"/>
        <v>-</v>
      </c>
      <c r="K103" s="200" t="str">
        <f t="shared" si="22"/>
        <v>-</v>
      </c>
      <c r="L103" s="596"/>
      <c r="M103" s="201" t="e">
        <f>RANK(K103, K$77:$K$106)</f>
        <v>#VALUE!</v>
      </c>
      <c r="N103" s="614"/>
      <c r="O103" s="614"/>
      <c r="P103" s="514"/>
      <c r="Q103" s="515"/>
      <c r="R103" s="515"/>
      <c r="S103" s="327" t="e">
        <f t="shared" si="23"/>
        <v>#N/A</v>
      </c>
      <c r="T103" s="636"/>
      <c r="U103" s="514"/>
      <c r="V103" s="515"/>
      <c r="W103" s="515"/>
      <c r="X103" s="327" t="e">
        <f t="shared" si="24"/>
        <v>#N/A</v>
      </c>
      <c r="Y103" s="636"/>
      <c r="Z103" s="514"/>
      <c r="AA103" s="515"/>
      <c r="AB103" s="515"/>
      <c r="AC103" s="327" t="e">
        <f t="shared" si="25"/>
        <v>#N/A</v>
      </c>
      <c r="AD103" s="636"/>
      <c r="AE103" s="514"/>
      <c r="AF103" s="515"/>
      <c r="AG103" s="515"/>
      <c r="AH103" s="327" t="e">
        <f t="shared" si="26"/>
        <v>#N/A</v>
      </c>
      <c r="AI103" s="636"/>
      <c r="AJ103" s="514"/>
      <c r="AK103" s="515"/>
      <c r="AL103" s="515"/>
      <c r="AM103" s="327" t="e">
        <f t="shared" si="27"/>
        <v>#N/A</v>
      </c>
      <c r="AN103" s="636"/>
      <c r="AO103" s="514"/>
      <c r="AP103" s="515"/>
      <c r="AQ103" s="515"/>
      <c r="AR103" s="327" t="e">
        <f t="shared" si="28"/>
        <v>#N/A</v>
      </c>
      <c r="AS103" s="636"/>
      <c r="AT103" s="514"/>
      <c r="AU103" s="515"/>
      <c r="AV103" s="515"/>
      <c r="AW103" s="327" t="e">
        <f t="shared" si="29"/>
        <v>#N/A</v>
      </c>
      <c r="AX103" s="636"/>
      <c r="AZ103" s="524" t="e">
        <f t="shared" si="30"/>
        <v>#N/A</v>
      </c>
      <c r="BA103" s="636"/>
    </row>
    <row r="104" spans="2:53">
      <c r="B104" s="622"/>
      <c r="C104" s="306">
        <v>28</v>
      </c>
      <c r="D104" s="226"/>
      <c r="E104" s="182"/>
      <c r="F104" s="514"/>
      <c r="G104" s="515"/>
      <c r="H104" s="664"/>
      <c r="I104" s="516" t="str">
        <f t="shared" si="20"/>
        <v>-</v>
      </c>
      <c r="J104" s="516" t="str">
        <f t="shared" si="21"/>
        <v>-</v>
      </c>
      <c r="K104" s="200" t="str">
        <f t="shared" si="22"/>
        <v>-</v>
      </c>
      <c r="L104" s="596"/>
      <c r="M104" s="201" t="e">
        <f>RANK(K104, K$77:$K$106)</f>
        <v>#VALUE!</v>
      </c>
      <c r="N104" s="614"/>
      <c r="O104" s="614"/>
      <c r="P104" s="514"/>
      <c r="Q104" s="515"/>
      <c r="R104" s="515"/>
      <c r="S104" s="327" t="e">
        <f t="shared" si="23"/>
        <v>#N/A</v>
      </c>
      <c r="T104" s="636"/>
      <c r="U104" s="514"/>
      <c r="V104" s="515"/>
      <c r="W104" s="515"/>
      <c r="X104" s="327" t="e">
        <f t="shared" si="24"/>
        <v>#N/A</v>
      </c>
      <c r="Y104" s="636"/>
      <c r="Z104" s="514"/>
      <c r="AA104" s="515"/>
      <c r="AB104" s="515"/>
      <c r="AC104" s="327" t="e">
        <f t="shared" si="25"/>
        <v>#N/A</v>
      </c>
      <c r="AD104" s="636"/>
      <c r="AE104" s="514"/>
      <c r="AF104" s="515"/>
      <c r="AG104" s="515"/>
      <c r="AH104" s="327" t="e">
        <f t="shared" si="26"/>
        <v>#N/A</v>
      </c>
      <c r="AI104" s="636"/>
      <c r="AJ104" s="514"/>
      <c r="AK104" s="515"/>
      <c r="AL104" s="515"/>
      <c r="AM104" s="327" t="e">
        <f t="shared" si="27"/>
        <v>#N/A</v>
      </c>
      <c r="AN104" s="636"/>
      <c r="AO104" s="514"/>
      <c r="AP104" s="515"/>
      <c r="AQ104" s="515"/>
      <c r="AR104" s="327" t="e">
        <f t="shared" si="28"/>
        <v>#N/A</v>
      </c>
      <c r="AS104" s="636"/>
      <c r="AT104" s="514"/>
      <c r="AU104" s="515"/>
      <c r="AV104" s="515"/>
      <c r="AW104" s="327" t="e">
        <f t="shared" si="29"/>
        <v>#N/A</v>
      </c>
      <c r="AX104" s="636"/>
      <c r="AZ104" s="524" t="e">
        <f t="shared" si="30"/>
        <v>#N/A</v>
      </c>
      <c r="BA104" s="636"/>
    </row>
    <row r="105" spans="2:53">
      <c r="B105" s="622"/>
      <c r="C105" s="306">
        <v>29</v>
      </c>
      <c r="D105" s="226"/>
      <c r="E105" s="182"/>
      <c r="F105" s="514"/>
      <c r="G105" s="515"/>
      <c r="H105" s="664"/>
      <c r="I105" s="516" t="str">
        <f t="shared" si="20"/>
        <v>-</v>
      </c>
      <c r="J105" s="516" t="str">
        <f t="shared" si="21"/>
        <v>-</v>
      </c>
      <c r="K105" s="200" t="str">
        <f t="shared" si="22"/>
        <v>-</v>
      </c>
      <c r="L105" s="596"/>
      <c r="M105" s="201" t="e">
        <f>RANK(K105, K$77:$K$106)</f>
        <v>#VALUE!</v>
      </c>
      <c r="N105" s="614"/>
      <c r="O105" s="614"/>
      <c r="P105" s="514"/>
      <c r="Q105" s="514"/>
      <c r="R105" s="514"/>
      <c r="S105" s="327" t="e">
        <f t="shared" si="23"/>
        <v>#N/A</v>
      </c>
      <c r="T105" s="636"/>
      <c r="U105" s="514"/>
      <c r="V105" s="514"/>
      <c r="W105" s="514"/>
      <c r="X105" s="327" t="e">
        <f t="shared" si="24"/>
        <v>#N/A</v>
      </c>
      <c r="Y105" s="636"/>
      <c r="Z105" s="514"/>
      <c r="AA105" s="514"/>
      <c r="AB105" s="514"/>
      <c r="AC105" s="327" t="e">
        <f t="shared" si="25"/>
        <v>#N/A</v>
      </c>
      <c r="AD105" s="636"/>
      <c r="AE105" s="514"/>
      <c r="AF105" s="514"/>
      <c r="AG105" s="514"/>
      <c r="AH105" s="327" t="e">
        <f t="shared" si="26"/>
        <v>#N/A</v>
      </c>
      <c r="AI105" s="636"/>
      <c r="AJ105" s="514"/>
      <c r="AK105" s="514"/>
      <c r="AL105" s="514"/>
      <c r="AM105" s="327" t="e">
        <f t="shared" si="27"/>
        <v>#N/A</v>
      </c>
      <c r="AN105" s="636"/>
      <c r="AO105" s="514"/>
      <c r="AP105" s="514"/>
      <c r="AQ105" s="514"/>
      <c r="AR105" s="327" t="e">
        <f t="shared" si="28"/>
        <v>#N/A</v>
      </c>
      <c r="AS105" s="636"/>
      <c r="AT105" s="514"/>
      <c r="AU105" s="514"/>
      <c r="AV105" s="514"/>
      <c r="AW105" s="327" t="e">
        <f t="shared" si="29"/>
        <v>#N/A</v>
      </c>
      <c r="AX105" s="636"/>
      <c r="AZ105" s="524" t="e">
        <f t="shared" si="30"/>
        <v>#N/A</v>
      </c>
      <c r="BA105" s="636"/>
    </row>
    <row r="106" spans="2:53">
      <c r="B106" s="622"/>
      <c r="C106" s="306">
        <v>30</v>
      </c>
      <c r="D106" s="226"/>
      <c r="E106" s="182"/>
      <c r="F106" s="514"/>
      <c r="G106" s="515"/>
      <c r="H106" s="665"/>
      <c r="I106" s="516" t="str">
        <f t="shared" si="20"/>
        <v>-</v>
      </c>
      <c r="J106" s="516" t="str">
        <f t="shared" si="21"/>
        <v>-</v>
      </c>
      <c r="K106" s="200" t="str">
        <f t="shared" si="22"/>
        <v>-</v>
      </c>
      <c r="L106" s="597"/>
      <c r="M106" s="201" t="e">
        <f>RANK(K106, K$77:$K$106)</f>
        <v>#VALUE!</v>
      </c>
      <c r="N106" s="614"/>
      <c r="O106" s="614"/>
      <c r="P106" s="514"/>
      <c r="Q106" s="514"/>
      <c r="R106" s="514"/>
      <c r="S106" s="327" t="e">
        <f t="shared" si="23"/>
        <v>#N/A</v>
      </c>
      <c r="T106" s="636"/>
      <c r="U106" s="514"/>
      <c r="V106" s="514"/>
      <c r="W106" s="514"/>
      <c r="X106" s="327" t="e">
        <f t="shared" si="24"/>
        <v>#N/A</v>
      </c>
      <c r="Y106" s="636"/>
      <c r="Z106" s="514"/>
      <c r="AA106" s="514"/>
      <c r="AB106" s="514"/>
      <c r="AC106" s="327" t="e">
        <f t="shared" si="25"/>
        <v>#N/A</v>
      </c>
      <c r="AD106" s="636"/>
      <c r="AE106" s="514"/>
      <c r="AF106" s="514"/>
      <c r="AG106" s="514"/>
      <c r="AH106" s="327" t="e">
        <f t="shared" si="26"/>
        <v>#N/A</v>
      </c>
      <c r="AI106" s="636"/>
      <c r="AJ106" s="514"/>
      <c r="AK106" s="514"/>
      <c r="AL106" s="514"/>
      <c r="AM106" s="327" t="e">
        <f t="shared" si="27"/>
        <v>#N/A</v>
      </c>
      <c r="AN106" s="636"/>
      <c r="AO106" s="514"/>
      <c r="AP106" s="514"/>
      <c r="AQ106" s="514"/>
      <c r="AR106" s="327" t="e">
        <f t="shared" si="28"/>
        <v>#N/A</v>
      </c>
      <c r="AS106" s="636"/>
      <c r="AT106" s="514"/>
      <c r="AU106" s="514"/>
      <c r="AV106" s="514"/>
      <c r="AW106" s="327" t="e">
        <f t="shared" si="29"/>
        <v>#N/A</v>
      </c>
      <c r="AX106" s="636"/>
      <c r="AZ106" s="524" t="e">
        <f t="shared" si="30"/>
        <v>#N/A</v>
      </c>
      <c r="BA106" s="636"/>
    </row>
    <row r="107" spans="2:53" ht="15.75">
      <c r="B107" s="626" t="s">
        <v>163</v>
      </c>
      <c r="C107" s="627"/>
      <c r="D107" s="627"/>
      <c r="E107" s="627"/>
      <c r="F107" s="627"/>
      <c r="G107" s="627"/>
      <c r="H107" s="628"/>
      <c r="I107" s="208"/>
      <c r="J107" s="208"/>
      <c r="K107" s="208"/>
      <c r="L107" s="208"/>
      <c r="M107" s="207"/>
      <c r="N107" s="615" t="s">
        <v>156</v>
      </c>
      <c r="O107" s="615" t="s">
        <v>105</v>
      </c>
      <c r="P107" s="621">
        <f>P72+7</f>
        <v>46133</v>
      </c>
      <c r="Q107" s="622"/>
      <c r="R107" s="622"/>
      <c r="S107" s="622"/>
      <c r="T107" s="622"/>
      <c r="U107" s="618">
        <f>P107+1</f>
        <v>46134</v>
      </c>
      <c r="V107" s="619"/>
      <c r="W107" s="619"/>
      <c r="X107" s="619"/>
      <c r="Y107" s="620"/>
      <c r="Z107" s="618">
        <f>U107+1</f>
        <v>46135</v>
      </c>
      <c r="AA107" s="619"/>
      <c r="AB107" s="619"/>
      <c r="AC107" s="619"/>
      <c r="AD107" s="620"/>
      <c r="AE107" s="618">
        <f>Z107+1</f>
        <v>46136</v>
      </c>
      <c r="AF107" s="619"/>
      <c r="AG107" s="619"/>
      <c r="AH107" s="619"/>
      <c r="AI107" s="620"/>
      <c r="AJ107" s="618">
        <f>AE107+1</f>
        <v>46137</v>
      </c>
      <c r="AK107" s="619"/>
      <c r="AL107" s="619"/>
      <c r="AM107" s="619"/>
      <c r="AN107" s="620"/>
      <c r="AO107" s="618">
        <f>AJ107+1</f>
        <v>46138</v>
      </c>
      <c r="AP107" s="619"/>
      <c r="AQ107" s="619"/>
      <c r="AR107" s="619"/>
      <c r="AS107" s="620"/>
      <c r="AT107" s="618">
        <f>AO107+1</f>
        <v>46139</v>
      </c>
      <c r="AU107" s="619"/>
      <c r="AV107" s="619"/>
      <c r="AW107" s="619"/>
      <c r="AX107" s="620"/>
    </row>
    <row r="108" spans="2:53" ht="15.75">
      <c r="B108" s="629"/>
      <c r="C108" s="629"/>
      <c r="D108" s="629"/>
      <c r="E108" s="629"/>
      <c r="F108" s="629"/>
      <c r="G108" s="629"/>
      <c r="H108" s="629"/>
      <c r="I108" s="205"/>
      <c r="J108" s="205"/>
      <c r="K108" s="205"/>
      <c r="L108" s="205"/>
      <c r="M108" s="206"/>
      <c r="N108" s="617"/>
      <c r="O108" s="617"/>
      <c r="P108" s="621" t="s">
        <v>336</v>
      </c>
      <c r="Q108" s="622"/>
      <c r="R108" s="622"/>
      <c r="S108" s="622"/>
      <c r="T108" s="622"/>
      <c r="U108" s="621" t="s">
        <v>337</v>
      </c>
      <c r="V108" s="622"/>
      <c r="W108" s="622"/>
      <c r="X108" s="622"/>
      <c r="Y108" s="622"/>
      <c r="Z108" s="621" t="s">
        <v>338</v>
      </c>
      <c r="AA108" s="622"/>
      <c r="AB108" s="622"/>
      <c r="AC108" s="622"/>
      <c r="AD108" s="622"/>
      <c r="AE108" s="621" t="s">
        <v>339</v>
      </c>
      <c r="AF108" s="622"/>
      <c r="AG108" s="622"/>
      <c r="AH108" s="622"/>
      <c r="AI108" s="622"/>
      <c r="AJ108" s="621" t="s">
        <v>340</v>
      </c>
      <c r="AK108" s="622"/>
      <c r="AL108" s="622"/>
      <c r="AM108" s="622"/>
      <c r="AN108" s="622"/>
      <c r="AO108" s="621" t="s">
        <v>341</v>
      </c>
      <c r="AP108" s="622"/>
      <c r="AQ108" s="622"/>
      <c r="AR108" s="622"/>
      <c r="AS108" s="622"/>
      <c r="AT108" s="621" t="s">
        <v>342</v>
      </c>
      <c r="AU108" s="622"/>
      <c r="AV108" s="622"/>
      <c r="AW108" s="622"/>
      <c r="AX108" s="622"/>
    </row>
    <row r="109" spans="2:53">
      <c r="B109" s="614" t="s">
        <v>442</v>
      </c>
      <c r="C109" s="614" t="s">
        <v>443</v>
      </c>
      <c r="D109" s="614"/>
      <c r="E109" s="614" t="s">
        <v>444</v>
      </c>
      <c r="F109" s="614"/>
      <c r="G109" s="614"/>
      <c r="H109" s="630" t="s">
        <v>445</v>
      </c>
      <c r="I109" s="598" t="s">
        <v>446</v>
      </c>
      <c r="J109" s="598"/>
      <c r="K109" s="598"/>
      <c r="L109" s="599" t="s">
        <v>445</v>
      </c>
      <c r="M109" s="605" t="s">
        <v>447</v>
      </c>
      <c r="N109" s="614"/>
      <c r="O109" s="614" t="s">
        <v>448</v>
      </c>
      <c r="P109" s="611" t="s">
        <v>449</v>
      </c>
      <c r="Q109" s="612"/>
      <c r="R109" s="612"/>
      <c r="S109" s="613"/>
      <c r="T109" s="614" t="s">
        <v>445</v>
      </c>
      <c r="U109" s="611" t="s">
        <v>449</v>
      </c>
      <c r="V109" s="612"/>
      <c r="W109" s="612"/>
      <c r="X109" s="613"/>
      <c r="Y109" s="614" t="s">
        <v>445</v>
      </c>
      <c r="Z109" s="611" t="s">
        <v>449</v>
      </c>
      <c r="AA109" s="612"/>
      <c r="AB109" s="612"/>
      <c r="AC109" s="613"/>
      <c r="AD109" s="614" t="s">
        <v>445</v>
      </c>
      <c r="AE109" s="611" t="s">
        <v>449</v>
      </c>
      <c r="AF109" s="612"/>
      <c r="AG109" s="612"/>
      <c r="AH109" s="613"/>
      <c r="AI109" s="614" t="s">
        <v>445</v>
      </c>
      <c r="AJ109" s="611" t="s">
        <v>449</v>
      </c>
      <c r="AK109" s="612"/>
      <c r="AL109" s="612"/>
      <c r="AM109" s="613"/>
      <c r="AN109" s="614" t="s">
        <v>445</v>
      </c>
      <c r="AO109" s="611" t="s">
        <v>449</v>
      </c>
      <c r="AP109" s="612"/>
      <c r="AQ109" s="612"/>
      <c r="AR109" s="613"/>
      <c r="AS109" s="614" t="s">
        <v>445</v>
      </c>
      <c r="AT109" s="611" t="s">
        <v>449</v>
      </c>
      <c r="AU109" s="612"/>
      <c r="AV109" s="612"/>
      <c r="AW109" s="613"/>
      <c r="AX109" s="614" t="s">
        <v>445</v>
      </c>
      <c r="BA109" s="614" t="s">
        <v>395</v>
      </c>
    </row>
    <row r="110" spans="2:53">
      <c r="B110" s="614"/>
      <c r="C110" s="614"/>
      <c r="D110" s="614"/>
      <c r="E110" s="614" t="s">
        <v>450</v>
      </c>
      <c r="F110" s="614"/>
      <c r="G110" s="614"/>
      <c r="H110" s="631"/>
      <c r="I110" s="598" t="s">
        <v>450</v>
      </c>
      <c r="J110" s="598"/>
      <c r="K110" s="598"/>
      <c r="L110" s="600"/>
      <c r="M110" s="606"/>
      <c r="N110" s="614"/>
      <c r="O110" s="614"/>
      <c r="P110" s="611" t="s">
        <v>451</v>
      </c>
      <c r="Q110" s="612"/>
      <c r="R110" s="612"/>
      <c r="S110" s="613"/>
      <c r="T110" s="614"/>
      <c r="U110" s="611" t="s">
        <v>451</v>
      </c>
      <c r="V110" s="612"/>
      <c r="W110" s="612"/>
      <c r="X110" s="613"/>
      <c r="Y110" s="614"/>
      <c r="Z110" s="611" t="s">
        <v>451</v>
      </c>
      <c r="AA110" s="612"/>
      <c r="AB110" s="612"/>
      <c r="AC110" s="613"/>
      <c r="AD110" s="614"/>
      <c r="AE110" s="611" t="s">
        <v>451</v>
      </c>
      <c r="AF110" s="612"/>
      <c r="AG110" s="612"/>
      <c r="AH110" s="613"/>
      <c r="AI110" s="614"/>
      <c r="AJ110" s="611" t="s">
        <v>451</v>
      </c>
      <c r="AK110" s="612"/>
      <c r="AL110" s="612"/>
      <c r="AM110" s="613"/>
      <c r="AN110" s="614"/>
      <c r="AO110" s="611" t="s">
        <v>451</v>
      </c>
      <c r="AP110" s="612"/>
      <c r="AQ110" s="612"/>
      <c r="AR110" s="613"/>
      <c r="AS110" s="614"/>
      <c r="AT110" s="611" t="s">
        <v>451</v>
      </c>
      <c r="AU110" s="612"/>
      <c r="AV110" s="612"/>
      <c r="AW110" s="613"/>
      <c r="AX110" s="614"/>
      <c r="BA110" s="614"/>
    </row>
    <row r="111" spans="2:53">
      <c r="B111" s="614"/>
      <c r="C111" s="614"/>
      <c r="D111" s="614"/>
      <c r="E111" s="305" t="s">
        <v>452</v>
      </c>
      <c r="F111" s="305" t="s">
        <v>453</v>
      </c>
      <c r="G111" s="305" t="s">
        <v>454</v>
      </c>
      <c r="H111" s="632"/>
      <c r="I111" s="304" t="s">
        <v>452</v>
      </c>
      <c r="J111" s="304" t="s">
        <v>453</v>
      </c>
      <c r="K111" s="304" t="s">
        <v>454</v>
      </c>
      <c r="L111" s="601"/>
      <c r="M111" s="607"/>
      <c r="N111" s="614"/>
      <c r="O111" s="614"/>
      <c r="P111" s="305" t="s">
        <v>452</v>
      </c>
      <c r="Q111" s="305" t="s">
        <v>453</v>
      </c>
      <c r="R111" s="305" t="s">
        <v>454</v>
      </c>
      <c r="S111" s="305" t="s">
        <v>447</v>
      </c>
      <c r="T111" s="614"/>
      <c r="U111" s="305" t="s">
        <v>452</v>
      </c>
      <c r="V111" s="305" t="s">
        <v>453</v>
      </c>
      <c r="W111" s="305" t="s">
        <v>454</v>
      </c>
      <c r="X111" s="305" t="s">
        <v>447</v>
      </c>
      <c r="Y111" s="614"/>
      <c r="Z111" s="305" t="s">
        <v>452</v>
      </c>
      <c r="AA111" s="305" t="s">
        <v>453</v>
      </c>
      <c r="AB111" s="305" t="s">
        <v>454</v>
      </c>
      <c r="AC111" s="305" t="s">
        <v>447</v>
      </c>
      <c r="AD111" s="614"/>
      <c r="AE111" s="305" t="s">
        <v>452</v>
      </c>
      <c r="AF111" s="305" t="s">
        <v>453</v>
      </c>
      <c r="AG111" s="305" t="s">
        <v>454</v>
      </c>
      <c r="AH111" s="305" t="s">
        <v>447</v>
      </c>
      <c r="AI111" s="614"/>
      <c r="AJ111" s="305" t="s">
        <v>452</v>
      </c>
      <c r="AK111" s="305" t="s">
        <v>453</v>
      </c>
      <c r="AL111" s="305" t="s">
        <v>454</v>
      </c>
      <c r="AM111" s="305" t="s">
        <v>447</v>
      </c>
      <c r="AN111" s="614"/>
      <c r="AO111" s="305" t="s">
        <v>452</v>
      </c>
      <c r="AP111" s="305" t="s">
        <v>453</v>
      </c>
      <c r="AQ111" s="305" t="s">
        <v>454</v>
      </c>
      <c r="AR111" s="305" t="s">
        <v>447</v>
      </c>
      <c r="AS111" s="614"/>
      <c r="AT111" s="305" t="s">
        <v>452</v>
      </c>
      <c r="AU111" s="305" t="s">
        <v>453</v>
      </c>
      <c r="AV111" s="305" t="s">
        <v>454</v>
      </c>
      <c r="AW111" s="305" t="s">
        <v>447</v>
      </c>
      <c r="AX111" s="614"/>
      <c r="AZ111" s="523" t="s">
        <v>396</v>
      </c>
      <c r="BA111" s="614"/>
    </row>
    <row r="112" spans="2:53">
      <c r="B112" s="614" t="s">
        <v>455</v>
      </c>
      <c r="C112" s="306">
        <v>1</v>
      </c>
      <c r="D112" s="226"/>
      <c r="E112" s="182"/>
      <c r="F112" s="514"/>
      <c r="G112" s="515"/>
      <c r="H112" s="663" t="e">
        <f>AVERAGE(G112:G141)</f>
        <v>#DIV/0!</v>
      </c>
      <c r="I112" s="516" t="str">
        <f>IFERROR(AVERAGE(P112,U112,Z112,AE112,AJ112,AO112,AT112),"-")</f>
        <v>-</v>
      </c>
      <c r="J112" s="516" t="str">
        <f>IFERROR(AVERAGE(Q112,V112,AA112,AF112,AK112,AP112,AU112),"-")</f>
        <v>-</v>
      </c>
      <c r="K112" s="200" t="str">
        <f>IFERROR(AVERAGE(R112,W112,AB112,AG112,AL112,AQ112,AV112),"-")</f>
        <v>-</v>
      </c>
      <c r="L112" s="595" t="str">
        <f>IFERROR(AVERAGE(K112:K141),"-")</f>
        <v>-</v>
      </c>
      <c r="M112" s="201" t="e">
        <f>RANK(K112, K$112:$K$141)</f>
        <v>#VALUE!</v>
      </c>
      <c r="N112" s="614"/>
      <c r="O112" s="614"/>
      <c r="P112" s="182"/>
      <c r="Q112" s="182"/>
      <c r="R112" s="182"/>
      <c r="S112" s="306" t="e">
        <f>RANK(R112, R$112:R$141)</f>
        <v>#N/A</v>
      </c>
      <c r="T112" s="636" t="e">
        <f>AVERAGE(R112:R141)</f>
        <v>#DIV/0!</v>
      </c>
      <c r="U112" s="182"/>
      <c r="V112" s="182"/>
      <c r="W112" s="182"/>
      <c r="X112" s="331" t="e">
        <f>RANK(W112, W$112:W$141)</f>
        <v>#N/A</v>
      </c>
      <c r="Y112" s="636" t="e">
        <f>AVERAGE(W112:W141)</f>
        <v>#DIV/0!</v>
      </c>
      <c r="Z112" s="182"/>
      <c r="AA112" s="182"/>
      <c r="AB112" s="182"/>
      <c r="AC112" s="331" t="e">
        <f>RANK(AB112, AB$112:AB$141)</f>
        <v>#N/A</v>
      </c>
      <c r="AD112" s="636" t="e">
        <f>AVERAGE(AB112:AB141)</f>
        <v>#DIV/0!</v>
      </c>
      <c r="AE112" s="182"/>
      <c r="AF112" s="182"/>
      <c r="AG112" s="182"/>
      <c r="AH112" s="331" t="e">
        <f>RANK(AG112, AG$112:AG$141)</f>
        <v>#N/A</v>
      </c>
      <c r="AI112" s="636" t="e">
        <f>AVERAGE(AG112:AG141)</f>
        <v>#DIV/0!</v>
      </c>
      <c r="AJ112" s="182"/>
      <c r="AK112" s="182"/>
      <c r="AL112" s="182"/>
      <c r="AM112" s="331" t="e">
        <f>RANK(AL112, AL$112:AL$141)</f>
        <v>#N/A</v>
      </c>
      <c r="AN112" s="636" t="e">
        <f>AVERAGE(AL112:AL141)</f>
        <v>#DIV/0!</v>
      </c>
      <c r="AO112" s="182"/>
      <c r="AP112" s="182"/>
      <c r="AQ112" s="182"/>
      <c r="AR112" s="331" t="e">
        <f>RANK(AQ112, AQ$112:AQ$141)</f>
        <v>#N/A</v>
      </c>
      <c r="AS112" s="636" t="e">
        <f>AVERAGE(AQ112:AQ141)</f>
        <v>#DIV/0!</v>
      </c>
      <c r="AT112" s="182"/>
      <c r="AU112" s="182"/>
      <c r="AV112" s="182"/>
      <c r="AW112" s="331" t="e">
        <f>RANK(AV112, AV$112:AV$141)</f>
        <v>#N/A</v>
      </c>
      <c r="AX112" s="636" t="e">
        <f>AVERAGE(AV112:AV141)</f>
        <v>#DIV/0!</v>
      </c>
      <c r="AZ112" s="524" t="e">
        <f>RANK(AY112, AY$112:AY$141)</f>
        <v>#N/A</v>
      </c>
      <c r="BA112" s="636" t="e">
        <f>AVERAGE(AY112:AY141)</f>
        <v>#DIV/0!</v>
      </c>
    </row>
    <row r="113" spans="2:53">
      <c r="B113" s="622"/>
      <c r="C113" s="306">
        <v>2</v>
      </c>
      <c r="D113" s="226"/>
      <c r="E113" s="182"/>
      <c r="F113" s="514"/>
      <c r="G113" s="515"/>
      <c r="H113" s="664"/>
      <c r="I113" s="516" t="str">
        <f t="shared" ref="I113:I141" si="31">IFERROR(AVERAGE(P113,U113,Z113,AE113,AJ113,AO113,AT113),"-")</f>
        <v>-</v>
      </c>
      <c r="J113" s="516" t="str">
        <f t="shared" ref="J113:J141" si="32">IFERROR(AVERAGE(Q113,V113,AA113,AF113,AK113,AP113,AU113),"-")</f>
        <v>-</v>
      </c>
      <c r="K113" s="200" t="str">
        <f t="shared" ref="K113:K141" si="33">IFERROR(AVERAGE(R113,W113,AB113,AG113,AL113,AQ113,AV113),"-")</f>
        <v>-</v>
      </c>
      <c r="L113" s="596"/>
      <c r="M113" s="201" t="e">
        <f>RANK(K113, K$112:$K$141)</f>
        <v>#VALUE!</v>
      </c>
      <c r="N113" s="614"/>
      <c r="O113" s="614"/>
      <c r="P113" s="182"/>
      <c r="Q113" s="182"/>
      <c r="R113" s="182"/>
      <c r="S113" s="331" t="e">
        <f t="shared" ref="S113:S141" si="34">RANK(R113, R$112:R$141)</f>
        <v>#N/A</v>
      </c>
      <c r="T113" s="636"/>
      <c r="U113" s="182"/>
      <c r="V113" s="182"/>
      <c r="W113" s="182"/>
      <c r="X113" s="331" t="e">
        <f t="shared" ref="X113:X141" si="35">RANK(W113, W$112:W$141)</f>
        <v>#N/A</v>
      </c>
      <c r="Y113" s="636"/>
      <c r="Z113" s="182"/>
      <c r="AA113" s="182"/>
      <c r="AB113" s="182"/>
      <c r="AC113" s="331" t="e">
        <f t="shared" ref="AC113:AC141" si="36">RANK(AB113, AB$112:AB$141)</f>
        <v>#N/A</v>
      </c>
      <c r="AD113" s="636"/>
      <c r="AE113" s="182"/>
      <c r="AF113" s="182"/>
      <c r="AG113" s="182"/>
      <c r="AH113" s="331" t="e">
        <f t="shared" ref="AH113:AH141" si="37">RANK(AG113, AG$112:AG$141)</f>
        <v>#N/A</v>
      </c>
      <c r="AI113" s="636"/>
      <c r="AJ113" s="182"/>
      <c r="AK113" s="182"/>
      <c r="AL113" s="182"/>
      <c r="AM113" s="331" t="e">
        <f t="shared" ref="AM113:AM141" si="38">RANK(AL113, AL$112:AL$141)</f>
        <v>#N/A</v>
      </c>
      <c r="AN113" s="636"/>
      <c r="AO113" s="182"/>
      <c r="AP113" s="182"/>
      <c r="AQ113" s="182"/>
      <c r="AR113" s="331" t="e">
        <f t="shared" ref="AR113:AR141" si="39">RANK(AQ113, AQ$112:AQ$141)</f>
        <v>#N/A</v>
      </c>
      <c r="AS113" s="636"/>
      <c r="AT113" s="182"/>
      <c r="AU113" s="182"/>
      <c r="AV113" s="182"/>
      <c r="AW113" s="331" t="e">
        <f t="shared" ref="AW113:AW141" si="40">RANK(AV113, AV$112:AV$141)</f>
        <v>#N/A</v>
      </c>
      <c r="AX113" s="636"/>
      <c r="AZ113" s="524" t="e">
        <f t="shared" ref="AZ113:AZ141" si="41">RANK(AY113, AY$112:AY$141)</f>
        <v>#N/A</v>
      </c>
      <c r="BA113" s="636"/>
    </row>
    <row r="114" spans="2:53">
      <c r="B114" s="622"/>
      <c r="C114" s="306">
        <v>3</v>
      </c>
      <c r="D114" s="226"/>
      <c r="E114" s="182"/>
      <c r="F114" s="514"/>
      <c r="G114" s="515"/>
      <c r="H114" s="664"/>
      <c r="I114" s="516" t="str">
        <f t="shared" si="31"/>
        <v>-</v>
      </c>
      <c r="J114" s="516" t="str">
        <f t="shared" si="32"/>
        <v>-</v>
      </c>
      <c r="K114" s="200" t="str">
        <f t="shared" si="33"/>
        <v>-</v>
      </c>
      <c r="L114" s="596"/>
      <c r="M114" s="201" t="e">
        <f>RANK(K114, K$112:$K$141)</f>
        <v>#VALUE!</v>
      </c>
      <c r="N114" s="614"/>
      <c r="O114" s="614"/>
      <c r="P114" s="182"/>
      <c r="Q114" s="182"/>
      <c r="R114" s="182"/>
      <c r="S114" s="331" t="e">
        <f t="shared" si="34"/>
        <v>#N/A</v>
      </c>
      <c r="T114" s="636"/>
      <c r="U114" s="182"/>
      <c r="V114" s="182"/>
      <c r="W114" s="182"/>
      <c r="X114" s="331" t="e">
        <f t="shared" si="35"/>
        <v>#N/A</v>
      </c>
      <c r="Y114" s="636"/>
      <c r="Z114" s="182"/>
      <c r="AA114" s="182"/>
      <c r="AB114" s="182"/>
      <c r="AC114" s="331" t="e">
        <f t="shared" si="36"/>
        <v>#N/A</v>
      </c>
      <c r="AD114" s="636"/>
      <c r="AE114" s="182"/>
      <c r="AF114" s="182"/>
      <c r="AG114" s="182"/>
      <c r="AH114" s="331" t="e">
        <f t="shared" si="37"/>
        <v>#N/A</v>
      </c>
      <c r="AI114" s="636"/>
      <c r="AJ114" s="182"/>
      <c r="AK114" s="182"/>
      <c r="AL114" s="182"/>
      <c r="AM114" s="331" t="e">
        <f t="shared" si="38"/>
        <v>#N/A</v>
      </c>
      <c r="AN114" s="636"/>
      <c r="AO114" s="182"/>
      <c r="AP114" s="182"/>
      <c r="AQ114" s="182"/>
      <c r="AR114" s="331" t="e">
        <f t="shared" si="39"/>
        <v>#N/A</v>
      </c>
      <c r="AS114" s="636"/>
      <c r="AT114" s="182"/>
      <c r="AU114" s="182"/>
      <c r="AV114" s="182"/>
      <c r="AW114" s="331" t="e">
        <f t="shared" si="40"/>
        <v>#N/A</v>
      </c>
      <c r="AX114" s="636"/>
      <c r="AZ114" s="524" t="e">
        <f t="shared" si="41"/>
        <v>#N/A</v>
      </c>
      <c r="BA114" s="636"/>
    </row>
    <row r="115" spans="2:53">
      <c r="B115" s="622"/>
      <c r="C115" s="306">
        <v>4</v>
      </c>
      <c r="D115" s="226"/>
      <c r="E115" s="182"/>
      <c r="F115" s="514"/>
      <c r="G115" s="515"/>
      <c r="H115" s="664"/>
      <c r="I115" s="516" t="str">
        <f t="shared" si="31"/>
        <v>-</v>
      </c>
      <c r="J115" s="516" t="str">
        <f t="shared" si="32"/>
        <v>-</v>
      </c>
      <c r="K115" s="200" t="str">
        <f t="shared" si="33"/>
        <v>-</v>
      </c>
      <c r="L115" s="596"/>
      <c r="M115" s="201" t="e">
        <f>RANK(K115, K$112:$K$141)</f>
        <v>#VALUE!</v>
      </c>
      <c r="N115" s="614"/>
      <c r="O115" s="614"/>
      <c r="P115" s="182"/>
      <c r="Q115" s="182"/>
      <c r="R115" s="182"/>
      <c r="S115" s="331" t="e">
        <f t="shared" si="34"/>
        <v>#N/A</v>
      </c>
      <c r="T115" s="636"/>
      <c r="U115" s="182"/>
      <c r="V115" s="182"/>
      <c r="W115" s="182"/>
      <c r="X115" s="331" t="e">
        <f t="shared" si="35"/>
        <v>#N/A</v>
      </c>
      <c r="Y115" s="636"/>
      <c r="Z115" s="182"/>
      <c r="AA115" s="182"/>
      <c r="AB115" s="182"/>
      <c r="AC115" s="331" t="e">
        <f t="shared" si="36"/>
        <v>#N/A</v>
      </c>
      <c r="AD115" s="636"/>
      <c r="AE115" s="182"/>
      <c r="AF115" s="182"/>
      <c r="AG115" s="182"/>
      <c r="AH115" s="331" t="e">
        <f t="shared" si="37"/>
        <v>#N/A</v>
      </c>
      <c r="AI115" s="636"/>
      <c r="AJ115" s="182"/>
      <c r="AK115" s="182"/>
      <c r="AL115" s="182"/>
      <c r="AM115" s="331" t="e">
        <f t="shared" si="38"/>
        <v>#N/A</v>
      </c>
      <c r="AN115" s="636"/>
      <c r="AO115" s="182"/>
      <c r="AP115" s="182"/>
      <c r="AQ115" s="182"/>
      <c r="AR115" s="331" t="e">
        <f t="shared" si="39"/>
        <v>#N/A</v>
      </c>
      <c r="AS115" s="636"/>
      <c r="AT115" s="182"/>
      <c r="AU115" s="182"/>
      <c r="AV115" s="182"/>
      <c r="AW115" s="331" t="e">
        <f t="shared" si="40"/>
        <v>#N/A</v>
      </c>
      <c r="AX115" s="636"/>
      <c r="AZ115" s="524" t="e">
        <f t="shared" si="41"/>
        <v>#N/A</v>
      </c>
      <c r="BA115" s="636"/>
    </row>
    <row r="116" spans="2:53">
      <c r="B116" s="622"/>
      <c r="C116" s="306">
        <v>5</v>
      </c>
      <c r="D116" s="226"/>
      <c r="E116" s="182"/>
      <c r="F116" s="514"/>
      <c r="G116" s="515"/>
      <c r="H116" s="664"/>
      <c r="I116" s="516" t="str">
        <f t="shared" si="31"/>
        <v>-</v>
      </c>
      <c r="J116" s="516" t="str">
        <f t="shared" si="32"/>
        <v>-</v>
      </c>
      <c r="K116" s="200" t="str">
        <f t="shared" si="33"/>
        <v>-</v>
      </c>
      <c r="L116" s="596"/>
      <c r="M116" s="201" t="e">
        <f>RANK(K116, K$112:$K$141)</f>
        <v>#VALUE!</v>
      </c>
      <c r="N116" s="614"/>
      <c r="O116" s="614"/>
      <c r="P116" s="182"/>
      <c r="Q116" s="182"/>
      <c r="R116" s="182"/>
      <c r="S116" s="331" t="e">
        <f t="shared" si="34"/>
        <v>#N/A</v>
      </c>
      <c r="T116" s="636"/>
      <c r="U116" s="182"/>
      <c r="V116" s="182"/>
      <c r="W116" s="182"/>
      <c r="X116" s="331" t="e">
        <f t="shared" si="35"/>
        <v>#N/A</v>
      </c>
      <c r="Y116" s="636"/>
      <c r="Z116" s="182"/>
      <c r="AA116" s="182"/>
      <c r="AB116" s="182"/>
      <c r="AC116" s="331" t="e">
        <f t="shared" si="36"/>
        <v>#N/A</v>
      </c>
      <c r="AD116" s="636"/>
      <c r="AE116" s="182"/>
      <c r="AF116" s="182"/>
      <c r="AG116" s="182"/>
      <c r="AH116" s="331" t="e">
        <f t="shared" si="37"/>
        <v>#N/A</v>
      </c>
      <c r="AI116" s="636"/>
      <c r="AJ116" s="182"/>
      <c r="AK116" s="182"/>
      <c r="AL116" s="182"/>
      <c r="AM116" s="331" t="e">
        <f t="shared" si="38"/>
        <v>#N/A</v>
      </c>
      <c r="AN116" s="636"/>
      <c r="AO116" s="182"/>
      <c r="AP116" s="182"/>
      <c r="AQ116" s="182"/>
      <c r="AR116" s="331" t="e">
        <f t="shared" si="39"/>
        <v>#N/A</v>
      </c>
      <c r="AS116" s="636"/>
      <c r="AT116" s="182"/>
      <c r="AU116" s="182"/>
      <c r="AV116" s="182"/>
      <c r="AW116" s="331" t="e">
        <f t="shared" si="40"/>
        <v>#N/A</v>
      </c>
      <c r="AX116" s="636"/>
      <c r="AZ116" s="524" t="e">
        <f t="shared" si="41"/>
        <v>#N/A</v>
      </c>
      <c r="BA116" s="636"/>
    </row>
    <row r="117" spans="2:53">
      <c r="B117" s="622"/>
      <c r="C117" s="306">
        <v>6</v>
      </c>
      <c r="D117" s="226"/>
      <c r="E117" s="182"/>
      <c r="F117" s="514"/>
      <c r="G117" s="515"/>
      <c r="H117" s="664"/>
      <c r="I117" s="516" t="str">
        <f t="shared" si="31"/>
        <v>-</v>
      </c>
      <c r="J117" s="516" t="str">
        <f t="shared" si="32"/>
        <v>-</v>
      </c>
      <c r="K117" s="200" t="str">
        <f t="shared" si="33"/>
        <v>-</v>
      </c>
      <c r="L117" s="596"/>
      <c r="M117" s="201" t="e">
        <f>RANK(K117, K$112:$K$141)</f>
        <v>#VALUE!</v>
      </c>
      <c r="N117" s="614"/>
      <c r="O117" s="614"/>
      <c r="P117" s="182"/>
      <c r="Q117" s="182"/>
      <c r="R117" s="182"/>
      <c r="S117" s="331" t="e">
        <f t="shared" si="34"/>
        <v>#N/A</v>
      </c>
      <c r="T117" s="636"/>
      <c r="U117" s="182"/>
      <c r="V117" s="182"/>
      <c r="W117" s="182"/>
      <c r="X117" s="331" t="e">
        <f t="shared" si="35"/>
        <v>#N/A</v>
      </c>
      <c r="Y117" s="636"/>
      <c r="Z117" s="182"/>
      <c r="AA117" s="182"/>
      <c r="AB117" s="182"/>
      <c r="AC117" s="331" t="e">
        <f t="shared" si="36"/>
        <v>#N/A</v>
      </c>
      <c r="AD117" s="636"/>
      <c r="AE117" s="182"/>
      <c r="AF117" s="182"/>
      <c r="AG117" s="182"/>
      <c r="AH117" s="331" t="e">
        <f t="shared" si="37"/>
        <v>#N/A</v>
      </c>
      <c r="AI117" s="636"/>
      <c r="AJ117" s="182"/>
      <c r="AK117" s="182"/>
      <c r="AL117" s="182"/>
      <c r="AM117" s="331" t="e">
        <f t="shared" si="38"/>
        <v>#N/A</v>
      </c>
      <c r="AN117" s="636"/>
      <c r="AO117" s="182"/>
      <c r="AP117" s="182"/>
      <c r="AQ117" s="182"/>
      <c r="AR117" s="331" t="e">
        <f t="shared" si="39"/>
        <v>#N/A</v>
      </c>
      <c r="AS117" s="636"/>
      <c r="AT117" s="182"/>
      <c r="AU117" s="182"/>
      <c r="AV117" s="182"/>
      <c r="AW117" s="331" t="e">
        <f t="shared" si="40"/>
        <v>#N/A</v>
      </c>
      <c r="AX117" s="636"/>
      <c r="AZ117" s="524" t="e">
        <f t="shared" si="41"/>
        <v>#N/A</v>
      </c>
      <c r="BA117" s="636"/>
    </row>
    <row r="118" spans="2:53">
      <c r="B118" s="622"/>
      <c r="C118" s="306">
        <v>7</v>
      </c>
      <c r="D118" s="226"/>
      <c r="E118" s="182"/>
      <c r="F118" s="514"/>
      <c r="G118" s="515"/>
      <c r="H118" s="664"/>
      <c r="I118" s="516" t="str">
        <f t="shared" si="31"/>
        <v>-</v>
      </c>
      <c r="J118" s="516" t="str">
        <f t="shared" si="32"/>
        <v>-</v>
      </c>
      <c r="K118" s="200" t="str">
        <f t="shared" si="33"/>
        <v>-</v>
      </c>
      <c r="L118" s="596"/>
      <c r="M118" s="201" t="e">
        <f>RANK(K118, K$112:$K$141)</f>
        <v>#VALUE!</v>
      </c>
      <c r="N118" s="614"/>
      <c r="O118" s="614"/>
      <c r="P118" s="182"/>
      <c r="Q118" s="182"/>
      <c r="R118" s="182"/>
      <c r="S118" s="331" t="e">
        <f t="shared" si="34"/>
        <v>#N/A</v>
      </c>
      <c r="T118" s="636"/>
      <c r="U118" s="182"/>
      <c r="V118" s="182"/>
      <c r="W118" s="182"/>
      <c r="X118" s="331" t="e">
        <f t="shared" si="35"/>
        <v>#N/A</v>
      </c>
      <c r="Y118" s="636"/>
      <c r="Z118" s="182"/>
      <c r="AA118" s="182"/>
      <c r="AB118" s="182"/>
      <c r="AC118" s="331" t="e">
        <f t="shared" si="36"/>
        <v>#N/A</v>
      </c>
      <c r="AD118" s="636"/>
      <c r="AE118" s="182"/>
      <c r="AF118" s="182"/>
      <c r="AG118" s="182"/>
      <c r="AH118" s="331" t="e">
        <f t="shared" si="37"/>
        <v>#N/A</v>
      </c>
      <c r="AI118" s="636"/>
      <c r="AJ118" s="182"/>
      <c r="AK118" s="182"/>
      <c r="AL118" s="182"/>
      <c r="AM118" s="331" t="e">
        <f t="shared" si="38"/>
        <v>#N/A</v>
      </c>
      <c r="AN118" s="636"/>
      <c r="AO118" s="182"/>
      <c r="AP118" s="182"/>
      <c r="AQ118" s="182"/>
      <c r="AR118" s="331" t="e">
        <f t="shared" si="39"/>
        <v>#N/A</v>
      </c>
      <c r="AS118" s="636"/>
      <c r="AT118" s="182"/>
      <c r="AU118" s="182"/>
      <c r="AV118" s="182"/>
      <c r="AW118" s="331" t="e">
        <f t="shared" si="40"/>
        <v>#N/A</v>
      </c>
      <c r="AX118" s="636"/>
      <c r="AZ118" s="524" t="e">
        <f t="shared" si="41"/>
        <v>#N/A</v>
      </c>
      <c r="BA118" s="636"/>
    </row>
    <row r="119" spans="2:53">
      <c r="B119" s="622"/>
      <c r="C119" s="306">
        <v>8</v>
      </c>
      <c r="D119" s="226"/>
      <c r="E119" s="182"/>
      <c r="F119" s="514"/>
      <c r="G119" s="515"/>
      <c r="H119" s="664"/>
      <c r="I119" s="516" t="str">
        <f t="shared" si="31"/>
        <v>-</v>
      </c>
      <c r="J119" s="516" t="str">
        <f t="shared" si="32"/>
        <v>-</v>
      </c>
      <c r="K119" s="200" t="str">
        <f t="shared" si="33"/>
        <v>-</v>
      </c>
      <c r="L119" s="596"/>
      <c r="M119" s="201" t="e">
        <f>RANK(K119, K$112:$K$141)</f>
        <v>#VALUE!</v>
      </c>
      <c r="N119" s="614"/>
      <c r="O119" s="614"/>
      <c r="P119" s="182"/>
      <c r="Q119" s="182"/>
      <c r="R119" s="182"/>
      <c r="S119" s="331" t="e">
        <f t="shared" si="34"/>
        <v>#N/A</v>
      </c>
      <c r="T119" s="636"/>
      <c r="U119" s="182"/>
      <c r="V119" s="182"/>
      <c r="W119" s="182"/>
      <c r="X119" s="331" t="e">
        <f t="shared" si="35"/>
        <v>#N/A</v>
      </c>
      <c r="Y119" s="636"/>
      <c r="Z119" s="182"/>
      <c r="AA119" s="182"/>
      <c r="AB119" s="182"/>
      <c r="AC119" s="331" t="e">
        <f t="shared" si="36"/>
        <v>#N/A</v>
      </c>
      <c r="AD119" s="636"/>
      <c r="AE119" s="182"/>
      <c r="AF119" s="182"/>
      <c r="AG119" s="182"/>
      <c r="AH119" s="331" t="e">
        <f t="shared" si="37"/>
        <v>#N/A</v>
      </c>
      <c r="AI119" s="636"/>
      <c r="AJ119" s="182"/>
      <c r="AK119" s="182"/>
      <c r="AL119" s="182"/>
      <c r="AM119" s="331" t="e">
        <f t="shared" si="38"/>
        <v>#N/A</v>
      </c>
      <c r="AN119" s="636"/>
      <c r="AO119" s="182"/>
      <c r="AP119" s="182"/>
      <c r="AQ119" s="182"/>
      <c r="AR119" s="331" t="e">
        <f t="shared" si="39"/>
        <v>#N/A</v>
      </c>
      <c r="AS119" s="636"/>
      <c r="AT119" s="182"/>
      <c r="AU119" s="182"/>
      <c r="AV119" s="182"/>
      <c r="AW119" s="331" t="e">
        <f t="shared" si="40"/>
        <v>#N/A</v>
      </c>
      <c r="AX119" s="636"/>
      <c r="AZ119" s="524" t="e">
        <f t="shared" si="41"/>
        <v>#N/A</v>
      </c>
      <c r="BA119" s="636"/>
    </row>
    <row r="120" spans="2:53">
      <c r="B120" s="622"/>
      <c r="C120" s="306">
        <v>9</v>
      </c>
      <c r="D120" s="226"/>
      <c r="E120" s="182"/>
      <c r="F120" s="514"/>
      <c r="G120" s="515"/>
      <c r="H120" s="664"/>
      <c r="I120" s="516" t="str">
        <f t="shared" si="31"/>
        <v>-</v>
      </c>
      <c r="J120" s="516" t="str">
        <f t="shared" si="32"/>
        <v>-</v>
      </c>
      <c r="K120" s="200" t="str">
        <f t="shared" si="33"/>
        <v>-</v>
      </c>
      <c r="L120" s="596"/>
      <c r="M120" s="201" t="e">
        <f>RANK(K120, K$112:$K$141)</f>
        <v>#VALUE!</v>
      </c>
      <c r="N120" s="614"/>
      <c r="O120" s="614"/>
      <c r="P120" s="182"/>
      <c r="Q120" s="182"/>
      <c r="R120" s="182"/>
      <c r="S120" s="331" t="e">
        <f t="shared" si="34"/>
        <v>#N/A</v>
      </c>
      <c r="T120" s="636"/>
      <c r="U120" s="182"/>
      <c r="V120" s="182"/>
      <c r="W120" s="182"/>
      <c r="X120" s="331" t="e">
        <f t="shared" si="35"/>
        <v>#N/A</v>
      </c>
      <c r="Y120" s="636"/>
      <c r="Z120" s="182"/>
      <c r="AA120" s="182"/>
      <c r="AB120" s="182"/>
      <c r="AC120" s="331" t="e">
        <f t="shared" si="36"/>
        <v>#N/A</v>
      </c>
      <c r="AD120" s="636"/>
      <c r="AE120" s="182"/>
      <c r="AF120" s="182"/>
      <c r="AG120" s="182"/>
      <c r="AH120" s="331" t="e">
        <f t="shared" si="37"/>
        <v>#N/A</v>
      </c>
      <c r="AI120" s="636"/>
      <c r="AJ120" s="182"/>
      <c r="AK120" s="182"/>
      <c r="AL120" s="182"/>
      <c r="AM120" s="331" t="e">
        <f t="shared" si="38"/>
        <v>#N/A</v>
      </c>
      <c r="AN120" s="636"/>
      <c r="AO120" s="182"/>
      <c r="AP120" s="182"/>
      <c r="AQ120" s="182"/>
      <c r="AR120" s="331" t="e">
        <f t="shared" si="39"/>
        <v>#N/A</v>
      </c>
      <c r="AS120" s="636"/>
      <c r="AT120" s="182"/>
      <c r="AU120" s="182"/>
      <c r="AV120" s="182"/>
      <c r="AW120" s="331" t="e">
        <f t="shared" si="40"/>
        <v>#N/A</v>
      </c>
      <c r="AX120" s="636"/>
      <c r="AZ120" s="524" t="e">
        <f t="shared" si="41"/>
        <v>#N/A</v>
      </c>
      <c r="BA120" s="636"/>
    </row>
    <row r="121" spans="2:53">
      <c r="B121" s="622"/>
      <c r="C121" s="306">
        <v>10</v>
      </c>
      <c r="D121" s="226"/>
      <c r="E121" s="182"/>
      <c r="F121" s="514"/>
      <c r="G121" s="515"/>
      <c r="H121" s="664"/>
      <c r="I121" s="516" t="str">
        <f t="shared" si="31"/>
        <v>-</v>
      </c>
      <c r="J121" s="516" t="str">
        <f t="shared" si="32"/>
        <v>-</v>
      </c>
      <c r="K121" s="200" t="str">
        <f t="shared" si="33"/>
        <v>-</v>
      </c>
      <c r="L121" s="596"/>
      <c r="M121" s="201" t="e">
        <f>RANK(K121, K$112:$K$141)</f>
        <v>#VALUE!</v>
      </c>
      <c r="N121" s="614"/>
      <c r="O121" s="614"/>
      <c r="P121" s="182"/>
      <c r="Q121" s="182"/>
      <c r="R121" s="182"/>
      <c r="S121" s="331" t="e">
        <f t="shared" si="34"/>
        <v>#N/A</v>
      </c>
      <c r="T121" s="636"/>
      <c r="U121" s="182"/>
      <c r="V121" s="182"/>
      <c r="W121" s="182"/>
      <c r="X121" s="331" t="e">
        <f t="shared" si="35"/>
        <v>#N/A</v>
      </c>
      <c r="Y121" s="636"/>
      <c r="Z121" s="182"/>
      <c r="AA121" s="182"/>
      <c r="AB121" s="182"/>
      <c r="AC121" s="331" t="e">
        <f t="shared" si="36"/>
        <v>#N/A</v>
      </c>
      <c r="AD121" s="636"/>
      <c r="AE121" s="182"/>
      <c r="AF121" s="182"/>
      <c r="AG121" s="182"/>
      <c r="AH121" s="331" t="e">
        <f t="shared" si="37"/>
        <v>#N/A</v>
      </c>
      <c r="AI121" s="636"/>
      <c r="AJ121" s="182"/>
      <c r="AK121" s="182"/>
      <c r="AL121" s="182"/>
      <c r="AM121" s="331" t="e">
        <f t="shared" si="38"/>
        <v>#N/A</v>
      </c>
      <c r="AN121" s="636"/>
      <c r="AO121" s="182"/>
      <c r="AP121" s="182"/>
      <c r="AQ121" s="182"/>
      <c r="AR121" s="331" t="e">
        <f t="shared" si="39"/>
        <v>#N/A</v>
      </c>
      <c r="AS121" s="636"/>
      <c r="AT121" s="182"/>
      <c r="AU121" s="182"/>
      <c r="AV121" s="182"/>
      <c r="AW121" s="331" t="e">
        <f t="shared" si="40"/>
        <v>#N/A</v>
      </c>
      <c r="AX121" s="636"/>
      <c r="AZ121" s="524" t="e">
        <f t="shared" si="41"/>
        <v>#N/A</v>
      </c>
      <c r="BA121" s="636"/>
    </row>
    <row r="122" spans="2:53">
      <c r="B122" s="622"/>
      <c r="C122" s="306">
        <v>11</v>
      </c>
      <c r="D122" s="226"/>
      <c r="E122" s="182"/>
      <c r="F122" s="514"/>
      <c r="G122" s="515"/>
      <c r="H122" s="664"/>
      <c r="I122" s="516" t="str">
        <f t="shared" si="31"/>
        <v>-</v>
      </c>
      <c r="J122" s="516" t="str">
        <f t="shared" si="32"/>
        <v>-</v>
      </c>
      <c r="K122" s="200" t="str">
        <f t="shared" si="33"/>
        <v>-</v>
      </c>
      <c r="L122" s="596"/>
      <c r="M122" s="201" t="e">
        <f>RANK(K122, K$112:$K$141)</f>
        <v>#VALUE!</v>
      </c>
      <c r="N122" s="614"/>
      <c r="O122" s="614"/>
      <c r="P122" s="182"/>
      <c r="Q122" s="182"/>
      <c r="R122" s="182"/>
      <c r="S122" s="331" t="e">
        <f t="shared" si="34"/>
        <v>#N/A</v>
      </c>
      <c r="T122" s="636"/>
      <c r="U122" s="182"/>
      <c r="V122" s="182"/>
      <c r="W122" s="182"/>
      <c r="X122" s="331" t="e">
        <f t="shared" si="35"/>
        <v>#N/A</v>
      </c>
      <c r="Y122" s="636"/>
      <c r="Z122" s="182"/>
      <c r="AA122" s="182"/>
      <c r="AB122" s="182"/>
      <c r="AC122" s="331" t="e">
        <f t="shared" si="36"/>
        <v>#N/A</v>
      </c>
      <c r="AD122" s="636"/>
      <c r="AE122" s="182"/>
      <c r="AF122" s="182"/>
      <c r="AG122" s="182"/>
      <c r="AH122" s="331" t="e">
        <f t="shared" si="37"/>
        <v>#N/A</v>
      </c>
      <c r="AI122" s="636"/>
      <c r="AJ122" s="182"/>
      <c r="AK122" s="182"/>
      <c r="AL122" s="182"/>
      <c r="AM122" s="331" t="e">
        <f t="shared" si="38"/>
        <v>#N/A</v>
      </c>
      <c r="AN122" s="636"/>
      <c r="AO122" s="182"/>
      <c r="AP122" s="182"/>
      <c r="AQ122" s="182"/>
      <c r="AR122" s="331" t="e">
        <f t="shared" si="39"/>
        <v>#N/A</v>
      </c>
      <c r="AS122" s="636"/>
      <c r="AT122" s="182"/>
      <c r="AU122" s="182"/>
      <c r="AV122" s="182"/>
      <c r="AW122" s="331" t="e">
        <f t="shared" si="40"/>
        <v>#N/A</v>
      </c>
      <c r="AX122" s="636"/>
      <c r="AZ122" s="524" t="e">
        <f t="shared" si="41"/>
        <v>#N/A</v>
      </c>
      <c r="BA122" s="636"/>
    </row>
    <row r="123" spans="2:53">
      <c r="B123" s="622"/>
      <c r="C123" s="306">
        <v>12</v>
      </c>
      <c r="D123" s="226"/>
      <c r="E123" s="182"/>
      <c r="F123" s="514"/>
      <c r="G123" s="515"/>
      <c r="H123" s="664"/>
      <c r="I123" s="516" t="str">
        <f t="shared" si="31"/>
        <v>-</v>
      </c>
      <c r="J123" s="516" t="str">
        <f t="shared" si="32"/>
        <v>-</v>
      </c>
      <c r="K123" s="200" t="str">
        <f t="shared" si="33"/>
        <v>-</v>
      </c>
      <c r="L123" s="596"/>
      <c r="M123" s="201" t="e">
        <f>RANK(K123, K$112:$K$141)</f>
        <v>#VALUE!</v>
      </c>
      <c r="N123" s="614"/>
      <c r="O123" s="614"/>
      <c r="P123" s="182"/>
      <c r="Q123" s="182"/>
      <c r="R123" s="182"/>
      <c r="S123" s="331" t="e">
        <f t="shared" si="34"/>
        <v>#N/A</v>
      </c>
      <c r="T123" s="636"/>
      <c r="U123" s="182"/>
      <c r="V123" s="182"/>
      <c r="W123" s="182"/>
      <c r="X123" s="331" t="e">
        <f t="shared" si="35"/>
        <v>#N/A</v>
      </c>
      <c r="Y123" s="636"/>
      <c r="Z123" s="182"/>
      <c r="AA123" s="182"/>
      <c r="AB123" s="182"/>
      <c r="AC123" s="331" t="e">
        <f t="shared" si="36"/>
        <v>#N/A</v>
      </c>
      <c r="AD123" s="636"/>
      <c r="AE123" s="182"/>
      <c r="AF123" s="182"/>
      <c r="AG123" s="182"/>
      <c r="AH123" s="331" t="e">
        <f t="shared" si="37"/>
        <v>#N/A</v>
      </c>
      <c r="AI123" s="636"/>
      <c r="AJ123" s="182"/>
      <c r="AK123" s="182"/>
      <c r="AL123" s="182"/>
      <c r="AM123" s="331" t="e">
        <f t="shared" si="38"/>
        <v>#N/A</v>
      </c>
      <c r="AN123" s="636"/>
      <c r="AO123" s="182"/>
      <c r="AP123" s="182"/>
      <c r="AQ123" s="182"/>
      <c r="AR123" s="331" t="e">
        <f t="shared" si="39"/>
        <v>#N/A</v>
      </c>
      <c r="AS123" s="636"/>
      <c r="AT123" s="182"/>
      <c r="AU123" s="182"/>
      <c r="AV123" s="182"/>
      <c r="AW123" s="331" t="e">
        <f t="shared" si="40"/>
        <v>#N/A</v>
      </c>
      <c r="AX123" s="636"/>
      <c r="AZ123" s="524" t="e">
        <f t="shared" si="41"/>
        <v>#N/A</v>
      </c>
      <c r="BA123" s="636"/>
    </row>
    <row r="124" spans="2:53">
      <c r="B124" s="622"/>
      <c r="C124" s="306">
        <v>13</v>
      </c>
      <c r="D124" s="226"/>
      <c r="E124" s="182"/>
      <c r="F124" s="514"/>
      <c r="G124" s="515"/>
      <c r="H124" s="664"/>
      <c r="I124" s="516" t="str">
        <f t="shared" si="31"/>
        <v>-</v>
      </c>
      <c r="J124" s="516" t="str">
        <f t="shared" si="32"/>
        <v>-</v>
      </c>
      <c r="K124" s="200" t="str">
        <f t="shared" si="33"/>
        <v>-</v>
      </c>
      <c r="L124" s="596"/>
      <c r="M124" s="201" t="e">
        <f>RANK(K124, K$112:$K$141)</f>
        <v>#VALUE!</v>
      </c>
      <c r="N124" s="614"/>
      <c r="O124" s="614"/>
      <c r="P124" s="182"/>
      <c r="Q124" s="182"/>
      <c r="R124" s="182"/>
      <c r="S124" s="331" t="e">
        <f t="shared" si="34"/>
        <v>#N/A</v>
      </c>
      <c r="T124" s="636"/>
      <c r="U124" s="182"/>
      <c r="V124" s="182"/>
      <c r="W124" s="182"/>
      <c r="X124" s="331" t="e">
        <f t="shared" si="35"/>
        <v>#N/A</v>
      </c>
      <c r="Y124" s="636"/>
      <c r="Z124" s="182"/>
      <c r="AA124" s="182"/>
      <c r="AB124" s="182"/>
      <c r="AC124" s="331" t="e">
        <f t="shared" si="36"/>
        <v>#N/A</v>
      </c>
      <c r="AD124" s="636"/>
      <c r="AE124" s="182"/>
      <c r="AF124" s="182"/>
      <c r="AG124" s="182"/>
      <c r="AH124" s="331" t="e">
        <f t="shared" si="37"/>
        <v>#N/A</v>
      </c>
      <c r="AI124" s="636"/>
      <c r="AJ124" s="182"/>
      <c r="AK124" s="182"/>
      <c r="AL124" s="182"/>
      <c r="AM124" s="331" t="e">
        <f t="shared" si="38"/>
        <v>#N/A</v>
      </c>
      <c r="AN124" s="636"/>
      <c r="AO124" s="182"/>
      <c r="AP124" s="182"/>
      <c r="AQ124" s="182"/>
      <c r="AR124" s="331" t="e">
        <f t="shared" si="39"/>
        <v>#N/A</v>
      </c>
      <c r="AS124" s="636"/>
      <c r="AT124" s="182"/>
      <c r="AU124" s="182"/>
      <c r="AV124" s="182"/>
      <c r="AW124" s="331" t="e">
        <f t="shared" si="40"/>
        <v>#N/A</v>
      </c>
      <c r="AX124" s="636"/>
      <c r="AZ124" s="524" t="e">
        <f t="shared" si="41"/>
        <v>#N/A</v>
      </c>
      <c r="BA124" s="636"/>
    </row>
    <row r="125" spans="2:53">
      <c r="B125" s="622"/>
      <c r="C125" s="306">
        <v>14</v>
      </c>
      <c r="D125" s="226"/>
      <c r="E125" s="182"/>
      <c r="F125" s="514"/>
      <c r="G125" s="515"/>
      <c r="H125" s="664"/>
      <c r="I125" s="516" t="str">
        <f t="shared" si="31"/>
        <v>-</v>
      </c>
      <c r="J125" s="516" t="str">
        <f t="shared" si="32"/>
        <v>-</v>
      </c>
      <c r="K125" s="200" t="str">
        <f t="shared" si="33"/>
        <v>-</v>
      </c>
      <c r="L125" s="596"/>
      <c r="M125" s="201" t="e">
        <f>RANK(K125, K$112:$K$141)</f>
        <v>#VALUE!</v>
      </c>
      <c r="N125" s="614"/>
      <c r="O125" s="614"/>
      <c r="P125" s="182"/>
      <c r="Q125" s="182"/>
      <c r="R125" s="182"/>
      <c r="S125" s="331" t="e">
        <f t="shared" si="34"/>
        <v>#N/A</v>
      </c>
      <c r="T125" s="636"/>
      <c r="U125" s="182"/>
      <c r="V125" s="182"/>
      <c r="W125" s="182"/>
      <c r="X125" s="331" t="e">
        <f t="shared" si="35"/>
        <v>#N/A</v>
      </c>
      <c r="Y125" s="636"/>
      <c r="Z125" s="182"/>
      <c r="AA125" s="182"/>
      <c r="AB125" s="182"/>
      <c r="AC125" s="331" t="e">
        <f t="shared" si="36"/>
        <v>#N/A</v>
      </c>
      <c r="AD125" s="636"/>
      <c r="AE125" s="182"/>
      <c r="AF125" s="182"/>
      <c r="AG125" s="182"/>
      <c r="AH125" s="331" t="e">
        <f t="shared" si="37"/>
        <v>#N/A</v>
      </c>
      <c r="AI125" s="636"/>
      <c r="AJ125" s="182"/>
      <c r="AK125" s="182"/>
      <c r="AL125" s="182"/>
      <c r="AM125" s="331" t="e">
        <f t="shared" si="38"/>
        <v>#N/A</v>
      </c>
      <c r="AN125" s="636"/>
      <c r="AO125" s="182"/>
      <c r="AP125" s="182"/>
      <c r="AQ125" s="182"/>
      <c r="AR125" s="331" t="e">
        <f t="shared" si="39"/>
        <v>#N/A</v>
      </c>
      <c r="AS125" s="636"/>
      <c r="AT125" s="182"/>
      <c r="AU125" s="182"/>
      <c r="AV125" s="182"/>
      <c r="AW125" s="331" t="e">
        <f t="shared" si="40"/>
        <v>#N/A</v>
      </c>
      <c r="AX125" s="636"/>
      <c r="AZ125" s="524" t="e">
        <f t="shared" si="41"/>
        <v>#N/A</v>
      </c>
      <c r="BA125" s="636"/>
    </row>
    <row r="126" spans="2:53">
      <c r="B126" s="622"/>
      <c r="C126" s="306">
        <v>15</v>
      </c>
      <c r="D126" s="226"/>
      <c r="E126" s="182"/>
      <c r="F126" s="514"/>
      <c r="G126" s="515"/>
      <c r="H126" s="664"/>
      <c r="I126" s="516" t="str">
        <f t="shared" si="31"/>
        <v>-</v>
      </c>
      <c r="J126" s="516" t="str">
        <f t="shared" si="32"/>
        <v>-</v>
      </c>
      <c r="K126" s="200" t="str">
        <f t="shared" si="33"/>
        <v>-</v>
      </c>
      <c r="L126" s="596"/>
      <c r="M126" s="201" t="e">
        <f>RANK(K126, K$112:$K$141)</f>
        <v>#VALUE!</v>
      </c>
      <c r="N126" s="614"/>
      <c r="O126" s="614"/>
      <c r="P126" s="182"/>
      <c r="Q126" s="182"/>
      <c r="R126" s="182"/>
      <c r="S126" s="331" t="e">
        <f t="shared" si="34"/>
        <v>#N/A</v>
      </c>
      <c r="T126" s="636"/>
      <c r="U126" s="182"/>
      <c r="V126" s="182"/>
      <c r="W126" s="182"/>
      <c r="X126" s="331" t="e">
        <f t="shared" si="35"/>
        <v>#N/A</v>
      </c>
      <c r="Y126" s="636"/>
      <c r="Z126" s="182"/>
      <c r="AA126" s="182"/>
      <c r="AB126" s="182"/>
      <c r="AC126" s="331" t="e">
        <f t="shared" si="36"/>
        <v>#N/A</v>
      </c>
      <c r="AD126" s="636"/>
      <c r="AE126" s="182"/>
      <c r="AF126" s="182"/>
      <c r="AG126" s="182"/>
      <c r="AH126" s="331" t="e">
        <f t="shared" si="37"/>
        <v>#N/A</v>
      </c>
      <c r="AI126" s="636"/>
      <c r="AJ126" s="182"/>
      <c r="AK126" s="182"/>
      <c r="AL126" s="182"/>
      <c r="AM126" s="331" t="e">
        <f t="shared" si="38"/>
        <v>#N/A</v>
      </c>
      <c r="AN126" s="636"/>
      <c r="AO126" s="182"/>
      <c r="AP126" s="182"/>
      <c r="AQ126" s="182"/>
      <c r="AR126" s="331" t="e">
        <f t="shared" si="39"/>
        <v>#N/A</v>
      </c>
      <c r="AS126" s="636"/>
      <c r="AT126" s="182"/>
      <c r="AU126" s="182"/>
      <c r="AV126" s="182"/>
      <c r="AW126" s="331" t="e">
        <f t="shared" si="40"/>
        <v>#N/A</v>
      </c>
      <c r="AX126" s="636"/>
      <c r="AZ126" s="524" t="e">
        <f t="shared" si="41"/>
        <v>#N/A</v>
      </c>
      <c r="BA126" s="636"/>
    </row>
    <row r="127" spans="2:53">
      <c r="B127" s="622"/>
      <c r="C127" s="306">
        <v>16</v>
      </c>
      <c r="D127" s="226"/>
      <c r="E127" s="182"/>
      <c r="F127" s="514"/>
      <c r="G127" s="515"/>
      <c r="H127" s="664"/>
      <c r="I127" s="516" t="str">
        <f t="shared" si="31"/>
        <v>-</v>
      </c>
      <c r="J127" s="516" t="str">
        <f t="shared" si="32"/>
        <v>-</v>
      </c>
      <c r="K127" s="200" t="str">
        <f t="shared" si="33"/>
        <v>-</v>
      </c>
      <c r="L127" s="596"/>
      <c r="M127" s="201" t="e">
        <f>RANK(K127, K$112:$K$141)</f>
        <v>#VALUE!</v>
      </c>
      <c r="N127" s="614"/>
      <c r="O127" s="614"/>
      <c r="P127" s="182"/>
      <c r="Q127" s="182"/>
      <c r="R127" s="182"/>
      <c r="S127" s="331" t="e">
        <f t="shared" si="34"/>
        <v>#N/A</v>
      </c>
      <c r="T127" s="636"/>
      <c r="U127" s="182"/>
      <c r="V127" s="182"/>
      <c r="W127" s="182"/>
      <c r="X127" s="331" t="e">
        <f t="shared" si="35"/>
        <v>#N/A</v>
      </c>
      <c r="Y127" s="636"/>
      <c r="Z127" s="182"/>
      <c r="AA127" s="182"/>
      <c r="AB127" s="182"/>
      <c r="AC127" s="331" t="e">
        <f t="shared" si="36"/>
        <v>#N/A</v>
      </c>
      <c r="AD127" s="636"/>
      <c r="AE127" s="182"/>
      <c r="AF127" s="182"/>
      <c r="AG127" s="182"/>
      <c r="AH127" s="331" t="e">
        <f t="shared" si="37"/>
        <v>#N/A</v>
      </c>
      <c r="AI127" s="636"/>
      <c r="AJ127" s="182"/>
      <c r="AK127" s="182"/>
      <c r="AL127" s="182"/>
      <c r="AM127" s="331" t="e">
        <f t="shared" si="38"/>
        <v>#N/A</v>
      </c>
      <c r="AN127" s="636"/>
      <c r="AO127" s="182"/>
      <c r="AP127" s="182"/>
      <c r="AQ127" s="182"/>
      <c r="AR127" s="331" t="e">
        <f t="shared" si="39"/>
        <v>#N/A</v>
      </c>
      <c r="AS127" s="636"/>
      <c r="AT127" s="182"/>
      <c r="AU127" s="182"/>
      <c r="AV127" s="182"/>
      <c r="AW127" s="331" t="e">
        <f t="shared" si="40"/>
        <v>#N/A</v>
      </c>
      <c r="AX127" s="636"/>
      <c r="AZ127" s="524" t="e">
        <f t="shared" si="41"/>
        <v>#N/A</v>
      </c>
      <c r="BA127" s="636"/>
    </row>
    <row r="128" spans="2:53">
      <c r="B128" s="622"/>
      <c r="C128" s="306">
        <v>17</v>
      </c>
      <c r="D128" s="226"/>
      <c r="E128" s="182"/>
      <c r="F128" s="514"/>
      <c r="G128" s="515"/>
      <c r="H128" s="664"/>
      <c r="I128" s="516" t="str">
        <f t="shared" si="31"/>
        <v>-</v>
      </c>
      <c r="J128" s="516" t="str">
        <f t="shared" si="32"/>
        <v>-</v>
      </c>
      <c r="K128" s="200" t="str">
        <f t="shared" si="33"/>
        <v>-</v>
      </c>
      <c r="L128" s="596"/>
      <c r="M128" s="201" t="e">
        <f>RANK(K128, K$112:$K$141)</f>
        <v>#VALUE!</v>
      </c>
      <c r="N128" s="614"/>
      <c r="O128" s="614"/>
      <c r="P128" s="182"/>
      <c r="Q128" s="182"/>
      <c r="R128" s="182"/>
      <c r="S128" s="331" t="e">
        <f t="shared" si="34"/>
        <v>#N/A</v>
      </c>
      <c r="T128" s="636"/>
      <c r="U128" s="182"/>
      <c r="V128" s="182"/>
      <c r="W128" s="182"/>
      <c r="X128" s="331" t="e">
        <f t="shared" si="35"/>
        <v>#N/A</v>
      </c>
      <c r="Y128" s="636"/>
      <c r="Z128" s="182"/>
      <c r="AA128" s="182"/>
      <c r="AB128" s="182"/>
      <c r="AC128" s="331" t="e">
        <f t="shared" si="36"/>
        <v>#N/A</v>
      </c>
      <c r="AD128" s="636"/>
      <c r="AE128" s="182"/>
      <c r="AF128" s="182"/>
      <c r="AG128" s="182"/>
      <c r="AH128" s="331" t="e">
        <f t="shared" si="37"/>
        <v>#N/A</v>
      </c>
      <c r="AI128" s="636"/>
      <c r="AJ128" s="182"/>
      <c r="AK128" s="182"/>
      <c r="AL128" s="182"/>
      <c r="AM128" s="331" t="e">
        <f t="shared" si="38"/>
        <v>#N/A</v>
      </c>
      <c r="AN128" s="636"/>
      <c r="AO128" s="182"/>
      <c r="AP128" s="182"/>
      <c r="AQ128" s="182"/>
      <c r="AR128" s="331" t="e">
        <f t="shared" si="39"/>
        <v>#N/A</v>
      </c>
      <c r="AS128" s="636"/>
      <c r="AT128" s="182"/>
      <c r="AU128" s="182"/>
      <c r="AV128" s="182"/>
      <c r="AW128" s="331" t="e">
        <f t="shared" si="40"/>
        <v>#N/A</v>
      </c>
      <c r="AX128" s="636"/>
      <c r="AZ128" s="524" t="e">
        <f t="shared" si="41"/>
        <v>#N/A</v>
      </c>
      <c r="BA128" s="636"/>
    </row>
    <row r="129" spans="2:53">
      <c r="B129" s="622"/>
      <c r="C129" s="306">
        <v>18</v>
      </c>
      <c r="D129" s="226"/>
      <c r="E129" s="182"/>
      <c r="F129" s="514"/>
      <c r="G129" s="515"/>
      <c r="H129" s="664"/>
      <c r="I129" s="516" t="str">
        <f t="shared" si="31"/>
        <v>-</v>
      </c>
      <c r="J129" s="516" t="str">
        <f t="shared" si="32"/>
        <v>-</v>
      </c>
      <c r="K129" s="200" t="str">
        <f t="shared" si="33"/>
        <v>-</v>
      </c>
      <c r="L129" s="596"/>
      <c r="M129" s="201" t="e">
        <f>RANK(K129, K$112:$K$141)</f>
        <v>#VALUE!</v>
      </c>
      <c r="N129" s="614"/>
      <c r="O129" s="614"/>
      <c r="P129" s="182"/>
      <c r="Q129" s="182"/>
      <c r="R129" s="182"/>
      <c r="S129" s="331" t="e">
        <f t="shared" si="34"/>
        <v>#N/A</v>
      </c>
      <c r="T129" s="636"/>
      <c r="U129" s="182"/>
      <c r="V129" s="182"/>
      <c r="W129" s="182"/>
      <c r="X129" s="331" t="e">
        <f t="shared" si="35"/>
        <v>#N/A</v>
      </c>
      <c r="Y129" s="636"/>
      <c r="Z129" s="182"/>
      <c r="AA129" s="182"/>
      <c r="AB129" s="182"/>
      <c r="AC129" s="331" t="e">
        <f t="shared" si="36"/>
        <v>#N/A</v>
      </c>
      <c r="AD129" s="636"/>
      <c r="AE129" s="182"/>
      <c r="AF129" s="182"/>
      <c r="AG129" s="182"/>
      <c r="AH129" s="331" t="e">
        <f t="shared" si="37"/>
        <v>#N/A</v>
      </c>
      <c r="AI129" s="636"/>
      <c r="AJ129" s="182"/>
      <c r="AK129" s="182"/>
      <c r="AL129" s="182"/>
      <c r="AM129" s="331" t="e">
        <f t="shared" si="38"/>
        <v>#N/A</v>
      </c>
      <c r="AN129" s="636"/>
      <c r="AO129" s="182"/>
      <c r="AP129" s="182"/>
      <c r="AQ129" s="182"/>
      <c r="AR129" s="331" t="e">
        <f t="shared" si="39"/>
        <v>#N/A</v>
      </c>
      <c r="AS129" s="636"/>
      <c r="AT129" s="182"/>
      <c r="AU129" s="182"/>
      <c r="AV129" s="182"/>
      <c r="AW129" s="331" t="e">
        <f t="shared" si="40"/>
        <v>#N/A</v>
      </c>
      <c r="AX129" s="636"/>
      <c r="AZ129" s="524" t="e">
        <f t="shared" si="41"/>
        <v>#N/A</v>
      </c>
      <c r="BA129" s="636"/>
    </row>
    <row r="130" spans="2:53">
      <c r="B130" s="622"/>
      <c r="C130" s="306">
        <v>19</v>
      </c>
      <c r="D130" s="226"/>
      <c r="E130" s="182"/>
      <c r="F130" s="514"/>
      <c r="G130" s="515"/>
      <c r="H130" s="664"/>
      <c r="I130" s="516" t="str">
        <f t="shared" si="31"/>
        <v>-</v>
      </c>
      <c r="J130" s="516" t="str">
        <f t="shared" si="32"/>
        <v>-</v>
      </c>
      <c r="K130" s="200" t="str">
        <f t="shared" si="33"/>
        <v>-</v>
      </c>
      <c r="L130" s="596"/>
      <c r="M130" s="201" t="e">
        <f>RANK(K130, K$112:$K$141)</f>
        <v>#VALUE!</v>
      </c>
      <c r="N130" s="614"/>
      <c r="O130" s="614"/>
      <c r="P130" s="182"/>
      <c r="Q130" s="182"/>
      <c r="R130" s="182"/>
      <c r="S130" s="331" t="e">
        <f t="shared" si="34"/>
        <v>#N/A</v>
      </c>
      <c r="T130" s="636"/>
      <c r="U130" s="182"/>
      <c r="V130" s="182"/>
      <c r="W130" s="182"/>
      <c r="X130" s="331" t="e">
        <f t="shared" si="35"/>
        <v>#N/A</v>
      </c>
      <c r="Y130" s="636"/>
      <c r="Z130" s="182"/>
      <c r="AA130" s="182"/>
      <c r="AB130" s="182"/>
      <c r="AC130" s="331" t="e">
        <f t="shared" si="36"/>
        <v>#N/A</v>
      </c>
      <c r="AD130" s="636"/>
      <c r="AE130" s="182"/>
      <c r="AF130" s="182"/>
      <c r="AG130" s="182"/>
      <c r="AH130" s="331" t="e">
        <f t="shared" si="37"/>
        <v>#N/A</v>
      </c>
      <c r="AI130" s="636"/>
      <c r="AJ130" s="182"/>
      <c r="AK130" s="182"/>
      <c r="AL130" s="182"/>
      <c r="AM130" s="331" t="e">
        <f t="shared" si="38"/>
        <v>#N/A</v>
      </c>
      <c r="AN130" s="636"/>
      <c r="AO130" s="182"/>
      <c r="AP130" s="182"/>
      <c r="AQ130" s="182"/>
      <c r="AR130" s="331" t="e">
        <f t="shared" si="39"/>
        <v>#N/A</v>
      </c>
      <c r="AS130" s="636"/>
      <c r="AT130" s="182"/>
      <c r="AU130" s="182"/>
      <c r="AV130" s="182"/>
      <c r="AW130" s="331" t="e">
        <f t="shared" si="40"/>
        <v>#N/A</v>
      </c>
      <c r="AX130" s="636"/>
      <c r="AZ130" s="524" t="e">
        <f t="shared" si="41"/>
        <v>#N/A</v>
      </c>
      <c r="BA130" s="636"/>
    </row>
    <row r="131" spans="2:53">
      <c r="B131" s="622"/>
      <c r="C131" s="306">
        <v>20</v>
      </c>
      <c r="D131" s="226"/>
      <c r="E131" s="182"/>
      <c r="F131" s="514"/>
      <c r="G131" s="515"/>
      <c r="H131" s="664"/>
      <c r="I131" s="516" t="str">
        <f t="shared" si="31"/>
        <v>-</v>
      </c>
      <c r="J131" s="516" t="str">
        <f t="shared" si="32"/>
        <v>-</v>
      </c>
      <c r="K131" s="200" t="str">
        <f t="shared" si="33"/>
        <v>-</v>
      </c>
      <c r="L131" s="596"/>
      <c r="M131" s="201" t="e">
        <f>RANK(K131, K$112:$K$141)</f>
        <v>#VALUE!</v>
      </c>
      <c r="N131" s="614"/>
      <c r="O131" s="614"/>
      <c r="P131" s="182"/>
      <c r="Q131" s="182"/>
      <c r="R131" s="182"/>
      <c r="S131" s="331" t="e">
        <f t="shared" si="34"/>
        <v>#N/A</v>
      </c>
      <c r="T131" s="636"/>
      <c r="U131" s="182"/>
      <c r="V131" s="182"/>
      <c r="W131" s="182"/>
      <c r="X131" s="331" t="e">
        <f t="shared" si="35"/>
        <v>#N/A</v>
      </c>
      <c r="Y131" s="636"/>
      <c r="Z131" s="182"/>
      <c r="AA131" s="182"/>
      <c r="AB131" s="182"/>
      <c r="AC131" s="331" t="e">
        <f t="shared" si="36"/>
        <v>#N/A</v>
      </c>
      <c r="AD131" s="636"/>
      <c r="AE131" s="182"/>
      <c r="AF131" s="182"/>
      <c r="AG131" s="182"/>
      <c r="AH131" s="331" t="e">
        <f t="shared" si="37"/>
        <v>#N/A</v>
      </c>
      <c r="AI131" s="636"/>
      <c r="AJ131" s="182"/>
      <c r="AK131" s="182"/>
      <c r="AL131" s="182"/>
      <c r="AM131" s="331" t="e">
        <f t="shared" si="38"/>
        <v>#N/A</v>
      </c>
      <c r="AN131" s="636"/>
      <c r="AO131" s="182"/>
      <c r="AP131" s="182"/>
      <c r="AQ131" s="182"/>
      <c r="AR131" s="331" t="e">
        <f t="shared" si="39"/>
        <v>#N/A</v>
      </c>
      <c r="AS131" s="636"/>
      <c r="AT131" s="182"/>
      <c r="AU131" s="182"/>
      <c r="AV131" s="182"/>
      <c r="AW131" s="331" t="e">
        <f t="shared" si="40"/>
        <v>#N/A</v>
      </c>
      <c r="AX131" s="636"/>
      <c r="AZ131" s="524" t="e">
        <f t="shared" si="41"/>
        <v>#N/A</v>
      </c>
      <c r="BA131" s="636"/>
    </row>
    <row r="132" spans="2:53">
      <c r="B132" s="622"/>
      <c r="C132" s="306">
        <v>21</v>
      </c>
      <c r="D132" s="226"/>
      <c r="E132" s="182"/>
      <c r="F132" s="514"/>
      <c r="G132" s="515"/>
      <c r="H132" s="664"/>
      <c r="I132" s="516" t="str">
        <f t="shared" si="31"/>
        <v>-</v>
      </c>
      <c r="J132" s="516" t="str">
        <f t="shared" si="32"/>
        <v>-</v>
      </c>
      <c r="K132" s="200" t="str">
        <f t="shared" si="33"/>
        <v>-</v>
      </c>
      <c r="L132" s="596"/>
      <c r="M132" s="201" t="e">
        <f>RANK(K132, K$112:$K$141)</f>
        <v>#VALUE!</v>
      </c>
      <c r="N132" s="614"/>
      <c r="O132" s="614"/>
      <c r="P132" s="182"/>
      <c r="Q132" s="182"/>
      <c r="R132" s="182"/>
      <c r="S132" s="331" t="e">
        <f t="shared" si="34"/>
        <v>#N/A</v>
      </c>
      <c r="T132" s="636"/>
      <c r="U132" s="182"/>
      <c r="V132" s="182"/>
      <c r="W132" s="182"/>
      <c r="X132" s="331" t="e">
        <f t="shared" si="35"/>
        <v>#N/A</v>
      </c>
      <c r="Y132" s="636"/>
      <c r="Z132" s="182"/>
      <c r="AA132" s="182"/>
      <c r="AB132" s="182"/>
      <c r="AC132" s="331" t="e">
        <f t="shared" si="36"/>
        <v>#N/A</v>
      </c>
      <c r="AD132" s="636"/>
      <c r="AE132" s="182"/>
      <c r="AF132" s="182"/>
      <c r="AG132" s="182"/>
      <c r="AH132" s="331" t="e">
        <f t="shared" si="37"/>
        <v>#N/A</v>
      </c>
      <c r="AI132" s="636"/>
      <c r="AJ132" s="182"/>
      <c r="AK132" s="182"/>
      <c r="AL132" s="182"/>
      <c r="AM132" s="331" t="e">
        <f t="shared" si="38"/>
        <v>#N/A</v>
      </c>
      <c r="AN132" s="636"/>
      <c r="AO132" s="182"/>
      <c r="AP132" s="182"/>
      <c r="AQ132" s="182"/>
      <c r="AR132" s="331" t="e">
        <f t="shared" si="39"/>
        <v>#N/A</v>
      </c>
      <c r="AS132" s="636"/>
      <c r="AT132" s="182"/>
      <c r="AU132" s="182"/>
      <c r="AV132" s="182"/>
      <c r="AW132" s="331" t="e">
        <f t="shared" si="40"/>
        <v>#N/A</v>
      </c>
      <c r="AX132" s="636"/>
      <c r="AZ132" s="524" t="e">
        <f t="shared" si="41"/>
        <v>#N/A</v>
      </c>
      <c r="BA132" s="636"/>
    </row>
    <row r="133" spans="2:53">
      <c r="B133" s="622"/>
      <c r="C133" s="306">
        <v>22</v>
      </c>
      <c r="D133" s="226"/>
      <c r="E133" s="182"/>
      <c r="F133" s="514"/>
      <c r="G133" s="515"/>
      <c r="H133" s="664"/>
      <c r="I133" s="516" t="str">
        <f t="shared" si="31"/>
        <v>-</v>
      </c>
      <c r="J133" s="516" t="str">
        <f t="shared" si="32"/>
        <v>-</v>
      </c>
      <c r="K133" s="200" t="str">
        <f t="shared" si="33"/>
        <v>-</v>
      </c>
      <c r="L133" s="596"/>
      <c r="M133" s="201" t="e">
        <f>RANK(K133, K$112:$K$141)</f>
        <v>#VALUE!</v>
      </c>
      <c r="N133" s="614"/>
      <c r="O133" s="614"/>
      <c r="P133" s="182"/>
      <c r="Q133" s="182"/>
      <c r="R133" s="182"/>
      <c r="S133" s="331" t="e">
        <f t="shared" si="34"/>
        <v>#N/A</v>
      </c>
      <c r="T133" s="636"/>
      <c r="U133" s="182"/>
      <c r="V133" s="182"/>
      <c r="W133" s="182"/>
      <c r="X133" s="331" t="e">
        <f t="shared" si="35"/>
        <v>#N/A</v>
      </c>
      <c r="Y133" s="636"/>
      <c r="Z133" s="182"/>
      <c r="AA133" s="182"/>
      <c r="AB133" s="182"/>
      <c r="AC133" s="331" t="e">
        <f t="shared" si="36"/>
        <v>#N/A</v>
      </c>
      <c r="AD133" s="636"/>
      <c r="AE133" s="182"/>
      <c r="AF133" s="182"/>
      <c r="AG133" s="182"/>
      <c r="AH133" s="331" t="e">
        <f t="shared" si="37"/>
        <v>#N/A</v>
      </c>
      <c r="AI133" s="636"/>
      <c r="AJ133" s="182"/>
      <c r="AK133" s="182"/>
      <c r="AL133" s="182"/>
      <c r="AM133" s="331" t="e">
        <f t="shared" si="38"/>
        <v>#N/A</v>
      </c>
      <c r="AN133" s="636"/>
      <c r="AO133" s="182"/>
      <c r="AP133" s="182"/>
      <c r="AQ133" s="182"/>
      <c r="AR133" s="331" t="e">
        <f t="shared" si="39"/>
        <v>#N/A</v>
      </c>
      <c r="AS133" s="636"/>
      <c r="AT133" s="182"/>
      <c r="AU133" s="182"/>
      <c r="AV133" s="182"/>
      <c r="AW133" s="331" t="e">
        <f t="shared" si="40"/>
        <v>#N/A</v>
      </c>
      <c r="AX133" s="636"/>
      <c r="AZ133" s="524" t="e">
        <f t="shared" si="41"/>
        <v>#N/A</v>
      </c>
      <c r="BA133" s="636"/>
    </row>
    <row r="134" spans="2:53">
      <c r="B134" s="622"/>
      <c r="C134" s="306">
        <v>23</v>
      </c>
      <c r="D134" s="226"/>
      <c r="E134" s="182"/>
      <c r="F134" s="514"/>
      <c r="G134" s="515"/>
      <c r="H134" s="664"/>
      <c r="I134" s="516" t="str">
        <f t="shared" si="31"/>
        <v>-</v>
      </c>
      <c r="J134" s="516" t="str">
        <f t="shared" si="32"/>
        <v>-</v>
      </c>
      <c r="K134" s="200" t="str">
        <f t="shared" si="33"/>
        <v>-</v>
      </c>
      <c r="L134" s="596"/>
      <c r="M134" s="201" t="e">
        <f>RANK(K134, K$112:$K$141)</f>
        <v>#VALUE!</v>
      </c>
      <c r="N134" s="614"/>
      <c r="O134" s="614"/>
      <c r="P134" s="182"/>
      <c r="Q134" s="182"/>
      <c r="R134" s="182"/>
      <c r="S134" s="331" t="e">
        <f t="shared" si="34"/>
        <v>#N/A</v>
      </c>
      <c r="T134" s="636"/>
      <c r="U134" s="182"/>
      <c r="V134" s="182"/>
      <c r="W134" s="182"/>
      <c r="X134" s="331" t="e">
        <f t="shared" si="35"/>
        <v>#N/A</v>
      </c>
      <c r="Y134" s="636"/>
      <c r="Z134" s="182"/>
      <c r="AA134" s="182"/>
      <c r="AB134" s="182"/>
      <c r="AC134" s="331" t="e">
        <f t="shared" si="36"/>
        <v>#N/A</v>
      </c>
      <c r="AD134" s="636"/>
      <c r="AE134" s="182"/>
      <c r="AF134" s="182"/>
      <c r="AG134" s="182"/>
      <c r="AH134" s="331" t="e">
        <f t="shared" si="37"/>
        <v>#N/A</v>
      </c>
      <c r="AI134" s="636"/>
      <c r="AJ134" s="182"/>
      <c r="AK134" s="182"/>
      <c r="AL134" s="182"/>
      <c r="AM134" s="331" t="e">
        <f t="shared" si="38"/>
        <v>#N/A</v>
      </c>
      <c r="AN134" s="636"/>
      <c r="AO134" s="182"/>
      <c r="AP134" s="182"/>
      <c r="AQ134" s="182"/>
      <c r="AR134" s="331" t="e">
        <f t="shared" si="39"/>
        <v>#N/A</v>
      </c>
      <c r="AS134" s="636"/>
      <c r="AT134" s="182"/>
      <c r="AU134" s="182"/>
      <c r="AV134" s="182"/>
      <c r="AW134" s="331" t="e">
        <f t="shared" si="40"/>
        <v>#N/A</v>
      </c>
      <c r="AX134" s="636"/>
      <c r="AZ134" s="524" t="e">
        <f t="shared" si="41"/>
        <v>#N/A</v>
      </c>
      <c r="BA134" s="636"/>
    </row>
    <row r="135" spans="2:53">
      <c r="B135" s="622"/>
      <c r="C135" s="306">
        <v>24</v>
      </c>
      <c r="D135" s="226"/>
      <c r="E135" s="182"/>
      <c r="F135" s="514"/>
      <c r="G135" s="515"/>
      <c r="H135" s="664"/>
      <c r="I135" s="516" t="str">
        <f t="shared" si="31"/>
        <v>-</v>
      </c>
      <c r="J135" s="516" t="str">
        <f t="shared" si="32"/>
        <v>-</v>
      </c>
      <c r="K135" s="200" t="str">
        <f t="shared" si="33"/>
        <v>-</v>
      </c>
      <c r="L135" s="596"/>
      <c r="M135" s="201" t="e">
        <f>RANK(K135, K$112:$K$141)</f>
        <v>#VALUE!</v>
      </c>
      <c r="N135" s="614"/>
      <c r="O135" s="614"/>
      <c r="P135" s="514"/>
      <c r="Q135" s="515"/>
      <c r="R135" s="515"/>
      <c r="S135" s="331" t="e">
        <f t="shared" si="34"/>
        <v>#N/A</v>
      </c>
      <c r="T135" s="636"/>
      <c r="U135" s="514"/>
      <c r="V135" s="515"/>
      <c r="W135" s="515"/>
      <c r="X135" s="331" t="e">
        <f t="shared" si="35"/>
        <v>#N/A</v>
      </c>
      <c r="Y135" s="636"/>
      <c r="Z135" s="514"/>
      <c r="AA135" s="515"/>
      <c r="AB135" s="515"/>
      <c r="AC135" s="331" t="e">
        <f t="shared" si="36"/>
        <v>#N/A</v>
      </c>
      <c r="AD135" s="636"/>
      <c r="AE135" s="514"/>
      <c r="AF135" s="515"/>
      <c r="AG135" s="515"/>
      <c r="AH135" s="331" t="e">
        <f t="shared" si="37"/>
        <v>#N/A</v>
      </c>
      <c r="AI135" s="636"/>
      <c r="AJ135" s="514"/>
      <c r="AK135" s="515"/>
      <c r="AL135" s="515"/>
      <c r="AM135" s="331" t="e">
        <f t="shared" si="38"/>
        <v>#N/A</v>
      </c>
      <c r="AN135" s="636"/>
      <c r="AO135" s="514"/>
      <c r="AP135" s="515"/>
      <c r="AQ135" s="515"/>
      <c r="AR135" s="331" t="e">
        <f t="shared" si="39"/>
        <v>#N/A</v>
      </c>
      <c r="AS135" s="636"/>
      <c r="AT135" s="514"/>
      <c r="AU135" s="515"/>
      <c r="AV135" s="515"/>
      <c r="AW135" s="331" t="e">
        <f t="shared" si="40"/>
        <v>#N/A</v>
      </c>
      <c r="AX135" s="636"/>
      <c r="AZ135" s="524" t="e">
        <f t="shared" si="41"/>
        <v>#N/A</v>
      </c>
      <c r="BA135" s="636"/>
    </row>
    <row r="136" spans="2:53">
      <c r="B136" s="622"/>
      <c r="C136" s="306">
        <v>25</v>
      </c>
      <c r="D136" s="226"/>
      <c r="E136" s="182"/>
      <c r="F136" s="514"/>
      <c r="G136" s="515"/>
      <c r="H136" s="664"/>
      <c r="I136" s="516" t="str">
        <f t="shared" si="31"/>
        <v>-</v>
      </c>
      <c r="J136" s="516" t="str">
        <f t="shared" si="32"/>
        <v>-</v>
      </c>
      <c r="K136" s="200" t="str">
        <f t="shared" si="33"/>
        <v>-</v>
      </c>
      <c r="L136" s="596"/>
      <c r="M136" s="201" t="e">
        <f>RANK(K136, K$112:$K$141)</f>
        <v>#VALUE!</v>
      </c>
      <c r="N136" s="614"/>
      <c r="O136" s="614"/>
      <c r="P136" s="514"/>
      <c r="Q136" s="515"/>
      <c r="R136" s="515"/>
      <c r="S136" s="331" t="e">
        <f t="shared" si="34"/>
        <v>#N/A</v>
      </c>
      <c r="T136" s="636"/>
      <c r="U136" s="514"/>
      <c r="V136" s="515"/>
      <c r="W136" s="515"/>
      <c r="X136" s="331" t="e">
        <f t="shared" si="35"/>
        <v>#N/A</v>
      </c>
      <c r="Y136" s="636"/>
      <c r="Z136" s="514"/>
      <c r="AA136" s="515"/>
      <c r="AB136" s="515"/>
      <c r="AC136" s="331" t="e">
        <f t="shared" si="36"/>
        <v>#N/A</v>
      </c>
      <c r="AD136" s="636"/>
      <c r="AE136" s="514"/>
      <c r="AF136" s="515"/>
      <c r="AG136" s="515"/>
      <c r="AH136" s="331" t="e">
        <f t="shared" si="37"/>
        <v>#N/A</v>
      </c>
      <c r="AI136" s="636"/>
      <c r="AJ136" s="514"/>
      <c r="AK136" s="515"/>
      <c r="AL136" s="515"/>
      <c r="AM136" s="331" t="e">
        <f t="shared" si="38"/>
        <v>#N/A</v>
      </c>
      <c r="AN136" s="636"/>
      <c r="AO136" s="514"/>
      <c r="AP136" s="515"/>
      <c r="AQ136" s="515"/>
      <c r="AR136" s="331" t="e">
        <f t="shared" si="39"/>
        <v>#N/A</v>
      </c>
      <c r="AS136" s="636"/>
      <c r="AT136" s="514"/>
      <c r="AU136" s="515"/>
      <c r="AV136" s="515"/>
      <c r="AW136" s="331" t="e">
        <f t="shared" si="40"/>
        <v>#N/A</v>
      </c>
      <c r="AX136" s="636"/>
      <c r="AZ136" s="524" t="e">
        <f t="shared" si="41"/>
        <v>#N/A</v>
      </c>
      <c r="BA136" s="636"/>
    </row>
    <row r="137" spans="2:53">
      <c r="B137" s="622"/>
      <c r="C137" s="306">
        <v>26</v>
      </c>
      <c r="D137" s="226"/>
      <c r="E137" s="182"/>
      <c r="F137" s="514"/>
      <c r="G137" s="515"/>
      <c r="H137" s="664"/>
      <c r="I137" s="516" t="str">
        <f t="shared" si="31"/>
        <v>-</v>
      </c>
      <c r="J137" s="516" t="str">
        <f t="shared" si="32"/>
        <v>-</v>
      </c>
      <c r="K137" s="200" t="str">
        <f t="shared" si="33"/>
        <v>-</v>
      </c>
      <c r="L137" s="596"/>
      <c r="M137" s="201" t="e">
        <f>RANK(K137, K$112:$K$141)</f>
        <v>#VALUE!</v>
      </c>
      <c r="N137" s="614"/>
      <c r="O137" s="614"/>
      <c r="P137" s="514"/>
      <c r="Q137" s="515"/>
      <c r="R137" s="515"/>
      <c r="S137" s="331" t="e">
        <f t="shared" si="34"/>
        <v>#N/A</v>
      </c>
      <c r="T137" s="636"/>
      <c r="U137" s="514"/>
      <c r="V137" s="515"/>
      <c r="W137" s="515"/>
      <c r="X137" s="331" t="e">
        <f t="shared" si="35"/>
        <v>#N/A</v>
      </c>
      <c r="Y137" s="636"/>
      <c r="Z137" s="514"/>
      <c r="AA137" s="515"/>
      <c r="AB137" s="515"/>
      <c r="AC137" s="331" t="e">
        <f t="shared" si="36"/>
        <v>#N/A</v>
      </c>
      <c r="AD137" s="636"/>
      <c r="AE137" s="514"/>
      <c r="AF137" s="515"/>
      <c r="AG137" s="515"/>
      <c r="AH137" s="331" t="e">
        <f t="shared" si="37"/>
        <v>#N/A</v>
      </c>
      <c r="AI137" s="636"/>
      <c r="AJ137" s="514"/>
      <c r="AK137" s="515"/>
      <c r="AL137" s="515"/>
      <c r="AM137" s="331" t="e">
        <f t="shared" si="38"/>
        <v>#N/A</v>
      </c>
      <c r="AN137" s="636"/>
      <c r="AO137" s="514"/>
      <c r="AP137" s="515"/>
      <c r="AQ137" s="515"/>
      <c r="AR137" s="331" t="e">
        <f t="shared" si="39"/>
        <v>#N/A</v>
      </c>
      <c r="AS137" s="636"/>
      <c r="AT137" s="514"/>
      <c r="AU137" s="515"/>
      <c r="AV137" s="515"/>
      <c r="AW137" s="331" t="e">
        <f t="shared" si="40"/>
        <v>#N/A</v>
      </c>
      <c r="AX137" s="636"/>
      <c r="AZ137" s="524" t="e">
        <f t="shared" si="41"/>
        <v>#N/A</v>
      </c>
      <c r="BA137" s="636"/>
    </row>
    <row r="138" spans="2:53">
      <c r="B138" s="622"/>
      <c r="C138" s="306">
        <v>27</v>
      </c>
      <c r="D138" s="226"/>
      <c r="E138" s="182"/>
      <c r="F138" s="514"/>
      <c r="G138" s="515"/>
      <c r="H138" s="664"/>
      <c r="I138" s="516" t="str">
        <f t="shared" si="31"/>
        <v>-</v>
      </c>
      <c r="J138" s="516" t="str">
        <f t="shared" si="32"/>
        <v>-</v>
      </c>
      <c r="K138" s="200" t="str">
        <f t="shared" si="33"/>
        <v>-</v>
      </c>
      <c r="L138" s="596"/>
      <c r="M138" s="201" t="e">
        <f>RANK(K138, K$112:$K$141)</f>
        <v>#VALUE!</v>
      </c>
      <c r="N138" s="614"/>
      <c r="O138" s="614"/>
      <c r="P138" s="514"/>
      <c r="Q138" s="515"/>
      <c r="R138" s="515"/>
      <c r="S138" s="331" t="e">
        <f t="shared" si="34"/>
        <v>#N/A</v>
      </c>
      <c r="T138" s="636"/>
      <c r="U138" s="514"/>
      <c r="V138" s="515"/>
      <c r="W138" s="515"/>
      <c r="X138" s="331" t="e">
        <f t="shared" si="35"/>
        <v>#N/A</v>
      </c>
      <c r="Y138" s="636"/>
      <c r="Z138" s="514"/>
      <c r="AA138" s="515"/>
      <c r="AB138" s="515"/>
      <c r="AC138" s="331" t="e">
        <f t="shared" si="36"/>
        <v>#N/A</v>
      </c>
      <c r="AD138" s="636"/>
      <c r="AE138" s="514"/>
      <c r="AF138" s="515"/>
      <c r="AG138" s="515"/>
      <c r="AH138" s="331" t="e">
        <f t="shared" si="37"/>
        <v>#N/A</v>
      </c>
      <c r="AI138" s="636"/>
      <c r="AJ138" s="514"/>
      <c r="AK138" s="515"/>
      <c r="AL138" s="515"/>
      <c r="AM138" s="331" t="e">
        <f t="shared" si="38"/>
        <v>#N/A</v>
      </c>
      <c r="AN138" s="636"/>
      <c r="AO138" s="514"/>
      <c r="AP138" s="515"/>
      <c r="AQ138" s="515"/>
      <c r="AR138" s="331" t="e">
        <f t="shared" si="39"/>
        <v>#N/A</v>
      </c>
      <c r="AS138" s="636"/>
      <c r="AT138" s="514"/>
      <c r="AU138" s="515"/>
      <c r="AV138" s="515"/>
      <c r="AW138" s="331" t="e">
        <f t="shared" si="40"/>
        <v>#N/A</v>
      </c>
      <c r="AX138" s="636"/>
      <c r="AZ138" s="524" t="e">
        <f t="shared" si="41"/>
        <v>#N/A</v>
      </c>
      <c r="BA138" s="636"/>
    </row>
    <row r="139" spans="2:53">
      <c r="B139" s="622"/>
      <c r="C139" s="306">
        <v>28</v>
      </c>
      <c r="D139" s="226"/>
      <c r="E139" s="182"/>
      <c r="F139" s="514"/>
      <c r="G139" s="515"/>
      <c r="H139" s="664"/>
      <c r="I139" s="516" t="str">
        <f t="shared" si="31"/>
        <v>-</v>
      </c>
      <c r="J139" s="516" t="str">
        <f t="shared" si="32"/>
        <v>-</v>
      </c>
      <c r="K139" s="200" t="str">
        <f t="shared" si="33"/>
        <v>-</v>
      </c>
      <c r="L139" s="596"/>
      <c r="M139" s="201" t="e">
        <f>RANK(K139, K$112:$K$141)</f>
        <v>#VALUE!</v>
      </c>
      <c r="N139" s="614"/>
      <c r="O139" s="614"/>
      <c r="P139" s="514"/>
      <c r="Q139" s="515"/>
      <c r="R139" s="515"/>
      <c r="S139" s="331" t="e">
        <f t="shared" si="34"/>
        <v>#N/A</v>
      </c>
      <c r="T139" s="636"/>
      <c r="U139" s="514"/>
      <c r="V139" s="515"/>
      <c r="W139" s="515"/>
      <c r="X139" s="331" t="e">
        <f t="shared" si="35"/>
        <v>#N/A</v>
      </c>
      <c r="Y139" s="636"/>
      <c r="Z139" s="514"/>
      <c r="AA139" s="515"/>
      <c r="AB139" s="515"/>
      <c r="AC139" s="331" t="e">
        <f t="shared" si="36"/>
        <v>#N/A</v>
      </c>
      <c r="AD139" s="636"/>
      <c r="AE139" s="514"/>
      <c r="AF139" s="515"/>
      <c r="AG139" s="515"/>
      <c r="AH139" s="331" t="e">
        <f t="shared" si="37"/>
        <v>#N/A</v>
      </c>
      <c r="AI139" s="636"/>
      <c r="AJ139" s="514"/>
      <c r="AK139" s="515"/>
      <c r="AL139" s="515"/>
      <c r="AM139" s="331" t="e">
        <f t="shared" si="38"/>
        <v>#N/A</v>
      </c>
      <c r="AN139" s="636"/>
      <c r="AO139" s="514"/>
      <c r="AP139" s="515"/>
      <c r="AQ139" s="515"/>
      <c r="AR139" s="331" t="e">
        <f t="shared" si="39"/>
        <v>#N/A</v>
      </c>
      <c r="AS139" s="636"/>
      <c r="AT139" s="514"/>
      <c r="AU139" s="515"/>
      <c r="AV139" s="515"/>
      <c r="AW139" s="331" t="e">
        <f t="shared" si="40"/>
        <v>#N/A</v>
      </c>
      <c r="AX139" s="636"/>
      <c r="AZ139" s="524" t="e">
        <f t="shared" si="41"/>
        <v>#N/A</v>
      </c>
      <c r="BA139" s="636"/>
    </row>
    <row r="140" spans="2:53">
      <c r="B140" s="622"/>
      <c r="C140" s="306">
        <v>29</v>
      </c>
      <c r="D140" s="226"/>
      <c r="E140" s="182"/>
      <c r="F140" s="514"/>
      <c r="G140" s="515"/>
      <c r="H140" s="664"/>
      <c r="I140" s="516" t="str">
        <f t="shared" si="31"/>
        <v>-</v>
      </c>
      <c r="J140" s="516" t="str">
        <f t="shared" si="32"/>
        <v>-</v>
      </c>
      <c r="K140" s="200" t="str">
        <f t="shared" si="33"/>
        <v>-</v>
      </c>
      <c r="L140" s="596"/>
      <c r="M140" s="201" t="e">
        <f>RANK(K140, K$112:$K$141)</f>
        <v>#VALUE!</v>
      </c>
      <c r="N140" s="614"/>
      <c r="O140" s="614"/>
      <c r="P140" s="514"/>
      <c r="Q140" s="514"/>
      <c r="R140" s="514"/>
      <c r="S140" s="331" t="e">
        <f t="shared" si="34"/>
        <v>#N/A</v>
      </c>
      <c r="T140" s="636"/>
      <c r="U140" s="514"/>
      <c r="V140" s="514"/>
      <c r="W140" s="514"/>
      <c r="X140" s="331" t="e">
        <f t="shared" si="35"/>
        <v>#N/A</v>
      </c>
      <c r="Y140" s="636"/>
      <c r="Z140" s="514"/>
      <c r="AA140" s="514"/>
      <c r="AB140" s="514"/>
      <c r="AC140" s="331" t="e">
        <f t="shared" si="36"/>
        <v>#N/A</v>
      </c>
      <c r="AD140" s="636"/>
      <c r="AE140" s="514"/>
      <c r="AF140" s="514"/>
      <c r="AG140" s="514"/>
      <c r="AH140" s="331" t="e">
        <f t="shared" si="37"/>
        <v>#N/A</v>
      </c>
      <c r="AI140" s="636"/>
      <c r="AJ140" s="514"/>
      <c r="AK140" s="514"/>
      <c r="AL140" s="514"/>
      <c r="AM140" s="331" t="e">
        <f t="shared" si="38"/>
        <v>#N/A</v>
      </c>
      <c r="AN140" s="636"/>
      <c r="AO140" s="514"/>
      <c r="AP140" s="514"/>
      <c r="AQ140" s="514"/>
      <c r="AR140" s="331" t="e">
        <f t="shared" si="39"/>
        <v>#N/A</v>
      </c>
      <c r="AS140" s="636"/>
      <c r="AT140" s="514"/>
      <c r="AU140" s="514"/>
      <c r="AV140" s="514"/>
      <c r="AW140" s="331" t="e">
        <f t="shared" si="40"/>
        <v>#N/A</v>
      </c>
      <c r="AX140" s="636"/>
      <c r="AZ140" s="524" t="e">
        <f t="shared" si="41"/>
        <v>#N/A</v>
      </c>
      <c r="BA140" s="636"/>
    </row>
    <row r="141" spans="2:53">
      <c r="B141" s="622"/>
      <c r="C141" s="306">
        <v>30</v>
      </c>
      <c r="D141" s="226"/>
      <c r="E141" s="182"/>
      <c r="F141" s="514"/>
      <c r="G141" s="515"/>
      <c r="H141" s="665"/>
      <c r="I141" s="516" t="str">
        <f t="shared" si="31"/>
        <v>-</v>
      </c>
      <c r="J141" s="516" t="str">
        <f t="shared" si="32"/>
        <v>-</v>
      </c>
      <c r="K141" s="200" t="str">
        <f t="shared" si="33"/>
        <v>-</v>
      </c>
      <c r="L141" s="597"/>
      <c r="M141" s="201" t="e">
        <f>RANK(K141, K$112:$K$141)</f>
        <v>#VALUE!</v>
      </c>
      <c r="N141" s="614"/>
      <c r="O141" s="614"/>
      <c r="P141" s="514"/>
      <c r="Q141" s="514"/>
      <c r="R141" s="514"/>
      <c r="S141" s="331" t="e">
        <f t="shared" si="34"/>
        <v>#N/A</v>
      </c>
      <c r="T141" s="636"/>
      <c r="U141" s="514"/>
      <c r="V141" s="514"/>
      <c r="W141" s="514"/>
      <c r="X141" s="331" t="e">
        <f t="shared" si="35"/>
        <v>#N/A</v>
      </c>
      <c r="Y141" s="636"/>
      <c r="Z141" s="514"/>
      <c r="AA141" s="514"/>
      <c r="AB141" s="514"/>
      <c r="AC141" s="331" t="e">
        <f t="shared" si="36"/>
        <v>#N/A</v>
      </c>
      <c r="AD141" s="636"/>
      <c r="AE141" s="514"/>
      <c r="AF141" s="514"/>
      <c r="AG141" s="514"/>
      <c r="AH141" s="331" t="e">
        <f t="shared" si="37"/>
        <v>#N/A</v>
      </c>
      <c r="AI141" s="636"/>
      <c r="AJ141" s="514"/>
      <c r="AK141" s="514"/>
      <c r="AL141" s="514"/>
      <c r="AM141" s="331" t="e">
        <f t="shared" si="38"/>
        <v>#N/A</v>
      </c>
      <c r="AN141" s="636"/>
      <c r="AO141" s="514"/>
      <c r="AP141" s="514"/>
      <c r="AQ141" s="514"/>
      <c r="AR141" s="331" t="e">
        <f t="shared" si="39"/>
        <v>#N/A</v>
      </c>
      <c r="AS141" s="636"/>
      <c r="AT141" s="514"/>
      <c r="AU141" s="514"/>
      <c r="AV141" s="514"/>
      <c r="AW141" s="331" t="e">
        <f t="shared" si="40"/>
        <v>#N/A</v>
      </c>
      <c r="AX141" s="636"/>
      <c r="AZ141" s="524" t="e">
        <f t="shared" si="41"/>
        <v>#N/A</v>
      </c>
      <c r="BA141" s="636"/>
    </row>
    <row r="142" spans="2:53" ht="15.75">
      <c r="B142" s="626" t="s">
        <v>163</v>
      </c>
      <c r="C142" s="627"/>
      <c r="D142" s="627"/>
      <c r="E142" s="627"/>
      <c r="F142" s="627"/>
      <c r="G142" s="627"/>
      <c r="H142" s="628"/>
      <c r="I142" s="208"/>
      <c r="J142" s="208"/>
      <c r="K142" s="208"/>
      <c r="L142" s="208"/>
      <c r="M142" s="207"/>
      <c r="N142" s="615" t="s">
        <v>156</v>
      </c>
      <c r="O142" s="615" t="s">
        <v>105</v>
      </c>
      <c r="P142" s="621">
        <f>P107+7</f>
        <v>46140</v>
      </c>
      <c r="Q142" s="622"/>
      <c r="R142" s="622"/>
      <c r="S142" s="622"/>
      <c r="T142" s="622"/>
      <c r="U142" s="618">
        <f>P142+1</f>
        <v>46141</v>
      </c>
      <c r="V142" s="619"/>
      <c r="W142" s="619"/>
      <c r="X142" s="619"/>
      <c r="Y142" s="620"/>
      <c r="Z142" s="618">
        <f>U142+1</f>
        <v>46142</v>
      </c>
      <c r="AA142" s="619"/>
      <c r="AB142" s="619"/>
      <c r="AC142" s="619"/>
      <c r="AD142" s="620"/>
      <c r="AE142" s="618">
        <f>Z142+1</f>
        <v>46143</v>
      </c>
      <c r="AF142" s="619"/>
      <c r="AG142" s="619"/>
      <c r="AH142" s="619"/>
      <c r="AI142" s="620"/>
      <c r="AJ142" s="618">
        <f>AE142+1</f>
        <v>46144</v>
      </c>
      <c r="AK142" s="619"/>
      <c r="AL142" s="619"/>
      <c r="AM142" s="619"/>
      <c r="AN142" s="620"/>
      <c r="AO142" s="618">
        <f>AJ142+1</f>
        <v>46145</v>
      </c>
      <c r="AP142" s="619"/>
      <c r="AQ142" s="619"/>
      <c r="AR142" s="619"/>
      <c r="AS142" s="620"/>
      <c r="AT142" s="618">
        <f>AO142+1</f>
        <v>46146</v>
      </c>
      <c r="AU142" s="619"/>
      <c r="AV142" s="619"/>
      <c r="AW142" s="619"/>
      <c r="AX142" s="620"/>
    </row>
    <row r="143" spans="2:53" ht="15.75">
      <c r="B143" s="629"/>
      <c r="C143" s="629"/>
      <c r="D143" s="629"/>
      <c r="E143" s="629"/>
      <c r="F143" s="629"/>
      <c r="G143" s="629"/>
      <c r="H143" s="629"/>
      <c r="I143" s="205"/>
      <c r="J143" s="205"/>
      <c r="K143" s="205"/>
      <c r="L143" s="205"/>
      <c r="M143" s="206"/>
      <c r="N143" s="617"/>
      <c r="O143" s="617"/>
      <c r="P143" s="621" t="s">
        <v>336</v>
      </c>
      <c r="Q143" s="622"/>
      <c r="R143" s="622"/>
      <c r="S143" s="622"/>
      <c r="T143" s="622"/>
      <c r="U143" s="621" t="s">
        <v>337</v>
      </c>
      <c r="V143" s="622"/>
      <c r="W143" s="622"/>
      <c r="X143" s="622"/>
      <c r="Y143" s="622"/>
      <c r="Z143" s="621" t="s">
        <v>338</v>
      </c>
      <c r="AA143" s="622"/>
      <c r="AB143" s="622"/>
      <c r="AC143" s="622"/>
      <c r="AD143" s="622"/>
      <c r="AE143" s="621" t="s">
        <v>339</v>
      </c>
      <c r="AF143" s="622"/>
      <c r="AG143" s="622"/>
      <c r="AH143" s="622"/>
      <c r="AI143" s="622"/>
      <c r="AJ143" s="621" t="s">
        <v>340</v>
      </c>
      <c r="AK143" s="622"/>
      <c r="AL143" s="622"/>
      <c r="AM143" s="622"/>
      <c r="AN143" s="622"/>
      <c r="AO143" s="621" t="s">
        <v>341</v>
      </c>
      <c r="AP143" s="622"/>
      <c r="AQ143" s="622"/>
      <c r="AR143" s="622"/>
      <c r="AS143" s="622"/>
      <c r="AT143" s="621" t="s">
        <v>342</v>
      </c>
      <c r="AU143" s="622"/>
      <c r="AV143" s="622"/>
      <c r="AW143" s="622"/>
      <c r="AX143" s="622"/>
    </row>
    <row r="144" spans="2:53">
      <c r="B144" s="614" t="s">
        <v>442</v>
      </c>
      <c r="C144" s="614" t="s">
        <v>443</v>
      </c>
      <c r="D144" s="614"/>
      <c r="E144" s="614" t="s">
        <v>444</v>
      </c>
      <c r="F144" s="614"/>
      <c r="G144" s="614"/>
      <c r="H144" s="630" t="s">
        <v>445</v>
      </c>
      <c r="I144" s="598" t="s">
        <v>446</v>
      </c>
      <c r="J144" s="598"/>
      <c r="K144" s="598"/>
      <c r="L144" s="599" t="s">
        <v>445</v>
      </c>
      <c r="M144" s="605" t="s">
        <v>447</v>
      </c>
      <c r="N144" s="614"/>
      <c r="O144" s="614" t="s">
        <v>448</v>
      </c>
      <c r="P144" s="611" t="s">
        <v>449</v>
      </c>
      <c r="Q144" s="612"/>
      <c r="R144" s="612"/>
      <c r="S144" s="613"/>
      <c r="T144" s="614" t="s">
        <v>445</v>
      </c>
      <c r="U144" s="611" t="s">
        <v>449</v>
      </c>
      <c r="V144" s="612"/>
      <c r="W144" s="612"/>
      <c r="X144" s="613"/>
      <c r="Y144" s="614" t="s">
        <v>445</v>
      </c>
      <c r="Z144" s="611" t="s">
        <v>449</v>
      </c>
      <c r="AA144" s="612"/>
      <c r="AB144" s="612"/>
      <c r="AC144" s="613"/>
      <c r="AD144" s="614" t="s">
        <v>445</v>
      </c>
      <c r="AE144" s="611" t="s">
        <v>449</v>
      </c>
      <c r="AF144" s="612"/>
      <c r="AG144" s="612"/>
      <c r="AH144" s="613"/>
      <c r="AI144" s="614" t="s">
        <v>445</v>
      </c>
      <c r="AJ144" s="611" t="s">
        <v>449</v>
      </c>
      <c r="AK144" s="612"/>
      <c r="AL144" s="612"/>
      <c r="AM144" s="613"/>
      <c r="AN144" s="614" t="s">
        <v>445</v>
      </c>
      <c r="AO144" s="611" t="s">
        <v>449</v>
      </c>
      <c r="AP144" s="612"/>
      <c r="AQ144" s="612"/>
      <c r="AR144" s="613"/>
      <c r="AS144" s="614" t="s">
        <v>445</v>
      </c>
      <c r="AT144" s="611" t="s">
        <v>449</v>
      </c>
      <c r="AU144" s="612"/>
      <c r="AV144" s="612"/>
      <c r="AW144" s="613"/>
      <c r="AX144" s="614" t="s">
        <v>445</v>
      </c>
      <c r="BA144" s="614" t="s">
        <v>395</v>
      </c>
    </row>
    <row r="145" spans="2:53">
      <c r="B145" s="614"/>
      <c r="C145" s="614"/>
      <c r="D145" s="614"/>
      <c r="E145" s="614" t="s">
        <v>450</v>
      </c>
      <c r="F145" s="614"/>
      <c r="G145" s="614"/>
      <c r="H145" s="631"/>
      <c r="I145" s="598" t="s">
        <v>450</v>
      </c>
      <c r="J145" s="598"/>
      <c r="K145" s="598"/>
      <c r="L145" s="600"/>
      <c r="M145" s="606"/>
      <c r="N145" s="614"/>
      <c r="O145" s="614"/>
      <c r="P145" s="611" t="s">
        <v>451</v>
      </c>
      <c r="Q145" s="612"/>
      <c r="R145" s="612"/>
      <c r="S145" s="613"/>
      <c r="T145" s="614"/>
      <c r="U145" s="611" t="s">
        <v>451</v>
      </c>
      <c r="V145" s="612"/>
      <c r="W145" s="612"/>
      <c r="X145" s="613"/>
      <c r="Y145" s="614"/>
      <c r="Z145" s="611" t="s">
        <v>451</v>
      </c>
      <c r="AA145" s="612"/>
      <c r="AB145" s="612"/>
      <c r="AC145" s="613"/>
      <c r="AD145" s="614"/>
      <c r="AE145" s="611" t="s">
        <v>451</v>
      </c>
      <c r="AF145" s="612"/>
      <c r="AG145" s="612"/>
      <c r="AH145" s="613"/>
      <c r="AI145" s="614"/>
      <c r="AJ145" s="611" t="s">
        <v>451</v>
      </c>
      <c r="AK145" s="612"/>
      <c r="AL145" s="612"/>
      <c r="AM145" s="613"/>
      <c r="AN145" s="614"/>
      <c r="AO145" s="611" t="s">
        <v>451</v>
      </c>
      <c r="AP145" s="612"/>
      <c r="AQ145" s="612"/>
      <c r="AR145" s="613"/>
      <c r="AS145" s="614"/>
      <c r="AT145" s="611" t="s">
        <v>451</v>
      </c>
      <c r="AU145" s="612"/>
      <c r="AV145" s="612"/>
      <c r="AW145" s="613"/>
      <c r="AX145" s="614"/>
      <c r="BA145" s="614"/>
    </row>
    <row r="146" spans="2:53">
      <c r="B146" s="614"/>
      <c r="C146" s="614"/>
      <c r="D146" s="614"/>
      <c r="E146" s="302" t="s">
        <v>452</v>
      </c>
      <c r="F146" s="302" t="s">
        <v>453</v>
      </c>
      <c r="G146" s="302" t="s">
        <v>454</v>
      </c>
      <c r="H146" s="632"/>
      <c r="I146" s="303" t="s">
        <v>452</v>
      </c>
      <c r="J146" s="303" t="s">
        <v>453</v>
      </c>
      <c r="K146" s="303" t="s">
        <v>454</v>
      </c>
      <c r="L146" s="601"/>
      <c r="M146" s="607"/>
      <c r="N146" s="614"/>
      <c r="O146" s="614"/>
      <c r="P146" s="302" t="s">
        <v>452</v>
      </c>
      <c r="Q146" s="302" t="s">
        <v>453</v>
      </c>
      <c r="R146" s="302" t="s">
        <v>454</v>
      </c>
      <c r="S146" s="302" t="s">
        <v>447</v>
      </c>
      <c r="T146" s="614"/>
      <c r="U146" s="302" t="s">
        <v>452</v>
      </c>
      <c r="V146" s="302" t="s">
        <v>453</v>
      </c>
      <c r="W146" s="302" t="s">
        <v>454</v>
      </c>
      <c r="X146" s="302" t="s">
        <v>447</v>
      </c>
      <c r="Y146" s="614"/>
      <c r="Z146" s="302" t="s">
        <v>452</v>
      </c>
      <c r="AA146" s="302" t="s">
        <v>453</v>
      </c>
      <c r="AB146" s="302" t="s">
        <v>454</v>
      </c>
      <c r="AC146" s="302" t="s">
        <v>447</v>
      </c>
      <c r="AD146" s="614"/>
      <c r="AE146" s="302" t="s">
        <v>452</v>
      </c>
      <c r="AF146" s="302" t="s">
        <v>453</v>
      </c>
      <c r="AG146" s="302" t="s">
        <v>454</v>
      </c>
      <c r="AH146" s="302" t="s">
        <v>447</v>
      </c>
      <c r="AI146" s="614"/>
      <c r="AJ146" s="302" t="s">
        <v>452</v>
      </c>
      <c r="AK146" s="302" t="s">
        <v>453</v>
      </c>
      <c r="AL146" s="302" t="s">
        <v>454</v>
      </c>
      <c r="AM146" s="302" t="s">
        <v>447</v>
      </c>
      <c r="AN146" s="614"/>
      <c r="AO146" s="302" t="s">
        <v>452</v>
      </c>
      <c r="AP146" s="302" t="s">
        <v>453</v>
      </c>
      <c r="AQ146" s="302" t="s">
        <v>454</v>
      </c>
      <c r="AR146" s="302" t="s">
        <v>447</v>
      </c>
      <c r="AS146" s="614"/>
      <c r="AT146" s="302" t="s">
        <v>452</v>
      </c>
      <c r="AU146" s="302" t="s">
        <v>453</v>
      </c>
      <c r="AV146" s="302" t="s">
        <v>454</v>
      </c>
      <c r="AW146" s="302" t="s">
        <v>447</v>
      </c>
      <c r="AX146" s="614"/>
      <c r="AZ146" s="523" t="s">
        <v>396</v>
      </c>
      <c r="BA146" s="614"/>
    </row>
    <row r="147" spans="2:53">
      <c r="B147" s="614" t="s">
        <v>455</v>
      </c>
      <c r="C147" s="301">
        <v>1</v>
      </c>
      <c r="D147" s="226"/>
      <c r="E147" s="182"/>
      <c r="F147" s="466"/>
      <c r="G147" s="467"/>
      <c r="H147" s="663" t="e">
        <f>AVERAGE(G147:G176)</f>
        <v>#DIV/0!</v>
      </c>
      <c r="I147" s="516" t="str">
        <f>IFERROR(AVERAGE(P147,U147,Z147,AE147,AJ147,AO147,AT147),"-")</f>
        <v>-</v>
      </c>
      <c r="J147" s="516" t="str">
        <f>IFERROR(AVERAGE(Q147,V147,AA147,AF147,AK147,AP147,AU147),"-")</f>
        <v>-</v>
      </c>
      <c r="K147" s="200" t="str">
        <f>IFERROR(AVERAGE(R147,W147,AB147,AG147,AL147,AQ147,AV147),"-")</f>
        <v>-</v>
      </c>
      <c r="L147" s="595" t="str">
        <f>IFERROR(AVERAGE(K147:K176),"-")</f>
        <v>-</v>
      </c>
      <c r="M147" s="201" t="e">
        <f>RANK(K147, K$147:$K$176)</f>
        <v>#VALUE!</v>
      </c>
      <c r="N147" s="614"/>
      <c r="O147" s="614"/>
      <c r="P147" s="182"/>
      <c r="Q147" s="182"/>
      <c r="R147" s="182"/>
      <c r="S147" s="301" t="e">
        <f>RANK(R147, R$147:R$176)</f>
        <v>#N/A</v>
      </c>
      <c r="T147" s="636" t="e">
        <f>AVERAGE(R147:R176)</f>
        <v>#DIV/0!</v>
      </c>
      <c r="U147" s="182"/>
      <c r="V147" s="182"/>
      <c r="W147" s="182"/>
      <c r="X147" s="301" t="e">
        <f>RANK(W147, W$147:W$176)</f>
        <v>#N/A</v>
      </c>
      <c r="Y147" s="636" t="e">
        <f>AVERAGE(W147:W176)</f>
        <v>#DIV/0!</v>
      </c>
      <c r="Z147" s="182"/>
      <c r="AA147" s="182"/>
      <c r="AB147" s="182"/>
      <c r="AC147" s="301" t="e">
        <f>RANK(AB147, AB$147:AB$176)</f>
        <v>#N/A</v>
      </c>
      <c r="AD147" s="636" t="e">
        <f>AVERAGE(AB147:AB176)</f>
        <v>#DIV/0!</v>
      </c>
      <c r="AE147" s="182"/>
      <c r="AF147" s="182"/>
      <c r="AG147" s="182"/>
      <c r="AH147" s="301" t="e">
        <f>RANK(AG147, AG$147:AG$176)</f>
        <v>#N/A</v>
      </c>
      <c r="AI147" s="636" t="e">
        <f>AVERAGE(AG147:AG176)</f>
        <v>#DIV/0!</v>
      </c>
      <c r="AJ147" s="182"/>
      <c r="AK147" s="182"/>
      <c r="AL147" s="182"/>
      <c r="AM147" s="301" t="e">
        <f>RANK(AL147, AL$147:AL$176)</f>
        <v>#N/A</v>
      </c>
      <c r="AN147" s="636" t="e">
        <f>AVERAGE(AL147:AL176)</f>
        <v>#DIV/0!</v>
      </c>
      <c r="AO147" s="182"/>
      <c r="AP147" s="182"/>
      <c r="AQ147" s="182"/>
      <c r="AR147" s="301" t="e">
        <f>RANK(AQ147, AQ$147:AQ$176)</f>
        <v>#N/A</v>
      </c>
      <c r="AS147" s="636" t="e">
        <f>AVERAGE(AQ147:AQ176)</f>
        <v>#DIV/0!</v>
      </c>
      <c r="AT147" s="182"/>
      <c r="AU147" s="182"/>
      <c r="AV147" s="182"/>
      <c r="AW147" s="301" t="e">
        <f>RANK(AV147, AV$147:AV$176)</f>
        <v>#N/A</v>
      </c>
      <c r="AX147" s="636" t="e">
        <f>AVERAGE(AV147:AV176)</f>
        <v>#DIV/0!</v>
      </c>
      <c r="AZ147" s="524" t="e">
        <f>RANK(AY147, AY$147:AY$176)</f>
        <v>#N/A</v>
      </c>
      <c r="BA147" s="636" t="e">
        <f>AVERAGE(AY147:AY176)</f>
        <v>#DIV/0!</v>
      </c>
    </row>
    <row r="148" spans="2:53">
      <c r="B148" s="622"/>
      <c r="C148" s="301">
        <v>2</v>
      </c>
      <c r="D148" s="226"/>
      <c r="E148" s="182"/>
      <c r="F148" s="466"/>
      <c r="G148" s="467"/>
      <c r="H148" s="664"/>
      <c r="I148" s="516" t="str">
        <f t="shared" ref="I148:I176" si="42">IFERROR(AVERAGE(P148,U148,Z148,AE148,AJ148,AO148,AT148),"-")</f>
        <v>-</v>
      </c>
      <c r="J148" s="516" t="str">
        <f t="shared" ref="J148:J176" si="43">IFERROR(AVERAGE(Q148,V148,AA148,AF148,AK148,AP148,AU148),"-")</f>
        <v>-</v>
      </c>
      <c r="K148" s="200" t="str">
        <f t="shared" ref="K148:K176" si="44">IFERROR(AVERAGE(R148,W148,AB148,AG148,AL148,AQ148,AV148),"-")</f>
        <v>-</v>
      </c>
      <c r="L148" s="596"/>
      <c r="M148" s="201" t="e">
        <f>RANK(K148, K$147:$K$176)</f>
        <v>#VALUE!</v>
      </c>
      <c r="N148" s="614"/>
      <c r="O148" s="614"/>
      <c r="P148" s="182"/>
      <c r="Q148" s="182"/>
      <c r="R148" s="182"/>
      <c r="S148" s="301" t="e">
        <f t="shared" ref="S148:S176" si="45">RANK(R148, R$147:R$176)</f>
        <v>#N/A</v>
      </c>
      <c r="T148" s="636"/>
      <c r="U148" s="182"/>
      <c r="V148" s="182"/>
      <c r="W148" s="182"/>
      <c r="X148" s="301" t="e">
        <f t="shared" ref="X148:X176" si="46">RANK(W148, W$147:W$176)</f>
        <v>#N/A</v>
      </c>
      <c r="Y148" s="636"/>
      <c r="Z148" s="182"/>
      <c r="AA148" s="182"/>
      <c r="AB148" s="182"/>
      <c r="AC148" s="301" t="e">
        <f t="shared" ref="AC148:AC176" si="47">RANK(AB148, AB$147:AB$176)</f>
        <v>#N/A</v>
      </c>
      <c r="AD148" s="636"/>
      <c r="AE148" s="182"/>
      <c r="AF148" s="182"/>
      <c r="AG148" s="182"/>
      <c r="AH148" s="301" t="e">
        <f t="shared" ref="AH148:AH176" si="48">RANK(AG148, AG$147:AG$176)</f>
        <v>#N/A</v>
      </c>
      <c r="AI148" s="636"/>
      <c r="AJ148" s="182"/>
      <c r="AK148" s="182"/>
      <c r="AL148" s="182"/>
      <c r="AM148" s="301" t="e">
        <f t="shared" ref="AM148:AM176" si="49">RANK(AL148, AL$147:AL$176)</f>
        <v>#N/A</v>
      </c>
      <c r="AN148" s="636"/>
      <c r="AO148" s="182"/>
      <c r="AP148" s="182"/>
      <c r="AQ148" s="182"/>
      <c r="AR148" s="301" t="e">
        <f t="shared" ref="AR148:AR176" si="50">RANK(AQ148, AQ$147:AQ$176)</f>
        <v>#N/A</v>
      </c>
      <c r="AS148" s="636"/>
      <c r="AT148" s="182"/>
      <c r="AU148" s="182"/>
      <c r="AV148" s="182"/>
      <c r="AW148" s="301" t="e">
        <f t="shared" ref="AW148:AW176" si="51">RANK(AV148, AV$147:AV$176)</f>
        <v>#N/A</v>
      </c>
      <c r="AX148" s="636"/>
      <c r="AZ148" s="524" t="e">
        <f t="shared" ref="AZ148:AZ176" si="52">RANK(AY148, AY$147:AY$176)</f>
        <v>#N/A</v>
      </c>
      <c r="BA148" s="636"/>
    </row>
    <row r="149" spans="2:53">
      <c r="B149" s="622"/>
      <c r="C149" s="301">
        <v>3</v>
      </c>
      <c r="D149" s="226"/>
      <c r="E149" s="182"/>
      <c r="F149" s="466"/>
      <c r="G149" s="467"/>
      <c r="H149" s="664"/>
      <c r="I149" s="516" t="str">
        <f t="shared" si="42"/>
        <v>-</v>
      </c>
      <c r="J149" s="516" t="str">
        <f t="shared" si="43"/>
        <v>-</v>
      </c>
      <c r="K149" s="200" t="str">
        <f t="shared" si="44"/>
        <v>-</v>
      </c>
      <c r="L149" s="596"/>
      <c r="M149" s="201" t="e">
        <f>RANK(K149, K$147:$K$176)</f>
        <v>#VALUE!</v>
      </c>
      <c r="N149" s="614"/>
      <c r="O149" s="614"/>
      <c r="P149" s="182"/>
      <c r="Q149" s="182"/>
      <c r="R149" s="182"/>
      <c r="S149" s="301" t="e">
        <f t="shared" si="45"/>
        <v>#N/A</v>
      </c>
      <c r="T149" s="636"/>
      <c r="U149" s="182"/>
      <c r="V149" s="182"/>
      <c r="W149" s="182"/>
      <c r="X149" s="301" t="e">
        <f t="shared" si="46"/>
        <v>#N/A</v>
      </c>
      <c r="Y149" s="636"/>
      <c r="Z149" s="182"/>
      <c r="AA149" s="182"/>
      <c r="AB149" s="182"/>
      <c r="AC149" s="301" t="e">
        <f t="shared" si="47"/>
        <v>#N/A</v>
      </c>
      <c r="AD149" s="636"/>
      <c r="AE149" s="182"/>
      <c r="AF149" s="182"/>
      <c r="AG149" s="182"/>
      <c r="AH149" s="301" t="e">
        <f t="shared" si="48"/>
        <v>#N/A</v>
      </c>
      <c r="AI149" s="636"/>
      <c r="AJ149" s="182"/>
      <c r="AK149" s="182"/>
      <c r="AL149" s="182"/>
      <c r="AM149" s="301" t="e">
        <f t="shared" si="49"/>
        <v>#N/A</v>
      </c>
      <c r="AN149" s="636"/>
      <c r="AO149" s="182"/>
      <c r="AP149" s="182"/>
      <c r="AQ149" s="182"/>
      <c r="AR149" s="301" t="e">
        <f t="shared" si="50"/>
        <v>#N/A</v>
      </c>
      <c r="AS149" s="636"/>
      <c r="AT149" s="182"/>
      <c r="AU149" s="182"/>
      <c r="AV149" s="182"/>
      <c r="AW149" s="301" t="e">
        <f t="shared" si="51"/>
        <v>#N/A</v>
      </c>
      <c r="AX149" s="636"/>
      <c r="AZ149" s="524" t="e">
        <f t="shared" si="52"/>
        <v>#N/A</v>
      </c>
      <c r="BA149" s="636"/>
    </row>
    <row r="150" spans="2:53">
      <c r="B150" s="622"/>
      <c r="C150" s="301">
        <v>4</v>
      </c>
      <c r="D150" s="226"/>
      <c r="E150" s="182"/>
      <c r="F150" s="466"/>
      <c r="G150" s="467"/>
      <c r="H150" s="664"/>
      <c r="I150" s="516" t="str">
        <f t="shared" si="42"/>
        <v>-</v>
      </c>
      <c r="J150" s="516" t="str">
        <f t="shared" si="43"/>
        <v>-</v>
      </c>
      <c r="K150" s="200" t="str">
        <f t="shared" si="44"/>
        <v>-</v>
      </c>
      <c r="L150" s="596"/>
      <c r="M150" s="201" t="e">
        <f>RANK(K150, K$147:$K$176)</f>
        <v>#VALUE!</v>
      </c>
      <c r="N150" s="614"/>
      <c r="O150" s="614"/>
      <c r="P150" s="182"/>
      <c r="Q150" s="182"/>
      <c r="R150" s="182"/>
      <c r="S150" s="301" t="e">
        <f t="shared" si="45"/>
        <v>#N/A</v>
      </c>
      <c r="T150" s="636"/>
      <c r="U150" s="182"/>
      <c r="V150" s="182"/>
      <c r="W150" s="182"/>
      <c r="X150" s="301" t="e">
        <f t="shared" si="46"/>
        <v>#N/A</v>
      </c>
      <c r="Y150" s="636"/>
      <c r="Z150" s="182"/>
      <c r="AA150" s="182"/>
      <c r="AB150" s="182"/>
      <c r="AC150" s="301" t="e">
        <f t="shared" si="47"/>
        <v>#N/A</v>
      </c>
      <c r="AD150" s="636"/>
      <c r="AE150" s="182"/>
      <c r="AF150" s="182"/>
      <c r="AG150" s="182"/>
      <c r="AH150" s="301" t="e">
        <f t="shared" si="48"/>
        <v>#N/A</v>
      </c>
      <c r="AI150" s="636"/>
      <c r="AJ150" s="182"/>
      <c r="AK150" s="182"/>
      <c r="AL150" s="182"/>
      <c r="AM150" s="301" t="e">
        <f t="shared" si="49"/>
        <v>#N/A</v>
      </c>
      <c r="AN150" s="636"/>
      <c r="AO150" s="182"/>
      <c r="AP150" s="182"/>
      <c r="AQ150" s="182"/>
      <c r="AR150" s="301" t="e">
        <f t="shared" si="50"/>
        <v>#N/A</v>
      </c>
      <c r="AS150" s="636"/>
      <c r="AT150" s="182"/>
      <c r="AU150" s="182"/>
      <c r="AV150" s="182"/>
      <c r="AW150" s="301" t="e">
        <f t="shared" si="51"/>
        <v>#N/A</v>
      </c>
      <c r="AX150" s="636"/>
      <c r="AZ150" s="524" t="e">
        <f t="shared" si="52"/>
        <v>#N/A</v>
      </c>
      <c r="BA150" s="636"/>
    </row>
    <row r="151" spans="2:53">
      <c r="B151" s="622"/>
      <c r="C151" s="301">
        <v>5</v>
      </c>
      <c r="D151" s="226"/>
      <c r="E151" s="182"/>
      <c r="F151" s="466"/>
      <c r="G151" s="467"/>
      <c r="H151" s="664"/>
      <c r="I151" s="516" t="str">
        <f t="shared" si="42"/>
        <v>-</v>
      </c>
      <c r="J151" s="516" t="str">
        <f t="shared" si="43"/>
        <v>-</v>
      </c>
      <c r="K151" s="200" t="str">
        <f t="shared" si="44"/>
        <v>-</v>
      </c>
      <c r="L151" s="596"/>
      <c r="M151" s="201" t="e">
        <f>RANK(K151, K$147:$K$176)</f>
        <v>#VALUE!</v>
      </c>
      <c r="N151" s="614"/>
      <c r="O151" s="614"/>
      <c r="P151" s="182"/>
      <c r="Q151" s="182"/>
      <c r="R151" s="182"/>
      <c r="S151" s="301" t="e">
        <f t="shared" si="45"/>
        <v>#N/A</v>
      </c>
      <c r="T151" s="636"/>
      <c r="U151" s="182"/>
      <c r="V151" s="182"/>
      <c r="W151" s="182"/>
      <c r="X151" s="301" t="e">
        <f t="shared" si="46"/>
        <v>#N/A</v>
      </c>
      <c r="Y151" s="636"/>
      <c r="Z151" s="182"/>
      <c r="AA151" s="182"/>
      <c r="AB151" s="182"/>
      <c r="AC151" s="301" t="e">
        <f t="shared" si="47"/>
        <v>#N/A</v>
      </c>
      <c r="AD151" s="636"/>
      <c r="AE151" s="182"/>
      <c r="AF151" s="182"/>
      <c r="AG151" s="182"/>
      <c r="AH151" s="301" t="e">
        <f t="shared" si="48"/>
        <v>#N/A</v>
      </c>
      <c r="AI151" s="636"/>
      <c r="AJ151" s="182"/>
      <c r="AK151" s="182"/>
      <c r="AL151" s="182"/>
      <c r="AM151" s="301" t="e">
        <f t="shared" si="49"/>
        <v>#N/A</v>
      </c>
      <c r="AN151" s="636"/>
      <c r="AO151" s="182"/>
      <c r="AP151" s="182"/>
      <c r="AQ151" s="182"/>
      <c r="AR151" s="301" t="e">
        <f t="shared" si="50"/>
        <v>#N/A</v>
      </c>
      <c r="AS151" s="636"/>
      <c r="AT151" s="182"/>
      <c r="AU151" s="182"/>
      <c r="AV151" s="182"/>
      <c r="AW151" s="301" t="e">
        <f t="shared" si="51"/>
        <v>#N/A</v>
      </c>
      <c r="AX151" s="636"/>
      <c r="AZ151" s="524" t="e">
        <f t="shared" si="52"/>
        <v>#N/A</v>
      </c>
      <c r="BA151" s="636"/>
    </row>
    <row r="152" spans="2:53">
      <c r="B152" s="622"/>
      <c r="C152" s="301">
        <v>6</v>
      </c>
      <c r="D152" s="226"/>
      <c r="E152" s="182"/>
      <c r="F152" s="466"/>
      <c r="G152" s="467"/>
      <c r="H152" s="664"/>
      <c r="I152" s="516" t="str">
        <f t="shared" si="42"/>
        <v>-</v>
      </c>
      <c r="J152" s="516" t="str">
        <f t="shared" si="43"/>
        <v>-</v>
      </c>
      <c r="K152" s="200" t="str">
        <f t="shared" si="44"/>
        <v>-</v>
      </c>
      <c r="L152" s="596"/>
      <c r="M152" s="201" t="e">
        <f>RANK(K152, K$147:$K$176)</f>
        <v>#VALUE!</v>
      </c>
      <c r="N152" s="614"/>
      <c r="O152" s="614"/>
      <c r="P152" s="182"/>
      <c r="Q152" s="182"/>
      <c r="R152" s="182"/>
      <c r="S152" s="301" t="e">
        <f t="shared" si="45"/>
        <v>#N/A</v>
      </c>
      <c r="T152" s="636"/>
      <c r="U152" s="182"/>
      <c r="V152" s="182"/>
      <c r="W152" s="182"/>
      <c r="X152" s="301" t="e">
        <f t="shared" si="46"/>
        <v>#N/A</v>
      </c>
      <c r="Y152" s="636"/>
      <c r="Z152" s="182"/>
      <c r="AA152" s="182"/>
      <c r="AB152" s="182"/>
      <c r="AC152" s="301" t="e">
        <f t="shared" si="47"/>
        <v>#N/A</v>
      </c>
      <c r="AD152" s="636"/>
      <c r="AE152" s="182"/>
      <c r="AF152" s="182"/>
      <c r="AG152" s="182"/>
      <c r="AH152" s="301" t="e">
        <f t="shared" si="48"/>
        <v>#N/A</v>
      </c>
      <c r="AI152" s="636"/>
      <c r="AJ152" s="182"/>
      <c r="AK152" s="182"/>
      <c r="AL152" s="182"/>
      <c r="AM152" s="301" t="e">
        <f t="shared" si="49"/>
        <v>#N/A</v>
      </c>
      <c r="AN152" s="636"/>
      <c r="AO152" s="182"/>
      <c r="AP152" s="182"/>
      <c r="AQ152" s="182"/>
      <c r="AR152" s="301" t="e">
        <f t="shared" si="50"/>
        <v>#N/A</v>
      </c>
      <c r="AS152" s="636"/>
      <c r="AT152" s="182"/>
      <c r="AU152" s="182"/>
      <c r="AV152" s="182"/>
      <c r="AW152" s="301" t="e">
        <f t="shared" si="51"/>
        <v>#N/A</v>
      </c>
      <c r="AX152" s="636"/>
      <c r="AZ152" s="524" t="e">
        <f t="shared" si="52"/>
        <v>#N/A</v>
      </c>
      <c r="BA152" s="636"/>
    </row>
    <row r="153" spans="2:53">
      <c r="B153" s="622"/>
      <c r="C153" s="301">
        <v>7</v>
      </c>
      <c r="D153" s="226"/>
      <c r="E153" s="182"/>
      <c r="F153" s="466"/>
      <c r="G153" s="467"/>
      <c r="H153" s="664"/>
      <c r="I153" s="516" t="str">
        <f t="shared" si="42"/>
        <v>-</v>
      </c>
      <c r="J153" s="516" t="str">
        <f t="shared" si="43"/>
        <v>-</v>
      </c>
      <c r="K153" s="200" t="str">
        <f t="shared" si="44"/>
        <v>-</v>
      </c>
      <c r="L153" s="596"/>
      <c r="M153" s="201" t="e">
        <f>RANK(K153, K$147:$K$176)</f>
        <v>#VALUE!</v>
      </c>
      <c r="N153" s="614"/>
      <c r="O153" s="614"/>
      <c r="P153" s="182"/>
      <c r="Q153" s="182"/>
      <c r="R153" s="182"/>
      <c r="S153" s="301" t="e">
        <f t="shared" si="45"/>
        <v>#N/A</v>
      </c>
      <c r="T153" s="636"/>
      <c r="U153" s="182"/>
      <c r="V153" s="182"/>
      <c r="W153" s="182"/>
      <c r="X153" s="301" t="e">
        <f t="shared" si="46"/>
        <v>#N/A</v>
      </c>
      <c r="Y153" s="636"/>
      <c r="Z153" s="182"/>
      <c r="AA153" s="182"/>
      <c r="AB153" s="182"/>
      <c r="AC153" s="301" t="e">
        <f t="shared" si="47"/>
        <v>#N/A</v>
      </c>
      <c r="AD153" s="636"/>
      <c r="AE153" s="182"/>
      <c r="AF153" s="182"/>
      <c r="AG153" s="182"/>
      <c r="AH153" s="301" t="e">
        <f t="shared" si="48"/>
        <v>#N/A</v>
      </c>
      <c r="AI153" s="636"/>
      <c r="AJ153" s="182"/>
      <c r="AK153" s="182"/>
      <c r="AL153" s="182"/>
      <c r="AM153" s="301" t="e">
        <f t="shared" si="49"/>
        <v>#N/A</v>
      </c>
      <c r="AN153" s="636"/>
      <c r="AO153" s="182"/>
      <c r="AP153" s="182"/>
      <c r="AQ153" s="182"/>
      <c r="AR153" s="301" t="e">
        <f t="shared" si="50"/>
        <v>#N/A</v>
      </c>
      <c r="AS153" s="636"/>
      <c r="AT153" s="182"/>
      <c r="AU153" s="182"/>
      <c r="AV153" s="182"/>
      <c r="AW153" s="301" t="e">
        <f t="shared" si="51"/>
        <v>#N/A</v>
      </c>
      <c r="AX153" s="636"/>
      <c r="AZ153" s="524" t="e">
        <f t="shared" si="52"/>
        <v>#N/A</v>
      </c>
      <c r="BA153" s="636"/>
    </row>
    <row r="154" spans="2:53">
      <c r="B154" s="622"/>
      <c r="C154" s="301">
        <v>8</v>
      </c>
      <c r="D154" s="226"/>
      <c r="E154" s="182"/>
      <c r="F154" s="466"/>
      <c r="G154" s="467"/>
      <c r="H154" s="664"/>
      <c r="I154" s="516" t="str">
        <f t="shared" si="42"/>
        <v>-</v>
      </c>
      <c r="J154" s="516" t="str">
        <f t="shared" si="43"/>
        <v>-</v>
      </c>
      <c r="K154" s="200" t="str">
        <f t="shared" si="44"/>
        <v>-</v>
      </c>
      <c r="L154" s="596"/>
      <c r="M154" s="201" t="e">
        <f>RANK(K154, K$147:$K$176)</f>
        <v>#VALUE!</v>
      </c>
      <c r="N154" s="614"/>
      <c r="O154" s="614"/>
      <c r="P154" s="182"/>
      <c r="Q154" s="182"/>
      <c r="R154" s="182"/>
      <c r="S154" s="301" t="e">
        <f t="shared" si="45"/>
        <v>#N/A</v>
      </c>
      <c r="T154" s="636"/>
      <c r="U154" s="182"/>
      <c r="V154" s="182"/>
      <c r="W154" s="182"/>
      <c r="X154" s="301" t="e">
        <f t="shared" si="46"/>
        <v>#N/A</v>
      </c>
      <c r="Y154" s="636"/>
      <c r="Z154" s="182"/>
      <c r="AA154" s="182"/>
      <c r="AB154" s="182"/>
      <c r="AC154" s="301" t="e">
        <f t="shared" si="47"/>
        <v>#N/A</v>
      </c>
      <c r="AD154" s="636"/>
      <c r="AE154" s="182"/>
      <c r="AF154" s="182"/>
      <c r="AG154" s="182"/>
      <c r="AH154" s="301" t="e">
        <f t="shared" si="48"/>
        <v>#N/A</v>
      </c>
      <c r="AI154" s="636"/>
      <c r="AJ154" s="182"/>
      <c r="AK154" s="182"/>
      <c r="AL154" s="182"/>
      <c r="AM154" s="301" t="e">
        <f t="shared" si="49"/>
        <v>#N/A</v>
      </c>
      <c r="AN154" s="636"/>
      <c r="AO154" s="182"/>
      <c r="AP154" s="182"/>
      <c r="AQ154" s="182"/>
      <c r="AR154" s="301" t="e">
        <f t="shared" si="50"/>
        <v>#N/A</v>
      </c>
      <c r="AS154" s="636"/>
      <c r="AT154" s="182"/>
      <c r="AU154" s="182"/>
      <c r="AV154" s="182"/>
      <c r="AW154" s="301" t="e">
        <f t="shared" si="51"/>
        <v>#N/A</v>
      </c>
      <c r="AX154" s="636"/>
      <c r="AZ154" s="524" t="e">
        <f t="shared" si="52"/>
        <v>#N/A</v>
      </c>
      <c r="BA154" s="636"/>
    </row>
    <row r="155" spans="2:53">
      <c r="B155" s="622"/>
      <c r="C155" s="301">
        <v>9</v>
      </c>
      <c r="D155" s="226"/>
      <c r="E155" s="182"/>
      <c r="F155" s="466"/>
      <c r="G155" s="467"/>
      <c r="H155" s="664"/>
      <c r="I155" s="516" t="str">
        <f t="shared" si="42"/>
        <v>-</v>
      </c>
      <c r="J155" s="516" t="str">
        <f t="shared" si="43"/>
        <v>-</v>
      </c>
      <c r="K155" s="200" t="str">
        <f t="shared" si="44"/>
        <v>-</v>
      </c>
      <c r="L155" s="596"/>
      <c r="M155" s="201" t="e">
        <f>RANK(K155, K$147:$K$176)</f>
        <v>#VALUE!</v>
      </c>
      <c r="N155" s="614"/>
      <c r="O155" s="614"/>
      <c r="P155" s="182"/>
      <c r="Q155" s="182"/>
      <c r="R155" s="182"/>
      <c r="S155" s="301" t="e">
        <f t="shared" si="45"/>
        <v>#N/A</v>
      </c>
      <c r="T155" s="636"/>
      <c r="U155" s="182"/>
      <c r="V155" s="182"/>
      <c r="W155" s="182"/>
      <c r="X155" s="301" t="e">
        <f t="shared" si="46"/>
        <v>#N/A</v>
      </c>
      <c r="Y155" s="636"/>
      <c r="Z155" s="182"/>
      <c r="AA155" s="182"/>
      <c r="AB155" s="182"/>
      <c r="AC155" s="301" t="e">
        <f t="shared" si="47"/>
        <v>#N/A</v>
      </c>
      <c r="AD155" s="636"/>
      <c r="AE155" s="182"/>
      <c r="AF155" s="182"/>
      <c r="AG155" s="182"/>
      <c r="AH155" s="301" t="e">
        <f t="shared" si="48"/>
        <v>#N/A</v>
      </c>
      <c r="AI155" s="636"/>
      <c r="AJ155" s="182"/>
      <c r="AK155" s="182"/>
      <c r="AL155" s="182"/>
      <c r="AM155" s="301" t="e">
        <f t="shared" si="49"/>
        <v>#N/A</v>
      </c>
      <c r="AN155" s="636"/>
      <c r="AO155" s="182"/>
      <c r="AP155" s="182"/>
      <c r="AQ155" s="182"/>
      <c r="AR155" s="301" t="e">
        <f t="shared" si="50"/>
        <v>#N/A</v>
      </c>
      <c r="AS155" s="636"/>
      <c r="AT155" s="182"/>
      <c r="AU155" s="182"/>
      <c r="AV155" s="182"/>
      <c r="AW155" s="301" t="e">
        <f t="shared" si="51"/>
        <v>#N/A</v>
      </c>
      <c r="AX155" s="636"/>
      <c r="AZ155" s="524" t="e">
        <f t="shared" si="52"/>
        <v>#N/A</v>
      </c>
      <c r="BA155" s="636"/>
    </row>
    <row r="156" spans="2:53">
      <c r="B156" s="622"/>
      <c r="C156" s="301">
        <v>10</v>
      </c>
      <c r="D156" s="226"/>
      <c r="E156" s="182"/>
      <c r="F156" s="466"/>
      <c r="G156" s="467"/>
      <c r="H156" s="664"/>
      <c r="I156" s="516" t="str">
        <f t="shared" si="42"/>
        <v>-</v>
      </c>
      <c r="J156" s="516" t="str">
        <f t="shared" si="43"/>
        <v>-</v>
      </c>
      <c r="K156" s="200" t="str">
        <f t="shared" si="44"/>
        <v>-</v>
      </c>
      <c r="L156" s="596"/>
      <c r="M156" s="201" t="e">
        <f>RANK(K156, K$147:$K$176)</f>
        <v>#VALUE!</v>
      </c>
      <c r="N156" s="614"/>
      <c r="O156" s="614"/>
      <c r="P156" s="182"/>
      <c r="Q156" s="182"/>
      <c r="R156" s="182"/>
      <c r="S156" s="301" t="e">
        <f t="shared" si="45"/>
        <v>#N/A</v>
      </c>
      <c r="T156" s="636"/>
      <c r="U156" s="182"/>
      <c r="V156" s="182"/>
      <c r="W156" s="182"/>
      <c r="X156" s="301" t="e">
        <f t="shared" si="46"/>
        <v>#N/A</v>
      </c>
      <c r="Y156" s="636"/>
      <c r="Z156" s="182"/>
      <c r="AA156" s="182"/>
      <c r="AB156" s="182"/>
      <c r="AC156" s="301" t="e">
        <f t="shared" si="47"/>
        <v>#N/A</v>
      </c>
      <c r="AD156" s="636"/>
      <c r="AE156" s="182"/>
      <c r="AF156" s="182"/>
      <c r="AG156" s="182"/>
      <c r="AH156" s="301" t="e">
        <f t="shared" si="48"/>
        <v>#N/A</v>
      </c>
      <c r="AI156" s="636"/>
      <c r="AJ156" s="182"/>
      <c r="AK156" s="182"/>
      <c r="AL156" s="182"/>
      <c r="AM156" s="301" t="e">
        <f t="shared" si="49"/>
        <v>#N/A</v>
      </c>
      <c r="AN156" s="636"/>
      <c r="AO156" s="182"/>
      <c r="AP156" s="182"/>
      <c r="AQ156" s="182"/>
      <c r="AR156" s="301" t="e">
        <f t="shared" si="50"/>
        <v>#N/A</v>
      </c>
      <c r="AS156" s="636"/>
      <c r="AT156" s="182"/>
      <c r="AU156" s="182"/>
      <c r="AV156" s="182"/>
      <c r="AW156" s="301" t="e">
        <f t="shared" si="51"/>
        <v>#N/A</v>
      </c>
      <c r="AX156" s="636"/>
      <c r="AZ156" s="524" t="e">
        <f t="shared" si="52"/>
        <v>#N/A</v>
      </c>
      <c r="BA156" s="636"/>
    </row>
    <row r="157" spans="2:53">
      <c r="B157" s="622"/>
      <c r="C157" s="301">
        <v>11</v>
      </c>
      <c r="D157" s="226"/>
      <c r="E157" s="182"/>
      <c r="F157" s="466"/>
      <c r="G157" s="467"/>
      <c r="H157" s="664"/>
      <c r="I157" s="516" t="str">
        <f t="shared" si="42"/>
        <v>-</v>
      </c>
      <c r="J157" s="516" t="str">
        <f t="shared" si="43"/>
        <v>-</v>
      </c>
      <c r="K157" s="200" t="str">
        <f t="shared" si="44"/>
        <v>-</v>
      </c>
      <c r="L157" s="596"/>
      <c r="M157" s="201" t="e">
        <f>RANK(K157, K$147:$K$176)</f>
        <v>#VALUE!</v>
      </c>
      <c r="N157" s="614"/>
      <c r="O157" s="614"/>
      <c r="P157" s="182"/>
      <c r="Q157" s="182"/>
      <c r="R157" s="182"/>
      <c r="S157" s="301" t="e">
        <f t="shared" si="45"/>
        <v>#N/A</v>
      </c>
      <c r="T157" s="636"/>
      <c r="U157" s="182"/>
      <c r="V157" s="182"/>
      <c r="W157" s="182"/>
      <c r="X157" s="301" t="e">
        <f t="shared" si="46"/>
        <v>#N/A</v>
      </c>
      <c r="Y157" s="636"/>
      <c r="Z157" s="182"/>
      <c r="AA157" s="182"/>
      <c r="AB157" s="182"/>
      <c r="AC157" s="301" t="e">
        <f t="shared" si="47"/>
        <v>#N/A</v>
      </c>
      <c r="AD157" s="636"/>
      <c r="AE157" s="182"/>
      <c r="AF157" s="182"/>
      <c r="AG157" s="182"/>
      <c r="AH157" s="301" t="e">
        <f t="shared" si="48"/>
        <v>#N/A</v>
      </c>
      <c r="AI157" s="636"/>
      <c r="AJ157" s="182"/>
      <c r="AK157" s="182"/>
      <c r="AL157" s="182"/>
      <c r="AM157" s="301" t="e">
        <f t="shared" si="49"/>
        <v>#N/A</v>
      </c>
      <c r="AN157" s="636"/>
      <c r="AO157" s="182"/>
      <c r="AP157" s="182"/>
      <c r="AQ157" s="182"/>
      <c r="AR157" s="301" t="e">
        <f t="shared" si="50"/>
        <v>#N/A</v>
      </c>
      <c r="AS157" s="636"/>
      <c r="AT157" s="182"/>
      <c r="AU157" s="182"/>
      <c r="AV157" s="182"/>
      <c r="AW157" s="301" t="e">
        <f t="shared" si="51"/>
        <v>#N/A</v>
      </c>
      <c r="AX157" s="636"/>
      <c r="AZ157" s="524" t="e">
        <f t="shared" si="52"/>
        <v>#N/A</v>
      </c>
      <c r="BA157" s="636"/>
    </row>
    <row r="158" spans="2:53">
      <c r="B158" s="622"/>
      <c r="C158" s="301">
        <v>12</v>
      </c>
      <c r="D158" s="226"/>
      <c r="E158" s="182"/>
      <c r="F158" s="466"/>
      <c r="G158" s="467"/>
      <c r="H158" s="664"/>
      <c r="I158" s="516" t="str">
        <f t="shared" si="42"/>
        <v>-</v>
      </c>
      <c r="J158" s="516" t="str">
        <f t="shared" si="43"/>
        <v>-</v>
      </c>
      <c r="K158" s="200" t="str">
        <f t="shared" si="44"/>
        <v>-</v>
      </c>
      <c r="L158" s="596"/>
      <c r="M158" s="201" t="e">
        <f>RANK(K158, K$147:$K$176)</f>
        <v>#VALUE!</v>
      </c>
      <c r="N158" s="614"/>
      <c r="O158" s="614"/>
      <c r="P158" s="182"/>
      <c r="Q158" s="182"/>
      <c r="R158" s="182"/>
      <c r="S158" s="301" t="e">
        <f t="shared" si="45"/>
        <v>#N/A</v>
      </c>
      <c r="T158" s="636"/>
      <c r="U158" s="182"/>
      <c r="V158" s="182"/>
      <c r="W158" s="182"/>
      <c r="X158" s="301" t="e">
        <f t="shared" si="46"/>
        <v>#N/A</v>
      </c>
      <c r="Y158" s="636"/>
      <c r="Z158" s="182"/>
      <c r="AA158" s="182"/>
      <c r="AB158" s="182"/>
      <c r="AC158" s="301" t="e">
        <f t="shared" si="47"/>
        <v>#N/A</v>
      </c>
      <c r="AD158" s="636"/>
      <c r="AE158" s="182"/>
      <c r="AF158" s="182"/>
      <c r="AG158" s="182"/>
      <c r="AH158" s="301" t="e">
        <f t="shared" si="48"/>
        <v>#N/A</v>
      </c>
      <c r="AI158" s="636"/>
      <c r="AJ158" s="182"/>
      <c r="AK158" s="182"/>
      <c r="AL158" s="182"/>
      <c r="AM158" s="301" t="e">
        <f t="shared" si="49"/>
        <v>#N/A</v>
      </c>
      <c r="AN158" s="636"/>
      <c r="AO158" s="182"/>
      <c r="AP158" s="182"/>
      <c r="AQ158" s="182"/>
      <c r="AR158" s="301" t="e">
        <f t="shared" si="50"/>
        <v>#N/A</v>
      </c>
      <c r="AS158" s="636"/>
      <c r="AT158" s="182"/>
      <c r="AU158" s="182"/>
      <c r="AV158" s="182"/>
      <c r="AW158" s="301" t="e">
        <f t="shared" si="51"/>
        <v>#N/A</v>
      </c>
      <c r="AX158" s="636"/>
      <c r="AZ158" s="524" t="e">
        <f t="shared" si="52"/>
        <v>#N/A</v>
      </c>
      <c r="BA158" s="636"/>
    </row>
    <row r="159" spans="2:53">
      <c r="B159" s="622"/>
      <c r="C159" s="301">
        <v>13</v>
      </c>
      <c r="D159" s="226"/>
      <c r="E159" s="182"/>
      <c r="F159" s="466"/>
      <c r="G159" s="467"/>
      <c r="H159" s="664"/>
      <c r="I159" s="516" t="str">
        <f t="shared" si="42"/>
        <v>-</v>
      </c>
      <c r="J159" s="516" t="str">
        <f t="shared" si="43"/>
        <v>-</v>
      </c>
      <c r="K159" s="200" t="str">
        <f t="shared" si="44"/>
        <v>-</v>
      </c>
      <c r="L159" s="596"/>
      <c r="M159" s="201" t="e">
        <f>RANK(K159, K$147:$K$176)</f>
        <v>#VALUE!</v>
      </c>
      <c r="N159" s="614"/>
      <c r="O159" s="614"/>
      <c r="P159" s="182"/>
      <c r="Q159" s="182"/>
      <c r="R159" s="182"/>
      <c r="S159" s="301" t="e">
        <f t="shared" si="45"/>
        <v>#N/A</v>
      </c>
      <c r="T159" s="636"/>
      <c r="U159" s="182"/>
      <c r="V159" s="182"/>
      <c r="W159" s="182"/>
      <c r="X159" s="301" t="e">
        <f t="shared" si="46"/>
        <v>#N/A</v>
      </c>
      <c r="Y159" s="636"/>
      <c r="Z159" s="182"/>
      <c r="AA159" s="182"/>
      <c r="AB159" s="182"/>
      <c r="AC159" s="301" t="e">
        <f t="shared" si="47"/>
        <v>#N/A</v>
      </c>
      <c r="AD159" s="636"/>
      <c r="AE159" s="182"/>
      <c r="AF159" s="182"/>
      <c r="AG159" s="182"/>
      <c r="AH159" s="301" t="e">
        <f t="shared" si="48"/>
        <v>#N/A</v>
      </c>
      <c r="AI159" s="636"/>
      <c r="AJ159" s="182"/>
      <c r="AK159" s="182"/>
      <c r="AL159" s="182"/>
      <c r="AM159" s="301" t="e">
        <f t="shared" si="49"/>
        <v>#N/A</v>
      </c>
      <c r="AN159" s="636"/>
      <c r="AO159" s="182"/>
      <c r="AP159" s="182"/>
      <c r="AQ159" s="182"/>
      <c r="AR159" s="301" t="e">
        <f t="shared" si="50"/>
        <v>#N/A</v>
      </c>
      <c r="AS159" s="636"/>
      <c r="AT159" s="182"/>
      <c r="AU159" s="182"/>
      <c r="AV159" s="182"/>
      <c r="AW159" s="301" t="e">
        <f t="shared" si="51"/>
        <v>#N/A</v>
      </c>
      <c r="AX159" s="636"/>
      <c r="AZ159" s="524" t="e">
        <f t="shared" si="52"/>
        <v>#N/A</v>
      </c>
      <c r="BA159" s="636"/>
    </row>
    <row r="160" spans="2:53">
      <c r="B160" s="622"/>
      <c r="C160" s="301">
        <v>14</v>
      </c>
      <c r="D160" s="226"/>
      <c r="E160" s="182"/>
      <c r="F160" s="466"/>
      <c r="G160" s="467"/>
      <c r="H160" s="664"/>
      <c r="I160" s="516" t="str">
        <f t="shared" si="42"/>
        <v>-</v>
      </c>
      <c r="J160" s="516" t="str">
        <f t="shared" si="43"/>
        <v>-</v>
      </c>
      <c r="K160" s="200" t="str">
        <f t="shared" si="44"/>
        <v>-</v>
      </c>
      <c r="L160" s="596"/>
      <c r="M160" s="201" t="e">
        <f>RANK(K160, K$147:$K$176)</f>
        <v>#VALUE!</v>
      </c>
      <c r="N160" s="614"/>
      <c r="O160" s="614"/>
      <c r="P160" s="182"/>
      <c r="Q160" s="182"/>
      <c r="R160" s="182"/>
      <c r="S160" s="301" t="e">
        <f t="shared" si="45"/>
        <v>#N/A</v>
      </c>
      <c r="T160" s="636"/>
      <c r="U160" s="182"/>
      <c r="V160" s="182"/>
      <c r="W160" s="182"/>
      <c r="X160" s="301" t="e">
        <f t="shared" si="46"/>
        <v>#N/A</v>
      </c>
      <c r="Y160" s="636"/>
      <c r="Z160" s="182"/>
      <c r="AA160" s="182"/>
      <c r="AB160" s="182"/>
      <c r="AC160" s="301" t="e">
        <f t="shared" si="47"/>
        <v>#N/A</v>
      </c>
      <c r="AD160" s="636"/>
      <c r="AE160" s="182"/>
      <c r="AF160" s="182"/>
      <c r="AG160" s="182"/>
      <c r="AH160" s="301" t="e">
        <f t="shared" si="48"/>
        <v>#N/A</v>
      </c>
      <c r="AI160" s="636"/>
      <c r="AJ160" s="182"/>
      <c r="AK160" s="182"/>
      <c r="AL160" s="182"/>
      <c r="AM160" s="301" t="e">
        <f t="shared" si="49"/>
        <v>#N/A</v>
      </c>
      <c r="AN160" s="636"/>
      <c r="AO160" s="182"/>
      <c r="AP160" s="182"/>
      <c r="AQ160" s="182"/>
      <c r="AR160" s="301" t="e">
        <f t="shared" si="50"/>
        <v>#N/A</v>
      </c>
      <c r="AS160" s="636"/>
      <c r="AT160" s="182"/>
      <c r="AU160" s="182"/>
      <c r="AV160" s="182"/>
      <c r="AW160" s="301" t="e">
        <f t="shared" si="51"/>
        <v>#N/A</v>
      </c>
      <c r="AX160" s="636"/>
      <c r="AZ160" s="524" t="e">
        <f t="shared" si="52"/>
        <v>#N/A</v>
      </c>
      <c r="BA160" s="636"/>
    </row>
    <row r="161" spans="2:53">
      <c r="B161" s="622"/>
      <c r="C161" s="301">
        <v>15</v>
      </c>
      <c r="D161" s="226"/>
      <c r="E161" s="182"/>
      <c r="F161" s="466"/>
      <c r="G161" s="467"/>
      <c r="H161" s="664"/>
      <c r="I161" s="516" t="str">
        <f t="shared" si="42"/>
        <v>-</v>
      </c>
      <c r="J161" s="516" t="str">
        <f t="shared" si="43"/>
        <v>-</v>
      </c>
      <c r="K161" s="200" t="str">
        <f t="shared" si="44"/>
        <v>-</v>
      </c>
      <c r="L161" s="596"/>
      <c r="M161" s="199" t="e">
        <f>RANK(K161, K$147:$K$176)</f>
        <v>#VALUE!</v>
      </c>
      <c r="N161" s="614"/>
      <c r="O161" s="614"/>
      <c r="P161" s="182"/>
      <c r="Q161" s="182"/>
      <c r="R161" s="182"/>
      <c r="S161" s="301" t="e">
        <f t="shared" ref="S161:S175" si="53">RANK(R161, R$147:R$176)</f>
        <v>#N/A</v>
      </c>
      <c r="T161" s="636"/>
      <c r="U161" s="182"/>
      <c r="V161" s="182"/>
      <c r="W161" s="182"/>
      <c r="X161" s="301" t="e">
        <f t="shared" ref="X161:X175" si="54">RANK(W161, W$147:W$176)</f>
        <v>#N/A</v>
      </c>
      <c r="Y161" s="636"/>
      <c r="Z161" s="182"/>
      <c r="AA161" s="182"/>
      <c r="AB161" s="182"/>
      <c r="AC161" s="301" t="e">
        <f t="shared" ref="AC161:AC175" si="55">RANK(AB161, AB$147:AB$176)</f>
        <v>#N/A</v>
      </c>
      <c r="AD161" s="636"/>
      <c r="AE161" s="182"/>
      <c r="AF161" s="182"/>
      <c r="AG161" s="182"/>
      <c r="AH161" s="301" t="e">
        <f t="shared" ref="AH161:AH175" si="56">RANK(AG161, AG$147:AG$176)</f>
        <v>#N/A</v>
      </c>
      <c r="AI161" s="636"/>
      <c r="AJ161" s="182"/>
      <c r="AK161" s="182"/>
      <c r="AL161" s="182"/>
      <c r="AM161" s="301" t="e">
        <f t="shared" ref="AM161:AM175" si="57">RANK(AL161, AL$147:AL$176)</f>
        <v>#N/A</v>
      </c>
      <c r="AN161" s="636"/>
      <c r="AO161" s="182"/>
      <c r="AP161" s="182"/>
      <c r="AQ161" s="182"/>
      <c r="AR161" s="301" t="e">
        <f t="shared" ref="AR161:AR175" si="58">RANK(AQ161, AQ$147:AQ$176)</f>
        <v>#N/A</v>
      </c>
      <c r="AS161" s="636"/>
      <c r="AT161" s="182"/>
      <c r="AU161" s="182"/>
      <c r="AV161" s="182"/>
      <c r="AW161" s="301" t="e">
        <f t="shared" ref="AW161:AW175" si="59">RANK(AV161, AV$147:AV$176)</f>
        <v>#N/A</v>
      </c>
      <c r="AX161" s="636"/>
      <c r="AZ161" s="524" t="e">
        <f t="shared" si="52"/>
        <v>#N/A</v>
      </c>
      <c r="BA161" s="636"/>
    </row>
    <row r="162" spans="2:53">
      <c r="B162" s="622"/>
      <c r="C162" s="301">
        <v>16</v>
      </c>
      <c r="D162" s="226"/>
      <c r="E162" s="182"/>
      <c r="F162" s="466"/>
      <c r="G162" s="467"/>
      <c r="H162" s="664"/>
      <c r="I162" s="516" t="str">
        <f t="shared" si="42"/>
        <v>-</v>
      </c>
      <c r="J162" s="516" t="str">
        <f t="shared" si="43"/>
        <v>-</v>
      </c>
      <c r="K162" s="200" t="str">
        <f t="shared" si="44"/>
        <v>-</v>
      </c>
      <c r="L162" s="596"/>
      <c r="M162" s="199" t="e">
        <f>RANK(K162, K$147:$K$176)</f>
        <v>#VALUE!</v>
      </c>
      <c r="N162" s="614"/>
      <c r="O162" s="614"/>
      <c r="P162" s="182"/>
      <c r="Q162" s="182"/>
      <c r="R162" s="182"/>
      <c r="S162" s="301" t="e">
        <f t="shared" si="53"/>
        <v>#N/A</v>
      </c>
      <c r="T162" s="636"/>
      <c r="U162" s="182"/>
      <c r="V162" s="182"/>
      <c r="W162" s="182"/>
      <c r="X162" s="301" t="e">
        <f t="shared" si="54"/>
        <v>#N/A</v>
      </c>
      <c r="Y162" s="636"/>
      <c r="Z162" s="182"/>
      <c r="AA162" s="182"/>
      <c r="AB162" s="182"/>
      <c r="AC162" s="301" t="e">
        <f t="shared" si="55"/>
        <v>#N/A</v>
      </c>
      <c r="AD162" s="636"/>
      <c r="AE162" s="182"/>
      <c r="AF162" s="182"/>
      <c r="AG162" s="182"/>
      <c r="AH162" s="301" t="e">
        <f t="shared" si="56"/>
        <v>#N/A</v>
      </c>
      <c r="AI162" s="636"/>
      <c r="AJ162" s="182"/>
      <c r="AK162" s="182"/>
      <c r="AL162" s="182"/>
      <c r="AM162" s="301" t="e">
        <f t="shared" si="57"/>
        <v>#N/A</v>
      </c>
      <c r="AN162" s="636"/>
      <c r="AO162" s="182"/>
      <c r="AP162" s="182"/>
      <c r="AQ162" s="182"/>
      <c r="AR162" s="301" t="e">
        <f t="shared" si="58"/>
        <v>#N/A</v>
      </c>
      <c r="AS162" s="636"/>
      <c r="AT162" s="182"/>
      <c r="AU162" s="182"/>
      <c r="AV162" s="182"/>
      <c r="AW162" s="301" t="e">
        <f t="shared" si="59"/>
        <v>#N/A</v>
      </c>
      <c r="AX162" s="636"/>
      <c r="AZ162" s="524" t="e">
        <f t="shared" si="52"/>
        <v>#N/A</v>
      </c>
      <c r="BA162" s="636"/>
    </row>
    <row r="163" spans="2:53">
      <c r="B163" s="622"/>
      <c r="C163" s="301">
        <v>17</v>
      </c>
      <c r="D163" s="226"/>
      <c r="E163" s="182"/>
      <c r="F163" s="466"/>
      <c r="G163" s="467"/>
      <c r="H163" s="664"/>
      <c r="I163" s="516" t="str">
        <f t="shared" si="42"/>
        <v>-</v>
      </c>
      <c r="J163" s="516" t="str">
        <f t="shared" si="43"/>
        <v>-</v>
      </c>
      <c r="K163" s="200" t="str">
        <f t="shared" si="44"/>
        <v>-</v>
      </c>
      <c r="L163" s="596"/>
      <c r="M163" s="199" t="e">
        <f>RANK(K163, K$147:$K$176)</f>
        <v>#VALUE!</v>
      </c>
      <c r="N163" s="614"/>
      <c r="O163" s="614"/>
      <c r="P163" s="182"/>
      <c r="Q163" s="182"/>
      <c r="R163" s="182"/>
      <c r="S163" s="301" t="e">
        <f t="shared" si="53"/>
        <v>#N/A</v>
      </c>
      <c r="T163" s="636"/>
      <c r="U163" s="182"/>
      <c r="V163" s="182"/>
      <c r="W163" s="182"/>
      <c r="X163" s="301" t="e">
        <f t="shared" si="54"/>
        <v>#N/A</v>
      </c>
      <c r="Y163" s="636"/>
      <c r="Z163" s="182"/>
      <c r="AA163" s="182"/>
      <c r="AB163" s="182"/>
      <c r="AC163" s="301" t="e">
        <f t="shared" si="55"/>
        <v>#N/A</v>
      </c>
      <c r="AD163" s="636"/>
      <c r="AE163" s="182"/>
      <c r="AF163" s="182"/>
      <c r="AG163" s="182"/>
      <c r="AH163" s="301" t="e">
        <f t="shared" si="56"/>
        <v>#N/A</v>
      </c>
      <c r="AI163" s="636"/>
      <c r="AJ163" s="182"/>
      <c r="AK163" s="182"/>
      <c r="AL163" s="182"/>
      <c r="AM163" s="301" t="e">
        <f t="shared" si="57"/>
        <v>#N/A</v>
      </c>
      <c r="AN163" s="636"/>
      <c r="AO163" s="182"/>
      <c r="AP163" s="182"/>
      <c r="AQ163" s="182"/>
      <c r="AR163" s="301" t="e">
        <f t="shared" si="58"/>
        <v>#N/A</v>
      </c>
      <c r="AS163" s="636"/>
      <c r="AT163" s="182"/>
      <c r="AU163" s="182"/>
      <c r="AV163" s="182"/>
      <c r="AW163" s="301" t="e">
        <f t="shared" si="59"/>
        <v>#N/A</v>
      </c>
      <c r="AX163" s="636"/>
      <c r="AZ163" s="524" t="e">
        <f t="shared" si="52"/>
        <v>#N/A</v>
      </c>
      <c r="BA163" s="636"/>
    </row>
    <row r="164" spans="2:53">
      <c r="B164" s="622"/>
      <c r="C164" s="301">
        <v>18</v>
      </c>
      <c r="D164" s="226"/>
      <c r="E164" s="182"/>
      <c r="F164" s="466"/>
      <c r="G164" s="467"/>
      <c r="H164" s="664"/>
      <c r="I164" s="516" t="str">
        <f t="shared" si="42"/>
        <v>-</v>
      </c>
      <c r="J164" s="516" t="str">
        <f t="shared" si="43"/>
        <v>-</v>
      </c>
      <c r="K164" s="200" t="str">
        <f t="shared" si="44"/>
        <v>-</v>
      </c>
      <c r="L164" s="596"/>
      <c r="M164" s="199" t="e">
        <f>RANK(K164, K$147:$K$176)</f>
        <v>#VALUE!</v>
      </c>
      <c r="N164" s="614"/>
      <c r="O164" s="614"/>
      <c r="P164" s="182"/>
      <c r="Q164" s="182"/>
      <c r="R164" s="182"/>
      <c r="S164" s="301" t="e">
        <f t="shared" si="53"/>
        <v>#N/A</v>
      </c>
      <c r="T164" s="636"/>
      <c r="U164" s="182"/>
      <c r="V164" s="182"/>
      <c r="W164" s="182"/>
      <c r="X164" s="301" t="e">
        <f t="shared" si="54"/>
        <v>#N/A</v>
      </c>
      <c r="Y164" s="636"/>
      <c r="Z164" s="182"/>
      <c r="AA164" s="182"/>
      <c r="AB164" s="182"/>
      <c r="AC164" s="301" t="e">
        <f t="shared" si="55"/>
        <v>#N/A</v>
      </c>
      <c r="AD164" s="636"/>
      <c r="AE164" s="182"/>
      <c r="AF164" s="182"/>
      <c r="AG164" s="182"/>
      <c r="AH164" s="301" t="e">
        <f t="shared" si="56"/>
        <v>#N/A</v>
      </c>
      <c r="AI164" s="636"/>
      <c r="AJ164" s="182"/>
      <c r="AK164" s="182"/>
      <c r="AL164" s="182"/>
      <c r="AM164" s="301" t="e">
        <f t="shared" si="57"/>
        <v>#N/A</v>
      </c>
      <c r="AN164" s="636"/>
      <c r="AO164" s="182"/>
      <c r="AP164" s="182"/>
      <c r="AQ164" s="182"/>
      <c r="AR164" s="301" t="e">
        <f t="shared" si="58"/>
        <v>#N/A</v>
      </c>
      <c r="AS164" s="636"/>
      <c r="AT164" s="182"/>
      <c r="AU164" s="182"/>
      <c r="AV164" s="182"/>
      <c r="AW164" s="301" t="e">
        <f t="shared" si="59"/>
        <v>#N/A</v>
      </c>
      <c r="AX164" s="636"/>
      <c r="AZ164" s="524" t="e">
        <f t="shared" si="52"/>
        <v>#N/A</v>
      </c>
      <c r="BA164" s="636"/>
    </row>
    <row r="165" spans="2:53">
      <c r="B165" s="622"/>
      <c r="C165" s="301">
        <v>19</v>
      </c>
      <c r="D165" s="226"/>
      <c r="E165" s="182"/>
      <c r="F165" s="466"/>
      <c r="G165" s="467"/>
      <c r="H165" s="664"/>
      <c r="I165" s="516" t="str">
        <f t="shared" si="42"/>
        <v>-</v>
      </c>
      <c r="J165" s="516" t="str">
        <f t="shared" si="43"/>
        <v>-</v>
      </c>
      <c r="K165" s="200" t="str">
        <f t="shared" si="44"/>
        <v>-</v>
      </c>
      <c r="L165" s="596"/>
      <c r="M165" s="199" t="e">
        <f>RANK(K165, K$147:$K$176)</f>
        <v>#VALUE!</v>
      </c>
      <c r="N165" s="614"/>
      <c r="O165" s="614"/>
      <c r="P165" s="182"/>
      <c r="Q165" s="182"/>
      <c r="R165" s="182"/>
      <c r="S165" s="301" t="e">
        <f t="shared" si="53"/>
        <v>#N/A</v>
      </c>
      <c r="T165" s="636"/>
      <c r="U165" s="182"/>
      <c r="V165" s="182"/>
      <c r="W165" s="182"/>
      <c r="X165" s="301" t="e">
        <f t="shared" si="54"/>
        <v>#N/A</v>
      </c>
      <c r="Y165" s="636"/>
      <c r="Z165" s="182"/>
      <c r="AA165" s="182"/>
      <c r="AB165" s="182"/>
      <c r="AC165" s="301" t="e">
        <f t="shared" si="55"/>
        <v>#N/A</v>
      </c>
      <c r="AD165" s="636"/>
      <c r="AE165" s="182"/>
      <c r="AF165" s="182"/>
      <c r="AG165" s="182"/>
      <c r="AH165" s="301" t="e">
        <f t="shared" si="56"/>
        <v>#N/A</v>
      </c>
      <c r="AI165" s="636"/>
      <c r="AJ165" s="182"/>
      <c r="AK165" s="182"/>
      <c r="AL165" s="182"/>
      <c r="AM165" s="301" t="e">
        <f t="shared" si="57"/>
        <v>#N/A</v>
      </c>
      <c r="AN165" s="636"/>
      <c r="AO165" s="182"/>
      <c r="AP165" s="182"/>
      <c r="AQ165" s="182"/>
      <c r="AR165" s="301" t="e">
        <f t="shared" si="58"/>
        <v>#N/A</v>
      </c>
      <c r="AS165" s="636"/>
      <c r="AT165" s="182"/>
      <c r="AU165" s="182"/>
      <c r="AV165" s="182"/>
      <c r="AW165" s="301" t="e">
        <f t="shared" si="59"/>
        <v>#N/A</v>
      </c>
      <c r="AX165" s="636"/>
      <c r="AZ165" s="524" t="e">
        <f t="shared" si="52"/>
        <v>#N/A</v>
      </c>
      <c r="BA165" s="636"/>
    </row>
    <row r="166" spans="2:53">
      <c r="B166" s="622"/>
      <c r="C166" s="301">
        <v>20</v>
      </c>
      <c r="D166" s="226"/>
      <c r="E166" s="182"/>
      <c r="F166" s="466"/>
      <c r="G166" s="467"/>
      <c r="H166" s="664"/>
      <c r="I166" s="516" t="str">
        <f t="shared" si="42"/>
        <v>-</v>
      </c>
      <c r="J166" s="516" t="str">
        <f t="shared" si="43"/>
        <v>-</v>
      </c>
      <c r="K166" s="200" t="str">
        <f t="shared" si="44"/>
        <v>-</v>
      </c>
      <c r="L166" s="596"/>
      <c r="M166" s="199" t="e">
        <f>RANK(K166, K$147:$K$176)</f>
        <v>#VALUE!</v>
      </c>
      <c r="N166" s="614"/>
      <c r="O166" s="614"/>
      <c r="P166" s="182"/>
      <c r="Q166" s="182"/>
      <c r="R166" s="182"/>
      <c r="S166" s="301" t="e">
        <f t="shared" si="53"/>
        <v>#N/A</v>
      </c>
      <c r="T166" s="636"/>
      <c r="U166" s="182"/>
      <c r="V166" s="182"/>
      <c r="W166" s="182"/>
      <c r="X166" s="301" t="e">
        <f t="shared" si="54"/>
        <v>#N/A</v>
      </c>
      <c r="Y166" s="636"/>
      <c r="Z166" s="182"/>
      <c r="AA166" s="182"/>
      <c r="AB166" s="182"/>
      <c r="AC166" s="301" t="e">
        <f t="shared" si="55"/>
        <v>#N/A</v>
      </c>
      <c r="AD166" s="636"/>
      <c r="AE166" s="182"/>
      <c r="AF166" s="182"/>
      <c r="AG166" s="182"/>
      <c r="AH166" s="301" t="e">
        <f t="shared" si="56"/>
        <v>#N/A</v>
      </c>
      <c r="AI166" s="636"/>
      <c r="AJ166" s="182"/>
      <c r="AK166" s="182"/>
      <c r="AL166" s="182"/>
      <c r="AM166" s="301" t="e">
        <f t="shared" si="57"/>
        <v>#N/A</v>
      </c>
      <c r="AN166" s="636"/>
      <c r="AO166" s="182"/>
      <c r="AP166" s="182"/>
      <c r="AQ166" s="182"/>
      <c r="AR166" s="301" t="e">
        <f t="shared" si="58"/>
        <v>#N/A</v>
      </c>
      <c r="AS166" s="636"/>
      <c r="AT166" s="182"/>
      <c r="AU166" s="182"/>
      <c r="AV166" s="182"/>
      <c r="AW166" s="301" t="e">
        <f t="shared" si="59"/>
        <v>#N/A</v>
      </c>
      <c r="AX166" s="636"/>
      <c r="AZ166" s="524" t="e">
        <f t="shared" si="52"/>
        <v>#N/A</v>
      </c>
      <c r="BA166" s="636"/>
    </row>
    <row r="167" spans="2:53">
      <c r="B167" s="622"/>
      <c r="C167" s="301">
        <v>21</v>
      </c>
      <c r="D167" s="226"/>
      <c r="E167" s="182"/>
      <c r="F167" s="466"/>
      <c r="G167" s="467"/>
      <c r="H167" s="664"/>
      <c r="I167" s="516" t="str">
        <f t="shared" si="42"/>
        <v>-</v>
      </c>
      <c r="J167" s="516" t="str">
        <f t="shared" si="43"/>
        <v>-</v>
      </c>
      <c r="K167" s="200" t="str">
        <f t="shared" si="44"/>
        <v>-</v>
      </c>
      <c r="L167" s="596"/>
      <c r="M167" s="199" t="e">
        <f>RANK(K167, K$147:$K$176)</f>
        <v>#VALUE!</v>
      </c>
      <c r="N167" s="614"/>
      <c r="O167" s="614"/>
      <c r="P167" s="182"/>
      <c r="Q167" s="182"/>
      <c r="R167" s="182"/>
      <c r="S167" s="301" t="e">
        <f t="shared" si="53"/>
        <v>#N/A</v>
      </c>
      <c r="T167" s="636"/>
      <c r="U167" s="182"/>
      <c r="V167" s="182"/>
      <c r="W167" s="182"/>
      <c r="X167" s="301" t="e">
        <f t="shared" si="54"/>
        <v>#N/A</v>
      </c>
      <c r="Y167" s="636"/>
      <c r="Z167" s="182"/>
      <c r="AA167" s="182"/>
      <c r="AB167" s="182"/>
      <c r="AC167" s="301" t="e">
        <f t="shared" si="55"/>
        <v>#N/A</v>
      </c>
      <c r="AD167" s="636"/>
      <c r="AE167" s="182"/>
      <c r="AF167" s="182"/>
      <c r="AG167" s="182"/>
      <c r="AH167" s="301" t="e">
        <f t="shared" si="56"/>
        <v>#N/A</v>
      </c>
      <c r="AI167" s="636"/>
      <c r="AJ167" s="182"/>
      <c r="AK167" s="182"/>
      <c r="AL167" s="182"/>
      <c r="AM167" s="301" t="e">
        <f t="shared" si="57"/>
        <v>#N/A</v>
      </c>
      <c r="AN167" s="636"/>
      <c r="AO167" s="182"/>
      <c r="AP167" s="182"/>
      <c r="AQ167" s="182"/>
      <c r="AR167" s="301" t="e">
        <f t="shared" si="58"/>
        <v>#N/A</v>
      </c>
      <c r="AS167" s="636"/>
      <c r="AT167" s="182"/>
      <c r="AU167" s="182"/>
      <c r="AV167" s="182"/>
      <c r="AW167" s="301" t="e">
        <f t="shared" si="59"/>
        <v>#N/A</v>
      </c>
      <c r="AX167" s="636"/>
      <c r="AZ167" s="524" t="e">
        <f t="shared" si="52"/>
        <v>#N/A</v>
      </c>
      <c r="BA167" s="636"/>
    </row>
    <row r="168" spans="2:53">
      <c r="B168" s="622"/>
      <c r="C168" s="301">
        <v>22</v>
      </c>
      <c r="D168" s="226"/>
      <c r="E168" s="182"/>
      <c r="F168" s="466"/>
      <c r="G168" s="467"/>
      <c r="H168" s="664"/>
      <c r="I168" s="516" t="str">
        <f t="shared" si="42"/>
        <v>-</v>
      </c>
      <c r="J168" s="516" t="str">
        <f t="shared" si="43"/>
        <v>-</v>
      </c>
      <c r="K168" s="200" t="str">
        <f t="shared" si="44"/>
        <v>-</v>
      </c>
      <c r="L168" s="596"/>
      <c r="M168" s="199" t="e">
        <f>RANK(K168, K$147:$K$176)</f>
        <v>#VALUE!</v>
      </c>
      <c r="N168" s="614"/>
      <c r="O168" s="614"/>
      <c r="P168" s="182"/>
      <c r="Q168" s="182"/>
      <c r="R168" s="182"/>
      <c r="S168" s="301" t="e">
        <f t="shared" si="53"/>
        <v>#N/A</v>
      </c>
      <c r="T168" s="636"/>
      <c r="U168" s="182"/>
      <c r="V168" s="182"/>
      <c r="W168" s="182"/>
      <c r="X168" s="301" t="e">
        <f t="shared" si="54"/>
        <v>#N/A</v>
      </c>
      <c r="Y168" s="636"/>
      <c r="Z168" s="182"/>
      <c r="AA168" s="182"/>
      <c r="AB168" s="182"/>
      <c r="AC168" s="301" t="e">
        <f t="shared" si="55"/>
        <v>#N/A</v>
      </c>
      <c r="AD168" s="636"/>
      <c r="AE168" s="182"/>
      <c r="AF168" s="182"/>
      <c r="AG168" s="182"/>
      <c r="AH168" s="301" t="e">
        <f t="shared" si="56"/>
        <v>#N/A</v>
      </c>
      <c r="AI168" s="636"/>
      <c r="AJ168" s="182"/>
      <c r="AK168" s="182"/>
      <c r="AL168" s="182"/>
      <c r="AM168" s="301" t="e">
        <f t="shared" si="57"/>
        <v>#N/A</v>
      </c>
      <c r="AN168" s="636"/>
      <c r="AO168" s="182"/>
      <c r="AP168" s="182"/>
      <c r="AQ168" s="182"/>
      <c r="AR168" s="301" t="e">
        <f t="shared" si="58"/>
        <v>#N/A</v>
      </c>
      <c r="AS168" s="636"/>
      <c r="AT168" s="182"/>
      <c r="AU168" s="182"/>
      <c r="AV168" s="182"/>
      <c r="AW168" s="301" t="e">
        <f t="shared" si="59"/>
        <v>#N/A</v>
      </c>
      <c r="AX168" s="636"/>
      <c r="AZ168" s="524" t="e">
        <f t="shared" si="52"/>
        <v>#N/A</v>
      </c>
      <c r="BA168" s="636"/>
    </row>
    <row r="169" spans="2:53">
      <c r="B169" s="622"/>
      <c r="C169" s="301">
        <v>23</v>
      </c>
      <c r="D169" s="226"/>
      <c r="E169" s="182"/>
      <c r="F169" s="466"/>
      <c r="G169" s="467"/>
      <c r="H169" s="664"/>
      <c r="I169" s="516" t="str">
        <f t="shared" si="42"/>
        <v>-</v>
      </c>
      <c r="J169" s="516" t="str">
        <f t="shared" si="43"/>
        <v>-</v>
      </c>
      <c r="K169" s="200" t="str">
        <f t="shared" si="44"/>
        <v>-</v>
      </c>
      <c r="L169" s="596"/>
      <c r="M169" s="199" t="e">
        <f>RANK(K169, K$147:$K$176)</f>
        <v>#VALUE!</v>
      </c>
      <c r="N169" s="614"/>
      <c r="O169" s="614"/>
      <c r="P169" s="182"/>
      <c r="Q169" s="182"/>
      <c r="R169" s="182"/>
      <c r="S169" s="301" t="e">
        <f t="shared" si="53"/>
        <v>#N/A</v>
      </c>
      <c r="T169" s="636"/>
      <c r="U169" s="182"/>
      <c r="V169" s="182"/>
      <c r="W169" s="182"/>
      <c r="X169" s="301" t="e">
        <f t="shared" si="54"/>
        <v>#N/A</v>
      </c>
      <c r="Y169" s="636"/>
      <c r="Z169" s="182"/>
      <c r="AA169" s="182"/>
      <c r="AB169" s="182"/>
      <c r="AC169" s="301" t="e">
        <f t="shared" si="55"/>
        <v>#N/A</v>
      </c>
      <c r="AD169" s="636"/>
      <c r="AE169" s="182"/>
      <c r="AF169" s="182"/>
      <c r="AG169" s="182"/>
      <c r="AH169" s="301" t="e">
        <f t="shared" si="56"/>
        <v>#N/A</v>
      </c>
      <c r="AI169" s="636"/>
      <c r="AJ169" s="182"/>
      <c r="AK169" s="182"/>
      <c r="AL169" s="182"/>
      <c r="AM169" s="301" t="e">
        <f t="shared" si="57"/>
        <v>#N/A</v>
      </c>
      <c r="AN169" s="636"/>
      <c r="AO169" s="182"/>
      <c r="AP169" s="182"/>
      <c r="AQ169" s="182"/>
      <c r="AR169" s="301" t="e">
        <f t="shared" si="58"/>
        <v>#N/A</v>
      </c>
      <c r="AS169" s="636"/>
      <c r="AT169" s="182"/>
      <c r="AU169" s="182"/>
      <c r="AV169" s="182"/>
      <c r="AW169" s="301" t="e">
        <f t="shared" si="59"/>
        <v>#N/A</v>
      </c>
      <c r="AX169" s="636"/>
      <c r="AZ169" s="524" t="e">
        <f t="shared" si="52"/>
        <v>#N/A</v>
      </c>
      <c r="BA169" s="636"/>
    </row>
    <row r="170" spans="2:53">
      <c r="B170" s="622"/>
      <c r="C170" s="301">
        <v>24</v>
      </c>
      <c r="D170" s="226"/>
      <c r="E170" s="182"/>
      <c r="F170" s="466"/>
      <c r="G170" s="467"/>
      <c r="H170" s="664"/>
      <c r="I170" s="516" t="str">
        <f t="shared" si="42"/>
        <v>-</v>
      </c>
      <c r="J170" s="516" t="str">
        <f t="shared" si="43"/>
        <v>-</v>
      </c>
      <c r="K170" s="200" t="str">
        <f t="shared" si="44"/>
        <v>-</v>
      </c>
      <c r="L170" s="596"/>
      <c r="M170" s="199" t="e">
        <f>RANK(K170, K$147:$K$176)</f>
        <v>#VALUE!</v>
      </c>
      <c r="N170" s="614"/>
      <c r="O170" s="614"/>
      <c r="P170" s="182"/>
      <c r="Q170" s="182"/>
      <c r="R170" s="182"/>
      <c r="S170" s="301" t="e">
        <f t="shared" si="53"/>
        <v>#N/A</v>
      </c>
      <c r="T170" s="636"/>
      <c r="U170" s="182"/>
      <c r="V170" s="182"/>
      <c r="W170" s="182"/>
      <c r="X170" s="301" t="e">
        <f t="shared" si="54"/>
        <v>#N/A</v>
      </c>
      <c r="Y170" s="636"/>
      <c r="Z170" s="182"/>
      <c r="AA170" s="182"/>
      <c r="AB170" s="182"/>
      <c r="AC170" s="301" t="e">
        <f t="shared" si="55"/>
        <v>#N/A</v>
      </c>
      <c r="AD170" s="636"/>
      <c r="AE170" s="182"/>
      <c r="AF170" s="182"/>
      <c r="AG170" s="182"/>
      <c r="AH170" s="301" t="e">
        <f t="shared" si="56"/>
        <v>#N/A</v>
      </c>
      <c r="AI170" s="636"/>
      <c r="AJ170" s="182"/>
      <c r="AK170" s="182"/>
      <c r="AL170" s="182"/>
      <c r="AM170" s="301" t="e">
        <f t="shared" si="57"/>
        <v>#N/A</v>
      </c>
      <c r="AN170" s="636"/>
      <c r="AO170" s="182"/>
      <c r="AP170" s="182"/>
      <c r="AQ170" s="182"/>
      <c r="AR170" s="301" t="e">
        <f t="shared" si="58"/>
        <v>#N/A</v>
      </c>
      <c r="AS170" s="636"/>
      <c r="AT170" s="182"/>
      <c r="AU170" s="182"/>
      <c r="AV170" s="182"/>
      <c r="AW170" s="301" t="e">
        <f t="shared" si="59"/>
        <v>#N/A</v>
      </c>
      <c r="AX170" s="636"/>
      <c r="AZ170" s="524" t="e">
        <f t="shared" si="52"/>
        <v>#N/A</v>
      </c>
      <c r="BA170" s="636"/>
    </row>
    <row r="171" spans="2:53">
      <c r="B171" s="622"/>
      <c r="C171" s="301">
        <v>25</v>
      </c>
      <c r="D171" s="226"/>
      <c r="E171" s="182"/>
      <c r="F171" s="466"/>
      <c r="G171" s="467"/>
      <c r="H171" s="664"/>
      <c r="I171" s="516" t="str">
        <f t="shared" si="42"/>
        <v>-</v>
      </c>
      <c r="J171" s="516" t="str">
        <f t="shared" si="43"/>
        <v>-</v>
      </c>
      <c r="K171" s="200" t="str">
        <f t="shared" si="44"/>
        <v>-</v>
      </c>
      <c r="L171" s="596"/>
      <c r="M171" s="199" t="e">
        <f>RANK(K171, K$147:$K$176)</f>
        <v>#VALUE!</v>
      </c>
      <c r="N171" s="614"/>
      <c r="O171" s="614"/>
      <c r="P171" s="182"/>
      <c r="Q171" s="182"/>
      <c r="R171" s="182"/>
      <c r="S171" s="301" t="e">
        <f t="shared" si="53"/>
        <v>#N/A</v>
      </c>
      <c r="T171" s="636"/>
      <c r="U171" s="182"/>
      <c r="V171" s="182"/>
      <c r="W171" s="182"/>
      <c r="X171" s="301" t="e">
        <f t="shared" si="54"/>
        <v>#N/A</v>
      </c>
      <c r="Y171" s="636"/>
      <c r="Z171" s="182"/>
      <c r="AA171" s="182"/>
      <c r="AB171" s="182"/>
      <c r="AC171" s="301" t="e">
        <f t="shared" si="55"/>
        <v>#N/A</v>
      </c>
      <c r="AD171" s="636"/>
      <c r="AE171" s="182"/>
      <c r="AF171" s="182"/>
      <c r="AG171" s="182"/>
      <c r="AH171" s="301" t="e">
        <f t="shared" si="56"/>
        <v>#N/A</v>
      </c>
      <c r="AI171" s="636"/>
      <c r="AJ171" s="182"/>
      <c r="AK171" s="182"/>
      <c r="AL171" s="182"/>
      <c r="AM171" s="301" t="e">
        <f t="shared" si="57"/>
        <v>#N/A</v>
      </c>
      <c r="AN171" s="636"/>
      <c r="AO171" s="182"/>
      <c r="AP171" s="182"/>
      <c r="AQ171" s="182"/>
      <c r="AR171" s="301" t="e">
        <f t="shared" si="58"/>
        <v>#N/A</v>
      </c>
      <c r="AS171" s="636"/>
      <c r="AT171" s="182"/>
      <c r="AU171" s="182"/>
      <c r="AV171" s="182"/>
      <c r="AW171" s="301" t="e">
        <f t="shared" si="59"/>
        <v>#N/A</v>
      </c>
      <c r="AX171" s="636"/>
      <c r="AZ171" s="524" t="e">
        <f t="shared" si="52"/>
        <v>#N/A</v>
      </c>
      <c r="BA171" s="636"/>
    </row>
    <row r="172" spans="2:53">
      <c r="B172" s="622"/>
      <c r="C172" s="301">
        <v>26</v>
      </c>
      <c r="D172" s="226"/>
      <c r="E172" s="182"/>
      <c r="F172" s="466"/>
      <c r="G172" s="467"/>
      <c r="H172" s="664"/>
      <c r="I172" s="516" t="str">
        <f t="shared" si="42"/>
        <v>-</v>
      </c>
      <c r="J172" s="516" t="str">
        <f t="shared" si="43"/>
        <v>-</v>
      </c>
      <c r="K172" s="200" t="str">
        <f t="shared" si="44"/>
        <v>-</v>
      </c>
      <c r="L172" s="596"/>
      <c r="M172" s="199" t="e">
        <f>RANK(K172, K$147:$K$176)</f>
        <v>#VALUE!</v>
      </c>
      <c r="N172" s="614"/>
      <c r="O172" s="614"/>
      <c r="P172" s="182"/>
      <c r="Q172" s="182"/>
      <c r="R172" s="182"/>
      <c r="S172" s="301" t="e">
        <f t="shared" si="53"/>
        <v>#N/A</v>
      </c>
      <c r="T172" s="636"/>
      <c r="U172" s="182"/>
      <c r="V172" s="182"/>
      <c r="W172" s="182"/>
      <c r="X172" s="301" t="e">
        <f t="shared" si="54"/>
        <v>#N/A</v>
      </c>
      <c r="Y172" s="636"/>
      <c r="Z172" s="182"/>
      <c r="AA172" s="182"/>
      <c r="AB172" s="182"/>
      <c r="AC172" s="301" t="e">
        <f t="shared" si="55"/>
        <v>#N/A</v>
      </c>
      <c r="AD172" s="636"/>
      <c r="AE172" s="182"/>
      <c r="AF172" s="182"/>
      <c r="AG172" s="182"/>
      <c r="AH172" s="301" t="e">
        <f t="shared" si="56"/>
        <v>#N/A</v>
      </c>
      <c r="AI172" s="636"/>
      <c r="AJ172" s="182"/>
      <c r="AK172" s="182"/>
      <c r="AL172" s="182"/>
      <c r="AM172" s="301" t="e">
        <f t="shared" si="57"/>
        <v>#N/A</v>
      </c>
      <c r="AN172" s="636"/>
      <c r="AO172" s="182"/>
      <c r="AP172" s="182"/>
      <c r="AQ172" s="182"/>
      <c r="AR172" s="301" t="e">
        <f t="shared" si="58"/>
        <v>#N/A</v>
      </c>
      <c r="AS172" s="636"/>
      <c r="AT172" s="182"/>
      <c r="AU172" s="182"/>
      <c r="AV172" s="182"/>
      <c r="AW172" s="301" t="e">
        <f t="shared" si="59"/>
        <v>#N/A</v>
      </c>
      <c r="AX172" s="636"/>
      <c r="AZ172" s="524" t="e">
        <f t="shared" si="52"/>
        <v>#N/A</v>
      </c>
      <c r="BA172" s="636"/>
    </row>
    <row r="173" spans="2:53">
      <c r="B173" s="622"/>
      <c r="C173" s="301">
        <v>27</v>
      </c>
      <c r="D173" s="226"/>
      <c r="E173" s="182"/>
      <c r="F173" s="466"/>
      <c r="G173" s="467"/>
      <c r="H173" s="664"/>
      <c r="I173" s="516" t="str">
        <f t="shared" si="42"/>
        <v>-</v>
      </c>
      <c r="J173" s="516" t="str">
        <f t="shared" si="43"/>
        <v>-</v>
      </c>
      <c r="K173" s="200" t="str">
        <f t="shared" si="44"/>
        <v>-</v>
      </c>
      <c r="L173" s="596"/>
      <c r="M173" s="199" t="e">
        <f>RANK(K173, K$147:$K$176)</f>
        <v>#VALUE!</v>
      </c>
      <c r="N173" s="614"/>
      <c r="O173" s="614"/>
      <c r="P173" s="182"/>
      <c r="Q173" s="182"/>
      <c r="R173" s="182"/>
      <c r="S173" s="301" t="e">
        <f t="shared" si="53"/>
        <v>#N/A</v>
      </c>
      <c r="T173" s="636"/>
      <c r="U173" s="182"/>
      <c r="V173" s="182"/>
      <c r="W173" s="182"/>
      <c r="X173" s="301" t="e">
        <f t="shared" si="54"/>
        <v>#N/A</v>
      </c>
      <c r="Y173" s="636"/>
      <c r="Z173" s="182"/>
      <c r="AA173" s="182"/>
      <c r="AB173" s="182"/>
      <c r="AC173" s="301" t="e">
        <f t="shared" si="55"/>
        <v>#N/A</v>
      </c>
      <c r="AD173" s="636"/>
      <c r="AE173" s="182"/>
      <c r="AF173" s="182"/>
      <c r="AG173" s="182"/>
      <c r="AH173" s="301" t="e">
        <f t="shared" si="56"/>
        <v>#N/A</v>
      </c>
      <c r="AI173" s="636"/>
      <c r="AJ173" s="182"/>
      <c r="AK173" s="182"/>
      <c r="AL173" s="182"/>
      <c r="AM173" s="301" t="e">
        <f t="shared" si="57"/>
        <v>#N/A</v>
      </c>
      <c r="AN173" s="636"/>
      <c r="AO173" s="182"/>
      <c r="AP173" s="182"/>
      <c r="AQ173" s="182"/>
      <c r="AR173" s="301" t="e">
        <f t="shared" si="58"/>
        <v>#N/A</v>
      </c>
      <c r="AS173" s="636"/>
      <c r="AT173" s="182"/>
      <c r="AU173" s="182"/>
      <c r="AV173" s="182"/>
      <c r="AW173" s="301" t="e">
        <f t="shared" si="59"/>
        <v>#N/A</v>
      </c>
      <c r="AX173" s="636"/>
      <c r="AZ173" s="524" t="e">
        <f t="shared" si="52"/>
        <v>#N/A</v>
      </c>
      <c r="BA173" s="636"/>
    </row>
    <row r="174" spans="2:53">
      <c r="B174" s="622"/>
      <c r="C174" s="301">
        <v>28</v>
      </c>
      <c r="D174" s="226"/>
      <c r="E174" s="182"/>
      <c r="F174" s="466"/>
      <c r="G174" s="467"/>
      <c r="H174" s="664"/>
      <c r="I174" s="516" t="str">
        <f t="shared" si="42"/>
        <v>-</v>
      </c>
      <c r="J174" s="516" t="str">
        <f t="shared" si="43"/>
        <v>-</v>
      </c>
      <c r="K174" s="200" t="str">
        <f t="shared" si="44"/>
        <v>-</v>
      </c>
      <c r="L174" s="596"/>
      <c r="M174" s="199" t="e">
        <f>RANK(K174, K$147:$K$176)</f>
        <v>#VALUE!</v>
      </c>
      <c r="N174" s="614"/>
      <c r="O174" s="614"/>
      <c r="P174" s="182"/>
      <c r="Q174" s="182"/>
      <c r="R174" s="182"/>
      <c r="S174" s="301" t="e">
        <f t="shared" si="53"/>
        <v>#N/A</v>
      </c>
      <c r="T174" s="636"/>
      <c r="U174" s="182"/>
      <c r="V174" s="182"/>
      <c r="W174" s="182"/>
      <c r="X174" s="301" t="e">
        <f t="shared" si="54"/>
        <v>#N/A</v>
      </c>
      <c r="Y174" s="636"/>
      <c r="Z174" s="182"/>
      <c r="AA174" s="182"/>
      <c r="AB174" s="182"/>
      <c r="AC174" s="301" t="e">
        <f t="shared" si="55"/>
        <v>#N/A</v>
      </c>
      <c r="AD174" s="636"/>
      <c r="AE174" s="182"/>
      <c r="AF174" s="182"/>
      <c r="AG174" s="182"/>
      <c r="AH174" s="301" t="e">
        <f t="shared" si="56"/>
        <v>#N/A</v>
      </c>
      <c r="AI174" s="636"/>
      <c r="AJ174" s="182"/>
      <c r="AK174" s="182"/>
      <c r="AL174" s="182"/>
      <c r="AM174" s="301" t="e">
        <f t="shared" si="57"/>
        <v>#N/A</v>
      </c>
      <c r="AN174" s="636"/>
      <c r="AO174" s="182"/>
      <c r="AP174" s="182"/>
      <c r="AQ174" s="182"/>
      <c r="AR174" s="301" t="e">
        <f t="shared" si="58"/>
        <v>#N/A</v>
      </c>
      <c r="AS174" s="636"/>
      <c r="AT174" s="182"/>
      <c r="AU174" s="182"/>
      <c r="AV174" s="182"/>
      <c r="AW174" s="301" t="e">
        <f t="shared" si="59"/>
        <v>#N/A</v>
      </c>
      <c r="AX174" s="636"/>
      <c r="AZ174" s="524" t="e">
        <f t="shared" si="52"/>
        <v>#N/A</v>
      </c>
      <c r="BA174" s="636"/>
    </row>
    <row r="175" spans="2:53">
      <c r="B175" s="622"/>
      <c r="C175" s="301">
        <v>29</v>
      </c>
      <c r="D175" s="226"/>
      <c r="E175" s="182"/>
      <c r="F175" s="466"/>
      <c r="G175" s="467"/>
      <c r="H175" s="664"/>
      <c r="I175" s="516" t="str">
        <f t="shared" si="42"/>
        <v>-</v>
      </c>
      <c r="J175" s="516" t="str">
        <f t="shared" si="43"/>
        <v>-</v>
      </c>
      <c r="K175" s="200" t="str">
        <f t="shared" si="44"/>
        <v>-</v>
      </c>
      <c r="L175" s="596"/>
      <c r="M175" s="199" t="e">
        <f>RANK(K175, K$147:$K$176)</f>
        <v>#VALUE!</v>
      </c>
      <c r="N175" s="614"/>
      <c r="O175" s="614"/>
      <c r="P175" s="182"/>
      <c r="Q175" s="182"/>
      <c r="R175" s="182"/>
      <c r="S175" s="301" t="e">
        <f t="shared" si="53"/>
        <v>#N/A</v>
      </c>
      <c r="T175" s="636"/>
      <c r="U175" s="182"/>
      <c r="V175" s="182"/>
      <c r="W175" s="182"/>
      <c r="X175" s="301" t="e">
        <f t="shared" si="54"/>
        <v>#N/A</v>
      </c>
      <c r="Y175" s="636"/>
      <c r="Z175" s="182"/>
      <c r="AA175" s="182"/>
      <c r="AB175" s="182"/>
      <c r="AC175" s="301" t="e">
        <f t="shared" si="55"/>
        <v>#N/A</v>
      </c>
      <c r="AD175" s="636"/>
      <c r="AE175" s="182"/>
      <c r="AF175" s="182"/>
      <c r="AG175" s="182"/>
      <c r="AH175" s="301" t="e">
        <f t="shared" si="56"/>
        <v>#N/A</v>
      </c>
      <c r="AI175" s="636"/>
      <c r="AJ175" s="182"/>
      <c r="AK175" s="182"/>
      <c r="AL175" s="182"/>
      <c r="AM175" s="301" t="e">
        <f t="shared" si="57"/>
        <v>#N/A</v>
      </c>
      <c r="AN175" s="636"/>
      <c r="AO175" s="182"/>
      <c r="AP175" s="182"/>
      <c r="AQ175" s="182"/>
      <c r="AR175" s="301" t="e">
        <f t="shared" si="58"/>
        <v>#N/A</v>
      </c>
      <c r="AS175" s="636"/>
      <c r="AT175" s="182"/>
      <c r="AU175" s="182"/>
      <c r="AV175" s="182"/>
      <c r="AW175" s="301" t="e">
        <f t="shared" si="59"/>
        <v>#N/A</v>
      </c>
      <c r="AX175" s="636"/>
      <c r="AZ175" s="524" t="e">
        <f t="shared" si="52"/>
        <v>#N/A</v>
      </c>
      <c r="BA175" s="636"/>
    </row>
    <row r="176" spans="2:53">
      <c r="B176" s="622"/>
      <c r="C176" s="301">
        <v>30</v>
      </c>
      <c r="D176" s="226"/>
      <c r="E176" s="182"/>
      <c r="F176" s="466"/>
      <c r="G176" s="467"/>
      <c r="H176" s="665"/>
      <c r="I176" s="516" t="str">
        <f t="shared" si="42"/>
        <v>-</v>
      </c>
      <c r="J176" s="516" t="str">
        <f t="shared" si="43"/>
        <v>-</v>
      </c>
      <c r="K176" s="200" t="str">
        <f t="shared" si="44"/>
        <v>-</v>
      </c>
      <c r="L176" s="597"/>
      <c r="M176" s="199" t="e">
        <f>RANK(K176, K$147:$K$176)</f>
        <v>#VALUE!</v>
      </c>
      <c r="N176" s="614"/>
      <c r="O176" s="614"/>
      <c r="P176" s="182"/>
      <c r="Q176" s="182"/>
      <c r="R176" s="182"/>
      <c r="S176" s="301" t="e">
        <f t="shared" si="45"/>
        <v>#N/A</v>
      </c>
      <c r="T176" s="636"/>
      <c r="U176" s="182"/>
      <c r="V176" s="182"/>
      <c r="W176" s="182"/>
      <c r="X176" s="301" t="e">
        <f t="shared" si="46"/>
        <v>#N/A</v>
      </c>
      <c r="Y176" s="636"/>
      <c r="Z176" s="182"/>
      <c r="AA176" s="182"/>
      <c r="AB176" s="182"/>
      <c r="AC176" s="301" t="e">
        <f t="shared" si="47"/>
        <v>#N/A</v>
      </c>
      <c r="AD176" s="636"/>
      <c r="AE176" s="182"/>
      <c r="AF176" s="182"/>
      <c r="AG176" s="182"/>
      <c r="AH176" s="301" t="e">
        <f t="shared" si="48"/>
        <v>#N/A</v>
      </c>
      <c r="AI176" s="636"/>
      <c r="AJ176" s="182"/>
      <c r="AK176" s="182"/>
      <c r="AL176" s="182"/>
      <c r="AM176" s="301" t="e">
        <f t="shared" si="49"/>
        <v>#N/A</v>
      </c>
      <c r="AN176" s="636"/>
      <c r="AO176" s="182"/>
      <c r="AP176" s="182"/>
      <c r="AQ176" s="182"/>
      <c r="AR176" s="301" t="e">
        <f t="shared" si="50"/>
        <v>#N/A</v>
      </c>
      <c r="AS176" s="636"/>
      <c r="AT176" s="182"/>
      <c r="AU176" s="182"/>
      <c r="AV176" s="182"/>
      <c r="AW176" s="301" t="e">
        <f t="shared" si="51"/>
        <v>#N/A</v>
      </c>
      <c r="AX176" s="636"/>
      <c r="AZ176" s="524" t="e">
        <f t="shared" si="52"/>
        <v>#N/A</v>
      </c>
      <c r="BA176" s="636"/>
    </row>
    <row r="177" spans="2:53" ht="15.75">
      <c r="B177" s="626" t="s">
        <v>163</v>
      </c>
      <c r="C177" s="627"/>
      <c r="D177" s="627"/>
      <c r="E177" s="627"/>
      <c r="F177" s="627"/>
      <c r="G177" s="627"/>
      <c r="H177" s="628"/>
      <c r="I177" s="208"/>
      <c r="J177" s="208"/>
      <c r="K177" s="208"/>
      <c r="L177" s="208"/>
      <c r="M177" s="207"/>
      <c r="N177" s="615" t="s">
        <v>156</v>
      </c>
      <c r="O177" s="615" t="s">
        <v>105</v>
      </c>
      <c r="P177" s="621">
        <f>P142+7</f>
        <v>46147</v>
      </c>
      <c r="Q177" s="622"/>
      <c r="R177" s="622"/>
      <c r="S177" s="622"/>
      <c r="T177" s="622"/>
      <c r="U177" s="618">
        <f>P177+1</f>
        <v>46148</v>
      </c>
      <c r="V177" s="619"/>
      <c r="W177" s="619"/>
      <c r="X177" s="619"/>
      <c r="Y177" s="620"/>
      <c r="Z177" s="618">
        <f>U177+1</f>
        <v>46149</v>
      </c>
      <c r="AA177" s="619"/>
      <c r="AB177" s="619"/>
      <c r="AC177" s="619"/>
      <c r="AD177" s="620"/>
      <c r="AE177" s="618">
        <f>Z177+1</f>
        <v>46150</v>
      </c>
      <c r="AF177" s="619"/>
      <c r="AG177" s="619"/>
      <c r="AH177" s="619"/>
      <c r="AI177" s="620"/>
      <c r="AJ177" s="618">
        <f>AE177+1</f>
        <v>46151</v>
      </c>
      <c r="AK177" s="619"/>
      <c r="AL177" s="619"/>
      <c r="AM177" s="619"/>
      <c r="AN177" s="620"/>
      <c r="AO177" s="618">
        <f>AJ177+1</f>
        <v>46152</v>
      </c>
      <c r="AP177" s="619"/>
      <c r="AQ177" s="619"/>
      <c r="AR177" s="619"/>
      <c r="AS177" s="620"/>
      <c r="AT177" s="618">
        <f>AO177+1</f>
        <v>46153</v>
      </c>
      <c r="AU177" s="619"/>
      <c r="AV177" s="619"/>
      <c r="AW177" s="619"/>
      <c r="AX177" s="620"/>
    </row>
    <row r="178" spans="2:53" ht="15.75">
      <c r="B178" s="629"/>
      <c r="C178" s="629"/>
      <c r="D178" s="629"/>
      <c r="E178" s="629"/>
      <c r="F178" s="629"/>
      <c r="G178" s="629"/>
      <c r="H178" s="629"/>
      <c r="I178" s="205"/>
      <c r="J178" s="205"/>
      <c r="K178" s="205"/>
      <c r="L178" s="205"/>
      <c r="M178" s="206"/>
      <c r="N178" s="617"/>
      <c r="O178" s="617"/>
      <c r="P178" s="621" t="s">
        <v>158</v>
      </c>
      <c r="Q178" s="622"/>
      <c r="R178" s="622"/>
      <c r="S178" s="622"/>
      <c r="T178" s="622"/>
      <c r="U178" s="621" t="s">
        <v>114</v>
      </c>
      <c r="V178" s="622"/>
      <c r="W178" s="622"/>
      <c r="X178" s="622"/>
      <c r="Y178" s="622"/>
      <c r="Z178" s="621" t="s">
        <v>159</v>
      </c>
      <c r="AA178" s="622"/>
      <c r="AB178" s="622"/>
      <c r="AC178" s="622"/>
      <c r="AD178" s="622"/>
      <c r="AE178" s="621" t="s">
        <v>157</v>
      </c>
      <c r="AF178" s="622"/>
      <c r="AG178" s="622"/>
      <c r="AH178" s="622"/>
      <c r="AI178" s="622"/>
      <c r="AJ178" s="621" t="s">
        <v>160</v>
      </c>
      <c r="AK178" s="622"/>
      <c r="AL178" s="622"/>
      <c r="AM178" s="622"/>
      <c r="AN178" s="622"/>
      <c r="AO178" s="621" t="s">
        <v>115</v>
      </c>
      <c r="AP178" s="622"/>
      <c r="AQ178" s="622"/>
      <c r="AR178" s="622"/>
      <c r="AS178" s="622"/>
      <c r="AT178" s="621" t="s">
        <v>162</v>
      </c>
      <c r="AU178" s="622"/>
      <c r="AV178" s="622"/>
      <c r="AW178" s="622"/>
      <c r="AX178" s="622"/>
    </row>
    <row r="179" spans="2:53">
      <c r="B179" s="614" t="s">
        <v>154</v>
      </c>
      <c r="C179" s="614" t="s">
        <v>408</v>
      </c>
      <c r="D179" s="614"/>
      <c r="E179" s="614" t="s">
        <v>399</v>
      </c>
      <c r="F179" s="614"/>
      <c r="G179" s="614"/>
      <c r="H179" s="630" t="s">
        <v>395</v>
      </c>
      <c r="I179" s="598" t="s">
        <v>400</v>
      </c>
      <c r="J179" s="598"/>
      <c r="K179" s="598"/>
      <c r="L179" s="599" t="s">
        <v>395</v>
      </c>
      <c r="M179" s="605" t="s">
        <v>396</v>
      </c>
      <c r="N179" s="614"/>
      <c r="O179" s="614" t="s">
        <v>401</v>
      </c>
      <c r="P179" s="611" t="s">
        <v>397</v>
      </c>
      <c r="Q179" s="612"/>
      <c r="R179" s="612"/>
      <c r="S179" s="613"/>
      <c r="T179" s="614" t="s">
        <v>395</v>
      </c>
      <c r="U179" s="611" t="s">
        <v>397</v>
      </c>
      <c r="V179" s="612"/>
      <c r="W179" s="612"/>
      <c r="X179" s="613"/>
      <c r="Y179" s="614" t="s">
        <v>395</v>
      </c>
      <c r="Z179" s="611" t="s">
        <v>397</v>
      </c>
      <c r="AA179" s="612"/>
      <c r="AB179" s="612"/>
      <c r="AC179" s="613"/>
      <c r="AD179" s="614" t="s">
        <v>395</v>
      </c>
      <c r="AE179" s="611" t="s">
        <v>397</v>
      </c>
      <c r="AF179" s="612"/>
      <c r="AG179" s="612"/>
      <c r="AH179" s="613"/>
      <c r="AI179" s="614" t="s">
        <v>395</v>
      </c>
      <c r="AJ179" s="611" t="s">
        <v>397</v>
      </c>
      <c r="AK179" s="612"/>
      <c r="AL179" s="612"/>
      <c r="AM179" s="613"/>
      <c r="AN179" s="614" t="s">
        <v>395</v>
      </c>
      <c r="AO179" s="611" t="s">
        <v>397</v>
      </c>
      <c r="AP179" s="612"/>
      <c r="AQ179" s="612"/>
      <c r="AR179" s="613"/>
      <c r="AS179" s="614" t="s">
        <v>395</v>
      </c>
      <c r="AT179" s="611" t="s">
        <v>397</v>
      </c>
      <c r="AU179" s="612"/>
      <c r="AV179" s="612"/>
      <c r="AW179" s="613"/>
      <c r="AX179" s="614" t="s">
        <v>395</v>
      </c>
      <c r="BA179" s="614" t="s">
        <v>395</v>
      </c>
    </row>
    <row r="180" spans="2:53">
      <c r="B180" s="614"/>
      <c r="C180" s="614"/>
      <c r="D180" s="614"/>
      <c r="E180" s="614" t="s">
        <v>402</v>
      </c>
      <c r="F180" s="614"/>
      <c r="G180" s="614"/>
      <c r="H180" s="631"/>
      <c r="I180" s="598" t="s">
        <v>402</v>
      </c>
      <c r="J180" s="598"/>
      <c r="K180" s="598"/>
      <c r="L180" s="600"/>
      <c r="M180" s="606"/>
      <c r="N180" s="614"/>
      <c r="O180" s="614"/>
      <c r="P180" s="611" t="s">
        <v>403</v>
      </c>
      <c r="Q180" s="612"/>
      <c r="R180" s="612"/>
      <c r="S180" s="613"/>
      <c r="T180" s="614"/>
      <c r="U180" s="611" t="s">
        <v>403</v>
      </c>
      <c r="V180" s="612"/>
      <c r="W180" s="612"/>
      <c r="X180" s="613"/>
      <c r="Y180" s="614"/>
      <c r="Z180" s="611" t="s">
        <v>403</v>
      </c>
      <c r="AA180" s="612"/>
      <c r="AB180" s="612"/>
      <c r="AC180" s="613"/>
      <c r="AD180" s="614"/>
      <c r="AE180" s="611" t="s">
        <v>403</v>
      </c>
      <c r="AF180" s="612"/>
      <c r="AG180" s="612"/>
      <c r="AH180" s="613"/>
      <c r="AI180" s="614"/>
      <c r="AJ180" s="611" t="s">
        <v>403</v>
      </c>
      <c r="AK180" s="612"/>
      <c r="AL180" s="612"/>
      <c r="AM180" s="613"/>
      <c r="AN180" s="614"/>
      <c r="AO180" s="611" t="s">
        <v>403</v>
      </c>
      <c r="AP180" s="612"/>
      <c r="AQ180" s="612"/>
      <c r="AR180" s="613"/>
      <c r="AS180" s="614"/>
      <c r="AT180" s="611" t="s">
        <v>403</v>
      </c>
      <c r="AU180" s="612"/>
      <c r="AV180" s="612"/>
      <c r="AW180" s="613"/>
      <c r="AX180" s="614"/>
      <c r="BA180" s="614"/>
    </row>
    <row r="181" spans="2:53">
      <c r="B181" s="614"/>
      <c r="C181" s="614"/>
      <c r="D181" s="614"/>
      <c r="E181" s="335" t="s">
        <v>404</v>
      </c>
      <c r="F181" s="335" t="s">
        <v>405</v>
      </c>
      <c r="G181" s="335" t="s">
        <v>406</v>
      </c>
      <c r="H181" s="632"/>
      <c r="I181" s="336" t="s">
        <v>404</v>
      </c>
      <c r="J181" s="336" t="s">
        <v>405</v>
      </c>
      <c r="K181" s="336" t="s">
        <v>406</v>
      </c>
      <c r="L181" s="601"/>
      <c r="M181" s="607"/>
      <c r="N181" s="614"/>
      <c r="O181" s="614"/>
      <c r="P181" s="335" t="s">
        <v>404</v>
      </c>
      <c r="Q181" s="335" t="s">
        <v>405</v>
      </c>
      <c r="R181" s="335" t="s">
        <v>406</v>
      </c>
      <c r="S181" s="335" t="s">
        <v>396</v>
      </c>
      <c r="T181" s="614"/>
      <c r="U181" s="335" t="s">
        <v>404</v>
      </c>
      <c r="V181" s="335" t="s">
        <v>405</v>
      </c>
      <c r="W181" s="335" t="s">
        <v>406</v>
      </c>
      <c r="X181" s="335" t="s">
        <v>396</v>
      </c>
      <c r="Y181" s="614"/>
      <c r="Z181" s="335" t="s">
        <v>404</v>
      </c>
      <c r="AA181" s="335" t="s">
        <v>405</v>
      </c>
      <c r="AB181" s="335" t="s">
        <v>406</v>
      </c>
      <c r="AC181" s="335" t="s">
        <v>396</v>
      </c>
      <c r="AD181" s="614"/>
      <c r="AE181" s="335" t="s">
        <v>404</v>
      </c>
      <c r="AF181" s="335" t="s">
        <v>405</v>
      </c>
      <c r="AG181" s="335" t="s">
        <v>406</v>
      </c>
      <c r="AH181" s="335" t="s">
        <v>396</v>
      </c>
      <c r="AI181" s="614"/>
      <c r="AJ181" s="335" t="s">
        <v>404</v>
      </c>
      <c r="AK181" s="335" t="s">
        <v>405</v>
      </c>
      <c r="AL181" s="335" t="s">
        <v>406</v>
      </c>
      <c r="AM181" s="335" t="s">
        <v>396</v>
      </c>
      <c r="AN181" s="614"/>
      <c r="AO181" s="335" t="s">
        <v>404</v>
      </c>
      <c r="AP181" s="335" t="s">
        <v>405</v>
      </c>
      <c r="AQ181" s="335" t="s">
        <v>406</v>
      </c>
      <c r="AR181" s="335" t="s">
        <v>396</v>
      </c>
      <c r="AS181" s="614"/>
      <c r="AT181" s="335" t="s">
        <v>404</v>
      </c>
      <c r="AU181" s="335" t="s">
        <v>405</v>
      </c>
      <c r="AV181" s="335" t="s">
        <v>406</v>
      </c>
      <c r="AW181" s="335" t="s">
        <v>396</v>
      </c>
      <c r="AX181" s="614"/>
      <c r="AZ181" s="523" t="s">
        <v>396</v>
      </c>
      <c r="BA181" s="614"/>
    </row>
    <row r="182" spans="2:53">
      <c r="B182" s="614" t="s">
        <v>134</v>
      </c>
      <c r="C182" s="334">
        <v>1</v>
      </c>
      <c r="D182" s="226"/>
      <c r="E182" s="182"/>
      <c r="F182" s="514"/>
      <c r="G182" s="515"/>
      <c r="H182" s="663" t="e">
        <f>AVERAGE(G182:G211)</f>
        <v>#DIV/0!</v>
      </c>
      <c r="I182" s="516" t="str">
        <f>IFERROR(AVERAGE(P182,U182,Z182,AE182,AJ182,AO182,AT182),"-")</f>
        <v>-</v>
      </c>
      <c r="J182" s="516" t="str">
        <f>IFERROR(AVERAGE(Q182,V182,AA182,AF182,AK182,AP182,AU182),"-")</f>
        <v>-</v>
      </c>
      <c r="K182" s="200" t="str">
        <f>IFERROR(AVERAGE(R182,W182,AB182,AG182,AL182,AQ182,AV182),"-")</f>
        <v>-</v>
      </c>
      <c r="L182" s="595" t="str">
        <f>IFERROR(AVERAGE(K182:K211),"-")</f>
        <v>-</v>
      </c>
      <c r="M182" s="201" t="e">
        <f>RANK(K182, K$147:$K$176)</f>
        <v>#VALUE!</v>
      </c>
      <c r="N182" s="614"/>
      <c r="O182" s="614"/>
      <c r="P182" s="182"/>
      <c r="Q182" s="182"/>
      <c r="R182" s="182"/>
      <c r="S182" s="334" t="e">
        <f>RANK(R182, R$182:R$211)</f>
        <v>#N/A</v>
      </c>
      <c r="T182" s="636" t="e">
        <f>AVERAGE(R182:R211)</f>
        <v>#DIV/0!</v>
      </c>
      <c r="U182" s="182"/>
      <c r="V182" s="182"/>
      <c r="W182" s="182"/>
      <c r="X182" s="457" t="e">
        <f>RANK(W182, W$182:W$211)</f>
        <v>#N/A</v>
      </c>
      <c r="Y182" s="636" t="e">
        <f>AVERAGE(W182:W211)</f>
        <v>#DIV/0!</v>
      </c>
      <c r="Z182" s="182"/>
      <c r="AA182" s="182"/>
      <c r="AB182" s="182"/>
      <c r="AC182" s="457" t="e">
        <f>RANK(AB182, AB$182:AB$211)</f>
        <v>#N/A</v>
      </c>
      <c r="AD182" s="636" t="e">
        <f>AVERAGE(AB182:AB211)</f>
        <v>#DIV/0!</v>
      </c>
      <c r="AE182" s="182"/>
      <c r="AF182" s="182"/>
      <c r="AG182" s="182"/>
      <c r="AH182" s="457" t="e">
        <f>RANK(AG182, AG$182:AG$211)</f>
        <v>#N/A</v>
      </c>
      <c r="AI182" s="636" t="e">
        <f>AVERAGE(AG182:AG211)</f>
        <v>#DIV/0!</v>
      </c>
      <c r="AJ182" s="182"/>
      <c r="AK182" s="182"/>
      <c r="AL182" s="182"/>
      <c r="AM182" s="457" t="e">
        <f>RANK(AL182, AL$182:AL$211)</f>
        <v>#N/A</v>
      </c>
      <c r="AN182" s="636" t="e">
        <f>AVERAGE(AL182:AL211)</f>
        <v>#DIV/0!</v>
      </c>
      <c r="AO182" s="182"/>
      <c r="AP182" s="182"/>
      <c r="AQ182" s="182"/>
      <c r="AR182" s="457" t="e">
        <f>RANK(AQ182, AQ$182:AQ$211)</f>
        <v>#N/A</v>
      </c>
      <c r="AS182" s="636" t="e">
        <f>AVERAGE(AQ182:AQ211)</f>
        <v>#DIV/0!</v>
      </c>
      <c r="AT182" s="182"/>
      <c r="AU182" s="182"/>
      <c r="AV182" s="182"/>
      <c r="AW182" s="457" t="e">
        <f>RANK(AV182, AV$182:AV$211)</f>
        <v>#N/A</v>
      </c>
      <c r="AX182" s="636" t="e">
        <f>AVERAGE(AV182:AV211)</f>
        <v>#DIV/0!</v>
      </c>
      <c r="AZ182" s="524" t="e">
        <f>RANK(AY182, AY$182:AY$211)</f>
        <v>#N/A</v>
      </c>
      <c r="BA182" s="636" t="e">
        <f>AVERAGE(AY182:AY211)</f>
        <v>#DIV/0!</v>
      </c>
    </row>
    <row r="183" spans="2:53">
      <c r="B183" s="622"/>
      <c r="C183" s="334">
        <v>2</v>
      </c>
      <c r="D183" s="226"/>
      <c r="E183" s="182"/>
      <c r="F183" s="514"/>
      <c r="G183" s="515"/>
      <c r="H183" s="664"/>
      <c r="I183" s="516" t="str">
        <f t="shared" ref="I183:I211" si="60">IFERROR(AVERAGE(P183,U183,Z183,AE183,AJ183,AO183,AT183),"-")</f>
        <v>-</v>
      </c>
      <c r="J183" s="516" t="str">
        <f t="shared" ref="J183:J211" si="61">IFERROR(AVERAGE(Q183,V183,AA183,AF183,AK183,AP183,AU183),"-")</f>
        <v>-</v>
      </c>
      <c r="K183" s="200" t="str">
        <f t="shared" ref="K183:K211" si="62">IFERROR(AVERAGE(R183,W183,AB183,AG183,AL183,AQ183,AV183),"-")</f>
        <v>-</v>
      </c>
      <c r="L183" s="596"/>
      <c r="M183" s="201" t="e">
        <f>RANK(K183, K$147:$K$176)</f>
        <v>#VALUE!</v>
      </c>
      <c r="N183" s="614"/>
      <c r="O183" s="614"/>
      <c r="P183" s="182"/>
      <c r="Q183" s="182"/>
      <c r="R183" s="182"/>
      <c r="S183" s="457" t="e">
        <f t="shared" ref="S183:S211" si="63">RANK(R183, R$182:R$211)</f>
        <v>#N/A</v>
      </c>
      <c r="T183" s="636"/>
      <c r="U183" s="182"/>
      <c r="V183" s="182"/>
      <c r="W183" s="182"/>
      <c r="X183" s="457" t="e">
        <f t="shared" ref="X183:X211" si="64">RANK(W183, W$182:W$211)</f>
        <v>#N/A</v>
      </c>
      <c r="Y183" s="636"/>
      <c r="Z183" s="182"/>
      <c r="AA183" s="182"/>
      <c r="AB183" s="182"/>
      <c r="AC183" s="457" t="e">
        <f t="shared" ref="AC183:AC211" si="65">RANK(AB183, AB$182:AB$211)</f>
        <v>#N/A</v>
      </c>
      <c r="AD183" s="636"/>
      <c r="AE183" s="182"/>
      <c r="AF183" s="182"/>
      <c r="AG183" s="182"/>
      <c r="AH183" s="457" t="e">
        <f t="shared" ref="AH183:AH211" si="66">RANK(AG183, AG$182:AG$211)</f>
        <v>#N/A</v>
      </c>
      <c r="AI183" s="636"/>
      <c r="AJ183" s="182"/>
      <c r="AK183" s="182"/>
      <c r="AL183" s="182"/>
      <c r="AM183" s="457" t="e">
        <f t="shared" ref="AM183:AM211" si="67">RANK(AL183, AL$182:AL$211)</f>
        <v>#N/A</v>
      </c>
      <c r="AN183" s="636"/>
      <c r="AO183" s="182"/>
      <c r="AP183" s="182"/>
      <c r="AQ183" s="182"/>
      <c r="AR183" s="457" t="e">
        <f t="shared" ref="AR183:AR211" si="68">RANK(AQ183, AQ$182:AQ$211)</f>
        <v>#N/A</v>
      </c>
      <c r="AS183" s="636"/>
      <c r="AT183" s="182"/>
      <c r="AU183" s="182"/>
      <c r="AV183" s="182"/>
      <c r="AW183" s="457" t="e">
        <f t="shared" ref="AW183:AW211" si="69">RANK(AV183, AV$182:AV$211)</f>
        <v>#N/A</v>
      </c>
      <c r="AX183" s="636"/>
      <c r="AZ183" s="524" t="e">
        <f t="shared" ref="AZ183:AZ211" si="70">RANK(AY183, AY$182:AY$211)</f>
        <v>#N/A</v>
      </c>
      <c r="BA183" s="636"/>
    </row>
    <row r="184" spans="2:53">
      <c r="B184" s="622"/>
      <c r="C184" s="334">
        <v>3</v>
      </c>
      <c r="D184" s="226"/>
      <c r="E184" s="182"/>
      <c r="F184" s="514"/>
      <c r="G184" s="515"/>
      <c r="H184" s="664"/>
      <c r="I184" s="516" t="str">
        <f t="shared" si="60"/>
        <v>-</v>
      </c>
      <c r="J184" s="516" t="str">
        <f t="shared" si="61"/>
        <v>-</v>
      </c>
      <c r="K184" s="200" t="str">
        <f t="shared" si="62"/>
        <v>-</v>
      </c>
      <c r="L184" s="596"/>
      <c r="M184" s="201" t="e">
        <f>RANK(K184, K$147:$K$176)</f>
        <v>#VALUE!</v>
      </c>
      <c r="N184" s="614"/>
      <c r="O184" s="614"/>
      <c r="P184" s="182"/>
      <c r="Q184" s="182"/>
      <c r="R184" s="182"/>
      <c r="S184" s="457" t="e">
        <f t="shared" si="63"/>
        <v>#N/A</v>
      </c>
      <c r="T184" s="636"/>
      <c r="U184" s="182"/>
      <c r="V184" s="182"/>
      <c r="W184" s="182"/>
      <c r="X184" s="457" t="e">
        <f t="shared" si="64"/>
        <v>#N/A</v>
      </c>
      <c r="Y184" s="636"/>
      <c r="Z184" s="182"/>
      <c r="AA184" s="182"/>
      <c r="AB184" s="182"/>
      <c r="AC184" s="457" t="e">
        <f t="shared" si="65"/>
        <v>#N/A</v>
      </c>
      <c r="AD184" s="636"/>
      <c r="AE184" s="182"/>
      <c r="AF184" s="182"/>
      <c r="AG184" s="182"/>
      <c r="AH184" s="457" t="e">
        <f t="shared" si="66"/>
        <v>#N/A</v>
      </c>
      <c r="AI184" s="636"/>
      <c r="AJ184" s="182"/>
      <c r="AK184" s="182"/>
      <c r="AL184" s="182"/>
      <c r="AM184" s="457" t="e">
        <f t="shared" si="67"/>
        <v>#N/A</v>
      </c>
      <c r="AN184" s="636"/>
      <c r="AO184" s="182"/>
      <c r="AP184" s="182"/>
      <c r="AQ184" s="182"/>
      <c r="AR184" s="457" t="e">
        <f t="shared" si="68"/>
        <v>#N/A</v>
      </c>
      <c r="AS184" s="636"/>
      <c r="AT184" s="182"/>
      <c r="AU184" s="182"/>
      <c r="AV184" s="182"/>
      <c r="AW184" s="457" t="e">
        <f t="shared" si="69"/>
        <v>#N/A</v>
      </c>
      <c r="AX184" s="636"/>
      <c r="AZ184" s="524" t="e">
        <f t="shared" si="70"/>
        <v>#N/A</v>
      </c>
      <c r="BA184" s="636"/>
    </row>
    <row r="185" spans="2:53">
      <c r="B185" s="622"/>
      <c r="C185" s="334">
        <v>4</v>
      </c>
      <c r="D185" s="226"/>
      <c r="E185" s="182"/>
      <c r="F185" s="514"/>
      <c r="G185" s="515"/>
      <c r="H185" s="664"/>
      <c r="I185" s="516" t="str">
        <f t="shared" si="60"/>
        <v>-</v>
      </c>
      <c r="J185" s="516" t="str">
        <f t="shared" si="61"/>
        <v>-</v>
      </c>
      <c r="K185" s="200" t="str">
        <f t="shared" si="62"/>
        <v>-</v>
      </c>
      <c r="L185" s="596"/>
      <c r="M185" s="201" t="e">
        <f>RANK(K185, K$147:$K$176)</f>
        <v>#VALUE!</v>
      </c>
      <c r="N185" s="614"/>
      <c r="O185" s="614"/>
      <c r="P185" s="182"/>
      <c r="Q185" s="182"/>
      <c r="R185" s="182"/>
      <c r="S185" s="457" t="e">
        <f t="shared" si="63"/>
        <v>#N/A</v>
      </c>
      <c r="T185" s="636"/>
      <c r="U185" s="182"/>
      <c r="V185" s="182"/>
      <c r="W185" s="182"/>
      <c r="X185" s="457" t="e">
        <f t="shared" si="64"/>
        <v>#N/A</v>
      </c>
      <c r="Y185" s="636"/>
      <c r="Z185" s="182"/>
      <c r="AA185" s="182"/>
      <c r="AB185" s="182"/>
      <c r="AC185" s="457" t="e">
        <f t="shared" si="65"/>
        <v>#N/A</v>
      </c>
      <c r="AD185" s="636"/>
      <c r="AE185" s="182"/>
      <c r="AF185" s="182"/>
      <c r="AG185" s="182"/>
      <c r="AH185" s="457" t="e">
        <f t="shared" si="66"/>
        <v>#N/A</v>
      </c>
      <c r="AI185" s="636"/>
      <c r="AJ185" s="182"/>
      <c r="AK185" s="182"/>
      <c r="AL185" s="182"/>
      <c r="AM185" s="457" t="e">
        <f t="shared" si="67"/>
        <v>#N/A</v>
      </c>
      <c r="AN185" s="636"/>
      <c r="AO185" s="182"/>
      <c r="AP185" s="182"/>
      <c r="AQ185" s="182"/>
      <c r="AR185" s="457" t="e">
        <f t="shared" si="68"/>
        <v>#N/A</v>
      </c>
      <c r="AS185" s="636"/>
      <c r="AT185" s="182"/>
      <c r="AU185" s="182"/>
      <c r="AV185" s="182"/>
      <c r="AW185" s="457" t="e">
        <f t="shared" si="69"/>
        <v>#N/A</v>
      </c>
      <c r="AX185" s="636"/>
      <c r="AZ185" s="524" t="e">
        <f t="shared" si="70"/>
        <v>#N/A</v>
      </c>
      <c r="BA185" s="636"/>
    </row>
    <row r="186" spans="2:53">
      <c r="B186" s="622"/>
      <c r="C186" s="334">
        <v>5</v>
      </c>
      <c r="D186" s="226"/>
      <c r="E186" s="182"/>
      <c r="F186" s="514"/>
      <c r="G186" s="515"/>
      <c r="H186" s="664"/>
      <c r="I186" s="516" t="str">
        <f t="shared" si="60"/>
        <v>-</v>
      </c>
      <c r="J186" s="516" t="str">
        <f t="shared" si="61"/>
        <v>-</v>
      </c>
      <c r="K186" s="200" t="str">
        <f t="shared" si="62"/>
        <v>-</v>
      </c>
      <c r="L186" s="596"/>
      <c r="M186" s="201" t="e">
        <f>RANK(K186, K$147:$K$176)</f>
        <v>#VALUE!</v>
      </c>
      <c r="N186" s="614"/>
      <c r="O186" s="614"/>
      <c r="P186" s="182"/>
      <c r="Q186" s="182"/>
      <c r="R186" s="182"/>
      <c r="S186" s="457" t="e">
        <f t="shared" si="63"/>
        <v>#N/A</v>
      </c>
      <c r="T186" s="636"/>
      <c r="U186" s="182"/>
      <c r="V186" s="182"/>
      <c r="W186" s="182"/>
      <c r="X186" s="457" t="e">
        <f t="shared" si="64"/>
        <v>#N/A</v>
      </c>
      <c r="Y186" s="636"/>
      <c r="Z186" s="182"/>
      <c r="AA186" s="182"/>
      <c r="AB186" s="182"/>
      <c r="AC186" s="457" t="e">
        <f t="shared" si="65"/>
        <v>#N/A</v>
      </c>
      <c r="AD186" s="636"/>
      <c r="AE186" s="182"/>
      <c r="AF186" s="182"/>
      <c r="AG186" s="182"/>
      <c r="AH186" s="457" t="e">
        <f t="shared" si="66"/>
        <v>#N/A</v>
      </c>
      <c r="AI186" s="636"/>
      <c r="AJ186" s="182"/>
      <c r="AK186" s="182"/>
      <c r="AL186" s="182"/>
      <c r="AM186" s="457" t="e">
        <f t="shared" si="67"/>
        <v>#N/A</v>
      </c>
      <c r="AN186" s="636"/>
      <c r="AO186" s="182"/>
      <c r="AP186" s="182"/>
      <c r="AQ186" s="182"/>
      <c r="AR186" s="457" t="e">
        <f t="shared" si="68"/>
        <v>#N/A</v>
      </c>
      <c r="AS186" s="636"/>
      <c r="AT186" s="182"/>
      <c r="AU186" s="182"/>
      <c r="AV186" s="182"/>
      <c r="AW186" s="457" t="e">
        <f t="shared" si="69"/>
        <v>#N/A</v>
      </c>
      <c r="AX186" s="636"/>
      <c r="AZ186" s="524" t="e">
        <f t="shared" si="70"/>
        <v>#N/A</v>
      </c>
      <c r="BA186" s="636"/>
    </row>
    <row r="187" spans="2:53">
      <c r="B187" s="622"/>
      <c r="C187" s="334">
        <v>6</v>
      </c>
      <c r="D187" s="226"/>
      <c r="E187" s="182"/>
      <c r="F187" s="514"/>
      <c r="G187" s="515"/>
      <c r="H187" s="664"/>
      <c r="I187" s="516" t="str">
        <f t="shared" si="60"/>
        <v>-</v>
      </c>
      <c r="J187" s="516" t="str">
        <f t="shared" si="61"/>
        <v>-</v>
      </c>
      <c r="K187" s="200" t="str">
        <f t="shared" si="62"/>
        <v>-</v>
      </c>
      <c r="L187" s="596"/>
      <c r="M187" s="201" t="e">
        <f>RANK(K187, K$147:$K$176)</f>
        <v>#VALUE!</v>
      </c>
      <c r="N187" s="614"/>
      <c r="O187" s="614"/>
      <c r="P187" s="182"/>
      <c r="Q187" s="182"/>
      <c r="R187" s="182"/>
      <c r="S187" s="457" t="e">
        <f t="shared" si="63"/>
        <v>#N/A</v>
      </c>
      <c r="T187" s="636"/>
      <c r="U187" s="182"/>
      <c r="V187" s="182"/>
      <c r="W187" s="182"/>
      <c r="X187" s="457" t="e">
        <f t="shared" si="64"/>
        <v>#N/A</v>
      </c>
      <c r="Y187" s="636"/>
      <c r="Z187" s="182"/>
      <c r="AA187" s="182"/>
      <c r="AB187" s="182"/>
      <c r="AC187" s="457" t="e">
        <f t="shared" si="65"/>
        <v>#N/A</v>
      </c>
      <c r="AD187" s="636"/>
      <c r="AE187" s="182"/>
      <c r="AF187" s="182"/>
      <c r="AG187" s="182"/>
      <c r="AH187" s="457" t="e">
        <f t="shared" si="66"/>
        <v>#N/A</v>
      </c>
      <c r="AI187" s="636"/>
      <c r="AJ187" s="182"/>
      <c r="AK187" s="182"/>
      <c r="AL187" s="182"/>
      <c r="AM187" s="457" t="e">
        <f t="shared" si="67"/>
        <v>#N/A</v>
      </c>
      <c r="AN187" s="636"/>
      <c r="AO187" s="182"/>
      <c r="AP187" s="182"/>
      <c r="AQ187" s="182"/>
      <c r="AR187" s="457" t="e">
        <f t="shared" si="68"/>
        <v>#N/A</v>
      </c>
      <c r="AS187" s="636"/>
      <c r="AT187" s="182"/>
      <c r="AU187" s="182"/>
      <c r="AV187" s="182"/>
      <c r="AW187" s="457" t="e">
        <f t="shared" si="69"/>
        <v>#N/A</v>
      </c>
      <c r="AX187" s="636"/>
      <c r="AZ187" s="524" t="e">
        <f t="shared" si="70"/>
        <v>#N/A</v>
      </c>
      <c r="BA187" s="636"/>
    </row>
    <row r="188" spans="2:53">
      <c r="B188" s="622"/>
      <c r="C188" s="334">
        <v>7</v>
      </c>
      <c r="D188" s="226"/>
      <c r="E188" s="182"/>
      <c r="F188" s="514"/>
      <c r="G188" s="515"/>
      <c r="H188" s="664"/>
      <c r="I188" s="516" t="str">
        <f t="shared" si="60"/>
        <v>-</v>
      </c>
      <c r="J188" s="516" t="str">
        <f t="shared" si="61"/>
        <v>-</v>
      </c>
      <c r="K188" s="200" t="str">
        <f t="shared" si="62"/>
        <v>-</v>
      </c>
      <c r="L188" s="596"/>
      <c r="M188" s="201" t="e">
        <f>RANK(K188, K$147:$K$176)</f>
        <v>#VALUE!</v>
      </c>
      <c r="N188" s="614"/>
      <c r="O188" s="614"/>
      <c r="P188" s="182"/>
      <c r="Q188" s="182"/>
      <c r="R188" s="182"/>
      <c r="S188" s="457" t="e">
        <f t="shared" si="63"/>
        <v>#N/A</v>
      </c>
      <c r="T188" s="636"/>
      <c r="U188" s="182"/>
      <c r="V188" s="182"/>
      <c r="W188" s="182"/>
      <c r="X188" s="457" t="e">
        <f t="shared" si="64"/>
        <v>#N/A</v>
      </c>
      <c r="Y188" s="636"/>
      <c r="Z188" s="182"/>
      <c r="AA188" s="182"/>
      <c r="AB188" s="182"/>
      <c r="AC188" s="457" t="e">
        <f t="shared" si="65"/>
        <v>#N/A</v>
      </c>
      <c r="AD188" s="636"/>
      <c r="AE188" s="182"/>
      <c r="AF188" s="182"/>
      <c r="AG188" s="182"/>
      <c r="AH188" s="457" t="e">
        <f t="shared" si="66"/>
        <v>#N/A</v>
      </c>
      <c r="AI188" s="636"/>
      <c r="AJ188" s="182"/>
      <c r="AK188" s="182"/>
      <c r="AL188" s="182"/>
      <c r="AM188" s="457" t="e">
        <f t="shared" si="67"/>
        <v>#N/A</v>
      </c>
      <c r="AN188" s="636"/>
      <c r="AO188" s="182"/>
      <c r="AP188" s="182"/>
      <c r="AQ188" s="182"/>
      <c r="AR188" s="457" t="e">
        <f t="shared" si="68"/>
        <v>#N/A</v>
      </c>
      <c r="AS188" s="636"/>
      <c r="AT188" s="182"/>
      <c r="AU188" s="182"/>
      <c r="AV188" s="182"/>
      <c r="AW188" s="457" t="e">
        <f t="shared" si="69"/>
        <v>#N/A</v>
      </c>
      <c r="AX188" s="636"/>
      <c r="AZ188" s="524" t="e">
        <f t="shared" si="70"/>
        <v>#N/A</v>
      </c>
      <c r="BA188" s="636"/>
    </row>
    <row r="189" spans="2:53">
      <c r="B189" s="622"/>
      <c r="C189" s="334">
        <v>8</v>
      </c>
      <c r="D189" s="226"/>
      <c r="E189" s="182"/>
      <c r="F189" s="514"/>
      <c r="G189" s="515"/>
      <c r="H189" s="664"/>
      <c r="I189" s="516" t="str">
        <f t="shared" si="60"/>
        <v>-</v>
      </c>
      <c r="J189" s="516" t="str">
        <f t="shared" si="61"/>
        <v>-</v>
      </c>
      <c r="K189" s="200" t="str">
        <f t="shared" si="62"/>
        <v>-</v>
      </c>
      <c r="L189" s="596"/>
      <c r="M189" s="201" t="e">
        <f>RANK(K189, K$147:$K$176)</f>
        <v>#VALUE!</v>
      </c>
      <c r="N189" s="614"/>
      <c r="O189" s="614"/>
      <c r="P189" s="182"/>
      <c r="Q189" s="182"/>
      <c r="R189" s="182"/>
      <c r="S189" s="457" t="e">
        <f t="shared" si="63"/>
        <v>#N/A</v>
      </c>
      <c r="T189" s="636"/>
      <c r="U189" s="182"/>
      <c r="V189" s="182"/>
      <c r="W189" s="182"/>
      <c r="X189" s="457" t="e">
        <f t="shared" si="64"/>
        <v>#N/A</v>
      </c>
      <c r="Y189" s="636"/>
      <c r="Z189" s="182"/>
      <c r="AA189" s="182"/>
      <c r="AB189" s="182"/>
      <c r="AC189" s="457" t="e">
        <f t="shared" si="65"/>
        <v>#N/A</v>
      </c>
      <c r="AD189" s="636"/>
      <c r="AE189" s="182"/>
      <c r="AF189" s="182"/>
      <c r="AG189" s="182"/>
      <c r="AH189" s="457" t="e">
        <f t="shared" si="66"/>
        <v>#N/A</v>
      </c>
      <c r="AI189" s="636"/>
      <c r="AJ189" s="182"/>
      <c r="AK189" s="182"/>
      <c r="AL189" s="182"/>
      <c r="AM189" s="457" t="e">
        <f t="shared" si="67"/>
        <v>#N/A</v>
      </c>
      <c r="AN189" s="636"/>
      <c r="AO189" s="182"/>
      <c r="AP189" s="182"/>
      <c r="AQ189" s="182"/>
      <c r="AR189" s="457" t="e">
        <f t="shared" si="68"/>
        <v>#N/A</v>
      </c>
      <c r="AS189" s="636"/>
      <c r="AT189" s="182"/>
      <c r="AU189" s="182"/>
      <c r="AV189" s="182"/>
      <c r="AW189" s="457" t="e">
        <f t="shared" si="69"/>
        <v>#N/A</v>
      </c>
      <c r="AX189" s="636"/>
      <c r="AZ189" s="524" t="e">
        <f t="shared" si="70"/>
        <v>#N/A</v>
      </c>
      <c r="BA189" s="636"/>
    </row>
    <row r="190" spans="2:53">
      <c r="B190" s="622"/>
      <c r="C190" s="334">
        <v>9</v>
      </c>
      <c r="D190" s="226"/>
      <c r="E190" s="182"/>
      <c r="F190" s="514"/>
      <c r="G190" s="515"/>
      <c r="H190" s="664"/>
      <c r="I190" s="516" t="str">
        <f t="shared" si="60"/>
        <v>-</v>
      </c>
      <c r="J190" s="516" t="str">
        <f t="shared" si="61"/>
        <v>-</v>
      </c>
      <c r="K190" s="200" t="str">
        <f t="shared" si="62"/>
        <v>-</v>
      </c>
      <c r="L190" s="596"/>
      <c r="M190" s="201" t="e">
        <f>RANK(K190, K$147:$K$176)</f>
        <v>#VALUE!</v>
      </c>
      <c r="N190" s="614"/>
      <c r="O190" s="614"/>
      <c r="P190" s="182"/>
      <c r="Q190" s="182"/>
      <c r="R190" s="182"/>
      <c r="S190" s="457" t="e">
        <f t="shared" si="63"/>
        <v>#N/A</v>
      </c>
      <c r="T190" s="636"/>
      <c r="U190" s="182"/>
      <c r="V190" s="182"/>
      <c r="W190" s="182"/>
      <c r="X190" s="457" t="e">
        <f t="shared" si="64"/>
        <v>#N/A</v>
      </c>
      <c r="Y190" s="636"/>
      <c r="Z190" s="182"/>
      <c r="AA190" s="182"/>
      <c r="AB190" s="182"/>
      <c r="AC190" s="457" t="e">
        <f t="shared" si="65"/>
        <v>#N/A</v>
      </c>
      <c r="AD190" s="636"/>
      <c r="AE190" s="182"/>
      <c r="AF190" s="182"/>
      <c r="AG190" s="182"/>
      <c r="AH190" s="457" t="e">
        <f t="shared" si="66"/>
        <v>#N/A</v>
      </c>
      <c r="AI190" s="636"/>
      <c r="AJ190" s="182"/>
      <c r="AK190" s="182"/>
      <c r="AL190" s="182"/>
      <c r="AM190" s="457" t="e">
        <f t="shared" si="67"/>
        <v>#N/A</v>
      </c>
      <c r="AN190" s="636"/>
      <c r="AO190" s="182"/>
      <c r="AP190" s="182"/>
      <c r="AQ190" s="182"/>
      <c r="AR190" s="457" t="e">
        <f t="shared" si="68"/>
        <v>#N/A</v>
      </c>
      <c r="AS190" s="636"/>
      <c r="AT190" s="182"/>
      <c r="AU190" s="182"/>
      <c r="AV190" s="182"/>
      <c r="AW190" s="457" t="e">
        <f t="shared" si="69"/>
        <v>#N/A</v>
      </c>
      <c r="AX190" s="636"/>
      <c r="AZ190" s="524" t="e">
        <f t="shared" si="70"/>
        <v>#N/A</v>
      </c>
      <c r="BA190" s="636"/>
    </row>
    <row r="191" spans="2:53">
      <c r="B191" s="622"/>
      <c r="C191" s="334">
        <v>10</v>
      </c>
      <c r="D191" s="226"/>
      <c r="E191" s="182"/>
      <c r="F191" s="514"/>
      <c r="G191" s="515"/>
      <c r="H191" s="664"/>
      <c r="I191" s="516" t="str">
        <f t="shared" si="60"/>
        <v>-</v>
      </c>
      <c r="J191" s="516" t="str">
        <f t="shared" si="61"/>
        <v>-</v>
      </c>
      <c r="K191" s="200" t="str">
        <f t="shared" si="62"/>
        <v>-</v>
      </c>
      <c r="L191" s="596"/>
      <c r="M191" s="201" t="e">
        <f>RANK(K191, K$147:$K$176)</f>
        <v>#VALUE!</v>
      </c>
      <c r="N191" s="614"/>
      <c r="O191" s="614"/>
      <c r="P191" s="182"/>
      <c r="Q191" s="182"/>
      <c r="R191" s="182"/>
      <c r="S191" s="457" t="e">
        <f t="shared" si="63"/>
        <v>#N/A</v>
      </c>
      <c r="T191" s="636"/>
      <c r="U191" s="182"/>
      <c r="V191" s="182"/>
      <c r="W191" s="182"/>
      <c r="X191" s="457" t="e">
        <f t="shared" si="64"/>
        <v>#N/A</v>
      </c>
      <c r="Y191" s="636"/>
      <c r="Z191" s="182"/>
      <c r="AA191" s="182"/>
      <c r="AB191" s="182"/>
      <c r="AC191" s="457" t="e">
        <f t="shared" si="65"/>
        <v>#N/A</v>
      </c>
      <c r="AD191" s="636"/>
      <c r="AE191" s="182"/>
      <c r="AF191" s="182"/>
      <c r="AG191" s="182"/>
      <c r="AH191" s="457" t="e">
        <f t="shared" si="66"/>
        <v>#N/A</v>
      </c>
      <c r="AI191" s="636"/>
      <c r="AJ191" s="182"/>
      <c r="AK191" s="182"/>
      <c r="AL191" s="182"/>
      <c r="AM191" s="457" t="e">
        <f t="shared" si="67"/>
        <v>#N/A</v>
      </c>
      <c r="AN191" s="636"/>
      <c r="AO191" s="182"/>
      <c r="AP191" s="182"/>
      <c r="AQ191" s="182"/>
      <c r="AR191" s="457" t="e">
        <f t="shared" si="68"/>
        <v>#N/A</v>
      </c>
      <c r="AS191" s="636"/>
      <c r="AT191" s="182"/>
      <c r="AU191" s="182"/>
      <c r="AV191" s="182"/>
      <c r="AW191" s="457" t="e">
        <f t="shared" si="69"/>
        <v>#N/A</v>
      </c>
      <c r="AX191" s="636"/>
      <c r="AZ191" s="524" t="e">
        <f t="shared" si="70"/>
        <v>#N/A</v>
      </c>
      <c r="BA191" s="636"/>
    </row>
    <row r="192" spans="2:53">
      <c r="B192" s="622"/>
      <c r="C192" s="334">
        <v>11</v>
      </c>
      <c r="D192" s="226"/>
      <c r="E192" s="182"/>
      <c r="F192" s="514"/>
      <c r="G192" s="515"/>
      <c r="H192" s="664"/>
      <c r="I192" s="516" t="str">
        <f t="shared" si="60"/>
        <v>-</v>
      </c>
      <c r="J192" s="516" t="str">
        <f t="shared" si="61"/>
        <v>-</v>
      </c>
      <c r="K192" s="200" t="str">
        <f t="shared" si="62"/>
        <v>-</v>
      </c>
      <c r="L192" s="596"/>
      <c r="M192" s="201" t="e">
        <f>RANK(K192, K$147:$K$176)</f>
        <v>#VALUE!</v>
      </c>
      <c r="N192" s="614"/>
      <c r="O192" s="614"/>
      <c r="P192" s="182"/>
      <c r="Q192" s="182"/>
      <c r="R192" s="182"/>
      <c r="S192" s="457" t="e">
        <f t="shared" si="63"/>
        <v>#N/A</v>
      </c>
      <c r="T192" s="636"/>
      <c r="U192" s="182"/>
      <c r="V192" s="182"/>
      <c r="W192" s="182"/>
      <c r="X192" s="457" t="e">
        <f t="shared" si="64"/>
        <v>#N/A</v>
      </c>
      <c r="Y192" s="636"/>
      <c r="Z192" s="182"/>
      <c r="AA192" s="182"/>
      <c r="AB192" s="182"/>
      <c r="AC192" s="457" t="e">
        <f t="shared" si="65"/>
        <v>#N/A</v>
      </c>
      <c r="AD192" s="636"/>
      <c r="AE192" s="182"/>
      <c r="AF192" s="182"/>
      <c r="AG192" s="182"/>
      <c r="AH192" s="457" t="e">
        <f t="shared" si="66"/>
        <v>#N/A</v>
      </c>
      <c r="AI192" s="636"/>
      <c r="AJ192" s="182"/>
      <c r="AK192" s="182"/>
      <c r="AL192" s="182"/>
      <c r="AM192" s="457" t="e">
        <f t="shared" si="67"/>
        <v>#N/A</v>
      </c>
      <c r="AN192" s="636"/>
      <c r="AO192" s="182"/>
      <c r="AP192" s="182"/>
      <c r="AQ192" s="182"/>
      <c r="AR192" s="457" t="e">
        <f t="shared" si="68"/>
        <v>#N/A</v>
      </c>
      <c r="AS192" s="636"/>
      <c r="AT192" s="182"/>
      <c r="AU192" s="182"/>
      <c r="AV192" s="182"/>
      <c r="AW192" s="457" t="e">
        <f t="shared" si="69"/>
        <v>#N/A</v>
      </c>
      <c r="AX192" s="636"/>
      <c r="AZ192" s="524" t="e">
        <f t="shared" si="70"/>
        <v>#N/A</v>
      </c>
      <c r="BA192" s="636"/>
    </row>
    <row r="193" spans="2:53">
      <c r="B193" s="622"/>
      <c r="C193" s="334">
        <v>12</v>
      </c>
      <c r="D193" s="226"/>
      <c r="E193" s="182"/>
      <c r="F193" s="514"/>
      <c r="G193" s="515"/>
      <c r="H193" s="664"/>
      <c r="I193" s="516" t="str">
        <f t="shared" si="60"/>
        <v>-</v>
      </c>
      <c r="J193" s="516" t="str">
        <f t="shared" si="61"/>
        <v>-</v>
      </c>
      <c r="K193" s="200" t="str">
        <f t="shared" si="62"/>
        <v>-</v>
      </c>
      <c r="L193" s="596"/>
      <c r="M193" s="201" t="e">
        <f>RANK(K193, K$147:$K$176)</f>
        <v>#VALUE!</v>
      </c>
      <c r="N193" s="614"/>
      <c r="O193" s="614"/>
      <c r="P193" s="182"/>
      <c r="Q193" s="182"/>
      <c r="R193" s="182"/>
      <c r="S193" s="457" t="e">
        <f t="shared" si="63"/>
        <v>#N/A</v>
      </c>
      <c r="T193" s="636"/>
      <c r="U193" s="182"/>
      <c r="V193" s="182"/>
      <c r="W193" s="182"/>
      <c r="X193" s="457" t="e">
        <f t="shared" si="64"/>
        <v>#N/A</v>
      </c>
      <c r="Y193" s="636"/>
      <c r="Z193" s="182"/>
      <c r="AA193" s="182"/>
      <c r="AB193" s="182"/>
      <c r="AC193" s="457" t="e">
        <f t="shared" si="65"/>
        <v>#N/A</v>
      </c>
      <c r="AD193" s="636"/>
      <c r="AE193" s="182"/>
      <c r="AF193" s="182"/>
      <c r="AG193" s="182"/>
      <c r="AH193" s="457" t="e">
        <f t="shared" si="66"/>
        <v>#N/A</v>
      </c>
      <c r="AI193" s="636"/>
      <c r="AJ193" s="182"/>
      <c r="AK193" s="182"/>
      <c r="AL193" s="182"/>
      <c r="AM193" s="457" t="e">
        <f t="shared" si="67"/>
        <v>#N/A</v>
      </c>
      <c r="AN193" s="636"/>
      <c r="AO193" s="182"/>
      <c r="AP193" s="182"/>
      <c r="AQ193" s="182"/>
      <c r="AR193" s="457" t="e">
        <f t="shared" si="68"/>
        <v>#N/A</v>
      </c>
      <c r="AS193" s="636"/>
      <c r="AT193" s="182"/>
      <c r="AU193" s="182"/>
      <c r="AV193" s="182"/>
      <c r="AW193" s="457" t="e">
        <f t="shared" si="69"/>
        <v>#N/A</v>
      </c>
      <c r="AX193" s="636"/>
      <c r="AZ193" s="524" t="e">
        <f t="shared" si="70"/>
        <v>#N/A</v>
      </c>
      <c r="BA193" s="636"/>
    </row>
    <row r="194" spans="2:53">
      <c r="B194" s="622"/>
      <c r="C194" s="334">
        <v>13</v>
      </c>
      <c r="D194" s="226"/>
      <c r="E194" s="182"/>
      <c r="F194" s="514"/>
      <c r="G194" s="515"/>
      <c r="H194" s="664"/>
      <c r="I194" s="516" t="str">
        <f t="shared" si="60"/>
        <v>-</v>
      </c>
      <c r="J194" s="516" t="str">
        <f t="shared" si="61"/>
        <v>-</v>
      </c>
      <c r="K194" s="200" t="str">
        <f t="shared" si="62"/>
        <v>-</v>
      </c>
      <c r="L194" s="596"/>
      <c r="M194" s="201" t="e">
        <f>RANK(K194, K$147:$K$176)</f>
        <v>#VALUE!</v>
      </c>
      <c r="N194" s="614"/>
      <c r="O194" s="614"/>
      <c r="P194" s="182"/>
      <c r="Q194" s="182"/>
      <c r="R194" s="182"/>
      <c r="S194" s="457" t="e">
        <f t="shared" si="63"/>
        <v>#N/A</v>
      </c>
      <c r="T194" s="636"/>
      <c r="U194" s="182"/>
      <c r="V194" s="182"/>
      <c r="W194" s="182"/>
      <c r="X194" s="457" t="e">
        <f t="shared" si="64"/>
        <v>#N/A</v>
      </c>
      <c r="Y194" s="636"/>
      <c r="Z194" s="182"/>
      <c r="AA194" s="182"/>
      <c r="AB194" s="182"/>
      <c r="AC194" s="457" t="e">
        <f t="shared" si="65"/>
        <v>#N/A</v>
      </c>
      <c r="AD194" s="636"/>
      <c r="AE194" s="182"/>
      <c r="AF194" s="182"/>
      <c r="AG194" s="182"/>
      <c r="AH194" s="457" t="e">
        <f t="shared" si="66"/>
        <v>#N/A</v>
      </c>
      <c r="AI194" s="636"/>
      <c r="AJ194" s="182"/>
      <c r="AK194" s="182"/>
      <c r="AL194" s="182"/>
      <c r="AM194" s="457" t="e">
        <f t="shared" si="67"/>
        <v>#N/A</v>
      </c>
      <c r="AN194" s="636"/>
      <c r="AO194" s="182"/>
      <c r="AP194" s="182"/>
      <c r="AQ194" s="182"/>
      <c r="AR194" s="457" t="e">
        <f t="shared" si="68"/>
        <v>#N/A</v>
      </c>
      <c r="AS194" s="636"/>
      <c r="AT194" s="182"/>
      <c r="AU194" s="182"/>
      <c r="AV194" s="182"/>
      <c r="AW194" s="457" t="e">
        <f t="shared" si="69"/>
        <v>#N/A</v>
      </c>
      <c r="AX194" s="636"/>
      <c r="AZ194" s="524" t="e">
        <f t="shared" si="70"/>
        <v>#N/A</v>
      </c>
      <c r="BA194" s="636"/>
    </row>
    <row r="195" spans="2:53">
      <c r="B195" s="622"/>
      <c r="C195" s="334">
        <v>14</v>
      </c>
      <c r="D195" s="226"/>
      <c r="E195" s="182"/>
      <c r="F195" s="514"/>
      <c r="G195" s="515"/>
      <c r="H195" s="664"/>
      <c r="I195" s="516" t="str">
        <f t="shared" si="60"/>
        <v>-</v>
      </c>
      <c r="J195" s="516" t="str">
        <f t="shared" si="61"/>
        <v>-</v>
      </c>
      <c r="K195" s="200" t="str">
        <f t="shared" si="62"/>
        <v>-</v>
      </c>
      <c r="L195" s="596"/>
      <c r="M195" s="201" t="e">
        <f>RANK(K195, K$147:$K$176)</f>
        <v>#VALUE!</v>
      </c>
      <c r="N195" s="614"/>
      <c r="O195" s="614"/>
      <c r="P195" s="182"/>
      <c r="Q195" s="182"/>
      <c r="R195" s="182"/>
      <c r="S195" s="457" t="e">
        <f t="shared" si="63"/>
        <v>#N/A</v>
      </c>
      <c r="T195" s="636"/>
      <c r="U195" s="182"/>
      <c r="V195" s="182"/>
      <c r="W195" s="182"/>
      <c r="X195" s="457" t="e">
        <f t="shared" si="64"/>
        <v>#N/A</v>
      </c>
      <c r="Y195" s="636"/>
      <c r="Z195" s="182"/>
      <c r="AA195" s="182"/>
      <c r="AB195" s="182"/>
      <c r="AC195" s="457" t="e">
        <f t="shared" si="65"/>
        <v>#N/A</v>
      </c>
      <c r="AD195" s="636"/>
      <c r="AE195" s="182"/>
      <c r="AF195" s="182"/>
      <c r="AG195" s="182"/>
      <c r="AH195" s="457" t="e">
        <f t="shared" si="66"/>
        <v>#N/A</v>
      </c>
      <c r="AI195" s="636"/>
      <c r="AJ195" s="182"/>
      <c r="AK195" s="182"/>
      <c r="AL195" s="182"/>
      <c r="AM195" s="457" t="e">
        <f t="shared" si="67"/>
        <v>#N/A</v>
      </c>
      <c r="AN195" s="636"/>
      <c r="AO195" s="182"/>
      <c r="AP195" s="182"/>
      <c r="AQ195" s="182"/>
      <c r="AR195" s="457" t="e">
        <f t="shared" si="68"/>
        <v>#N/A</v>
      </c>
      <c r="AS195" s="636"/>
      <c r="AT195" s="182"/>
      <c r="AU195" s="182"/>
      <c r="AV195" s="182"/>
      <c r="AW195" s="457" t="e">
        <f t="shared" si="69"/>
        <v>#N/A</v>
      </c>
      <c r="AX195" s="636"/>
      <c r="AZ195" s="524" t="e">
        <f t="shared" si="70"/>
        <v>#N/A</v>
      </c>
      <c r="BA195" s="636"/>
    </row>
    <row r="196" spans="2:53">
      <c r="B196" s="622"/>
      <c r="C196" s="334">
        <v>15</v>
      </c>
      <c r="D196" s="226"/>
      <c r="E196" s="182"/>
      <c r="F196" s="514"/>
      <c r="G196" s="515"/>
      <c r="H196" s="664"/>
      <c r="I196" s="516" t="str">
        <f t="shared" si="60"/>
        <v>-</v>
      </c>
      <c r="J196" s="516" t="str">
        <f t="shared" si="61"/>
        <v>-</v>
      </c>
      <c r="K196" s="200" t="str">
        <f t="shared" si="62"/>
        <v>-</v>
      </c>
      <c r="L196" s="596"/>
      <c r="M196" s="199" t="e">
        <f>RANK(K196, K$147:$K$176)</f>
        <v>#VALUE!</v>
      </c>
      <c r="N196" s="614"/>
      <c r="O196" s="614"/>
      <c r="P196" s="182"/>
      <c r="Q196" s="182"/>
      <c r="R196" s="182"/>
      <c r="S196" s="457" t="e">
        <f t="shared" si="63"/>
        <v>#N/A</v>
      </c>
      <c r="T196" s="636"/>
      <c r="U196" s="182"/>
      <c r="V196" s="182"/>
      <c r="W196" s="182"/>
      <c r="X196" s="457" t="e">
        <f t="shared" si="64"/>
        <v>#N/A</v>
      </c>
      <c r="Y196" s="636"/>
      <c r="Z196" s="182"/>
      <c r="AA196" s="182"/>
      <c r="AB196" s="182"/>
      <c r="AC196" s="457" t="e">
        <f t="shared" si="65"/>
        <v>#N/A</v>
      </c>
      <c r="AD196" s="636"/>
      <c r="AE196" s="182"/>
      <c r="AF196" s="182"/>
      <c r="AG196" s="182"/>
      <c r="AH196" s="457" t="e">
        <f t="shared" si="66"/>
        <v>#N/A</v>
      </c>
      <c r="AI196" s="636"/>
      <c r="AJ196" s="182"/>
      <c r="AK196" s="182"/>
      <c r="AL196" s="182"/>
      <c r="AM196" s="457" t="e">
        <f t="shared" si="67"/>
        <v>#N/A</v>
      </c>
      <c r="AN196" s="636"/>
      <c r="AO196" s="182"/>
      <c r="AP196" s="182"/>
      <c r="AQ196" s="182"/>
      <c r="AR196" s="457" t="e">
        <f t="shared" si="68"/>
        <v>#N/A</v>
      </c>
      <c r="AS196" s="636"/>
      <c r="AT196" s="182"/>
      <c r="AU196" s="182"/>
      <c r="AV196" s="182"/>
      <c r="AW196" s="457" t="e">
        <f t="shared" si="69"/>
        <v>#N/A</v>
      </c>
      <c r="AX196" s="636"/>
      <c r="AZ196" s="524" t="e">
        <f t="shared" si="70"/>
        <v>#N/A</v>
      </c>
      <c r="BA196" s="636"/>
    </row>
    <row r="197" spans="2:53">
      <c r="B197" s="622"/>
      <c r="C197" s="334">
        <v>16</v>
      </c>
      <c r="D197" s="226"/>
      <c r="E197" s="182"/>
      <c r="F197" s="514"/>
      <c r="G197" s="515"/>
      <c r="H197" s="664"/>
      <c r="I197" s="516" t="str">
        <f t="shared" si="60"/>
        <v>-</v>
      </c>
      <c r="J197" s="516" t="str">
        <f t="shared" si="61"/>
        <v>-</v>
      </c>
      <c r="K197" s="200" t="str">
        <f t="shared" si="62"/>
        <v>-</v>
      </c>
      <c r="L197" s="596"/>
      <c r="M197" s="199" t="e">
        <f>RANK(K197, K$147:$K$176)</f>
        <v>#VALUE!</v>
      </c>
      <c r="N197" s="614"/>
      <c r="O197" s="614"/>
      <c r="P197" s="182"/>
      <c r="Q197" s="182"/>
      <c r="R197" s="182"/>
      <c r="S197" s="457" t="e">
        <f t="shared" si="63"/>
        <v>#N/A</v>
      </c>
      <c r="T197" s="636"/>
      <c r="U197" s="182"/>
      <c r="V197" s="182"/>
      <c r="W197" s="182"/>
      <c r="X197" s="457" t="e">
        <f t="shared" si="64"/>
        <v>#N/A</v>
      </c>
      <c r="Y197" s="636"/>
      <c r="Z197" s="182"/>
      <c r="AA197" s="182"/>
      <c r="AB197" s="182"/>
      <c r="AC197" s="457" t="e">
        <f t="shared" si="65"/>
        <v>#N/A</v>
      </c>
      <c r="AD197" s="636"/>
      <c r="AE197" s="182"/>
      <c r="AF197" s="182"/>
      <c r="AG197" s="182"/>
      <c r="AH197" s="457" t="e">
        <f t="shared" si="66"/>
        <v>#N/A</v>
      </c>
      <c r="AI197" s="636"/>
      <c r="AJ197" s="182"/>
      <c r="AK197" s="182"/>
      <c r="AL197" s="182"/>
      <c r="AM197" s="457" t="e">
        <f t="shared" si="67"/>
        <v>#N/A</v>
      </c>
      <c r="AN197" s="636"/>
      <c r="AO197" s="182"/>
      <c r="AP197" s="182"/>
      <c r="AQ197" s="182"/>
      <c r="AR197" s="457" t="e">
        <f t="shared" si="68"/>
        <v>#N/A</v>
      </c>
      <c r="AS197" s="636"/>
      <c r="AT197" s="182"/>
      <c r="AU197" s="182"/>
      <c r="AV197" s="182"/>
      <c r="AW197" s="457" t="e">
        <f t="shared" si="69"/>
        <v>#N/A</v>
      </c>
      <c r="AX197" s="636"/>
      <c r="AZ197" s="524" t="e">
        <f t="shared" si="70"/>
        <v>#N/A</v>
      </c>
      <c r="BA197" s="636"/>
    </row>
    <row r="198" spans="2:53">
      <c r="B198" s="622"/>
      <c r="C198" s="334">
        <v>17</v>
      </c>
      <c r="D198" s="226"/>
      <c r="E198" s="182"/>
      <c r="F198" s="514"/>
      <c r="G198" s="515"/>
      <c r="H198" s="664"/>
      <c r="I198" s="516" t="str">
        <f t="shared" si="60"/>
        <v>-</v>
      </c>
      <c r="J198" s="516" t="str">
        <f t="shared" si="61"/>
        <v>-</v>
      </c>
      <c r="K198" s="200" t="str">
        <f t="shared" si="62"/>
        <v>-</v>
      </c>
      <c r="L198" s="596"/>
      <c r="M198" s="199" t="e">
        <f>RANK(K198, K$147:$K$176)</f>
        <v>#VALUE!</v>
      </c>
      <c r="N198" s="614"/>
      <c r="O198" s="614"/>
      <c r="P198" s="182"/>
      <c r="Q198" s="182"/>
      <c r="R198" s="182"/>
      <c r="S198" s="457" t="e">
        <f t="shared" si="63"/>
        <v>#N/A</v>
      </c>
      <c r="T198" s="636"/>
      <c r="U198" s="182"/>
      <c r="V198" s="182"/>
      <c r="W198" s="182"/>
      <c r="X198" s="457" t="e">
        <f t="shared" si="64"/>
        <v>#N/A</v>
      </c>
      <c r="Y198" s="636"/>
      <c r="Z198" s="182"/>
      <c r="AA198" s="182"/>
      <c r="AB198" s="182"/>
      <c r="AC198" s="457" t="e">
        <f t="shared" si="65"/>
        <v>#N/A</v>
      </c>
      <c r="AD198" s="636"/>
      <c r="AE198" s="182"/>
      <c r="AF198" s="182"/>
      <c r="AG198" s="182"/>
      <c r="AH198" s="457" t="e">
        <f t="shared" si="66"/>
        <v>#N/A</v>
      </c>
      <c r="AI198" s="636"/>
      <c r="AJ198" s="182"/>
      <c r="AK198" s="182"/>
      <c r="AL198" s="182"/>
      <c r="AM198" s="457" t="e">
        <f t="shared" si="67"/>
        <v>#N/A</v>
      </c>
      <c r="AN198" s="636"/>
      <c r="AO198" s="182"/>
      <c r="AP198" s="182"/>
      <c r="AQ198" s="182"/>
      <c r="AR198" s="457" t="e">
        <f t="shared" si="68"/>
        <v>#N/A</v>
      </c>
      <c r="AS198" s="636"/>
      <c r="AT198" s="182"/>
      <c r="AU198" s="182"/>
      <c r="AV198" s="182"/>
      <c r="AW198" s="457" t="e">
        <f t="shared" si="69"/>
        <v>#N/A</v>
      </c>
      <c r="AX198" s="636"/>
      <c r="AZ198" s="524" t="e">
        <f t="shared" si="70"/>
        <v>#N/A</v>
      </c>
      <c r="BA198" s="636"/>
    </row>
    <row r="199" spans="2:53">
      <c r="B199" s="622"/>
      <c r="C199" s="334">
        <v>18</v>
      </c>
      <c r="D199" s="226"/>
      <c r="E199" s="182"/>
      <c r="F199" s="514"/>
      <c r="G199" s="515"/>
      <c r="H199" s="664"/>
      <c r="I199" s="516" t="str">
        <f t="shared" si="60"/>
        <v>-</v>
      </c>
      <c r="J199" s="516" t="str">
        <f t="shared" si="61"/>
        <v>-</v>
      </c>
      <c r="K199" s="200" t="str">
        <f t="shared" si="62"/>
        <v>-</v>
      </c>
      <c r="L199" s="596"/>
      <c r="M199" s="199" t="e">
        <f>RANK(K199, K$147:$K$176)</f>
        <v>#VALUE!</v>
      </c>
      <c r="N199" s="614"/>
      <c r="O199" s="614"/>
      <c r="P199" s="182"/>
      <c r="Q199" s="182"/>
      <c r="R199" s="182"/>
      <c r="S199" s="457" t="e">
        <f t="shared" si="63"/>
        <v>#N/A</v>
      </c>
      <c r="T199" s="636"/>
      <c r="U199" s="182"/>
      <c r="V199" s="182"/>
      <c r="W199" s="182"/>
      <c r="X199" s="457" t="e">
        <f t="shared" si="64"/>
        <v>#N/A</v>
      </c>
      <c r="Y199" s="636"/>
      <c r="Z199" s="182"/>
      <c r="AA199" s="182"/>
      <c r="AB199" s="182"/>
      <c r="AC199" s="457" t="e">
        <f t="shared" si="65"/>
        <v>#N/A</v>
      </c>
      <c r="AD199" s="636"/>
      <c r="AE199" s="182"/>
      <c r="AF199" s="182"/>
      <c r="AG199" s="182"/>
      <c r="AH199" s="457" t="e">
        <f t="shared" si="66"/>
        <v>#N/A</v>
      </c>
      <c r="AI199" s="636"/>
      <c r="AJ199" s="182"/>
      <c r="AK199" s="182"/>
      <c r="AL199" s="182"/>
      <c r="AM199" s="457" t="e">
        <f t="shared" si="67"/>
        <v>#N/A</v>
      </c>
      <c r="AN199" s="636"/>
      <c r="AO199" s="182"/>
      <c r="AP199" s="182"/>
      <c r="AQ199" s="182"/>
      <c r="AR199" s="457" t="e">
        <f t="shared" si="68"/>
        <v>#N/A</v>
      </c>
      <c r="AS199" s="636"/>
      <c r="AT199" s="182"/>
      <c r="AU199" s="182"/>
      <c r="AV199" s="182"/>
      <c r="AW199" s="457" t="e">
        <f t="shared" si="69"/>
        <v>#N/A</v>
      </c>
      <c r="AX199" s="636"/>
      <c r="AZ199" s="524" t="e">
        <f t="shared" si="70"/>
        <v>#N/A</v>
      </c>
      <c r="BA199" s="636"/>
    </row>
    <row r="200" spans="2:53">
      <c r="B200" s="622"/>
      <c r="C200" s="334">
        <v>19</v>
      </c>
      <c r="D200" s="226"/>
      <c r="E200" s="182"/>
      <c r="F200" s="514"/>
      <c r="G200" s="515"/>
      <c r="H200" s="664"/>
      <c r="I200" s="516" t="str">
        <f t="shared" si="60"/>
        <v>-</v>
      </c>
      <c r="J200" s="516" t="str">
        <f t="shared" si="61"/>
        <v>-</v>
      </c>
      <c r="K200" s="200" t="str">
        <f t="shared" si="62"/>
        <v>-</v>
      </c>
      <c r="L200" s="596"/>
      <c r="M200" s="199" t="e">
        <f>RANK(K200, K$147:$K$176)</f>
        <v>#VALUE!</v>
      </c>
      <c r="N200" s="614"/>
      <c r="O200" s="614"/>
      <c r="P200" s="182"/>
      <c r="Q200" s="182"/>
      <c r="R200" s="182"/>
      <c r="S200" s="457" t="e">
        <f t="shared" si="63"/>
        <v>#N/A</v>
      </c>
      <c r="T200" s="636"/>
      <c r="U200" s="182"/>
      <c r="V200" s="182"/>
      <c r="W200" s="182"/>
      <c r="X200" s="457" t="e">
        <f t="shared" si="64"/>
        <v>#N/A</v>
      </c>
      <c r="Y200" s="636"/>
      <c r="Z200" s="182"/>
      <c r="AA200" s="182"/>
      <c r="AB200" s="182"/>
      <c r="AC200" s="457" t="e">
        <f t="shared" si="65"/>
        <v>#N/A</v>
      </c>
      <c r="AD200" s="636"/>
      <c r="AE200" s="182"/>
      <c r="AF200" s="182"/>
      <c r="AG200" s="182"/>
      <c r="AH200" s="457" t="e">
        <f t="shared" si="66"/>
        <v>#N/A</v>
      </c>
      <c r="AI200" s="636"/>
      <c r="AJ200" s="182"/>
      <c r="AK200" s="182"/>
      <c r="AL200" s="182"/>
      <c r="AM200" s="457" t="e">
        <f t="shared" si="67"/>
        <v>#N/A</v>
      </c>
      <c r="AN200" s="636"/>
      <c r="AO200" s="182"/>
      <c r="AP200" s="182"/>
      <c r="AQ200" s="182"/>
      <c r="AR200" s="457" t="e">
        <f t="shared" si="68"/>
        <v>#N/A</v>
      </c>
      <c r="AS200" s="636"/>
      <c r="AT200" s="182"/>
      <c r="AU200" s="182"/>
      <c r="AV200" s="182"/>
      <c r="AW200" s="457" t="e">
        <f t="shared" si="69"/>
        <v>#N/A</v>
      </c>
      <c r="AX200" s="636"/>
      <c r="AZ200" s="524" t="e">
        <f t="shared" si="70"/>
        <v>#N/A</v>
      </c>
      <c r="BA200" s="636"/>
    </row>
    <row r="201" spans="2:53">
      <c r="B201" s="622"/>
      <c r="C201" s="334">
        <v>20</v>
      </c>
      <c r="D201" s="226"/>
      <c r="E201" s="182"/>
      <c r="F201" s="514"/>
      <c r="G201" s="515"/>
      <c r="H201" s="664"/>
      <c r="I201" s="516" t="str">
        <f t="shared" si="60"/>
        <v>-</v>
      </c>
      <c r="J201" s="516" t="str">
        <f t="shared" si="61"/>
        <v>-</v>
      </c>
      <c r="K201" s="200" t="str">
        <f t="shared" si="62"/>
        <v>-</v>
      </c>
      <c r="L201" s="596"/>
      <c r="M201" s="199" t="e">
        <f>RANK(K201, K$147:$K$176)</f>
        <v>#VALUE!</v>
      </c>
      <c r="N201" s="614"/>
      <c r="O201" s="614"/>
      <c r="P201" s="182"/>
      <c r="Q201" s="182"/>
      <c r="R201" s="182"/>
      <c r="S201" s="457" t="e">
        <f t="shared" si="63"/>
        <v>#N/A</v>
      </c>
      <c r="T201" s="636"/>
      <c r="U201" s="182"/>
      <c r="V201" s="182"/>
      <c r="W201" s="182"/>
      <c r="X201" s="457" t="e">
        <f t="shared" si="64"/>
        <v>#N/A</v>
      </c>
      <c r="Y201" s="636"/>
      <c r="Z201" s="182"/>
      <c r="AA201" s="182"/>
      <c r="AB201" s="182"/>
      <c r="AC201" s="457" t="e">
        <f t="shared" si="65"/>
        <v>#N/A</v>
      </c>
      <c r="AD201" s="636"/>
      <c r="AE201" s="182"/>
      <c r="AF201" s="182"/>
      <c r="AG201" s="182"/>
      <c r="AH201" s="457" t="e">
        <f t="shared" si="66"/>
        <v>#N/A</v>
      </c>
      <c r="AI201" s="636"/>
      <c r="AJ201" s="182"/>
      <c r="AK201" s="182"/>
      <c r="AL201" s="182"/>
      <c r="AM201" s="457" t="e">
        <f t="shared" si="67"/>
        <v>#N/A</v>
      </c>
      <c r="AN201" s="636"/>
      <c r="AO201" s="182"/>
      <c r="AP201" s="182"/>
      <c r="AQ201" s="182"/>
      <c r="AR201" s="457" t="e">
        <f t="shared" si="68"/>
        <v>#N/A</v>
      </c>
      <c r="AS201" s="636"/>
      <c r="AT201" s="182"/>
      <c r="AU201" s="182"/>
      <c r="AV201" s="182"/>
      <c r="AW201" s="457" t="e">
        <f t="shared" si="69"/>
        <v>#N/A</v>
      </c>
      <c r="AX201" s="636"/>
      <c r="AZ201" s="524" t="e">
        <f t="shared" si="70"/>
        <v>#N/A</v>
      </c>
      <c r="BA201" s="636"/>
    </row>
    <row r="202" spans="2:53">
      <c r="B202" s="622"/>
      <c r="C202" s="334">
        <v>21</v>
      </c>
      <c r="D202" s="226"/>
      <c r="E202" s="182"/>
      <c r="F202" s="514"/>
      <c r="G202" s="515"/>
      <c r="H202" s="664"/>
      <c r="I202" s="516" t="str">
        <f t="shared" si="60"/>
        <v>-</v>
      </c>
      <c r="J202" s="516" t="str">
        <f t="shared" si="61"/>
        <v>-</v>
      </c>
      <c r="K202" s="200" t="str">
        <f t="shared" si="62"/>
        <v>-</v>
      </c>
      <c r="L202" s="596"/>
      <c r="M202" s="199" t="e">
        <f>RANK(K202, K$147:$K$176)</f>
        <v>#VALUE!</v>
      </c>
      <c r="N202" s="614"/>
      <c r="O202" s="614"/>
      <c r="P202" s="182"/>
      <c r="Q202" s="182"/>
      <c r="R202" s="182"/>
      <c r="S202" s="457" t="e">
        <f t="shared" si="63"/>
        <v>#N/A</v>
      </c>
      <c r="T202" s="636"/>
      <c r="U202" s="182"/>
      <c r="V202" s="182"/>
      <c r="W202" s="182"/>
      <c r="X202" s="457" t="e">
        <f t="shared" si="64"/>
        <v>#N/A</v>
      </c>
      <c r="Y202" s="636"/>
      <c r="Z202" s="182"/>
      <c r="AA202" s="182"/>
      <c r="AB202" s="182"/>
      <c r="AC202" s="457" t="e">
        <f t="shared" si="65"/>
        <v>#N/A</v>
      </c>
      <c r="AD202" s="636"/>
      <c r="AE202" s="182"/>
      <c r="AF202" s="182"/>
      <c r="AG202" s="182"/>
      <c r="AH202" s="457" t="e">
        <f t="shared" si="66"/>
        <v>#N/A</v>
      </c>
      <c r="AI202" s="636"/>
      <c r="AJ202" s="182"/>
      <c r="AK202" s="182"/>
      <c r="AL202" s="182"/>
      <c r="AM202" s="457" t="e">
        <f t="shared" si="67"/>
        <v>#N/A</v>
      </c>
      <c r="AN202" s="636"/>
      <c r="AO202" s="182"/>
      <c r="AP202" s="182"/>
      <c r="AQ202" s="182"/>
      <c r="AR202" s="457" t="e">
        <f t="shared" si="68"/>
        <v>#N/A</v>
      </c>
      <c r="AS202" s="636"/>
      <c r="AT202" s="182"/>
      <c r="AU202" s="182"/>
      <c r="AV202" s="182"/>
      <c r="AW202" s="457" t="e">
        <f t="shared" si="69"/>
        <v>#N/A</v>
      </c>
      <c r="AX202" s="636"/>
      <c r="AZ202" s="524" t="e">
        <f t="shared" si="70"/>
        <v>#N/A</v>
      </c>
      <c r="BA202" s="636"/>
    </row>
    <row r="203" spans="2:53">
      <c r="B203" s="622"/>
      <c r="C203" s="334">
        <v>22</v>
      </c>
      <c r="D203" s="226"/>
      <c r="E203" s="182"/>
      <c r="F203" s="514"/>
      <c r="G203" s="515"/>
      <c r="H203" s="664"/>
      <c r="I203" s="516" t="str">
        <f t="shared" si="60"/>
        <v>-</v>
      </c>
      <c r="J203" s="516" t="str">
        <f t="shared" si="61"/>
        <v>-</v>
      </c>
      <c r="K203" s="200" t="str">
        <f t="shared" si="62"/>
        <v>-</v>
      </c>
      <c r="L203" s="596"/>
      <c r="M203" s="199" t="e">
        <f>RANK(K203, K$147:$K$176)</f>
        <v>#VALUE!</v>
      </c>
      <c r="N203" s="614"/>
      <c r="O203" s="614"/>
      <c r="P203" s="182"/>
      <c r="Q203" s="182"/>
      <c r="R203" s="182"/>
      <c r="S203" s="457" t="e">
        <f t="shared" si="63"/>
        <v>#N/A</v>
      </c>
      <c r="T203" s="636"/>
      <c r="U203" s="182"/>
      <c r="V203" s="182"/>
      <c r="W203" s="182"/>
      <c r="X203" s="457" t="e">
        <f t="shared" si="64"/>
        <v>#N/A</v>
      </c>
      <c r="Y203" s="636"/>
      <c r="Z203" s="182"/>
      <c r="AA203" s="182"/>
      <c r="AB203" s="182"/>
      <c r="AC203" s="457" t="e">
        <f t="shared" si="65"/>
        <v>#N/A</v>
      </c>
      <c r="AD203" s="636"/>
      <c r="AE203" s="182"/>
      <c r="AF203" s="182"/>
      <c r="AG203" s="182"/>
      <c r="AH203" s="457" t="e">
        <f t="shared" si="66"/>
        <v>#N/A</v>
      </c>
      <c r="AI203" s="636"/>
      <c r="AJ203" s="182"/>
      <c r="AK203" s="182"/>
      <c r="AL203" s="182"/>
      <c r="AM203" s="457" t="e">
        <f t="shared" si="67"/>
        <v>#N/A</v>
      </c>
      <c r="AN203" s="636"/>
      <c r="AO203" s="182"/>
      <c r="AP203" s="182"/>
      <c r="AQ203" s="182"/>
      <c r="AR203" s="457" t="e">
        <f t="shared" si="68"/>
        <v>#N/A</v>
      </c>
      <c r="AS203" s="636"/>
      <c r="AT203" s="182"/>
      <c r="AU203" s="182"/>
      <c r="AV203" s="182"/>
      <c r="AW203" s="457" t="e">
        <f t="shared" si="69"/>
        <v>#N/A</v>
      </c>
      <c r="AX203" s="636"/>
      <c r="AZ203" s="524" t="e">
        <f t="shared" si="70"/>
        <v>#N/A</v>
      </c>
      <c r="BA203" s="636"/>
    </row>
    <row r="204" spans="2:53">
      <c r="B204" s="622"/>
      <c r="C204" s="334">
        <v>23</v>
      </c>
      <c r="D204" s="226"/>
      <c r="E204" s="182"/>
      <c r="F204" s="514"/>
      <c r="G204" s="515"/>
      <c r="H204" s="664"/>
      <c r="I204" s="516" t="str">
        <f t="shared" si="60"/>
        <v>-</v>
      </c>
      <c r="J204" s="516" t="str">
        <f t="shared" si="61"/>
        <v>-</v>
      </c>
      <c r="K204" s="200" t="str">
        <f t="shared" si="62"/>
        <v>-</v>
      </c>
      <c r="L204" s="596"/>
      <c r="M204" s="199" t="e">
        <f>RANK(K204, K$147:$K$176)</f>
        <v>#VALUE!</v>
      </c>
      <c r="N204" s="614"/>
      <c r="O204" s="614"/>
      <c r="P204" s="182"/>
      <c r="Q204" s="182"/>
      <c r="R204" s="182"/>
      <c r="S204" s="457" t="e">
        <f t="shared" si="63"/>
        <v>#N/A</v>
      </c>
      <c r="T204" s="636"/>
      <c r="U204" s="182"/>
      <c r="V204" s="182"/>
      <c r="W204" s="182"/>
      <c r="X204" s="457" t="e">
        <f t="shared" si="64"/>
        <v>#N/A</v>
      </c>
      <c r="Y204" s="636"/>
      <c r="Z204" s="182"/>
      <c r="AA204" s="182"/>
      <c r="AB204" s="182"/>
      <c r="AC204" s="457" t="e">
        <f t="shared" si="65"/>
        <v>#N/A</v>
      </c>
      <c r="AD204" s="636"/>
      <c r="AE204" s="182"/>
      <c r="AF204" s="182"/>
      <c r="AG204" s="182"/>
      <c r="AH204" s="457" t="e">
        <f t="shared" si="66"/>
        <v>#N/A</v>
      </c>
      <c r="AI204" s="636"/>
      <c r="AJ204" s="182"/>
      <c r="AK204" s="182"/>
      <c r="AL204" s="182"/>
      <c r="AM204" s="457" t="e">
        <f t="shared" si="67"/>
        <v>#N/A</v>
      </c>
      <c r="AN204" s="636"/>
      <c r="AO204" s="182"/>
      <c r="AP204" s="182"/>
      <c r="AQ204" s="182"/>
      <c r="AR204" s="457" t="e">
        <f t="shared" si="68"/>
        <v>#N/A</v>
      </c>
      <c r="AS204" s="636"/>
      <c r="AT204" s="182"/>
      <c r="AU204" s="182"/>
      <c r="AV204" s="182"/>
      <c r="AW204" s="457" t="e">
        <f t="shared" si="69"/>
        <v>#N/A</v>
      </c>
      <c r="AX204" s="636"/>
      <c r="AZ204" s="524" t="e">
        <f t="shared" si="70"/>
        <v>#N/A</v>
      </c>
      <c r="BA204" s="636"/>
    </row>
    <row r="205" spans="2:53">
      <c r="B205" s="622"/>
      <c r="C205" s="334">
        <v>24</v>
      </c>
      <c r="D205" s="226"/>
      <c r="E205" s="182"/>
      <c r="F205" s="514"/>
      <c r="G205" s="515"/>
      <c r="H205" s="664"/>
      <c r="I205" s="516" t="str">
        <f t="shared" si="60"/>
        <v>-</v>
      </c>
      <c r="J205" s="516" t="str">
        <f t="shared" si="61"/>
        <v>-</v>
      </c>
      <c r="K205" s="200" t="str">
        <f t="shared" si="62"/>
        <v>-</v>
      </c>
      <c r="L205" s="596"/>
      <c r="M205" s="199" t="e">
        <f>RANK(K205, K$147:$K$176)</f>
        <v>#VALUE!</v>
      </c>
      <c r="N205" s="614"/>
      <c r="O205" s="614"/>
      <c r="P205" s="334"/>
      <c r="Q205" s="337"/>
      <c r="R205" s="337"/>
      <c r="S205" s="457" t="e">
        <f t="shared" si="63"/>
        <v>#N/A</v>
      </c>
      <c r="T205" s="636"/>
      <c r="U205" s="348"/>
      <c r="V205" s="349"/>
      <c r="W205" s="349"/>
      <c r="X205" s="457" t="e">
        <f t="shared" si="64"/>
        <v>#N/A</v>
      </c>
      <c r="Y205" s="636"/>
      <c r="Z205" s="466"/>
      <c r="AA205" s="467"/>
      <c r="AB205" s="467"/>
      <c r="AC205" s="457" t="e">
        <f t="shared" si="65"/>
        <v>#N/A</v>
      </c>
      <c r="AD205" s="636"/>
      <c r="AE205" s="466"/>
      <c r="AF205" s="467"/>
      <c r="AG205" s="467"/>
      <c r="AH205" s="457" t="e">
        <f t="shared" si="66"/>
        <v>#N/A</v>
      </c>
      <c r="AI205" s="636"/>
      <c r="AJ205" s="466"/>
      <c r="AK205" s="467"/>
      <c r="AL205" s="467"/>
      <c r="AM205" s="457" t="e">
        <f t="shared" si="67"/>
        <v>#N/A</v>
      </c>
      <c r="AN205" s="636"/>
      <c r="AO205" s="466"/>
      <c r="AP205" s="467"/>
      <c r="AQ205" s="467"/>
      <c r="AR205" s="457" t="e">
        <f t="shared" si="68"/>
        <v>#N/A</v>
      </c>
      <c r="AS205" s="636"/>
      <c r="AT205" s="348"/>
      <c r="AU205" s="349"/>
      <c r="AV205" s="349"/>
      <c r="AW205" s="457" t="e">
        <f t="shared" si="69"/>
        <v>#N/A</v>
      </c>
      <c r="AX205" s="636"/>
      <c r="AZ205" s="524" t="e">
        <f t="shared" si="70"/>
        <v>#N/A</v>
      </c>
      <c r="BA205" s="636"/>
    </row>
    <row r="206" spans="2:53">
      <c r="B206" s="622"/>
      <c r="C206" s="334">
        <v>25</v>
      </c>
      <c r="D206" s="226"/>
      <c r="E206" s="182"/>
      <c r="F206" s="514"/>
      <c r="G206" s="515"/>
      <c r="H206" s="664"/>
      <c r="I206" s="516" t="str">
        <f t="shared" si="60"/>
        <v>-</v>
      </c>
      <c r="J206" s="516" t="str">
        <f t="shared" si="61"/>
        <v>-</v>
      </c>
      <c r="K206" s="200" t="str">
        <f t="shared" si="62"/>
        <v>-</v>
      </c>
      <c r="L206" s="596"/>
      <c r="M206" s="199" t="e">
        <f>RANK(K206, K$147:$K$176)</f>
        <v>#VALUE!</v>
      </c>
      <c r="N206" s="614"/>
      <c r="O206" s="614"/>
      <c r="P206" s="334"/>
      <c r="Q206" s="337"/>
      <c r="R206" s="337"/>
      <c r="S206" s="457" t="e">
        <f t="shared" si="63"/>
        <v>#N/A</v>
      </c>
      <c r="T206" s="636"/>
      <c r="U206" s="348"/>
      <c r="V206" s="349"/>
      <c r="W206" s="349"/>
      <c r="X206" s="457" t="e">
        <f t="shared" si="64"/>
        <v>#N/A</v>
      </c>
      <c r="Y206" s="636"/>
      <c r="Z206" s="466"/>
      <c r="AA206" s="467"/>
      <c r="AB206" s="467"/>
      <c r="AC206" s="457" t="e">
        <f t="shared" si="65"/>
        <v>#N/A</v>
      </c>
      <c r="AD206" s="636"/>
      <c r="AE206" s="466"/>
      <c r="AF206" s="467"/>
      <c r="AG206" s="467"/>
      <c r="AH206" s="457" t="e">
        <f t="shared" si="66"/>
        <v>#N/A</v>
      </c>
      <c r="AI206" s="636"/>
      <c r="AJ206" s="466"/>
      <c r="AK206" s="467"/>
      <c r="AL206" s="467"/>
      <c r="AM206" s="457" t="e">
        <f t="shared" si="67"/>
        <v>#N/A</v>
      </c>
      <c r="AN206" s="636"/>
      <c r="AO206" s="466"/>
      <c r="AP206" s="467"/>
      <c r="AQ206" s="467"/>
      <c r="AR206" s="457" t="e">
        <f t="shared" si="68"/>
        <v>#N/A</v>
      </c>
      <c r="AS206" s="636"/>
      <c r="AT206" s="348"/>
      <c r="AU206" s="349"/>
      <c r="AV206" s="349"/>
      <c r="AW206" s="457" t="e">
        <f t="shared" si="69"/>
        <v>#N/A</v>
      </c>
      <c r="AX206" s="636"/>
      <c r="AZ206" s="524" t="e">
        <f t="shared" si="70"/>
        <v>#N/A</v>
      </c>
      <c r="BA206" s="636"/>
    </row>
    <row r="207" spans="2:53">
      <c r="B207" s="622"/>
      <c r="C207" s="334">
        <v>26</v>
      </c>
      <c r="D207" s="226"/>
      <c r="E207" s="182"/>
      <c r="F207" s="514"/>
      <c r="G207" s="515"/>
      <c r="H207" s="664"/>
      <c r="I207" s="516" t="str">
        <f t="shared" si="60"/>
        <v>-</v>
      </c>
      <c r="J207" s="516" t="str">
        <f t="shared" si="61"/>
        <v>-</v>
      </c>
      <c r="K207" s="200" t="str">
        <f t="shared" si="62"/>
        <v>-</v>
      </c>
      <c r="L207" s="596"/>
      <c r="M207" s="199" t="e">
        <f>RANK(K207, K$147:$K$176)</f>
        <v>#VALUE!</v>
      </c>
      <c r="N207" s="614"/>
      <c r="O207" s="614"/>
      <c r="P207" s="334"/>
      <c r="Q207" s="337"/>
      <c r="R207" s="337"/>
      <c r="S207" s="457" t="e">
        <f t="shared" si="63"/>
        <v>#N/A</v>
      </c>
      <c r="T207" s="636"/>
      <c r="U207" s="348"/>
      <c r="V207" s="349"/>
      <c r="W207" s="349"/>
      <c r="X207" s="457" t="e">
        <f t="shared" si="64"/>
        <v>#N/A</v>
      </c>
      <c r="Y207" s="636"/>
      <c r="Z207" s="466"/>
      <c r="AA207" s="467"/>
      <c r="AB207" s="467"/>
      <c r="AC207" s="457" t="e">
        <f t="shared" si="65"/>
        <v>#N/A</v>
      </c>
      <c r="AD207" s="636"/>
      <c r="AE207" s="466"/>
      <c r="AF207" s="467"/>
      <c r="AG207" s="467"/>
      <c r="AH207" s="457" t="e">
        <f t="shared" si="66"/>
        <v>#N/A</v>
      </c>
      <c r="AI207" s="636"/>
      <c r="AJ207" s="466"/>
      <c r="AK207" s="467"/>
      <c r="AL207" s="467"/>
      <c r="AM207" s="457" t="e">
        <f t="shared" si="67"/>
        <v>#N/A</v>
      </c>
      <c r="AN207" s="636"/>
      <c r="AO207" s="466"/>
      <c r="AP207" s="467"/>
      <c r="AQ207" s="467"/>
      <c r="AR207" s="457" t="e">
        <f t="shared" si="68"/>
        <v>#N/A</v>
      </c>
      <c r="AS207" s="636"/>
      <c r="AT207" s="348"/>
      <c r="AU207" s="349"/>
      <c r="AV207" s="349"/>
      <c r="AW207" s="457" t="e">
        <f t="shared" si="69"/>
        <v>#N/A</v>
      </c>
      <c r="AX207" s="636"/>
      <c r="AZ207" s="524" t="e">
        <f t="shared" si="70"/>
        <v>#N/A</v>
      </c>
      <c r="BA207" s="636"/>
    </row>
    <row r="208" spans="2:53">
      <c r="B208" s="622"/>
      <c r="C208" s="334">
        <v>27</v>
      </c>
      <c r="D208" s="226"/>
      <c r="E208" s="182"/>
      <c r="F208" s="514"/>
      <c r="G208" s="515"/>
      <c r="H208" s="664"/>
      <c r="I208" s="516" t="str">
        <f t="shared" si="60"/>
        <v>-</v>
      </c>
      <c r="J208" s="516" t="str">
        <f t="shared" si="61"/>
        <v>-</v>
      </c>
      <c r="K208" s="200" t="str">
        <f t="shared" si="62"/>
        <v>-</v>
      </c>
      <c r="L208" s="596"/>
      <c r="M208" s="199" t="e">
        <f>RANK(K208, K$147:$K$176)</f>
        <v>#VALUE!</v>
      </c>
      <c r="N208" s="614"/>
      <c r="O208" s="614"/>
      <c r="P208" s="334"/>
      <c r="Q208" s="337"/>
      <c r="R208" s="337"/>
      <c r="S208" s="457" t="e">
        <f t="shared" si="63"/>
        <v>#N/A</v>
      </c>
      <c r="T208" s="636"/>
      <c r="U208" s="348"/>
      <c r="V208" s="349"/>
      <c r="W208" s="349"/>
      <c r="X208" s="457" t="e">
        <f t="shared" si="64"/>
        <v>#N/A</v>
      </c>
      <c r="Y208" s="636"/>
      <c r="Z208" s="466"/>
      <c r="AA208" s="467"/>
      <c r="AB208" s="467"/>
      <c r="AC208" s="457" t="e">
        <f t="shared" si="65"/>
        <v>#N/A</v>
      </c>
      <c r="AD208" s="636"/>
      <c r="AE208" s="466"/>
      <c r="AF208" s="467"/>
      <c r="AG208" s="467"/>
      <c r="AH208" s="457" t="e">
        <f t="shared" si="66"/>
        <v>#N/A</v>
      </c>
      <c r="AI208" s="636"/>
      <c r="AJ208" s="466"/>
      <c r="AK208" s="467"/>
      <c r="AL208" s="467"/>
      <c r="AM208" s="457" t="e">
        <f t="shared" si="67"/>
        <v>#N/A</v>
      </c>
      <c r="AN208" s="636"/>
      <c r="AO208" s="466"/>
      <c r="AP208" s="467"/>
      <c r="AQ208" s="467"/>
      <c r="AR208" s="457" t="e">
        <f t="shared" si="68"/>
        <v>#N/A</v>
      </c>
      <c r="AS208" s="636"/>
      <c r="AT208" s="348"/>
      <c r="AU208" s="349"/>
      <c r="AV208" s="349"/>
      <c r="AW208" s="457" t="e">
        <f t="shared" si="69"/>
        <v>#N/A</v>
      </c>
      <c r="AX208" s="636"/>
      <c r="AZ208" s="524" t="e">
        <f t="shared" si="70"/>
        <v>#N/A</v>
      </c>
      <c r="BA208" s="636"/>
    </row>
    <row r="209" spans="2:53">
      <c r="B209" s="622"/>
      <c r="C209" s="334">
        <v>28</v>
      </c>
      <c r="D209" s="226"/>
      <c r="E209" s="182"/>
      <c r="F209" s="514"/>
      <c r="G209" s="515"/>
      <c r="H209" s="664"/>
      <c r="I209" s="516" t="str">
        <f t="shared" si="60"/>
        <v>-</v>
      </c>
      <c r="J209" s="516" t="str">
        <f t="shared" si="61"/>
        <v>-</v>
      </c>
      <c r="K209" s="200" t="str">
        <f t="shared" si="62"/>
        <v>-</v>
      </c>
      <c r="L209" s="596"/>
      <c r="M209" s="199" t="e">
        <f>RANK(K209, K$147:$K$176)</f>
        <v>#VALUE!</v>
      </c>
      <c r="N209" s="614"/>
      <c r="O209" s="614"/>
      <c r="P209" s="334"/>
      <c r="Q209" s="337"/>
      <c r="R209" s="337"/>
      <c r="S209" s="457" t="e">
        <f t="shared" si="63"/>
        <v>#N/A</v>
      </c>
      <c r="T209" s="636"/>
      <c r="U209" s="334"/>
      <c r="V209" s="337"/>
      <c r="W209" s="337"/>
      <c r="X209" s="457" t="e">
        <f t="shared" si="64"/>
        <v>#N/A</v>
      </c>
      <c r="Y209" s="636"/>
      <c r="Z209" s="466"/>
      <c r="AA209" s="467"/>
      <c r="AB209" s="467"/>
      <c r="AC209" s="457" t="e">
        <f t="shared" si="65"/>
        <v>#N/A</v>
      </c>
      <c r="AD209" s="636"/>
      <c r="AE209" s="466"/>
      <c r="AF209" s="467"/>
      <c r="AG209" s="467"/>
      <c r="AH209" s="457" t="e">
        <f t="shared" si="66"/>
        <v>#N/A</v>
      </c>
      <c r="AI209" s="636"/>
      <c r="AJ209" s="466"/>
      <c r="AK209" s="467"/>
      <c r="AL209" s="467"/>
      <c r="AM209" s="457" t="e">
        <f t="shared" si="67"/>
        <v>#N/A</v>
      </c>
      <c r="AN209" s="636"/>
      <c r="AO209" s="466"/>
      <c r="AP209" s="467"/>
      <c r="AQ209" s="467"/>
      <c r="AR209" s="457" t="e">
        <f t="shared" si="68"/>
        <v>#N/A</v>
      </c>
      <c r="AS209" s="636"/>
      <c r="AT209" s="334"/>
      <c r="AU209" s="337"/>
      <c r="AV209" s="337"/>
      <c r="AW209" s="457" t="e">
        <f t="shared" si="69"/>
        <v>#N/A</v>
      </c>
      <c r="AX209" s="636"/>
      <c r="AZ209" s="524" t="e">
        <f t="shared" si="70"/>
        <v>#N/A</v>
      </c>
      <c r="BA209" s="636"/>
    </row>
    <row r="210" spans="2:53">
      <c r="B210" s="622"/>
      <c r="C210" s="334">
        <v>29</v>
      </c>
      <c r="D210" s="226"/>
      <c r="E210" s="182"/>
      <c r="F210" s="514"/>
      <c r="G210" s="515"/>
      <c r="H210" s="664"/>
      <c r="I210" s="516" t="str">
        <f t="shared" si="60"/>
        <v>-</v>
      </c>
      <c r="J210" s="516" t="str">
        <f t="shared" si="61"/>
        <v>-</v>
      </c>
      <c r="K210" s="200" t="str">
        <f t="shared" si="62"/>
        <v>-</v>
      </c>
      <c r="L210" s="596"/>
      <c r="M210" s="199" t="e">
        <f>RANK(K210, K$147:$K$176)</f>
        <v>#VALUE!</v>
      </c>
      <c r="N210" s="614"/>
      <c r="O210" s="614"/>
      <c r="P210" s="334"/>
      <c r="Q210" s="334"/>
      <c r="R210" s="334"/>
      <c r="S210" s="457" t="e">
        <f t="shared" si="63"/>
        <v>#N/A</v>
      </c>
      <c r="T210" s="636"/>
      <c r="U210" s="334"/>
      <c r="V210" s="334"/>
      <c r="W210" s="334"/>
      <c r="X210" s="457" t="e">
        <f t="shared" si="64"/>
        <v>#N/A</v>
      </c>
      <c r="Y210" s="636"/>
      <c r="Z210" s="466"/>
      <c r="AA210" s="466"/>
      <c r="AB210" s="466"/>
      <c r="AC210" s="457" t="e">
        <f t="shared" si="65"/>
        <v>#N/A</v>
      </c>
      <c r="AD210" s="636"/>
      <c r="AE210" s="466"/>
      <c r="AF210" s="466"/>
      <c r="AG210" s="466"/>
      <c r="AH210" s="457" t="e">
        <f t="shared" si="66"/>
        <v>#N/A</v>
      </c>
      <c r="AI210" s="636"/>
      <c r="AJ210" s="466"/>
      <c r="AK210" s="466"/>
      <c r="AL210" s="466"/>
      <c r="AM210" s="457" t="e">
        <f t="shared" si="67"/>
        <v>#N/A</v>
      </c>
      <c r="AN210" s="636"/>
      <c r="AO210" s="466"/>
      <c r="AP210" s="466"/>
      <c r="AQ210" s="466"/>
      <c r="AR210" s="457" t="e">
        <f t="shared" si="68"/>
        <v>#N/A</v>
      </c>
      <c r="AS210" s="636"/>
      <c r="AT210" s="334"/>
      <c r="AU210" s="334"/>
      <c r="AV210" s="334"/>
      <c r="AW210" s="457" t="e">
        <f t="shared" si="69"/>
        <v>#N/A</v>
      </c>
      <c r="AX210" s="636"/>
      <c r="AZ210" s="524" t="e">
        <f t="shared" si="70"/>
        <v>#N/A</v>
      </c>
      <c r="BA210" s="636"/>
    </row>
    <row r="211" spans="2:53">
      <c r="B211" s="622"/>
      <c r="C211" s="334">
        <v>30</v>
      </c>
      <c r="D211" s="226"/>
      <c r="E211" s="182"/>
      <c r="F211" s="514"/>
      <c r="G211" s="515"/>
      <c r="H211" s="665"/>
      <c r="I211" s="516" t="str">
        <f t="shared" si="60"/>
        <v>-</v>
      </c>
      <c r="J211" s="516" t="str">
        <f t="shared" si="61"/>
        <v>-</v>
      </c>
      <c r="K211" s="200" t="str">
        <f t="shared" si="62"/>
        <v>-</v>
      </c>
      <c r="L211" s="597"/>
      <c r="M211" s="199" t="e">
        <f>RANK(K211, K$147:$K$176)</f>
        <v>#VALUE!</v>
      </c>
      <c r="N211" s="614"/>
      <c r="O211" s="614"/>
      <c r="P211" s="334"/>
      <c r="Q211" s="334"/>
      <c r="R211" s="334"/>
      <c r="S211" s="457" t="e">
        <f t="shared" si="63"/>
        <v>#N/A</v>
      </c>
      <c r="T211" s="636"/>
      <c r="U211" s="334"/>
      <c r="V211" s="334"/>
      <c r="W211" s="334"/>
      <c r="X211" s="457" t="e">
        <f t="shared" si="64"/>
        <v>#N/A</v>
      </c>
      <c r="Y211" s="636"/>
      <c r="Z211" s="466"/>
      <c r="AA211" s="466"/>
      <c r="AB211" s="466"/>
      <c r="AC211" s="457" t="e">
        <f t="shared" si="65"/>
        <v>#N/A</v>
      </c>
      <c r="AD211" s="636"/>
      <c r="AE211" s="466"/>
      <c r="AF211" s="466"/>
      <c r="AG211" s="466"/>
      <c r="AH211" s="457" t="e">
        <f t="shared" si="66"/>
        <v>#N/A</v>
      </c>
      <c r="AI211" s="636"/>
      <c r="AJ211" s="466"/>
      <c r="AK211" s="466"/>
      <c r="AL211" s="466"/>
      <c r="AM211" s="457" t="e">
        <f t="shared" si="67"/>
        <v>#N/A</v>
      </c>
      <c r="AN211" s="636"/>
      <c r="AO211" s="466"/>
      <c r="AP211" s="466"/>
      <c r="AQ211" s="466"/>
      <c r="AR211" s="457" t="e">
        <f t="shared" si="68"/>
        <v>#N/A</v>
      </c>
      <c r="AS211" s="636"/>
      <c r="AT211" s="334"/>
      <c r="AU211" s="334"/>
      <c r="AV211" s="334"/>
      <c r="AW211" s="457" t="e">
        <f t="shared" si="69"/>
        <v>#N/A</v>
      </c>
      <c r="AX211" s="636"/>
      <c r="AZ211" s="524" t="e">
        <f t="shared" si="70"/>
        <v>#N/A</v>
      </c>
      <c r="BA211" s="636"/>
    </row>
    <row r="213" spans="2:53" ht="15.75">
      <c r="B213" s="653" t="s">
        <v>560</v>
      </c>
      <c r="C213" s="654"/>
      <c r="D213" s="654"/>
      <c r="E213" s="654"/>
      <c r="F213" s="654"/>
      <c r="G213" s="654"/>
      <c r="H213" s="655"/>
      <c r="I213" s="338"/>
      <c r="J213" s="338"/>
      <c r="K213" s="338"/>
      <c r="L213" s="338"/>
      <c r="M213" s="339"/>
    </row>
    <row r="214" spans="2:53" ht="15.75">
      <c r="B214" s="656"/>
      <c r="C214" s="656"/>
      <c r="D214" s="656"/>
      <c r="E214" s="656"/>
      <c r="F214" s="656"/>
      <c r="G214" s="656"/>
      <c r="H214" s="656"/>
      <c r="I214" s="340"/>
      <c r="J214" s="340"/>
      <c r="K214" s="340"/>
      <c r="L214" s="340"/>
      <c r="M214" s="341"/>
    </row>
    <row r="215" spans="2:53">
      <c r="B215" s="614" t="s">
        <v>561</v>
      </c>
      <c r="C215" s="614" t="s">
        <v>562</v>
      </c>
      <c r="D215" s="614"/>
      <c r="E215" s="614" t="s">
        <v>563</v>
      </c>
      <c r="F215" s="614"/>
      <c r="G215" s="614"/>
      <c r="H215" s="614" t="s">
        <v>564</v>
      </c>
      <c r="I215" s="657" t="s">
        <v>565</v>
      </c>
      <c r="J215" s="657"/>
      <c r="K215" s="657"/>
      <c r="L215" s="657" t="s">
        <v>564</v>
      </c>
      <c r="M215" s="657" t="s">
        <v>566</v>
      </c>
    </row>
    <row r="216" spans="2:53">
      <c r="B216" s="614"/>
      <c r="C216" s="614"/>
      <c r="D216" s="614"/>
      <c r="E216" s="614" t="s">
        <v>567</v>
      </c>
      <c r="F216" s="614"/>
      <c r="G216" s="614"/>
      <c r="H216" s="614"/>
      <c r="I216" s="657" t="s">
        <v>567</v>
      </c>
      <c r="J216" s="657"/>
      <c r="K216" s="657"/>
      <c r="L216" s="657"/>
      <c r="M216" s="657"/>
    </row>
    <row r="217" spans="2:53">
      <c r="B217" s="614"/>
      <c r="C217" s="614"/>
      <c r="D217" s="614"/>
      <c r="E217" s="335" t="s">
        <v>568</v>
      </c>
      <c r="F217" s="335" t="s">
        <v>569</v>
      </c>
      <c r="G217" s="335" t="s">
        <v>570</v>
      </c>
      <c r="H217" s="614"/>
      <c r="I217" s="342" t="s">
        <v>568</v>
      </c>
      <c r="J217" s="342" t="s">
        <v>569</v>
      </c>
      <c r="K217" s="342" t="s">
        <v>570</v>
      </c>
      <c r="L217" s="657"/>
      <c r="M217" s="657"/>
    </row>
    <row r="218" spans="2:53">
      <c r="B218" s="614" t="s">
        <v>575</v>
      </c>
      <c r="C218" s="334">
        <v>1</v>
      </c>
      <c r="D218" s="334"/>
      <c r="E218" s="182"/>
      <c r="F218" s="334"/>
      <c r="G218" s="337"/>
      <c r="H218" s="636" t="e">
        <f>AVERAGE(G218:G247)</f>
        <v>#DIV/0!</v>
      </c>
      <c r="I218" s="199" t="e">
        <f t="shared" ref="I218:J241" si="71">AVERAGEIF($D$7:$D$211,$D218,I$7:I$211)</f>
        <v>#DIV/0!</v>
      </c>
      <c r="J218" s="199" t="e">
        <f t="shared" si="71"/>
        <v>#DIV/0!</v>
      </c>
      <c r="K218" s="199" t="e">
        <f t="shared" ref="K218:K241" si="72">AVERAGEIF($D$7:$D$211,$D218,K$7:K$211)</f>
        <v>#DIV/0!</v>
      </c>
      <c r="L218" s="660" t="e">
        <f>AVERAGE(K218:K247)</f>
        <v>#DIV/0!</v>
      </c>
      <c r="M218" s="199" t="e">
        <f>RANK(K218, K$218:$K$247)</f>
        <v>#DIV/0!</v>
      </c>
    </row>
    <row r="219" spans="2:53">
      <c r="B219" s="622"/>
      <c r="C219" s="334">
        <v>2</v>
      </c>
      <c r="D219" s="334"/>
      <c r="E219" s="182"/>
      <c r="F219" s="334"/>
      <c r="G219" s="337"/>
      <c r="H219" s="636"/>
      <c r="I219" s="199" t="e">
        <f t="shared" si="71"/>
        <v>#DIV/0!</v>
      </c>
      <c r="J219" s="199" t="e">
        <f t="shared" si="71"/>
        <v>#DIV/0!</v>
      </c>
      <c r="K219" s="199" t="e">
        <f t="shared" si="72"/>
        <v>#DIV/0!</v>
      </c>
      <c r="L219" s="660"/>
      <c r="M219" s="199" t="e">
        <f>RANK(K219, K$218:$K$247)</f>
        <v>#DIV/0!</v>
      </c>
    </row>
    <row r="220" spans="2:53">
      <c r="B220" s="622"/>
      <c r="C220" s="334">
        <v>3</v>
      </c>
      <c r="D220" s="334"/>
      <c r="E220" s="182"/>
      <c r="F220" s="334"/>
      <c r="G220" s="337"/>
      <c r="H220" s="636"/>
      <c r="I220" s="199" t="e">
        <f t="shared" si="71"/>
        <v>#DIV/0!</v>
      </c>
      <c r="J220" s="199" t="e">
        <f t="shared" si="71"/>
        <v>#DIV/0!</v>
      </c>
      <c r="K220" s="199" t="e">
        <f t="shared" si="72"/>
        <v>#DIV/0!</v>
      </c>
      <c r="L220" s="660"/>
      <c r="M220" s="199" t="e">
        <f>RANK(K220, K$218:$K$247)</f>
        <v>#DIV/0!</v>
      </c>
    </row>
    <row r="221" spans="2:53">
      <c r="B221" s="622"/>
      <c r="C221" s="334">
        <v>4</v>
      </c>
      <c r="D221" s="334"/>
      <c r="E221" s="182"/>
      <c r="F221" s="334"/>
      <c r="G221" s="337"/>
      <c r="H221" s="636"/>
      <c r="I221" s="199" t="e">
        <f t="shared" si="71"/>
        <v>#DIV/0!</v>
      </c>
      <c r="J221" s="199" t="e">
        <f t="shared" si="71"/>
        <v>#DIV/0!</v>
      </c>
      <c r="K221" s="199" t="e">
        <f t="shared" si="72"/>
        <v>#DIV/0!</v>
      </c>
      <c r="L221" s="660"/>
      <c r="M221" s="199" t="e">
        <f>RANK(K221, K$218:$K$247)</f>
        <v>#DIV/0!</v>
      </c>
    </row>
    <row r="222" spans="2:53">
      <c r="B222" s="622"/>
      <c r="C222" s="334">
        <v>5</v>
      </c>
      <c r="D222" s="334"/>
      <c r="E222" s="182"/>
      <c r="F222" s="334"/>
      <c r="G222" s="337"/>
      <c r="H222" s="636"/>
      <c r="I222" s="199" t="e">
        <f t="shared" si="71"/>
        <v>#DIV/0!</v>
      </c>
      <c r="J222" s="199" t="e">
        <f t="shared" si="71"/>
        <v>#DIV/0!</v>
      </c>
      <c r="K222" s="199" t="e">
        <f t="shared" si="72"/>
        <v>#DIV/0!</v>
      </c>
      <c r="L222" s="660"/>
      <c r="M222" s="199" t="e">
        <f>RANK(K222, K$218:$K$247)</f>
        <v>#DIV/0!</v>
      </c>
    </row>
    <row r="223" spans="2:53">
      <c r="B223" s="622"/>
      <c r="C223" s="334">
        <v>6</v>
      </c>
      <c r="D223" s="334"/>
      <c r="E223" s="182"/>
      <c r="F223" s="334"/>
      <c r="G223" s="337"/>
      <c r="H223" s="636"/>
      <c r="I223" s="199" t="e">
        <f t="shared" si="71"/>
        <v>#DIV/0!</v>
      </c>
      <c r="J223" s="199" t="e">
        <f t="shared" si="71"/>
        <v>#DIV/0!</v>
      </c>
      <c r="K223" s="199" t="e">
        <f t="shared" si="72"/>
        <v>#DIV/0!</v>
      </c>
      <c r="L223" s="660"/>
      <c r="M223" s="199" t="e">
        <f>RANK(K223, K$218:$K$247)</f>
        <v>#DIV/0!</v>
      </c>
    </row>
    <row r="224" spans="2:53">
      <c r="B224" s="622"/>
      <c r="C224" s="334">
        <v>7</v>
      </c>
      <c r="D224" s="334"/>
      <c r="E224" s="182"/>
      <c r="F224" s="334"/>
      <c r="G224" s="337"/>
      <c r="H224" s="636"/>
      <c r="I224" s="199" t="e">
        <f t="shared" si="71"/>
        <v>#DIV/0!</v>
      </c>
      <c r="J224" s="199" t="e">
        <f t="shared" si="71"/>
        <v>#DIV/0!</v>
      </c>
      <c r="K224" s="199" t="e">
        <f t="shared" si="72"/>
        <v>#DIV/0!</v>
      </c>
      <c r="L224" s="660"/>
      <c r="M224" s="199" t="e">
        <f>RANK(K224, K$218:$K$247)</f>
        <v>#DIV/0!</v>
      </c>
    </row>
    <row r="225" spans="2:39">
      <c r="B225" s="622"/>
      <c r="C225" s="334">
        <v>8</v>
      </c>
      <c r="D225" s="334"/>
      <c r="E225" s="182"/>
      <c r="F225" s="334"/>
      <c r="G225" s="337"/>
      <c r="H225" s="636"/>
      <c r="I225" s="199" t="e">
        <f t="shared" si="71"/>
        <v>#DIV/0!</v>
      </c>
      <c r="J225" s="199" t="e">
        <f t="shared" si="71"/>
        <v>#DIV/0!</v>
      </c>
      <c r="K225" s="199" t="e">
        <f t="shared" si="72"/>
        <v>#DIV/0!</v>
      </c>
      <c r="L225" s="660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622"/>
      <c r="C226" s="334">
        <v>9</v>
      </c>
      <c r="D226" s="334"/>
      <c r="E226" s="182"/>
      <c r="F226" s="334"/>
      <c r="G226" s="337"/>
      <c r="H226" s="636"/>
      <c r="I226" s="199" t="e">
        <f t="shared" si="71"/>
        <v>#DIV/0!</v>
      </c>
      <c r="J226" s="199" t="e">
        <f t="shared" si="71"/>
        <v>#DIV/0!</v>
      </c>
      <c r="K226" s="199" t="e">
        <f t="shared" si="72"/>
        <v>#DIV/0!</v>
      </c>
      <c r="L226" s="660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622"/>
      <c r="C227" s="334">
        <v>10</v>
      </c>
      <c r="D227" s="334"/>
      <c r="E227" s="182"/>
      <c r="F227" s="334"/>
      <c r="G227" s="337"/>
      <c r="H227" s="636"/>
      <c r="I227" s="199" t="e">
        <f t="shared" si="71"/>
        <v>#DIV/0!</v>
      </c>
      <c r="J227" s="199" t="e">
        <f t="shared" si="71"/>
        <v>#DIV/0!</v>
      </c>
      <c r="K227" s="199" t="e">
        <f t="shared" si="72"/>
        <v>#DIV/0!</v>
      </c>
      <c r="L227" s="660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622"/>
      <c r="C228" s="334">
        <v>11</v>
      </c>
      <c r="D228" s="334"/>
      <c r="E228" s="182"/>
      <c r="F228" s="334"/>
      <c r="G228" s="337"/>
      <c r="H228" s="636"/>
      <c r="I228" s="199" t="e">
        <f t="shared" si="71"/>
        <v>#DIV/0!</v>
      </c>
      <c r="J228" s="199" t="e">
        <f t="shared" si="71"/>
        <v>#DIV/0!</v>
      </c>
      <c r="K228" s="199" t="e">
        <f t="shared" si="72"/>
        <v>#DIV/0!</v>
      </c>
      <c r="L228" s="660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622"/>
      <c r="C229" s="334">
        <v>12</v>
      </c>
      <c r="D229" s="334"/>
      <c r="E229" s="182"/>
      <c r="F229" s="334"/>
      <c r="G229" s="337"/>
      <c r="H229" s="636"/>
      <c r="I229" s="199" t="e">
        <f t="shared" si="71"/>
        <v>#DIV/0!</v>
      </c>
      <c r="J229" s="199" t="e">
        <f t="shared" si="71"/>
        <v>#DIV/0!</v>
      </c>
      <c r="K229" s="199" t="e">
        <f t="shared" si="72"/>
        <v>#DIV/0!</v>
      </c>
      <c r="L229" s="660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622"/>
      <c r="C230" s="334">
        <v>13</v>
      </c>
      <c r="D230" s="334"/>
      <c r="E230" s="182"/>
      <c r="F230" s="334"/>
      <c r="G230" s="337"/>
      <c r="H230" s="636"/>
      <c r="I230" s="199" t="e">
        <f t="shared" si="71"/>
        <v>#DIV/0!</v>
      </c>
      <c r="J230" s="199" t="e">
        <f t="shared" si="71"/>
        <v>#DIV/0!</v>
      </c>
      <c r="K230" s="199" t="e">
        <f t="shared" si="72"/>
        <v>#DIV/0!</v>
      </c>
      <c r="L230" s="660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622"/>
      <c r="C231" s="334">
        <v>14</v>
      </c>
      <c r="D231" s="334"/>
      <c r="E231" s="182"/>
      <c r="F231" s="334"/>
      <c r="G231" s="337"/>
      <c r="H231" s="636"/>
      <c r="I231" s="199" t="e">
        <f t="shared" si="71"/>
        <v>#DIV/0!</v>
      </c>
      <c r="J231" s="199" t="e">
        <f t="shared" si="71"/>
        <v>#DIV/0!</v>
      </c>
      <c r="K231" s="199" t="e">
        <f t="shared" si="72"/>
        <v>#DIV/0!</v>
      </c>
      <c r="L231" s="660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622"/>
      <c r="C232" s="334">
        <v>15</v>
      </c>
      <c r="D232" s="334"/>
      <c r="E232" s="182"/>
      <c r="F232" s="334"/>
      <c r="G232" s="337"/>
      <c r="H232" s="636"/>
      <c r="I232" s="199" t="e">
        <f t="shared" si="71"/>
        <v>#DIV/0!</v>
      </c>
      <c r="J232" s="199" t="e">
        <f t="shared" si="71"/>
        <v>#DIV/0!</v>
      </c>
      <c r="K232" s="199" t="e">
        <f t="shared" si="72"/>
        <v>#DIV/0!</v>
      </c>
      <c r="L232" s="660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622"/>
      <c r="C233" s="334">
        <v>16</v>
      </c>
      <c r="D233" s="334"/>
      <c r="E233" s="182"/>
      <c r="F233" s="334"/>
      <c r="G233" s="337"/>
      <c r="H233" s="636"/>
      <c r="I233" s="199" t="e">
        <f t="shared" si="71"/>
        <v>#DIV/0!</v>
      </c>
      <c r="J233" s="199" t="e">
        <f t="shared" si="71"/>
        <v>#DIV/0!</v>
      </c>
      <c r="K233" s="199" t="e">
        <f t="shared" si="72"/>
        <v>#DIV/0!</v>
      </c>
      <c r="L233" s="660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622"/>
      <c r="C234" s="334">
        <v>17</v>
      </c>
      <c r="D234" s="334"/>
      <c r="E234" s="182"/>
      <c r="F234" s="334"/>
      <c r="G234" s="337"/>
      <c r="H234" s="636"/>
      <c r="I234" s="199" t="e">
        <f t="shared" si="71"/>
        <v>#DIV/0!</v>
      </c>
      <c r="J234" s="199" t="e">
        <f t="shared" si="71"/>
        <v>#DIV/0!</v>
      </c>
      <c r="K234" s="199" t="e">
        <f t="shared" si="72"/>
        <v>#DIV/0!</v>
      </c>
      <c r="L234" s="660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622"/>
      <c r="C235" s="334">
        <v>18</v>
      </c>
      <c r="D235" s="334"/>
      <c r="E235" s="182"/>
      <c r="F235" s="334"/>
      <c r="G235" s="337"/>
      <c r="H235" s="636"/>
      <c r="I235" s="199" t="e">
        <f t="shared" si="71"/>
        <v>#DIV/0!</v>
      </c>
      <c r="J235" s="199" t="e">
        <f t="shared" si="71"/>
        <v>#DIV/0!</v>
      </c>
      <c r="K235" s="199" t="e">
        <f t="shared" si="72"/>
        <v>#DIV/0!</v>
      </c>
      <c r="L235" s="660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622"/>
      <c r="C236" s="334">
        <v>19</v>
      </c>
      <c r="D236" s="334"/>
      <c r="E236" s="182"/>
      <c r="F236" s="334"/>
      <c r="G236" s="337"/>
      <c r="H236" s="636"/>
      <c r="I236" s="199" t="e">
        <f t="shared" si="71"/>
        <v>#DIV/0!</v>
      </c>
      <c r="J236" s="199" t="e">
        <f t="shared" si="71"/>
        <v>#DIV/0!</v>
      </c>
      <c r="K236" s="199" t="e">
        <f t="shared" si="72"/>
        <v>#DIV/0!</v>
      </c>
      <c r="L236" s="660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622"/>
      <c r="C237" s="334">
        <v>20</v>
      </c>
      <c r="D237" s="334"/>
      <c r="E237" s="182"/>
      <c r="F237" s="334"/>
      <c r="G237" s="337"/>
      <c r="H237" s="636"/>
      <c r="I237" s="199" t="e">
        <f t="shared" si="71"/>
        <v>#DIV/0!</v>
      </c>
      <c r="J237" s="199" t="e">
        <f t="shared" si="71"/>
        <v>#DIV/0!</v>
      </c>
      <c r="K237" s="199" t="e">
        <f t="shared" si="72"/>
        <v>#DIV/0!</v>
      </c>
      <c r="L237" s="660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622"/>
      <c r="C238" s="334">
        <v>21</v>
      </c>
      <c r="D238" s="334"/>
      <c r="E238" s="182"/>
      <c r="F238" s="334"/>
      <c r="G238" s="337"/>
      <c r="H238" s="636"/>
      <c r="I238" s="199" t="e">
        <f t="shared" si="71"/>
        <v>#DIV/0!</v>
      </c>
      <c r="J238" s="199" t="e">
        <f t="shared" si="71"/>
        <v>#DIV/0!</v>
      </c>
      <c r="K238" s="199" t="e">
        <f t="shared" si="72"/>
        <v>#DIV/0!</v>
      </c>
      <c r="L238" s="660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622"/>
      <c r="C239" s="334">
        <v>22</v>
      </c>
      <c r="D239" s="334"/>
      <c r="E239" s="182"/>
      <c r="F239" s="334"/>
      <c r="G239" s="337"/>
      <c r="H239" s="636"/>
      <c r="I239" s="199" t="e">
        <f t="shared" si="71"/>
        <v>#DIV/0!</v>
      </c>
      <c r="J239" s="199" t="e">
        <f t="shared" si="71"/>
        <v>#DIV/0!</v>
      </c>
      <c r="K239" s="199" t="e">
        <f t="shared" si="72"/>
        <v>#DIV/0!</v>
      </c>
      <c r="L239" s="660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622"/>
      <c r="C240" s="334">
        <v>23</v>
      </c>
      <c r="D240" s="334"/>
      <c r="E240" s="182"/>
      <c r="F240" s="334"/>
      <c r="G240" s="337"/>
      <c r="H240" s="636"/>
      <c r="I240" s="199" t="e">
        <f t="shared" si="71"/>
        <v>#DIV/0!</v>
      </c>
      <c r="J240" s="199" t="e">
        <f t="shared" si="71"/>
        <v>#DIV/0!</v>
      </c>
      <c r="K240" s="199" t="e">
        <f t="shared" si="72"/>
        <v>#DIV/0!</v>
      </c>
      <c r="L240" s="660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622"/>
      <c r="C241" s="334">
        <v>24</v>
      </c>
      <c r="D241" s="334"/>
      <c r="E241" s="182"/>
      <c r="F241" s="334"/>
      <c r="G241" s="337"/>
      <c r="H241" s="636"/>
      <c r="I241" s="199" t="e">
        <f t="shared" si="71"/>
        <v>#DIV/0!</v>
      </c>
      <c r="J241" s="199" t="e">
        <f t="shared" si="71"/>
        <v>#DIV/0!</v>
      </c>
      <c r="K241" s="199" t="e">
        <f t="shared" si="72"/>
        <v>#DIV/0!</v>
      </c>
      <c r="L241" s="660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622"/>
      <c r="C242" s="334">
        <v>25</v>
      </c>
      <c r="D242" s="334"/>
      <c r="E242" s="182"/>
      <c r="F242" s="334"/>
      <c r="G242" s="337"/>
      <c r="H242" s="636"/>
      <c r="I242" s="199"/>
      <c r="J242" s="199"/>
      <c r="K242" s="199"/>
      <c r="L242" s="660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622"/>
      <c r="C243" s="334">
        <v>26</v>
      </c>
      <c r="D243" s="334"/>
      <c r="E243" s="182"/>
      <c r="F243" s="334"/>
      <c r="G243" s="337"/>
      <c r="H243" s="636"/>
      <c r="I243" s="199"/>
      <c r="J243" s="199"/>
      <c r="K243" s="199"/>
      <c r="L243" s="660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622"/>
      <c r="C244" s="334">
        <v>27</v>
      </c>
      <c r="D244" s="334"/>
      <c r="E244" s="182"/>
      <c r="F244" s="334"/>
      <c r="G244" s="337"/>
      <c r="H244" s="636"/>
      <c r="I244" s="199"/>
      <c r="J244" s="199"/>
      <c r="K244" s="199"/>
      <c r="L244" s="660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622"/>
      <c r="C245" s="334">
        <v>28</v>
      </c>
      <c r="D245" s="334"/>
      <c r="E245" s="182"/>
      <c r="F245" s="334"/>
      <c r="G245" s="337"/>
      <c r="H245" s="636"/>
      <c r="I245" s="199"/>
      <c r="J245" s="199"/>
      <c r="K245" s="199"/>
      <c r="L245" s="660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622"/>
      <c r="C246" s="334">
        <v>29</v>
      </c>
      <c r="D246" s="334"/>
      <c r="E246" s="182"/>
      <c r="F246" s="334"/>
      <c r="G246" s="337"/>
      <c r="H246" s="636"/>
      <c r="I246" s="199"/>
      <c r="J246" s="199"/>
      <c r="K246" s="199"/>
      <c r="L246" s="660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622"/>
      <c r="C247" s="334">
        <v>30</v>
      </c>
      <c r="D247" s="334"/>
      <c r="E247" s="182"/>
      <c r="F247" s="334"/>
      <c r="G247" s="337"/>
      <c r="H247" s="636"/>
      <c r="I247" s="199"/>
      <c r="J247" s="199"/>
      <c r="K247" s="199"/>
      <c r="L247" s="660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</sheetData>
  <mergeCells count="379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activeCellId="2" sqref="I67:K81 I87:K101 I107:K121"/>
      <selection pane="topRight" activeCell="AT38" sqref="AT38:AV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72.51001779851876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154</v>
      </c>
      <c r="C4" s="614" t="s">
        <v>408</v>
      </c>
      <c r="D4" s="614"/>
      <c r="E4" s="614" t="s">
        <v>399</v>
      </c>
      <c r="F4" s="614"/>
      <c r="G4" s="614"/>
      <c r="H4" s="630" t="s">
        <v>395</v>
      </c>
      <c r="I4" s="598" t="s">
        <v>400</v>
      </c>
      <c r="J4" s="598"/>
      <c r="K4" s="598"/>
      <c r="L4" s="599" t="s">
        <v>395</v>
      </c>
      <c r="M4" s="605" t="s">
        <v>396</v>
      </c>
      <c r="N4" s="614"/>
      <c r="O4" s="614" t="s">
        <v>401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402</v>
      </c>
      <c r="F5" s="614"/>
      <c r="G5" s="614"/>
      <c r="H5" s="631"/>
      <c r="I5" s="598" t="s">
        <v>402</v>
      </c>
      <c r="J5" s="598"/>
      <c r="K5" s="598"/>
      <c r="L5" s="600"/>
      <c r="M5" s="606"/>
      <c r="N5" s="614"/>
      <c r="O5" s="614"/>
      <c r="P5" s="611" t="s">
        <v>403</v>
      </c>
      <c r="Q5" s="612"/>
      <c r="R5" s="612"/>
      <c r="S5" s="613"/>
      <c r="T5" s="614"/>
      <c r="U5" s="611" t="s">
        <v>403</v>
      </c>
      <c r="V5" s="612"/>
      <c r="W5" s="612"/>
      <c r="X5" s="613"/>
      <c r="Y5" s="614"/>
      <c r="Z5" s="611" t="s">
        <v>403</v>
      </c>
      <c r="AA5" s="612"/>
      <c r="AB5" s="612"/>
      <c r="AC5" s="613"/>
      <c r="AD5" s="614"/>
      <c r="AE5" s="611" t="s">
        <v>403</v>
      </c>
      <c r="AF5" s="612"/>
      <c r="AG5" s="612"/>
      <c r="AH5" s="613"/>
      <c r="AI5" s="614"/>
      <c r="AJ5" s="611" t="s">
        <v>403</v>
      </c>
      <c r="AK5" s="612"/>
      <c r="AL5" s="612"/>
      <c r="AM5" s="613"/>
      <c r="AN5" s="614"/>
      <c r="AO5" s="611" t="s">
        <v>403</v>
      </c>
      <c r="AP5" s="612"/>
      <c r="AQ5" s="612"/>
      <c r="AR5" s="613"/>
      <c r="AS5" s="614"/>
      <c r="AT5" s="611" t="s">
        <v>403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9" t="s">
        <v>404</v>
      </c>
      <c r="F6" s="469" t="s">
        <v>405</v>
      </c>
      <c r="G6" s="469" t="s">
        <v>406</v>
      </c>
      <c r="H6" s="632"/>
      <c r="I6" s="471" t="s">
        <v>404</v>
      </c>
      <c r="J6" s="471" t="s">
        <v>405</v>
      </c>
      <c r="K6" s="471" t="s">
        <v>406</v>
      </c>
      <c r="L6" s="601"/>
      <c r="M6" s="607"/>
      <c r="N6" s="614"/>
      <c r="O6" s="614"/>
      <c r="P6" s="469" t="s">
        <v>404</v>
      </c>
      <c r="Q6" s="469" t="s">
        <v>405</v>
      </c>
      <c r="R6" s="469" t="s">
        <v>406</v>
      </c>
      <c r="S6" s="469" t="s">
        <v>396</v>
      </c>
      <c r="T6" s="614"/>
      <c r="U6" s="469" t="s">
        <v>404</v>
      </c>
      <c r="V6" s="469" t="s">
        <v>405</v>
      </c>
      <c r="W6" s="469" t="s">
        <v>406</v>
      </c>
      <c r="X6" s="469" t="s">
        <v>396</v>
      </c>
      <c r="Y6" s="614"/>
      <c r="Z6" s="469" t="s">
        <v>404</v>
      </c>
      <c r="AA6" s="469" t="s">
        <v>405</v>
      </c>
      <c r="AB6" s="469" t="s">
        <v>406</v>
      </c>
      <c r="AC6" s="469" t="s">
        <v>396</v>
      </c>
      <c r="AD6" s="614"/>
      <c r="AE6" s="469" t="s">
        <v>404</v>
      </c>
      <c r="AF6" s="469" t="s">
        <v>405</v>
      </c>
      <c r="AG6" s="469" t="s">
        <v>406</v>
      </c>
      <c r="AH6" s="469" t="s">
        <v>396</v>
      </c>
      <c r="AI6" s="614"/>
      <c r="AJ6" s="469" t="s">
        <v>404</v>
      </c>
      <c r="AK6" s="469" t="s">
        <v>405</v>
      </c>
      <c r="AL6" s="469" t="s">
        <v>406</v>
      </c>
      <c r="AM6" s="469" t="s">
        <v>396</v>
      </c>
      <c r="AN6" s="614"/>
      <c r="AO6" s="469" t="s">
        <v>404</v>
      </c>
      <c r="AP6" s="469" t="s">
        <v>405</v>
      </c>
      <c r="AQ6" s="469" t="s">
        <v>406</v>
      </c>
      <c r="AR6" s="469" t="s">
        <v>396</v>
      </c>
      <c r="AS6" s="614"/>
      <c r="AT6" s="469" t="s">
        <v>404</v>
      </c>
      <c r="AU6" s="469" t="s">
        <v>405</v>
      </c>
      <c r="AV6" s="469" t="s">
        <v>406</v>
      </c>
      <c r="AW6" s="469" t="s">
        <v>396</v>
      </c>
      <c r="AX6" s="614"/>
      <c r="AZ6" s="523" t="s">
        <v>396</v>
      </c>
      <c r="BA6" s="614"/>
    </row>
    <row r="7" spans="1:53" ht="14.25">
      <c r="A7" s="81"/>
      <c r="B7" s="614" t="s">
        <v>132</v>
      </c>
      <c r="C7" s="466">
        <v>1</v>
      </c>
      <c r="D7" s="226" t="s">
        <v>371</v>
      </c>
      <c r="E7" s="182">
        <v>18</v>
      </c>
      <c r="F7" s="466">
        <v>1440</v>
      </c>
      <c r="G7" s="467">
        <v>80</v>
      </c>
      <c r="H7" s="663">
        <f>AVERAGE(G7:G21)</f>
        <v>78.772727272727266</v>
      </c>
      <c r="I7" s="516">
        <f t="shared" ref="I7:I20" si="0">IFERROR(AVERAGE(P7,U7,Z7,AE7,AJ7,AO7,AT7),"-")</f>
        <v>18</v>
      </c>
      <c r="J7" s="516">
        <f t="shared" ref="J7:J20" si="1">IFERROR(AVERAGE(Q7,V7,AA7,AF7,AK7,AP7,AU7),"-")</f>
        <v>1353.6442475210952</v>
      </c>
      <c r="K7" s="200">
        <f t="shared" ref="K7:K20" si="2">IFERROR(AVERAGE(R7,W7,AB7,AG7,AL7,AQ7,AV7),"-")</f>
        <v>75.202458195616387</v>
      </c>
      <c r="L7" s="595">
        <f>IFERROR(AVERAGE(K7:K21),"-")</f>
        <v>72.684044900052385</v>
      </c>
      <c r="M7" s="472">
        <f>RANK(K7, K$7:$K$21)</f>
        <v>3</v>
      </c>
      <c r="N7" s="614"/>
      <c r="O7" s="614"/>
      <c r="P7" s="524">
        <v>18</v>
      </c>
      <c r="Q7" s="182">
        <v>1364.7169811320753</v>
      </c>
      <c r="R7" s="182">
        <v>75.817610062893067</v>
      </c>
      <c r="S7" s="524">
        <f t="shared" ref="S7:S21" si="3">RANK(R7, R$7:R$21)</f>
        <v>3</v>
      </c>
      <c r="T7" s="636">
        <f t="shared" ref="T7" si="4">AVERAGE(R7:R21)</f>
        <v>72.445810313003207</v>
      </c>
      <c r="U7" s="524">
        <v>18</v>
      </c>
      <c r="V7" s="182">
        <v>1357.8260869565217</v>
      </c>
      <c r="W7" s="182">
        <v>75.434782608695656</v>
      </c>
      <c r="X7" s="524">
        <f t="shared" ref="X7:X21" si="5">RANK(W7, W$7:W$21)</f>
        <v>3</v>
      </c>
      <c r="Y7" s="636">
        <f t="shared" ref="Y7" si="6">AVERAGE(W7:W21)</f>
        <v>72.575133383643205</v>
      </c>
      <c r="Z7" s="524">
        <v>18</v>
      </c>
      <c r="AA7" s="182">
        <v>1359.4936708860753</v>
      </c>
      <c r="AB7" s="182">
        <v>75.527426160337512</v>
      </c>
      <c r="AC7" s="524">
        <f t="shared" ref="AC7:AC21" si="7">RANK(AB7, AB$7:AB$21)</f>
        <v>4</v>
      </c>
      <c r="AD7" s="636">
        <f t="shared" ref="AD7" si="8">AVERAGE(AB7:AB21)</f>
        <v>72.919843590525602</v>
      </c>
      <c r="AE7" s="524">
        <v>18</v>
      </c>
      <c r="AF7" s="182">
        <v>1346.4935064935069</v>
      </c>
      <c r="AG7" s="182">
        <v>74.80519480519483</v>
      </c>
      <c r="AH7" s="524">
        <f t="shared" ref="AH7:AH21" si="9">RANK(AG7, AG$7:AG$21)</f>
        <v>3</v>
      </c>
      <c r="AI7" s="636">
        <f t="shared" ref="AI7" si="10">AVERAGE(AG7:AG21)</f>
        <v>72.225971962338861</v>
      </c>
      <c r="AJ7" s="524">
        <v>18</v>
      </c>
      <c r="AK7" s="182">
        <v>1339.7999999999997</v>
      </c>
      <c r="AL7" s="182">
        <v>74.433333333333323</v>
      </c>
      <c r="AM7" s="524">
        <f t="shared" ref="AM7:AM21" si="11">RANK(AL7, AL$7:AL$21)</f>
        <v>4</v>
      </c>
      <c r="AN7" s="636">
        <f t="shared" ref="AN7" si="12">AVERAGE(AL7:AL21)</f>
        <v>72.994731434278123</v>
      </c>
      <c r="AO7" s="524">
        <v>18</v>
      </c>
      <c r="AP7" s="182">
        <v>1333.8461538461531</v>
      </c>
      <c r="AQ7" s="182">
        <v>74.10256410256406</v>
      </c>
      <c r="AR7" s="524">
        <f t="shared" ref="AR7:AR21" si="13">RANK(AQ7, AQ$7:AQ$21)</f>
        <v>4</v>
      </c>
      <c r="AS7" s="636">
        <f t="shared" ref="AS7" si="14">AVERAGE(AQ7:AQ21)</f>
        <v>72.693129078381489</v>
      </c>
      <c r="AT7" s="524">
        <v>18</v>
      </c>
      <c r="AU7" s="182">
        <v>1373.3333333333335</v>
      </c>
      <c r="AV7" s="182">
        <v>76.296296296296305</v>
      </c>
      <c r="AW7" s="524">
        <f t="shared" ref="AW7:AW21" si="15">RANK(AV7, AV$7:AV$21)</f>
        <v>3</v>
      </c>
      <c r="AX7" s="636">
        <f t="shared" ref="AX7" si="16">AVERAGE(AV7:AV21)</f>
        <v>72.933694538196221</v>
      </c>
      <c r="AZ7" s="524" t="e">
        <f t="shared" ref="AZ7:AZ21" si="17">RANK(AY7, AY$7:AY$21)</f>
        <v>#N/A</v>
      </c>
      <c r="BA7" s="636" t="e">
        <f t="shared" ref="BA7" si="18">AVERAGE(AY7:AY21)</f>
        <v>#DIV/0!</v>
      </c>
    </row>
    <row r="8" spans="1:53" ht="15" customHeight="1">
      <c r="A8" s="81"/>
      <c r="B8" s="622"/>
      <c r="C8" s="466">
        <v>2</v>
      </c>
      <c r="D8" s="226" t="s">
        <v>372</v>
      </c>
      <c r="E8" s="182">
        <v>18</v>
      </c>
      <c r="F8" s="466">
        <v>1440</v>
      </c>
      <c r="G8" s="467">
        <v>80</v>
      </c>
      <c r="H8" s="664"/>
      <c r="I8" s="516">
        <f t="shared" si="0"/>
        <v>18</v>
      </c>
      <c r="J8" s="516">
        <f t="shared" si="1"/>
        <v>1280.9835418038172</v>
      </c>
      <c r="K8" s="200">
        <f t="shared" si="2"/>
        <v>71.165752322434301</v>
      </c>
      <c r="L8" s="596"/>
      <c r="M8" s="472">
        <f>RANK(K8, K$7:$K$21)</f>
        <v>7</v>
      </c>
      <c r="N8" s="614"/>
      <c r="O8" s="614"/>
      <c r="P8" s="524">
        <v>18</v>
      </c>
      <c r="Q8" s="182">
        <v>1290</v>
      </c>
      <c r="R8" s="182">
        <v>71.666666666666671</v>
      </c>
      <c r="S8" s="524">
        <f t="shared" si="3"/>
        <v>6</v>
      </c>
      <c r="T8" s="636"/>
      <c r="U8" s="524">
        <v>18</v>
      </c>
      <c r="V8" s="182">
        <v>1299.9999999999995</v>
      </c>
      <c r="W8" s="182">
        <v>72.2222222222222</v>
      </c>
      <c r="X8" s="524">
        <f t="shared" si="5"/>
        <v>5</v>
      </c>
      <c r="Y8" s="636"/>
      <c r="Z8" s="524">
        <v>18</v>
      </c>
      <c r="AA8" s="182">
        <v>1299.9999999999993</v>
      </c>
      <c r="AB8" s="182">
        <v>72.222222222222186</v>
      </c>
      <c r="AC8" s="524">
        <f t="shared" si="7"/>
        <v>6</v>
      </c>
      <c r="AD8" s="636"/>
      <c r="AE8" s="524">
        <v>18</v>
      </c>
      <c r="AF8" s="182">
        <v>1275.4285714285702</v>
      </c>
      <c r="AG8" s="182">
        <v>70.85714285714279</v>
      </c>
      <c r="AH8" s="524">
        <f t="shared" si="9"/>
        <v>6</v>
      </c>
      <c r="AI8" s="636"/>
      <c r="AJ8" s="524">
        <v>18</v>
      </c>
      <c r="AK8" s="182">
        <v>1282.2857142857129</v>
      </c>
      <c r="AL8" s="182">
        <v>71.238095238095156</v>
      </c>
      <c r="AM8" s="524">
        <f t="shared" si="11"/>
        <v>7</v>
      </c>
      <c r="AN8" s="636"/>
      <c r="AO8" s="524">
        <v>18</v>
      </c>
      <c r="AP8" s="182">
        <v>1267.7419354838689</v>
      </c>
      <c r="AQ8" s="182">
        <v>70.430107526881613</v>
      </c>
      <c r="AR8" s="524">
        <f t="shared" si="13"/>
        <v>9</v>
      </c>
      <c r="AS8" s="636"/>
      <c r="AT8" s="524">
        <v>18</v>
      </c>
      <c r="AU8" s="182">
        <v>1251.4285714285711</v>
      </c>
      <c r="AV8" s="182">
        <v>69.523809523809504</v>
      </c>
      <c r="AW8" s="524">
        <f t="shared" si="15"/>
        <v>9</v>
      </c>
      <c r="AX8" s="636"/>
      <c r="AZ8" s="524" t="e">
        <f t="shared" si="17"/>
        <v>#N/A</v>
      </c>
      <c r="BA8" s="636"/>
    </row>
    <row r="9" spans="1:53" ht="14.25">
      <c r="A9" s="81"/>
      <c r="B9" s="622"/>
      <c r="C9" s="466">
        <v>3</v>
      </c>
      <c r="D9" s="226" t="s">
        <v>373</v>
      </c>
      <c r="E9" s="182">
        <v>17</v>
      </c>
      <c r="F9" s="466">
        <v>1440</v>
      </c>
      <c r="G9" s="467">
        <v>84.7</v>
      </c>
      <c r="H9" s="664"/>
      <c r="I9" s="516">
        <f t="shared" si="0"/>
        <v>17</v>
      </c>
      <c r="J9" s="516">
        <f t="shared" si="1"/>
        <v>1355.0737088744434</v>
      </c>
      <c r="K9" s="200">
        <f t="shared" si="2"/>
        <v>79.710218169084911</v>
      </c>
      <c r="L9" s="596"/>
      <c r="M9" s="472">
        <f>RANK(K9, K$7:$K$21)</f>
        <v>2</v>
      </c>
      <c r="N9" s="614"/>
      <c r="O9" s="614"/>
      <c r="P9" s="524">
        <v>17</v>
      </c>
      <c r="Q9" s="182">
        <v>1351.3274336283175</v>
      </c>
      <c r="R9" s="182">
        <v>79.489849036959853</v>
      </c>
      <c r="S9" s="524">
        <f t="shared" si="3"/>
        <v>2</v>
      </c>
      <c r="T9" s="636"/>
      <c r="U9" s="524">
        <v>17</v>
      </c>
      <c r="V9" s="182">
        <v>1373.3333333333337</v>
      </c>
      <c r="W9" s="182">
        <v>80.784313725490222</v>
      </c>
      <c r="X9" s="524">
        <f t="shared" si="5"/>
        <v>2</v>
      </c>
      <c r="Y9" s="636"/>
      <c r="Z9" s="524">
        <v>17</v>
      </c>
      <c r="AA9" s="182">
        <v>1353.8297872340427</v>
      </c>
      <c r="AB9" s="182">
        <v>79.637046307884859</v>
      </c>
      <c r="AC9" s="524">
        <f t="shared" si="7"/>
        <v>2</v>
      </c>
      <c r="AD9" s="636"/>
      <c r="AE9" s="524">
        <v>17</v>
      </c>
      <c r="AF9" s="182">
        <v>1341.6000000000004</v>
      </c>
      <c r="AG9" s="182">
        <v>78.917647058823547</v>
      </c>
      <c r="AH9" s="524">
        <f t="shared" si="9"/>
        <v>2</v>
      </c>
      <c r="AI9" s="636"/>
      <c r="AJ9" s="524">
        <v>17</v>
      </c>
      <c r="AK9" s="182">
        <v>1357.575757575758</v>
      </c>
      <c r="AL9" s="182">
        <v>79.857397504456344</v>
      </c>
      <c r="AM9" s="524">
        <f t="shared" si="11"/>
        <v>2</v>
      </c>
      <c r="AN9" s="636"/>
      <c r="AO9" s="524">
        <v>17</v>
      </c>
      <c r="AP9" s="182">
        <v>1350.5769230769238</v>
      </c>
      <c r="AQ9" s="182">
        <v>79.445701357466106</v>
      </c>
      <c r="AR9" s="524">
        <f t="shared" si="13"/>
        <v>2</v>
      </c>
      <c r="AS9" s="636"/>
      <c r="AT9" s="524">
        <v>17</v>
      </c>
      <c r="AU9" s="182">
        <v>1357.2727272727273</v>
      </c>
      <c r="AV9" s="182">
        <v>79.839572192513373</v>
      </c>
      <c r="AW9" s="524">
        <f t="shared" si="15"/>
        <v>2</v>
      </c>
      <c r="AX9" s="636"/>
      <c r="AZ9" s="524" t="e">
        <f t="shared" si="17"/>
        <v>#N/A</v>
      </c>
      <c r="BA9" s="636"/>
    </row>
    <row r="10" spans="1:53" ht="14.25">
      <c r="A10" s="81"/>
      <c r="B10" s="622"/>
      <c r="C10" s="466">
        <v>4</v>
      </c>
      <c r="D10" s="226" t="s">
        <v>374</v>
      </c>
      <c r="E10" s="182">
        <v>17</v>
      </c>
      <c r="F10" s="466">
        <v>1440</v>
      </c>
      <c r="G10" s="467">
        <v>84.7</v>
      </c>
      <c r="H10" s="664"/>
      <c r="I10" s="516">
        <f t="shared" si="0"/>
        <v>17</v>
      </c>
      <c r="J10" s="516">
        <f t="shared" si="1"/>
        <v>1274.7603584172955</v>
      </c>
      <c r="K10" s="200">
        <f t="shared" si="2"/>
        <v>74.985903436311489</v>
      </c>
      <c r="L10" s="596"/>
      <c r="M10" s="472">
        <f>RANK(K10, K$7:$K$21)</f>
        <v>4</v>
      </c>
      <c r="N10" s="614"/>
      <c r="O10" s="614"/>
      <c r="P10" s="524">
        <v>17</v>
      </c>
      <c r="Q10" s="182">
        <v>1269.0566037735857</v>
      </c>
      <c r="R10" s="182">
        <v>74.650388457269742</v>
      </c>
      <c r="S10" s="524">
        <f t="shared" si="3"/>
        <v>4</v>
      </c>
      <c r="T10" s="636"/>
      <c r="U10" s="524">
        <v>17</v>
      </c>
      <c r="V10" s="182">
        <v>1271.5384615384623</v>
      </c>
      <c r="W10" s="182">
        <v>74.796380090497792</v>
      </c>
      <c r="X10" s="524">
        <f t="shared" si="5"/>
        <v>4</v>
      </c>
      <c r="Y10" s="636"/>
      <c r="Z10" s="524">
        <v>17</v>
      </c>
      <c r="AA10" s="182">
        <v>1285.714285714286</v>
      </c>
      <c r="AB10" s="182">
        <v>75.630252100840352</v>
      </c>
      <c r="AC10" s="524">
        <f t="shared" si="7"/>
        <v>3</v>
      </c>
      <c r="AD10" s="636"/>
      <c r="AE10" s="524">
        <v>17</v>
      </c>
      <c r="AF10" s="182">
        <v>1250.9999999999995</v>
      </c>
      <c r="AG10" s="182">
        <v>73.588235294117624</v>
      </c>
      <c r="AH10" s="524">
        <f t="shared" si="9"/>
        <v>4</v>
      </c>
      <c r="AI10" s="636"/>
      <c r="AJ10" s="524">
        <v>17</v>
      </c>
      <c r="AK10" s="182">
        <v>1285.2631578947357</v>
      </c>
      <c r="AL10" s="182">
        <v>75.603715170278576</v>
      </c>
      <c r="AM10" s="524">
        <f t="shared" si="11"/>
        <v>3</v>
      </c>
      <c r="AN10" s="636"/>
      <c r="AO10" s="524">
        <v>17</v>
      </c>
      <c r="AP10" s="182">
        <v>1271.9999999999986</v>
      </c>
      <c r="AQ10" s="182">
        <v>74.823529411764625</v>
      </c>
      <c r="AR10" s="524">
        <f t="shared" si="13"/>
        <v>3</v>
      </c>
      <c r="AS10" s="636"/>
      <c r="AT10" s="524">
        <v>17</v>
      </c>
      <c r="AU10" s="182">
        <v>1288.7500000000002</v>
      </c>
      <c r="AV10" s="182">
        <v>75.808823529411782</v>
      </c>
      <c r="AW10" s="524">
        <f t="shared" si="15"/>
        <v>4</v>
      </c>
      <c r="AX10" s="636"/>
      <c r="AZ10" s="524" t="e">
        <f t="shared" si="17"/>
        <v>#N/A</v>
      </c>
      <c r="BA10" s="636"/>
    </row>
    <row r="11" spans="1:53" ht="14.25">
      <c r="A11" s="81"/>
      <c r="B11" s="622"/>
      <c r="C11" s="466">
        <v>5</v>
      </c>
      <c r="D11" s="226" t="s">
        <v>375</v>
      </c>
      <c r="E11" s="182">
        <v>21</v>
      </c>
      <c r="F11" s="466">
        <v>1385</v>
      </c>
      <c r="G11" s="467">
        <v>65.900000000000006</v>
      </c>
      <c r="H11" s="664"/>
      <c r="I11" s="516">
        <f t="shared" si="0"/>
        <v>21</v>
      </c>
      <c r="J11" s="516">
        <f t="shared" si="1"/>
        <v>1291.8425224982109</v>
      </c>
      <c r="K11" s="200">
        <f t="shared" si="2"/>
        <v>61.516310595152895</v>
      </c>
      <c r="L11" s="596"/>
      <c r="M11" s="472">
        <f>RANK(K11, K$7:$K$21)</f>
        <v>11</v>
      </c>
      <c r="N11" s="614"/>
      <c r="O11" s="614"/>
      <c r="P11" s="524">
        <v>21</v>
      </c>
      <c r="Q11" s="182">
        <v>1224.4500000000041</v>
      </c>
      <c r="R11" s="182">
        <v>58.307142857143056</v>
      </c>
      <c r="S11" s="524">
        <f t="shared" si="3"/>
        <v>11</v>
      </c>
      <c r="T11" s="636"/>
      <c r="U11" s="524">
        <v>21</v>
      </c>
      <c r="V11" s="182">
        <v>1305.5769230769238</v>
      </c>
      <c r="W11" s="182">
        <v>62.170329670329707</v>
      </c>
      <c r="X11" s="524">
        <f t="shared" si="5"/>
        <v>11</v>
      </c>
      <c r="Y11" s="636"/>
      <c r="Z11" s="524">
        <v>21</v>
      </c>
      <c r="AA11" s="182">
        <v>1308</v>
      </c>
      <c r="AB11" s="182">
        <v>62.285714285714285</v>
      </c>
      <c r="AC11" s="524">
        <f t="shared" si="7"/>
        <v>11</v>
      </c>
      <c r="AD11" s="636"/>
      <c r="AE11" s="524">
        <v>21</v>
      </c>
      <c r="AF11" s="182">
        <v>1284.9999999999995</v>
      </c>
      <c r="AG11" s="182">
        <v>61.190476190476168</v>
      </c>
      <c r="AH11" s="524">
        <f t="shared" si="9"/>
        <v>11</v>
      </c>
      <c r="AI11" s="636"/>
      <c r="AJ11" s="524">
        <v>21</v>
      </c>
      <c r="AK11" s="182">
        <v>1316.2025316455688</v>
      </c>
      <c r="AL11" s="182">
        <v>62.676311030741374</v>
      </c>
      <c r="AM11" s="524">
        <f t="shared" si="11"/>
        <v>11</v>
      </c>
      <c r="AN11" s="636"/>
      <c r="AO11" s="524">
        <v>21</v>
      </c>
      <c r="AP11" s="182">
        <v>1307.0967741935485</v>
      </c>
      <c r="AQ11" s="182">
        <v>62.242703533026123</v>
      </c>
      <c r="AR11" s="524">
        <f t="shared" si="13"/>
        <v>11</v>
      </c>
      <c r="AS11" s="636"/>
      <c r="AT11" s="524">
        <v>21</v>
      </c>
      <c r="AU11" s="182">
        <v>1296.5714285714294</v>
      </c>
      <c r="AV11" s="182">
        <v>61.741496598639493</v>
      </c>
      <c r="AW11" s="524">
        <f t="shared" si="15"/>
        <v>11</v>
      </c>
      <c r="AX11" s="636"/>
      <c r="AZ11" s="524" t="e">
        <f t="shared" si="17"/>
        <v>#N/A</v>
      </c>
      <c r="BA11" s="636"/>
    </row>
    <row r="12" spans="1:53" ht="14.25">
      <c r="A12" s="81"/>
      <c r="B12" s="622"/>
      <c r="C12" s="466">
        <v>6</v>
      </c>
      <c r="D12" s="226" t="s">
        <v>376</v>
      </c>
      <c r="E12" s="182">
        <v>19</v>
      </c>
      <c r="F12" s="466">
        <v>1440</v>
      </c>
      <c r="G12" s="467">
        <v>75.8</v>
      </c>
      <c r="H12" s="664"/>
      <c r="I12" s="516">
        <f t="shared" si="0"/>
        <v>19</v>
      </c>
      <c r="J12" s="516">
        <f t="shared" si="1"/>
        <v>1355.3016341984544</v>
      </c>
      <c r="K12" s="200">
        <f t="shared" si="2"/>
        <v>71.331664957813388</v>
      </c>
      <c r="L12" s="596"/>
      <c r="M12" s="472">
        <f>RANK(K12, K$7:$K$21)</f>
        <v>6</v>
      </c>
      <c r="N12" s="614"/>
      <c r="O12" s="614"/>
      <c r="P12" s="524">
        <v>19</v>
      </c>
      <c r="Q12" s="182">
        <v>1377.41935483871</v>
      </c>
      <c r="R12" s="182">
        <v>72.495755517826836</v>
      </c>
      <c r="S12" s="524">
        <f t="shared" si="3"/>
        <v>5</v>
      </c>
      <c r="T12" s="636"/>
      <c r="U12" s="524">
        <v>19</v>
      </c>
      <c r="V12" s="182">
        <v>1351.1392405063284</v>
      </c>
      <c r="W12" s="182">
        <v>71.112591605596236</v>
      </c>
      <c r="X12" s="524">
        <f t="shared" si="5"/>
        <v>6</v>
      </c>
      <c r="Y12" s="636"/>
      <c r="Z12" s="524">
        <v>19</v>
      </c>
      <c r="AA12" s="182">
        <v>1366.1538461538453</v>
      </c>
      <c r="AB12" s="182">
        <v>71.902834008097116</v>
      </c>
      <c r="AC12" s="524">
        <f t="shared" si="7"/>
        <v>7</v>
      </c>
      <c r="AD12" s="636"/>
      <c r="AE12" s="524">
        <v>19</v>
      </c>
      <c r="AF12" s="182">
        <v>1330.3125000000016</v>
      </c>
      <c r="AG12" s="182">
        <v>70.01644736842114</v>
      </c>
      <c r="AH12" s="524">
        <f t="shared" si="9"/>
        <v>9</v>
      </c>
      <c r="AI12" s="636"/>
      <c r="AJ12" s="524">
        <v>19</v>
      </c>
      <c r="AK12" s="182">
        <v>1376.0000000000014</v>
      </c>
      <c r="AL12" s="182">
        <v>72.421052631579016</v>
      </c>
      <c r="AM12" s="524">
        <f t="shared" si="11"/>
        <v>6</v>
      </c>
      <c r="AN12" s="636"/>
      <c r="AO12" s="524">
        <v>19</v>
      </c>
      <c r="AP12" s="182">
        <v>1360.2531645569613</v>
      </c>
      <c r="AQ12" s="182">
        <v>71.592271818787438</v>
      </c>
      <c r="AR12" s="524">
        <f t="shared" si="13"/>
        <v>6</v>
      </c>
      <c r="AS12" s="636"/>
      <c r="AT12" s="524">
        <v>19</v>
      </c>
      <c r="AU12" s="182">
        <v>1325.8333333333321</v>
      </c>
      <c r="AV12" s="182">
        <v>69.780701754385902</v>
      </c>
      <c r="AW12" s="524">
        <f t="shared" si="15"/>
        <v>7</v>
      </c>
      <c r="AX12" s="636"/>
      <c r="AZ12" s="524" t="e">
        <f t="shared" si="17"/>
        <v>#N/A</v>
      </c>
      <c r="BA12" s="636"/>
    </row>
    <row r="13" spans="1:53" ht="14.25">
      <c r="A13" s="81"/>
      <c r="B13" s="622"/>
      <c r="C13" s="466">
        <v>7</v>
      </c>
      <c r="D13" s="226" t="s">
        <v>579</v>
      </c>
      <c r="E13" s="182">
        <v>18</v>
      </c>
      <c r="F13" s="466">
        <v>1385</v>
      </c>
      <c r="G13" s="467">
        <v>76.900000000000006</v>
      </c>
      <c r="H13" s="664"/>
      <c r="I13" s="516">
        <f t="shared" si="0"/>
        <v>18</v>
      </c>
      <c r="J13" s="516">
        <f t="shared" si="1"/>
        <v>1271.3368251161357</v>
      </c>
      <c r="K13" s="200">
        <f t="shared" si="2"/>
        <v>70.629823617563105</v>
      </c>
      <c r="L13" s="596"/>
      <c r="M13" s="472">
        <f>RANK(K13, K$7:$K$21)</f>
        <v>8</v>
      </c>
      <c r="N13" s="614"/>
      <c r="O13" s="614"/>
      <c r="P13" s="524">
        <v>18</v>
      </c>
      <c r="Q13" s="182">
        <v>1278.4615384615377</v>
      </c>
      <c r="R13" s="182">
        <v>71.025641025640979</v>
      </c>
      <c r="S13" s="524">
        <f t="shared" si="3"/>
        <v>8</v>
      </c>
      <c r="T13" s="636"/>
      <c r="U13" s="524">
        <v>18</v>
      </c>
      <c r="V13" s="182">
        <v>1251.1999999999991</v>
      </c>
      <c r="W13" s="182">
        <v>69.511111111111063</v>
      </c>
      <c r="X13" s="524">
        <f t="shared" si="5"/>
        <v>8</v>
      </c>
      <c r="Y13" s="636"/>
      <c r="Z13" s="524">
        <v>18</v>
      </c>
      <c r="AA13" s="182">
        <v>1267.3846153846168</v>
      </c>
      <c r="AB13" s="182">
        <v>70.410256410256494</v>
      </c>
      <c r="AC13" s="524">
        <f t="shared" si="7"/>
        <v>8</v>
      </c>
      <c r="AD13" s="636"/>
      <c r="AE13" s="524">
        <v>18</v>
      </c>
      <c r="AF13" s="182">
        <v>1271.3793103448284</v>
      </c>
      <c r="AG13" s="182">
        <v>70.632183908046017</v>
      </c>
      <c r="AH13" s="524">
        <f t="shared" si="9"/>
        <v>7</v>
      </c>
      <c r="AI13" s="636"/>
      <c r="AJ13" s="524">
        <v>18</v>
      </c>
      <c r="AK13" s="182">
        <v>1272.4137931034493</v>
      </c>
      <c r="AL13" s="182">
        <v>70.68965517241385</v>
      </c>
      <c r="AM13" s="524">
        <f t="shared" si="11"/>
        <v>8</v>
      </c>
      <c r="AN13" s="636"/>
      <c r="AO13" s="524">
        <v>18</v>
      </c>
      <c r="AP13" s="182">
        <v>1280.0000000000009</v>
      </c>
      <c r="AQ13" s="182">
        <v>71.111111111111157</v>
      </c>
      <c r="AR13" s="524">
        <f t="shared" si="13"/>
        <v>7</v>
      </c>
      <c r="AS13" s="636"/>
      <c r="AT13" s="524">
        <v>18</v>
      </c>
      <c r="AU13" s="182">
        <v>1278.518518518518</v>
      </c>
      <c r="AV13" s="182">
        <v>71.028806584362115</v>
      </c>
      <c r="AW13" s="524">
        <f t="shared" si="15"/>
        <v>6</v>
      </c>
      <c r="AX13" s="636"/>
      <c r="AZ13" s="524" t="e">
        <f t="shared" si="17"/>
        <v>#N/A</v>
      </c>
      <c r="BA13" s="636"/>
    </row>
    <row r="14" spans="1:53" ht="14.25">
      <c r="A14" s="81"/>
      <c r="B14" s="622"/>
      <c r="C14" s="466">
        <v>8</v>
      </c>
      <c r="D14" s="226" t="s">
        <v>582</v>
      </c>
      <c r="E14" s="182">
        <v>18</v>
      </c>
      <c r="F14" s="466">
        <v>1385</v>
      </c>
      <c r="G14" s="467">
        <v>76.900000000000006</v>
      </c>
      <c r="H14" s="664"/>
      <c r="I14" s="516">
        <f t="shared" si="0"/>
        <v>18</v>
      </c>
      <c r="J14" s="516">
        <f t="shared" si="1"/>
        <v>1234.1550443355864</v>
      </c>
      <c r="K14" s="200">
        <f t="shared" si="2"/>
        <v>68.564169129754802</v>
      </c>
      <c r="L14" s="596"/>
      <c r="M14" s="472">
        <f>RANK(K14, K$7:$K$21)</f>
        <v>10</v>
      </c>
      <c r="N14" s="614"/>
      <c r="O14" s="614"/>
      <c r="P14" s="524">
        <v>18</v>
      </c>
      <c r="Q14" s="182">
        <v>1280.7692307692314</v>
      </c>
      <c r="R14" s="182">
        <v>71.153846153846189</v>
      </c>
      <c r="S14" s="524">
        <f t="shared" si="3"/>
        <v>7</v>
      </c>
      <c r="T14" s="636"/>
      <c r="U14" s="524">
        <v>18</v>
      </c>
      <c r="V14" s="182">
        <v>1223.2653061224491</v>
      </c>
      <c r="W14" s="182">
        <v>67.959183673469397</v>
      </c>
      <c r="X14" s="524">
        <f t="shared" si="5"/>
        <v>10</v>
      </c>
      <c r="Y14" s="636"/>
      <c r="Z14" s="524">
        <v>18</v>
      </c>
      <c r="AA14" s="182">
        <v>1220.9302325581393</v>
      </c>
      <c r="AB14" s="182">
        <v>67.829457364341067</v>
      </c>
      <c r="AC14" s="524">
        <f t="shared" si="7"/>
        <v>10</v>
      </c>
      <c r="AD14" s="636"/>
      <c r="AE14" s="524">
        <v>18</v>
      </c>
      <c r="AF14" s="182">
        <v>1214.6341463414628</v>
      </c>
      <c r="AG14" s="182">
        <v>67.479674796747929</v>
      </c>
      <c r="AH14" s="524">
        <f t="shared" si="9"/>
        <v>10</v>
      </c>
      <c r="AI14" s="636"/>
      <c r="AJ14" s="524">
        <v>18</v>
      </c>
      <c r="AK14" s="182">
        <v>1221.3333333333333</v>
      </c>
      <c r="AL14" s="182">
        <v>67.851851851851848</v>
      </c>
      <c r="AM14" s="524">
        <f t="shared" si="11"/>
        <v>10</v>
      </c>
      <c r="AN14" s="636"/>
      <c r="AO14" s="524">
        <v>18</v>
      </c>
      <c r="AP14" s="182">
        <v>1225.4999999999995</v>
      </c>
      <c r="AQ14" s="182">
        <v>68.083333333333314</v>
      </c>
      <c r="AR14" s="524">
        <f t="shared" si="13"/>
        <v>10</v>
      </c>
      <c r="AS14" s="636"/>
      <c r="AT14" s="524">
        <v>18</v>
      </c>
      <c r="AU14" s="182">
        <v>1252.6530612244901</v>
      </c>
      <c r="AV14" s="182">
        <v>69.591836734693899</v>
      </c>
      <c r="AW14" s="524">
        <f t="shared" si="15"/>
        <v>8</v>
      </c>
      <c r="AX14" s="636"/>
      <c r="AZ14" s="524" t="e">
        <f t="shared" si="17"/>
        <v>#N/A</v>
      </c>
      <c r="BA14" s="636"/>
    </row>
    <row r="15" spans="1:53" ht="14.25">
      <c r="A15" s="81"/>
      <c r="B15" s="622"/>
      <c r="C15" s="466">
        <v>9</v>
      </c>
      <c r="D15" s="226" t="s">
        <v>644</v>
      </c>
      <c r="E15" s="182">
        <v>16</v>
      </c>
      <c r="F15" s="466">
        <v>1440</v>
      </c>
      <c r="G15" s="467">
        <v>90</v>
      </c>
      <c r="H15" s="664"/>
      <c r="I15" s="516">
        <f t="shared" si="0"/>
        <v>16</v>
      </c>
      <c r="J15" s="516">
        <f t="shared" si="1"/>
        <v>1345.2874378167812</v>
      </c>
      <c r="K15" s="200">
        <f t="shared" si="2"/>
        <v>84.080464863548826</v>
      </c>
      <c r="L15" s="596"/>
      <c r="M15" s="472">
        <f>RANK(K15, K$7:$K$21)</f>
        <v>1</v>
      </c>
      <c r="N15" s="614"/>
      <c r="O15" s="614"/>
      <c r="P15" s="524">
        <v>16</v>
      </c>
      <c r="Q15" s="182">
        <v>1341.3913043478253</v>
      </c>
      <c r="R15" s="182">
        <v>83.836956521739083</v>
      </c>
      <c r="S15" s="524">
        <f t="shared" si="3"/>
        <v>1</v>
      </c>
      <c r="T15" s="636"/>
      <c r="U15" s="524">
        <v>16</v>
      </c>
      <c r="V15" s="182">
        <v>1354.2857142857151</v>
      </c>
      <c r="W15" s="182">
        <v>84.642857142857196</v>
      </c>
      <c r="X15" s="524">
        <f t="shared" si="5"/>
        <v>1</v>
      </c>
      <c r="Y15" s="636"/>
      <c r="Z15" s="524">
        <v>16</v>
      </c>
      <c r="AA15" s="182">
        <v>1335.882352941177</v>
      </c>
      <c r="AB15" s="182">
        <v>83.492647058823565</v>
      </c>
      <c r="AC15" s="524">
        <f t="shared" si="7"/>
        <v>1</v>
      </c>
      <c r="AD15" s="636"/>
      <c r="AE15" s="524">
        <v>16</v>
      </c>
      <c r="AF15" s="182">
        <v>1343.5443037974678</v>
      </c>
      <c r="AG15" s="182">
        <v>83.971518987341739</v>
      </c>
      <c r="AH15" s="524">
        <f t="shared" si="9"/>
        <v>1</v>
      </c>
      <c r="AI15" s="636"/>
      <c r="AJ15" s="524">
        <v>16</v>
      </c>
      <c r="AK15" s="182">
        <v>1355.3333333333333</v>
      </c>
      <c r="AL15" s="182">
        <v>84.708333333333329</v>
      </c>
      <c r="AM15" s="524">
        <f t="shared" si="11"/>
        <v>1</v>
      </c>
      <c r="AN15" s="636"/>
      <c r="AO15" s="524">
        <v>16</v>
      </c>
      <c r="AP15" s="182">
        <v>1339.805825242719</v>
      </c>
      <c r="AQ15" s="182">
        <v>83.73786407766994</v>
      </c>
      <c r="AR15" s="524">
        <f t="shared" si="13"/>
        <v>1</v>
      </c>
      <c r="AS15" s="636"/>
      <c r="AT15" s="524">
        <v>16</v>
      </c>
      <c r="AU15" s="182">
        <v>1346.7692307692305</v>
      </c>
      <c r="AV15" s="182">
        <v>84.173076923076906</v>
      </c>
      <c r="AW15" s="524">
        <f t="shared" si="15"/>
        <v>1</v>
      </c>
      <c r="AX15" s="636"/>
      <c r="AZ15" s="524" t="e">
        <f t="shared" si="17"/>
        <v>#N/A</v>
      </c>
      <c r="BA15" s="636"/>
    </row>
    <row r="16" spans="1:53" ht="14.25">
      <c r="A16" s="81"/>
      <c r="B16" s="622"/>
      <c r="C16" s="466">
        <v>10</v>
      </c>
      <c r="D16" s="226" t="s">
        <v>767</v>
      </c>
      <c r="E16" s="182">
        <v>19</v>
      </c>
      <c r="F16" s="466">
        <v>1440</v>
      </c>
      <c r="G16" s="467">
        <v>75.8</v>
      </c>
      <c r="H16" s="664"/>
      <c r="I16" s="516">
        <f t="shared" si="0"/>
        <v>18.857142857142858</v>
      </c>
      <c r="J16" s="516">
        <f t="shared" si="1"/>
        <v>1317.8647496233921</v>
      </c>
      <c r="K16" s="200">
        <f t="shared" si="2"/>
        <v>69.891438928158237</v>
      </c>
      <c r="L16" s="596"/>
      <c r="M16" s="472">
        <f>RANK(K16, K$7:$K$21)</f>
        <v>9</v>
      </c>
      <c r="N16" s="614"/>
      <c r="O16" s="614"/>
      <c r="P16" s="524">
        <v>18</v>
      </c>
      <c r="Q16" s="182">
        <v>1269.1463414634143</v>
      </c>
      <c r="R16" s="182">
        <v>70.508130081300791</v>
      </c>
      <c r="S16" s="524">
        <f t="shared" si="3"/>
        <v>9</v>
      </c>
      <c r="T16" s="636"/>
      <c r="U16" s="524">
        <v>19</v>
      </c>
      <c r="V16" s="182">
        <v>1316.6854838709683</v>
      </c>
      <c r="W16" s="182">
        <v>69.299235993208853</v>
      </c>
      <c r="X16" s="524">
        <f t="shared" si="5"/>
        <v>9</v>
      </c>
      <c r="Y16" s="636"/>
      <c r="Z16" s="524">
        <v>19</v>
      </c>
      <c r="AA16" s="182">
        <v>1315.0052631578947</v>
      </c>
      <c r="AB16" s="182">
        <v>69.210803324099714</v>
      </c>
      <c r="AC16" s="524">
        <f t="shared" si="7"/>
        <v>9</v>
      </c>
      <c r="AD16" s="636"/>
      <c r="AE16" s="524">
        <v>19</v>
      </c>
      <c r="AF16" s="182">
        <v>1330.4936170212768</v>
      </c>
      <c r="AG16" s="182">
        <v>70.025979843225102</v>
      </c>
      <c r="AH16" s="524">
        <f t="shared" si="9"/>
        <v>8</v>
      </c>
      <c r="AI16" s="636"/>
      <c r="AJ16" s="524">
        <v>19</v>
      </c>
      <c r="AK16" s="182">
        <v>1323.8140127388535</v>
      </c>
      <c r="AL16" s="182">
        <v>69.674421723097552</v>
      </c>
      <c r="AM16" s="524">
        <f t="shared" si="11"/>
        <v>9</v>
      </c>
      <c r="AN16" s="636"/>
      <c r="AO16" s="524">
        <v>19</v>
      </c>
      <c r="AP16" s="182">
        <v>1349.0494382022466</v>
      </c>
      <c r="AQ16" s="182">
        <v>71.002602010644566</v>
      </c>
      <c r="AR16" s="524">
        <f t="shared" si="13"/>
        <v>8</v>
      </c>
      <c r="AS16" s="636"/>
      <c r="AT16" s="524">
        <v>19</v>
      </c>
      <c r="AU16" s="182">
        <v>1320.8590909090908</v>
      </c>
      <c r="AV16" s="182">
        <v>69.518899521531097</v>
      </c>
      <c r="AW16" s="524">
        <f t="shared" si="15"/>
        <v>10</v>
      </c>
      <c r="AX16" s="636"/>
      <c r="AZ16" s="524" t="e">
        <f t="shared" si="17"/>
        <v>#N/A</v>
      </c>
      <c r="BA16" s="636"/>
    </row>
    <row r="17" spans="2:53">
      <c r="B17" s="622"/>
      <c r="C17" s="466">
        <v>11</v>
      </c>
      <c r="D17" s="226" t="s">
        <v>828</v>
      </c>
      <c r="E17" s="182">
        <v>19</v>
      </c>
      <c r="F17" s="466">
        <v>1440</v>
      </c>
      <c r="G17" s="467">
        <v>75.8</v>
      </c>
      <c r="H17" s="664"/>
      <c r="I17" s="516">
        <f t="shared" si="0"/>
        <v>18.285714285714285</v>
      </c>
      <c r="J17" s="516">
        <f t="shared" si="1"/>
        <v>1323.7968409665307</v>
      </c>
      <c r="K17" s="200">
        <f t="shared" si="2"/>
        <v>72.446289685137842</v>
      </c>
      <c r="L17" s="596"/>
      <c r="M17" s="472">
        <f>RANK(K17, K$7:$K$21)</f>
        <v>5</v>
      </c>
      <c r="N17" s="614"/>
      <c r="O17" s="614"/>
      <c r="P17" s="524">
        <v>19</v>
      </c>
      <c r="Q17" s="182">
        <v>1291.0866141732279</v>
      </c>
      <c r="R17" s="182">
        <v>67.951927061748833</v>
      </c>
      <c r="S17" s="524">
        <f t="shared" si="3"/>
        <v>10</v>
      </c>
      <c r="T17" s="636"/>
      <c r="U17" s="524">
        <v>19</v>
      </c>
      <c r="V17" s="182">
        <v>1337.4757281553402</v>
      </c>
      <c r="W17" s="182">
        <v>70.393459376596851</v>
      </c>
      <c r="X17" s="524">
        <f t="shared" si="5"/>
        <v>7</v>
      </c>
      <c r="Y17" s="636"/>
      <c r="Z17" s="524">
        <v>18</v>
      </c>
      <c r="AA17" s="182">
        <v>1331.4531645569612</v>
      </c>
      <c r="AB17" s="182">
        <v>73.969620253164507</v>
      </c>
      <c r="AC17" s="524">
        <f t="shared" si="7"/>
        <v>5</v>
      </c>
      <c r="AD17" s="636"/>
      <c r="AE17" s="524">
        <v>18</v>
      </c>
      <c r="AF17" s="182">
        <v>1314.0214285714296</v>
      </c>
      <c r="AG17" s="182">
        <v>73.00119047619053</v>
      </c>
      <c r="AH17" s="524">
        <f t="shared" si="9"/>
        <v>5</v>
      </c>
      <c r="AI17" s="636"/>
      <c r="AJ17" s="524">
        <v>18</v>
      </c>
      <c r="AK17" s="182">
        <v>1328.1818181818196</v>
      </c>
      <c r="AL17" s="182">
        <v>73.787878787878867</v>
      </c>
      <c r="AM17" s="524">
        <f t="shared" si="11"/>
        <v>5</v>
      </c>
      <c r="AN17" s="636"/>
      <c r="AO17" s="524">
        <v>18</v>
      </c>
      <c r="AP17" s="182">
        <v>1314.9473684210529</v>
      </c>
      <c r="AQ17" s="182">
        <v>73.052631578947384</v>
      </c>
      <c r="AR17" s="524">
        <f t="shared" si="13"/>
        <v>5</v>
      </c>
      <c r="AS17" s="636"/>
      <c r="AT17" s="524">
        <v>18</v>
      </c>
      <c r="AU17" s="182">
        <v>1349.4117647058829</v>
      </c>
      <c r="AV17" s="182">
        <v>74.967320261437933</v>
      </c>
      <c r="AW17" s="524">
        <f t="shared" si="15"/>
        <v>5</v>
      </c>
      <c r="AX17" s="636"/>
      <c r="AZ17" s="524" t="e">
        <f t="shared" si="17"/>
        <v>#N/A</v>
      </c>
      <c r="BA17" s="636"/>
    </row>
    <row r="18" spans="2:53">
      <c r="B18" s="622"/>
      <c r="C18" s="466">
        <v>12</v>
      </c>
      <c r="D18" s="226"/>
      <c r="E18" s="182"/>
      <c r="F18" s="466"/>
      <c r="G18" s="467"/>
      <c r="H18" s="664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596"/>
      <c r="M18" s="472" t="e">
        <f>RANK(K18, K$7:$K$21)</f>
        <v>#VALUE!</v>
      </c>
      <c r="N18" s="614"/>
      <c r="O18" s="614"/>
      <c r="P18" s="524" t="s">
        <v>839</v>
      </c>
      <c r="Q18" s="182" t="s">
        <v>839</v>
      </c>
      <c r="R18" s="182" t="s">
        <v>839</v>
      </c>
      <c r="S18" s="524" t="e">
        <f t="shared" si="3"/>
        <v>#VALUE!</v>
      </c>
      <c r="T18" s="636"/>
      <c r="U18" s="524" t="s">
        <v>839</v>
      </c>
      <c r="V18" s="182" t="s">
        <v>839</v>
      </c>
      <c r="W18" s="182" t="s">
        <v>839</v>
      </c>
      <c r="X18" s="524" t="e">
        <f t="shared" si="5"/>
        <v>#VALUE!</v>
      </c>
      <c r="Y18" s="636"/>
      <c r="Z18" s="524" t="s">
        <v>839</v>
      </c>
      <c r="AA18" s="182" t="s">
        <v>839</v>
      </c>
      <c r="AB18" s="182" t="s">
        <v>839</v>
      </c>
      <c r="AC18" s="524" t="e">
        <f t="shared" si="7"/>
        <v>#VALUE!</v>
      </c>
      <c r="AD18" s="636"/>
      <c r="AE18" s="524" t="s">
        <v>839</v>
      </c>
      <c r="AF18" s="182" t="s">
        <v>839</v>
      </c>
      <c r="AG18" s="182" t="s">
        <v>839</v>
      </c>
      <c r="AH18" s="524" t="e">
        <f t="shared" si="9"/>
        <v>#VALUE!</v>
      </c>
      <c r="AI18" s="636"/>
      <c r="AJ18" s="524" t="s">
        <v>839</v>
      </c>
      <c r="AK18" s="182" t="s">
        <v>839</v>
      </c>
      <c r="AL18" s="182" t="s">
        <v>839</v>
      </c>
      <c r="AM18" s="524" t="e">
        <f t="shared" si="11"/>
        <v>#VALUE!</v>
      </c>
      <c r="AN18" s="636"/>
      <c r="AO18" s="524" t="s">
        <v>839</v>
      </c>
      <c r="AP18" s="182" t="s">
        <v>839</v>
      </c>
      <c r="AQ18" s="182" t="s">
        <v>839</v>
      </c>
      <c r="AR18" s="524" t="e">
        <f t="shared" si="13"/>
        <v>#VALUE!</v>
      </c>
      <c r="AS18" s="636"/>
      <c r="AT18" s="524" t="s">
        <v>839</v>
      </c>
      <c r="AU18" s="182" t="s">
        <v>839</v>
      </c>
      <c r="AV18" s="182" t="s">
        <v>839</v>
      </c>
      <c r="AW18" s="524" t="e">
        <f t="shared" si="15"/>
        <v>#VALUE!</v>
      </c>
      <c r="AX18" s="636"/>
      <c r="AZ18" s="524" t="e">
        <f t="shared" si="17"/>
        <v>#N/A</v>
      </c>
      <c r="BA18" s="636"/>
    </row>
    <row r="19" spans="2:53">
      <c r="B19" s="622"/>
      <c r="C19" s="466">
        <v>13</v>
      </c>
      <c r="D19" s="226"/>
      <c r="E19" s="182"/>
      <c r="F19" s="466"/>
      <c r="G19" s="467"/>
      <c r="H19" s="664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596"/>
      <c r="M19" s="472" t="e">
        <f>RANK(K19, K$7:$K$21)</f>
        <v>#VALUE!</v>
      </c>
      <c r="N19" s="614"/>
      <c r="O19" s="614"/>
      <c r="P19" s="524" t="s">
        <v>839</v>
      </c>
      <c r="Q19" s="182" t="s">
        <v>839</v>
      </c>
      <c r="R19" s="182" t="s">
        <v>839</v>
      </c>
      <c r="S19" s="524" t="e">
        <f t="shared" si="3"/>
        <v>#VALUE!</v>
      </c>
      <c r="T19" s="636"/>
      <c r="U19" s="524" t="s">
        <v>839</v>
      </c>
      <c r="V19" s="182" t="s">
        <v>839</v>
      </c>
      <c r="W19" s="182" t="s">
        <v>839</v>
      </c>
      <c r="X19" s="524" t="e">
        <f t="shared" si="5"/>
        <v>#VALUE!</v>
      </c>
      <c r="Y19" s="636"/>
      <c r="Z19" s="524" t="s">
        <v>839</v>
      </c>
      <c r="AA19" s="182" t="s">
        <v>839</v>
      </c>
      <c r="AB19" s="182" t="s">
        <v>839</v>
      </c>
      <c r="AC19" s="524" t="e">
        <f t="shared" si="7"/>
        <v>#VALUE!</v>
      </c>
      <c r="AD19" s="636"/>
      <c r="AE19" s="524" t="s">
        <v>839</v>
      </c>
      <c r="AF19" s="182" t="s">
        <v>839</v>
      </c>
      <c r="AG19" s="182" t="s">
        <v>839</v>
      </c>
      <c r="AH19" s="524" t="e">
        <f t="shared" si="9"/>
        <v>#VALUE!</v>
      </c>
      <c r="AI19" s="636"/>
      <c r="AJ19" s="524" t="s">
        <v>839</v>
      </c>
      <c r="AK19" s="182" t="s">
        <v>839</v>
      </c>
      <c r="AL19" s="182" t="s">
        <v>839</v>
      </c>
      <c r="AM19" s="524" t="e">
        <f t="shared" si="11"/>
        <v>#VALUE!</v>
      </c>
      <c r="AN19" s="636"/>
      <c r="AO19" s="524" t="s">
        <v>839</v>
      </c>
      <c r="AP19" s="182" t="s">
        <v>839</v>
      </c>
      <c r="AQ19" s="182" t="s">
        <v>839</v>
      </c>
      <c r="AR19" s="524" t="e">
        <f t="shared" si="13"/>
        <v>#VALUE!</v>
      </c>
      <c r="AS19" s="636"/>
      <c r="AT19" s="524" t="s">
        <v>839</v>
      </c>
      <c r="AU19" s="182" t="s">
        <v>839</v>
      </c>
      <c r="AV19" s="182" t="s">
        <v>839</v>
      </c>
      <c r="AW19" s="524" t="e">
        <f t="shared" si="15"/>
        <v>#VALUE!</v>
      </c>
      <c r="AX19" s="636"/>
      <c r="AZ19" s="524" t="e">
        <f t="shared" si="17"/>
        <v>#N/A</v>
      </c>
      <c r="BA19" s="636"/>
    </row>
    <row r="20" spans="2:53">
      <c r="B20" s="622"/>
      <c r="C20" s="466">
        <v>14</v>
      </c>
      <c r="D20" s="226"/>
      <c r="E20" s="182"/>
      <c r="F20" s="466"/>
      <c r="G20" s="467"/>
      <c r="H20" s="664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596"/>
      <c r="M20" s="472" t="e">
        <f>RANK(K20, K$7:$K$21)</f>
        <v>#VALUE!</v>
      </c>
      <c r="N20" s="614"/>
      <c r="O20" s="614"/>
      <c r="P20" s="524" t="s">
        <v>839</v>
      </c>
      <c r="Q20" s="182" t="s">
        <v>839</v>
      </c>
      <c r="R20" s="182" t="s">
        <v>839</v>
      </c>
      <c r="S20" s="524" t="e">
        <f t="shared" si="3"/>
        <v>#VALUE!</v>
      </c>
      <c r="T20" s="636"/>
      <c r="U20" s="524" t="s">
        <v>839</v>
      </c>
      <c r="V20" s="182" t="s">
        <v>839</v>
      </c>
      <c r="W20" s="182" t="s">
        <v>839</v>
      </c>
      <c r="X20" s="524" t="e">
        <f t="shared" si="5"/>
        <v>#VALUE!</v>
      </c>
      <c r="Y20" s="636"/>
      <c r="Z20" s="524" t="s">
        <v>839</v>
      </c>
      <c r="AA20" s="182" t="s">
        <v>839</v>
      </c>
      <c r="AB20" s="182" t="s">
        <v>839</v>
      </c>
      <c r="AC20" s="524" t="e">
        <f t="shared" si="7"/>
        <v>#VALUE!</v>
      </c>
      <c r="AD20" s="636"/>
      <c r="AE20" s="524" t="s">
        <v>839</v>
      </c>
      <c r="AF20" s="182" t="s">
        <v>839</v>
      </c>
      <c r="AG20" s="182" t="s">
        <v>839</v>
      </c>
      <c r="AH20" s="524" t="e">
        <f t="shared" si="9"/>
        <v>#VALUE!</v>
      </c>
      <c r="AI20" s="636"/>
      <c r="AJ20" s="524" t="s">
        <v>839</v>
      </c>
      <c r="AK20" s="182" t="s">
        <v>839</v>
      </c>
      <c r="AL20" s="182" t="s">
        <v>839</v>
      </c>
      <c r="AM20" s="524" t="e">
        <f t="shared" si="11"/>
        <v>#VALUE!</v>
      </c>
      <c r="AN20" s="636"/>
      <c r="AO20" s="524" t="s">
        <v>839</v>
      </c>
      <c r="AP20" s="182" t="s">
        <v>839</v>
      </c>
      <c r="AQ20" s="182" t="s">
        <v>839</v>
      </c>
      <c r="AR20" s="524" t="e">
        <f t="shared" si="13"/>
        <v>#VALUE!</v>
      </c>
      <c r="AS20" s="636"/>
      <c r="AT20" s="524" t="s">
        <v>839</v>
      </c>
      <c r="AU20" s="182" t="s">
        <v>839</v>
      </c>
      <c r="AV20" s="182" t="s">
        <v>839</v>
      </c>
      <c r="AW20" s="524" t="e">
        <f t="shared" si="15"/>
        <v>#VALUE!</v>
      </c>
      <c r="AX20" s="636"/>
      <c r="AZ20" s="524" t="e">
        <f t="shared" si="17"/>
        <v>#N/A</v>
      </c>
      <c r="BA20" s="636"/>
    </row>
    <row r="21" spans="2:53">
      <c r="B21" s="622"/>
      <c r="C21" s="466">
        <v>15</v>
      </c>
      <c r="D21" s="226"/>
      <c r="E21" s="182"/>
      <c r="F21" s="466"/>
      <c r="G21" s="467"/>
      <c r="H21" s="665"/>
      <c r="I21" s="202"/>
      <c r="J21" s="202"/>
      <c r="K21" s="202"/>
      <c r="L21" s="597"/>
      <c r="M21" s="472" t="e">
        <f>RANK(K21, K$7:$K$21)</f>
        <v>#N/A</v>
      </c>
      <c r="N21" s="614"/>
      <c r="O21" s="614"/>
      <c r="P21" s="524" t="s">
        <v>839</v>
      </c>
      <c r="Q21" s="182" t="s">
        <v>839</v>
      </c>
      <c r="R21" s="182" t="s">
        <v>839</v>
      </c>
      <c r="S21" s="524" t="e">
        <f t="shared" si="3"/>
        <v>#VALUE!</v>
      </c>
      <c r="T21" s="636"/>
      <c r="U21" s="524" t="s">
        <v>839</v>
      </c>
      <c r="V21" s="182" t="s">
        <v>839</v>
      </c>
      <c r="W21" s="182" t="s">
        <v>839</v>
      </c>
      <c r="X21" s="524" t="e">
        <f t="shared" si="5"/>
        <v>#VALUE!</v>
      </c>
      <c r="Y21" s="636"/>
      <c r="Z21" s="524" t="s">
        <v>839</v>
      </c>
      <c r="AA21" s="182" t="s">
        <v>839</v>
      </c>
      <c r="AB21" s="182" t="s">
        <v>839</v>
      </c>
      <c r="AC21" s="524" t="e">
        <f t="shared" si="7"/>
        <v>#VALUE!</v>
      </c>
      <c r="AD21" s="636"/>
      <c r="AE21" s="524" t="s">
        <v>839</v>
      </c>
      <c r="AF21" s="182" t="s">
        <v>839</v>
      </c>
      <c r="AG21" s="182" t="s">
        <v>839</v>
      </c>
      <c r="AH21" s="524" t="e">
        <f t="shared" si="9"/>
        <v>#VALUE!</v>
      </c>
      <c r="AI21" s="636"/>
      <c r="AJ21" s="524" t="s">
        <v>839</v>
      </c>
      <c r="AK21" s="182" t="s">
        <v>839</v>
      </c>
      <c r="AL21" s="182" t="s">
        <v>839</v>
      </c>
      <c r="AM21" s="524" t="e">
        <f t="shared" si="11"/>
        <v>#VALUE!</v>
      </c>
      <c r="AN21" s="636"/>
      <c r="AO21" s="524" t="s">
        <v>839</v>
      </c>
      <c r="AP21" s="182" t="s">
        <v>839</v>
      </c>
      <c r="AQ21" s="182" t="s">
        <v>839</v>
      </c>
      <c r="AR21" s="524" t="e">
        <f t="shared" si="13"/>
        <v>#VALUE!</v>
      </c>
      <c r="AS21" s="636"/>
      <c r="AT21" s="524" t="s">
        <v>839</v>
      </c>
      <c r="AU21" s="182" t="s">
        <v>839</v>
      </c>
      <c r="AV21" s="182" t="s">
        <v>839</v>
      </c>
      <c r="AW21" s="524" t="e">
        <f t="shared" si="15"/>
        <v>#VALUE!</v>
      </c>
      <c r="AX21" s="636"/>
      <c r="AZ21" s="524" t="e">
        <f t="shared" si="17"/>
        <v>#N/A</v>
      </c>
      <c r="BA21" s="636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154</v>
      </c>
      <c r="C24" s="614" t="s">
        <v>408</v>
      </c>
      <c r="D24" s="614"/>
      <c r="E24" s="614" t="s">
        <v>482</v>
      </c>
      <c r="F24" s="614"/>
      <c r="G24" s="614"/>
      <c r="H24" s="630" t="s">
        <v>395</v>
      </c>
      <c r="I24" s="598" t="s">
        <v>483</v>
      </c>
      <c r="J24" s="598"/>
      <c r="K24" s="598"/>
      <c r="L24" s="599" t="s">
        <v>395</v>
      </c>
      <c r="M24" s="605" t="s">
        <v>396</v>
      </c>
      <c r="N24" s="614"/>
      <c r="O24" s="614" t="s">
        <v>484</v>
      </c>
      <c r="P24" s="611" t="s">
        <v>485</v>
      </c>
      <c r="Q24" s="612"/>
      <c r="R24" s="612"/>
      <c r="S24" s="613"/>
      <c r="T24" s="614" t="s">
        <v>486</v>
      </c>
      <c r="U24" s="611" t="s">
        <v>485</v>
      </c>
      <c r="V24" s="612"/>
      <c r="W24" s="612"/>
      <c r="X24" s="613"/>
      <c r="Y24" s="614" t="s">
        <v>486</v>
      </c>
      <c r="Z24" s="611" t="s">
        <v>485</v>
      </c>
      <c r="AA24" s="612"/>
      <c r="AB24" s="612"/>
      <c r="AC24" s="613"/>
      <c r="AD24" s="614" t="s">
        <v>487</v>
      </c>
      <c r="AE24" s="611" t="s">
        <v>485</v>
      </c>
      <c r="AF24" s="612"/>
      <c r="AG24" s="612"/>
      <c r="AH24" s="613"/>
      <c r="AI24" s="614" t="s">
        <v>487</v>
      </c>
      <c r="AJ24" s="611" t="s">
        <v>397</v>
      </c>
      <c r="AK24" s="612"/>
      <c r="AL24" s="612"/>
      <c r="AM24" s="613"/>
      <c r="AN24" s="614" t="s">
        <v>487</v>
      </c>
      <c r="AO24" s="611" t="s">
        <v>488</v>
      </c>
      <c r="AP24" s="612"/>
      <c r="AQ24" s="612"/>
      <c r="AR24" s="613"/>
      <c r="AS24" s="614" t="s">
        <v>487</v>
      </c>
      <c r="AT24" s="611" t="s">
        <v>488</v>
      </c>
      <c r="AU24" s="612"/>
      <c r="AV24" s="612"/>
      <c r="AW24" s="613"/>
      <c r="AX24" s="614" t="s">
        <v>395</v>
      </c>
      <c r="BA24" s="614" t="s">
        <v>395</v>
      </c>
    </row>
    <row r="25" spans="2:53">
      <c r="B25" s="614"/>
      <c r="C25" s="614"/>
      <c r="D25" s="614"/>
      <c r="E25" s="614" t="s">
        <v>489</v>
      </c>
      <c r="F25" s="614"/>
      <c r="G25" s="614"/>
      <c r="H25" s="631"/>
      <c r="I25" s="598" t="s">
        <v>490</v>
      </c>
      <c r="J25" s="598"/>
      <c r="K25" s="598"/>
      <c r="L25" s="600"/>
      <c r="M25" s="606"/>
      <c r="N25" s="614"/>
      <c r="O25" s="614"/>
      <c r="P25" s="611" t="s">
        <v>403</v>
      </c>
      <c r="Q25" s="612"/>
      <c r="R25" s="612"/>
      <c r="S25" s="613"/>
      <c r="T25" s="614"/>
      <c r="U25" s="611" t="s">
        <v>403</v>
      </c>
      <c r="V25" s="612"/>
      <c r="W25" s="612"/>
      <c r="X25" s="613"/>
      <c r="Y25" s="614"/>
      <c r="Z25" s="611" t="s">
        <v>491</v>
      </c>
      <c r="AA25" s="612"/>
      <c r="AB25" s="612"/>
      <c r="AC25" s="613"/>
      <c r="AD25" s="614"/>
      <c r="AE25" s="611" t="s">
        <v>491</v>
      </c>
      <c r="AF25" s="612"/>
      <c r="AG25" s="612"/>
      <c r="AH25" s="613"/>
      <c r="AI25" s="614"/>
      <c r="AJ25" s="611" t="s">
        <v>403</v>
      </c>
      <c r="AK25" s="612"/>
      <c r="AL25" s="612"/>
      <c r="AM25" s="613"/>
      <c r="AN25" s="614"/>
      <c r="AO25" s="611" t="s">
        <v>491</v>
      </c>
      <c r="AP25" s="612"/>
      <c r="AQ25" s="612"/>
      <c r="AR25" s="613"/>
      <c r="AS25" s="614"/>
      <c r="AT25" s="611" t="s">
        <v>492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317" t="s">
        <v>404</v>
      </c>
      <c r="F26" s="317" t="s">
        <v>405</v>
      </c>
      <c r="G26" s="317" t="s">
        <v>406</v>
      </c>
      <c r="H26" s="632"/>
      <c r="I26" s="316" t="s">
        <v>493</v>
      </c>
      <c r="J26" s="316" t="s">
        <v>405</v>
      </c>
      <c r="K26" s="316" t="s">
        <v>494</v>
      </c>
      <c r="L26" s="601"/>
      <c r="M26" s="607"/>
      <c r="N26" s="614"/>
      <c r="O26" s="614"/>
      <c r="P26" s="317" t="s">
        <v>495</v>
      </c>
      <c r="Q26" s="317" t="s">
        <v>405</v>
      </c>
      <c r="R26" s="317" t="s">
        <v>496</v>
      </c>
      <c r="S26" s="317" t="s">
        <v>497</v>
      </c>
      <c r="T26" s="614"/>
      <c r="U26" s="317" t="s">
        <v>404</v>
      </c>
      <c r="V26" s="317" t="s">
        <v>405</v>
      </c>
      <c r="W26" s="317" t="s">
        <v>406</v>
      </c>
      <c r="X26" s="317" t="s">
        <v>396</v>
      </c>
      <c r="Y26" s="614"/>
      <c r="Z26" s="317" t="s">
        <v>404</v>
      </c>
      <c r="AA26" s="317" t="s">
        <v>498</v>
      </c>
      <c r="AB26" s="317" t="s">
        <v>406</v>
      </c>
      <c r="AC26" s="317" t="s">
        <v>499</v>
      </c>
      <c r="AD26" s="614"/>
      <c r="AE26" s="317" t="s">
        <v>404</v>
      </c>
      <c r="AF26" s="317" t="s">
        <v>405</v>
      </c>
      <c r="AG26" s="317" t="s">
        <v>406</v>
      </c>
      <c r="AH26" s="317" t="s">
        <v>396</v>
      </c>
      <c r="AI26" s="614"/>
      <c r="AJ26" s="317" t="s">
        <v>500</v>
      </c>
      <c r="AK26" s="317" t="s">
        <v>405</v>
      </c>
      <c r="AL26" s="317" t="s">
        <v>496</v>
      </c>
      <c r="AM26" s="317" t="s">
        <v>497</v>
      </c>
      <c r="AN26" s="614"/>
      <c r="AO26" s="317" t="s">
        <v>404</v>
      </c>
      <c r="AP26" s="317" t="s">
        <v>405</v>
      </c>
      <c r="AQ26" s="317" t="s">
        <v>406</v>
      </c>
      <c r="AR26" s="317" t="s">
        <v>396</v>
      </c>
      <c r="AS26" s="614"/>
      <c r="AT26" s="317" t="s">
        <v>404</v>
      </c>
      <c r="AU26" s="317" t="s">
        <v>501</v>
      </c>
      <c r="AV26" s="317" t="s">
        <v>406</v>
      </c>
      <c r="AW26" s="317" t="s">
        <v>396</v>
      </c>
      <c r="AX26" s="614"/>
      <c r="AZ26" s="523" t="s">
        <v>396</v>
      </c>
      <c r="BA26" s="614"/>
    </row>
    <row r="27" spans="2:53">
      <c r="B27" s="614" t="s">
        <v>132</v>
      </c>
      <c r="C27" s="318">
        <v>1</v>
      </c>
      <c r="D27" s="226" t="s">
        <v>371</v>
      </c>
      <c r="E27" s="182">
        <v>18</v>
      </c>
      <c r="F27" s="514">
        <v>1440</v>
      </c>
      <c r="G27" s="515">
        <v>80</v>
      </c>
      <c r="H27" s="663">
        <f>AVERAGE(G27:G41)</f>
        <v>78.772727272727266</v>
      </c>
      <c r="I27" s="516">
        <f t="shared" ref="I27:I40" si="19">IFERROR(AVERAGE(P27,U27,Z27,AE27,AJ27,AO27,AT27),"-")</f>
        <v>18</v>
      </c>
      <c r="J27" s="516">
        <f t="shared" ref="J27:J40" si="20">IFERROR(AVERAGE(Q27,V27,AA27,AF27,AK27,AP27,AU27),"-")</f>
        <v>1354.6423872171447</v>
      </c>
      <c r="K27" s="200">
        <f t="shared" ref="K27:K40" si="21">IFERROR(AVERAGE(R27,W27,AB27,AG27,AL27,AQ27,AV27),"-")</f>
        <v>75.257910400952468</v>
      </c>
      <c r="L27" s="595">
        <f>IFERROR(AVERAGE(K27:K41),"-")</f>
        <v>72.335990696985121</v>
      </c>
      <c r="M27" s="201">
        <f>RANK(K27, K$27:$K$41)</f>
        <v>3</v>
      </c>
      <c r="N27" s="614"/>
      <c r="O27" s="614"/>
      <c r="P27" s="529">
        <v>18</v>
      </c>
      <c r="Q27" s="533">
        <v>1337.6202531645563</v>
      </c>
      <c r="R27" s="533">
        <v>74.312236286919799</v>
      </c>
      <c r="S27" s="529">
        <f t="shared" ref="S27:S41" si="22">RANK(R27, R$27:R$41)</f>
        <v>4</v>
      </c>
      <c r="T27" s="623">
        <f t="shared" ref="T27" si="23">AVERAGE(R27:R41)</f>
        <v>72.702328283391267</v>
      </c>
      <c r="U27" s="529">
        <v>18</v>
      </c>
      <c r="V27" s="533">
        <v>1375.2475247524758</v>
      </c>
      <c r="W27" s="533">
        <v>76.402640264026431</v>
      </c>
      <c r="X27" s="529">
        <f t="shared" ref="X27:X41" si="24">RANK(W27, W$27:W$41)</f>
        <v>3</v>
      </c>
      <c r="Y27" s="623">
        <f t="shared" ref="Y27" si="25">AVERAGE(W27:W41)</f>
        <v>73.286646704883907</v>
      </c>
      <c r="Z27" s="529">
        <v>18</v>
      </c>
      <c r="AA27" s="533">
        <v>1351.2244897959188</v>
      </c>
      <c r="AB27" s="533">
        <v>75.068027210884381</v>
      </c>
      <c r="AC27" s="529">
        <f t="shared" ref="AC27:AC41" si="26">RANK(AB27, AB$27:AB$41)</f>
        <v>4</v>
      </c>
      <c r="AD27" s="623">
        <f t="shared" ref="AD27" si="27">AVERAGE(AB27:AB41)</f>
        <v>72.960004369611525</v>
      </c>
      <c r="AE27" s="529">
        <v>18</v>
      </c>
      <c r="AF27" s="533">
        <v>1361.927710843373</v>
      </c>
      <c r="AG27" s="533">
        <v>75.662650602409613</v>
      </c>
      <c r="AH27" s="529">
        <f t="shared" ref="AH27:AH41" si="28">RANK(AG27, AG$27:AG$41)</f>
        <v>5</v>
      </c>
      <c r="AI27" s="623">
        <f t="shared" ref="AI27" si="29">AVERAGE(AG27:AG41)</f>
        <v>73.041108156209305</v>
      </c>
      <c r="AJ27" s="529">
        <v>18</v>
      </c>
      <c r="AK27" s="533">
        <v>1362.6000000000004</v>
      </c>
      <c r="AL27" s="533">
        <v>75.700000000000017</v>
      </c>
      <c r="AM27" s="529">
        <f t="shared" ref="AM27:AM41" si="30">RANK(AL27, AL$27:AL$41)</f>
        <v>4</v>
      </c>
      <c r="AN27" s="623">
        <f t="shared" ref="AN27" si="31">AVERAGE(AL27:AL41)</f>
        <v>73.124025741064585</v>
      </c>
      <c r="AO27" s="529">
        <v>18</v>
      </c>
      <c r="AP27" s="533">
        <v>1337.217391304348</v>
      </c>
      <c r="AQ27" s="533">
        <v>74.28985507246378</v>
      </c>
      <c r="AR27" s="529">
        <f t="shared" ref="AR27:AR41" si="32">RANK(AQ27, AQ$27:AQ$41)</f>
        <v>3</v>
      </c>
      <c r="AS27" s="623">
        <f t="shared" ref="AS27" si="33">AVERAGE(AQ27:AQ41)</f>
        <v>69.473088935908521</v>
      </c>
      <c r="AT27" s="529">
        <v>18</v>
      </c>
      <c r="AU27" s="533">
        <v>1356.6593406593406</v>
      </c>
      <c r="AV27" s="533">
        <v>75.369963369963372</v>
      </c>
      <c r="AW27" s="529">
        <f t="shared" ref="AW27:AW41" si="34">RANK(AV27, AV$27:AV$41)</f>
        <v>3</v>
      </c>
      <c r="AX27" s="623">
        <f t="shared" ref="AX27" si="35">AVERAGE(AV27:AV41)</f>
        <v>71.764732687826779</v>
      </c>
      <c r="AZ27" s="524" t="e">
        <f t="shared" ref="AZ27:AZ41" si="36">RANK(AY27, AY$27:AY$41)</f>
        <v>#N/A</v>
      </c>
      <c r="BA27" s="623" t="e">
        <f t="shared" ref="BA27" si="37">AVERAGE(AY27:AY41)</f>
        <v>#DIV/0!</v>
      </c>
    </row>
    <row r="28" spans="2:53">
      <c r="B28" s="622"/>
      <c r="C28" s="318">
        <v>2</v>
      </c>
      <c r="D28" s="226" t="s">
        <v>372</v>
      </c>
      <c r="E28" s="182">
        <v>18</v>
      </c>
      <c r="F28" s="514">
        <v>1440</v>
      </c>
      <c r="G28" s="515">
        <v>80</v>
      </c>
      <c r="H28" s="664"/>
      <c r="I28" s="516">
        <f t="shared" si="19"/>
        <v>18</v>
      </c>
      <c r="J28" s="516">
        <f t="shared" si="20"/>
        <v>1330.5286027952443</v>
      </c>
      <c r="K28" s="200">
        <f t="shared" si="21"/>
        <v>73.918255710846907</v>
      </c>
      <c r="L28" s="596"/>
      <c r="M28" s="201">
        <f>RANK(K28, K$27:$K$41)</f>
        <v>5</v>
      </c>
      <c r="N28" s="614"/>
      <c r="O28" s="614"/>
      <c r="P28" s="529">
        <v>18</v>
      </c>
      <c r="Q28" s="533">
        <v>1329.7297297297287</v>
      </c>
      <c r="R28" s="533">
        <v>73.873873873873819</v>
      </c>
      <c r="S28" s="529">
        <f t="shared" si="22"/>
        <v>5</v>
      </c>
      <c r="T28" s="624"/>
      <c r="U28" s="529">
        <v>18</v>
      </c>
      <c r="V28" s="533">
        <v>1369.9999999999989</v>
      </c>
      <c r="W28" s="533">
        <v>76.111111111111043</v>
      </c>
      <c r="X28" s="529">
        <f t="shared" si="24"/>
        <v>4</v>
      </c>
      <c r="Y28" s="624"/>
      <c r="Z28" s="529">
        <v>18</v>
      </c>
      <c r="AA28" s="533">
        <v>1338.9473684210516</v>
      </c>
      <c r="AB28" s="533">
        <v>74.385964912280642</v>
      </c>
      <c r="AC28" s="529">
        <f t="shared" si="26"/>
        <v>5</v>
      </c>
      <c r="AD28" s="624"/>
      <c r="AE28" s="529">
        <v>18</v>
      </c>
      <c r="AF28" s="533">
        <v>1368.6486486486476</v>
      </c>
      <c r="AG28" s="533">
        <v>76.036036036035981</v>
      </c>
      <c r="AH28" s="529">
        <f t="shared" si="28"/>
        <v>4</v>
      </c>
      <c r="AI28" s="624"/>
      <c r="AJ28" s="529">
        <v>18</v>
      </c>
      <c r="AK28" s="533">
        <v>1342.8571428571424</v>
      </c>
      <c r="AL28" s="533">
        <v>74.60317460317458</v>
      </c>
      <c r="AM28" s="529">
        <f t="shared" si="30"/>
        <v>5</v>
      </c>
      <c r="AN28" s="624"/>
      <c r="AO28" s="529">
        <v>18</v>
      </c>
      <c r="AP28" s="533">
        <v>1268.7804878048776</v>
      </c>
      <c r="AQ28" s="533">
        <v>70.487804878048749</v>
      </c>
      <c r="AR28" s="529">
        <f t="shared" si="32"/>
        <v>5</v>
      </c>
      <c r="AS28" s="624"/>
      <c r="AT28" s="529">
        <v>18</v>
      </c>
      <c r="AU28" s="533">
        <v>1294.7368421052643</v>
      </c>
      <c r="AV28" s="533">
        <v>71.929824561403564</v>
      </c>
      <c r="AW28" s="529">
        <f t="shared" si="34"/>
        <v>5</v>
      </c>
      <c r="AX28" s="624"/>
      <c r="AZ28" s="524" t="e">
        <f t="shared" si="36"/>
        <v>#N/A</v>
      </c>
      <c r="BA28" s="624"/>
    </row>
    <row r="29" spans="2:53">
      <c r="B29" s="622"/>
      <c r="C29" s="318">
        <v>3</v>
      </c>
      <c r="D29" s="226" t="s">
        <v>373</v>
      </c>
      <c r="E29" s="182">
        <v>17</v>
      </c>
      <c r="F29" s="514">
        <v>1440</v>
      </c>
      <c r="G29" s="515">
        <v>84.7</v>
      </c>
      <c r="H29" s="664"/>
      <c r="I29" s="516">
        <f t="shared" si="19"/>
        <v>17</v>
      </c>
      <c r="J29" s="516">
        <f t="shared" si="20"/>
        <v>1355.9619666991748</v>
      </c>
      <c r="K29" s="200">
        <f t="shared" si="21"/>
        <v>79.762468629363227</v>
      </c>
      <c r="L29" s="596"/>
      <c r="M29" s="201">
        <f>RANK(K29, K$27:$K$41)</f>
        <v>2</v>
      </c>
      <c r="N29" s="614"/>
      <c r="O29" s="614"/>
      <c r="P29" s="529">
        <v>17</v>
      </c>
      <c r="Q29" s="533">
        <v>1338.0487804878044</v>
      </c>
      <c r="R29" s="533">
        <v>78.708751793400253</v>
      </c>
      <c r="S29" s="529">
        <f t="shared" si="22"/>
        <v>2</v>
      </c>
      <c r="T29" s="624"/>
      <c r="U29" s="529">
        <v>17</v>
      </c>
      <c r="V29" s="533">
        <v>1355.2066115702473</v>
      </c>
      <c r="W29" s="533">
        <v>79.718035974720436</v>
      </c>
      <c r="X29" s="529">
        <f t="shared" si="24"/>
        <v>2</v>
      </c>
      <c r="Y29" s="624"/>
      <c r="Z29" s="529">
        <v>17</v>
      </c>
      <c r="AA29" s="533">
        <v>1367.3076923076931</v>
      </c>
      <c r="AB29" s="533">
        <v>80.429864253393703</v>
      </c>
      <c r="AC29" s="529">
        <f t="shared" si="26"/>
        <v>2</v>
      </c>
      <c r="AD29" s="624"/>
      <c r="AE29" s="529">
        <v>17</v>
      </c>
      <c r="AF29" s="533">
        <v>1333.7142857142842</v>
      </c>
      <c r="AG29" s="533">
        <v>78.453781512604948</v>
      </c>
      <c r="AH29" s="529">
        <f t="shared" si="28"/>
        <v>1</v>
      </c>
      <c r="AI29" s="624"/>
      <c r="AJ29" s="529">
        <v>17</v>
      </c>
      <c r="AK29" s="533">
        <v>1371.1926605504595</v>
      </c>
      <c r="AL29" s="533">
        <v>80.658391797085855</v>
      </c>
      <c r="AM29" s="529">
        <f t="shared" si="30"/>
        <v>1</v>
      </c>
      <c r="AN29" s="624"/>
      <c r="AO29" s="529">
        <v>17</v>
      </c>
      <c r="AP29" s="533">
        <v>1377.6923076923074</v>
      </c>
      <c r="AQ29" s="533">
        <v>81.040723981900442</v>
      </c>
      <c r="AR29" s="529">
        <f t="shared" si="32"/>
        <v>1</v>
      </c>
      <c r="AS29" s="624"/>
      <c r="AT29" s="529">
        <v>17</v>
      </c>
      <c r="AU29" s="533">
        <v>1348.5714285714282</v>
      </c>
      <c r="AV29" s="533">
        <v>79.327731092436949</v>
      </c>
      <c r="AW29" s="529">
        <f t="shared" si="34"/>
        <v>2</v>
      </c>
      <c r="AX29" s="624"/>
      <c r="AZ29" s="524" t="e">
        <f t="shared" si="36"/>
        <v>#N/A</v>
      </c>
      <c r="BA29" s="624"/>
    </row>
    <row r="30" spans="2:53">
      <c r="B30" s="622"/>
      <c r="C30" s="318">
        <v>4</v>
      </c>
      <c r="D30" s="226" t="s">
        <v>374</v>
      </c>
      <c r="E30" s="182">
        <v>17</v>
      </c>
      <c r="F30" s="514">
        <v>1440</v>
      </c>
      <c r="G30" s="515">
        <v>84.7</v>
      </c>
      <c r="H30" s="664"/>
      <c r="I30" s="516">
        <f t="shared" si="19"/>
        <v>17</v>
      </c>
      <c r="J30" s="516">
        <f t="shared" si="20"/>
        <v>1269.6820304246528</v>
      </c>
      <c r="K30" s="200">
        <f t="shared" si="21"/>
        <v>74.687178260273711</v>
      </c>
      <c r="L30" s="596"/>
      <c r="M30" s="201">
        <f>RANK(K30, K$27:$K$41)</f>
        <v>4</v>
      </c>
      <c r="N30" s="614"/>
      <c r="O30" s="614"/>
      <c r="P30" s="529">
        <v>17</v>
      </c>
      <c r="Q30" s="533">
        <v>1274.3478260869565</v>
      </c>
      <c r="R30" s="533">
        <v>74.961636828644501</v>
      </c>
      <c r="S30" s="529">
        <f t="shared" si="22"/>
        <v>3</v>
      </c>
      <c r="T30" s="624"/>
      <c r="U30" s="529">
        <v>17</v>
      </c>
      <c r="V30" s="533">
        <v>1257.5510204081636</v>
      </c>
      <c r="W30" s="533">
        <v>73.973589435774329</v>
      </c>
      <c r="X30" s="529">
        <f t="shared" si="24"/>
        <v>5</v>
      </c>
      <c r="Y30" s="624"/>
      <c r="Z30" s="529">
        <v>17</v>
      </c>
      <c r="AA30" s="533">
        <v>1278.8235294117653</v>
      </c>
      <c r="AB30" s="533">
        <v>75.224913494809726</v>
      </c>
      <c r="AC30" s="529">
        <f t="shared" si="26"/>
        <v>3</v>
      </c>
      <c r="AD30" s="624"/>
      <c r="AE30" s="529">
        <v>17</v>
      </c>
      <c r="AF30" s="533">
        <v>1299.5121951219508</v>
      </c>
      <c r="AG30" s="533">
        <v>76.44189383070298</v>
      </c>
      <c r="AH30" s="529">
        <f t="shared" si="28"/>
        <v>3</v>
      </c>
      <c r="AI30" s="624"/>
      <c r="AJ30" s="529">
        <v>17</v>
      </c>
      <c r="AK30" s="533">
        <v>1291.304347826087</v>
      </c>
      <c r="AL30" s="533">
        <v>75.959079283887476</v>
      </c>
      <c r="AM30" s="529">
        <f t="shared" si="30"/>
        <v>3</v>
      </c>
      <c r="AN30" s="624"/>
      <c r="AO30" s="529">
        <v>17</v>
      </c>
      <c r="AP30" s="533">
        <v>1208.2352941176478</v>
      </c>
      <c r="AQ30" s="533">
        <v>71.072664359861633</v>
      </c>
      <c r="AR30" s="529">
        <f t="shared" si="32"/>
        <v>4</v>
      </c>
      <c r="AS30" s="624"/>
      <c r="AT30" s="529">
        <v>17</v>
      </c>
      <c r="AU30" s="533">
        <v>1278.0000000000005</v>
      </c>
      <c r="AV30" s="533">
        <v>75.176470588235318</v>
      </c>
      <c r="AW30" s="529">
        <f t="shared" si="34"/>
        <v>4</v>
      </c>
      <c r="AX30" s="624"/>
      <c r="AZ30" s="524" t="e">
        <f t="shared" si="36"/>
        <v>#N/A</v>
      </c>
      <c r="BA30" s="624"/>
    </row>
    <row r="31" spans="2:53">
      <c r="B31" s="622"/>
      <c r="C31" s="318">
        <v>5</v>
      </c>
      <c r="D31" s="226" t="s">
        <v>375</v>
      </c>
      <c r="E31" s="182">
        <v>21</v>
      </c>
      <c r="F31" s="514">
        <v>1385</v>
      </c>
      <c r="G31" s="515">
        <v>65.900000000000006</v>
      </c>
      <c r="H31" s="664"/>
      <c r="I31" s="516">
        <f t="shared" si="19"/>
        <v>21</v>
      </c>
      <c r="J31" s="516">
        <f t="shared" si="20"/>
        <v>1288.3416995830596</v>
      </c>
      <c r="K31" s="200">
        <f t="shared" si="21"/>
        <v>61.349604742050452</v>
      </c>
      <c r="L31" s="596"/>
      <c r="M31" s="201">
        <f>RANK(K31, K$27:$K$41)</f>
        <v>11</v>
      </c>
      <c r="N31" s="614"/>
      <c r="O31" s="614"/>
      <c r="P31" s="529">
        <v>21</v>
      </c>
      <c r="Q31" s="533">
        <v>1321.73076923077</v>
      </c>
      <c r="R31" s="533">
        <v>62.939560439560474</v>
      </c>
      <c r="S31" s="529">
        <f t="shared" si="22"/>
        <v>11</v>
      </c>
      <c r="T31" s="624"/>
      <c r="U31" s="529">
        <v>21</v>
      </c>
      <c r="V31" s="533">
        <v>1295.7692307692314</v>
      </c>
      <c r="W31" s="533">
        <v>61.703296703296736</v>
      </c>
      <c r="X31" s="529">
        <f t="shared" si="24"/>
        <v>11</v>
      </c>
      <c r="Y31" s="624"/>
      <c r="Z31" s="529">
        <v>21</v>
      </c>
      <c r="AA31" s="533">
        <v>1296.8750000000005</v>
      </c>
      <c r="AB31" s="533">
        <v>61.755952380952401</v>
      </c>
      <c r="AC31" s="529">
        <f t="shared" si="26"/>
        <v>11</v>
      </c>
      <c r="AD31" s="624"/>
      <c r="AE31" s="529">
        <v>21</v>
      </c>
      <c r="AF31" s="533">
        <v>1312.5714285714294</v>
      </c>
      <c r="AG31" s="533">
        <v>62.503401360544252</v>
      </c>
      <c r="AH31" s="529">
        <f t="shared" si="28"/>
        <v>11</v>
      </c>
      <c r="AI31" s="624"/>
      <c r="AJ31" s="529">
        <v>21</v>
      </c>
      <c r="AK31" s="533">
        <v>1316.6666666666674</v>
      </c>
      <c r="AL31" s="533">
        <v>62.698412698412731</v>
      </c>
      <c r="AM31" s="529">
        <f t="shared" si="30"/>
        <v>11</v>
      </c>
      <c r="AN31" s="624"/>
      <c r="AO31" s="529">
        <v>21</v>
      </c>
      <c r="AP31" s="533">
        <v>1231.714285714286</v>
      </c>
      <c r="AQ31" s="533">
        <v>58.653061224489811</v>
      </c>
      <c r="AR31" s="529">
        <f t="shared" si="32"/>
        <v>11</v>
      </c>
      <c r="AS31" s="624"/>
      <c r="AT31" s="529">
        <v>21</v>
      </c>
      <c r="AU31" s="533">
        <v>1243.064516129032</v>
      </c>
      <c r="AV31" s="533">
        <v>59.193548387096762</v>
      </c>
      <c r="AW31" s="529">
        <f t="shared" si="34"/>
        <v>11</v>
      </c>
      <c r="AX31" s="624"/>
      <c r="AZ31" s="524" t="e">
        <f t="shared" si="36"/>
        <v>#N/A</v>
      </c>
      <c r="BA31" s="624"/>
    </row>
    <row r="32" spans="2:53">
      <c r="B32" s="622"/>
      <c r="C32" s="318">
        <v>6</v>
      </c>
      <c r="D32" s="226" t="s">
        <v>376</v>
      </c>
      <c r="E32" s="182">
        <v>19</v>
      </c>
      <c r="F32" s="514">
        <v>1440</v>
      </c>
      <c r="G32" s="515">
        <v>75.8</v>
      </c>
      <c r="H32" s="664"/>
      <c r="I32" s="516">
        <f t="shared" si="19"/>
        <v>19</v>
      </c>
      <c r="J32" s="516">
        <f t="shared" si="20"/>
        <v>1335.8237863501015</v>
      </c>
      <c r="K32" s="200">
        <f t="shared" si="21"/>
        <v>70.306515071057973</v>
      </c>
      <c r="L32" s="596"/>
      <c r="M32" s="201">
        <f>RANK(K32, K$27:$K$41)</f>
        <v>8</v>
      </c>
      <c r="N32" s="614"/>
      <c r="O32" s="614"/>
      <c r="P32" s="529">
        <v>19</v>
      </c>
      <c r="Q32" s="533">
        <v>1373.599999999999</v>
      </c>
      <c r="R32" s="533">
        <v>72.294736842105209</v>
      </c>
      <c r="S32" s="529">
        <f t="shared" si="22"/>
        <v>6</v>
      </c>
      <c r="T32" s="624"/>
      <c r="U32" s="529">
        <v>19</v>
      </c>
      <c r="V32" s="533">
        <v>1340.7407407407402</v>
      </c>
      <c r="W32" s="533">
        <v>70.565302144249486</v>
      </c>
      <c r="X32" s="529">
        <f t="shared" si="24"/>
        <v>8</v>
      </c>
      <c r="Y32" s="624"/>
      <c r="Z32" s="529">
        <v>19</v>
      </c>
      <c r="AA32" s="533">
        <v>1341.8181818181811</v>
      </c>
      <c r="AB32" s="533">
        <v>70.622009569377951</v>
      </c>
      <c r="AC32" s="529">
        <f t="shared" si="26"/>
        <v>9</v>
      </c>
      <c r="AD32" s="624"/>
      <c r="AE32" s="529">
        <v>19</v>
      </c>
      <c r="AF32" s="533">
        <v>1374.399999999999</v>
      </c>
      <c r="AG32" s="533">
        <v>72.336842105263102</v>
      </c>
      <c r="AH32" s="529">
        <f t="shared" si="28"/>
        <v>7</v>
      </c>
      <c r="AI32" s="624"/>
      <c r="AJ32" s="529">
        <v>19</v>
      </c>
      <c r="AK32" s="533">
        <v>1335.3846153846148</v>
      </c>
      <c r="AL32" s="533">
        <v>70.283400809716568</v>
      </c>
      <c r="AM32" s="529">
        <f t="shared" si="30"/>
        <v>9</v>
      </c>
      <c r="AN32" s="624"/>
      <c r="AO32" s="529">
        <v>19</v>
      </c>
      <c r="AP32" s="533">
        <v>1277.4545454545446</v>
      </c>
      <c r="AQ32" s="533">
        <v>67.2344497607655</v>
      </c>
      <c r="AR32" s="529">
        <f t="shared" si="32"/>
        <v>7</v>
      </c>
      <c r="AS32" s="624"/>
      <c r="AT32" s="529">
        <v>19</v>
      </c>
      <c r="AU32" s="533">
        <v>1307.3684210526319</v>
      </c>
      <c r="AV32" s="533">
        <v>68.808864265927994</v>
      </c>
      <c r="AW32" s="529">
        <f t="shared" si="34"/>
        <v>7</v>
      </c>
      <c r="AX32" s="624"/>
      <c r="AZ32" s="524" t="e">
        <f t="shared" si="36"/>
        <v>#N/A</v>
      </c>
      <c r="BA32" s="624"/>
    </row>
    <row r="33" spans="2:53">
      <c r="B33" s="622"/>
      <c r="C33" s="318">
        <v>7</v>
      </c>
      <c r="D33" s="226" t="s">
        <v>579</v>
      </c>
      <c r="E33" s="182">
        <v>18</v>
      </c>
      <c r="F33" s="514">
        <v>1385</v>
      </c>
      <c r="G33" s="515">
        <v>76.900000000000006</v>
      </c>
      <c r="H33" s="664"/>
      <c r="I33" s="516">
        <f t="shared" si="19"/>
        <v>18</v>
      </c>
      <c r="J33" s="516">
        <f t="shared" si="20"/>
        <v>1279.7089518090322</v>
      </c>
      <c r="K33" s="200">
        <f t="shared" si="21"/>
        <v>71.09494176716845</v>
      </c>
      <c r="L33" s="596"/>
      <c r="M33" s="201">
        <f>RANK(K33, K$27:$K$41)</f>
        <v>6</v>
      </c>
      <c r="N33" s="614"/>
      <c r="O33" s="614"/>
      <c r="P33" s="529">
        <v>18</v>
      </c>
      <c r="Q33" s="533">
        <v>1282.8947368421043</v>
      </c>
      <c r="R33" s="533">
        <v>71.271929824561354</v>
      </c>
      <c r="S33" s="529">
        <f t="shared" si="22"/>
        <v>8</v>
      </c>
      <c r="T33" s="624"/>
      <c r="U33" s="529">
        <v>18</v>
      </c>
      <c r="V33" s="533">
        <v>1305.599999999999</v>
      </c>
      <c r="W33" s="533">
        <v>72.533333333333275</v>
      </c>
      <c r="X33" s="529">
        <f t="shared" si="24"/>
        <v>6</v>
      </c>
      <c r="Y33" s="624"/>
      <c r="Z33" s="529">
        <v>18</v>
      </c>
      <c r="AA33" s="533">
        <v>1304.3478260869554</v>
      </c>
      <c r="AB33" s="533">
        <v>72.46376811594196</v>
      </c>
      <c r="AC33" s="529">
        <f t="shared" si="26"/>
        <v>6</v>
      </c>
      <c r="AD33" s="624"/>
      <c r="AE33" s="529">
        <v>18</v>
      </c>
      <c r="AF33" s="533">
        <v>1306.9565217391291</v>
      </c>
      <c r="AG33" s="533">
        <v>72.608695652173836</v>
      </c>
      <c r="AH33" s="529">
        <f t="shared" si="28"/>
        <v>6</v>
      </c>
      <c r="AI33" s="624"/>
      <c r="AJ33" s="529">
        <v>18</v>
      </c>
      <c r="AK33" s="533">
        <v>1295.844155844155</v>
      </c>
      <c r="AL33" s="533">
        <v>71.99134199134194</v>
      </c>
      <c r="AM33" s="529">
        <f t="shared" si="30"/>
        <v>7</v>
      </c>
      <c r="AN33" s="624"/>
      <c r="AO33" s="529">
        <v>18</v>
      </c>
      <c r="AP33" s="533">
        <v>1233.0337078651685</v>
      </c>
      <c r="AQ33" s="533">
        <v>68.50187265917603</v>
      </c>
      <c r="AR33" s="529">
        <f t="shared" si="32"/>
        <v>6</v>
      </c>
      <c r="AS33" s="624"/>
      <c r="AT33" s="529">
        <v>18</v>
      </c>
      <c r="AU33" s="533">
        <v>1229.2857142857138</v>
      </c>
      <c r="AV33" s="533">
        <v>68.29365079365077</v>
      </c>
      <c r="AW33" s="529">
        <f t="shared" si="34"/>
        <v>8</v>
      </c>
      <c r="AX33" s="624"/>
      <c r="AZ33" s="524" t="e">
        <f t="shared" si="36"/>
        <v>#N/A</v>
      </c>
      <c r="BA33" s="624"/>
    </row>
    <row r="34" spans="2:53">
      <c r="B34" s="622"/>
      <c r="C34" s="318">
        <v>8</v>
      </c>
      <c r="D34" s="226" t="s">
        <v>582</v>
      </c>
      <c r="E34" s="182">
        <v>18</v>
      </c>
      <c r="F34" s="514">
        <v>1385</v>
      </c>
      <c r="G34" s="515">
        <v>76.900000000000006</v>
      </c>
      <c r="H34" s="664"/>
      <c r="I34" s="516">
        <f t="shared" si="19"/>
        <v>18</v>
      </c>
      <c r="J34" s="516">
        <f t="shared" si="20"/>
        <v>1223.2519510976695</v>
      </c>
      <c r="K34" s="200">
        <f t="shared" si="21"/>
        <v>67.958441727648307</v>
      </c>
      <c r="L34" s="596"/>
      <c r="M34" s="201">
        <f>RANK(K34, K$27:$K$41)</f>
        <v>10</v>
      </c>
      <c r="N34" s="614"/>
      <c r="O34" s="614"/>
      <c r="P34" s="529">
        <v>18</v>
      </c>
      <c r="Q34" s="533">
        <v>1233.0612244897964</v>
      </c>
      <c r="R34" s="533">
        <v>68.503401360544245</v>
      </c>
      <c r="S34" s="529">
        <f t="shared" si="22"/>
        <v>10</v>
      </c>
      <c r="T34" s="624"/>
      <c r="U34" s="529">
        <v>18</v>
      </c>
      <c r="V34" s="533">
        <v>1231.2000000000005</v>
      </c>
      <c r="W34" s="533">
        <v>68.400000000000034</v>
      </c>
      <c r="X34" s="529">
        <f t="shared" si="24"/>
        <v>10</v>
      </c>
      <c r="Y34" s="624"/>
      <c r="Z34" s="529">
        <v>18</v>
      </c>
      <c r="AA34" s="533">
        <v>1235.0000000000005</v>
      </c>
      <c r="AB34" s="533">
        <v>68.611111111111143</v>
      </c>
      <c r="AC34" s="529">
        <f t="shared" si="26"/>
        <v>10</v>
      </c>
      <c r="AD34" s="624"/>
      <c r="AE34" s="529">
        <v>18</v>
      </c>
      <c r="AF34" s="533">
        <v>1228</v>
      </c>
      <c r="AG34" s="533">
        <v>68.222222222222229</v>
      </c>
      <c r="AH34" s="529">
        <f t="shared" si="28"/>
        <v>10</v>
      </c>
      <c r="AI34" s="624"/>
      <c r="AJ34" s="529">
        <v>18</v>
      </c>
      <c r="AK34" s="533">
        <v>1236.9230769230776</v>
      </c>
      <c r="AL34" s="533">
        <v>68.717948717948758</v>
      </c>
      <c r="AM34" s="529">
        <f t="shared" si="30"/>
        <v>10</v>
      </c>
      <c r="AN34" s="624"/>
      <c r="AO34" s="529">
        <v>18</v>
      </c>
      <c r="AP34" s="533">
        <v>1176.2264150943402</v>
      </c>
      <c r="AQ34" s="533">
        <v>65.345911949685558</v>
      </c>
      <c r="AR34" s="529">
        <f t="shared" si="32"/>
        <v>10</v>
      </c>
      <c r="AS34" s="624"/>
      <c r="AT34" s="529">
        <v>18</v>
      </c>
      <c r="AU34" s="533">
        <v>1222.3529411764712</v>
      </c>
      <c r="AV34" s="533">
        <v>67.90849673202618</v>
      </c>
      <c r="AW34" s="529">
        <f t="shared" si="34"/>
        <v>9</v>
      </c>
      <c r="AX34" s="624"/>
      <c r="AZ34" s="524" t="e">
        <f t="shared" si="36"/>
        <v>#N/A</v>
      </c>
      <c r="BA34" s="624"/>
    </row>
    <row r="35" spans="2:53">
      <c r="B35" s="622"/>
      <c r="C35" s="318">
        <v>9</v>
      </c>
      <c r="D35" s="226" t="s">
        <v>644</v>
      </c>
      <c r="E35" s="182">
        <v>16</v>
      </c>
      <c r="F35" s="514">
        <v>1440</v>
      </c>
      <c r="G35" s="515">
        <v>90</v>
      </c>
      <c r="H35" s="664"/>
      <c r="I35" s="516">
        <f t="shared" si="19"/>
        <v>16</v>
      </c>
      <c r="J35" s="516">
        <f t="shared" si="20"/>
        <v>1291.2296146582487</v>
      </c>
      <c r="K35" s="200">
        <f t="shared" si="21"/>
        <v>80.701850916140543</v>
      </c>
      <c r="L35" s="596"/>
      <c r="M35" s="201">
        <f>RANK(K35, K$27:$K$41)</f>
        <v>1</v>
      </c>
      <c r="N35" s="614"/>
      <c r="O35" s="614"/>
      <c r="P35" s="529">
        <v>16</v>
      </c>
      <c r="Q35" s="533">
        <v>1291.3165048543692</v>
      </c>
      <c r="R35" s="533">
        <v>80.707281553398076</v>
      </c>
      <c r="S35" s="529">
        <f t="shared" si="22"/>
        <v>1</v>
      </c>
      <c r="T35" s="624"/>
      <c r="U35" s="529">
        <v>16</v>
      </c>
      <c r="V35" s="533">
        <v>1354.5000000000005</v>
      </c>
      <c r="W35" s="533">
        <v>84.656250000000028</v>
      </c>
      <c r="X35" s="529">
        <f t="shared" si="24"/>
        <v>1</v>
      </c>
      <c r="Y35" s="624"/>
      <c r="Z35" s="529">
        <v>16</v>
      </c>
      <c r="AA35" s="533">
        <v>1295.6363636363637</v>
      </c>
      <c r="AB35" s="533">
        <v>80.977272727272734</v>
      </c>
      <c r="AC35" s="529">
        <f t="shared" si="26"/>
        <v>1</v>
      </c>
      <c r="AD35" s="624"/>
      <c r="AE35" s="529">
        <v>16</v>
      </c>
      <c r="AF35" s="533">
        <v>1253.8983050847453</v>
      </c>
      <c r="AG35" s="533">
        <v>78.368644067796581</v>
      </c>
      <c r="AH35" s="529">
        <f t="shared" si="28"/>
        <v>2</v>
      </c>
      <c r="AI35" s="624"/>
      <c r="AJ35" s="529">
        <v>16</v>
      </c>
      <c r="AK35" s="533">
        <v>1284.500000000003</v>
      </c>
      <c r="AL35" s="533">
        <v>80.281250000000185</v>
      </c>
      <c r="AM35" s="529">
        <f t="shared" si="30"/>
        <v>2</v>
      </c>
      <c r="AN35" s="624"/>
      <c r="AO35" s="529">
        <v>16</v>
      </c>
      <c r="AP35" s="533">
        <v>1194.2400000000014</v>
      </c>
      <c r="AQ35" s="533">
        <v>74.640000000000086</v>
      </c>
      <c r="AR35" s="529">
        <f t="shared" si="32"/>
        <v>2</v>
      </c>
      <c r="AS35" s="624"/>
      <c r="AT35" s="529">
        <v>16</v>
      </c>
      <c r="AU35" s="533">
        <v>1364.5161290322576</v>
      </c>
      <c r="AV35" s="533">
        <v>85.2822580645161</v>
      </c>
      <c r="AW35" s="529">
        <f t="shared" si="34"/>
        <v>1</v>
      </c>
      <c r="AX35" s="624"/>
      <c r="AZ35" s="524" t="e">
        <f t="shared" si="36"/>
        <v>#N/A</v>
      </c>
      <c r="BA35" s="624"/>
    </row>
    <row r="36" spans="2:53">
      <c r="B36" s="622"/>
      <c r="C36" s="318">
        <v>10</v>
      </c>
      <c r="D36" s="226" t="s">
        <v>767</v>
      </c>
      <c r="E36" s="182">
        <v>19</v>
      </c>
      <c r="F36" s="514">
        <v>1440</v>
      </c>
      <c r="G36" s="515">
        <v>75.8</v>
      </c>
      <c r="H36" s="664"/>
      <c r="I36" s="516">
        <f t="shared" si="19"/>
        <v>19</v>
      </c>
      <c r="J36" s="516">
        <f t="shared" si="20"/>
        <v>1327.5093033743947</v>
      </c>
      <c r="K36" s="200">
        <f t="shared" si="21"/>
        <v>69.868910703915518</v>
      </c>
      <c r="L36" s="596"/>
      <c r="M36" s="201">
        <f>RANK(K36, K$27:$K$41)</f>
        <v>9</v>
      </c>
      <c r="N36" s="614"/>
      <c r="O36" s="614"/>
      <c r="P36" s="529">
        <v>19</v>
      </c>
      <c r="Q36" s="533">
        <v>1340.8085106382973</v>
      </c>
      <c r="R36" s="533">
        <v>70.568868980963018</v>
      </c>
      <c r="S36" s="529">
        <f t="shared" si="22"/>
        <v>9</v>
      </c>
      <c r="T36" s="624"/>
      <c r="U36" s="529">
        <v>19</v>
      </c>
      <c r="V36" s="533">
        <v>1340.1459854014599</v>
      </c>
      <c r="W36" s="533">
        <v>70.533999231655784</v>
      </c>
      <c r="X36" s="529">
        <f t="shared" si="24"/>
        <v>9</v>
      </c>
      <c r="Y36" s="624"/>
      <c r="Z36" s="529">
        <v>19</v>
      </c>
      <c r="AA36" s="533">
        <v>1365.0491803278685</v>
      </c>
      <c r="AB36" s="533">
        <v>71.844693701466767</v>
      </c>
      <c r="AC36" s="529">
        <f t="shared" si="26"/>
        <v>7</v>
      </c>
      <c r="AD36" s="624"/>
      <c r="AE36" s="529">
        <v>19</v>
      </c>
      <c r="AF36" s="533">
        <v>1346.8090909090909</v>
      </c>
      <c r="AG36" s="533">
        <v>70.884688995215313</v>
      </c>
      <c r="AH36" s="529">
        <f t="shared" si="28"/>
        <v>9</v>
      </c>
      <c r="AI36" s="624"/>
      <c r="AJ36" s="529">
        <v>19</v>
      </c>
      <c r="AK36" s="533">
        <v>1372.6890756302525</v>
      </c>
      <c r="AL36" s="533">
        <v>72.24679345422382</v>
      </c>
      <c r="AM36" s="529">
        <f t="shared" si="30"/>
        <v>6</v>
      </c>
      <c r="AN36" s="624"/>
      <c r="AO36" s="529">
        <v>19</v>
      </c>
      <c r="AP36" s="533">
        <v>1259.1483870967743</v>
      </c>
      <c r="AQ36" s="533">
        <v>66.270967741935493</v>
      </c>
      <c r="AR36" s="529">
        <f t="shared" si="32"/>
        <v>9</v>
      </c>
      <c r="AS36" s="624"/>
      <c r="AT36" s="529">
        <v>19</v>
      </c>
      <c r="AU36" s="533">
        <v>1267.9148936170209</v>
      </c>
      <c r="AV36" s="533">
        <v>66.73236282194847</v>
      </c>
      <c r="AW36" s="529">
        <f t="shared" si="34"/>
        <v>10</v>
      </c>
      <c r="AX36" s="624"/>
      <c r="AZ36" s="524" t="e">
        <f t="shared" si="36"/>
        <v>#N/A</v>
      </c>
      <c r="BA36" s="624"/>
    </row>
    <row r="37" spans="2:53">
      <c r="B37" s="622"/>
      <c r="C37" s="318">
        <v>11</v>
      </c>
      <c r="D37" s="226" t="s">
        <v>828</v>
      </c>
      <c r="E37" s="182">
        <v>19</v>
      </c>
      <c r="F37" s="514">
        <v>1440</v>
      </c>
      <c r="G37" s="515">
        <v>75.8</v>
      </c>
      <c r="H37" s="664"/>
      <c r="I37" s="516">
        <f t="shared" si="19"/>
        <v>18</v>
      </c>
      <c r="J37" s="516">
        <f t="shared" si="20"/>
        <v>1274.2167552735384</v>
      </c>
      <c r="K37" s="200">
        <f t="shared" si="21"/>
        <v>70.789819737418796</v>
      </c>
      <c r="L37" s="596"/>
      <c r="M37" s="201">
        <f>RANK(K37, K$27:$K$41)</f>
        <v>7</v>
      </c>
      <c r="N37" s="614"/>
      <c r="O37" s="614"/>
      <c r="P37" s="529">
        <v>18</v>
      </c>
      <c r="Q37" s="533">
        <v>1288.4999999999995</v>
      </c>
      <c r="R37" s="533">
        <v>71.583333333333314</v>
      </c>
      <c r="S37" s="529">
        <f t="shared" si="22"/>
        <v>7</v>
      </c>
      <c r="T37" s="624"/>
      <c r="U37" s="529">
        <v>18</v>
      </c>
      <c r="V37" s="533">
        <v>1288</v>
      </c>
      <c r="W37" s="533">
        <v>71.555555555555557</v>
      </c>
      <c r="X37" s="529">
        <f t="shared" si="24"/>
        <v>7</v>
      </c>
      <c r="Y37" s="624"/>
      <c r="Z37" s="529">
        <v>18</v>
      </c>
      <c r="AA37" s="533">
        <v>1281.1764705882358</v>
      </c>
      <c r="AB37" s="533">
        <v>71.176470588235318</v>
      </c>
      <c r="AC37" s="529">
        <f t="shared" si="26"/>
        <v>8</v>
      </c>
      <c r="AD37" s="624"/>
      <c r="AE37" s="529">
        <v>18</v>
      </c>
      <c r="AF37" s="533">
        <v>1294.8000000000004</v>
      </c>
      <c r="AG37" s="533">
        <v>71.933333333333351</v>
      </c>
      <c r="AH37" s="529">
        <f t="shared" si="28"/>
        <v>8</v>
      </c>
      <c r="AI37" s="624"/>
      <c r="AJ37" s="529">
        <v>18</v>
      </c>
      <c r="AK37" s="533">
        <v>1282.0408163265308</v>
      </c>
      <c r="AL37" s="533">
        <v>71.224489795918373</v>
      </c>
      <c r="AM37" s="529">
        <f t="shared" si="30"/>
        <v>8</v>
      </c>
      <c r="AN37" s="624"/>
      <c r="AO37" s="529">
        <v>18</v>
      </c>
      <c r="AP37" s="533">
        <v>1200.0000000000009</v>
      </c>
      <c r="AQ37" s="533">
        <v>66.666666666666714</v>
      </c>
      <c r="AR37" s="529">
        <f t="shared" si="32"/>
        <v>8</v>
      </c>
      <c r="AS37" s="624"/>
      <c r="AT37" s="529">
        <v>18</v>
      </c>
      <c r="AU37" s="533">
        <v>1285.0000000000002</v>
      </c>
      <c r="AV37" s="533">
        <v>71.3888888888889</v>
      </c>
      <c r="AW37" s="529">
        <f t="shared" si="34"/>
        <v>6</v>
      </c>
      <c r="AX37" s="624"/>
      <c r="AZ37" s="524" t="e">
        <f t="shared" si="36"/>
        <v>#N/A</v>
      </c>
      <c r="BA37" s="624"/>
    </row>
    <row r="38" spans="2:53">
      <c r="B38" s="622"/>
      <c r="C38" s="318">
        <v>12</v>
      </c>
      <c r="D38" s="226"/>
      <c r="E38" s="182"/>
      <c r="F38" s="514"/>
      <c r="G38" s="515"/>
      <c r="H38" s="664"/>
      <c r="I38" s="516" t="str">
        <f t="shared" si="19"/>
        <v>-</v>
      </c>
      <c r="J38" s="516" t="str">
        <f t="shared" si="20"/>
        <v>-</v>
      </c>
      <c r="K38" s="200" t="str">
        <f t="shared" si="21"/>
        <v>-</v>
      </c>
      <c r="L38" s="596"/>
      <c r="M38" s="201" t="e">
        <f>RANK(K38, K$27:$K$41)</f>
        <v>#VALUE!</v>
      </c>
      <c r="N38" s="614"/>
      <c r="O38" s="614"/>
      <c r="P38" s="533"/>
      <c r="Q38" s="533"/>
      <c r="R38" s="533"/>
      <c r="S38" s="529" t="e">
        <f t="shared" si="22"/>
        <v>#N/A</v>
      </c>
      <c r="T38" s="624"/>
      <c r="U38" s="533"/>
      <c r="V38" s="533"/>
      <c r="W38" s="533"/>
      <c r="X38" s="529" t="e">
        <f t="shared" si="24"/>
        <v>#N/A</v>
      </c>
      <c r="Y38" s="624"/>
      <c r="Z38" s="533"/>
      <c r="AA38" s="533"/>
      <c r="AB38" s="533"/>
      <c r="AC38" s="529" t="e">
        <f t="shared" si="26"/>
        <v>#N/A</v>
      </c>
      <c r="AD38" s="624"/>
      <c r="AE38" s="533"/>
      <c r="AF38" s="533"/>
      <c r="AG38" s="533"/>
      <c r="AH38" s="529" t="e">
        <f t="shared" si="28"/>
        <v>#N/A</v>
      </c>
      <c r="AI38" s="624"/>
      <c r="AJ38" s="533"/>
      <c r="AK38" s="533"/>
      <c r="AL38" s="533"/>
      <c r="AM38" s="529" t="e">
        <f t="shared" si="30"/>
        <v>#N/A</v>
      </c>
      <c r="AN38" s="624"/>
      <c r="AO38" s="533"/>
      <c r="AP38" s="533"/>
      <c r="AQ38" s="533"/>
      <c r="AR38" s="529" t="e">
        <f t="shared" si="32"/>
        <v>#N/A</v>
      </c>
      <c r="AS38" s="624"/>
      <c r="AT38" s="533"/>
      <c r="AU38" s="533"/>
      <c r="AV38" s="533"/>
      <c r="AW38" s="529" t="e">
        <f t="shared" si="34"/>
        <v>#N/A</v>
      </c>
      <c r="AX38" s="624"/>
      <c r="AZ38" s="524" t="e">
        <f t="shared" si="36"/>
        <v>#N/A</v>
      </c>
      <c r="BA38" s="624"/>
    </row>
    <row r="39" spans="2:53">
      <c r="B39" s="622"/>
      <c r="C39" s="318">
        <v>13</v>
      </c>
      <c r="D39" s="226"/>
      <c r="E39" s="182"/>
      <c r="F39" s="514"/>
      <c r="G39" s="515"/>
      <c r="H39" s="664"/>
      <c r="I39" s="516" t="str">
        <f t="shared" si="19"/>
        <v>-</v>
      </c>
      <c r="J39" s="516" t="str">
        <f t="shared" si="20"/>
        <v>-</v>
      </c>
      <c r="K39" s="200" t="str">
        <f t="shared" si="21"/>
        <v>-</v>
      </c>
      <c r="L39" s="596"/>
      <c r="M39" s="201" t="e">
        <f>RANK(K39, K$27:$K$41)</f>
        <v>#VALUE!</v>
      </c>
      <c r="N39" s="614"/>
      <c r="O39" s="614"/>
      <c r="P39" s="533"/>
      <c r="Q39" s="533"/>
      <c r="R39" s="533"/>
      <c r="S39" s="529" t="e">
        <f t="shared" si="22"/>
        <v>#N/A</v>
      </c>
      <c r="T39" s="624"/>
      <c r="U39" s="533"/>
      <c r="V39" s="533"/>
      <c r="W39" s="533"/>
      <c r="X39" s="529" t="e">
        <f t="shared" si="24"/>
        <v>#N/A</v>
      </c>
      <c r="Y39" s="624"/>
      <c r="Z39" s="533"/>
      <c r="AA39" s="533"/>
      <c r="AB39" s="533"/>
      <c r="AC39" s="529" t="e">
        <f t="shared" si="26"/>
        <v>#N/A</v>
      </c>
      <c r="AD39" s="624"/>
      <c r="AE39" s="533"/>
      <c r="AF39" s="533"/>
      <c r="AG39" s="533"/>
      <c r="AH39" s="529" t="e">
        <f t="shared" si="28"/>
        <v>#N/A</v>
      </c>
      <c r="AI39" s="624"/>
      <c r="AJ39" s="533"/>
      <c r="AK39" s="533"/>
      <c r="AL39" s="533"/>
      <c r="AM39" s="529" t="e">
        <f t="shared" si="30"/>
        <v>#N/A</v>
      </c>
      <c r="AN39" s="624"/>
      <c r="AO39" s="533"/>
      <c r="AP39" s="533"/>
      <c r="AQ39" s="533"/>
      <c r="AR39" s="529" t="e">
        <f t="shared" si="32"/>
        <v>#N/A</v>
      </c>
      <c r="AS39" s="624"/>
      <c r="AT39" s="533"/>
      <c r="AU39" s="533"/>
      <c r="AV39" s="533"/>
      <c r="AW39" s="529" t="e">
        <f t="shared" si="34"/>
        <v>#N/A</v>
      </c>
      <c r="AX39" s="624"/>
      <c r="AZ39" s="524" t="e">
        <f t="shared" si="36"/>
        <v>#N/A</v>
      </c>
      <c r="BA39" s="624"/>
    </row>
    <row r="40" spans="2:53">
      <c r="B40" s="622"/>
      <c r="C40" s="318">
        <v>14</v>
      </c>
      <c r="D40" s="226"/>
      <c r="E40" s="182"/>
      <c r="F40" s="514"/>
      <c r="G40" s="515"/>
      <c r="H40" s="664"/>
      <c r="I40" s="516" t="str">
        <f t="shared" si="19"/>
        <v>-</v>
      </c>
      <c r="J40" s="516" t="str">
        <f t="shared" si="20"/>
        <v>-</v>
      </c>
      <c r="K40" s="200" t="str">
        <f t="shared" si="21"/>
        <v>-</v>
      </c>
      <c r="L40" s="596"/>
      <c r="M40" s="201" t="e">
        <f>RANK(K40, K$27:$K$41)</f>
        <v>#VALUE!</v>
      </c>
      <c r="N40" s="614"/>
      <c r="O40" s="614"/>
      <c r="P40" s="533"/>
      <c r="Q40" s="533"/>
      <c r="R40" s="533"/>
      <c r="S40" s="529" t="e">
        <f t="shared" si="22"/>
        <v>#N/A</v>
      </c>
      <c r="T40" s="624"/>
      <c r="U40" s="533"/>
      <c r="V40" s="533"/>
      <c r="W40" s="533"/>
      <c r="X40" s="529" t="e">
        <f t="shared" si="24"/>
        <v>#N/A</v>
      </c>
      <c r="Y40" s="624"/>
      <c r="Z40" s="533"/>
      <c r="AA40" s="533"/>
      <c r="AB40" s="533"/>
      <c r="AC40" s="529" t="e">
        <f t="shared" si="26"/>
        <v>#N/A</v>
      </c>
      <c r="AD40" s="624"/>
      <c r="AE40" s="533"/>
      <c r="AF40" s="533"/>
      <c r="AG40" s="533"/>
      <c r="AH40" s="529" t="e">
        <f t="shared" si="28"/>
        <v>#N/A</v>
      </c>
      <c r="AI40" s="624"/>
      <c r="AJ40" s="533"/>
      <c r="AK40" s="533"/>
      <c r="AL40" s="533"/>
      <c r="AM40" s="529" t="e">
        <f t="shared" si="30"/>
        <v>#N/A</v>
      </c>
      <c r="AN40" s="624"/>
      <c r="AO40" s="533"/>
      <c r="AP40" s="533"/>
      <c r="AQ40" s="533"/>
      <c r="AR40" s="529" t="e">
        <f t="shared" si="32"/>
        <v>#N/A</v>
      </c>
      <c r="AS40" s="624"/>
      <c r="AT40" s="533"/>
      <c r="AU40" s="533"/>
      <c r="AV40" s="533"/>
      <c r="AW40" s="529" t="e">
        <f t="shared" si="34"/>
        <v>#N/A</v>
      </c>
      <c r="AX40" s="624"/>
      <c r="AZ40" s="524" t="e">
        <f t="shared" si="36"/>
        <v>#N/A</v>
      </c>
      <c r="BA40" s="624"/>
    </row>
    <row r="41" spans="2:53">
      <c r="B41" s="622"/>
      <c r="C41" s="318">
        <v>15</v>
      </c>
      <c r="D41" s="226"/>
      <c r="E41" s="182"/>
      <c r="F41" s="514"/>
      <c r="G41" s="515"/>
      <c r="H41" s="665"/>
      <c r="I41" s="202"/>
      <c r="J41" s="202"/>
      <c r="K41" s="202"/>
      <c r="L41" s="597"/>
      <c r="M41" s="199" t="e">
        <f>RANK(K41, K$27:$K$41)</f>
        <v>#N/A</v>
      </c>
      <c r="N41" s="614"/>
      <c r="O41" s="614"/>
      <c r="P41" s="533"/>
      <c r="Q41" s="533"/>
      <c r="R41" s="533"/>
      <c r="S41" s="529" t="e">
        <f t="shared" si="22"/>
        <v>#N/A</v>
      </c>
      <c r="T41" s="625"/>
      <c r="U41" s="533"/>
      <c r="V41" s="533"/>
      <c r="W41" s="533"/>
      <c r="X41" s="529" t="e">
        <f t="shared" si="24"/>
        <v>#N/A</v>
      </c>
      <c r="Y41" s="625"/>
      <c r="Z41" s="533"/>
      <c r="AA41" s="533"/>
      <c r="AB41" s="533"/>
      <c r="AC41" s="529" t="e">
        <f t="shared" si="26"/>
        <v>#N/A</v>
      </c>
      <c r="AD41" s="625"/>
      <c r="AE41" s="533"/>
      <c r="AF41" s="533"/>
      <c r="AG41" s="533"/>
      <c r="AH41" s="529" t="e">
        <f t="shared" si="28"/>
        <v>#N/A</v>
      </c>
      <c r="AI41" s="625"/>
      <c r="AJ41" s="533"/>
      <c r="AK41" s="533"/>
      <c r="AL41" s="533"/>
      <c r="AM41" s="529" t="e">
        <f t="shared" si="30"/>
        <v>#N/A</v>
      </c>
      <c r="AN41" s="625"/>
      <c r="AO41" s="533"/>
      <c r="AP41" s="533"/>
      <c r="AQ41" s="533"/>
      <c r="AR41" s="529" t="e">
        <f t="shared" si="32"/>
        <v>#N/A</v>
      </c>
      <c r="AS41" s="625"/>
      <c r="AT41" s="533"/>
      <c r="AU41" s="533"/>
      <c r="AV41" s="533"/>
      <c r="AW41" s="529" t="e">
        <f t="shared" si="34"/>
        <v>#N/A</v>
      </c>
      <c r="AX41" s="625"/>
      <c r="AZ41" s="524" t="e">
        <f t="shared" si="36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531</v>
      </c>
      <c r="C44" s="614" t="s">
        <v>532</v>
      </c>
      <c r="D44" s="614"/>
      <c r="E44" s="614" t="s">
        <v>533</v>
      </c>
      <c r="F44" s="614"/>
      <c r="G44" s="614"/>
      <c r="H44" s="630" t="s">
        <v>534</v>
      </c>
      <c r="I44" s="598" t="s">
        <v>535</v>
      </c>
      <c r="J44" s="598"/>
      <c r="K44" s="598"/>
      <c r="L44" s="599" t="s">
        <v>534</v>
      </c>
      <c r="M44" s="605" t="s">
        <v>536</v>
      </c>
      <c r="N44" s="614"/>
      <c r="O44" s="614" t="s">
        <v>537</v>
      </c>
      <c r="P44" s="611" t="s">
        <v>758</v>
      </c>
      <c r="Q44" s="612"/>
      <c r="R44" s="612"/>
      <c r="S44" s="613"/>
      <c r="T44" s="614" t="s">
        <v>759</v>
      </c>
      <c r="U44" s="611" t="s">
        <v>758</v>
      </c>
      <c r="V44" s="612"/>
      <c r="W44" s="612"/>
      <c r="X44" s="613"/>
      <c r="Y44" s="614" t="s">
        <v>759</v>
      </c>
      <c r="Z44" s="611" t="s">
        <v>758</v>
      </c>
      <c r="AA44" s="612"/>
      <c r="AB44" s="612"/>
      <c r="AC44" s="613"/>
      <c r="AD44" s="614" t="s">
        <v>759</v>
      </c>
      <c r="AE44" s="611" t="s">
        <v>758</v>
      </c>
      <c r="AF44" s="612"/>
      <c r="AG44" s="612"/>
      <c r="AH44" s="613"/>
      <c r="AI44" s="614" t="s">
        <v>759</v>
      </c>
      <c r="AJ44" s="611" t="s">
        <v>758</v>
      </c>
      <c r="AK44" s="612"/>
      <c r="AL44" s="612"/>
      <c r="AM44" s="613"/>
      <c r="AN44" s="614" t="s">
        <v>759</v>
      </c>
      <c r="AO44" s="611" t="s">
        <v>758</v>
      </c>
      <c r="AP44" s="612"/>
      <c r="AQ44" s="612"/>
      <c r="AR44" s="613"/>
      <c r="AS44" s="614" t="s">
        <v>759</v>
      </c>
      <c r="AT44" s="611" t="s">
        <v>758</v>
      </c>
      <c r="AU44" s="612"/>
      <c r="AV44" s="612"/>
      <c r="AW44" s="613"/>
      <c r="AX44" s="614" t="s">
        <v>759</v>
      </c>
      <c r="BA44" s="614" t="s">
        <v>395</v>
      </c>
    </row>
    <row r="45" spans="2:53">
      <c r="B45" s="614"/>
      <c r="C45" s="614"/>
      <c r="D45" s="614"/>
      <c r="E45" s="614" t="s">
        <v>539</v>
      </c>
      <c r="F45" s="614"/>
      <c r="G45" s="614"/>
      <c r="H45" s="631"/>
      <c r="I45" s="598" t="s">
        <v>539</v>
      </c>
      <c r="J45" s="598"/>
      <c r="K45" s="598"/>
      <c r="L45" s="600"/>
      <c r="M45" s="606"/>
      <c r="N45" s="614"/>
      <c r="O45" s="614"/>
      <c r="P45" s="611" t="s">
        <v>760</v>
      </c>
      <c r="Q45" s="612"/>
      <c r="R45" s="612"/>
      <c r="S45" s="613"/>
      <c r="T45" s="614"/>
      <c r="U45" s="611" t="s">
        <v>760</v>
      </c>
      <c r="V45" s="612"/>
      <c r="W45" s="612"/>
      <c r="X45" s="613"/>
      <c r="Y45" s="614"/>
      <c r="Z45" s="611" t="s">
        <v>760</v>
      </c>
      <c r="AA45" s="612"/>
      <c r="AB45" s="612"/>
      <c r="AC45" s="613"/>
      <c r="AD45" s="614"/>
      <c r="AE45" s="611" t="s">
        <v>760</v>
      </c>
      <c r="AF45" s="612"/>
      <c r="AG45" s="612"/>
      <c r="AH45" s="613"/>
      <c r="AI45" s="614"/>
      <c r="AJ45" s="611" t="s">
        <v>760</v>
      </c>
      <c r="AK45" s="612"/>
      <c r="AL45" s="612"/>
      <c r="AM45" s="613"/>
      <c r="AN45" s="614"/>
      <c r="AO45" s="611" t="s">
        <v>760</v>
      </c>
      <c r="AP45" s="612"/>
      <c r="AQ45" s="612"/>
      <c r="AR45" s="613"/>
      <c r="AS45" s="614"/>
      <c r="AT45" s="611" t="s">
        <v>760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20" t="s">
        <v>541</v>
      </c>
      <c r="F46" s="320" t="s">
        <v>542</v>
      </c>
      <c r="G46" s="320" t="s">
        <v>543</v>
      </c>
      <c r="H46" s="632"/>
      <c r="I46" s="319" t="s">
        <v>541</v>
      </c>
      <c r="J46" s="319" t="s">
        <v>542</v>
      </c>
      <c r="K46" s="319" t="s">
        <v>543</v>
      </c>
      <c r="L46" s="601"/>
      <c r="M46" s="607"/>
      <c r="N46" s="614"/>
      <c r="O46" s="614"/>
      <c r="P46" s="485" t="s">
        <v>761</v>
      </c>
      <c r="Q46" s="485" t="s">
        <v>762</v>
      </c>
      <c r="R46" s="485" t="s">
        <v>763</v>
      </c>
      <c r="S46" s="485" t="s">
        <v>764</v>
      </c>
      <c r="T46" s="614"/>
      <c r="U46" s="485" t="s">
        <v>761</v>
      </c>
      <c r="V46" s="485" t="s">
        <v>762</v>
      </c>
      <c r="W46" s="485" t="s">
        <v>763</v>
      </c>
      <c r="X46" s="485" t="s">
        <v>764</v>
      </c>
      <c r="Y46" s="614"/>
      <c r="Z46" s="485" t="s">
        <v>761</v>
      </c>
      <c r="AA46" s="485" t="s">
        <v>762</v>
      </c>
      <c r="AB46" s="485" t="s">
        <v>763</v>
      </c>
      <c r="AC46" s="485" t="s">
        <v>764</v>
      </c>
      <c r="AD46" s="614"/>
      <c r="AE46" s="485" t="s">
        <v>761</v>
      </c>
      <c r="AF46" s="485" t="s">
        <v>762</v>
      </c>
      <c r="AG46" s="485" t="s">
        <v>763</v>
      </c>
      <c r="AH46" s="485" t="s">
        <v>764</v>
      </c>
      <c r="AI46" s="614"/>
      <c r="AJ46" s="485" t="s">
        <v>761</v>
      </c>
      <c r="AK46" s="485" t="s">
        <v>762</v>
      </c>
      <c r="AL46" s="485" t="s">
        <v>763</v>
      </c>
      <c r="AM46" s="485" t="s">
        <v>764</v>
      </c>
      <c r="AN46" s="614"/>
      <c r="AO46" s="485" t="s">
        <v>761</v>
      </c>
      <c r="AP46" s="485" t="s">
        <v>762</v>
      </c>
      <c r="AQ46" s="485" t="s">
        <v>763</v>
      </c>
      <c r="AR46" s="485" t="s">
        <v>764</v>
      </c>
      <c r="AS46" s="614"/>
      <c r="AT46" s="485" t="s">
        <v>761</v>
      </c>
      <c r="AU46" s="485" t="s">
        <v>762</v>
      </c>
      <c r="AV46" s="485" t="s">
        <v>763</v>
      </c>
      <c r="AW46" s="485" t="s">
        <v>764</v>
      </c>
      <c r="AX46" s="614"/>
      <c r="AZ46" s="523" t="s">
        <v>764</v>
      </c>
      <c r="BA46" s="614"/>
    </row>
    <row r="47" spans="2:53">
      <c r="B47" s="614" t="s">
        <v>545</v>
      </c>
      <c r="C47" s="321">
        <v>1</v>
      </c>
      <c r="D47" s="226"/>
      <c r="E47" s="182"/>
      <c r="F47" s="514"/>
      <c r="G47" s="515"/>
      <c r="H47" s="663" t="e">
        <f>AVERAGE(G47:G61)</f>
        <v>#DIV/0!</v>
      </c>
      <c r="I47" s="516" t="str">
        <f t="shared" ref="I47:I60" si="38">IFERROR(AVERAGE(P47,U47,Z47,AE47,AJ47,AO47,AT47),"-")</f>
        <v>-</v>
      </c>
      <c r="J47" s="516" t="str">
        <f t="shared" ref="J47:J60" si="39">IFERROR(AVERAGE(Q47,V47,AA47,AF47,AK47,AP47,AU47),"-")</f>
        <v>-</v>
      </c>
      <c r="K47" s="200" t="str">
        <f t="shared" ref="K47:K60" si="40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182"/>
      <c r="Q47" s="515"/>
      <c r="R47" s="515"/>
      <c r="S47" s="514" t="e">
        <f>RANK(R47, R$47:R$61)</f>
        <v>#N/A</v>
      </c>
      <c r="T47" s="623" t="e">
        <f>AVERAGE(R47:R61)</f>
        <v>#DIV/0!</v>
      </c>
      <c r="U47" s="182"/>
      <c r="V47" s="515"/>
      <c r="W47" s="515"/>
      <c r="X47" s="514" t="e">
        <f t="shared" ref="X47:X61" si="41">RANK(W47, W$47:W$61)</f>
        <v>#N/A</v>
      </c>
      <c r="Y47" s="623" t="e">
        <f t="shared" ref="Y47" si="42">AVERAGE(W47:W61)</f>
        <v>#DIV/0!</v>
      </c>
      <c r="Z47" s="182"/>
      <c r="AA47" s="515"/>
      <c r="AB47" s="515"/>
      <c r="AC47" s="514" t="e">
        <f t="shared" ref="AC47:AC61" si="43">RANK(AB47, AB$47:AB$61)</f>
        <v>#N/A</v>
      </c>
      <c r="AD47" s="623" t="e">
        <f t="shared" ref="AD47" si="44">AVERAGE(AB47:AB61)</f>
        <v>#DIV/0!</v>
      </c>
      <c r="AE47" s="182"/>
      <c r="AF47" s="515"/>
      <c r="AG47" s="515"/>
      <c r="AH47" s="514" t="e">
        <f t="shared" ref="AH47:AH61" si="45">RANK(AG47, AG$47:AG$61)</f>
        <v>#N/A</v>
      </c>
      <c r="AI47" s="623" t="e">
        <f t="shared" ref="AI47" si="46">AVERAGE(AG47:AG61)</f>
        <v>#DIV/0!</v>
      </c>
      <c r="AJ47" s="182"/>
      <c r="AK47" s="515"/>
      <c r="AL47" s="515"/>
      <c r="AM47" s="514" t="e">
        <f t="shared" ref="AM47:AM61" si="47">RANK(AL47, AL$47:AL$61)</f>
        <v>#N/A</v>
      </c>
      <c r="AN47" s="623" t="e">
        <f t="shared" ref="AN47" si="48">AVERAGE(AL47:AL61)</f>
        <v>#DIV/0!</v>
      </c>
      <c r="AO47" s="182"/>
      <c r="AP47" s="515"/>
      <c r="AQ47" s="515"/>
      <c r="AR47" s="514" t="e">
        <f t="shared" ref="AR47:AR61" si="49">RANK(AQ47, AQ$47:AQ$61)</f>
        <v>#N/A</v>
      </c>
      <c r="AS47" s="623" t="e">
        <f t="shared" ref="AS47" si="50">AVERAGE(AQ47:AQ61)</f>
        <v>#DIV/0!</v>
      </c>
      <c r="AT47" s="182"/>
      <c r="AU47" s="515"/>
      <c r="AV47" s="515"/>
      <c r="AW47" s="514" t="e">
        <f t="shared" ref="AW47:AW61" si="51">RANK(AV47, AV$47:AV$61)</f>
        <v>#N/A</v>
      </c>
      <c r="AX47" s="623" t="e">
        <f t="shared" ref="AX47" si="52">AVERAGE(AV47:AV61)</f>
        <v>#DIV/0!</v>
      </c>
      <c r="AZ47" s="524" t="e">
        <f t="shared" ref="AZ47:AZ61" si="53">RANK(AY47, AY$47:AY$61)</f>
        <v>#N/A</v>
      </c>
      <c r="BA47" s="623" t="e">
        <f t="shared" ref="BA47" si="54">AVERAGE(AY47:AY61)</f>
        <v>#DIV/0!</v>
      </c>
    </row>
    <row r="48" spans="2:53">
      <c r="B48" s="622"/>
      <c r="C48" s="321">
        <v>2</v>
      </c>
      <c r="D48" s="226"/>
      <c r="E48" s="182"/>
      <c r="F48" s="514"/>
      <c r="G48" s="515"/>
      <c r="H48" s="664"/>
      <c r="I48" s="516" t="str">
        <f t="shared" si="38"/>
        <v>-</v>
      </c>
      <c r="J48" s="516" t="str">
        <f t="shared" si="39"/>
        <v>-</v>
      </c>
      <c r="K48" s="200" t="str">
        <f t="shared" si="40"/>
        <v>-</v>
      </c>
      <c r="L48" s="596"/>
      <c r="M48" s="201" t="e">
        <f>RANK(K48, K$47:$K$61)</f>
        <v>#VALUE!</v>
      </c>
      <c r="N48" s="614"/>
      <c r="O48" s="614"/>
      <c r="P48" s="514"/>
      <c r="Q48" s="515"/>
      <c r="R48" s="515"/>
      <c r="S48" s="514" t="e">
        <f t="shared" ref="S48:S61" si="55">RANK(R48, R$47:R$61)</f>
        <v>#N/A</v>
      </c>
      <c r="T48" s="624"/>
      <c r="U48" s="514"/>
      <c r="V48" s="515"/>
      <c r="W48" s="515"/>
      <c r="X48" s="514" t="e">
        <f t="shared" si="41"/>
        <v>#N/A</v>
      </c>
      <c r="Y48" s="624"/>
      <c r="Z48" s="514"/>
      <c r="AA48" s="515"/>
      <c r="AB48" s="515"/>
      <c r="AC48" s="514" t="e">
        <f t="shared" si="43"/>
        <v>#N/A</v>
      </c>
      <c r="AD48" s="624"/>
      <c r="AE48" s="514"/>
      <c r="AF48" s="515"/>
      <c r="AG48" s="515"/>
      <c r="AH48" s="514" t="e">
        <f t="shared" si="45"/>
        <v>#N/A</v>
      </c>
      <c r="AI48" s="624"/>
      <c r="AJ48" s="514"/>
      <c r="AK48" s="515"/>
      <c r="AL48" s="515"/>
      <c r="AM48" s="514" t="e">
        <f t="shared" si="47"/>
        <v>#N/A</v>
      </c>
      <c r="AN48" s="624"/>
      <c r="AO48" s="514"/>
      <c r="AP48" s="515"/>
      <c r="AQ48" s="515"/>
      <c r="AR48" s="514" t="e">
        <f t="shared" si="49"/>
        <v>#N/A</v>
      </c>
      <c r="AS48" s="624"/>
      <c r="AT48" s="514"/>
      <c r="AU48" s="515"/>
      <c r="AV48" s="515"/>
      <c r="AW48" s="514" t="e">
        <f t="shared" si="51"/>
        <v>#N/A</v>
      </c>
      <c r="AX48" s="624"/>
      <c r="AZ48" s="524" t="e">
        <f t="shared" si="53"/>
        <v>#N/A</v>
      </c>
      <c r="BA48" s="624"/>
    </row>
    <row r="49" spans="2:53">
      <c r="B49" s="622"/>
      <c r="C49" s="321">
        <v>3</v>
      </c>
      <c r="D49" s="226"/>
      <c r="E49" s="182"/>
      <c r="F49" s="514"/>
      <c r="G49" s="515"/>
      <c r="H49" s="664"/>
      <c r="I49" s="516" t="str">
        <f t="shared" si="38"/>
        <v>-</v>
      </c>
      <c r="J49" s="516" t="str">
        <f t="shared" si="39"/>
        <v>-</v>
      </c>
      <c r="K49" s="200" t="str">
        <f t="shared" si="40"/>
        <v>-</v>
      </c>
      <c r="L49" s="596"/>
      <c r="M49" s="201" t="e">
        <f>RANK(K49, K$47:$K$61)</f>
        <v>#VALUE!</v>
      </c>
      <c r="N49" s="614"/>
      <c r="O49" s="614"/>
      <c r="P49" s="514"/>
      <c r="Q49" s="515"/>
      <c r="R49" s="515"/>
      <c r="S49" s="514" t="e">
        <f t="shared" si="55"/>
        <v>#N/A</v>
      </c>
      <c r="T49" s="624"/>
      <c r="U49" s="514"/>
      <c r="V49" s="515"/>
      <c r="W49" s="515"/>
      <c r="X49" s="514" t="e">
        <f t="shared" si="41"/>
        <v>#N/A</v>
      </c>
      <c r="Y49" s="624"/>
      <c r="Z49" s="514"/>
      <c r="AA49" s="515"/>
      <c r="AB49" s="515"/>
      <c r="AC49" s="514" t="e">
        <f t="shared" si="43"/>
        <v>#N/A</v>
      </c>
      <c r="AD49" s="624"/>
      <c r="AE49" s="514"/>
      <c r="AF49" s="515"/>
      <c r="AG49" s="515"/>
      <c r="AH49" s="514" t="e">
        <f t="shared" si="45"/>
        <v>#N/A</v>
      </c>
      <c r="AI49" s="624"/>
      <c r="AJ49" s="514"/>
      <c r="AK49" s="515"/>
      <c r="AL49" s="515"/>
      <c r="AM49" s="514" t="e">
        <f t="shared" si="47"/>
        <v>#N/A</v>
      </c>
      <c r="AN49" s="624"/>
      <c r="AO49" s="514"/>
      <c r="AP49" s="515"/>
      <c r="AQ49" s="515"/>
      <c r="AR49" s="514" t="e">
        <f t="shared" si="49"/>
        <v>#N/A</v>
      </c>
      <c r="AS49" s="624"/>
      <c r="AT49" s="514"/>
      <c r="AU49" s="515"/>
      <c r="AV49" s="515"/>
      <c r="AW49" s="514" t="e">
        <f t="shared" si="51"/>
        <v>#N/A</v>
      </c>
      <c r="AX49" s="624"/>
      <c r="AZ49" s="524" t="e">
        <f t="shared" si="53"/>
        <v>#N/A</v>
      </c>
      <c r="BA49" s="624"/>
    </row>
    <row r="50" spans="2:53">
      <c r="B50" s="622"/>
      <c r="C50" s="321">
        <v>4</v>
      </c>
      <c r="D50" s="226"/>
      <c r="E50" s="182"/>
      <c r="F50" s="514"/>
      <c r="G50" s="515"/>
      <c r="H50" s="664"/>
      <c r="I50" s="516" t="str">
        <f t="shared" si="38"/>
        <v>-</v>
      </c>
      <c r="J50" s="516" t="str">
        <f t="shared" si="39"/>
        <v>-</v>
      </c>
      <c r="K50" s="200" t="str">
        <f t="shared" si="40"/>
        <v>-</v>
      </c>
      <c r="L50" s="596"/>
      <c r="M50" s="201" t="e">
        <f>RANK(K50, K$47:$K$61)</f>
        <v>#VALUE!</v>
      </c>
      <c r="N50" s="614"/>
      <c r="O50" s="614"/>
      <c r="P50" s="514"/>
      <c r="Q50" s="515"/>
      <c r="R50" s="515"/>
      <c r="S50" s="514" t="e">
        <f t="shared" si="55"/>
        <v>#N/A</v>
      </c>
      <c r="T50" s="624"/>
      <c r="U50" s="514"/>
      <c r="V50" s="515"/>
      <c r="W50" s="515"/>
      <c r="X50" s="514" t="e">
        <f t="shared" si="41"/>
        <v>#N/A</v>
      </c>
      <c r="Y50" s="624"/>
      <c r="Z50" s="514"/>
      <c r="AA50" s="515"/>
      <c r="AB50" s="515"/>
      <c r="AC50" s="514" t="e">
        <f t="shared" si="43"/>
        <v>#N/A</v>
      </c>
      <c r="AD50" s="624"/>
      <c r="AE50" s="514"/>
      <c r="AF50" s="515"/>
      <c r="AG50" s="515"/>
      <c r="AH50" s="514" t="e">
        <f t="shared" si="45"/>
        <v>#N/A</v>
      </c>
      <c r="AI50" s="624"/>
      <c r="AJ50" s="514"/>
      <c r="AK50" s="515"/>
      <c r="AL50" s="515"/>
      <c r="AM50" s="514" t="e">
        <f t="shared" si="47"/>
        <v>#N/A</v>
      </c>
      <c r="AN50" s="624"/>
      <c r="AO50" s="514"/>
      <c r="AP50" s="515"/>
      <c r="AQ50" s="515"/>
      <c r="AR50" s="514" t="e">
        <f t="shared" si="49"/>
        <v>#N/A</v>
      </c>
      <c r="AS50" s="624"/>
      <c r="AT50" s="514"/>
      <c r="AU50" s="515"/>
      <c r="AV50" s="515"/>
      <c r="AW50" s="514" t="e">
        <f t="shared" si="51"/>
        <v>#N/A</v>
      </c>
      <c r="AX50" s="624"/>
      <c r="AZ50" s="524" t="e">
        <f t="shared" si="53"/>
        <v>#N/A</v>
      </c>
      <c r="BA50" s="624"/>
    </row>
    <row r="51" spans="2:53">
      <c r="B51" s="622"/>
      <c r="C51" s="321">
        <v>5</v>
      </c>
      <c r="D51" s="226"/>
      <c r="E51" s="182"/>
      <c r="F51" s="514"/>
      <c r="G51" s="515"/>
      <c r="H51" s="664"/>
      <c r="I51" s="516" t="str">
        <f t="shared" si="38"/>
        <v>-</v>
      </c>
      <c r="J51" s="516" t="str">
        <f t="shared" si="39"/>
        <v>-</v>
      </c>
      <c r="K51" s="200" t="str">
        <f t="shared" si="40"/>
        <v>-</v>
      </c>
      <c r="L51" s="596"/>
      <c r="M51" s="201" t="e">
        <f>RANK(K51, K$47:$K$61)</f>
        <v>#VALUE!</v>
      </c>
      <c r="N51" s="614"/>
      <c r="O51" s="614"/>
      <c r="P51" s="514"/>
      <c r="Q51" s="515"/>
      <c r="R51" s="515"/>
      <c r="S51" s="514" t="e">
        <f t="shared" si="55"/>
        <v>#N/A</v>
      </c>
      <c r="T51" s="624"/>
      <c r="U51" s="514"/>
      <c r="V51" s="515"/>
      <c r="W51" s="515"/>
      <c r="X51" s="514" t="e">
        <f t="shared" si="41"/>
        <v>#N/A</v>
      </c>
      <c r="Y51" s="624"/>
      <c r="Z51" s="514"/>
      <c r="AA51" s="515"/>
      <c r="AB51" s="515"/>
      <c r="AC51" s="514" t="e">
        <f t="shared" si="43"/>
        <v>#N/A</v>
      </c>
      <c r="AD51" s="624"/>
      <c r="AE51" s="514"/>
      <c r="AF51" s="515"/>
      <c r="AG51" s="515"/>
      <c r="AH51" s="514" t="e">
        <f t="shared" si="45"/>
        <v>#N/A</v>
      </c>
      <c r="AI51" s="624"/>
      <c r="AJ51" s="514"/>
      <c r="AK51" s="515"/>
      <c r="AL51" s="515"/>
      <c r="AM51" s="514" t="e">
        <f t="shared" si="47"/>
        <v>#N/A</v>
      </c>
      <c r="AN51" s="624"/>
      <c r="AO51" s="514"/>
      <c r="AP51" s="515"/>
      <c r="AQ51" s="515"/>
      <c r="AR51" s="514" t="e">
        <f t="shared" si="49"/>
        <v>#N/A</v>
      </c>
      <c r="AS51" s="624"/>
      <c r="AT51" s="514"/>
      <c r="AU51" s="515"/>
      <c r="AV51" s="515"/>
      <c r="AW51" s="514" t="e">
        <f t="shared" si="51"/>
        <v>#N/A</v>
      </c>
      <c r="AX51" s="624"/>
      <c r="AZ51" s="524" t="e">
        <f t="shared" si="53"/>
        <v>#N/A</v>
      </c>
      <c r="BA51" s="624"/>
    </row>
    <row r="52" spans="2:53">
      <c r="B52" s="622"/>
      <c r="C52" s="321">
        <v>6</v>
      </c>
      <c r="D52" s="226"/>
      <c r="E52" s="182"/>
      <c r="F52" s="514"/>
      <c r="G52" s="515"/>
      <c r="H52" s="664"/>
      <c r="I52" s="516" t="str">
        <f t="shared" si="38"/>
        <v>-</v>
      </c>
      <c r="J52" s="516" t="str">
        <f t="shared" si="39"/>
        <v>-</v>
      </c>
      <c r="K52" s="200" t="str">
        <f t="shared" si="40"/>
        <v>-</v>
      </c>
      <c r="L52" s="596"/>
      <c r="M52" s="201" t="e">
        <f>RANK(K52, K$47:$K$61)</f>
        <v>#VALUE!</v>
      </c>
      <c r="N52" s="614"/>
      <c r="O52" s="614"/>
      <c r="P52" s="514"/>
      <c r="Q52" s="515"/>
      <c r="R52" s="515"/>
      <c r="S52" s="514" t="e">
        <f t="shared" si="55"/>
        <v>#N/A</v>
      </c>
      <c r="T52" s="624"/>
      <c r="U52" s="514"/>
      <c r="V52" s="515"/>
      <c r="W52" s="515"/>
      <c r="X52" s="514" t="e">
        <f t="shared" si="41"/>
        <v>#N/A</v>
      </c>
      <c r="Y52" s="624"/>
      <c r="Z52" s="514"/>
      <c r="AA52" s="515"/>
      <c r="AB52" s="515"/>
      <c r="AC52" s="514" t="e">
        <f t="shared" si="43"/>
        <v>#N/A</v>
      </c>
      <c r="AD52" s="624"/>
      <c r="AE52" s="514"/>
      <c r="AF52" s="515"/>
      <c r="AG52" s="515"/>
      <c r="AH52" s="514" t="e">
        <f t="shared" si="45"/>
        <v>#N/A</v>
      </c>
      <c r="AI52" s="624"/>
      <c r="AJ52" s="514"/>
      <c r="AK52" s="515"/>
      <c r="AL52" s="515"/>
      <c r="AM52" s="514" t="e">
        <f t="shared" si="47"/>
        <v>#N/A</v>
      </c>
      <c r="AN52" s="624"/>
      <c r="AO52" s="514"/>
      <c r="AP52" s="515"/>
      <c r="AQ52" s="515"/>
      <c r="AR52" s="514" t="e">
        <f t="shared" si="49"/>
        <v>#N/A</v>
      </c>
      <c r="AS52" s="624"/>
      <c r="AT52" s="514"/>
      <c r="AU52" s="515"/>
      <c r="AV52" s="515"/>
      <c r="AW52" s="514" t="e">
        <f t="shared" si="51"/>
        <v>#N/A</v>
      </c>
      <c r="AX52" s="624"/>
      <c r="AZ52" s="524" t="e">
        <f t="shared" si="53"/>
        <v>#N/A</v>
      </c>
      <c r="BA52" s="624"/>
    </row>
    <row r="53" spans="2:53">
      <c r="B53" s="622"/>
      <c r="C53" s="321">
        <v>7</v>
      </c>
      <c r="D53" s="226"/>
      <c r="E53" s="182"/>
      <c r="F53" s="514"/>
      <c r="G53" s="515"/>
      <c r="H53" s="664"/>
      <c r="I53" s="516" t="str">
        <f t="shared" si="38"/>
        <v>-</v>
      </c>
      <c r="J53" s="516" t="str">
        <f t="shared" si="39"/>
        <v>-</v>
      </c>
      <c r="K53" s="200" t="str">
        <f t="shared" si="40"/>
        <v>-</v>
      </c>
      <c r="L53" s="596"/>
      <c r="M53" s="201" t="e">
        <f>RANK(K53, K$47:$K$61)</f>
        <v>#VALUE!</v>
      </c>
      <c r="N53" s="614"/>
      <c r="O53" s="614"/>
      <c r="P53" s="514"/>
      <c r="Q53" s="515"/>
      <c r="R53" s="515"/>
      <c r="S53" s="514" t="e">
        <f t="shared" si="55"/>
        <v>#N/A</v>
      </c>
      <c r="T53" s="624"/>
      <c r="U53" s="514"/>
      <c r="V53" s="515"/>
      <c r="W53" s="515"/>
      <c r="X53" s="514" t="e">
        <f t="shared" si="41"/>
        <v>#N/A</v>
      </c>
      <c r="Y53" s="624"/>
      <c r="Z53" s="514"/>
      <c r="AA53" s="515"/>
      <c r="AB53" s="515"/>
      <c r="AC53" s="514" t="e">
        <f t="shared" si="43"/>
        <v>#N/A</v>
      </c>
      <c r="AD53" s="624"/>
      <c r="AE53" s="514"/>
      <c r="AF53" s="515"/>
      <c r="AG53" s="515"/>
      <c r="AH53" s="514" t="e">
        <f t="shared" si="45"/>
        <v>#N/A</v>
      </c>
      <c r="AI53" s="624"/>
      <c r="AJ53" s="514"/>
      <c r="AK53" s="515"/>
      <c r="AL53" s="515"/>
      <c r="AM53" s="514" t="e">
        <f t="shared" si="47"/>
        <v>#N/A</v>
      </c>
      <c r="AN53" s="624"/>
      <c r="AO53" s="514"/>
      <c r="AP53" s="515"/>
      <c r="AQ53" s="515"/>
      <c r="AR53" s="514" t="e">
        <f t="shared" si="49"/>
        <v>#N/A</v>
      </c>
      <c r="AS53" s="624"/>
      <c r="AT53" s="514"/>
      <c r="AU53" s="515"/>
      <c r="AV53" s="515"/>
      <c r="AW53" s="514" t="e">
        <f t="shared" si="51"/>
        <v>#N/A</v>
      </c>
      <c r="AX53" s="624"/>
      <c r="AZ53" s="524" t="e">
        <f t="shared" si="53"/>
        <v>#N/A</v>
      </c>
      <c r="BA53" s="624"/>
    </row>
    <row r="54" spans="2:53">
      <c r="B54" s="622"/>
      <c r="C54" s="321">
        <v>8</v>
      </c>
      <c r="D54" s="226"/>
      <c r="E54" s="182"/>
      <c r="F54" s="514"/>
      <c r="G54" s="515"/>
      <c r="H54" s="664"/>
      <c r="I54" s="516" t="str">
        <f t="shared" si="38"/>
        <v>-</v>
      </c>
      <c r="J54" s="516" t="str">
        <f t="shared" si="39"/>
        <v>-</v>
      </c>
      <c r="K54" s="200" t="str">
        <f t="shared" si="40"/>
        <v>-</v>
      </c>
      <c r="L54" s="596"/>
      <c r="M54" s="201" t="e">
        <f>RANK(K54, K$47:$K$61)</f>
        <v>#VALUE!</v>
      </c>
      <c r="N54" s="614"/>
      <c r="O54" s="614"/>
      <c r="P54" s="514"/>
      <c r="Q54" s="515"/>
      <c r="R54" s="515"/>
      <c r="S54" s="514" t="e">
        <f t="shared" si="55"/>
        <v>#N/A</v>
      </c>
      <c r="T54" s="624"/>
      <c r="U54" s="514"/>
      <c r="V54" s="515"/>
      <c r="W54" s="515"/>
      <c r="X54" s="514" t="e">
        <f t="shared" si="41"/>
        <v>#N/A</v>
      </c>
      <c r="Y54" s="624"/>
      <c r="Z54" s="514"/>
      <c r="AA54" s="515"/>
      <c r="AB54" s="515"/>
      <c r="AC54" s="514" t="e">
        <f t="shared" si="43"/>
        <v>#N/A</v>
      </c>
      <c r="AD54" s="624"/>
      <c r="AE54" s="514"/>
      <c r="AF54" s="515"/>
      <c r="AG54" s="515"/>
      <c r="AH54" s="514" t="e">
        <f t="shared" si="45"/>
        <v>#N/A</v>
      </c>
      <c r="AI54" s="624"/>
      <c r="AJ54" s="514"/>
      <c r="AK54" s="515"/>
      <c r="AL54" s="515"/>
      <c r="AM54" s="514" t="e">
        <f t="shared" si="47"/>
        <v>#N/A</v>
      </c>
      <c r="AN54" s="624"/>
      <c r="AO54" s="514"/>
      <c r="AP54" s="515"/>
      <c r="AQ54" s="515"/>
      <c r="AR54" s="514" t="e">
        <f t="shared" si="49"/>
        <v>#N/A</v>
      </c>
      <c r="AS54" s="624"/>
      <c r="AT54" s="514"/>
      <c r="AU54" s="515"/>
      <c r="AV54" s="515"/>
      <c r="AW54" s="514" t="e">
        <f t="shared" si="51"/>
        <v>#N/A</v>
      </c>
      <c r="AX54" s="624"/>
      <c r="AZ54" s="524" t="e">
        <f t="shared" si="53"/>
        <v>#N/A</v>
      </c>
      <c r="BA54" s="624"/>
    </row>
    <row r="55" spans="2:53">
      <c r="B55" s="622"/>
      <c r="C55" s="321">
        <v>9</v>
      </c>
      <c r="D55" s="226"/>
      <c r="E55" s="182"/>
      <c r="F55" s="514"/>
      <c r="G55" s="515"/>
      <c r="H55" s="664"/>
      <c r="I55" s="516" t="str">
        <f t="shared" si="38"/>
        <v>-</v>
      </c>
      <c r="J55" s="516" t="str">
        <f t="shared" si="39"/>
        <v>-</v>
      </c>
      <c r="K55" s="200" t="str">
        <f t="shared" si="40"/>
        <v>-</v>
      </c>
      <c r="L55" s="596"/>
      <c r="M55" s="201" t="e">
        <f>RANK(K55, K$47:$K$61)</f>
        <v>#VALUE!</v>
      </c>
      <c r="N55" s="614"/>
      <c r="O55" s="614"/>
      <c r="P55" s="514"/>
      <c r="Q55" s="515"/>
      <c r="R55" s="515"/>
      <c r="S55" s="514" t="e">
        <f t="shared" si="55"/>
        <v>#N/A</v>
      </c>
      <c r="T55" s="624"/>
      <c r="U55" s="514"/>
      <c r="V55" s="515"/>
      <c r="W55" s="515"/>
      <c r="X55" s="514" t="e">
        <f t="shared" si="41"/>
        <v>#N/A</v>
      </c>
      <c r="Y55" s="624"/>
      <c r="Z55" s="514"/>
      <c r="AA55" s="515"/>
      <c r="AB55" s="515"/>
      <c r="AC55" s="514" t="e">
        <f t="shared" si="43"/>
        <v>#N/A</v>
      </c>
      <c r="AD55" s="624"/>
      <c r="AE55" s="514"/>
      <c r="AF55" s="515"/>
      <c r="AG55" s="515"/>
      <c r="AH55" s="514" t="e">
        <f t="shared" si="45"/>
        <v>#N/A</v>
      </c>
      <c r="AI55" s="624"/>
      <c r="AJ55" s="514"/>
      <c r="AK55" s="515"/>
      <c r="AL55" s="515"/>
      <c r="AM55" s="514" t="e">
        <f t="shared" si="47"/>
        <v>#N/A</v>
      </c>
      <c r="AN55" s="624"/>
      <c r="AO55" s="514"/>
      <c r="AP55" s="515"/>
      <c r="AQ55" s="515"/>
      <c r="AR55" s="514" t="e">
        <f t="shared" si="49"/>
        <v>#N/A</v>
      </c>
      <c r="AS55" s="624"/>
      <c r="AT55" s="514"/>
      <c r="AU55" s="515"/>
      <c r="AV55" s="515"/>
      <c r="AW55" s="514" t="e">
        <f t="shared" si="51"/>
        <v>#N/A</v>
      </c>
      <c r="AX55" s="624"/>
      <c r="AZ55" s="524" t="e">
        <f t="shared" si="53"/>
        <v>#N/A</v>
      </c>
      <c r="BA55" s="624"/>
    </row>
    <row r="56" spans="2:53">
      <c r="B56" s="622"/>
      <c r="C56" s="321">
        <v>10</v>
      </c>
      <c r="D56" s="226"/>
      <c r="E56" s="182"/>
      <c r="F56" s="514"/>
      <c r="G56" s="515"/>
      <c r="H56" s="664"/>
      <c r="I56" s="516" t="str">
        <f t="shared" si="38"/>
        <v>-</v>
      </c>
      <c r="J56" s="516" t="str">
        <f t="shared" si="39"/>
        <v>-</v>
      </c>
      <c r="K56" s="200" t="str">
        <f t="shared" si="40"/>
        <v>-</v>
      </c>
      <c r="L56" s="596"/>
      <c r="M56" s="201" t="e">
        <f>RANK(K56, K$47:$K$61)</f>
        <v>#VALUE!</v>
      </c>
      <c r="N56" s="614"/>
      <c r="O56" s="614"/>
      <c r="P56" s="514"/>
      <c r="Q56" s="515"/>
      <c r="R56" s="515"/>
      <c r="S56" s="514" t="e">
        <f t="shared" si="55"/>
        <v>#N/A</v>
      </c>
      <c r="T56" s="624"/>
      <c r="U56" s="514"/>
      <c r="V56" s="515"/>
      <c r="W56" s="515"/>
      <c r="X56" s="514" t="e">
        <f t="shared" si="41"/>
        <v>#N/A</v>
      </c>
      <c r="Y56" s="624"/>
      <c r="Z56" s="514"/>
      <c r="AA56" s="515"/>
      <c r="AB56" s="515"/>
      <c r="AC56" s="514" t="e">
        <f t="shared" si="43"/>
        <v>#N/A</v>
      </c>
      <c r="AD56" s="624"/>
      <c r="AE56" s="514"/>
      <c r="AF56" s="515"/>
      <c r="AG56" s="515"/>
      <c r="AH56" s="514" t="e">
        <f t="shared" si="45"/>
        <v>#N/A</v>
      </c>
      <c r="AI56" s="624"/>
      <c r="AJ56" s="514"/>
      <c r="AK56" s="515"/>
      <c r="AL56" s="515"/>
      <c r="AM56" s="514" t="e">
        <f t="shared" si="47"/>
        <v>#N/A</v>
      </c>
      <c r="AN56" s="624"/>
      <c r="AO56" s="514"/>
      <c r="AP56" s="515"/>
      <c r="AQ56" s="515"/>
      <c r="AR56" s="514" t="e">
        <f t="shared" si="49"/>
        <v>#N/A</v>
      </c>
      <c r="AS56" s="624"/>
      <c r="AT56" s="514"/>
      <c r="AU56" s="515"/>
      <c r="AV56" s="515"/>
      <c r="AW56" s="514" t="e">
        <f t="shared" si="51"/>
        <v>#N/A</v>
      </c>
      <c r="AX56" s="624"/>
      <c r="AZ56" s="524" t="e">
        <f t="shared" si="53"/>
        <v>#N/A</v>
      </c>
      <c r="BA56" s="624"/>
    </row>
    <row r="57" spans="2:53">
      <c r="B57" s="622"/>
      <c r="C57" s="321">
        <v>11</v>
      </c>
      <c r="D57" s="226"/>
      <c r="E57" s="182"/>
      <c r="F57" s="514"/>
      <c r="G57" s="515"/>
      <c r="H57" s="664"/>
      <c r="I57" s="516" t="str">
        <f t="shared" si="38"/>
        <v>-</v>
      </c>
      <c r="J57" s="516" t="str">
        <f t="shared" si="39"/>
        <v>-</v>
      </c>
      <c r="K57" s="200" t="str">
        <f t="shared" si="40"/>
        <v>-</v>
      </c>
      <c r="L57" s="596"/>
      <c r="M57" s="201" t="e">
        <f>RANK(K57, K$47:$K$61)</f>
        <v>#VALUE!</v>
      </c>
      <c r="N57" s="614"/>
      <c r="O57" s="614"/>
      <c r="P57" s="514"/>
      <c r="Q57" s="515"/>
      <c r="R57" s="515"/>
      <c r="S57" s="514" t="e">
        <f t="shared" si="55"/>
        <v>#N/A</v>
      </c>
      <c r="T57" s="624"/>
      <c r="U57" s="514"/>
      <c r="V57" s="515"/>
      <c r="W57" s="515"/>
      <c r="X57" s="514" t="e">
        <f t="shared" si="41"/>
        <v>#N/A</v>
      </c>
      <c r="Y57" s="624"/>
      <c r="Z57" s="514"/>
      <c r="AA57" s="515"/>
      <c r="AB57" s="515"/>
      <c r="AC57" s="514" t="e">
        <f t="shared" si="43"/>
        <v>#N/A</v>
      </c>
      <c r="AD57" s="624"/>
      <c r="AE57" s="514"/>
      <c r="AF57" s="515"/>
      <c r="AG57" s="515"/>
      <c r="AH57" s="514" t="e">
        <f t="shared" si="45"/>
        <v>#N/A</v>
      </c>
      <c r="AI57" s="624"/>
      <c r="AJ57" s="514"/>
      <c r="AK57" s="515"/>
      <c r="AL57" s="515"/>
      <c r="AM57" s="514" t="e">
        <f t="shared" si="47"/>
        <v>#N/A</v>
      </c>
      <c r="AN57" s="624"/>
      <c r="AO57" s="514"/>
      <c r="AP57" s="515"/>
      <c r="AQ57" s="515"/>
      <c r="AR57" s="514" t="e">
        <f t="shared" si="49"/>
        <v>#N/A</v>
      </c>
      <c r="AS57" s="624"/>
      <c r="AT57" s="514"/>
      <c r="AU57" s="515"/>
      <c r="AV57" s="515"/>
      <c r="AW57" s="514" t="e">
        <f t="shared" si="51"/>
        <v>#N/A</v>
      </c>
      <c r="AX57" s="624"/>
      <c r="AZ57" s="524" t="e">
        <f t="shared" si="53"/>
        <v>#N/A</v>
      </c>
      <c r="BA57" s="624"/>
    </row>
    <row r="58" spans="2:53">
      <c r="B58" s="622"/>
      <c r="C58" s="321">
        <v>12</v>
      </c>
      <c r="D58" s="226"/>
      <c r="E58" s="182"/>
      <c r="F58" s="514"/>
      <c r="G58" s="515"/>
      <c r="H58" s="664"/>
      <c r="I58" s="516" t="str">
        <f t="shared" si="38"/>
        <v>-</v>
      </c>
      <c r="J58" s="516" t="str">
        <f t="shared" si="39"/>
        <v>-</v>
      </c>
      <c r="K58" s="200" t="str">
        <f t="shared" si="40"/>
        <v>-</v>
      </c>
      <c r="L58" s="596"/>
      <c r="M58" s="201" t="e">
        <f>RANK(K58, K$47:$K$61)</f>
        <v>#VALUE!</v>
      </c>
      <c r="N58" s="614"/>
      <c r="O58" s="614"/>
      <c r="P58" s="514"/>
      <c r="Q58" s="515"/>
      <c r="R58" s="515"/>
      <c r="S58" s="514" t="e">
        <f t="shared" si="55"/>
        <v>#N/A</v>
      </c>
      <c r="T58" s="624"/>
      <c r="U58" s="514"/>
      <c r="V58" s="515"/>
      <c r="W58" s="515"/>
      <c r="X58" s="514" t="e">
        <f t="shared" si="41"/>
        <v>#N/A</v>
      </c>
      <c r="Y58" s="624"/>
      <c r="Z58" s="514"/>
      <c r="AA58" s="515"/>
      <c r="AB58" s="515"/>
      <c r="AC58" s="514" t="e">
        <f t="shared" si="43"/>
        <v>#N/A</v>
      </c>
      <c r="AD58" s="624"/>
      <c r="AE58" s="514"/>
      <c r="AF58" s="515"/>
      <c r="AG58" s="515"/>
      <c r="AH58" s="514" t="e">
        <f t="shared" si="45"/>
        <v>#N/A</v>
      </c>
      <c r="AI58" s="624"/>
      <c r="AJ58" s="514"/>
      <c r="AK58" s="515"/>
      <c r="AL58" s="515"/>
      <c r="AM58" s="514" t="e">
        <f t="shared" si="47"/>
        <v>#N/A</v>
      </c>
      <c r="AN58" s="624"/>
      <c r="AO58" s="514"/>
      <c r="AP58" s="515"/>
      <c r="AQ58" s="515"/>
      <c r="AR58" s="514" t="e">
        <f t="shared" si="49"/>
        <v>#N/A</v>
      </c>
      <c r="AS58" s="624"/>
      <c r="AT58" s="514"/>
      <c r="AU58" s="515"/>
      <c r="AV58" s="515"/>
      <c r="AW58" s="514" t="e">
        <f t="shared" si="51"/>
        <v>#N/A</v>
      </c>
      <c r="AX58" s="624"/>
      <c r="AZ58" s="524" t="e">
        <f t="shared" si="53"/>
        <v>#N/A</v>
      </c>
      <c r="BA58" s="624"/>
    </row>
    <row r="59" spans="2:53">
      <c r="B59" s="622"/>
      <c r="C59" s="321">
        <v>13</v>
      </c>
      <c r="D59" s="226"/>
      <c r="E59" s="182"/>
      <c r="F59" s="514"/>
      <c r="G59" s="515"/>
      <c r="H59" s="664"/>
      <c r="I59" s="516" t="str">
        <f t="shared" si="38"/>
        <v>-</v>
      </c>
      <c r="J59" s="516" t="str">
        <f t="shared" si="39"/>
        <v>-</v>
      </c>
      <c r="K59" s="200" t="str">
        <f t="shared" si="40"/>
        <v>-</v>
      </c>
      <c r="L59" s="596"/>
      <c r="M59" s="201" t="e">
        <f>RANK(K59, K$47:$K$61)</f>
        <v>#VALUE!</v>
      </c>
      <c r="N59" s="614"/>
      <c r="O59" s="614"/>
      <c r="P59" s="514"/>
      <c r="Q59" s="515"/>
      <c r="R59" s="515"/>
      <c r="S59" s="514" t="e">
        <f t="shared" si="55"/>
        <v>#N/A</v>
      </c>
      <c r="T59" s="624"/>
      <c r="U59" s="514"/>
      <c r="V59" s="515"/>
      <c r="W59" s="515"/>
      <c r="X59" s="514" t="e">
        <f t="shared" si="41"/>
        <v>#N/A</v>
      </c>
      <c r="Y59" s="624"/>
      <c r="Z59" s="514"/>
      <c r="AA59" s="515"/>
      <c r="AB59" s="515"/>
      <c r="AC59" s="514" t="e">
        <f t="shared" si="43"/>
        <v>#N/A</v>
      </c>
      <c r="AD59" s="624"/>
      <c r="AE59" s="514"/>
      <c r="AF59" s="515"/>
      <c r="AG59" s="515"/>
      <c r="AH59" s="514" t="e">
        <f t="shared" si="45"/>
        <v>#N/A</v>
      </c>
      <c r="AI59" s="624"/>
      <c r="AJ59" s="514"/>
      <c r="AK59" s="515"/>
      <c r="AL59" s="515"/>
      <c r="AM59" s="514" t="e">
        <f t="shared" si="47"/>
        <v>#N/A</v>
      </c>
      <c r="AN59" s="624"/>
      <c r="AO59" s="514"/>
      <c r="AP59" s="515"/>
      <c r="AQ59" s="515"/>
      <c r="AR59" s="514" t="e">
        <f t="shared" si="49"/>
        <v>#N/A</v>
      </c>
      <c r="AS59" s="624"/>
      <c r="AT59" s="514"/>
      <c r="AU59" s="515"/>
      <c r="AV59" s="515"/>
      <c r="AW59" s="514" t="e">
        <f t="shared" si="51"/>
        <v>#N/A</v>
      </c>
      <c r="AX59" s="624"/>
      <c r="AZ59" s="524" t="e">
        <f t="shared" si="53"/>
        <v>#N/A</v>
      </c>
      <c r="BA59" s="624"/>
    </row>
    <row r="60" spans="2:53">
      <c r="B60" s="622"/>
      <c r="C60" s="321">
        <v>14</v>
      </c>
      <c r="D60" s="226"/>
      <c r="E60" s="182"/>
      <c r="F60" s="514"/>
      <c r="G60" s="515"/>
      <c r="H60" s="664"/>
      <c r="I60" s="516" t="str">
        <f t="shared" si="38"/>
        <v>-</v>
      </c>
      <c r="J60" s="516" t="str">
        <f t="shared" si="39"/>
        <v>-</v>
      </c>
      <c r="K60" s="200" t="str">
        <f t="shared" si="40"/>
        <v>-</v>
      </c>
      <c r="L60" s="596"/>
      <c r="M60" s="201" t="e">
        <f>RANK(K60, K$47:$K$61)</f>
        <v>#VALUE!</v>
      </c>
      <c r="N60" s="614"/>
      <c r="O60" s="614"/>
      <c r="P60" s="514"/>
      <c r="Q60" s="515"/>
      <c r="R60" s="515"/>
      <c r="S60" s="514" t="e">
        <f t="shared" si="55"/>
        <v>#N/A</v>
      </c>
      <c r="T60" s="624"/>
      <c r="U60" s="514"/>
      <c r="V60" s="515"/>
      <c r="W60" s="515"/>
      <c r="X60" s="514" t="e">
        <f t="shared" si="41"/>
        <v>#N/A</v>
      </c>
      <c r="Y60" s="624"/>
      <c r="Z60" s="514"/>
      <c r="AA60" s="515"/>
      <c r="AB60" s="515"/>
      <c r="AC60" s="514" t="e">
        <f t="shared" si="43"/>
        <v>#N/A</v>
      </c>
      <c r="AD60" s="624"/>
      <c r="AE60" s="514"/>
      <c r="AF60" s="515"/>
      <c r="AG60" s="515"/>
      <c r="AH60" s="514" t="e">
        <f t="shared" si="45"/>
        <v>#N/A</v>
      </c>
      <c r="AI60" s="624"/>
      <c r="AJ60" s="514"/>
      <c r="AK60" s="515"/>
      <c r="AL60" s="515"/>
      <c r="AM60" s="514" t="e">
        <f t="shared" si="47"/>
        <v>#N/A</v>
      </c>
      <c r="AN60" s="624"/>
      <c r="AO60" s="514"/>
      <c r="AP60" s="515"/>
      <c r="AQ60" s="515"/>
      <c r="AR60" s="514" t="e">
        <f t="shared" si="49"/>
        <v>#N/A</v>
      </c>
      <c r="AS60" s="624"/>
      <c r="AT60" s="514"/>
      <c r="AU60" s="515"/>
      <c r="AV60" s="515"/>
      <c r="AW60" s="514" t="e">
        <f t="shared" si="51"/>
        <v>#N/A</v>
      </c>
      <c r="AX60" s="624"/>
      <c r="AZ60" s="524" t="e">
        <f t="shared" si="53"/>
        <v>#N/A</v>
      </c>
      <c r="BA60" s="624"/>
    </row>
    <row r="61" spans="2:53">
      <c r="B61" s="622"/>
      <c r="C61" s="321">
        <v>15</v>
      </c>
      <c r="D61" s="226"/>
      <c r="E61" s="182"/>
      <c r="F61" s="514"/>
      <c r="G61" s="515"/>
      <c r="H61" s="665"/>
      <c r="I61" s="202"/>
      <c r="J61" s="202"/>
      <c r="K61" s="202"/>
      <c r="L61" s="597"/>
      <c r="M61" s="201" t="e">
        <f>RANK(K61, K$47:$K$61)</f>
        <v>#N/A</v>
      </c>
      <c r="N61" s="614"/>
      <c r="O61" s="614"/>
      <c r="P61" s="514"/>
      <c r="Q61" s="515"/>
      <c r="R61" s="515"/>
      <c r="S61" s="514" t="e">
        <f t="shared" si="55"/>
        <v>#N/A</v>
      </c>
      <c r="T61" s="625"/>
      <c r="U61" s="514"/>
      <c r="V61" s="515"/>
      <c r="W61" s="515"/>
      <c r="X61" s="514" t="e">
        <f t="shared" si="41"/>
        <v>#N/A</v>
      </c>
      <c r="Y61" s="625"/>
      <c r="Z61" s="514"/>
      <c r="AA61" s="515"/>
      <c r="AB61" s="515"/>
      <c r="AC61" s="514" t="e">
        <f t="shared" si="43"/>
        <v>#N/A</v>
      </c>
      <c r="AD61" s="625"/>
      <c r="AE61" s="514"/>
      <c r="AF61" s="515"/>
      <c r="AG61" s="515"/>
      <c r="AH61" s="514" t="e">
        <f t="shared" si="45"/>
        <v>#N/A</v>
      </c>
      <c r="AI61" s="625"/>
      <c r="AJ61" s="514"/>
      <c r="AK61" s="515"/>
      <c r="AL61" s="515"/>
      <c r="AM61" s="514" t="e">
        <f t="shared" si="47"/>
        <v>#N/A</v>
      </c>
      <c r="AN61" s="625"/>
      <c r="AO61" s="514"/>
      <c r="AP61" s="515"/>
      <c r="AQ61" s="515"/>
      <c r="AR61" s="514" t="e">
        <f t="shared" si="49"/>
        <v>#N/A</v>
      </c>
      <c r="AS61" s="625"/>
      <c r="AT61" s="514"/>
      <c r="AU61" s="515"/>
      <c r="AV61" s="515"/>
      <c r="AW61" s="514" t="e">
        <f t="shared" si="51"/>
        <v>#N/A</v>
      </c>
      <c r="AX61" s="625"/>
      <c r="AZ61" s="524" t="e">
        <f t="shared" si="53"/>
        <v>#N/A</v>
      </c>
      <c r="BA61" s="625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398</v>
      </c>
      <c r="C64" s="614" t="s">
        <v>408</v>
      </c>
      <c r="D64" s="614"/>
      <c r="E64" s="614" t="s">
        <v>399</v>
      </c>
      <c r="F64" s="614"/>
      <c r="G64" s="614"/>
      <c r="H64" s="630" t="s">
        <v>395</v>
      </c>
      <c r="I64" s="598" t="s">
        <v>400</v>
      </c>
      <c r="J64" s="598"/>
      <c r="K64" s="598"/>
      <c r="L64" s="599" t="s">
        <v>395</v>
      </c>
      <c r="M64" s="605" t="s">
        <v>396</v>
      </c>
      <c r="N64" s="614"/>
      <c r="O64" s="614" t="s">
        <v>401</v>
      </c>
      <c r="P64" s="611" t="s">
        <v>397</v>
      </c>
      <c r="Q64" s="612"/>
      <c r="R64" s="612"/>
      <c r="S64" s="613"/>
      <c r="T64" s="614" t="s">
        <v>395</v>
      </c>
      <c r="U64" s="611" t="s">
        <v>397</v>
      </c>
      <c r="V64" s="612"/>
      <c r="W64" s="612"/>
      <c r="X64" s="613"/>
      <c r="Y64" s="614" t="s">
        <v>395</v>
      </c>
      <c r="Z64" s="611" t="s">
        <v>397</v>
      </c>
      <c r="AA64" s="612"/>
      <c r="AB64" s="612"/>
      <c r="AC64" s="613"/>
      <c r="AD64" s="614" t="s">
        <v>395</v>
      </c>
      <c r="AE64" s="611" t="s">
        <v>397</v>
      </c>
      <c r="AF64" s="612"/>
      <c r="AG64" s="612"/>
      <c r="AH64" s="613"/>
      <c r="AI64" s="614" t="s">
        <v>395</v>
      </c>
      <c r="AJ64" s="611" t="s">
        <v>397</v>
      </c>
      <c r="AK64" s="612"/>
      <c r="AL64" s="612"/>
      <c r="AM64" s="613"/>
      <c r="AN64" s="614" t="s">
        <v>395</v>
      </c>
      <c r="AO64" s="611" t="s">
        <v>397</v>
      </c>
      <c r="AP64" s="612"/>
      <c r="AQ64" s="612"/>
      <c r="AR64" s="613"/>
      <c r="AS64" s="614" t="s">
        <v>395</v>
      </c>
      <c r="AT64" s="611" t="s">
        <v>397</v>
      </c>
      <c r="AU64" s="612"/>
      <c r="AV64" s="612"/>
      <c r="AW64" s="613"/>
      <c r="AX64" s="614" t="s">
        <v>395</v>
      </c>
      <c r="BA64" s="614" t="s">
        <v>395</v>
      </c>
    </row>
    <row r="65" spans="2:53">
      <c r="B65" s="614"/>
      <c r="C65" s="614"/>
      <c r="D65" s="614"/>
      <c r="E65" s="614" t="s">
        <v>402</v>
      </c>
      <c r="F65" s="614"/>
      <c r="G65" s="614"/>
      <c r="H65" s="631"/>
      <c r="I65" s="598" t="s">
        <v>402</v>
      </c>
      <c r="J65" s="598"/>
      <c r="K65" s="598"/>
      <c r="L65" s="600"/>
      <c r="M65" s="606"/>
      <c r="N65" s="614"/>
      <c r="O65" s="614"/>
      <c r="P65" s="611" t="s">
        <v>403</v>
      </c>
      <c r="Q65" s="612"/>
      <c r="R65" s="612"/>
      <c r="S65" s="613"/>
      <c r="T65" s="614"/>
      <c r="U65" s="611" t="s">
        <v>403</v>
      </c>
      <c r="V65" s="612"/>
      <c r="W65" s="612"/>
      <c r="X65" s="613"/>
      <c r="Y65" s="614"/>
      <c r="Z65" s="611" t="s">
        <v>403</v>
      </c>
      <c r="AA65" s="612"/>
      <c r="AB65" s="612"/>
      <c r="AC65" s="613"/>
      <c r="AD65" s="614"/>
      <c r="AE65" s="611" t="s">
        <v>403</v>
      </c>
      <c r="AF65" s="612"/>
      <c r="AG65" s="612"/>
      <c r="AH65" s="613"/>
      <c r="AI65" s="614"/>
      <c r="AJ65" s="611" t="s">
        <v>403</v>
      </c>
      <c r="AK65" s="612"/>
      <c r="AL65" s="612"/>
      <c r="AM65" s="613"/>
      <c r="AN65" s="614"/>
      <c r="AO65" s="611" t="s">
        <v>403</v>
      </c>
      <c r="AP65" s="612"/>
      <c r="AQ65" s="612"/>
      <c r="AR65" s="613"/>
      <c r="AS65" s="614"/>
      <c r="AT65" s="611" t="s">
        <v>403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404</v>
      </c>
      <c r="F66" s="305" t="s">
        <v>405</v>
      </c>
      <c r="G66" s="305" t="s">
        <v>406</v>
      </c>
      <c r="H66" s="632"/>
      <c r="I66" s="304" t="s">
        <v>404</v>
      </c>
      <c r="J66" s="304" t="s">
        <v>405</v>
      </c>
      <c r="K66" s="304" t="s">
        <v>406</v>
      </c>
      <c r="L66" s="601"/>
      <c r="M66" s="607"/>
      <c r="N66" s="614"/>
      <c r="O66" s="614"/>
      <c r="P66" s="305" t="s">
        <v>404</v>
      </c>
      <c r="Q66" s="305" t="s">
        <v>405</v>
      </c>
      <c r="R66" s="305" t="s">
        <v>406</v>
      </c>
      <c r="S66" s="305" t="s">
        <v>396</v>
      </c>
      <c r="T66" s="614"/>
      <c r="U66" s="305" t="s">
        <v>404</v>
      </c>
      <c r="V66" s="305" t="s">
        <v>405</v>
      </c>
      <c r="W66" s="305" t="s">
        <v>406</v>
      </c>
      <c r="X66" s="305" t="s">
        <v>396</v>
      </c>
      <c r="Y66" s="614"/>
      <c r="Z66" s="305" t="s">
        <v>404</v>
      </c>
      <c r="AA66" s="305" t="s">
        <v>405</v>
      </c>
      <c r="AB66" s="305" t="s">
        <v>406</v>
      </c>
      <c r="AC66" s="305" t="s">
        <v>396</v>
      </c>
      <c r="AD66" s="614"/>
      <c r="AE66" s="305" t="s">
        <v>404</v>
      </c>
      <c r="AF66" s="305" t="s">
        <v>405</v>
      </c>
      <c r="AG66" s="305" t="s">
        <v>406</v>
      </c>
      <c r="AH66" s="305" t="s">
        <v>396</v>
      </c>
      <c r="AI66" s="614"/>
      <c r="AJ66" s="305" t="s">
        <v>404</v>
      </c>
      <c r="AK66" s="305" t="s">
        <v>405</v>
      </c>
      <c r="AL66" s="305" t="s">
        <v>406</v>
      </c>
      <c r="AM66" s="305" t="s">
        <v>396</v>
      </c>
      <c r="AN66" s="614"/>
      <c r="AO66" s="305" t="s">
        <v>404</v>
      </c>
      <c r="AP66" s="305" t="s">
        <v>405</v>
      </c>
      <c r="AQ66" s="305" t="s">
        <v>406</v>
      </c>
      <c r="AR66" s="305" t="s">
        <v>396</v>
      </c>
      <c r="AS66" s="614"/>
      <c r="AT66" s="305" t="s">
        <v>404</v>
      </c>
      <c r="AU66" s="305" t="s">
        <v>405</v>
      </c>
      <c r="AV66" s="305" t="s">
        <v>406</v>
      </c>
      <c r="AW66" s="305" t="s">
        <v>396</v>
      </c>
      <c r="AX66" s="614"/>
      <c r="AZ66" s="523" t="s">
        <v>396</v>
      </c>
      <c r="BA66" s="614"/>
    </row>
    <row r="67" spans="2:53">
      <c r="B67" s="614" t="s">
        <v>421</v>
      </c>
      <c r="C67" s="306">
        <v>1</v>
      </c>
      <c r="D67" s="226"/>
      <c r="E67" s="182"/>
      <c r="F67" s="514"/>
      <c r="G67" s="515"/>
      <c r="H67" s="663" t="e">
        <f>AVERAGE(G67:G81)</f>
        <v>#DIV/0!</v>
      </c>
      <c r="I67" s="516" t="str">
        <f t="shared" ref="I67:I80" si="56">IFERROR(AVERAGE(P67,U67,Z67,AE67,AJ67,AO67,AT67),"-")</f>
        <v>-</v>
      </c>
      <c r="J67" s="516" t="str">
        <f t="shared" ref="J67:J80" si="57">IFERROR(AVERAGE(Q67,V67,AA67,AF67,AK67,AP67,AU67),"-")</f>
        <v>-</v>
      </c>
      <c r="K67" s="200" t="str">
        <f t="shared" ref="K67:K80" si="58">IFERROR(AVERAGE(R67,W67,AB67,AG67,AL67,AQ67,AV67),"-")</f>
        <v>-</v>
      </c>
      <c r="L67" s="595" t="str">
        <f>IFERROR(AVERAGE(K67:K81),"-")</f>
        <v>-</v>
      </c>
      <c r="M67" s="201" t="e">
        <f>RANK(K67, K$67:$K$81)</f>
        <v>#VALUE!</v>
      </c>
      <c r="N67" s="614"/>
      <c r="O67" s="614"/>
      <c r="P67" s="182"/>
      <c r="Q67" s="515"/>
      <c r="R67" s="515"/>
      <c r="S67" s="514" t="e">
        <f>RANK(R67, R$67:R$81)</f>
        <v>#N/A</v>
      </c>
      <c r="T67" s="623" t="e">
        <f>AVERAGE(R67:R81)</f>
        <v>#DIV/0!</v>
      </c>
      <c r="U67" s="182"/>
      <c r="V67" s="515"/>
      <c r="W67" s="515"/>
      <c r="X67" s="514" t="e">
        <f t="shared" ref="X67:X81" si="59">RANK(W67, W$67:W$81)</f>
        <v>#N/A</v>
      </c>
      <c r="Y67" s="623" t="e">
        <f t="shared" ref="Y67" si="60">AVERAGE(W67:W81)</f>
        <v>#DIV/0!</v>
      </c>
      <c r="Z67" s="182"/>
      <c r="AA67" s="515"/>
      <c r="AB67" s="515"/>
      <c r="AC67" s="514" t="e">
        <f t="shared" ref="AC67:AC81" si="61">RANK(AB67, AB$67:AB$81)</f>
        <v>#N/A</v>
      </c>
      <c r="AD67" s="623" t="e">
        <f t="shared" ref="AD67" si="62">AVERAGE(AB67:AB81)</f>
        <v>#DIV/0!</v>
      </c>
      <c r="AE67" s="182"/>
      <c r="AF67" s="515"/>
      <c r="AG67" s="515"/>
      <c r="AH67" s="514" t="e">
        <f t="shared" ref="AH67:AH81" si="63">RANK(AG67, AG$67:AG$81)</f>
        <v>#N/A</v>
      </c>
      <c r="AI67" s="623" t="e">
        <f t="shared" ref="AI67" si="64">AVERAGE(AG67:AG81)</f>
        <v>#DIV/0!</v>
      </c>
      <c r="AJ67" s="182"/>
      <c r="AK67" s="515"/>
      <c r="AL67" s="515"/>
      <c r="AM67" s="514" t="e">
        <f t="shared" ref="AM67:AM81" si="65">RANK(AL67, AL$67:AL$81)</f>
        <v>#N/A</v>
      </c>
      <c r="AN67" s="623" t="e">
        <f t="shared" ref="AN67" si="66">AVERAGE(AL67:AL81)</f>
        <v>#DIV/0!</v>
      </c>
      <c r="AO67" s="182"/>
      <c r="AP67" s="515"/>
      <c r="AQ67" s="515"/>
      <c r="AR67" s="514" t="e">
        <f t="shared" ref="AR67:AR81" si="67">RANK(AQ67, AQ$67:AQ$81)</f>
        <v>#N/A</v>
      </c>
      <c r="AS67" s="623" t="e">
        <f t="shared" ref="AS67" si="68">AVERAGE(AQ67:AQ81)</f>
        <v>#DIV/0!</v>
      </c>
      <c r="AT67" s="182"/>
      <c r="AU67" s="515"/>
      <c r="AV67" s="515"/>
      <c r="AW67" s="514" t="e">
        <f t="shared" ref="AW67:AW81" si="69">RANK(AV67, AV$67:AV$81)</f>
        <v>#N/A</v>
      </c>
      <c r="AX67" s="623" t="e">
        <f t="shared" ref="AX67" si="70">AVERAGE(AV67:AV81)</f>
        <v>#DIV/0!</v>
      </c>
      <c r="AZ67" s="524" t="e">
        <f t="shared" ref="AZ67:AZ81" si="71">RANK(AY67, AY$67:AY$81)</f>
        <v>#N/A</v>
      </c>
      <c r="BA67" s="623" t="e">
        <f t="shared" ref="BA67" si="72">AVERAGE(AY67:AY81)</f>
        <v>#DIV/0!</v>
      </c>
    </row>
    <row r="68" spans="2:53">
      <c r="B68" s="622"/>
      <c r="C68" s="306">
        <v>2</v>
      </c>
      <c r="D68" s="226"/>
      <c r="E68" s="182"/>
      <c r="F68" s="514"/>
      <c r="G68" s="515"/>
      <c r="H68" s="664"/>
      <c r="I68" s="516" t="str">
        <f t="shared" si="56"/>
        <v>-</v>
      </c>
      <c r="J68" s="516" t="str">
        <f t="shared" si="57"/>
        <v>-</v>
      </c>
      <c r="K68" s="200" t="str">
        <f t="shared" si="58"/>
        <v>-</v>
      </c>
      <c r="L68" s="596"/>
      <c r="M68" s="201" t="e">
        <f>RANK(K68, K$67:$K$81)</f>
        <v>#VALUE!</v>
      </c>
      <c r="N68" s="614"/>
      <c r="O68" s="614"/>
      <c r="P68" s="514"/>
      <c r="Q68" s="515"/>
      <c r="R68" s="515"/>
      <c r="S68" s="514" t="e">
        <f t="shared" ref="S68:S81" si="73">RANK(R68, R$67:R$81)</f>
        <v>#N/A</v>
      </c>
      <c r="T68" s="624"/>
      <c r="U68" s="514"/>
      <c r="V68" s="515"/>
      <c r="W68" s="515"/>
      <c r="X68" s="514" t="e">
        <f t="shared" si="59"/>
        <v>#N/A</v>
      </c>
      <c r="Y68" s="624"/>
      <c r="Z68" s="514"/>
      <c r="AA68" s="515"/>
      <c r="AB68" s="515"/>
      <c r="AC68" s="514" t="e">
        <f t="shared" si="61"/>
        <v>#N/A</v>
      </c>
      <c r="AD68" s="624"/>
      <c r="AE68" s="514"/>
      <c r="AF68" s="515"/>
      <c r="AG68" s="515"/>
      <c r="AH68" s="514" t="e">
        <f t="shared" si="63"/>
        <v>#N/A</v>
      </c>
      <c r="AI68" s="624"/>
      <c r="AJ68" s="514"/>
      <c r="AK68" s="515"/>
      <c r="AL68" s="515"/>
      <c r="AM68" s="514" t="e">
        <f t="shared" si="65"/>
        <v>#N/A</v>
      </c>
      <c r="AN68" s="624"/>
      <c r="AO68" s="514"/>
      <c r="AP68" s="515"/>
      <c r="AQ68" s="515"/>
      <c r="AR68" s="514" t="e">
        <f t="shared" si="67"/>
        <v>#N/A</v>
      </c>
      <c r="AS68" s="624"/>
      <c r="AT68" s="514"/>
      <c r="AU68" s="515"/>
      <c r="AV68" s="515"/>
      <c r="AW68" s="514" t="e">
        <f t="shared" si="69"/>
        <v>#N/A</v>
      </c>
      <c r="AX68" s="624"/>
      <c r="AZ68" s="524" t="e">
        <f t="shared" si="71"/>
        <v>#N/A</v>
      </c>
      <c r="BA68" s="624"/>
    </row>
    <row r="69" spans="2:53">
      <c r="B69" s="622"/>
      <c r="C69" s="306">
        <v>3</v>
      </c>
      <c r="D69" s="226"/>
      <c r="E69" s="182"/>
      <c r="F69" s="514"/>
      <c r="G69" s="515"/>
      <c r="H69" s="664"/>
      <c r="I69" s="516" t="str">
        <f t="shared" si="56"/>
        <v>-</v>
      </c>
      <c r="J69" s="516" t="str">
        <f t="shared" si="57"/>
        <v>-</v>
      </c>
      <c r="K69" s="200" t="str">
        <f t="shared" si="58"/>
        <v>-</v>
      </c>
      <c r="L69" s="596"/>
      <c r="M69" s="201" t="e">
        <f>RANK(K69, K$67:$K$81)</f>
        <v>#VALUE!</v>
      </c>
      <c r="N69" s="614"/>
      <c r="O69" s="614"/>
      <c r="P69" s="514"/>
      <c r="Q69" s="515"/>
      <c r="R69" s="515"/>
      <c r="S69" s="514" t="e">
        <f t="shared" si="73"/>
        <v>#N/A</v>
      </c>
      <c r="T69" s="624"/>
      <c r="U69" s="514"/>
      <c r="V69" s="515"/>
      <c r="W69" s="515"/>
      <c r="X69" s="514" t="e">
        <f t="shared" si="59"/>
        <v>#N/A</v>
      </c>
      <c r="Y69" s="624"/>
      <c r="Z69" s="514"/>
      <c r="AA69" s="515"/>
      <c r="AB69" s="515"/>
      <c r="AC69" s="514" t="e">
        <f t="shared" si="61"/>
        <v>#N/A</v>
      </c>
      <c r="AD69" s="624"/>
      <c r="AE69" s="514"/>
      <c r="AF69" s="515"/>
      <c r="AG69" s="515"/>
      <c r="AH69" s="514" t="e">
        <f t="shared" si="63"/>
        <v>#N/A</v>
      </c>
      <c r="AI69" s="624"/>
      <c r="AJ69" s="514"/>
      <c r="AK69" s="515"/>
      <c r="AL69" s="515"/>
      <c r="AM69" s="514" t="e">
        <f t="shared" si="65"/>
        <v>#N/A</v>
      </c>
      <c r="AN69" s="624"/>
      <c r="AO69" s="514"/>
      <c r="AP69" s="515"/>
      <c r="AQ69" s="515"/>
      <c r="AR69" s="514" t="e">
        <f t="shared" si="67"/>
        <v>#N/A</v>
      </c>
      <c r="AS69" s="624"/>
      <c r="AT69" s="514"/>
      <c r="AU69" s="515"/>
      <c r="AV69" s="515"/>
      <c r="AW69" s="514" t="e">
        <f t="shared" si="69"/>
        <v>#N/A</v>
      </c>
      <c r="AX69" s="624"/>
      <c r="AZ69" s="524" t="e">
        <f t="shared" si="71"/>
        <v>#N/A</v>
      </c>
      <c r="BA69" s="624"/>
    </row>
    <row r="70" spans="2:53">
      <c r="B70" s="622"/>
      <c r="C70" s="306">
        <v>4</v>
      </c>
      <c r="D70" s="226"/>
      <c r="E70" s="182"/>
      <c r="F70" s="514"/>
      <c r="G70" s="515"/>
      <c r="H70" s="664"/>
      <c r="I70" s="516" t="str">
        <f t="shared" si="56"/>
        <v>-</v>
      </c>
      <c r="J70" s="516" t="str">
        <f t="shared" si="57"/>
        <v>-</v>
      </c>
      <c r="K70" s="200" t="str">
        <f t="shared" si="58"/>
        <v>-</v>
      </c>
      <c r="L70" s="596"/>
      <c r="M70" s="201" t="e">
        <f>RANK(K70, K$67:$K$81)</f>
        <v>#VALUE!</v>
      </c>
      <c r="N70" s="614"/>
      <c r="O70" s="614"/>
      <c r="P70" s="514"/>
      <c r="Q70" s="515"/>
      <c r="R70" s="515"/>
      <c r="S70" s="514" t="e">
        <f t="shared" si="73"/>
        <v>#N/A</v>
      </c>
      <c r="T70" s="624"/>
      <c r="U70" s="514"/>
      <c r="V70" s="515"/>
      <c r="W70" s="515"/>
      <c r="X70" s="514" t="e">
        <f t="shared" si="59"/>
        <v>#N/A</v>
      </c>
      <c r="Y70" s="624"/>
      <c r="Z70" s="514"/>
      <c r="AA70" s="515"/>
      <c r="AB70" s="515"/>
      <c r="AC70" s="514" t="e">
        <f t="shared" si="61"/>
        <v>#N/A</v>
      </c>
      <c r="AD70" s="624"/>
      <c r="AE70" s="514"/>
      <c r="AF70" s="515"/>
      <c r="AG70" s="515"/>
      <c r="AH70" s="514" t="e">
        <f t="shared" si="63"/>
        <v>#N/A</v>
      </c>
      <c r="AI70" s="624"/>
      <c r="AJ70" s="514"/>
      <c r="AK70" s="515"/>
      <c r="AL70" s="515"/>
      <c r="AM70" s="514" t="e">
        <f t="shared" si="65"/>
        <v>#N/A</v>
      </c>
      <c r="AN70" s="624"/>
      <c r="AO70" s="514"/>
      <c r="AP70" s="515"/>
      <c r="AQ70" s="515"/>
      <c r="AR70" s="514" t="e">
        <f t="shared" si="67"/>
        <v>#N/A</v>
      </c>
      <c r="AS70" s="624"/>
      <c r="AT70" s="514"/>
      <c r="AU70" s="515"/>
      <c r="AV70" s="515"/>
      <c r="AW70" s="514" t="e">
        <f t="shared" si="69"/>
        <v>#N/A</v>
      </c>
      <c r="AX70" s="624"/>
      <c r="AZ70" s="524" t="e">
        <f t="shared" si="71"/>
        <v>#N/A</v>
      </c>
      <c r="BA70" s="624"/>
    </row>
    <row r="71" spans="2:53">
      <c r="B71" s="622"/>
      <c r="C71" s="306">
        <v>5</v>
      </c>
      <c r="D71" s="226"/>
      <c r="E71" s="182"/>
      <c r="F71" s="514"/>
      <c r="G71" s="515"/>
      <c r="H71" s="664"/>
      <c r="I71" s="516" t="str">
        <f t="shared" si="56"/>
        <v>-</v>
      </c>
      <c r="J71" s="516" t="str">
        <f t="shared" si="57"/>
        <v>-</v>
      </c>
      <c r="K71" s="200" t="str">
        <f t="shared" si="58"/>
        <v>-</v>
      </c>
      <c r="L71" s="596"/>
      <c r="M71" s="201" t="e">
        <f>RANK(K71, K$67:$K$81)</f>
        <v>#VALUE!</v>
      </c>
      <c r="N71" s="614"/>
      <c r="O71" s="614"/>
      <c r="P71" s="514"/>
      <c r="Q71" s="515"/>
      <c r="R71" s="515"/>
      <c r="S71" s="514" t="e">
        <f t="shared" si="73"/>
        <v>#N/A</v>
      </c>
      <c r="T71" s="624"/>
      <c r="U71" s="514"/>
      <c r="V71" s="515"/>
      <c r="W71" s="515"/>
      <c r="X71" s="514" t="e">
        <f t="shared" si="59"/>
        <v>#N/A</v>
      </c>
      <c r="Y71" s="624"/>
      <c r="Z71" s="514"/>
      <c r="AA71" s="515"/>
      <c r="AB71" s="515"/>
      <c r="AC71" s="514" t="e">
        <f t="shared" si="61"/>
        <v>#N/A</v>
      </c>
      <c r="AD71" s="624"/>
      <c r="AE71" s="514"/>
      <c r="AF71" s="515"/>
      <c r="AG71" s="515"/>
      <c r="AH71" s="514" t="e">
        <f t="shared" si="63"/>
        <v>#N/A</v>
      </c>
      <c r="AI71" s="624"/>
      <c r="AJ71" s="514"/>
      <c r="AK71" s="515"/>
      <c r="AL71" s="515"/>
      <c r="AM71" s="514" t="e">
        <f t="shared" si="65"/>
        <v>#N/A</v>
      </c>
      <c r="AN71" s="624"/>
      <c r="AO71" s="514"/>
      <c r="AP71" s="515"/>
      <c r="AQ71" s="515"/>
      <c r="AR71" s="514" t="e">
        <f t="shared" si="67"/>
        <v>#N/A</v>
      </c>
      <c r="AS71" s="624"/>
      <c r="AT71" s="514"/>
      <c r="AU71" s="515"/>
      <c r="AV71" s="515"/>
      <c r="AW71" s="514" t="e">
        <f t="shared" si="69"/>
        <v>#N/A</v>
      </c>
      <c r="AX71" s="624"/>
      <c r="AZ71" s="524" t="e">
        <f t="shared" si="71"/>
        <v>#N/A</v>
      </c>
      <c r="BA71" s="624"/>
    </row>
    <row r="72" spans="2:53">
      <c r="B72" s="622"/>
      <c r="C72" s="306">
        <v>6</v>
      </c>
      <c r="D72" s="226"/>
      <c r="E72" s="182"/>
      <c r="F72" s="514"/>
      <c r="G72" s="515"/>
      <c r="H72" s="664"/>
      <c r="I72" s="516" t="str">
        <f t="shared" si="56"/>
        <v>-</v>
      </c>
      <c r="J72" s="516" t="str">
        <f t="shared" si="57"/>
        <v>-</v>
      </c>
      <c r="K72" s="200" t="str">
        <f t="shared" si="58"/>
        <v>-</v>
      </c>
      <c r="L72" s="596"/>
      <c r="M72" s="201" t="e">
        <f>RANK(K72, K$67:$K$81)</f>
        <v>#VALUE!</v>
      </c>
      <c r="N72" s="614"/>
      <c r="O72" s="614"/>
      <c r="P72" s="514"/>
      <c r="Q72" s="515"/>
      <c r="R72" s="515"/>
      <c r="S72" s="514" t="e">
        <f t="shared" si="73"/>
        <v>#N/A</v>
      </c>
      <c r="T72" s="624"/>
      <c r="U72" s="514"/>
      <c r="V72" s="515"/>
      <c r="W72" s="515"/>
      <c r="X72" s="514" t="e">
        <f t="shared" si="59"/>
        <v>#N/A</v>
      </c>
      <c r="Y72" s="624"/>
      <c r="Z72" s="514"/>
      <c r="AA72" s="515"/>
      <c r="AB72" s="515"/>
      <c r="AC72" s="514" t="e">
        <f t="shared" si="61"/>
        <v>#N/A</v>
      </c>
      <c r="AD72" s="624"/>
      <c r="AE72" s="514"/>
      <c r="AF72" s="515"/>
      <c r="AG72" s="515"/>
      <c r="AH72" s="514" t="e">
        <f t="shared" si="63"/>
        <v>#N/A</v>
      </c>
      <c r="AI72" s="624"/>
      <c r="AJ72" s="514"/>
      <c r="AK72" s="515"/>
      <c r="AL72" s="515"/>
      <c r="AM72" s="514" t="e">
        <f t="shared" si="65"/>
        <v>#N/A</v>
      </c>
      <c r="AN72" s="624"/>
      <c r="AO72" s="514"/>
      <c r="AP72" s="515"/>
      <c r="AQ72" s="515"/>
      <c r="AR72" s="514" t="e">
        <f t="shared" si="67"/>
        <v>#N/A</v>
      </c>
      <c r="AS72" s="624"/>
      <c r="AT72" s="514"/>
      <c r="AU72" s="515"/>
      <c r="AV72" s="515"/>
      <c r="AW72" s="514" t="e">
        <f t="shared" si="69"/>
        <v>#N/A</v>
      </c>
      <c r="AX72" s="624"/>
      <c r="AZ72" s="524" t="e">
        <f t="shared" si="71"/>
        <v>#N/A</v>
      </c>
      <c r="BA72" s="624"/>
    </row>
    <row r="73" spans="2:53">
      <c r="B73" s="622"/>
      <c r="C73" s="306">
        <v>7</v>
      </c>
      <c r="D73" s="226"/>
      <c r="E73" s="182"/>
      <c r="F73" s="514"/>
      <c r="G73" s="515"/>
      <c r="H73" s="664"/>
      <c r="I73" s="516" t="str">
        <f t="shared" si="56"/>
        <v>-</v>
      </c>
      <c r="J73" s="516" t="str">
        <f t="shared" si="57"/>
        <v>-</v>
      </c>
      <c r="K73" s="200" t="str">
        <f t="shared" si="58"/>
        <v>-</v>
      </c>
      <c r="L73" s="596"/>
      <c r="M73" s="201" t="e">
        <f>RANK(K73, K$67:$K$81)</f>
        <v>#VALUE!</v>
      </c>
      <c r="N73" s="614"/>
      <c r="O73" s="614"/>
      <c r="P73" s="514"/>
      <c r="Q73" s="515"/>
      <c r="R73" s="515"/>
      <c r="S73" s="514" t="e">
        <f t="shared" si="73"/>
        <v>#N/A</v>
      </c>
      <c r="T73" s="624"/>
      <c r="U73" s="514"/>
      <c r="V73" s="515"/>
      <c r="W73" s="515"/>
      <c r="X73" s="514" t="e">
        <f t="shared" si="59"/>
        <v>#N/A</v>
      </c>
      <c r="Y73" s="624"/>
      <c r="Z73" s="514"/>
      <c r="AA73" s="515"/>
      <c r="AB73" s="515"/>
      <c r="AC73" s="514" t="e">
        <f t="shared" si="61"/>
        <v>#N/A</v>
      </c>
      <c r="AD73" s="624"/>
      <c r="AE73" s="514"/>
      <c r="AF73" s="515"/>
      <c r="AG73" s="515"/>
      <c r="AH73" s="514" t="e">
        <f t="shared" si="63"/>
        <v>#N/A</v>
      </c>
      <c r="AI73" s="624"/>
      <c r="AJ73" s="514"/>
      <c r="AK73" s="515"/>
      <c r="AL73" s="515"/>
      <c r="AM73" s="514" t="e">
        <f t="shared" si="65"/>
        <v>#N/A</v>
      </c>
      <c r="AN73" s="624"/>
      <c r="AO73" s="514"/>
      <c r="AP73" s="515"/>
      <c r="AQ73" s="515"/>
      <c r="AR73" s="514" t="e">
        <f t="shared" si="67"/>
        <v>#N/A</v>
      </c>
      <c r="AS73" s="624"/>
      <c r="AT73" s="514"/>
      <c r="AU73" s="515"/>
      <c r="AV73" s="515"/>
      <c r="AW73" s="514" t="e">
        <f t="shared" si="69"/>
        <v>#N/A</v>
      </c>
      <c r="AX73" s="624"/>
      <c r="AZ73" s="524" t="e">
        <f t="shared" si="71"/>
        <v>#N/A</v>
      </c>
      <c r="BA73" s="624"/>
    </row>
    <row r="74" spans="2:53">
      <c r="B74" s="622"/>
      <c r="C74" s="306">
        <v>8</v>
      </c>
      <c r="D74" s="226"/>
      <c r="E74" s="182"/>
      <c r="F74" s="514"/>
      <c r="G74" s="515"/>
      <c r="H74" s="664"/>
      <c r="I74" s="516" t="str">
        <f t="shared" si="56"/>
        <v>-</v>
      </c>
      <c r="J74" s="516" t="str">
        <f t="shared" si="57"/>
        <v>-</v>
      </c>
      <c r="K74" s="200" t="str">
        <f t="shared" si="58"/>
        <v>-</v>
      </c>
      <c r="L74" s="596"/>
      <c r="M74" s="201" t="e">
        <f>RANK(K74, K$67:$K$81)</f>
        <v>#VALUE!</v>
      </c>
      <c r="N74" s="614"/>
      <c r="O74" s="614"/>
      <c r="P74" s="514"/>
      <c r="Q74" s="515"/>
      <c r="R74" s="515"/>
      <c r="S74" s="514" t="e">
        <f t="shared" si="73"/>
        <v>#N/A</v>
      </c>
      <c r="T74" s="624"/>
      <c r="U74" s="514"/>
      <c r="V74" s="515"/>
      <c r="W74" s="515"/>
      <c r="X74" s="514" t="e">
        <f t="shared" si="59"/>
        <v>#N/A</v>
      </c>
      <c r="Y74" s="624"/>
      <c r="Z74" s="514"/>
      <c r="AA74" s="515"/>
      <c r="AB74" s="515"/>
      <c r="AC74" s="514" t="e">
        <f t="shared" si="61"/>
        <v>#N/A</v>
      </c>
      <c r="AD74" s="624"/>
      <c r="AE74" s="514"/>
      <c r="AF74" s="515"/>
      <c r="AG74" s="515"/>
      <c r="AH74" s="514" t="e">
        <f t="shared" si="63"/>
        <v>#N/A</v>
      </c>
      <c r="AI74" s="624"/>
      <c r="AJ74" s="514"/>
      <c r="AK74" s="515"/>
      <c r="AL74" s="515"/>
      <c r="AM74" s="514" t="e">
        <f t="shared" si="65"/>
        <v>#N/A</v>
      </c>
      <c r="AN74" s="624"/>
      <c r="AO74" s="514"/>
      <c r="AP74" s="515"/>
      <c r="AQ74" s="515"/>
      <c r="AR74" s="514" t="e">
        <f t="shared" si="67"/>
        <v>#N/A</v>
      </c>
      <c r="AS74" s="624"/>
      <c r="AT74" s="514"/>
      <c r="AU74" s="515"/>
      <c r="AV74" s="515"/>
      <c r="AW74" s="514" t="e">
        <f t="shared" si="69"/>
        <v>#N/A</v>
      </c>
      <c r="AX74" s="624"/>
      <c r="AZ74" s="524" t="e">
        <f t="shared" si="71"/>
        <v>#N/A</v>
      </c>
      <c r="BA74" s="624"/>
    </row>
    <row r="75" spans="2:53">
      <c r="B75" s="622"/>
      <c r="C75" s="306">
        <v>9</v>
      </c>
      <c r="D75" s="226"/>
      <c r="E75" s="182"/>
      <c r="F75" s="514"/>
      <c r="G75" s="515"/>
      <c r="H75" s="664"/>
      <c r="I75" s="516" t="str">
        <f t="shared" si="56"/>
        <v>-</v>
      </c>
      <c r="J75" s="516" t="str">
        <f t="shared" si="57"/>
        <v>-</v>
      </c>
      <c r="K75" s="200" t="str">
        <f t="shared" si="58"/>
        <v>-</v>
      </c>
      <c r="L75" s="596"/>
      <c r="M75" s="201" t="e">
        <f>RANK(K75, K$67:$K$81)</f>
        <v>#VALUE!</v>
      </c>
      <c r="N75" s="614"/>
      <c r="O75" s="614"/>
      <c r="P75" s="514"/>
      <c r="Q75" s="515"/>
      <c r="R75" s="515"/>
      <c r="S75" s="514" t="e">
        <f t="shared" si="73"/>
        <v>#N/A</v>
      </c>
      <c r="T75" s="624"/>
      <c r="U75" s="514"/>
      <c r="V75" s="515"/>
      <c r="W75" s="515"/>
      <c r="X75" s="514" t="e">
        <f t="shared" si="59"/>
        <v>#N/A</v>
      </c>
      <c r="Y75" s="624"/>
      <c r="Z75" s="514"/>
      <c r="AA75" s="515"/>
      <c r="AB75" s="515"/>
      <c r="AC75" s="514" t="e">
        <f t="shared" si="61"/>
        <v>#N/A</v>
      </c>
      <c r="AD75" s="624"/>
      <c r="AE75" s="514"/>
      <c r="AF75" s="515"/>
      <c r="AG75" s="515"/>
      <c r="AH75" s="514" t="e">
        <f t="shared" si="63"/>
        <v>#N/A</v>
      </c>
      <c r="AI75" s="624"/>
      <c r="AJ75" s="514"/>
      <c r="AK75" s="515"/>
      <c r="AL75" s="515"/>
      <c r="AM75" s="514" t="e">
        <f t="shared" si="65"/>
        <v>#N/A</v>
      </c>
      <c r="AN75" s="624"/>
      <c r="AO75" s="514"/>
      <c r="AP75" s="515"/>
      <c r="AQ75" s="515"/>
      <c r="AR75" s="514" t="e">
        <f t="shared" si="67"/>
        <v>#N/A</v>
      </c>
      <c r="AS75" s="624"/>
      <c r="AT75" s="514"/>
      <c r="AU75" s="515"/>
      <c r="AV75" s="515"/>
      <c r="AW75" s="514" t="e">
        <f t="shared" si="69"/>
        <v>#N/A</v>
      </c>
      <c r="AX75" s="624"/>
      <c r="AZ75" s="524" t="e">
        <f t="shared" si="71"/>
        <v>#N/A</v>
      </c>
      <c r="BA75" s="624"/>
    </row>
    <row r="76" spans="2:53">
      <c r="B76" s="622"/>
      <c r="C76" s="306">
        <v>10</v>
      </c>
      <c r="D76" s="226"/>
      <c r="E76" s="182"/>
      <c r="F76" s="514"/>
      <c r="G76" s="515"/>
      <c r="H76" s="664"/>
      <c r="I76" s="516" t="str">
        <f t="shared" si="56"/>
        <v>-</v>
      </c>
      <c r="J76" s="516" t="str">
        <f t="shared" si="57"/>
        <v>-</v>
      </c>
      <c r="K76" s="200" t="str">
        <f t="shared" si="58"/>
        <v>-</v>
      </c>
      <c r="L76" s="596"/>
      <c r="M76" s="201" t="e">
        <f>RANK(K76, K$67:$K$81)</f>
        <v>#VALUE!</v>
      </c>
      <c r="N76" s="614"/>
      <c r="O76" s="614"/>
      <c r="P76" s="514"/>
      <c r="Q76" s="515"/>
      <c r="R76" s="515"/>
      <c r="S76" s="514" t="e">
        <f t="shared" si="73"/>
        <v>#N/A</v>
      </c>
      <c r="T76" s="624"/>
      <c r="U76" s="514"/>
      <c r="V76" s="515"/>
      <c r="W76" s="515"/>
      <c r="X76" s="514" t="e">
        <f t="shared" si="59"/>
        <v>#N/A</v>
      </c>
      <c r="Y76" s="624"/>
      <c r="Z76" s="514"/>
      <c r="AA76" s="515"/>
      <c r="AB76" s="515"/>
      <c r="AC76" s="514" t="e">
        <f t="shared" si="61"/>
        <v>#N/A</v>
      </c>
      <c r="AD76" s="624"/>
      <c r="AE76" s="514"/>
      <c r="AF76" s="515"/>
      <c r="AG76" s="515"/>
      <c r="AH76" s="514" t="e">
        <f t="shared" si="63"/>
        <v>#N/A</v>
      </c>
      <c r="AI76" s="624"/>
      <c r="AJ76" s="514"/>
      <c r="AK76" s="515"/>
      <c r="AL76" s="515"/>
      <c r="AM76" s="514" t="e">
        <f t="shared" si="65"/>
        <v>#N/A</v>
      </c>
      <c r="AN76" s="624"/>
      <c r="AO76" s="514"/>
      <c r="AP76" s="515"/>
      <c r="AQ76" s="515"/>
      <c r="AR76" s="514" t="e">
        <f t="shared" si="67"/>
        <v>#N/A</v>
      </c>
      <c r="AS76" s="624"/>
      <c r="AT76" s="514"/>
      <c r="AU76" s="515"/>
      <c r="AV76" s="515"/>
      <c r="AW76" s="514" t="e">
        <f t="shared" si="69"/>
        <v>#N/A</v>
      </c>
      <c r="AX76" s="624"/>
      <c r="AZ76" s="524" t="e">
        <f t="shared" si="71"/>
        <v>#N/A</v>
      </c>
      <c r="BA76" s="624"/>
    </row>
    <row r="77" spans="2:53">
      <c r="B77" s="622"/>
      <c r="C77" s="306">
        <v>11</v>
      </c>
      <c r="D77" s="226"/>
      <c r="E77" s="182"/>
      <c r="F77" s="514"/>
      <c r="G77" s="515"/>
      <c r="H77" s="664"/>
      <c r="I77" s="516" t="str">
        <f t="shared" si="56"/>
        <v>-</v>
      </c>
      <c r="J77" s="516" t="str">
        <f t="shared" si="57"/>
        <v>-</v>
      </c>
      <c r="K77" s="200" t="str">
        <f t="shared" si="58"/>
        <v>-</v>
      </c>
      <c r="L77" s="596"/>
      <c r="M77" s="201" t="e">
        <f>RANK(K77, K$67:$K$81)</f>
        <v>#VALUE!</v>
      </c>
      <c r="N77" s="614"/>
      <c r="O77" s="614"/>
      <c r="P77" s="514"/>
      <c r="Q77" s="515"/>
      <c r="R77" s="515"/>
      <c r="S77" s="514" t="e">
        <f t="shared" si="73"/>
        <v>#N/A</v>
      </c>
      <c r="T77" s="624"/>
      <c r="U77" s="514"/>
      <c r="V77" s="515"/>
      <c r="W77" s="515"/>
      <c r="X77" s="514" t="e">
        <f t="shared" si="59"/>
        <v>#N/A</v>
      </c>
      <c r="Y77" s="624"/>
      <c r="Z77" s="514"/>
      <c r="AA77" s="515"/>
      <c r="AB77" s="515"/>
      <c r="AC77" s="514" t="e">
        <f t="shared" si="61"/>
        <v>#N/A</v>
      </c>
      <c r="AD77" s="624"/>
      <c r="AE77" s="514"/>
      <c r="AF77" s="515"/>
      <c r="AG77" s="515"/>
      <c r="AH77" s="514" t="e">
        <f t="shared" si="63"/>
        <v>#N/A</v>
      </c>
      <c r="AI77" s="624"/>
      <c r="AJ77" s="514"/>
      <c r="AK77" s="515"/>
      <c r="AL77" s="515"/>
      <c r="AM77" s="514" t="e">
        <f t="shared" si="65"/>
        <v>#N/A</v>
      </c>
      <c r="AN77" s="624"/>
      <c r="AO77" s="514"/>
      <c r="AP77" s="515"/>
      <c r="AQ77" s="515"/>
      <c r="AR77" s="514" t="e">
        <f t="shared" si="67"/>
        <v>#N/A</v>
      </c>
      <c r="AS77" s="624"/>
      <c r="AT77" s="514"/>
      <c r="AU77" s="515"/>
      <c r="AV77" s="515"/>
      <c r="AW77" s="514" t="e">
        <f t="shared" si="69"/>
        <v>#N/A</v>
      </c>
      <c r="AX77" s="624"/>
      <c r="AZ77" s="524" t="e">
        <f t="shared" si="71"/>
        <v>#N/A</v>
      </c>
      <c r="BA77" s="624"/>
    </row>
    <row r="78" spans="2:53">
      <c r="B78" s="622"/>
      <c r="C78" s="306">
        <v>12</v>
      </c>
      <c r="D78" s="226"/>
      <c r="E78" s="182"/>
      <c r="F78" s="514"/>
      <c r="G78" s="515"/>
      <c r="H78" s="664"/>
      <c r="I78" s="516" t="str">
        <f t="shared" si="56"/>
        <v>-</v>
      </c>
      <c r="J78" s="516" t="str">
        <f t="shared" si="57"/>
        <v>-</v>
      </c>
      <c r="K78" s="200" t="str">
        <f t="shared" si="58"/>
        <v>-</v>
      </c>
      <c r="L78" s="596"/>
      <c r="M78" s="201" t="e">
        <f>RANK(K78, K$67:$K$81)</f>
        <v>#VALUE!</v>
      </c>
      <c r="N78" s="614"/>
      <c r="O78" s="614"/>
      <c r="P78" s="514"/>
      <c r="Q78" s="515"/>
      <c r="R78" s="515"/>
      <c r="S78" s="514" t="e">
        <f t="shared" si="73"/>
        <v>#N/A</v>
      </c>
      <c r="T78" s="624"/>
      <c r="U78" s="514"/>
      <c r="V78" s="515"/>
      <c r="W78" s="515"/>
      <c r="X78" s="514" t="e">
        <f t="shared" si="59"/>
        <v>#N/A</v>
      </c>
      <c r="Y78" s="624"/>
      <c r="Z78" s="514"/>
      <c r="AA78" s="515"/>
      <c r="AB78" s="515"/>
      <c r="AC78" s="514" t="e">
        <f t="shared" si="61"/>
        <v>#N/A</v>
      </c>
      <c r="AD78" s="624"/>
      <c r="AE78" s="514"/>
      <c r="AF78" s="515"/>
      <c r="AG78" s="515"/>
      <c r="AH78" s="514" t="e">
        <f t="shared" si="63"/>
        <v>#N/A</v>
      </c>
      <c r="AI78" s="624"/>
      <c r="AJ78" s="514"/>
      <c r="AK78" s="515"/>
      <c r="AL78" s="515"/>
      <c r="AM78" s="514" t="e">
        <f t="shared" si="65"/>
        <v>#N/A</v>
      </c>
      <c r="AN78" s="624"/>
      <c r="AO78" s="514"/>
      <c r="AP78" s="515"/>
      <c r="AQ78" s="515"/>
      <c r="AR78" s="514" t="e">
        <f t="shared" si="67"/>
        <v>#N/A</v>
      </c>
      <c r="AS78" s="624"/>
      <c r="AT78" s="514"/>
      <c r="AU78" s="515"/>
      <c r="AV78" s="515"/>
      <c r="AW78" s="514" t="e">
        <f t="shared" si="69"/>
        <v>#N/A</v>
      </c>
      <c r="AX78" s="624"/>
      <c r="AZ78" s="524" t="e">
        <f t="shared" si="71"/>
        <v>#N/A</v>
      </c>
      <c r="BA78" s="624"/>
    </row>
    <row r="79" spans="2:53">
      <c r="B79" s="622"/>
      <c r="C79" s="306">
        <v>13</v>
      </c>
      <c r="D79" s="226"/>
      <c r="E79" s="182"/>
      <c r="F79" s="514"/>
      <c r="G79" s="515"/>
      <c r="H79" s="664"/>
      <c r="I79" s="516" t="str">
        <f t="shared" si="56"/>
        <v>-</v>
      </c>
      <c r="J79" s="516" t="str">
        <f t="shared" si="57"/>
        <v>-</v>
      </c>
      <c r="K79" s="200" t="str">
        <f t="shared" si="58"/>
        <v>-</v>
      </c>
      <c r="L79" s="596"/>
      <c r="M79" s="201" t="e">
        <f>RANK(K79, K$67:$K$81)</f>
        <v>#VALUE!</v>
      </c>
      <c r="N79" s="614"/>
      <c r="O79" s="614"/>
      <c r="P79" s="514"/>
      <c r="Q79" s="515"/>
      <c r="R79" s="515"/>
      <c r="S79" s="514" t="e">
        <f t="shared" si="73"/>
        <v>#N/A</v>
      </c>
      <c r="T79" s="624"/>
      <c r="U79" s="514"/>
      <c r="V79" s="515"/>
      <c r="W79" s="515"/>
      <c r="X79" s="514" t="e">
        <f t="shared" si="59"/>
        <v>#N/A</v>
      </c>
      <c r="Y79" s="624"/>
      <c r="Z79" s="514"/>
      <c r="AA79" s="515"/>
      <c r="AB79" s="515"/>
      <c r="AC79" s="514" t="e">
        <f t="shared" si="61"/>
        <v>#N/A</v>
      </c>
      <c r="AD79" s="624"/>
      <c r="AE79" s="514"/>
      <c r="AF79" s="515"/>
      <c r="AG79" s="515"/>
      <c r="AH79" s="514" t="e">
        <f t="shared" si="63"/>
        <v>#N/A</v>
      </c>
      <c r="AI79" s="624"/>
      <c r="AJ79" s="514"/>
      <c r="AK79" s="515"/>
      <c r="AL79" s="515"/>
      <c r="AM79" s="514" t="e">
        <f t="shared" si="65"/>
        <v>#N/A</v>
      </c>
      <c r="AN79" s="624"/>
      <c r="AO79" s="514"/>
      <c r="AP79" s="515"/>
      <c r="AQ79" s="515"/>
      <c r="AR79" s="514" t="e">
        <f t="shared" si="67"/>
        <v>#N/A</v>
      </c>
      <c r="AS79" s="624"/>
      <c r="AT79" s="514"/>
      <c r="AU79" s="515"/>
      <c r="AV79" s="515"/>
      <c r="AW79" s="514" t="e">
        <f t="shared" si="69"/>
        <v>#N/A</v>
      </c>
      <c r="AX79" s="624"/>
      <c r="AZ79" s="524" t="e">
        <f t="shared" si="71"/>
        <v>#N/A</v>
      </c>
      <c r="BA79" s="624"/>
    </row>
    <row r="80" spans="2:53">
      <c r="B80" s="622"/>
      <c r="C80" s="306">
        <v>14</v>
      </c>
      <c r="D80" s="226"/>
      <c r="E80" s="182"/>
      <c r="F80" s="514"/>
      <c r="G80" s="515"/>
      <c r="H80" s="664"/>
      <c r="I80" s="516" t="str">
        <f t="shared" si="56"/>
        <v>-</v>
      </c>
      <c r="J80" s="516" t="str">
        <f t="shared" si="57"/>
        <v>-</v>
      </c>
      <c r="K80" s="200" t="str">
        <f t="shared" si="58"/>
        <v>-</v>
      </c>
      <c r="L80" s="596"/>
      <c r="M80" s="201" t="e">
        <f>RANK(K80, K$67:$K$81)</f>
        <v>#VALUE!</v>
      </c>
      <c r="N80" s="614"/>
      <c r="O80" s="614"/>
      <c r="P80" s="514"/>
      <c r="Q80" s="515"/>
      <c r="R80" s="515"/>
      <c r="S80" s="514" t="e">
        <f t="shared" si="73"/>
        <v>#N/A</v>
      </c>
      <c r="T80" s="624"/>
      <c r="U80" s="514"/>
      <c r="V80" s="515"/>
      <c r="W80" s="515"/>
      <c r="X80" s="514" t="e">
        <f t="shared" si="59"/>
        <v>#N/A</v>
      </c>
      <c r="Y80" s="624"/>
      <c r="Z80" s="514"/>
      <c r="AA80" s="515"/>
      <c r="AB80" s="515"/>
      <c r="AC80" s="514" t="e">
        <f t="shared" si="61"/>
        <v>#N/A</v>
      </c>
      <c r="AD80" s="624"/>
      <c r="AE80" s="514"/>
      <c r="AF80" s="515"/>
      <c r="AG80" s="515"/>
      <c r="AH80" s="514" t="e">
        <f t="shared" si="63"/>
        <v>#N/A</v>
      </c>
      <c r="AI80" s="624"/>
      <c r="AJ80" s="514"/>
      <c r="AK80" s="515"/>
      <c r="AL80" s="515"/>
      <c r="AM80" s="514" t="e">
        <f t="shared" si="65"/>
        <v>#N/A</v>
      </c>
      <c r="AN80" s="624"/>
      <c r="AO80" s="514"/>
      <c r="AP80" s="515"/>
      <c r="AQ80" s="515"/>
      <c r="AR80" s="514" t="e">
        <f t="shared" si="67"/>
        <v>#N/A</v>
      </c>
      <c r="AS80" s="624"/>
      <c r="AT80" s="514"/>
      <c r="AU80" s="515"/>
      <c r="AV80" s="515"/>
      <c r="AW80" s="514" t="e">
        <f t="shared" si="69"/>
        <v>#N/A</v>
      </c>
      <c r="AX80" s="624"/>
      <c r="AZ80" s="524" t="e">
        <f t="shared" si="71"/>
        <v>#N/A</v>
      </c>
      <c r="BA80" s="624"/>
    </row>
    <row r="81" spans="2:53">
      <c r="B81" s="622"/>
      <c r="C81" s="306">
        <v>15</v>
      </c>
      <c r="D81" s="226"/>
      <c r="E81" s="182"/>
      <c r="F81" s="514"/>
      <c r="G81" s="515"/>
      <c r="H81" s="665"/>
      <c r="I81" s="202"/>
      <c r="J81" s="202"/>
      <c r="K81" s="202"/>
      <c r="L81" s="597"/>
      <c r="M81" s="201" t="e">
        <f>RANK(K81, K$67:$K$81)</f>
        <v>#N/A</v>
      </c>
      <c r="N81" s="614"/>
      <c r="O81" s="614"/>
      <c r="P81" s="514"/>
      <c r="Q81" s="515"/>
      <c r="R81" s="515"/>
      <c r="S81" s="514" t="e">
        <f t="shared" si="73"/>
        <v>#N/A</v>
      </c>
      <c r="T81" s="625"/>
      <c r="U81" s="514"/>
      <c r="V81" s="515"/>
      <c r="W81" s="515"/>
      <c r="X81" s="514" t="e">
        <f t="shared" si="59"/>
        <v>#N/A</v>
      </c>
      <c r="Y81" s="625"/>
      <c r="Z81" s="514"/>
      <c r="AA81" s="515"/>
      <c r="AB81" s="515"/>
      <c r="AC81" s="514" t="e">
        <f t="shared" si="61"/>
        <v>#N/A</v>
      </c>
      <c r="AD81" s="625"/>
      <c r="AE81" s="514"/>
      <c r="AF81" s="515"/>
      <c r="AG81" s="515"/>
      <c r="AH81" s="514" t="e">
        <f t="shared" si="63"/>
        <v>#N/A</v>
      </c>
      <c r="AI81" s="625"/>
      <c r="AJ81" s="514"/>
      <c r="AK81" s="515"/>
      <c r="AL81" s="515"/>
      <c r="AM81" s="514" t="e">
        <f t="shared" si="65"/>
        <v>#N/A</v>
      </c>
      <c r="AN81" s="625"/>
      <c r="AO81" s="514"/>
      <c r="AP81" s="515"/>
      <c r="AQ81" s="515"/>
      <c r="AR81" s="514" t="e">
        <f t="shared" si="67"/>
        <v>#N/A</v>
      </c>
      <c r="AS81" s="625"/>
      <c r="AT81" s="514"/>
      <c r="AU81" s="515"/>
      <c r="AV81" s="515"/>
      <c r="AW81" s="514" t="e">
        <f t="shared" si="69"/>
        <v>#N/A</v>
      </c>
      <c r="AX81" s="625"/>
      <c r="AZ81" s="524" t="e">
        <f t="shared" si="71"/>
        <v>#N/A</v>
      </c>
      <c r="BA81" s="625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424</v>
      </c>
      <c r="C84" s="614" t="s">
        <v>425</v>
      </c>
      <c r="D84" s="614"/>
      <c r="E84" s="614" t="s">
        <v>426</v>
      </c>
      <c r="F84" s="614"/>
      <c r="G84" s="614"/>
      <c r="H84" s="630" t="s">
        <v>427</v>
      </c>
      <c r="I84" s="598" t="s">
        <v>428</v>
      </c>
      <c r="J84" s="598"/>
      <c r="K84" s="598"/>
      <c r="L84" s="599" t="s">
        <v>427</v>
      </c>
      <c r="M84" s="605" t="s">
        <v>429</v>
      </c>
      <c r="N84" s="614"/>
      <c r="O84" s="614" t="s">
        <v>430</v>
      </c>
      <c r="P84" s="611" t="s">
        <v>431</v>
      </c>
      <c r="Q84" s="612"/>
      <c r="R84" s="612"/>
      <c r="S84" s="613"/>
      <c r="T84" s="614" t="s">
        <v>427</v>
      </c>
      <c r="U84" s="611" t="s">
        <v>431</v>
      </c>
      <c r="V84" s="612"/>
      <c r="W84" s="612"/>
      <c r="X84" s="613"/>
      <c r="Y84" s="614" t="s">
        <v>427</v>
      </c>
      <c r="Z84" s="611" t="s">
        <v>431</v>
      </c>
      <c r="AA84" s="612"/>
      <c r="AB84" s="612"/>
      <c r="AC84" s="613"/>
      <c r="AD84" s="614" t="s">
        <v>427</v>
      </c>
      <c r="AE84" s="611" t="s">
        <v>431</v>
      </c>
      <c r="AF84" s="612"/>
      <c r="AG84" s="612"/>
      <c r="AH84" s="613"/>
      <c r="AI84" s="614" t="s">
        <v>427</v>
      </c>
      <c r="AJ84" s="611" t="s">
        <v>431</v>
      </c>
      <c r="AK84" s="612"/>
      <c r="AL84" s="612"/>
      <c r="AM84" s="613"/>
      <c r="AN84" s="614" t="s">
        <v>427</v>
      </c>
      <c r="AO84" s="611" t="s">
        <v>431</v>
      </c>
      <c r="AP84" s="612"/>
      <c r="AQ84" s="612"/>
      <c r="AR84" s="613"/>
      <c r="AS84" s="614" t="s">
        <v>427</v>
      </c>
      <c r="AT84" s="611" t="s">
        <v>431</v>
      </c>
      <c r="AU84" s="612"/>
      <c r="AV84" s="612"/>
      <c r="AW84" s="613"/>
      <c r="AX84" s="614" t="s">
        <v>427</v>
      </c>
      <c r="BA84" s="614" t="s">
        <v>395</v>
      </c>
    </row>
    <row r="85" spans="2:53">
      <c r="B85" s="614"/>
      <c r="C85" s="614"/>
      <c r="D85" s="614"/>
      <c r="E85" s="614" t="s">
        <v>432</v>
      </c>
      <c r="F85" s="614"/>
      <c r="G85" s="614"/>
      <c r="H85" s="631"/>
      <c r="I85" s="598" t="s">
        <v>432</v>
      </c>
      <c r="J85" s="598"/>
      <c r="K85" s="598"/>
      <c r="L85" s="600"/>
      <c r="M85" s="606"/>
      <c r="N85" s="614"/>
      <c r="O85" s="614"/>
      <c r="P85" s="611" t="s">
        <v>433</v>
      </c>
      <c r="Q85" s="612"/>
      <c r="R85" s="612"/>
      <c r="S85" s="613"/>
      <c r="T85" s="614"/>
      <c r="U85" s="611" t="s">
        <v>433</v>
      </c>
      <c r="V85" s="612"/>
      <c r="W85" s="612"/>
      <c r="X85" s="613"/>
      <c r="Y85" s="614"/>
      <c r="Z85" s="611" t="s">
        <v>433</v>
      </c>
      <c r="AA85" s="612"/>
      <c r="AB85" s="612"/>
      <c r="AC85" s="613"/>
      <c r="AD85" s="614"/>
      <c r="AE85" s="611" t="s">
        <v>433</v>
      </c>
      <c r="AF85" s="612"/>
      <c r="AG85" s="612"/>
      <c r="AH85" s="613"/>
      <c r="AI85" s="614"/>
      <c r="AJ85" s="611" t="s">
        <v>433</v>
      </c>
      <c r="AK85" s="612"/>
      <c r="AL85" s="612"/>
      <c r="AM85" s="613"/>
      <c r="AN85" s="614"/>
      <c r="AO85" s="611" t="s">
        <v>433</v>
      </c>
      <c r="AP85" s="612"/>
      <c r="AQ85" s="612"/>
      <c r="AR85" s="613"/>
      <c r="AS85" s="614"/>
      <c r="AT85" s="611" t="s">
        <v>433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299" t="s">
        <v>434</v>
      </c>
      <c r="F86" s="299" t="s">
        <v>435</v>
      </c>
      <c r="G86" s="299" t="s">
        <v>436</v>
      </c>
      <c r="H86" s="632"/>
      <c r="I86" s="300" t="s">
        <v>434</v>
      </c>
      <c r="J86" s="300" t="s">
        <v>435</v>
      </c>
      <c r="K86" s="300" t="s">
        <v>436</v>
      </c>
      <c r="L86" s="601"/>
      <c r="M86" s="607"/>
      <c r="N86" s="614"/>
      <c r="O86" s="614"/>
      <c r="P86" s="299" t="s">
        <v>434</v>
      </c>
      <c r="Q86" s="299" t="s">
        <v>435</v>
      </c>
      <c r="R86" s="299" t="s">
        <v>436</v>
      </c>
      <c r="S86" s="299" t="s">
        <v>429</v>
      </c>
      <c r="T86" s="614"/>
      <c r="U86" s="299" t="s">
        <v>434</v>
      </c>
      <c r="V86" s="299" t="s">
        <v>435</v>
      </c>
      <c r="W86" s="299" t="s">
        <v>436</v>
      </c>
      <c r="X86" s="299" t="s">
        <v>429</v>
      </c>
      <c r="Y86" s="614"/>
      <c r="Z86" s="299" t="s">
        <v>434</v>
      </c>
      <c r="AA86" s="299" t="s">
        <v>435</v>
      </c>
      <c r="AB86" s="299" t="s">
        <v>436</v>
      </c>
      <c r="AC86" s="299" t="s">
        <v>429</v>
      </c>
      <c r="AD86" s="614"/>
      <c r="AE86" s="299" t="s">
        <v>434</v>
      </c>
      <c r="AF86" s="299" t="s">
        <v>435</v>
      </c>
      <c r="AG86" s="299" t="s">
        <v>436</v>
      </c>
      <c r="AH86" s="299" t="s">
        <v>429</v>
      </c>
      <c r="AI86" s="614"/>
      <c r="AJ86" s="299" t="s">
        <v>434</v>
      </c>
      <c r="AK86" s="299" t="s">
        <v>435</v>
      </c>
      <c r="AL86" s="299" t="s">
        <v>436</v>
      </c>
      <c r="AM86" s="299" t="s">
        <v>429</v>
      </c>
      <c r="AN86" s="614"/>
      <c r="AO86" s="299" t="s">
        <v>434</v>
      </c>
      <c r="AP86" s="299" t="s">
        <v>435</v>
      </c>
      <c r="AQ86" s="299" t="s">
        <v>436</v>
      </c>
      <c r="AR86" s="299" t="s">
        <v>429</v>
      </c>
      <c r="AS86" s="614"/>
      <c r="AT86" s="299" t="s">
        <v>434</v>
      </c>
      <c r="AU86" s="299" t="s">
        <v>435</v>
      </c>
      <c r="AV86" s="299" t="s">
        <v>436</v>
      </c>
      <c r="AW86" s="299" t="s">
        <v>429</v>
      </c>
      <c r="AX86" s="614"/>
      <c r="AZ86" s="523" t="s">
        <v>396</v>
      </c>
      <c r="BA86" s="614"/>
    </row>
    <row r="87" spans="2:53">
      <c r="B87" s="614" t="s">
        <v>440</v>
      </c>
      <c r="C87" s="298">
        <v>1</v>
      </c>
      <c r="D87" s="226"/>
      <c r="E87" s="182"/>
      <c r="F87" s="490"/>
      <c r="G87" s="491"/>
      <c r="H87" s="663" t="e">
        <f>AVERAGE(G87:G101)</f>
        <v>#DIV/0!</v>
      </c>
      <c r="I87" s="516" t="str">
        <f t="shared" ref="I87:I100" si="74">IFERROR(AVERAGE(P87,U87,Z87,AE87,AJ87,AO87,AT87),"-")</f>
        <v>-</v>
      </c>
      <c r="J87" s="516" t="str">
        <f t="shared" ref="J87:J100" si="75">IFERROR(AVERAGE(Q87,V87,AA87,AF87,AK87,AP87,AU87),"-")</f>
        <v>-</v>
      </c>
      <c r="K87" s="200" t="str">
        <f t="shared" ref="K87:K100" si="76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182"/>
      <c r="Q87" s="506"/>
      <c r="R87" s="506"/>
      <c r="S87" s="298" t="e">
        <f>RANK(R87, R$87:R$101)</f>
        <v>#N/A</v>
      </c>
      <c r="T87" s="663" t="e">
        <f>AVERAGE(R87:R101)</f>
        <v>#DIV/0!</v>
      </c>
      <c r="U87" s="182"/>
      <c r="V87" s="506"/>
      <c r="W87" s="506"/>
      <c r="X87" s="442" t="e">
        <f t="shared" ref="X87:X101" si="77">RANK(W87, W$87:W$101)</f>
        <v>#N/A</v>
      </c>
      <c r="Y87" s="663" t="e">
        <f t="shared" ref="Y87" si="78">AVERAGE(W87:W101)</f>
        <v>#DIV/0!</v>
      </c>
      <c r="Z87" s="182"/>
      <c r="AA87" s="506"/>
      <c r="AB87" s="506"/>
      <c r="AC87" s="442" t="e">
        <f t="shared" ref="AC87:AC101" si="79">RANK(AB87, AB$87:AB$101)</f>
        <v>#N/A</v>
      </c>
      <c r="AD87" s="663" t="e">
        <f t="shared" ref="AD87" si="80">AVERAGE(AB87:AB101)</f>
        <v>#DIV/0!</v>
      </c>
      <c r="AE87" s="182"/>
      <c r="AF87" s="506"/>
      <c r="AG87" s="506"/>
      <c r="AH87" s="442" t="e">
        <f t="shared" ref="AH87:AH101" si="81">RANK(AG87, AG$87:AG$101)</f>
        <v>#N/A</v>
      </c>
      <c r="AI87" s="663" t="e">
        <f t="shared" ref="AI87" si="82">AVERAGE(AG87:AG101)</f>
        <v>#DIV/0!</v>
      </c>
      <c r="AJ87" s="182"/>
      <c r="AK87" s="506"/>
      <c r="AL87" s="506"/>
      <c r="AM87" s="442" t="e">
        <f t="shared" ref="AM87:AM101" si="83">RANK(AL87, AL$87:AL$101)</f>
        <v>#N/A</v>
      </c>
      <c r="AN87" s="663" t="e">
        <f t="shared" ref="AN87" si="84">AVERAGE(AL87:AL101)</f>
        <v>#DIV/0!</v>
      </c>
      <c r="AO87" s="182"/>
      <c r="AP87" s="506"/>
      <c r="AQ87" s="506"/>
      <c r="AR87" s="442" t="e">
        <f t="shared" ref="AR87:AR101" si="85">RANK(AQ87, AQ$87:AQ$101)</f>
        <v>#N/A</v>
      </c>
      <c r="AS87" s="663" t="e">
        <f t="shared" ref="AS87" si="86">AVERAGE(AQ87:AQ101)</f>
        <v>#DIV/0!</v>
      </c>
      <c r="AT87" s="182"/>
      <c r="AU87" s="506"/>
      <c r="AV87" s="506"/>
      <c r="AW87" s="442" t="e">
        <f t="shared" ref="AW87:AW101" si="87">RANK(AV87, AV$87:AV$101)</f>
        <v>#N/A</v>
      </c>
      <c r="AX87" s="636" t="e">
        <f t="shared" ref="AX87" si="88">AVERAGE(AV87:AV101)</f>
        <v>#DIV/0!</v>
      </c>
      <c r="AZ87" s="524" t="e">
        <f t="shared" ref="AZ87:AZ101" si="89">RANK(AY87, AY$87:AY$101)</f>
        <v>#N/A</v>
      </c>
      <c r="BA87" s="636" t="e">
        <f t="shared" ref="BA87" si="90">AVERAGE(AY87:AY101)</f>
        <v>#DIV/0!</v>
      </c>
    </row>
    <row r="88" spans="2:53">
      <c r="B88" s="622"/>
      <c r="C88" s="298">
        <v>2</v>
      </c>
      <c r="D88" s="226"/>
      <c r="E88" s="182"/>
      <c r="F88" s="490"/>
      <c r="G88" s="491"/>
      <c r="H88" s="664"/>
      <c r="I88" s="516" t="str">
        <f t="shared" si="74"/>
        <v>-</v>
      </c>
      <c r="J88" s="516" t="str">
        <f t="shared" si="75"/>
        <v>-</v>
      </c>
      <c r="K88" s="200" t="str">
        <f t="shared" si="76"/>
        <v>-</v>
      </c>
      <c r="L88" s="596"/>
      <c r="M88" s="201" t="e">
        <f>RANK(K88, K$87:$K$101)</f>
        <v>#VALUE!</v>
      </c>
      <c r="N88" s="614"/>
      <c r="O88" s="614"/>
      <c r="P88" s="505"/>
      <c r="Q88" s="506"/>
      <c r="R88" s="506"/>
      <c r="S88" s="298" t="e">
        <f t="shared" ref="S88:S101" si="91">RANK(R88, R$87:R$101)</f>
        <v>#N/A</v>
      </c>
      <c r="T88" s="664"/>
      <c r="U88" s="505"/>
      <c r="V88" s="506"/>
      <c r="W88" s="506"/>
      <c r="X88" s="442" t="e">
        <f t="shared" si="77"/>
        <v>#N/A</v>
      </c>
      <c r="Y88" s="664"/>
      <c r="Z88" s="505"/>
      <c r="AA88" s="506"/>
      <c r="AB88" s="506"/>
      <c r="AC88" s="442" t="e">
        <f t="shared" si="79"/>
        <v>#N/A</v>
      </c>
      <c r="AD88" s="664"/>
      <c r="AE88" s="505"/>
      <c r="AF88" s="506"/>
      <c r="AG88" s="506"/>
      <c r="AH88" s="442" t="e">
        <f t="shared" si="81"/>
        <v>#N/A</v>
      </c>
      <c r="AI88" s="664"/>
      <c r="AJ88" s="505"/>
      <c r="AK88" s="506"/>
      <c r="AL88" s="506"/>
      <c r="AM88" s="442" t="e">
        <f t="shared" si="83"/>
        <v>#N/A</v>
      </c>
      <c r="AN88" s="664"/>
      <c r="AO88" s="505"/>
      <c r="AP88" s="506"/>
      <c r="AQ88" s="506"/>
      <c r="AR88" s="442" t="e">
        <f t="shared" si="85"/>
        <v>#N/A</v>
      </c>
      <c r="AS88" s="664"/>
      <c r="AT88" s="505"/>
      <c r="AU88" s="506"/>
      <c r="AV88" s="506"/>
      <c r="AW88" s="442" t="e">
        <f t="shared" si="87"/>
        <v>#N/A</v>
      </c>
      <c r="AX88" s="636"/>
      <c r="AZ88" s="524" t="e">
        <f t="shared" si="89"/>
        <v>#N/A</v>
      </c>
      <c r="BA88" s="636"/>
    </row>
    <row r="89" spans="2:53">
      <c r="B89" s="622"/>
      <c r="C89" s="298">
        <v>3</v>
      </c>
      <c r="D89" s="226"/>
      <c r="E89" s="182"/>
      <c r="F89" s="490"/>
      <c r="G89" s="491"/>
      <c r="H89" s="664"/>
      <c r="I89" s="516" t="str">
        <f t="shared" si="74"/>
        <v>-</v>
      </c>
      <c r="J89" s="516" t="str">
        <f t="shared" si="75"/>
        <v>-</v>
      </c>
      <c r="K89" s="200" t="str">
        <f t="shared" si="76"/>
        <v>-</v>
      </c>
      <c r="L89" s="596"/>
      <c r="M89" s="201" t="e">
        <f>RANK(K89, K$87:$K$101)</f>
        <v>#VALUE!</v>
      </c>
      <c r="N89" s="614"/>
      <c r="O89" s="614"/>
      <c r="P89" s="505"/>
      <c r="Q89" s="506"/>
      <c r="R89" s="506"/>
      <c r="S89" s="298" t="e">
        <f t="shared" si="91"/>
        <v>#N/A</v>
      </c>
      <c r="T89" s="664"/>
      <c r="U89" s="505"/>
      <c r="V89" s="506"/>
      <c r="W89" s="506"/>
      <c r="X89" s="442" t="e">
        <f t="shared" si="77"/>
        <v>#N/A</v>
      </c>
      <c r="Y89" s="664"/>
      <c r="Z89" s="505"/>
      <c r="AA89" s="506"/>
      <c r="AB89" s="506"/>
      <c r="AC89" s="442" t="e">
        <f t="shared" si="79"/>
        <v>#N/A</v>
      </c>
      <c r="AD89" s="664"/>
      <c r="AE89" s="505"/>
      <c r="AF89" s="506"/>
      <c r="AG89" s="506"/>
      <c r="AH89" s="442" t="e">
        <f t="shared" si="81"/>
        <v>#N/A</v>
      </c>
      <c r="AI89" s="664"/>
      <c r="AJ89" s="505"/>
      <c r="AK89" s="506"/>
      <c r="AL89" s="506"/>
      <c r="AM89" s="442" t="e">
        <f t="shared" si="83"/>
        <v>#N/A</v>
      </c>
      <c r="AN89" s="664"/>
      <c r="AO89" s="505"/>
      <c r="AP89" s="506"/>
      <c r="AQ89" s="506"/>
      <c r="AR89" s="442" t="e">
        <f t="shared" si="85"/>
        <v>#N/A</v>
      </c>
      <c r="AS89" s="664"/>
      <c r="AT89" s="505"/>
      <c r="AU89" s="506"/>
      <c r="AV89" s="506"/>
      <c r="AW89" s="442" t="e">
        <f t="shared" si="87"/>
        <v>#N/A</v>
      </c>
      <c r="AX89" s="636"/>
      <c r="AZ89" s="524" t="e">
        <f t="shared" si="89"/>
        <v>#N/A</v>
      </c>
      <c r="BA89" s="636"/>
    </row>
    <row r="90" spans="2:53">
      <c r="B90" s="622"/>
      <c r="C90" s="298">
        <v>4</v>
      </c>
      <c r="D90" s="226"/>
      <c r="E90" s="182"/>
      <c r="F90" s="490"/>
      <c r="G90" s="491"/>
      <c r="H90" s="664"/>
      <c r="I90" s="516" t="str">
        <f t="shared" si="74"/>
        <v>-</v>
      </c>
      <c r="J90" s="516" t="str">
        <f t="shared" si="75"/>
        <v>-</v>
      </c>
      <c r="K90" s="200" t="str">
        <f t="shared" si="76"/>
        <v>-</v>
      </c>
      <c r="L90" s="596"/>
      <c r="M90" s="201" t="e">
        <f>RANK(K90, K$87:$K$101)</f>
        <v>#VALUE!</v>
      </c>
      <c r="N90" s="614"/>
      <c r="O90" s="614"/>
      <c r="P90" s="505"/>
      <c r="Q90" s="506"/>
      <c r="R90" s="506"/>
      <c r="S90" s="298" t="e">
        <f t="shared" si="91"/>
        <v>#N/A</v>
      </c>
      <c r="T90" s="664"/>
      <c r="U90" s="505"/>
      <c r="V90" s="506"/>
      <c r="W90" s="506"/>
      <c r="X90" s="442" t="e">
        <f t="shared" si="77"/>
        <v>#N/A</v>
      </c>
      <c r="Y90" s="664"/>
      <c r="Z90" s="505"/>
      <c r="AA90" s="506"/>
      <c r="AB90" s="506"/>
      <c r="AC90" s="442" t="e">
        <f t="shared" si="79"/>
        <v>#N/A</v>
      </c>
      <c r="AD90" s="664"/>
      <c r="AE90" s="505"/>
      <c r="AF90" s="506"/>
      <c r="AG90" s="506"/>
      <c r="AH90" s="442" t="e">
        <f t="shared" si="81"/>
        <v>#N/A</v>
      </c>
      <c r="AI90" s="664"/>
      <c r="AJ90" s="505"/>
      <c r="AK90" s="506"/>
      <c r="AL90" s="506"/>
      <c r="AM90" s="442" t="e">
        <f t="shared" si="83"/>
        <v>#N/A</v>
      </c>
      <c r="AN90" s="664"/>
      <c r="AO90" s="505"/>
      <c r="AP90" s="506"/>
      <c r="AQ90" s="506"/>
      <c r="AR90" s="442" t="e">
        <f t="shared" si="85"/>
        <v>#N/A</v>
      </c>
      <c r="AS90" s="664"/>
      <c r="AT90" s="505"/>
      <c r="AU90" s="506"/>
      <c r="AV90" s="506"/>
      <c r="AW90" s="442" t="e">
        <f t="shared" si="87"/>
        <v>#N/A</v>
      </c>
      <c r="AX90" s="636"/>
      <c r="AZ90" s="524" t="e">
        <f t="shared" si="89"/>
        <v>#N/A</v>
      </c>
      <c r="BA90" s="636"/>
    </row>
    <row r="91" spans="2:53">
      <c r="B91" s="622"/>
      <c r="C91" s="298">
        <v>5</v>
      </c>
      <c r="D91" s="226"/>
      <c r="E91" s="182"/>
      <c r="F91" s="490"/>
      <c r="G91" s="491"/>
      <c r="H91" s="664"/>
      <c r="I91" s="516" t="str">
        <f t="shared" si="74"/>
        <v>-</v>
      </c>
      <c r="J91" s="516" t="str">
        <f t="shared" si="75"/>
        <v>-</v>
      </c>
      <c r="K91" s="200" t="str">
        <f t="shared" si="76"/>
        <v>-</v>
      </c>
      <c r="L91" s="596"/>
      <c r="M91" s="201" t="e">
        <f>RANK(K91, K$87:$K$101)</f>
        <v>#VALUE!</v>
      </c>
      <c r="N91" s="614"/>
      <c r="O91" s="614"/>
      <c r="P91" s="505"/>
      <c r="Q91" s="506"/>
      <c r="R91" s="506"/>
      <c r="S91" s="298" t="e">
        <f t="shared" si="91"/>
        <v>#N/A</v>
      </c>
      <c r="T91" s="664"/>
      <c r="U91" s="505"/>
      <c r="V91" s="506"/>
      <c r="W91" s="506"/>
      <c r="X91" s="442" t="e">
        <f t="shared" si="77"/>
        <v>#N/A</v>
      </c>
      <c r="Y91" s="664"/>
      <c r="Z91" s="505"/>
      <c r="AA91" s="506"/>
      <c r="AB91" s="506"/>
      <c r="AC91" s="442" t="e">
        <f t="shared" si="79"/>
        <v>#N/A</v>
      </c>
      <c r="AD91" s="664"/>
      <c r="AE91" s="505"/>
      <c r="AF91" s="506"/>
      <c r="AG91" s="506"/>
      <c r="AH91" s="442" t="e">
        <f t="shared" si="81"/>
        <v>#N/A</v>
      </c>
      <c r="AI91" s="664"/>
      <c r="AJ91" s="505"/>
      <c r="AK91" s="506"/>
      <c r="AL91" s="506"/>
      <c r="AM91" s="442" t="e">
        <f t="shared" si="83"/>
        <v>#N/A</v>
      </c>
      <c r="AN91" s="664"/>
      <c r="AO91" s="505"/>
      <c r="AP91" s="506"/>
      <c r="AQ91" s="506"/>
      <c r="AR91" s="442" t="e">
        <f t="shared" si="85"/>
        <v>#N/A</v>
      </c>
      <c r="AS91" s="664"/>
      <c r="AT91" s="505"/>
      <c r="AU91" s="506"/>
      <c r="AV91" s="506"/>
      <c r="AW91" s="442" t="e">
        <f t="shared" si="87"/>
        <v>#N/A</v>
      </c>
      <c r="AX91" s="636"/>
      <c r="AZ91" s="524" t="e">
        <f t="shared" si="89"/>
        <v>#N/A</v>
      </c>
      <c r="BA91" s="636"/>
    </row>
    <row r="92" spans="2:53">
      <c r="B92" s="622"/>
      <c r="C92" s="298">
        <v>6</v>
      </c>
      <c r="D92" s="226"/>
      <c r="E92" s="182"/>
      <c r="F92" s="490"/>
      <c r="G92" s="491"/>
      <c r="H92" s="664"/>
      <c r="I92" s="516" t="str">
        <f t="shared" si="74"/>
        <v>-</v>
      </c>
      <c r="J92" s="516" t="str">
        <f t="shared" si="75"/>
        <v>-</v>
      </c>
      <c r="K92" s="200" t="str">
        <f t="shared" si="76"/>
        <v>-</v>
      </c>
      <c r="L92" s="596"/>
      <c r="M92" s="201" t="e">
        <f>RANK(K92, K$87:$K$101)</f>
        <v>#VALUE!</v>
      </c>
      <c r="N92" s="614"/>
      <c r="O92" s="614"/>
      <c r="P92" s="505"/>
      <c r="Q92" s="506"/>
      <c r="R92" s="506"/>
      <c r="S92" s="298" t="e">
        <f t="shared" si="91"/>
        <v>#N/A</v>
      </c>
      <c r="T92" s="664"/>
      <c r="U92" s="505"/>
      <c r="V92" s="506"/>
      <c r="W92" s="506"/>
      <c r="X92" s="442" t="e">
        <f t="shared" si="77"/>
        <v>#N/A</v>
      </c>
      <c r="Y92" s="664"/>
      <c r="Z92" s="505"/>
      <c r="AA92" s="506"/>
      <c r="AB92" s="506"/>
      <c r="AC92" s="442" t="e">
        <f t="shared" si="79"/>
        <v>#N/A</v>
      </c>
      <c r="AD92" s="664"/>
      <c r="AE92" s="505"/>
      <c r="AF92" s="506"/>
      <c r="AG92" s="506"/>
      <c r="AH92" s="442" t="e">
        <f t="shared" si="81"/>
        <v>#N/A</v>
      </c>
      <c r="AI92" s="664"/>
      <c r="AJ92" s="505"/>
      <c r="AK92" s="506"/>
      <c r="AL92" s="506"/>
      <c r="AM92" s="442" t="e">
        <f t="shared" si="83"/>
        <v>#N/A</v>
      </c>
      <c r="AN92" s="664"/>
      <c r="AO92" s="505"/>
      <c r="AP92" s="506"/>
      <c r="AQ92" s="506"/>
      <c r="AR92" s="442" t="e">
        <f t="shared" si="85"/>
        <v>#N/A</v>
      </c>
      <c r="AS92" s="664"/>
      <c r="AT92" s="505"/>
      <c r="AU92" s="506"/>
      <c r="AV92" s="506"/>
      <c r="AW92" s="442" t="e">
        <f t="shared" si="87"/>
        <v>#N/A</v>
      </c>
      <c r="AX92" s="636"/>
      <c r="AZ92" s="524" t="e">
        <f t="shared" si="89"/>
        <v>#N/A</v>
      </c>
      <c r="BA92" s="636"/>
    </row>
    <row r="93" spans="2:53">
      <c r="B93" s="622"/>
      <c r="C93" s="298">
        <v>7</v>
      </c>
      <c r="D93" s="226"/>
      <c r="E93" s="182"/>
      <c r="F93" s="490"/>
      <c r="G93" s="491"/>
      <c r="H93" s="664"/>
      <c r="I93" s="516" t="str">
        <f t="shared" si="74"/>
        <v>-</v>
      </c>
      <c r="J93" s="516" t="str">
        <f t="shared" si="75"/>
        <v>-</v>
      </c>
      <c r="K93" s="200" t="str">
        <f t="shared" si="76"/>
        <v>-</v>
      </c>
      <c r="L93" s="596"/>
      <c r="M93" s="201" t="e">
        <f>RANK(K93, K$87:$K$101)</f>
        <v>#VALUE!</v>
      </c>
      <c r="N93" s="614"/>
      <c r="O93" s="614"/>
      <c r="P93" s="505"/>
      <c r="Q93" s="506"/>
      <c r="R93" s="506"/>
      <c r="S93" s="298" t="e">
        <f t="shared" si="91"/>
        <v>#N/A</v>
      </c>
      <c r="T93" s="664"/>
      <c r="U93" s="505"/>
      <c r="V93" s="506"/>
      <c r="W93" s="506"/>
      <c r="X93" s="442" t="e">
        <f t="shared" si="77"/>
        <v>#N/A</v>
      </c>
      <c r="Y93" s="664"/>
      <c r="Z93" s="505"/>
      <c r="AA93" s="506"/>
      <c r="AB93" s="506"/>
      <c r="AC93" s="442" t="e">
        <f t="shared" si="79"/>
        <v>#N/A</v>
      </c>
      <c r="AD93" s="664"/>
      <c r="AE93" s="505"/>
      <c r="AF93" s="506"/>
      <c r="AG93" s="506"/>
      <c r="AH93" s="442" t="e">
        <f t="shared" si="81"/>
        <v>#N/A</v>
      </c>
      <c r="AI93" s="664"/>
      <c r="AJ93" s="505"/>
      <c r="AK93" s="506"/>
      <c r="AL93" s="506"/>
      <c r="AM93" s="442" t="e">
        <f t="shared" si="83"/>
        <v>#N/A</v>
      </c>
      <c r="AN93" s="664"/>
      <c r="AO93" s="505"/>
      <c r="AP93" s="506"/>
      <c r="AQ93" s="506"/>
      <c r="AR93" s="442" t="e">
        <f t="shared" si="85"/>
        <v>#N/A</v>
      </c>
      <c r="AS93" s="664"/>
      <c r="AT93" s="505"/>
      <c r="AU93" s="506"/>
      <c r="AV93" s="506"/>
      <c r="AW93" s="442" t="e">
        <f t="shared" si="87"/>
        <v>#N/A</v>
      </c>
      <c r="AX93" s="636"/>
      <c r="AZ93" s="524" t="e">
        <f t="shared" si="89"/>
        <v>#N/A</v>
      </c>
      <c r="BA93" s="636"/>
    </row>
    <row r="94" spans="2:53">
      <c r="B94" s="622"/>
      <c r="C94" s="298">
        <v>8</v>
      </c>
      <c r="D94" s="226"/>
      <c r="E94" s="182"/>
      <c r="F94" s="490"/>
      <c r="G94" s="491"/>
      <c r="H94" s="664"/>
      <c r="I94" s="516" t="str">
        <f t="shared" si="74"/>
        <v>-</v>
      </c>
      <c r="J94" s="516" t="str">
        <f t="shared" si="75"/>
        <v>-</v>
      </c>
      <c r="K94" s="200" t="str">
        <f t="shared" si="76"/>
        <v>-</v>
      </c>
      <c r="L94" s="596"/>
      <c r="M94" s="201" t="e">
        <f>RANK(K94, K$87:$K$101)</f>
        <v>#VALUE!</v>
      </c>
      <c r="N94" s="614"/>
      <c r="O94" s="614"/>
      <c r="P94" s="505"/>
      <c r="Q94" s="506"/>
      <c r="R94" s="506"/>
      <c r="S94" s="298" t="e">
        <f t="shared" si="91"/>
        <v>#N/A</v>
      </c>
      <c r="T94" s="664"/>
      <c r="U94" s="505"/>
      <c r="V94" s="506"/>
      <c r="W94" s="506"/>
      <c r="X94" s="442" t="e">
        <f t="shared" si="77"/>
        <v>#N/A</v>
      </c>
      <c r="Y94" s="664"/>
      <c r="Z94" s="505"/>
      <c r="AA94" s="506"/>
      <c r="AB94" s="506"/>
      <c r="AC94" s="442" t="e">
        <f t="shared" si="79"/>
        <v>#N/A</v>
      </c>
      <c r="AD94" s="664"/>
      <c r="AE94" s="505"/>
      <c r="AF94" s="506"/>
      <c r="AG94" s="506"/>
      <c r="AH94" s="442" t="e">
        <f t="shared" si="81"/>
        <v>#N/A</v>
      </c>
      <c r="AI94" s="664"/>
      <c r="AJ94" s="505"/>
      <c r="AK94" s="506"/>
      <c r="AL94" s="506"/>
      <c r="AM94" s="442" t="e">
        <f t="shared" si="83"/>
        <v>#N/A</v>
      </c>
      <c r="AN94" s="664"/>
      <c r="AO94" s="505"/>
      <c r="AP94" s="506"/>
      <c r="AQ94" s="506"/>
      <c r="AR94" s="442" t="e">
        <f t="shared" si="85"/>
        <v>#N/A</v>
      </c>
      <c r="AS94" s="664"/>
      <c r="AT94" s="505"/>
      <c r="AU94" s="506"/>
      <c r="AV94" s="506"/>
      <c r="AW94" s="442" t="e">
        <f t="shared" si="87"/>
        <v>#N/A</v>
      </c>
      <c r="AX94" s="636"/>
      <c r="AZ94" s="524" t="e">
        <f t="shared" si="89"/>
        <v>#N/A</v>
      </c>
      <c r="BA94" s="636"/>
    </row>
    <row r="95" spans="2:53">
      <c r="B95" s="622"/>
      <c r="C95" s="298">
        <v>9</v>
      </c>
      <c r="D95" s="226"/>
      <c r="E95" s="182"/>
      <c r="F95" s="490"/>
      <c r="G95" s="491"/>
      <c r="H95" s="664"/>
      <c r="I95" s="516" t="str">
        <f t="shared" si="74"/>
        <v>-</v>
      </c>
      <c r="J95" s="516" t="str">
        <f t="shared" si="75"/>
        <v>-</v>
      </c>
      <c r="K95" s="200" t="str">
        <f t="shared" si="76"/>
        <v>-</v>
      </c>
      <c r="L95" s="596"/>
      <c r="M95" s="201" t="e">
        <f>RANK(K95, K$87:$K$101)</f>
        <v>#VALUE!</v>
      </c>
      <c r="N95" s="614"/>
      <c r="O95" s="614"/>
      <c r="P95" s="505"/>
      <c r="Q95" s="506"/>
      <c r="R95" s="506"/>
      <c r="S95" s="298" t="e">
        <f t="shared" si="91"/>
        <v>#N/A</v>
      </c>
      <c r="T95" s="664"/>
      <c r="U95" s="505"/>
      <c r="V95" s="506"/>
      <c r="W95" s="506"/>
      <c r="X95" s="442" t="e">
        <f t="shared" si="77"/>
        <v>#N/A</v>
      </c>
      <c r="Y95" s="664"/>
      <c r="Z95" s="505"/>
      <c r="AA95" s="506"/>
      <c r="AB95" s="506"/>
      <c r="AC95" s="442" t="e">
        <f t="shared" si="79"/>
        <v>#N/A</v>
      </c>
      <c r="AD95" s="664"/>
      <c r="AE95" s="505"/>
      <c r="AF95" s="506"/>
      <c r="AG95" s="506"/>
      <c r="AH95" s="442" t="e">
        <f t="shared" si="81"/>
        <v>#N/A</v>
      </c>
      <c r="AI95" s="664"/>
      <c r="AJ95" s="505"/>
      <c r="AK95" s="506"/>
      <c r="AL95" s="506"/>
      <c r="AM95" s="442" t="e">
        <f t="shared" si="83"/>
        <v>#N/A</v>
      </c>
      <c r="AN95" s="664"/>
      <c r="AO95" s="505"/>
      <c r="AP95" s="506"/>
      <c r="AQ95" s="506"/>
      <c r="AR95" s="442" t="e">
        <f t="shared" si="85"/>
        <v>#N/A</v>
      </c>
      <c r="AS95" s="664"/>
      <c r="AT95" s="505"/>
      <c r="AU95" s="506"/>
      <c r="AV95" s="506"/>
      <c r="AW95" s="442" t="e">
        <f t="shared" si="87"/>
        <v>#N/A</v>
      </c>
      <c r="AX95" s="636"/>
      <c r="AZ95" s="524" t="e">
        <f t="shared" si="89"/>
        <v>#N/A</v>
      </c>
      <c r="BA95" s="636"/>
    </row>
    <row r="96" spans="2:53">
      <c r="B96" s="622"/>
      <c r="C96" s="298">
        <v>10</v>
      </c>
      <c r="D96" s="226"/>
      <c r="E96" s="182"/>
      <c r="F96" s="490"/>
      <c r="G96" s="491"/>
      <c r="H96" s="664"/>
      <c r="I96" s="516" t="str">
        <f t="shared" si="74"/>
        <v>-</v>
      </c>
      <c r="J96" s="516" t="str">
        <f t="shared" si="75"/>
        <v>-</v>
      </c>
      <c r="K96" s="200" t="str">
        <f t="shared" si="76"/>
        <v>-</v>
      </c>
      <c r="L96" s="596"/>
      <c r="M96" s="201" t="e">
        <f>RANK(K96, K$87:$K$101)</f>
        <v>#VALUE!</v>
      </c>
      <c r="N96" s="614"/>
      <c r="O96" s="614"/>
      <c r="P96" s="505"/>
      <c r="Q96" s="506"/>
      <c r="R96" s="506"/>
      <c r="S96" s="298" t="e">
        <f t="shared" si="91"/>
        <v>#N/A</v>
      </c>
      <c r="T96" s="664"/>
      <c r="U96" s="505"/>
      <c r="V96" s="506"/>
      <c r="W96" s="506"/>
      <c r="X96" s="442" t="e">
        <f t="shared" si="77"/>
        <v>#N/A</v>
      </c>
      <c r="Y96" s="664"/>
      <c r="Z96" s="505"/>
      <c r="AA96" s="506"/>
      <c r="AB96" s="506"/>
      <c r="AC96" s="442" t="e">
        <f t="shared" si="79"/>
        <v>#N/A</v>
      </c>
      <c r="AD96" s="664"/>
      <c r="AE96" s="505"/>
      <c r="AF96" s="506"/>
      <c r="AG96" s="506"/>
      <c r="AH96" s="442" t="e">
        <f t="shared" si="81"/>
        <v>#N/A</v>
      </c>
      <c r="AI96" s="664"/>
      <c r="AJ96" s="505"/>
      <c r="AK96" s="506"/>
      <c r="AL96" s="506"/>
      <c r="AM96" s="442" t="e">
        <f t="shared" si="83"/>
        <v>#N/A</v>
      </c>
      <c r="AN96" s="664"/>
      <c r="AO96" s="505"/>
      <c r="AP96" s="506"/>
      <c r="AQ96" s="506"/>
      <c r="AR96" s="442" t="e">
        <f t="shared" si="85"/>
        <v>#N/A</v>
      </c>
      <c r="AS96" s="664"/>
      <c r="AT96" s="505"/>
      <c r="AU96" s="506"/>
      <c r="AV96" s="506"/>
      <c r="AW96" s="442" t="e">
        <f t="shared" si="87"/>
        <v>#N/A</v>
      </c>
      <c r="AX96" s="636"/>
      <c r="AZ96" s="524" t="e">
        <f t="shared" si="89"/>
        <v>#N/A</v>
      </c>
      <c r="BA96" s="636"/>
    </row>
    <row r="97" spans="2:53">
      <c r="B97" s="622"/>
      <c r="C97" s="298">
        <v>11</v>
      </c>
      <c r="D97" s="226"/>
      <c r="E97" s="182"/>
      <c r="F97" s="490"/>
      <c r="G97" s="491"/>
      <c r="H97" s="664"/>
      <c r="I97" s="516" t="str">
        <f t="shared" si="74"/>
        <v>-</v>
      </c>
      <c r="J97" s="516" t="str">
        <f t="shared" si="75"/>
        <v>-</v>
      </c>
      <c r="K97" s="200" t="str">
        <f t="shared" si="76"/>
        <v>-</v>
      </c>
      <c r="L97" s="596"/>
      <c r="M97" s="201" t="e">
        <f>RANK(K97, K$87:$K$101)</f>
        <v>#VALUE!</v>
      </c>
      <c r="N97" s="614"/>
      <c r="O97" s="614"/>
      <c r="P97" s="505"/>
      <c r="Q97" s="506"/>
      <c r="R97" s="506"/>
      <c r="S97" s="298" t="e">
        <f t="shared" si="91"/>
        <v>#N/A</v>
      </c>
      <c r="T97" s="664"/>
      <c r="U97" s="505"/>
      <c r="V97" s="506"/>
      <c r="W97" s="506"/>
      <c r="X97" s="442" t="e">
        <f t="shared" si="77"/>
        <v>#N/A</v>
      </c>
      <c r="Y97" s="664"/>
      <c r="Z97" s="505"/>
      <c r="AA97" s="506"/>
      <c r="AB97" s="506"/>
      <c r="AC97" s="442" t="e">
        <f t="shared" si="79"/>
        <v>#N/A</v>
      </c>
      <c r="AD97" s="664"/>
      <c r="AE97" s="505"/>
      <c r="AF97" s="506"/>
      <c r="AG97" s="506"/>
      <c r="AH97" s="442" t="e">
        <f t="shared" si="81"/>
        <v>#N/A</v>
      </c>
      <c r="AI97" s="664"/>
      <c r="AJ97" s="505"/>
      <c r="AK97" s="506"/>
      <c r="AL97" s="506"/>
      <c r="AM97" s="442" t="e">
        <f t="shared" si="83"/>
        <v>#N/A</v>
      </c>
      <c r="AN97" s="664"/>
      <c r="AO97" s="505"/>
      <c r="AP97" s="506"/>
      <c r="AQ97" s="506"/>
      <c r="AR97" s="442" t="e">
        <f t="shared" si="85"/>
        <v>#N/A</v>
      </c>
      <c r="AS97" s="664"/>
      <c r="AT97" s="505"/>
      <c r="AU97" s="506"/>
      <c r="AV97" s="506"/>
      <c r="AW97" s="442" t="e">
        <f t="shared" si="87"/>
        <v>#N/A</v>
      </c>
      <c r="AX97" s="636"/>
      <c r="AZ97" s="524" t="e">
        <f t="shared" si="89"/>
        <v>#N/A</v>
      </c>
      <c r="BA97" s="636"/>
    </row>
    <row r="98" spans="2:53">
      <c r="B98" s="622"/>
      <c r="C98" s="298">
        <v>12</v>
      </c>
      <c r="D98" s="226"/>
      <c r="E98" s="182"/>
      <c r="F98" s="490"/>
      <c r="G98" s="491"/>
      <c r="H98" s="664"/>
      <c r="I98" s="516" t="str">
        <f t="shared" si="74"/>
        <v>-</v>
      </c>
      <c r="J98" s="516" t="str">
        <f t="shared" si="75"/>
        <v>-</v>
      </c>
      <c r="K98" s="200" t="str">
        <f t="shared" si="76"/>
        <v>-</v>
      </c>
      <c r="L98" s="596"/>
      <c r="M98" s="201" t="e">
        <f>RANK(K98, K$87:$K$101)</f>
        <v>#VALUE!</v>
      </c>
      <c r="N98" s="614"/>
      <c r="O98" s="614"/>
      <c r="P98" s="505"/>
      <c r="Q98" s="506"/>
      <c r="R98" s="506"/>
      <c r="S98" s="298" t="e">
        <f t="shared" si="91"/>
        <v>#N/A</v>
      </c>
      <c r="T98" s="664"/>
      <c r="U98" s="505"/>
      <c r="V98" s="506"/>
      <c r="W98" s="506"/>
      <c r="X98" s="442" t="e">
        <f t="shared" si="77"/>
        <v>#N/A</v>
      </c>
      <c r="Y98" s="664"/>
      <c r="Z98" s="505"/>
      <c r="AA98" s="506"/>
      <c r="AB98" s="506"/>
      <c r="AC98" s="442" t="e">
        <f t="shared" si="79"/>
        <v>#N/A</v>
      </c>
      <c r="AD98" s="664"/>
      <c r="AE98" s="505"/>
      <c r="AF98" s="506"/>
      <c r="AG98" s="506"/>
      <c r="AH98" s="442" t="e">
        <f t="shared" si="81"/>
        <v>#N/A</v>
      </c>
      <c r="AI98" s="664"/>
      <c r="AJ98" s="505"/>
      <c r="AK98" s="506"/>
      <c r="AL98" s="506"/>
      <c r="AM98" s="442" t="e">
        <f t="shared" si="83"/>
        <v>#N/A</v>
      </c>
      <c r="AN98" s="664"/>
      <c r="AO98" s="505"/>
      <c r="AP98" s="506"/>
      <c r="AQ98" s="506"/>
      <c r="AR98" s="442" t="e">
        <f t="shared" si="85"/>
        <v>#N/A</v>
      </c>
      <c r="AS98" s="664"/>
      <c r="AT98" s="505"/>
      <c r="AU98" s="506"/>
      <c r="AV98" s="506"/>
      <c r="AW98" s="442" t="e">
        <f t="shared" si="87"/>
        <v>#N/A</v>
      </c>
      <c r="AX98" s="636"/>
      <c r="AZ98" s="524" t="e">
        <f t="shared" si="89"/>
        <v>#N/A</v>
      </c>
      <c r="BA98" s="636"/>
    </row>
    <row r="99" spans="2:53">
      <c r="B99" s="622"/>
      <c r="C99" s="298">
        <v>13</v>
      </c>
      <c r="D99" s="226"/>
      <c r="E99" s="182"/>
      <c r="F99" s="490"/>
      <c r="G99" s="491"/>
      <c r="H99" s="664"/>
      <c r="I99" s="516" t="str">
        <f t="shared" si="74"/>
        <v>-</v>
      </c>
      <c r="J99" s="516" t="str">
        <f t="shared" si="75"/>
        <v>-</v>
      </c>
      <c r="K99" s="200" t="str">
        <f t="shared" si="76"/>
        <v>-</v>
      </c>
      <c r="L99" s="596"/>
      <c r="M99" s="201" t="e">
        <f>RANK(K99, K$87:$K$101)</f>
        <v>#VALUE!</v>
      </c>
      <c r="N99" s="614"/>
      <c r="O99" s="614"/>
      <c r="P99" s="505"/>
      <c r="Q99" s="506"/>
      <c r="R99" s="506"/>
      <c r="S99" s="298" t="e">
        <f t="shared" si="91"/>
        <v>#N/A</v>
      </c>
      <c r="T99" s="664"/>
      <c r="U99" s="505"/>
      <c r="V99" s="506"/>
      <c r="W99" s="506"/>
      <c r="X99" s="442" t="e">
        <f t="shared" si="77"/>
        <v>#N/A</v>
      </c>
      <c r="Y99" s="664"/>
      <c r="Z99" s="505"/>
      <c r="AA99" s="506"/>
      <c r="AB99" s="506"/>
      <c r="AC99" s="442" t="e">
        <f t="shared" si="79"/>
        <v>#N/A</v>
      </c>
      <c r="AD99" s="664"/>
      <c r="AE99" s="505"/>
      <c r="AF99" s="506"/>
      <c r="AG99" s="506"/>
      <c r="AH99" s="442" t="e">
        <f t="shared" si="81"/>
        <v>#N/A</v>
      </c>
      <c r="AI99" s="664"/>
      <c r="AJ99" s="505"/>
      <c r="AK99" s="506"/>
      <c r="AL99" s="506"/>
      <c r="AM99" s="442" t="e">
        <f t="shared" si="83"/>
        <v>#N/A</v>
      </c>
      <c r="AN99" s="664"/>
      <c r="AO99" s="505"/>
      <c r="AP99" s="506"/>
      <c r="AQ99" s="506"/>
      <c r="AR99" s="442" t="e">
        <f t="shared" si="85"/>
        <v>#N/A</v>
      </c>
      <c r="AS99" s="664"/>
      <c r="AT99" s="505"/>
      <c r="AU99" s="506"/>
      <c r="AV99" s="506"/>
      <c r="AW99" s="442" t="e">
        <f t="shared" si="87"/>
        <v>#N/A</v>
      </c>
      <c r="AX99" s="636"/>
      <c r="AZ99" s="524" t="e">
        <f t="shared" si="89"/>
        <v>#N/A</v>
      </c>
      <c r="BA99" s="636"/>
    </row>
    <row r="100" spans="2:53">
      <c r="B100" s="622"/>
      <c r="C100" s="298">
        <v>14</v>
      </c>
      <c r="D100" s="226"/>
      <c r="E100" s="182"/>
      <c r="F100" s="490"/>
      <c r="G100" s="491"/>
      <c r="H100" s="664"/>
      <c r="I100" s="516" t="str">
        <f t="shared" si="74"/>
        <v>-</v>
      </c>
      <c r="J100" s="516" t="str">
        <f t="shared" si="75"/>
        <v>-</v>
      </c>
      <c r="K100" s="200" t="str">
        <f t="shared" si="76"/>
        <v>-</v>
      </c>
      <c r="L100" s="596"/>
      <c r="M100" s="201" t="e">
        <f>RANK(K100, K$87:$K$101)</f>
        <v>#VALUE!</v>
      </c>
      <c r="N100" s="614"/>
      <c r="O100" s="614"/>
      <c r="P100" s="505"/>
      <c r="Q100" s="506"/>
      <c r="R100" s="506"/>
      <c r="S100" s="298" t="e">
        <f t="shared" si="91"/>
        <v>#N/A</v>
      </c>
      <c r="T100" s="664"/>
      <c r="U100" s="505"/>
      <c r="V100" s="506"/>
      <c r="W100" s="506"/>
      <c r="X100" s="442" t="e">
        <f t="shared" si="77"/>
        <v>#N/A</v>
      </c>
      <c r="Y100" s="664"/>
      <c r="Z100" s="505"/>
      <c r="AA100" s="506"/>
      <c r="AB100" s="506"/>
      <c r="AC100" s="442" t="e">
        <f t="shared" si="79"/>
        <v>#N/A</v>
      </c>
      <c r="AD100" s="664"/>
      <c r="AE100" s="505"/>
      <c r="AF100" s="506"/>
      <c r="AG100" s="506"/>
      <c r="AH100" s="442" t="e">
        <f t="shared" si="81"/>
        <v>#N/A</v>
      </c>
      <c r="AI100" s="664"/>
      <c r="AJ100" s="505"/>
      <c r="AK100" s="506"/>
      <c r="AL100" s="506"/>
      <c r="AM100" s="442" t="e">
        <f t="shared" si="83"/>
        <v>#N/A</v>
      </c>
      <c r="AN100" s="664"/>
      <c r="AO100" s="505"/>
      <c r="AP100" s="506"/>
      <c r="AQ100" s="506"/>
      <c r="AR100" s="442" t="e">
        <f t="shared" si="85"/>
        <v>#N/A</v>
      </c>
      <c r="AS100" s="664"/>
      <c r="AT100" s="505"/>
      <c r="AU100" s="506"/>
      <c r="AV100" s="506"/>
      <c r="AW100" s="442" t="e">
        <f t="shared" si="87"/>
        <v>#N/A</v>
      </c>
      <c r="AX100" s="636"/>
      <c r="AZ100" s="524" t="e">
        <f t="shared" si="89"/>
        <v>#N/A</v>
      </c>
      <c r="BA100" s="636"/>
    </row>
    <row r="101" spans="2:53">
      <c r="B101" s="622"/>
      <c r="C101" s="298">
        <v>15</v>
      </c>
      <c r="D101" s="226"/>
      <c r="E101" s="182"/>
      <c r="F101" s="490"/>
      <c r="G101" s="491"/>
      <c r="H101" s="665"/>
      <c r="I101" s="202"/>
      <c r="J101" s="202"/>
      <c r="K101" s="202"/>
      <c r="L101" s="597"/>
      <c r="M101" s="199" t="e">
        <f>RANK(K101, K$87:$K$101)</f>
        <v>#N/A</v>
      </c>
      <c r="N101" s="614"/>
      <c r="O101" s="614"/>
      <c r="P101" s="505"/>
      <c r="Q101" s="506"/>
      <c r="R101" s="506"/>
      <c r="S101" s="298" t="e">
        <f t="shared" si="91"/>
        <v>#N/A</v>
      </c>
      <c r="T101" s="665"/>
      <c r="U101" s="505"/>
      <c r="V101" s="506"/>
      <c r="W101" s="506"/>
      <c r="X101" s="442" t="e">
        <f t="shared" si="77"/>
        <v>#N/A</v>
      </c>
      <c r="Y101" s="665"/>
      <c r="Z101" s="505"/>
      <c r="AA101" s="506"/>
      <c r="AB101" s="506"/>
      <c r="AC101" s="442" t="e">
        <f t="shared" si="79"/>
        <v>#N/A</v>
      </c>
      <c r="AD101" s="665"/>
      <c r="AE101" s="505"/>
      <c r="AF101" s="506"/>
      <c r="AG101" s="506"/>
      <c r="AH101" s="442" t="e">
        <f t="shared" si="81"/>
        <v>#N/A</v>
      </c>
      <c r="AI101" s="665"/>
      <c r="AJ101" s="505"/>
      <c r="AK101" s="506"/>
      <c r="AL101" s="506"/>
      <c r="AM101" s="442" t="e">
        <f t="shared" si="83"/>
        <v>#N/A</v>
      </c>
      <c r="AN101" s="665"/>
      <c r="AO101" s="505"/>
      <c r="AP101" s="506"/>
      <c r="AQ101" s="506"/>
      <c r="AR101" s="442" t="e">
        <f t="shared" si="85"/>
        <v>#N/A</v>
      </c>
      <c r="AS101" s="665"/>
      <c r="AT101" s="505"/>
      <c r="AU101" s="506"/>
      <c r="AV101" s="506"/>
      <c r="AW101" s="442" t="e">
        <f t="shared" si="87"/>
        <v>#N/A</v>
      </c>
      <c r="AX101" s="636"/>
      <c r="AZ101" s="524" t="e">
        <f t="shared" si="89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154</v>
      </c>
      <c r="C104" s="614" t="s">
        <v>408</v>
      </c>
      <c r="D104" s="614"/>
      <c r="E104" s="614" t="s">
        <v>399</v>
      </c>
      <c r="F104" s="614"/>
      <c r="G104" s="614"/>
      <c r="H104" s="630" t="s">
        <v>395</v>
      </c>
      <c r="I104" s="598" t="s">
        <v>400</v>
      </c>
      <c r="J104" s="598"/>
      <c r="K104" s="598"/>
      <c r="L104" s="599" t="s">
        <v>395</v>
      </c>
      <c r="M104" s="605" t="s">
        <v>396</v>
      </c>
      <c r="N104" s="614"/>
      <c r="O104" s="614" t="s">
        <v>401</v>
      </c>
      <c r="P104" s="611" t="s">
        <v>397</v>
      </c>
      <c r="Q104" s="612"/>
      <c r="R104" s="612"/>
      <c r="S104" s="613"/>
      <c r="T104" s="614" t="s">
        <v>395</v>
      </c>
      <c r="U104" s="611" t="s">
        <v>397</v>
      </c>
      <c r="V104" s="612"/>
      <c r="W104" s="612"/>
      <c r="X104" s="613"/>
      <c r="Y104" s="614" t="s">
        <v>395</v>
      </c>
      <c r="Z104" s="611" t="s">
        <v>397</v>
      </c>
      <c r="AA104" s="612"/>
      <c r="AB104" s="612"/>
      <c r="AC104" s="613"/>
      <c r="AD104" s="614" t="s">
        <v>395</v>
      </c>
      <c r="AE104" s="611" t="s">
        <v>397</v>
      </c>
      <c r="AF104" s="612"/>
      <c r="AG104" s="612"/>
      <c r="AH104" s="613"/>
      <c r="AI104" s="614" t="s">
        <v>395</v>
      </c>
      <c r="AJ104" s="611" t="s">
        <v>397</v>
      </c>
      <c r="AK104" s="612"/>
      <c r="AL104" s="612"/>
      <c r="AM104" s="613"/>
      <c r="AN104" s="614" t="s">
        <v>395</v>
      </c>
      <c r="AO104" s="611" t="s">
        <v>397</v>
      </c>
      <c r="AP104" s="612"/>
      <c r="AQ104" s="612"/>
      <c r="AR104" s="613"/>
      <c r="AS104" s="614" t="s">
        <v>395</v>
      </c>
      <c r="AT104" s="611" t="s">
        <v>397</v>
      </c>
      <c r="AU104" s="612"/>
      <c r="AV104" s="612"/>
      <c r="AW104" s="613"/>
      <c r="AX104" s="614" t="s">
        <v>395</v>
      </c>
      <c r="BA104" s="614" t="s">
        <v>395</v>
      </c>
    </row>
    <row r="105" spans="2:53">
      <c r="B105" s="614"/>
      <c r="C105" s="614"/>
      <c r="D105" s="614"/>
      <c r="E105" s="614" t="s">
        <v>402</v>
      </c>
      <c r="F105" s="614"/>
      <c r="G105" s="614"/>
      <c r="H105" s="631"/>
      <c r="I105" s="598" t="s">
        <v>402</v>
      </c>
      <c r="J105" s="598"/>
      <c r="K105" s="598"/>
      <c r="L105" s="600"/>
      <c r="M105" s="606"/>
      <c r="N105" s="614"/>
      <c r="O105" s="614"/>
      <c r="P105" s="611" t="s">
        <v>403</v>
      </c>
      <c r="Q105" s="612"/>
      <c r="R105" s="612"/>
      <c r="S105" s="613"/>
      <c r="T105" s="614"/>
      <c r="U105" s="611" t="s">
        <v>403</v>
      </c>
      <c r="V105" s="612"/>
      <c r="W105" s="612"/>
      <c r="X105" s="613"/>
      <c r="Y105" s="614"/>
      <c r="Z105" s="611" t="s">
        <v>403</v>
      </c>
      <c r="AA105" s="612"/>
      <c r="AB105" s="612"/>
      <c r="AC105" s="613"/>
      <c r="AD105" s="614"/>
      <c r="AE105" s="611" t="s">
        <v>403</v>
      </c>
      <c r="AF105" s="612"/>
      <c r="AG105" s="612"/>
      <c r="AH105" s="613"/>
      <c r="AI105" s="614"/>
      <c r="AJ105" s="611" t="s">
        <v>403</v>
      </c>
      <c r="AK105" s="612"/>
      <c r="AL105" s="612"/>
      <c r="AM105" s="613"/>
      <c r="AN105" s="614"/>
      <c r="AO105" s="611" t="s">
        <v>403</v>
      </c>
      <c r="AP105" s="612"/>
      <c r="AQ105" s="612"/>
      <c r="AR105" s="613"/>
      <c r="AS105" s="614"/>
      <c r="AT105" s="611" t="s">
        <v>403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335" t="s">
        <v>404</v>
      </c>
      <c r="F106" s="335" t="s">
        <v>405</v>
      </c>
      <c r="G106" s="335" t="s">
        <v>406</v>
      </c>
      <c r="H106" s="632"/>
      <c r="I106" s="336" t="s">
        <v>404</v>
      </c>
      <c r="J106" s="336" t="s">
        <v>405</v>
      </c>
      <c r="K106" s="336" t="s">
        <v>406</v>
      </c>
      <c r="L106" s="601"/>
      <c r="M106" s="607"/>
      <c r="N106" s="614"/>
      <c r="O106" s="614"/>
      <c r="P106" s="335" t="s">
        <v>404</v>
      </c>
      <c r="Q106" s="335" t="s">
        <v>405</v>
      </c>
      <c r="R106" s="335" t="s">
        <v>406</v>
      </c>
      <c r="S106" s="335" t="s">
        <v>396</v>
      </c>
      <c r="T106" s="614"/>
      <c r="U106" s="335" t="s">
        <v>404</v>
      </c>
      <c r="V106" s="335" t="s">
        <v>405</v>
      </c>
      <c r="W106" s="335" t="s">
        <v>406</v>
      </c>
      <c r="X106" s="335" t="s">
        <v>396</v>
      </c>
      <c r="Y106" s="614"/>
      <c r="Z106" s="335" t="s">
        <v>404</v>
      </c>
      <c r="AA106" s="335" t="s">
        <v>405</v>
      </c>
      <c r="AB106" s="335" t="s">
        <v>406</v>
      </c>
      <c r="AC106" s="335" t="s">
        <v>396</v>
      </c>
      <c r="AD106" s="614"/>
      <c r="AE106" s="335" t="s">
        <v>404</v>
      </c>
      <c r="AF106" s="335" t="s">
        <v>405</v>
      </c>
      <c r="AG106" s="335" t="s">
        <v>406</v>
      </c>
      <c r="AH106" s="335" t="s">
        <v>396</v>
      </c>
      <c r="AI106" s="614"/>
      <c r="AJ106" s="335" t="s">
        <v>404</v>
      </c>
      <c r="AK106" s="335" t="s">
        <v>405</v>
      </c>
      <c r="AL106" s="335" t="s">
        <v>406</v>
      </c>
      <c r="AM106" s="335" t="s">
        <v>396</v>
      </c>
      <c r="AN106" s="614"/>
      <c r="AO106" s="335" t="s">
        <v>404</v>
      </c>
      <c r="AP106" s="335" t="s">
        <v>405</v>
      </c>
      <c r="AQ106" s="335" t="s">
        <v>406</v>
      </c>
      <c r="AR106" s="335" t="s">
        <v>396</v>
      </c>
      <c r="AS106" s="614"/>
      <c r="AT106" s="335" t="s">
        <v>404</v>
      </c>
      <c r="AU106" s="335" t="s">
        <v>405</v>
      </c>
      <c r="AV106" s="335" t="s">
        <v>406</v>
      </c>
      <c r="AW106" s="335" t="s">
        <v>396</v>
      </c>
      <c r="AX106" s="614"/>
      <c r="AZ106" s="523" t="s">
        <v>396</v>
      </c>
      <c r="BA106" s="614"/>
    </row>
    <row r="107" spans="2:53">
      <c r="B107" s="614" t="s">
        <v>132</v>
      </c>
      <c r="C107" s="334">
        <v>1</v>
      </c>
      <c r="D107" s="226"/>
      <c r="E107" s="182"/>
      <c r="F107" s="466"/>
      <c r="G107" s="467"/>
      <c r="H107" s="663" t="e">
        <f>AVERAGE(G107:G121)</f>
        <v>#DIV/0!</v>
      </c>
      <c r="I107" s="516" t="str">
        <f t="shared" ref="I107:I120" si="92">IFERROR(AVERAGE(P107,U107,Z107,AE107,AJ107,AO107,AT107),"-")</f>
        <v>-</v>
      </c>
      <c r="J107" s="516" t="str">
        <f t="shared" ref="J107:J120" si="93">IFERROR(AVERAGE(Q107,V107,AA107,AF107,AK107,AP107,AU107),"-")</f>
        <v>-</v>
      </c>
      <c r="K107" s="200" t="str">
        <f t="shared" ref="K107:K120" si="94">IFERROR(AVERAGE(R107,W107,AB107,AG107,AL107,AQ107,AV107),"-")</f>
        <v>-</v>
      </c>
      <c r="L107" s="595" t="str">
        <f>IFERROR(AVERAGE(K107:K121),"-")</f>
        <v>-</v>
      </c>
      <c r="M107" s="201" t="e">
        <f>RANK(K107, K$107:$K$121)</f>
        <v>#VALUE!</v>
      </c>
      <c r="N107" s="614"/>
      <c r="O107" s="614"/>
      <c r="P107" s="182"/>
      <c r="Q107" s="337"/>
      <c r="R107" s="337"/>
      <c r="S107" s="334" t="e">
        <f>RANK(R107, R$107:R$121)</f>
        <v>#N/A</v>
      </c>
      <c r="T107" s="663" t="e">
        <f>AVERAGE(R107:R121)</f>
        <v>#DIV/0!</v>
      </c>
      <c r="U107" s="182"/>
      <c r="V107" s="467"/>
      <c r="W107" s="467"/>
      <c r="X107" s="334" t="e">
        <f>RANK(W107, W$107:W$121)</f>
        <v>#N/A</v>
      </c>
      <c r="Y107" s="663" t="e">
        <f>AVERAGE(W107:W121)</f>
        <v>#DIV/0!</v>
      </c>
      <c r="Z107" s="182"/>
      <c r="AA107" s="467"/>
      <c r="AB107" s="467"/>
      <c r="AC107" s="334" t="e">
        <f>RANK(AB107, AB$107:AB$121)</f>
        <v>#N/A</v>
      </c>
      <c r="AD107" s="663" t="e">
        <f>AVERAGE(AB107:AB121)</f>
        <v>#DIV/0!</v>
      </c>
      <c r="AE107" s="182"/>
      <c r="AF107" s="467"/>
      <c r="AG107" s="467"/>
      <c r="AH107" s="334" t="e">
        <f>RANK(AG107, AG$107:AG$121)</f>
        <v>#N/A</v>
      </c>
      <c r="AI107" s="663" t="e">
        <f>AVERAGE(AG107:AG121)</f>
        <v>#DIV/0!</v>
      </c>
      <c r="AJ107" s="182"/>
      <c r="AK107" s="467"/>
      <c r="AL107" s="467"/>
      <c r="AM107" s="334" t="e">
        <f>RANK(AL107, AL$107:AL$121)</f>
        <v>#N/A</v>
      </c>
      <c r="AN107" s="663" t="e">
        <f>AVERAGE(AL107:AL121)</f>
        <v>#DIV/0!</v>
      </c>
      <c r="AO107" s="182"/>
      <c r="AP107" s="467"/>
      <c r="AQ107" s="467"/>
      <c r="AR107" s="334" t="e">
        <f>RANK(AQ107, AQ$107:AQ$121)</f>
        <v>#N/A</v>
      </c>
      <c r="AS107" s="663" t="e">
        <f>AVERAGE(AQ107:AQ121)</f>
        <v>#DIV/0!</v>
      </c>
      <c r="AT107" s="182"/>
      <c r="AU107" s="467"/>
      <c r="AV107" s="467"/>
      <c r="AW107" s="334" t="e">
        <f>RANK(AV107, AV$107:AV$121)</f>
        <v>#N/A</v>
      </c>
      <c r="AX107" s="636" t="e">
        <f>AVERAGE(AV107:AV121)</f>
        <v>#DIV/0!</v>
      </c>
      <c r="AZ107" s="524" t="e">
        <f>RANK(AY107, AY$107:AY$121)</f>
        <v>#N/A</v>
      </c>
      <c r="BA107" s="636" t="e">
        <f>AVERAGE(AY107:AY121)</f>
        <v>#DIV/0!</v>
      </c>
    </row>
    <row r="108" spans="2:53">
      <c r="B108" s="622"/>
      <c r="C108" s="334">
        <v>2</v>
      </c>
      <c r="D108" s="226"/>
      <c r="E108" s="182"/>
      <c r="F108" s="466"/>
      <c r="G108" s="467"/>
      <c r="H108" s="664"/>
      <c r="I108" s="516" t="str">
        <f t="shared" si="92"/>
        <v>-</v>
      </c>
      <c r="J108" s="516" t="str">
        <f t="shared" si="93"/>
        <v>-</v>
      </c>
      <c r="K108" s="200" t="str">
        <f t="shared" si="94"/>
        <v>-</v>
      </c>
      <c r="L108" s="596"/>
      <c r="M108" s="347" t="e">
        <f>RANK(K108, K$107:$K$121)</f>
        <v>#VALUE!</v>
      </c>
      <c r="N108" s="614"/>
      <c r="O108" s="614"/>
      <c r="P108" s="334"/>
      <c r="Q108" s="337"/>
      <c r="R108" s="337"/>
      <c r="S108" s="345" t="e">
        <f t="shared" ref="S108:S121" si="95">RANK(R108, R$107:R$121)</f>
        <v>#N/A</v>
      </c>
      <c r="T108" s="664"/>
      <c r="U108" s="466"/>
      <c r="V108" s="467"/>
      <c r="W108" s="467"/>
      <c r="X108" s="334" t="e">
        <f t="shared" ref="X108:X121" si="96">RANK(W108, W$107:W$121)</f>
        <v>#N/A</v>
      </c>
      <c r="Y108" s="664"/>
      <c r="Z108" s="466"/>
      <c r="AA108" s="467"/>
      <c r="AB108" s="467"/>
      <c r="AC108" s="334" t="e">
        <f t="shared" ref="AC108:AC121" si="97">RANK(AB108, AB$107:AB$121)</f>
        <v>#N/A</v>
      </c>
      <c r="AD108" s="664"/>
      <c r="AE108" s="466"/>
      <c r="AF108" s="467"/>
      <c r="AG108" s="467"/>
      <c r="AH108" s="334" t="e">
        <f t="shared" ref="AH108:AH121" si="98">RANK(AG108, AG$107:AG$121)</f>
        <v>#N/A</v>
      </c>
      <c r="AI108" s="664"/>
      <c r="AJ108" s="466"/>
      <c r="AK108" s="467"/>
      <c r="AL108" s="467"/>
      <c r="AM108" s="334" t="e">
        <f t="shared" ref="AM108:AM121" si="99">RANK(AL108, AL$107:AL$121)</f>
        <v>#N/A</v>
      </c>
      <c r="AN108" s="664"/>
      <c r="AO108" s="466"/>
      <c r="AP108" s="467"/>
      <c r="AQ108" s="467"/>
      <c r="AR108" s="334" t="e">
        <f t="shared" ref="AR108:AR121" si="100">RANK(AQ108, AQ$107:AQ$121)</f>
        <v>#N/A</v>
      </c>
      <c r="AS108" s="664"/>
      <c r="AT108" s="466"/>
      <c r="AU108" s="467"/>
      <c r="AV108" s="467"/>
      <c r="AW108" s="334" t="e">
        <f t="shared" ref="AW108:AW121" si="101">RANK(AV108, AV$107:AV$121)</f>
        <v>#N/A</v>
      </c>
      <c r="AX108" s="636"/>
      <c r="AZ108" s="524" t="e">
        <f t="shared" ref="AZ108:AZ121" si="102">RANK(AY108, AY$107:AY$121)</f>
        <v>#N/A</v>
      </c>
      <c r="BA108" s="636"/>
    </row>
    <row r="109" spans="2:53">
      <c r="B109" s="622"/>
      <c r="C109" s="334">
        <v>3</v>
      </c>
      <c r="D109" s="226"/>
      <c r="E109" s="182"/>
      <c r="F109" s="466"/>
      <c r="G109" s="467"/>
      <c r="H109" s="664"/>
      <c r="I109" s="516" t="str">
        <f t="shared" si="92"/>
        <v>-</v>
      </c>
      <c r="J109" s="516" t="str">
        <f t="shared" si="93"/>
        <v>-</v>
      </c>
      <c r="K109" s="200" t="str">
        <f t="shared" si="94"/>
        <v>-</v>
      </c>
      <c r="L109" s="596"/>
      <c r="M109" s="347" t="e">
        <f>RANK(K109, K$107:$K$121)</f>
        <v>#VALUE!</v>
      </c>
      <c r="N109" s="614"/>
      <c r="O109" s="614"/>
      <c r="P109" s="334"/>
      <c r="Q109" s="337"/>
      <c r="R109" s="337"/>
      <c r="S109" s="345" t="e">
        <f t="shared" si="95"/>
        <v>#N/A</v>
      </c>
      <c r="T109" s="664"/>
      <c r="U109" s="466"/>
      <c r="V109" s="467"/>
      <c r="W109" s="467"/>
      <c r="X109" s="334" t="e">
        <f t="shared" si="96"/>
        <v>#N/A</v>
      </c>
      <c r="Y109" s="664"/>
      <c r="Z109" s="466"/>
      <c r="AA109" s="467"/>
      <c r="AB109" s="467"/>
      <c r="AC109" s="334" t="e">
        <f t="shared" si="97"/>
        <v>#N/A</v>
      </c>
      <c r="AD109" s="664"/>
      <c r="AE109" s="466"/>
      <c r="AF109" s="467"/>
      <c r="AG109" s="467"/>
      <c r="AH109" s="334" t="e">
        <f t="shared" si="98"/>
        <v>#N/A</v>
      </c>
      <c r="AI109" s="664"/>
      <c r="AJ109" s="466"/>
      <c r="AK109" s="467"/>
      <c r="AL109" s="467"/>
      <c r="AM109" s="334" t="e">
        <f t="shared" si="99"/>
        <v>#N/A</v>
      </c>
      <c r="AN109" s="664"/>
      <c r="AO109" s="466"/>
      <c r="AP109" s="467"/>
      <c r="AQ109" s="467"/>
      <c r="AR109" s="334" t="e">
        <f t="shared" si="100"/>
        <v>#N/A</v>
      </c>
      <c r="AS109" s="664"/>
      <c r="AT109" s="466"/>
      <c r="AU109" s="467"/>
      <c r="AV109" s="467"/>
      <c r="AW109" s="334" t="e">
        <f t="shared" si="101"/>
        <v>#N/A</v>
      </c>
      <c r="AX109" s="636"/>
      <c r="AZ109" s="524" t="e">
        <f t="shared" si="102"/>
        <v>#N/A</v>
      </c>
      <c r="BA109" s="636"/>
    </row>
    <row r="110" spans="2:53">
      <c r="B110" s="622"/>
      <c r="C110" s="334">
        <v>4</v>
      </c>
      <c r="D110" s="226"/>
      <c r="E110" s="182"/>
      <c r="F110" s="466"/>
      <c r="G110" s="467"/>
      <c r="H110" s="664"/>
      <c r="I110" s="516" t="str">
        <f t="shared" si="92"/>
        <v>-</v>
      </c>
      <c r="J110" s="516" t="str">
        <f t="shared" si="93"/>
        <v>-</v>
      </c>
      <c r="K110" s="200" t="str">
        <f t="shared" si="94"/>
        <v>-</v>
      </c>
      <c r="L110" s="596"/>
      <c r="M110" s="347" t="e">
        <f>RANK(K110, K$107:$K$121)</f>
        <v>#VALUE!</v>
      </c>
      <c r="N110" s="614"/>
      <c r="O110" s="614"/>
      <c r="P110" s="334"/>
      <c r="Q110" s="337"/>
      <c r="R110" s="337"/>
      <c r="S110" s="345" t="e">
        <f t="shared" si="95"/>
        <v>#N/A</v>
      </c>
      <c r="T110" s="664"/>
      <c r="U110" s="466"/>
      <c r="V110" s="467"/>
      <c r="W110" s="467"/>
      <c r="X110" s="334" t="e">
        <f t="shared" si="96"/>
        <v>#N/A</v>
      </c>
      <c r="Y110" s="664"/>
      <c r="Z110" s="466"/>
      <c r="AA110" s="467"/>
      <c r="AB110" s="467"/>
      <c r="AC110" s="334" t="e">
        <f t="shared" si="97"/>
        <v>#N/A</v>
      </c>
      <c r="AD110" s="664"/>
      <c r="AE110" s="466"/>
      <c r="AF110" s="467"/>
      <c r="AG110" s="467"/>
      <c r="AH110" s="334" t="e">
        <f t="shared" si="98"/>
        <v>#N/A</v>
      </c>
      <c r="AI110" s="664"/>
      <c r="AJ110" s="466"/>
      <c r="AK110" s="467"/>
      <c r="AL110" s="467"/>
      <c r="AM110" s="334" t="e">
        <f t="shared" si="99"/>
        <v>#N/A</v>
      </c>
      <c r="AN110" s="664"/>
      <c r="AO110" s="466"/>
      <c r="AP110" s="467"/>
      <c r="AQ110" s="467"/>
      <c r="AR110" s="334" t="e">
        <f t="shared" si="100"/>
        <v>#N/A</v>
      </c>
      <c r="AS110" s="664"/>
      <c r="AT110" s="466"/>
      <c r="AU110" s="467"/>
      <c r="AV110" s="467"/>
      <c r="AW110" s="334" t="e">
        <f t="shared" si="101"/>
        <v>#N/A</v>
      </c>
      <c r="AX110" s="636"/>
      <c r="AZ110" s="524" t="e">
        <f t="shared" si="102"/>
        <v>#N/A</v>
      </c>
      <c r="BA110" s="636"/>
    </row>
    <row r="111" spans="2:53">
      <c r="B111" s="622"/>
      <c r="C111" s="334">
        <v>5</v>
      </c>
      <c r="D111" s="226"/>
      <c r="E111" s="182"/>
      <c r="F111" s="466"/>
      <c r="G111" s="467"/>
      <c r="H111" s="664"/>
      <c r="I111" s="516" t="str">
        <f t="shared" si="92"/>
        <v>-</v>
      </c>
      <c r="J111" s="516" t="str">
        <f t="shared" si="93"/>
        <v>-</v>
      </c>
      <c r="K111" s="200" t="str">
        <f t="shared" si="94"/>
        <v>-</v>
      </c>
      <c r="L111" s="596"/>
      <c r="M111" s="347" t="e">
        <f>RANK(K111, K$107:$K$121)</f>
        <v>#VALUE!</v>
      </c>
      <c r="N111" s="614"/>
      <c r="O111" s="614"/>
      <c r="P111" s="334"/>
      <c r="Q111" s="337"/>
      <c r="R111" s="337"/>
      <c r="S111" s="345" t="e">
        <f t="shared" si="95"/>
        <v>#N/A</v>
      </c>
      <c r="T111" s="664"/>
      <c r="U111" s="466"/>
      <c r="V111" s="467"/>
      <c r="W111" s="467"/>
      <c r="X111" s="334" t="e">
        <f t="shared" si="96"/>
        <v>#N/A</v>
      </c>
      <c r="Y111" s="664"/>
      <c r="Z111" s="466"/>
      <c r="AA111" s="467"/>
      <c r="AB111" s="467"/>
      <c r="AC111" s="334" t="e">
        <f t="shared" si="97"/>
        <v>#N/A</v>
      </c>
      <c r="AD111" s="664"/>
      <c r="AE111" s="466"/>
      <c r="AF111" s="467"/>
      <c r="AG111" s="467"/>
      <c r="AH111" s="334" t="e">
        <f t="shared" si="98"/>
        <v>#N/A</v>
      </c>
      <c r="AI111" s="664"/>
      <c r="AJ111" s="466"/>
      <c r="AK111" s="467"/>
      <c r="AL111" s="467"/>
      <c r="AM111" s="334" t="e">
        <f t="shared" si="99"/>
        <v>#N/A</v>
      </c>
      <c r="AN111" s="664"/>
      <c r="AO111" s="466"/>
      <c r="AP111" s="467"/>
      <c r="AQ111" s="467"/>
      <c r="AR111" s="334" t="e">
        <f t="shared" si="100"/>
        <v>#N/A</v>
      </c>
      <c r="AS111" s="664"/>
      <c r="AT111" s="466"/>
      <c r="AU111" s="467"/>
      <c r="AV111" s="467"/>
      <c r="AW111" s="334" t="e">
        <f t="shared" si="101"/>
        <v>#N/A</v>
      </c>
      <c r="AX111" s="636"/>
      <c r="AZ111" s="524" t="e">
        <f t="shared" si="102"/>
        <v>#N/A</v>
      </c>
      <c r="BA111" s="636"/>
    </row>
    <row r="112" spans="2:53">
      <c r="B112" s="622"/>
      <c r="C112" s="334">
        <v>6</v>
      </c>
      <c r="D112" s="226"/>
      <c r="E112" s="182"/>
      <c r="F112" s="466"/>
      <c r="G112" s="467"/>
      <c r="H112" s="664"/>
      <c r="I112" s="516" t="str">
        <f t="shared" si="92"/>
        <v>-</v>
      </c>
      <c r="J112" s="516" t="str">
        <f t="shared" si="93"/>
        <v>-</v>
      </c>
      <c r="K112" s="200" t="str">
        <f t="shared" si="94"/>
        <v>-</v>
      </c>
      <c r="L112" s="596"/>
      <c r="M112" s="347" t="e">
        <f>RANK(K112, K$107:$K$121)</f>
        <v>#VALUE!</v>
      </c>
      <c r="N112" s="614"/>
      <c r="O112" s="614"/>
      <c r="P112" s="334"/>
      <c r="Q112" s="337"/>
      <c r="R112" s="337"/>
      <c r="S112" s="345" t="e">
        <f t="shared" si="95"/>
        <v>#N/A</v>
      </c>
      <c r="T112" s="664"/>
      <c r="U112" s="466"/>
      <c r="V112" s="467"/>
      <c r="W112" s="467"/>
      <c r="X112" s="334" t="e">
        <f t="shared" si="96"/>
        <v>#N/A</v>
      </c>
      <c r="Y112" s="664"/>
      <c r="Z112" s="466"/>
      <c r="AA112" s="467"/>
      <c r="AB112" s="467"/>
      <c r="AC112" s="334" t="e">
        <f t="shared" si="97"/>
        <v>#N/A</v>
      </c>
      <c r="AD112" s="664"/>
      <c r="AE112" s="466"/>
      <c r="AF112" s="467"/>
      <c r="AG112" s="467"/>
      <c r="AH112" s="334" t="e">
        <f t="shared" si="98"/>
        <v>#N/A</v>
      </c>
      <c r="AI112" s="664"/>
      <c r="AJ112" s="466"/>
      <c r="AK112" s="467"/>
      <c r="AL112" s="467"/>
      <c r="AM112" s="334" t="e">
        <f t="shared" si="99"/>
        <v>#N/A</v>
      </c>
      <c r="AN112" s="664"/>
      <c r="AO112" s="466"/>
      <c r="AP112" s="467"/>
      <c r="AQ112" s="467"/>
      <c r="AR112" s="334" t="e">
        <f t="shared" si="100"/>
        <v>#N/A</v>
      </c>
      <c r="AS112" s="664"/>
      <c r="AT112" s="466"/>
      <c r="AU112" s="467"/>
      <c r="AV112" s="467"/>
      <c r="AW112" s="334" t="e">
        <f t="shared" si="101"/>
        <v>#N/A</v>
      </c>
      <c r="AX112" s="636"/>
      <c r="AZ112" s="524" t="e">
        <f t="shared" si="102"/>
        <v>#N/A</v>
      </c>
      <c r="BA112" s="636"/>
    </row>
    <row r="113" spans="2:53">
      <c r="B113" s="622"/>
      <c r="C113" s="334">
        <v>7</v>
      </c>
      <c r="D113" s="226"/>
      <c r="E113" s="182"/>
      <c r="F113" s="466"/>
      <c r="G113" s="467"/>
      <c r="H113" s="664"/>
      <c r="I113" s="516" t="str">
        <f t="shared" si="92"/>
        <v>-</v>
      </c>
      <c r="J113" s="516" t="str">
        <f t="shared" si="93"/>
        <v>-</v>
      </c>
      <c r="K113" s="200" t="str">
        <f t="shared" si="94"/>
        <v>-</v>
      </c>
      <c r="L113" s="596"/>
      <c r="M113" s="347" t="e">
        <f>RANK(K113, K$107:$K$121)</f>
        <v>#VALUE!</v>
      </c>
      <c r="N113" s="614"/>
      <c r="O113" s="614"/>
      <c r="P113" s="334"/>
      <c r="Q113" s="337"/>
      <c r="R113" s="337"/>
      <c r="S113" s="345" t="e">
        <f t="shared" si="95"/>
        <v>#N/A</v>
      </c>
      <c r="T113" s="664"/>
      <c r="U113" s="466"/>
      <c r="V113" s="467"/>
      <c r="W113" s="467"/>
      <c r="X113" s="334" t="e">
        <f t="shared" si="96"/>
        <v>#N/A</v>
      </c>
      <c r="Y113" s="664"/>
      <c r="Z113" s="466"/>
      <c r="AA113" s="467"/>
      <c r="AB113" s="467"/>
      <c r="AC113" s="334" t="e">
        <f t="shared" si="97"/>
        <v>#N/A</v>
      </c>
      <c r="AD113" s="664"/>
      <c r="AE113" s="466"/>
      <c r="AF113" s="467"/>
      <c r="AG113" s="467"/>
      <c r="AH113" s="334" t="e">
        <f t="shared" si="98"/>
        <v>#N/A</v>
      </c>
      <c r="AI113" s="664"/>
      <c r="AJ113" s="466"/>
      <c r="AK113" s="467"/>
      <c r="AL113" s="467"/>
      <c r="AM113" s="334" t="e">
        <f t="shared" si="99"/>
        <v>#N/A</v>
      </c>
      <c r="AN113" s="664"/>
      <c r="AO113" s="466"/>
      <c r="AP113" s="467"/>
      <c r="AQ113" s="467"/>
      <c r="AR113" s="334" t="e">
        <f t="shared" si="100"/>
        <v>#N/A</v>
      </c>
      <c r="AS113" s="664"/>
      <c r="AT113" s="466"/>
      <c r="AU113" s="467"/>
      <c r="AV113" s="467"/>
      <c r="AW113" s="334" t="e">
        <f t="shared" si="101"/>
        <v>#N/A</v>
      </c>
      <c r="AX113" s="636"/>
      <c r="AZ113" s="524" t="e">
        <f t="shared" si="102"/>
        <v>#N/A</v>
      </c>
      <c r="BA113" s="636"/>
    </row>
    <row r="114" spans="2:53">
      <c r="B114" s="622"/>
      <c r="C114" s="334">
        <v>8</v>
      </c>
      <c r="D114" s="226"/>
      <c r="E114" s="182"/>
      <c r="F114" s="466"/>
      <c r="G114" s="467"/>
      <c r="H114" s="664"/>
      <c r="I114" s="516" t="str">
        <f t="shared" si="92"/>
        <v>-</v>
      </c>
      <c r="J114" s="516" t="str">
        <f t="shared" si="93"/>
        <v>-</v>
      </c>
      <c r="K114" s="200" t="str">
        <f t="shared" si="94"/>
        <v>-</v>
      </c>
      <c r="L114" s="596"/>
      <c r="M114" s="347" t="e">
        <f>RANK(K114, K$107:$K$121)</f>
        <v>#VALUE!</v>
      </c>
      <c r="N114" s="614"/>
      <c r="O114" s="614"/>
      <c r="P114" s="334"/>
      <c r="Q114" s="337"/>
      <c r="R114" s="337"/>
      <c r="S114" s="345" t="e">
        <f t="shared" si="95"/>
        <v>#N/A</v>
      </c>
      <c r="T114" s="664"/>
      <c r="U114" s="466"/>
      <c r="V114" s="467"/>
      <c r="W114" s="467"/>
      <c r="X114" s="334" t="e">
        <f t="shared" si="96"/>
        <v>#N/A</v>
      </c>
      <c r="Y114" s="664"/>
      <c r="Z114" s="466"/>
      <c r="AA114" s="467"/>
      <c r="AB114" s="467"/>
      <c r="AC114" s="334" t="e">
        <f t="shared" si="97"/>
        <v>#N/A</v>
      </c>
      <c r="AD114" s="664"/>
      <c r="AE114" s="466"/>
      <c r="AF114" s="467"/>
      <c r="AG114" s="467"/>
      <c r="AH114" s="334" t="e">
        <f t="shared" si="98"/>
        <v>#N/A</v>
      </c>
      <c r="AI114" s="664"/>
      <c r="AJ114" s="466"/>
      <c r="AK114" s="467"/>
      <c r="AL114" s="467"/>
      <c r="AM114" s="334" t="e">
        <f t="shared" si="99"/>
        <v>#N/A</v>
      </c>
      <c r="AN114" s="664"/>
      <c r="AO114" s="466"/>
      <c r="AP114" s="467"/>
      <c r="AQ114" s="467"/>
      <c r="AR114" s="334" t="e">
        <f t="shared" si="100"/>
        <v>#N/A</v>
      </c>
      <c r="AS114" s="664"/>
      <c r="AT114" s="466"/>
      <c r="AU114" s="467"/>
      <c r="AV114" s="467"/>
      <c r="AW114" s="334" t="e">
        <f t="shared" si="101"/>
        <v>#N/A</v>
      </c>
      <c r="AX114" s="636"/>
      <c r="AZ114" s="524" t="e">
        <f t="shared" si="102"/>
        <v>#N/A</v>
      </c>
      <c r="BA114" s="636"/>
    </row>
    <row r="115" spans="2:53">
      <c r="B115" s="622"/>
      <c r="C115" s="334">
        <v>9</v>
      </c>
      <c r="D115" s="226"/>
      <c r="E115" s="182"/>
      <c r="F115" s="466"/>
      <c r="G115" s="467"/>
      <c r="H115" s="664"/>
      <c r="I115" s="516" t="str">
        <f t="shared" si="92"/>
        <v>-</v>
      </c>
      <c r="J115" s="516" t="str">
        <f t="shared" si="93"/>
        <v>-</v>
      </c>
      <c r="K115" s="200" t="str">
        <f t="shared" si="94"/>
        <v>-</v>
      </c>
      <c r="L115" s="596"/>
      <c r="M115" s="347" t="e">
        <f>RANK(K115, K$107:$K$121)</f>
        <v>#VALUE!</v>
      </c>
      <c r="N115" s="614"/>
      <c r="O115" s="614"/>
      <c r="P115" s="334"/>
      <c r="Q115" s="337"/>
      <c r="R115" s="337"/>
      <c r="S115" s="345" t="e">
        <f t="shared" si="95"/>
        <v>#N/A</v>
      </c>
      <c r="T115" s="664"/>
      <c r="U115" s="466"/>
      <c r="V115" s="467"/>
      <c r="W115" s="467"/>
      <c r="X115" s="334" t="e">
        <f t="shared" si="96"/>
        <v>#N/A</v>
      </c>
      <c r="Y115" s="664"/>
      <c r="Z115" s="466"/>
      <c r="AA115" s="467"/>
      <c r="AB115" s="467"/>
      <c r="AC115" s="334" t="e">
        <f t="shared" si="97"/>
        <v>#N/A</v>
      </c>
      <c r="AD115" s="664"/>
      <c r="AE115" s="466"/>
      <c r="AF115" s="467"/>
      <c r="AG115" s="467"/>
      <c r="AH115" s="334" t="e">
        <f t="shared" si="98"/>
        <v>#N/A</v>
      </c>
      <c r="AI115" s="664"/>
      <c r="AJ115" s="466"/>
      <c r="AK115" s="467"/>
      <c r="AL115" s="467"/>
      <c r="AM115" s="334" t="e">
        <f t="shared" si="99"/>
        <v>#N/A</v>
      </c>
      <c r="AN115" s="664"/>
      <c r="AO115" s="466"/>
      <c r="AP115" s="467"/>
      <c r="AQ115" s="467"/>
      <c r="AR115" s="334" t="e">
        <f t="shared" si="100"/>
        <v>#N/A</v>
      </c>
      <c r="AS115" s="664"/>
      <c r="AT115" s="466"/>
      <c r="AU115" s="467"/>
      <c r="AV115" s="467"/>
      <c r="AW115" s="334" t="e">
        <f t="shared" si="101"/>
        <v>#N/A</v>
      </c>
      <c r="AX115" s="636"/>
      <c r="AZ115" s="524" t="e">
        <f t="shared" si="102"/>
        <v>#N/A</v>
      </c>
      <c r="BA115" s="636"/>
    </row>
    <row r="116" spans="2:53">
      <c r="B116" s="622"/>
      <c r="C116" s="334">
        <v>10</v>
      </c>
      <c r="D116" s="226"/>
      <c r="E116" s="182"/>
      <c r="F116" s="466"/>
      <c r="G116" s="467"/>
      <c r="H116" s="664"/>
      <c r="I116" s="516" t="str">
        <f t="shared" si="92"/>
        <v>-</v>
      </c>
      <c r="J116" s="516" t="str">
        <f t="shared" si="93"/>
        <v>-</v>
      </c>
      <c r="K116" s="200" t="str">
        <f t="shared" si="94"/>
        <v>-</v>
      </c>
      <c r="L116" s="596"/>
      <c r="M116" s="347" t="e">
        <f>RANK(K116, K$107:$K$121)</f>
        <v>#VALUE!</v>
      </c>
      <c r="N116" s="614"/>
      <c r="O116" s="614"/>
      <c r="P116" s="334"/>
      <c r="Q116" s="337"/>
      <c r="R116" s="337"/>
      <c r="S116" s="345" t="e">
        <f t="shared" si="95"/>
        <v>#N/A</v>
      </c>
      <c r="T116" s="664"/>
      <c r="U116" s="466"/>
      <c r="V116" s="467"/>
      <c r="W116" s="467"/>
      <c r="X116" s="334" t="e">
        <f t="shared" si="96"/>
        <v>#N/A</v>
      </c>
      <c r="Y116" s="664"/>
      <c r="Z116" s="466"/>
      <c r="AA116" s="467"/>
      <c r="AB116" s="467"/>
      <c r="AC116" s="334" t="e">
        <f t="shared" si="97"/>
        <v>#N/A</v>
      </c>
      <c r="AD116" s="664"/>
      <c r="AE116" s="466"/>
      <c r="AF116" s="467"/>
      <c r="AG116" s="467"/>
      <c r="AH116" s="334" t="e">
        <f t="shared" si="98"/>
        <v>#N/A</v>
      </c>
      <c r="AI116" s="664"/>
      <c r="AJ116" s="466"/>
      <c r="AK116" s="467"/>
      <c r="AL116" s="467"/>
      <c r="AM116" s="334" t="e">
        <f t="shared" si="99"/>
        <v>#N/A</v>
      </c>
      <c r="AN116" s="664"/>
      <c r="AO116" s="466"/>
      <c r="AP116" s="467"/>
      <c r="AQ116" s="467"/>
      <c r="AR116" s="334" t="e">
        <f t="shared" si="100"/>
        <v>#N/A</v>
      </c>
      <c r="AS116" s="664"/>
      <c r="AT116" s="466"/>
      <c r="AU116" s="467"/>
      <c r="AV116" s="467"/>
      <c r="AW116" s="334" t="e">
        <f t="shared" si="101"/>
        <v>#N/A</v>
      </c>
      <c r="AX116" s="636"/>
      <c r="AZ116" s="524" t="e">
        <f t="shared" si="102"/>
        <v>#N/A</v>
      </c>
      <c r="BA116" s="636"/>
    </row>
    <row r="117" spans="2:53">
      <c r="B117" s="622"/>
      <c r="C117" s="334">
        <v>11</v>
      </c>
      <c r="D117" s="226"/>
      <c r="E117" s="182"/>
      <c r="F117" s="466"/>
      <c r="G117" s="467"/>
      <c r="H117" s="664"/>
      <c r="I117" s="516" t="str">
        <f t="shared" si="92"/>
        <v>-</v>
      </c>
      <c r="J117" s="516" t="str">
        <f t="shared" si="93"/>
        <v>-</v>
      </c>
      <c r="K117" s="200" t="str">
        <f t="shared" si="94"/>
        <v>-</v>
      </c>
      <c r="L117" s="596"/>
      <c r="M117" s="347" t="e">
        <f>RANK(K117, K$107:$K$121)</f>
        <v>#VALUE!</v>
      </c>
      <c r="N117" s="614"/>
      <c r="O117" s="614"/>
      <c r="P117" s="334"/>
      <c r="Q117" s="337"/>
      <c r="R117" s="337"/>
      <c r="S117" s="345" t="e">
        <f t="shared" si="95"/>
        <v>#N/A</v>
      </c>
      <c r="T117" s="664"/>
      <c r="U117" s="466"/>
      <c r="V117" s="467"/>
      <c r="W117" s="467"/>
      <c r="X117" s="334" t="e">
        <f t="shared" si="96"/>
        <v>#N/A</v>
      </c>
      <c r="Y117" s="664"/>
      <c r="Z117" s="466"/>
      <c r="AA117" s="467"/>
      <c r="AB117" s="467"/>
      <c r="AC117" s="334" t="e">
        <f t="shared" si="97"/>
        <v>#N/A</v>
      </c>
      <c r="AD117" s="664"/>
      <c r="AE117" s="466"/>
      <c r="AF117" s="467"/>
      <c r="AG117" s="467"/>
      <c r="AH117" s="334" t="e">
        <f t="shared" si="98"/>
        <v>#N/A</v>
      </c>
      <c r="AI117" s="664"/>
      <c r="AJ117" s="466"/>
      <c r="AK117" s="467"/>
      <c r="AL117" s="467"/>
      <c r="AM117" s="334" t="e">
        <f t="shared" si="99"/>
        <v>#N/A</v>
      </c>
      <c r="AN117" s="664"/>
      <c r="AO117" s="466"/>
      <c r="AP117" s="467"/>
      <c r="AQ117" s="467"/>
      <c r="AR117" s="334" t="e">
        <f t="shared" si="100"/>
        <v>#N/A</v>
      </c>
      <c r="AS117" s="664"/>
      <c r="AT117" s="466"/>
      <c r="AU117" s="467"/>
      <c r="AV117" s="467"/>
      <c r="AW117" s="334" t="e">
        <f t="shared" si="101"/>
        <v>#N/A</v>
      </c>
      <c r="AX117" s="636"/>
      <c r="AZ117" s="524" t="e">
        <f t="shared" si="102"/>
        <v>#N/A</v>
      </c>
      <c r="BA117" s="636"/>
    </row>
    <row r="118" spans="2:53">
      <c r="B118" s="622"/>
      <c r="C118" s="334">
        <v>12</v>
      </c>
      <c r="D118" s="226"/>
      <c r="E118" s="182"/>
      <c r="F118" s="466"/>
      <c r="G118" s="467"/>
      <c r="H118" s="664"/>
      <c r="I118" s="516" t="str">
        <f t="shared" si="92"/>
        <v>-</v>
      </c>
      <c r="J118" s="516" t="str">
        <f t="shared" si="93"/>
        <v>-</v>
      </c>
      <c r="K118" s="200" t="str">
        <f t="shared" si="94"/>
        <v>-</v>
      </c>
      <c r="L118" s="596"/>
      <c r="M118" s="347" t="e">
        <f>RANK(K118, K$107:$K$121)</f>
        <v>#VALUE!</v>
      </c>
      <c r="N118" s="614"/>
      <c r="O118" s="614"/>
      <c r="P118" s="334"/>
      <c r="Q118" s="337"/>
      <c r="R118" s="337"/>
      <c r="S118" s="345" t="e">
        <f t="shared" si="95"/>
        <v>#N/A</v>
      </c>
      <c r="T118" s="664"/>
      <c r="U118" s="466"/>
      <c r="V118" s="467"/>
      <c r="W118" s="467"/>
      <c r="X118" s="334" t="e">
        <f t="shared" si="96"/>
        <v>#N/A</v>
      </c>
      <c r="Y118" s="664"/>
      <c r="Z118" s="466"/>
      <c r="AA118" s="467"/>
      <c r="AB118" s="467"/>
      <c r="AC118" s="334" t="e">
        <f t="shared" si="97"/>
        <v>#N/A</v>
      </c>
      <c r="AD118" s="664"/>
      <c r="AE118" s="466"/>
      <c r="AF118" s="467"/>
      <c r="AG118" s="467"/>
      <c r="AH118" s="334" t="e">
        <f t="shared" si="98"/>
        <v>#N/A</v>
      </c>
      <c r="AI118" s="664"/>
      <c r="AJ118" s="466"/>
      <c r="AK118" s="467"/>
      <c r="AL118" s="467"/>
      <c r="AM118" s="334" t="e">
        <f t="shared" si="99"/>
        <v>#N/A</v>
      </c>
      <c r="AN118" s="664"/>
      <c r="AO118" s="466"/>
      <c r="AP118" s="467"/>
      <c r="AQ118" s="467"/>
      <c r="AR118" s="334" t="e">
        <f t="shared" si="100"/>
        <v>#N/A</v>
      </c>
      <c r="AS118" s="664"/>
      <c r="AT118" s="466"/>
      <c r="AU118" s="467"/>
      <c r="AV118" s="467"/>
      <c r="AW118" s="334" t="e">
        <f t="shared" si="101"/>
        <v>#N/A</v>
      </c>
      <c r="AX118" s="636"/>
      <c r="AZ118" s="524" t="e">
        <f t="shared" si="102"/>
        <v>#N/A</v>
      </c>
      <c r="BA118" s="636"/>
    </row>
    <row r="119" spans="2:53">
      <c r="B119" s="622"/>
      <c r="C119" s="334">
        <v>13</v>
      </c>
      <c r="D119" s="226"/>
      <c r="E119" s="182"/>
      <c r="F119" s="466"/>
      <c r="G119" s="467"/>
      <c r="H119" s="664"/>
      <c r="I119" s="516" t="str">
        <f t="shared" si="92"/>
        <v>-</v>
      </c>
      <c r="J119" s="516" t="str">
        <f t="shared" si="93"/>
        <v>-</v>
      </c>
      <c r="K119" s="200" t="str">
        <f t="shared" si="94"/>
        <v>-</v>
      </c>
      <c r="L119" s="596"/>
      <c r="M119" s="347" t="e">
        <f>RANK(K119, K$107:$K$121)</f>
        <v>#VALUE!</v>
      </c>
      <c r="N119" s="614"/>
      <c r="O119" s="614"/>
      <c r="P119" s="334"/>
      <c r="Q119" s="337"/>
      <c r="R119" s="337"/>
      <c r="S119" s="345" t="e">
        <f t="shared" si="95"/>
        <v>#N/A</v>
      </c>
      <c r="T119" s="664"/>
      <c r="U119" s="466"/>
      <c r="V119" s="467"/>
      <c r="W119" s="467"/>
      <c r="X119" s="334" t="e">
        <f t="shared" si="96"/>
        <v>#N/A</v>
      </c>
      <c r="Y119" s="664"/>
      <c r="Z119" s="466"/>
      <c r="AA119" s="467"/>
      <c r="AB119" s="467"/>
      <c r="AC119" s="334" t="e">
        <f t="shared" si="97"/>
        <v>#N/A</v>
      </c>
      <c r="AD119" s="664"/>
      <c r="AE119" s="466"/>
      <c r="AF119" s="467"/>
      <c r="AG119" s="467"/>
      <c r="AH119" s="334" t="e">
        <f t="shared" si="98"/>
        <v>#N/A</v>
      </c>
      <c r="AI119" s="664"/>
      <c r="AJ119" s="466"/>
      <c r="AK119" s="467"/>
      <c r="AL119" s="467"/>
      <c r="AM119" s="334" t="e">
        <f t="shared" si="99"/>
        <v>#N/A</v>
      </c>
      <c r="AN119" s="664"/>
      <c r="AO119" s="466"/>
      <c r="AP119" s="467"/>
      <c r="AQ119" s="467"/>
      <c r="AR119" s="334" t="e">
        <f t="shared" si="100"/>
        <v>#N/A</v>
      </c>
      <c r="AS119" s="664"/>
      <c r="AT119" s="466"/>
      <c r="AU119" s="467"/>
      <c r="AV119" s="467"/>
      <c r="AW119" s="334" t="e">
        <f t="shared" si="101"/>
        <v>#N/A</v>
      </c>
      <c r="AX119" s="636"/>
      <c r="AZ119" s="524" t="e">
        <f t="shared" si="102"/>
        <v>#N/A</v>
      </c>
      <c r="BA119" s="636"/>
    </row>
    <row r="120" spans="2:53">
      <c r="B120" s="622"/>
      <c r="C120" s="334">
        <v>14</v>
      </c>
      <c r="D120" s="226"/>
      <c r="E120" s="182"/>
      <c r="F120" s="466"/>
      <c r="G120" s="467"/>
      <c r="H120" s="664"/>
      <c r="I120" s="516" t="str">
        <f t="shared" si="92"/>
        <v>-</v>
      </c>
      <c r="J120" s="516" t="str">
        <f t="shared" si="93"/>
        <v>-</v>
      </c>
      <c r="K120" s="200" t="str">
        <f t="shared" si="94"/>
        <v>-</v>
      </c>
      <c r="L120" s="596"/>
      <c r="M120" s="347" t="e">
        <f>RANK(K120, K$107:$K$121)</f>
        <v>#VALUE!</v>
      </c>
      <c r="N120" s="614"/>
      <c r="O120" s="614"/>
      <c r="P120" s="334"/>
      <c r="Q120" s="337"/>
      <c r="R120" s="337"/>
      <c r="S120" s="345" t="e">
        <f t="shared" si="95"/>
        <v>#N/A</v>
      </c>
      <c r="T120" s="664"/>
      <c r="U120" s="466"/>
      <c r="V120" s="467"/>
      <c r="W120" s="467"/>
      <c r="X120" s="334" t="e">
        <f t="shared" si="96"/>
        <v>#N/A</v>
      </c>
      <c r="Y120" s="664"/>
      <c r="Z120" s="466"/>
      <c r="AA120" s="467"/>
      <c r="AB120" s="467"/>
      <c r="AC120" s="334" t="e">
        <f t="shared" si="97"/>
        <v>#N/A</v>
      </c>
      <c r="AD120" s="664"/>
      <c r="AE120" s="466"/>
      <c r="AF120" s="467"/>
      <c r="AG120" s="467"/>
      <c r="AH120" s="334" t="e">
        <f t="shared" si="98"/>
        <v>#N/A</v>
      </c>
      <c r="AI120" s="664"/>
      <c r="AJ120" s="466"/>
      <c r="AK120" s="467"/>
      <c r="AL120" s="467"/>
      <c r="AM120" s="334" t="e">
        <f t="shared" si="99"/>
        <v>#N/A</v>
      </c>
      <c r="AN120" s="664"/>
      <c r="AO120" s="466"/>
      <c r="AP120" s="467"/>
      <c r="AQ120" s="467"/>
      <c r="AR120" s="334" t="e">
        <f t="shared" si="100"/>
        <v>#N/A</v>
      </c>
      <c r="AS120" s="664"/>
      <c r="AT120" s="466"/>
      <c r="AU120" s="467"/>
      <c r="AV120" s="467"/>
      <c r="AW120" s="334" t="e">
        <f t="shared" si="101"/>
        <v>#N/A</v>
      </c>
      <c r="AX120" s="636"/>
      <c r="AZ120" s="524" t="e">
        <f t="shared" si="102"/>
        <v>#N/A</v>
      </c>
      <c r="BA120" s="636"/>
    </row>
    <row r="121" spans="2:53">
      <c r="B121" s="622"/>
      <c r="C121" s="334">
        <v>15</v>
      </c>
      <c r="D121" s="226"/>
      <c r="E121" s="182"/>
      <c r="F121" s="466"/>
      <c r="G121" s="467"/>
      <c r="H121" s="665"/>
      <c r="I121" s="202"/>
      <c r="J121" s="202"/>
      <c r="K121" s="202"/>
      <c r="L121" s="597"/>
      <c r="M121" s="347" t="e">
        <f>RANK(K121, K$107:$K$121)</f>
        <v>#N/A</v>
      </c>
      <c r="N121" s="614"/>
      <c r="O121" s="614"/>
      <c r="P121" s="334"/>
      <c r="Q121" s="337"/>
      <c r="R121" s="337"/>
      <c r="S121" s="345" t="e">
        <f t="shared" si="95"/>
        <v>#N/A</v>
      </c>
      <c r="T121" s="665"/>
      <c r="U121" s="466"/>
      <c r="V121" s="467"/>
      <c r="W121" s="467"/>
      <c r="X121" s="334" t="e">
        <f t="shared" si="96"/>
        <v>#N/A</v>
      </c>
      <c r="Y121" s="665"/>
      <c r="Z121" s="466"/>
      <c r="AA121" s="467"/>
      <c r="AB121" s="467"/>
      <c r="AC121" s="334" t="e">
        <f t="shared" si="97"/>
        <v>#N/A</v>
      </c>
      <c r="AD121" s="665"/>
      <c r="AE121" s="466"/>
      <c r="AF121" s="467"/>
      <c r="AG121" s="467"/>
      <c r="AH121" s="334" t="e">
        <f t="shared" si="98"/>
        <v>#N/A</v>
      </c>
      <c r="AI121" s="665"/>
      <c r="AJ121" s="466"/>
      <c r="AK121" s="467"/>
      <c r="AL121" s="467"/>
      <c r="AM121" s="334" t="e">
        <f t="shared" si="99"/>
        <v>#N/A</v>
      </c>
      <c r="AN121" s="665"/>
      <c r="AO121" s="466"/>
      <c r="AP121" s="467"/>
      <c r="AQ121" s="467"/>
      <c r="AR121" s="334" t="e">
        <f t="shared" si="100"/>
        <v>#N/A</v>
      </c>
      <c r="AS121" s="665"/>
      <c r="AT121" s="466"/>
      <c r="AU121" s="467"/>
      <c r="AV121" s="467"/>
      <c r="AW121" s="334" t="e">
        <f t="shared" si="101"/>
        <v>#N/A</v>
      </c>
      <c r="AX121" s="636"/>
      <c r="AZ121" s="524" t="e">
        <f t="shared" si="102"/>
        <v>#N/A</v>
      </c>
      <c r="BA121" s="636"/>
    </row>
    <row r="123" spans="2:53" ht="15.75">
      <c r="B123" s="653" t="s">
        <v>560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561</v>
      </c>
      <c r="C125" s="614" t="s">
        <v>562</v>
      </c>
      <c r="D125" s="614"/>
      <c r="E125" s="614" t="s">
        <v>563</v>
      </c>
      <c r="F125" s="614"/>
      <c r="G125" s="614"/>
      <c r="H125" s="630" t="s">
        <v>564</v>
      </c>
      <c r="I125" s="657" t="s">
        <v>565</v>
      </c>
      <c r="J125" s="657"/>
      <c r="K125" s="657"/>
      <c r="L125" s="673" t="s">
        <v>564</v>
      </c>
      <c r="M125" s="676" t="s">
        <v>566</v>
      </c>
    </row>
    <row r="126" spans="2:53">
      <c r="B126" s="614"/>
      <c r="C126" s="614"/>
      <c r="D126" s="614"/>
      <c r="E126" s="614" t="s">
        <v>567</v>
      </c>
      <c r="F126" s="614"/>
      <c r="G126" s="614"/>
      <c r="H126" s="631"/>
      <c r="I126" s="657" t="s">
        <v>567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568</v>
      </c>
      <c r="F127" s="335" t="s">
        <v>569</v>
      </c>
      <c r="G127" s="335" t="s">
        <v>570</v>
      </c>
      <c r="H127" s="632"/>
      <c r="I127" s="342" t="s">
        <v>568</v>
      </c>
      <c r="J127" s="342" t="s">
        <v>569</v>
      </c>
      <c r="K127" s="342" t="s">
        <v>570</v>
      </c>
      <c r="L127" s="675"/>
      <c r="M127" s="678"/>
    </row>
    <row r="128" spans="2:53">
      <c r="B128" s="614" t="s">
        <v>576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J135" si="103">AVERAGEIF($D$7:$D$121,$D128,I$7:I$121)</f>
        <v>#DIV/0!</v>
      </c>
      <c r="J128" s="199" t="e">
        <f t="shared" si="103"/>
        <v>#DIV/0!</v>
      </c>
      <c r="K128" s="199" t="e">
        <f t="shared" ref="K128:K135" si="104"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39">
      <c r="B129" s="622"/>
      <c r="C129" s="334">
        <v>2</v>
      </c>
      <c r="D129" s="226"/>
      <c r="E129" s="182"/>
      <c r="F129" s="334"/>
      <c r="G129" s="337"/>
      <c r="H129" s="664"/>
      <c r="I129" s="199" t="e">
        <f t="shared" si="103"/>
        <v>#DIV/0!</v>
      </c>
      <c r="J129" s="199" t="e">
        <f t="shared" si="103"/>
        <v>#DIV/0!</v>
      </c>
      <c r="K129" s="199" t="e">
        <f t="shared" si="104"/>
        <v>#DIV/0!</v>
      </c>
      <c r="L129" s="671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2"/>
      <c r="C130" s="334">
        <v>3</v>
      </c>
      <c r="D130" s="226"/>
      <c r="E130" s="182"/>
      <c r="F130" s="334"/>
      <c r="G130" s="337"/>
      <c r="H130" s="664"/>
      <c r="I130" s="199" t="e">
        <f t="shared" si="103"/>
        <v>#DIV/0!</v>
      </c>
      <c r="J130" s="199" t="e">
        <f t="shared" si="103"/>
        <v>#DIV/0!</v>
      </c>
      <c r="K130" s="199" t="e">
        <f t="shared" si="104"/>
        <v>#DIV/0!</v>
      </c>
      <c r="L130" s="671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2"/>
      <c r="C131" s="334">
        <v>4</v>
      </c>
      <c r="D131" s="226"/>
      <c r="E131" s="182"/>
      <c r="F131" s="334"/>
      <c r="G131" s="337"/>
      <c r="H131" s="664"/>
      <c r="I131" s="199" t="e">
        <f t="shared" si="103"/>
        <v>#DIV/0!</v>
      </c>
      <c r="J131" s="199" t="e">
        <f t="shared" si="103"/>
        <v>#DIV/0!</v>
      </c>
      <c r="K131" s="199" t="e">
        <f t="shared" si="104"/>
        <v>#DIV/0!</v>
      </c>
      <c r="L131" s="671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2"/>
      <c r="C132" s="334">
        <v>5</v>
      </c>
      <c r="D132" s="226"/>
      <c r="E132" s="182"/>
      <c r="F132" s="334"/>
      <c r="G132" s="337"/>
      <c r="H132" s="664"/>
      <c r="I132" s="199" t="e">
        <f t="shared" si="103"/>
        <v>#DIV/0!</v>
      </c>
      <c r="J132" s="199" t="e">
        <f t="shared" si="103"/>
        <v>#DIV/0!</v>
      </c>
      <c r="K132" s="199" t="e">
        <f t="shared" si="104"/>
        <v>#DIV/0!</v>
      </c>
      <c r="L132" s="671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2"/>
      <c r="C133" s="334">
        <v>6</v>
      </c>
      <c r="D133" s="343"/>
      <c r="E133" s="182"/>
      <c r="F133" s="334"/>
      <c r="G133" s="337"/>
      <c r="H133" s="664"/>
      <c r="I133" s="199" t="e">
        <f t="shared" si="103"/>
        <v>#DIV/0!</v>
      </c>
      <c r="J133" s="199" t="e">
        <f t="shared" si="103"/>
        <v>#DIV/0!</v>
      </c>
      <c r="K133" s="199" t="e">
        <f t="shared" si="104"/>
        <v>#DIV/0!</v>
      </c>
      <c r="L133" s="671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2"/>
      <c r="C134" s="334">
        <v>7</v>
      </c>
      <c r="D134" s="226"/>
      <c r="E134" s="182"/>
      <c r="F134" s="334"/>
      <c r="G134" s="337"/>
      <c r="H134" s="664"/>
      <c r="I134" s="199" t="e">
        <f t="shared" si="103"/>
        <v>#DIV/0!</v>
      </c>
      <c r="J134" s="199" t="e">
        <f t="shared" si="103"/>
        <v>#DIV/0!</v>
      </c>
      <c r="K134" s="199" t="e">
        <f t="shared" si="104"/>
        <v>#DIV/0!</v>
      </c>
      <c r="L134" s="671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2"/>
      <c r="C135" s="334">
        <v>8</v>
      </c>
      <c r="D135" s="226"/>
      <c r="E135" s="182"/>
      <c r="F135" s="334"/>
      <c r="G135" s="337"/>
      <c r="H135" s="664"/>
      <c r="I135" s="199" t="e">
        <f t="shared" si="103"/>
        <v>#DIV/0!</v>
      </c>
      <c r="J135" s="199" t="e">
        <f t="shared" si="103"/>
        <v>#DIV/0!</v>
      </c>
      <c r="K135" s="199" t="e">
        <f t="shared" si="104"/>
        <v>#DIV/0!</v>
      </c>
      <c r="L135" s="671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2"/>
      <c r="C136" s="334">
        <v>9</v>
      </c>
      <c r="D136" s="226"/>
      <c r="E136" s="334"/>
      <c r="F136" s="334"/>
      <c r="G136" s="334"/>
      <c r="H136" s="664"/>
      <c r="I136" s="199"/>
      <c r="J136" s="199"/>
      <c r="K136" s="199"/>
      <c r="L136" s="671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2"/>
      <c r="C137" s="334">
        <v>10</v>
      </c>
      <c r="D137" s="226"/>
      <c r="E137" s="334"/>
      <c r="F137" s="334"/>
      <c r="G137" s="334"/>
      <c r="H137" s="664"/>
      <c r="I137" s="199"/>
      <c r="J137" s="199"/>
      <c r="K137" s="199"/>
      <c r="L137" s="671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2"/>
      <c r="C138" s="334">
        <v>11</v>
      </c>
      <c r="D138" s="226"/>
      <c r="E138" s="334"/>
      <c r="F138" s="334"/>
      <c r="G138" s="334"/>
      <c r="H138" s="664"/>
      <c r="I138" s="199"/>
      <c r="J138" s="199"/>
      <c r="K138" s="199"/>
      <c r="L138" s="671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27" activeCellId="5" sqref="AR27:AS41 AM27:AN41 AH27:AI41 AC27:AD41 X27:Y41 S27:T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86.00269691163426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695</v>
      </c>
      <c r="C4" s="614" t="s">
        <v>696</v>
      </c>
      <c r="D4" s="614"/>
      <c r="E4" s="614" t="s">
        <v>697</v>
      </c>
      <c r="F4" s="614"/>
      <c r="G4" s="614"/>
      <c r="H4" s="630" t="s">
        <v>698</v>
      </c>
      <c r="I4" s="614" t="s">
        <v>699</v>
      </c>
      <c r="J4" s="614"/>
      <c r="K4" s="614"/>
      <c r="L4" s="630" t="s">
        <v>395</v>
      </c>
      <c r="M4" s="615" t="s">
        <v>700</v>
      </c>
      <c r="N4" s="614"/>
      <c r="O4" s="614" t="s">
        <v>701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702</v>
      </c>
      <c r="F5" s="614"/>
      <c r="G5" s="614"/>
      <c r="H5" s="631"/>
      <c r="I5" s="614" t="s">
        <v>702</v>
      </c>
      <c r="J5" s="614"/>
      <c r="K5" s="614"/>
      <c r="L5" s="631"/>
      <c r="M5" s="616"/>
      <c r="N5" s="614"/>
      <c r="O5" s="614"/>
      <c r="P5" s="611" t="s">
        <v>689</v>
      </c>
      <c r="Q5" s="612"/>
      <c r="R5" s="612"/>
      <c r="S5" s="613"/>
      <c r="T5" s="614"/>
      <c r="U5" s="611" t="s">
        <v>689</v>
      </c>
      <c r="V5" s="612"/>
      <c r="W5" s="612"/>
      <c r="X5" s="613"/>
      <c r="Y5" s="614"/>
      <c r="Z5" s="611" t="s">
        <v>689</v>
      </c>
      <c r="AA5" s="612"/>
      <c r="AB5" s="612"/>
      <c r="AC5" s="613"/>
      <c r="AD5" s="614"/>
      <c r="AE5" s="611" t="s">
        <v>689</v>
      </c>
      <c r="AF5" s="612"/>
      <c r="AG5" s="612"/>
      <c r="AH5" s="613"/>
      <c r="AI5" s="614"/>
      <c r="AJ5" s="611" t="s">
        <v>689</v>
      </c>
      <c r="AK5" s="612"/>
      <c r="AL5" s="612"/>
      <c r="AM5" s="613"/>
      <c r="AN5" s="614"/>
      <c r="AO5" s="611" t="s">
        <v>689</v>
      </c>
      <c r="AP5" s="612"/>
      <c r="AQ5" s="612"/>
      <c r="AR5" s="613"/>
      <c r="AS5" s="614"/>
      <c r="AT5" s="611" t="s">
        <v>689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9" t="s">
        <v>703</v>
      </c>
      <c r="F6" s="469" t="s">
        <v>704</v>
      </c>
      <c r="G6" s="469" t="s">
        <v>705</v>
      </c>
      <c r="H6" s="632"/>
      <c r="I6" s="469" t="s">
        <v>703</v>
      </c>
      <c r="J6" s="469" t="s">
        <v>704</v>
      </c>
      <c r="K6" s="469" t="s">
        <v>705</v>
      </c>
      <c r="L6" s="632"/>
      <c r="M6" s="617"/>
      <c r="N6" s="614"/>
      <c r="O6" s="614"/>
      <c r="P6" s="469" t="s">
        <v>404</v>
      </c>
      <c r="Q6" s="469" t="s">
        <v>691</v>
      </c>
      <c r="R6" s="469" t="s">
        <v>692</v>
      </c>
      <c r="S6" s="469" t="s">
        <v>396</v>
      </c>
      <c r="T6" s="614"/>
      <c r="U6" s="469" t="s">
        <v>404</v>
      </c>
      <c r="V6" s="469" t="s">
        <v>691</v>
      </c>
      <c r="W6" s="469" t="s">
        <v>692</v>
      </c>
      <c r="X6" s="469" t="s">
        <v>396</v>
      </c>
      <c r="Y6" s="614"/>
      <c r="Z6" s="469" t="s">
        <v>404</v>
      </c>
      <c r="AA6" s="469" t="s">
        <v>691</v>
      </c>
      <c r="AB6" s="469" t="s">
        <v>692</v>
      </c>
      <c r="AC6" s="469" t="s">
        <v>396</v>
      </c>
      <c r="AD6" s="614"/>
      <c r="AE6" s="469" t="s">
        <v>404</v>
      </c>
      <c r="AF6" s="469" t="s">
        <v>691</v>
      </c>
      <c r="AG6" s="469" t="s">
        <v>692</v>
      </c>
      <c r="AH6" s="469" t="s">
        <v>396</v>
      </c>
      <c r="AI6" s="614"/>
      <c r="AJ6" s="469" t="s">
        <v>404</v>
      </c>
      <c r="AK6" s="469" t="s">
        <v>691</v>
      </c>
      <c r="AL6" s="469" t="s">
        <v>692</v>
      </c>
      <c r="AM6" s="469" t="s">
        <v>396</v>
      </c>
      <c r="AN6" s="614"/>
      <c r="AO6" s="469" t="s">
        <v>404</v>
      </c>
      <c r="AP6" s="469" t="s">
        <v>691</v>
      </c>
      <c r="AQ6" s="469" t="s">
        <v>692</v>
      </c>
      <c r="AR6" s="469" t="s">
        <v>396</v>
      </c>
      <c r="AS6" s="614"/>
      <c r="AT6" s="469" t="s">
        <v>404</v>
      </c>
      <c r="AU6" s="469" t="s">
        <v>691</v>
      </c>
      <c r="AV6" s="469" t="s">
        <v>692</v>
      </c>
      <c r="AW6" s="469" t="s">
        <v>396</v>
      </c>
      <c r="AX6" s="614"/>
      <c r="AZ6" s="523" t="s">
        <v>396</v>
      </c>
      <c r="BA6" s="614"/>
    </row>
    <row r="7" spans="1:53" ht="14.25">
      <c r="A7" s="81"/>
      <c r="B7" s="614" t="s">
        <v>135</v>
      </c>
      <c r="C7" s="470">
        <v>1</v>
      </c>
      <c r="D7" s="226" t="s">
        <v>640</v>
      </c>
      <c r="E7" s="182">
        <v>14</v>
      </c>
      <c r="F7" s="490">
        <v>1500</v>
      </c>
      <c r="G7" s="491">
        <v>107.1</v>
      </c>
      <c r="H7" s="658">
        <f>AVERAGE(G7:G21)</f>
        <v>99.199999999999989</v>
      </c>
      <c r="I7" s="516">
        <f t="shared" ref="I7:I20" si="0">IFERROR(AVERAGE(P7,U7,Z7,AE7,AJ7,AO7,AT7),"-")</f>
        <v>13.428571428571429</v>
      </c>
      <c r="J7" s="516">
        <f t="shared" ref="J7:J20" si="1">IFERROR(AVERAGE(Q7,V7,AA7,AF7,AK7,AP7,AU7),"-")</f>
        <v>1251.9791131555592</v>
      </c>
      <c r="K7" s="200">
        <f t="shared" ref="K7:K20" si="2">IFERROR(AVERAGE(R7,W7,AB7,AG7,AL7,AQ7,AV7),"-")</f>
        <v>93.350700868271915</v>
      </c>
      <c r="L7" s="658">
        <f>IFERROR(AVERAGE(K7:K21),"-")</f>
        <v>86.416426295417338</v>
      </c>
      <c r="M7" s="472">
        <f>RANK(K7, K$7:$K$21)</f>
        <v>1</v>
      </c>
      <c r="N7" s="614"/>
      <c r="O7" s="614"/>
      <c r="P7" s="524">
        <v>14</v>
      </c>
      <c r="Q7" s="182">
        <v>1241.7391304347825</v>
      </c>
      <c r="R7" s="182">
        <v>88.695652173913032</v>
      </c>
      <c r="S7" s="182">
        <v>1</v>
      </c>
      <c r="T7" s="686">
        <v>85.813020463255313</v>
      </c>
      <c r="U7" s="524">
        <v>13</v>
      </c>
      <c r="V7" s="182">
        <v>1263.1578947368412</v>
      </c>
      <c r="W7" s="182">
        <v>97.165991902833937</v>
      </c>
      <c r="X7" s="182">
        <v>1</v>
      </c>
      <c r="Y7" s="686">
        <v>87.587193379376004</v>
      </c>
      <c r="Z7" s="524">
        <v>13</v>
      </c>
      <c r="AA7" s="182">
        <v>1241.2499999999982</v>
      </c>
      <c r="AB7" s="182">
        <v>95.480769230769084</v>
      </c>
      <c r="AC7" s="182">
        <v>1</v>
      </c>
      <c r="AD7" s="686">
        <v>87.218914590705481</v>
      </c>
      <c r="AE7" s="524">
        <v>13</v>
      </c>
      <c r="AF7" s="182">
        <v>1259.9999999999991</v>
      </c>
      <c r="AG7" s="182">
        <v>96.923076923076849</v>
      </c>
      <c r="AH7" s="182">
        <v>1</v>
      </c>
      <c r="AI7" s="686">
        <v>87.194759574790496</v>
      </c>
      <c r="AJ7" s="524">
        <v>13</v>
      </c>
      <c r="AK7" s="182">
        <v>1234.285714285714</v>
      </c>
      <c r="AL7" s="182">
        <v>94.94505494505492</v>
      </c>
      <c r="AM7" s="182">
        <v>1</v>
      </c>
      <c r="AN7" s="686">
        <v>87.378743805214398</v>
      </c>
      <c r="AO7" s="524">
        <v>14</v>
      </c>
      <c r="AP7" s="182">
        <v>1228.421052631578</v>
      </c>
      <c r="AQ7" s="182">
        <v>87.744360902255579</v>
      </c>
      <c r="AR7" s="182">
        <v>1</v>
      </c>
      <c r="AS7" s="686">
        <v>83.929530849467454</v>
      </c>
      <c r="AT7" s="524">
        <v>14</v>
      </c>
      <c r="AU7" s="182">
        <v>1295.0000000000005</v>
      </c>
      <c r="AV7" s="182">
        <v>92.500000000000028</v>
      </c>
      <c r="AW7" s="182">
        <v>1</v>
      </c>
      <c r="AX7" s="686">
        <v>85.792821405112264</v>
      </c>
      <c r="AZ7" s="526" t="e">
        <f t="shared" ref="AZ7:AZ21" si="3">RANK(AY7, AY$7:AY$21)</f>
        <v>#N/A</v>
      </c>
      <c r="BA7" s="683" t="e">
        <f t="shared" ref="BA7" si="4">AVERAGE(AY7:AY21)</f>
        <v>#DIV/0!</v>
      </c>
    </row>
    <row r="8" spans="1:53" ht="15" customHeight="1">
      <c r="A8" s="81"/>
      <c r="B8" s="647"/>
      <c r="C8" s="470">
        <v>2</v>
      </c>
      <c r="D8" s="226" t="s">
        <v>676</v>
      </c>
      <c r="E8" s="182">
        <v>16</v>
      </c>
      <c r="F8" s="490">
        <v>1636</v>
      </c>
      <c r="G8" s="491">
        <v>102.3</v>
      </c>
      <c r="H8" s="659"/>
      <c r="I8" s="516">
        <f t="shared" si="0"/>
        <v>17</v>
      </c>
      <c r="J8" s="516">
        <f t="shared" si="1"/>
        <v>1436.6332329414174</v>
      </c>
      <c r="K8" s="200">
        <f t="shared" si="2"/>
        <v>84.507837231848072</v>
      </c>
      <c r="L8" s="659"/>
      <c r="M8" s="472">
        <f>RANK(K8, K$7:$K$21)</f>
        <v>2</v>
      </c>
      <c r="N8" s="614"/>
      <c r="O8" s="614"/>
      <c r="P8" s="524">
        <v>17</v>
      </c>
      <c r="Q8" s="182">
        <v>1461.3084112149534</v>
      </c>
      <c r="R8" s="182">
        <v>85.959318306761958</v>
      </c>
      <c r="S8" s="182">
        <v>2</v>
      </c>
      <c r="T8" s="686"/>
      <c r="U8" s="524">
        <v>17</v>
      </c>
      <c r="V8" s="182">
        <v>1436.9999999999993</v>
      </c>
      <c r="W8" s="182">
        <v>84.529411764705841</v>
      </c>
      <c r="X8" s="182">
        <v>2</v>
      </c>
      <c r="Y8" s="686"/>
      <c r="Z8" s="524">
        <v>17</v>
      </c>
      <c r="AA8" s="182">
        <v>1450.9756097560969</v>
      </c>
      <c r="AB8" s="182">
        <v>85.351506456240998</v>
      </c>
      <c r="AC8" s="182">
        <v>2</v>
      </c>
      <c r="AD8" s="686"/>
      <c r="AE8" s="524">
        <v>17</v>
      </c>
      <c r="AF8" s="182">
        <v>1420.2272727272727</v>
      </c>
      <c r="AG8" s="182">
        <v>83.542780748663105</v>
      </c>
      <c r="AH8" s="182">
        <v>2</v>
      </c>
      <c r="AI8" s="686"/>
      <c r="AJ8" s="524">
        <v>17</v>
      </c>
      <c r="AK8" s="182">
        <v>1432.6666666666665</v>
      </c>
      <c r="AL8" s="182">
        <v>84.274509803921561</v>
      </c>
      <c r="AM8" s="182">
        <v>2</v>
      </c>
      <c r="AN8" s="686"/>
      <c r="AO8" s="524">
        <v>17</v>
      </c>
      <c r="AP8" s="182">
        <v>1434.4186046511625</v>
      </c>
      <c r="AQ8" s="182">
        <v>84.377564979480141</v>
      </c>
      <c r="AR8" s="182">
        <v>2</v>
      </c>
      <c r="AS8" s="686"/>
      <c r="AT8" s="524">
        <v>17</v>
      </c>
      <c r="AU8" s="182">
        <v>1419.8360655737699</v>
      </c>
      <c r="AV8" s="182">
        <v>83.519768563162941</v>
      </c>
      <c r="AW8" s="182">
        <v>2</v>
      </c>
      <c r="AX8" s="686"/>
      <c r="AZ8" s="526" t="e">
        <f t="shared" si="3"/>
        <v>#N/A</v>
      </c>
      <c r="BA8" s="684"/>
    </row>
    <row r="9" spans="1:53" ht="14.25">
      <c r="A9" s="81"/>
      <c r="B9" s="647"/>
      <c r="C9" s="470">
        <v>3</v>
      </c>
      <c r="D9" s="226" t="s">
        <v>795</v>
      </c>
      <c r="E9" s="182">
        <v>17</v>
      </c>
      <c r="F9" s="490">
        <v>1500</v>
      </c>
      <c r="G9" s="491">
        <v>88.2</v>
      </c>
      <c r="H9" s="659"/>
      <c r="I9" s="516">
        <f t="shared" si="0"/>
        <v>16</v>
      </c>
      <c r="J9" s="516">
        <f t="shared" si="1"/>
        <v>1302.2518525781127</v>
      </c>
      <c r="K9" s="200">
        <f t="shared" si="2"/>
        <v>81.390740786132042</v>
      </c>
      <c r="L9" s="659"/>
      <c r="M9" s="472">
        <f>RANK(K9, K$7:$K$21)</f>
        <v>3</v>
      </c>
      <c r="N9" s="614"/>
      <c r="O9" s="614"/>
      <c r="P9" s="524">
        <v>16</v>
      </c>
      <c r="Q9" s="182">
        <v>1324.5454545454545</v>
      </c>
      <c r="R9" s="182">
        <v>82.784090909090907</v>
      </c>
      <c r="S9" s="182">
        <v>3</v>
      </c>
      <c r="T9" s="686"/>
      <c r="U9" s="524">
        <v>16</v>
      </c>
      <c r="V9" s="182">
        <v>1297.0588235294117</v>
      </c>
      <c r="W9" s="182">
        <v>81.066176470588232</v>
      </c>
      <c r="X9" s="182">
        <v>3</v>
      </c>
      <c r="Y9" s="686"/>
      <c r="Z9" s="524">
        <v>16</v>
      </c>
      <c r="AA9" s="182">
        <v>1293.1914893617022</v>
      </c>
      <c r="AB9" s="182">
        <v>80.824468085106389</v>
      </c>
      <c r="AC9" s="182">
        <v>3</v>
      </c>
      <c r="AD9" s="686"/>
      <c r="AE9" s="524">
        <v>16</v>
      </c>
      <c r="AF9" s="182">
        <v>1297.8947368421043</v>
      </c>
      <c r="AG9" s="182">
        <v>81.118421052631518</v>
      </c>
      <c r="AH9" s="182">
        <v>3</v>
      </c>
      <c r="AI9" s="686"/>
      <c r="AJ9" s="524">
        <v>16</v>
      </c>
      <c r="AK9" s="182">
        <v>1326.6666666666672</v>
      </c>
      <c r="AL9" s="182">
        <v>82.9166666666667</v>
      </c>
      <c r="AM9" s="182">
        <v>3</v>
      </c>
      <c r="AN9" s="686"/>
      <c r="AO9" s="524">
        <v>16</v>
      </c>
      <c r="AP9" s="182">
        <v>1274.6666666666665</v>
      </c>
      <c r="AQ9" s="182">
        <v>79.666666666666657</v>
      </c>
      <c r="AR9" s="182">
        <v>3</v>
      </c>
      <c r="AS9" s="686"/>
      <c r="AT9" s="524">
        <v>16</v>
      </c>
      <c r="AU9" s="182">
        <v>1301.7391304347814</v>
      </c>
      <c r="AV9" s="182">
        <v>81.358695652173836</v>
      </c>
      <c r="AW9" s="182">
        <v>3</v>
      </c>
      <c r="AX9" s="686"/>
      <c r="AZ9" s="526" t="e">
        <f t="shared" si="3"/>
        <v>#N/A</v>
      </c>
      <c r="BA9" s="684"/>
    </row>
    <row r="10" spans="1:53" ht="14.25">
      <c r="A10" s="81"/>
      <c r="B10" s="647"/>
      <c r="C10" s="470">
        <v>4</v>
      </c>
      <c r="D10" s="226"/>
      <c r="E10" s="182"/>
      <c r="F10" s="490"/>
      <c r="G10" s="491"/>
      <c r="H10" s="659"/>
      <c r="I10" s="516" t="str">
        <f t="shared" si="0"/>
        <v>-</v>
      </c>
      <c r="J10" s="516" t="str">
        <f t="shared" si="1"/>
        <v>-</v>
      </c>
      <c r="K10" s="200" t="str">
        <f t="shared" si="2"/>
        <v>-</v>
      </c>
      <c r="L10" s="659"/>
      <c r="M10" s="472" t="e">
        <f>RANK(K10, K$7:$K$21)</f>
        <v>#VALUE!</v>
      </c>
      <c r="N10" s="614"/>
      <c r="O10" s="614"/>
      <c r="P10" s="524" t="s">
        <v>839</v>
      </c>
      <c r="Q10" s="182" t="s">
        <v>839</v>
      </c>
      <c r="R10" s="182" t="s">
        <v>839</v>
      </c>
      <c r="S10" s="182" t="e">
        <v>#VALUE!</v>
      </c>
      <c r="T10" s="686"/>
      <c r="U10" s="524" t="s">
        <v>839</v>
      </c>
      <c r="V10" s="182" t="s">
        <v>839</v>
      </c>
      <c r="W10" s="182" t="s">
        <v>839</v>
      </c>
      <c r="X10" s="182" t="e">
        <v>#VALUE!</v>
      </c>
      <c r="Y10" s="686"/>
      <c r="Z10" s="524" t="s">
        <v>839</v>
      </c>
      <c r="AA10" s="182" t="s">
        <v>839</v>
      </c>
      <c r="AB10" s="182" t="s">
        <v>839</v>
      </c>
      <c r="AC10" s="182" t="e">
        <v>#VALUE!</v>
      </c>
      <c r="AD10" s="686"/>
      <c r="AE10" s="524" t="s">
        <v>839</v>
      </c>
      <c r="AF10" s="182" t="s">
        <v>839</v>
      </c>
      <c r="AG10" s="182" t="s">
        <v>839</v>
      </c>
      <c r="AH10" s="182" t="e">
        <v>#VALUE!</v>
      </c>
      <c r="AI10" s="686"/>
      <c r="AJ10" s="524" t="s">
        <v>839</v>
      </c>
      <c r="AK10" s="182" t="s">
        <v>839</v>
      </c>
      <c r="AL10" s="182" t="s">
        <v>839</v>
      </c>
      <c r="AM10" s="182" t="e">
        <v>#VALUE!</v>
      </c>
      <c r="AN10" s="686"/>
      <c r="AO10" s="524" t="s">
        <v>839</v>
      </c>
      <c r="AP10" s="182" t="s">
        <v>839</v>
      </c>
      <c r="AQ10" s="182" t="s">
        <v>839</v>
      </c>
      <c r="AR10" s="182" t="e">
        <v>#VALUE!</v>
      </c>
      <c r="AS10" s="686"/>
      <c r="AT10" s="524" t="s">
        <v>839</v>
      </c>
      <c r="AU10" s="182" t="s">
        <v>839</v>
      </c>
      <c r="AV10" s="182" t="s">
        <v>839</v>
      </c>
      <c r="AW10" s="182" t="e">
        <v>#VALUE!</v>
      </c>
      <c r="AX10" s="686"/>
      <c r="AZ10" s="526" t="e">
        <f t="shared" si="3"/>
        <v>#N/A</v>
      </c>
      <c r="BA10" s="684"/>
    </row>
    <row r="11" spans="1:53" ht="14.25">
      <c r="A11" s="81"/>
      <c r="B11" s="647"/>
      <c r="C11" s="470">
        <v>5</v>
      </c>
      <c r="D11" s="226"/>
      <c r="E11" s="182"/>
      <c r="F11" s="490"/>
      <c r="G11" s="491"/>
      <c r="H11" s="659"/>
      <c r="I11" s="516" t="str">
        <f t="shared" si="0"/>
        <v>-</v>
      </c>
      <c r="J11" s="516" t="str">
        <f t="shared" si="1"/>
        <v>-</v>
      </c>
      <c r="K11" s="200" t="str">
        <f t="shared" si="2"/>
        <v>-</v>
      </c>
      <c r="L11" s="659"/>
      <c r="M11" s="472" t="e">
        <f>RANK(K11, K$7:$K$21)</f>
        <v>#VALUE!</v>
      </c>
      <c r="N11" s="614"/>
      <c r="O11" s="614"/>
      <c r="P11" s="524" t="s">
        <v>839</v>
      </c>
      <c r="Q11" s="182" t="s">
        <v>839</v>
      </c>
      <c r="R11" s="182" t="s">
        <v>839</v>
      </c>
      <c r="S11" s="182" t="e">
        <v>#VALUE!</v>
      </c>
      <c r="T11" s="686"/>
      <c r="U11" s="524" t="s">
        <v>839</v>
      </c>
      <c r="V11" s="182" t="s">
        <v>839</v>
      </c>
      <c r="W11" s="182" t="s">
        <v>839</v>
      </c>
      <c r="X11" s="182" t="e">
        <v>#VALUE!</v>
      </c>
      <c r="Y11" s="686"/>
      <c r="Z11" s="524" t="s">
        <v>839</v>
      </c>
      <c r="AA11" s="182" t="s">
        <v>839</v>
      </c>
      <c r="AB11" s="182" t="s">
        <v>839</v>
      </c>
      <c r="AC11" s="182" t="e">
        <v>#VALUE!</v>
      </c>
      <c r="AD11" s="686"/>
      <c r="AE11" s="524" t="s">
        <v>839</v>
      </c>
      <c r="AF11" s="182" t="s">
        <v>839</v>
      </c>
      <c r="AG11" s="182" t="s">
        <v>839</v>
      </c>
      <c r="AH11" s="182" t="e">
        <v>#VALUE!</v>
      </c>
      <c r="AI11" s="686"/>
      <c r="AJ11" s="524" t="s">
        <v>839</v>
      </c>
      <c r="AK11" s="182" t="s">
        <v>839</v>
      </c>
      <c r="AL11" s="182" t="s">
        <v>839</v>
      </c>
      <c r="AM11" s="182" t="e">
        <v>#VALUE!</v>
      </c>
      <c r="AN11" s="686"/>
      <c r="AO11" s="524" t="s">
        <v>839</v>
      </c>
      <c r="AP11" s="182" t="s">
        <v>839</v>
      </c>
      <c r="AQ11" s="182" t="s">
        <v>839</v>
      </c>
      <c r="AR11" s="182" t="e">
        <v>#VALUE!</v>
      </c>
      <c r="AS11" s="686"/>
      <c r="AT11" s="524" t="s">
        <v>839</v>
      </c>
      <c r="AU11" s="182" t="s">
        <v>839</v>
      </c>
      <c r="AV11" s="182" t="s">
        <v>839</v>
      </c>
      <c r="AW11" s="182" t="e">
        <v>#VALUE!</v>
      </c>
      <c r="AX11" s="686"/>
      <c r="AZ11" s="526" t="e">
        <f t="shared" si="3"/>
        <v>#N/A</v>
      </c>
      <c r="BA11" s="684"/>
    </row>
    <row r="12" spans="1:53" ht="14.25">
      <c r="A12" s="81"/>
      <c r="B12" s="647"/>
      <c r="C12" s="470">
        <v>6</v>
      </c>
      <c r="D12" s="226"/>
      <c r="E12" s="182"/>
      <c r="F12" s="490"/>
      <c r="G12" s="491"/>
      <c r="H12" s="659"/>
      <c r="I12" s="516" t="str">
        <f t="shared" si="0"/>
        <v>-</v>
      </c>
      <c r="J12" s="516" t="str">
        <f t="shared" si="1"/>
        <v>-</v>
      </c>
      <c r="K12" s="200" t="str">
        <f t="shared" si="2"/>
        <v>-</v>
      </c>
      <c r="L12" s="659"/>
      <c r="M12" s="472" t="e">
        <f>RANK(K12, K$7:$K$21)</f>
        <v>#VALUE!</v>
      </c>
      <c r="N12" s="614"/>
      <c r="O12" s="614"/>
      <c r="P12" s="524" t="s">
        <v>839</v>
      </c>
      <c r="Q12" s="182" t="s">
        <v>839</v>
      </c>
      <c r="R12" s="182" t="s">
        <v>839</v>
      </c>
      <c r="S12" s="182" t="e">
        <v>#VALUE!</v>
      </c>
      <c r="T12" s="686"/>
      <c r="U12" s="524" t="s">
        <v>839</v>
      </c>
      <c r="V12" s="182" t="s">
        <v>839</v>
      </c>
      <c r="W12" s="182" t="s">
        <v>839</v>
      </c>
      <c r="X12" s="182" t="e">
        <v>#VALUE!</v>
      </c>
      <c r="Y12" s="686"/>
      <c r="Z12" s="524" t="s">
        <v>839</v>
      </c>
      <c r="AA12" s="182" t="s">
        <v>839</v>
      </c>
      <c r="AB12" s="182" t="s">
        <v>839</v>
      </c>
      <c r="AC12" s="182" t="e">
        <v>#VALUE!</v>
      </c>
      <c r="AD12" s="686"/>
      <c r="AE12" s="524" t="s">
        <v>839</v>
      </c>
      <c r="AF12" s="182" t="s">
        <v>839</v>
      </c>
      <c r="AG12" s="182" t="s">
        <v>839</v>
      </c>
      <c r="AH12" s="182" t="e">
        <v>#VALUE!</v>
      </c>
      <c r="AI12" s="686"/>
      <c r="AJ12" s="524" t="s">
        <v>839</v>
      </c>
      <c r="AK12" s="182" t="s">
        <v>839</v>
      </c>
      <c r="AL12" s="182" t="s">
        <v>839</v>
      </c>
      <c r="AM12" s="182" t="e">
        <v>#VALUE!</v>
      </c>
      <c r="AN12" s="686"/>
      <c r="AO12" s="524" t="s">
        <v>839</v>
      </c>
      <c r="AP12" s="182" t="s">
        <v>839</v>
      </c>
      <c r="AQ12" s="182" t="s">
        <v>839</v>
      </c>
      <c r="AR12" s="182" t="e">
        <v>#VALUE!</v>
      </c>
      <c r="AS12" s="686"/>
      <c r="AT12" s="524" t="s">
        <v>839</v>
      </c>
      <c r="AU12" s="182" t="s">
        <v>839</v>
      </c>
      <c r="AV12" s="182" t="s">
        <v>839</v>
      </c>
      <c r="AW12" s="182" t="e">
        <v>#VALUE!</v>
      </c>
      <c r="AX12" s="686"/>
      <c r="AZ12" s="526" t="e">
        <f t="shared" si="3"/>
        <v>#N/A</v>
      </c>
      <c r="BA12" s="684"/>
    </row>
    <row r="13" spans="1:53" ht="14.25">
      <c r="A13" s="81"/>
      <c r="B13" s="647"/>
      <c r="C13" s="470">
        <v>7</v>
      </c>
      <c r="D13" s="456"/>
      <c r="E13" s="473"/>
      <c r="F13" s="473"/>
      <c r="G13" s="473"/>
      <c r="H13" s="659"/>
      <c r="I13" s="516" t="str">
        <f t="shared" si="0"/>
        <v>-</v>
      </c>
      <c r="J13" s="516" t="str">
        <f t="shared" si="1"/>
        <v>-</v>
      </c>
      <c r="K13" s="200" t="str">
        <f t="shared" si="2"/>
        <v>-</v>
      </c>
      <c r="L13" s="659"/>
      <c r="M13" s="472" t="e">
        <f>RANK(K13, K$7:$K$21)</f>
        <v>#VALUE!</v>
      </c>
      <c r="N13" s="614"/>
      <c r="O13" s="614"/>
      <c r="P13" s="524" t="s">
        <v>839</v>
      </c>
      <c r="Q13" s="182" t="s">
        <v>839</v>
      </c>
      <c r="R13" s="182" t="s">
        <v>839</v>
      </c>
      <c r="S13" s="182" t="e">
        <v>#VALUE!</v>
      </c>
      <c r="T13" s="686"/>
      <c r="U13" s="524" t="s">
        <v>839</v>
      </c>
      <c r="V13" s="182" t="s">
        <v>839</v>
      </c>
      <c r="W13" s="182" t="s">
        <v>839</v>
      </c>
      <c r="X13" s="182"/>
      <c r="Y13" s="686"/>
      <c r="Z13" s="524" t="s">
        <v>839</v>
      </c>
      <c r="AA13" s="182" t="s">
        <v>839</v>
      </c>
      <c r="AB13" s="182" t="s">
        <v>839</v>
      </c>
      <c r="AC13" s="182"/>
      <c r="AD13" s="686"/>
      <c r="AE13" s="524" t="s">
        <v>839</v>
      </c>
      <c r="AF13" s="182" t="s">
        <v>839</v>
      </c>
      <c r="AG13" s="182" t="s">
        <v>839</v>
      </c>
      <c r="AH13" s="182"/>
      <c r="AI13" s="686"/>
      <c r="AJ13" s="524" t="s">
        <v>839</v>
      </c>
      <c r="AK13" s="182" t="s">
        <v>839</v>
      </c>
      <c r="AL13" s="182" t="s">
        <v>839</v>
      </c>
      <c r="AM13" s="182"/>
      <c r="AN13" s="686"/>
      <c r="AO13" s="524" t="s">
        <v>839</v>
      </c>
      <c r="AP13" s="182" t="s">
        <v>839</v>
      </c>
      <c r="AQ13" s="182" t="s">
        <v>839</v>
      </c>
      <c r="AR13" s="182"/>
      <c r="AS13" s="686"/>
      <c r="AT13" s="524" t="s">
        <v>839</v>
      </c>
      <c r="AU13" s="182" t="s">
        <v>839</v>
      </c>
      <c r="AV13" s="182" t="s">
        <v>839</v>
      </c>
      <c r="AW13" s="182"/>
      <c r="AX13" s="686"/>
      <c r="AZ13" s="526" t="e">
        <f t="shared" si="3"/>
        <v>#N/A</v>
      </c>
      <c r="BA13" s="684"/>
    </row>
    <row r="14" spans="1:53" ht="14.25">
      <c r="A14" s="81"/>
      <c r="B14" s="647"/>
      <c r="C14" s="470">
        <v>8</v>
      </c>
      <c r="D14" s="456"/>
      <c r="E14" s="473"/>
      <c r="F14" s="473"/>
      <c r="G14" s="473"/>
      <c r="H14" s="659"/>
      <c r="I14" s="516" t="str">
        <f t="shared" si="0"/>
        <v>-</v>
      </c>
      <c r="J14" s="516" t="str">
        <f t="shared" si="1"/>
        <v>-</v>
      </c>
      <c r="K14" s="200" t="str">
        <f t="shared" si="2"/>
        <v>-</v>
      </c>
      <c r="L14" s="659"/>
      <c r="M14" s="472" t="e">
        <f>RANK(K14, K$7:$K$21)</f>
        <v>#VALUE!</v>
      </c>
      <c r="N14" s="614"/>
      <c r="O14" s="614"/>
      <c r="P14" s="524" t="s">
        <v>839</v>
      </c>
      <c r="Q14" s="182" t="s">
        <v>839</v>
      </c>
      <c r="R14" s="182" t="s">
        <v>839</v>
      </c>
      <c r="S14" s="182" t="e">
        <v>#VALUE!</v>
      </c>
      <c r="T14" s="686"/>
      <c r="U14" s="524" t="s">
        <v>839</v>
      </c>
      <c r="V14" s="182" t="s">
        <v>839</v>
      </c>
      <c r="W14" s="182" t="s">
        <v>839</v>
      </c>
      <c r="X14" s="182"/>
      <c r="Y14" s="686"/>
      <c r="Z14" s="524" t="s">
        <v>839</v>
      </c>
      <c r="AA14" s="182" t="s">
        <v>839</v>
      </c>
      <c r="AB14" s="182" t="s">
        <v>839</v>
      </c>
      <c r="AC14" s="182"/>
      <c r="AD14" s="686"/>
      <c r="AE14" s="524" t="s">
        <v>839</v>
      </c>
      <c r="AF14" s="182" t="s">
        <v>839</v>
      </c>
      <c r="AG14" s="182" t="s">
        <v>839</v>
      </c>
      <c r="AH14" s="182"/>
      <c r="AI14" s="686"/>
      <c r="AJ14" s="524" t="s">
        <v>839</v>
      </c>
      <c r="AK14" s="182" t="s">
        <v>839</v>
      </c>
      <c r="AL14" s="182" t="s">
        <v>839</v>
      </c>
      <c r="AM14" s="182"/>
      <c r="AN14" s="686"/>
      <c r="AO14" s="524" t="s">
        <v>839</v>
      </c>
      <c r="AP14" s="182" t="s">
        <v>839</v>
      </c>
      <c r="AQ14" s="182" t="s">
        <v>839</v>
      </c>
      <c r="AR14" s="182"/>
      <c r="AS14" s="686"/>
      <c r="AT14" s="524" t="s">
        <v>839</v>
      </c>
      <c r="AU14" s="182" t="s">
        <v>839</v>
      </c>
      <c r="AV14" s="182" t="s">
        <v>839</v>
      </c>
      <c r="AW14" s="182"/>
      <c r="AX14" s="686"/>
      <c r="AZ14" s="526" t="e">
        <f t="shared" si="3"/>
        <v>#N/A</v>
      </c>
      <c r="BA14" s="684"/>
    </row>
    <row r="15" spans="1:53" ht="14.25">
      <c r="A15" s="81"/>
      <c r="B15" s="647"/>
      <c r="C15" s="470">
        <v>9</v>
      </c>
      <c r="D15" s="456"/>
      <c r="E15" s="473"/>
      <c r="F15" s="473"/>
      <c r="G15" s="473"/>
      <c r="H15" s="659"/>
      <c r="I15" s="516" t="str">
        <f t="shared" si="0"/>
        <v>-</v>
      </c>
      <c r="J15" s="516" t="str">
        <f t="shared" si="1"/>
        <v>-</v>
      </c>
      <c r="K15" s="200" t="str">
        <f t="shared" si="2"/>
        <v>-</v>
      </c>
      <c r="L15" s="659"/>
      <c r="M15" s="472" t="e">
        <f>RANK(K15, K$7:$K$21)</f>
        <v>#VALUE!</v>
      </c>
      <c r="N15" s="614"/>
      <c r="O15" s="614"/>
      <c r="P15" s="524" t="s">
        <v>839</v>
      </c>
      <c r="Q15" s="182" t="s">
        <v>839</v>
      </c>
      <c r="R15" s="182" t="s">
        <v>839</v>
      </c>
      <c r="S15" s="182" t="e">
        <v>#VALUE!</v>
      </c>
      <c r="T15" s="686"/>
      <c r="U15" s="524" t="s">
        <v>839</v>
      </c>
      <c r="V15" s="182" t="s">
        <v>839</v>
      </c>
      <c r="W15" s="182" t="s">
        <v>839</v>
      </c>
      <c r="X15" s="182"/>
      <c r="Y15" s="686"/>
      <c r="Z15" s="524" t="s">
        <v>839</v>
      </c>
      <c r="AA15" s="182" t="s">
        <v>839</v>
      </c>
      <c r="AB15" s="182" t="s">
        <v>839</v>
      </c>
      <c r="AC15" s="182"/>
      <c r="AD15" s="686"/>
      <c r="AE15" s="524" t="s">
        <v>839</v>
      </c>
      <c r="AF15" s="182" t="s">
        <v>839</v>
      </c>
      <c r="AG15" s="182" t="s">
        <v>839</v>
      </c>
      <c r="AH15" s="182"/>
      <c r="AI15" s="686"/>
      <c r="AJ15" s="524" t="s">
        <v>839</v>
      </c>
      <c r="AK15" s="182" t="s">
        <v>839</v>
      </c>
      <c r="AL15" s="182" t="s">
        <v>839</v>
      </c>
      <c r="AM15" s="182"/>
      <c r="AN15" s="686"/>
      <c r="AO15" s="524" t="s">
        <v>839</v>
      </c>
      <c r="AP15" s="182" t="s">
        <v>839</v>
      </c>
      <c r="AQ15" s="182" t="s">
        <v>839</v>
      </c>
      <c r="AR15" s="182"/>
      <c r="AS15" s="686"/>
      <c r="AT15" s="524" t="s">
        <v>839</v>
      </c>
      <c r="AU15" s="182" t="s">
        <v>839</v>
      </c>
      <c r="AV15" s="182" t="s">
        <v>839</v>
      </c>
      <c r="AW15" s="182"/>
      <c r="AX15" s="686"/>
      <c r="AZ15" s="526" t="e">
        <f t="shared" si="3"/>
        <v>#N/A</v>
      </c>
      <c r="BA15" s="684"/>
    </row>
    <row r="16" spans="1:53" ht="14.25">
      <c r="A16" s="81"/>
      <c r="B16" s="647"/>
      <c r="C16" s="470">
        <v>10</v>
      </c>
      <c r="D16" s="456"/>
      <c r="E16" s="473"/>
      <c r="F16" s="473"/>
      <c r="G16" s="473"/>
      <c r="H16" s="659"/>
      <c r="I16" s="516" t="str">
        <f t="shared" si="0"/>
        <v>-</v>
      </c>
      <c r="J16" s="516" t="str">
        <f t="shared" si="1"/>
        <v>-</v>
      </c>
      <c r="K16" s="200" t="str">
        <f t="shared" si="2"/>
        <v>-</v>
      </c>
      <c r="L16" s="659"/>
      <c r="M16" s="472" t="e">
        <f>RANK(K16, K$7:$K$21)</f>
        <v>#VALUE!</v>
      </c>
      <c r="N16" s="614"/>
      <c r="O16" s="614"/>
      <c r="P16" s="524" t="s">
        <v>839</v>
      </c>
      <c r="Q16" s="182" t="s">
        <v>839</v>
      </c>
      <c r="R16" s="182" t="s">
        <v>839</v>
      </c>
      <c r="S16" s="182" t="e">
        <v>#VALUE!</v>
      </c>
      <c r="T16" s="686"/>
      <c r="U16" s="524" t="s">
        <v>839</v>
      </c>
      <c r="V16" s="182" t="s">
        <v>839</v>
      </c>
      <c r="W16" s="182" t="s">
        <v>839</v>
      </c>
      <c r="X16" s="182"/>
      <c r="Y16" s="686"/>
      <c r="Z16" s="524" t="s">
        <v>839</v>
      </c>
      <c r="AA16" s="182" t="s">
        <v>839</v>
      </c>
      <c r="AB16" s="182" t="s">
        <v>839</v>
      </c>
      <c r="AC16" s="182"/>
      <c r="AD16" s="686"/>
      <c r="AE16" s="524" t="s">
        <v>839</v>
      </c>
      <c r="AF16" s="182" t="s">
        <v>839</v>
      </c>
      <c r="AG16" s="182" t="s">
        <v>839</v>
      </c>
      <c r="AH16" s="182"/>
      <c r="AI16" s="686"/>
      <c r="AJ16" s="524" t="s">
        <v>839</v>
      </c>
      <c r="AK16" s="182" t="s">
        <v>839</v>
      </c>
      <c r="AL16" s="182" t="s">
        <v>839</v>
      </c>
      <c r="AM16" s="182"/>
      <c r="AN16" s="686"/>
      <c r="AO16" s="524" t="s">
        <v>839</v>
      </c>
      <c r="AP16" s="182" t="s">
        <v>839</v>
      </c>
      <c r="AQ16" s="182" t="s">
        <v>839</v>
      </c>
      <c r="AR16" s="182"/>
      <c r="AS16" s="686"/>
      <c r="AT16" s="524" t="s">
        <v>839</v>
      </c>
      <c r="AU16" s="182" t="s">
        <v>839</v>
      </c>
      <c r="AV16" s="182" t="s">
        <v>839</v>
      </c>
      <c r="AW16" s="182"/>
      <c r="AX16" s="686"/>
      <c r="AZ16" s="526" t="e">
        <f t="shared" si="3"/>
        <v>#N/A</v>
      </c>
      <c r="BA16" s="684"/>
    </row>
    <row r="17" spans="2:53">
      <c r="B17" s="647"/>
      <c r="C17" s="470">
        <v>11</v>
      </c>
      <c r="D17" s="456"/>
      <c r="E17" s="473"/>
      <c r="F17" s="473"/>
      <c r="G17" s="473"/>
      <c r="H17" s="659"/>
      <c r="I17" s="516" t="str">
        <f t="shared" si="0"/>
        <v>-</v>
      </c>
      <c r="J17" s="516" t="str">
        <f t="shared" si="1"/>
        <v>-</v>
      </c>
      <c r="K17" s="200" t="str">
        <f t="shared" si="2"/>
        <v>-</v>
      </c>
      <c r="L17" s="659"/>
      <c r="M17" s="472" t="e">
        <f>RANK(K17, K$7:$K$21)</f>
        <v>#VALUE!</v>
      </c>
      <c r="N17" s="614"/>
      <c r="O17" s="614"/>
      <c r="P17" s="524" t="s">
        <v>839</v>
      </c>
      <c r="Q17" s="182" t="s">
        <v>839</v>
      </c>
      <c r="R17" s="182" t="s">
        <v>839</v>
      </c>
      <c r="S17" s="182"/>
      <c r="T17" s="686"/>
      <c r="U17" s="524" t="s">
        <v>839</v>
      </c>
      <c r="V17" s="182" t="s">
        <v>839</v>
      </c>
      <c r="W17" s="182" t="s">
        <v>839</v>
      </c>
      <c r="X17" s="182"/>
      <c r="Y17" s="686"/>
      <c r="Z17" s="524" t="s">
        <v>839</v>
      </c>
      <c r="AA17" s="182" t="s">
        <v>839</v>
      </c>
      <c r="AB17" s="182" t="s">
        <v>839</v>
      </c>
      <c r="AC17" s="182"/>
      <c r="AD17" s="686"/>
      <c r="AE17" s="524" t="s">
        <v>839</v>
      </c>
      <c r="AF17" s="182" t="s">
        <v>839</v>
      </c>
      <c r="AG17" s="182" t="s">
        <v>839</v>
      </c>
      <c r="AH17" s="182"/>
      <c r="AI17" s="686"/>
      <c r="AJ17" s="524" t="s">
        <v>839</v>
      </c>
      <c r="AK17" s="182" t="s">
        <v>839</v>
      </c>
      <c r="AL17" s="182" t="s">
        <v>839</v>
      </c>
      <c r="AM17" s="182"/>
      <c r="AN17" s="686"/>
      <c r="AO17" s="524" t="s">
        <v>839</v>
      </c>
      <c r="AP17" s="182" t="s">
        <v>839</v>
      </c>
      <c r="AQ17" s="182" t="s">
        <v>839</v>
      </c>
      <c r="AR17" s="182"/>
      <c r="AS17" s="686"/>
      <c r="AT17" s="524" t="s">
        <v>839</v>
      </c>
      <c r="AU17" s="182" t="s">
        <v>839</v>
      </c>
      <c r="AV17" s="182" t="s">
        <v>839</v>
      </c>
      <c r="AW17" s="182"/>
      <c r="AX17" s="686"/>
      <c r="AZ17" s="526" t="e">
        <f t="shared" si="3"/>
        <v>#N/A</v>
      </c>
      <c r="BA17" s="684"/>
    </row>
    <row r="18" spans="2:53">
      <c r="B18" s="647"/>
      <c r="C18" s="470">
        <v>12</v>
      </c>
      <c r="D18" s="456"/>
      <c r="E18" s="473"/>
      <c r="F18" s="473"/>
      <c r="G18" s="473"/>
      <c r="H18" s="659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659"/>
      <c r="M18" s="472" t="e">
        <f>RANK(K18, K$7:$K$21)</f>
        <v>#VALUE!</v>
      </c>
      <c r="N18" s="614"/>
      <c r="O18" s="614"/>
      <c r="P18" s="524" t="s">
        <v>839</v>
      </c>
      <c r="Q18" s="182" t="s">
        <v>839</v>
      </c>
      <c r="R18" s="182" t="s">
        <v>839</v>
      </c>
      <c r="S18" s="182"/>
      <c r="T18" s="686"/>
      <c r="U18" s="524" t="s">
        <v>839</v>
      </c>
      <c r="V18" s="182" t="s">
        <v>839</v>
      </c>
      <c r="W18" s="182" t="s">
        <v>839</v>
      </c>
      <c r="X18" s="182"/>
      <c r="Y18" s="686"/>
      <c r="Z18" s="524" t="s">
        <v>839</v>
      </c>
      <c r="AA18" s="182" t="s">
        <v>839</v>
      </c>
      <c r="AB18" s="182" t="s">
        <v>839</v>
      </c>
      <c r="AC18" s="182"/>
      <c r="AD18" s="686"/>
      <c r="AE18" s="524" t="s">
        <v>839</v>
      </c>
      <c r="AF18" s="182" t="s">
        <v>839</v>
      </c>
      <c r="AG18" s="182" t="s">
        <v>839</v>
      </c>
      <c r="AH18" s="182"/>
      <c r="AI18" s="686"/>
      <c r="AJ18" s="524" t="s">
        <v>839</v>
      </c>
      <c r="AK18" s="182" t="s">
        <v>839</v>
      </c>
      <c r="AL18" s="182" t="s">
        <v>839</v>
      </c>
      <c r="AM18" s="182"/>
      <c r="AN18" s="686"/>
      <c r="AO18" s="524" t="s">
        <v>839</v>
      </c>
      <c r="AP18" s="182" t="s">
        <v>839</v>
      </c>
      <c r="AQ18" s="182" t="s">
        <v>839</v>
      </c>
      <c r="AR18" s="182"/>
      <c r="AS18" s="686"/>
      <c r="AT18" s="524" t="s">
        <v>839</v>
      </c>
      <c r="AU18" s="182" t="s">
        <v>839</v>
      </c>
      <c r="AV18" s="182" t="s">
        <v>839</v>
      </c>
      <c r="AW18" s="182"/>
      <c r="AX18" s="686"/>
      <c r="AZ18" s="526" t="e">
        <f t="shared" si="3"/>
        <v>#N/A</v>
      </c>
      <c r="BA18" s="684"/>
    </row>
    <row r="19" spans="2:53">
      <c r="B19" s="647"/>
      <c r="C19" s="470">
        <v>13</v>
      </c>
      <c r="D19" s="456"/>
      <c r="E19" s="473"/>
      <c r="F19" s="473"/>
      <c r="G19" s="473"/>
      <c r="H19" s="659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659"/>
      <c r="M19" s="472" t="e">
        <f>RANK(K19, K$7:$K$21)</f>
        <v>#VALUE!</v>
      </c>
      <c r="N19" s="614"/>
      <c r="O19" s="614"/>
      <c r="P19" s="524" t="s">
        <v>839</v>
      </c>
      <c r="Q19" s="182" t="s">
        <v>839</v>
      </c>
      <c r="R19" s="182" t="s">
        <v>839</v>
      </c>
      <c r="S19" s="182"/>
      <c r="T19" s="686"/>
      <c r="U19" s="524" t="s">
        <v>839</v>
      </c>
      <c r="V19" s="182" t="s">
        <v>839</v>
      </c>
      <c r="W19" s="182" t="s">
        <v>839</v>
      </c>
      <c r="X19" s="182"/>
      <c r="Y19" s="686"/>
      <c r="Z19" s="524" t="s">
        <v>839</v>
      </c>
      <c r="AA19" s="182" t="s">
        <v>839</v>
      </c>
      <c r="AB19" s="182" t="s">
        <v>839</v>
      </c>
      <c r="AC19" s="182"/>
      <c r="AD19" s="686"/>
      <c r="AE19" s="524" t="s">
        <v>839</v>
      </c>
      <c r="AF19" s="182" t="s">
        <v>839</v>
      </c>
      <c r="AG19" s="182" t="s">
        <v>839</v>
      </c>
      <c r="AH19" s="182"/>
      <c r="AI19" s="686"/>
      <c r="AJ19" s="524" t="s">
        <v>839</v>
      </c>
      <c r="AK19" s="182" t="s">
        <v>839</v>
      </c>
      <c r="AL19" s="182" t="s">
        <v>839</v>
      </c>
      <c r="AM19" s="182"/>
      <c r="AN19" s="686"/>
      <c r="AO19" s="524" t="s">
        <v>839</v>
      </c>
      <c r="AP19" s="182" t="s">
        <v>839</v>
      </c>
      <c r="AQ19" s="182" t="s">
        <v>839</v>
      </c>
      <c r="AR19" s="182"/>
      <c r="AS19" s="686"/>
      <c r="AT19" s="524" t="s">
        <v>839</v>
      </c>
      <c r="AU19" s="182" t="s">
        <v>839</v>
      </c>
      <c r="AV19" s="182" t="s">
        <v>839</v>
      </c>
      <c r="AW19" s="182"/>
      <c r="AX19" s="686"/>
      <c r="AZ19" s="526" t="e">
        <f t="shared" si="3"/>
        <v>#N/A</v>
      </c>
      <c r="BA19" s="684"/>
    </row>
    <row r="20" spans="2:53">
      <c r="B20" s="647"/>
      <c r="C20" s="470">
        <v>14</v>
      </c>
      <c r="D20" s="456"/>
      <c r="E20" s="473"/>
      <c r="F20" s="473"/>
      <c r="G20" s="473"/>
      <c r="H20" s="659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659"/>
      <c r="M20" s="472" t="e">
        <f>RANK(K20, K$7:$K$21)</f>
        <v>#VALUE!</v>
      </c>
      <c r="N20" s="614"/>
      <c r="O20" s="614"/>
      <c r="P20" s="524" t="s">
        <v>839</v>
      </c>
      <c r="Q20" s="182" t="s">
        <v>839</v>
      </c>
      <c r="R20" s="182" t="s">
        <v>839</v>
      </c>
      <c r="S20" s="182"/>
      <c r="T20" s="686"/>
      <c r="U20" s="524" t="s">
        <v>839</v>
      </c>
      <c r="V20" s="182" t="s">
        <v>839</v>
      </c>
      <c r="W20" s="182" t="s">
        <v>839</v>
      </c>
      <c r="X20" s="182"/>
      <c r="Y20" s="686"/>
      <c r="Z20" s="524" t="s">
        <v>839</v>
      </c>
      <c r="AA20" s="182" t="s">
        <v>839</v>
      </c>
      <c r="AB20" s="182" t="s">
        <v>839</v>
      </c>
      <c r="AC20" s="182"/>
      <c r="AD20" s="686"/>
      <c r="AE20" s="524" t="s">
        <v>839</v>
      </c>
      <c r="AF20" s="182" t="s">
        <v>839</v>
      </c>
      <c r="AG20" s="182" t="s">
        <v>839</v>
      </c>
      <c r="AH20" s="182"/>
      <c r="AI20" s="686"/>
      <c r="AJ20" s="524" t="s">
        <v>839</v>
      </c>
      <c r="AK20" s="182" t="s">
        <v>839</v>
      </c>
      <c r="AL20" s="182" t="s">
        <v>839</v>
      </c>
      <c r="AM20" s="182"/>
      <c r="AN20" s="686"/>
      <c r="AO20" s="524" t="s">
        <v>839</v>
      </c>
      <c r="AP20" s="182" t="s">
        <v>839</v>
      </c>
      <c r="AQ20" s="182" t="s">
        <v>839</v>
      </c>
      <c r="AR20" s="182"/>
      <c r="AS20" s="686"/>
      <c r="AT20" s="524" t="s">
        <v>839</v>
      </c>
      <c r="AU20" s="182" t="s">
        <v>839</v>
      </c>
      <c r="AV20" s="182" t="s">
        <v>839</v>
      </c>
      <c r="AW20" s="182"/>
      <c r="AX20" s="686"/>
      <c r="AZ20" s="526" t="e">
        <f t="shared" si="3"/>
        <v>#N/A</v>
      </c>
      <c r="BA20" s="684"/>
    </row>
    <row r="21" spans="2:53">
      <c r="B21" s="647"/>
      <c r="C21" s="470">
        <v>15</v>
      </c>
      <c r="D21" s="456"/>
      <c r="E21" s="473"/>
      <c r="F21" s="473"/>
      <c r="G21" s="473"/>
      <c r="H21" s="669"/>
      <c r="I21" s="470"/>
      <c r="J21" s="470"/>
      <c r="K21" s="470"/>
      <c r="L21" s="669"/>
      <c r="M21" s="472" t="e">
        <f>RANK(K21, K$7:$K$21)</f>
        <v>#N/A</v>
      </c>
      <c r="N21" s="614"/>
      <c r="O21" s="614"/>
      <c r="P21" s="524" t="s">
        <v>839</v>
      </c>
      <c r="Q21" s="182" t="s">
        <v>839</v>
      </c>
      <c r="R21" s="182" t="s">
        <v>839</v>
      </c>
      <c r="S21" s="182"/>
      <c r="T21" s="686"/>
      <c r="U21" s="524" t="s">
        <v>839</v>
      </c>
      <c r="V21" s="182" t="s">
        <v>839</v>
      </c>
      <c r="W21" s="182" t="s">
        <v>839</v>
      </c>
      <c r="X21" s="182"/>
      <c r="Y21" s="686"/>
      <c r="Z21" s="524" t="s">
        <v>839</v>
      </c>
      <c r="AA21" s="182" t="s">
        <v>839</v>
      </c>
      <c r="AB21" s="182" t="s">
        <v>839</v>
      </c>
      <c r="AC21" s="182"/>
      <c r="AD21" s="686"/>
      <c r="AE21" s="524" t="s">
        <v>839</v>
      </c>
      <c r="AF21" s="182" t="s">
        <v>839</v>
      </c>
      <c r="AG21" s="182" t="s">
        <v>839</v>
      </c>
      <c r="AH21" s="182"/>
      <c r="AI21" s="686"/>
      <c r="AJ21" s="524" t="s">
        <v>839</v>
      </c>
      <c r="AK21" s="182" t="s">
        <v>839</v>
      </c>
      <c r="AL21" s="182" t="s">
        <v>839</v>
      </c>
      <c r="AM21" s="182"/>
      <c r="AN21" s="686"/>
      <c r="AO21" s="524" t="s">
        <v>839</v>
      </c>
      <c r="AP21" s="182" t="s">
        <v>839</v>
      </c>
      <c r="AQ21" s="182" t="s">
        <v>839</v>
      </c>
      <c r="AR21" s="182"/>
      <c r="AS21" s="686"/>
      <c r="AT21" s="524" t="s">
        <v>839</v>
      </c>
      <c r="AU21" s="182" t="s">
        <v>839</v>
      </c>
      <c r="AV21" s="182" t="s">
        <v>839</v>
      </c>
      <c r="AW21" s="182"/>
      <c r="AX21" s="686"/>
      <c r="AZ21" s="526" t="e">
        <f t="shared" si="3"/>
        <v>#N/A</v>
      </c>
      <c r="BA21" s="685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398</v>
      </c>
      <c r="C24" s="614" t="s">
        <v>408</v>
      </c>
      <c r="D24" s="614"/>
      <c r="E24" s="614" t="s">
        <v>399</v>
      </c>
      <c r="F24" s="614"/>
      <c r="G24" s="614"/>
      <c r="H24" s="630" t="s">
        <v>395</v>
      </c>
      <c r="I24" s="598" t="s">
        <v>400</v>
      </c>
      <c r="J24" s="598"/>
      <c r="K24" s="598"/>
      <c r="L24" s="599" t="s">
        <v>395</v>
      </c>
      <c r="M24" s="605" t="s">
        <v>396</v>
      </c>
      <c r="N24" s="614"/>
      <c r="O24" s="614" t="s">
        <v>401</v>
      </c>
      <c r="P24" s="611" t="s">
        <v>397</v>
      </c>
      <c r="Q24" s="612"/>
      <c r="R24" s="612"/>
      <c r="S24" s="613"/>
      <c r="T24" s="614" t="s">
        <v>395</v>
      </c>
      <c r="U24" s="611" t="s">
        <v>397</v>
      </c>
      <c r="V24" s="612"/>
      <c r="W24" s="612"/>
      <c r="X24" s="613"/>
      <c r="Y24" s="614" t="s">
        <v>395</v>
      </c>
      <c r="Z24" s="611" t="s">
        <v>397</v>
      </c>
      <c r="AA24" s="612"/>
      <c r="AB24" s="612"/>
      <c r="AC24" s="613"/>
      <c r="AD24" s="614" t="s">
        <v>395</v>
      </c>
      <c r="AE24" s="611" t="s">
        <v>397</v>
      </c>
      <c r="AF24" s="612"/>
      <c r="AG24" s="612"/>
      <c r="AH24" s="613"/>
      <c r="AI24" s="614" t="s">
        <v>395</v>
      </c>
      <c r="AJ24" s="611" t="s">
        <v>397</v>
      </c>
      <c r="AK24" s="612"/>
      <c r="AL24" s="612"/>
      <c r="AM24" s="613"/>
      <c r="AN24" s="614" t="s">
        <v>395</v>
      </c>
      <c r="AO24" s="611" t="s">
        <v>397</v>
      </c>
      <c r="AP24" s="612"/>
      <c r="AQ24" s="612"/>
      <c r="AR24" s="613"/>
      <c r="AS24" s="614" t="s">
        <v>395</v>
      </c>
      <c r="AT24" s="611" t="s">
        <v>397</v>
      </c>
      <c r="AU24" s="612"/>
      <c r="AV24" s="612"/>
      <c r="AW24" s="613"/>
      <c r="AX24" s="614" t="s">
        <v>395</v>
      </c>
      <c r="BA24" s="614" t="s">
        <v>395</v>
      </c>
    </row>
    <row r="25" spans="2:53">
      <c r="B25" s="614"/>
      <c r="C25" s="614"/>
      <c r="D25" s="614"/>
      <c r="E25" s="614" t="s">
        <v>402</v>
      </c>
      <c r="F25" s="614"/>
      <c r="G25" s="614"/>
      <c r="H25" s="631"/>
      <c r="I25" s="598" t="s">
        <v>402</v>
      </c>
      <c r="J25" s="598"/>
      <c r="K25" s="598"/>
      <c r="L25" s="600"/>
      <c r="M25" s="606"/>
      <c r="N25" s="614"/>
      <c r="O25" s="614"/>
      <c r="P25" s="611" t="s">
        <v>403</v>
      </c>
      <c r="Q25" s="612"/>
      <c r="R25" s="612"/>
      <c r="S25" s="613"/>
      <c r="T25" s="614"/>
      <c r="U25" s="611" t="s">
        <v>403</v>
      </c>
      <c r="V25" s="612"/>
      <c r="W25" s="612"/>
      <c r="X25" s="613"/>
      <c r="Y25" s="614"/>
      <c r="Z25" s="611" t="s">
        <v>403</v>
      </c>
      <c r="AA25" s="612"/>
      <c r="AB25" s="612"/>
      <c r="AC25" s="613"/>
      <c r="AD25" s="614"/>
      <c r="AE25" s="611" t="s">
        <v>403</v>
      </c>
      <c r="AF25" s="612"/>
      <c r="AG25" s="612"/>
      <c r="AH25" s="613"/>
      <c r="AI25" s="614"/>
      <c r="AJ25" s="611" t="s">
        <v>403</v>
      </c>
      <c r="AK25" s="612"/>
      <c r="AL25" s="612"/>
      <c r="AM25" s="613"/>
      <c r="AN25" s="614"/>
      <c r="AO25" s="611" t="s">
        <v>403</v>
      </c>
      <c r="AP25" s="612"/>
      <c r="AQ25" s="612"/>
      <c r="AR25" s="613"/>
      <c r="AS25" s="614"/>
      <c r="AT25" s="611" t="s">
        <v>403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305" t="s">
        <v>404</v>
      </c>
      <c r="F26" s="305" t="s">
        <v>405</v>
      </c>
      <c r="G26" s="305" t="s">
        <v>406</v>
      </c>
      <c r="H26" s="632"/>
      <c r="I26" s="304" t="s">
        <v>404</v>
      </c>
      <c r="J26" s="304" t="s">
        <v>405</v>
      </c>
      <c r="K26" s="304" t="s">
        <v>406</v>
      </c>
      <c r="L26" s="601"/>
      <c r="M26" s="607"/>
      <c r="N26" s="614"/>
      <c r="O26" s="614"/>
      <c r="P26" s="305" t="s">
        <v>404</v>
      </c>
      <c r="Q26" s="305" t="s">
        <v>405</v>
      </c>
      <c r="R26" s="305" t="s">
        <v>406</v>
      </c>
      <c r="S26" s="305" t="s">
        <v>396</v>
      </c>
      <c r="T26" s="614"/>
      <c r="U26" s="305" t="s">
        <v>404</v>
      </c>
      <c r="V26" s="305" t="s">
        <v>405</v>
      </c>
      <c r="W26" s="305" t="s">
        <v>406</v>
      </c>
      <c r="X26" s="305" t="s">
        <v>396</v>
      </c>
      <c r="Y26" s="614"/>
      <c r="Z26" s="305" t="s">
        <v>404</v>
      </c>
      <c r="AA26" s="305" t="s">
        <v>405</v>
      </c>
      <c r="AB26" s="305" t="s">
        <v>406</v>
      </c>
      <c r="AC26" s="305" t="s">
        <v>396</v>
      </c>
      <c r="AD26" s="614"/>
      <c r="AE26" s="305" t="s">
        <v>404</v>
      </c>
      <c r="AF26" s="305" t="s">
        <v>405</v>
      </c>
      <c r="AG26" s="305" t="s">
        <v>406</v>
      </c>
      <c r="AH26" s="305" t="s">
        <v>396</v>
      </c>
      <c r="AI26" s="614"/>
      <c r="AJ26" s="305" t="s">
        <v>404</v>
      </c>
      <c r="AK26" s="305" t="s">
        <v>405</v>
      </c>
      <c r="AL26" s="305" t="s">
        <v>406</v>
      </c>
      <c r="AM26" s="305" t="s">
        <v>396</v>
      </c>
      <c r="AN26" s="614"/>
      <c r="AO26" s="305" t="s">
        <v>404</v>
      </c>
      <c r="AP26" s="305" t="s">
        <v>405</v>
      </c>
      <c r="AQ26" s="305" t="s">
        <v>406</v>
      </c>
      <c r="AR26" s="305" t="s">
        <v>396</v>
      </c>
      <c r="AS26" s="614"/>
      <c r="AT26" s="305" t="s">
        <v>404</v>
      </c>
      <c r="AU26" s="305" t="s">
        <v>405</v>
      </c>
      <c r="AV26" s="305" t="s">
        <v>406</v>
      </c>
      <c r="AW26" s="305" t="s">
        <v>396</v>
      </c>
      <c r="AX26" s="614"/>
      <c r="AZ26" s="523" t="s">
        <v>396</v>
      </c>
      <c r="BA26" s="614"/>
    </row>
    <row r="27" spans="2:53">
      <c r="B27" s="614" t="s">
        <v>410</v>
      </c>
      <c r="C27" s="306">
        <v>1</v>
      </c>
      <c r="D27" s="226" t="s">
        <v>640</v>
      </c>
      <c r="E27" s="182">
        <v>14</v>
      </c>
      <c r="F27" s="514">
        <v>1500</v>
      </c>
      <c r="G27" s="515">
        <v>107.1</v>
      </c>
      <c r="H27" s="663">
        <f>AVERAGE(G27:G41)</f>
        <v>99.199999999999989</v>
      </c>
      <c r="I27" s="516">
        <f t="shared" ref="I27:I40" si="5">IFERROR(AVERAGE(P27,U27,Z27,AE27,AJ27,AO27,AT27),"-")</f>
        <v>14</v>
      </c>
      <c r="J27" s="516">
        <f t="shared" ref="J27:J40" si="6">IFERROR(AVERAGE(Q27,V27,AA27,AF27,AK27,AP27,AU27),"-")</f>
        <v>1258.3170970905521</v>
      </c>
      <c r="K27" s="200">
        <f t="shared" ref="K27:K40" si="7">IFERROR(AVERAGE(R27,W27,AB27,AG27,AL27,AQ27,AV27),"-")</f>
        <v>89.879792649325154</v>
      </c>
      <c r="L27" s="595">
        <f>IFERROR(AVERAGE(K27:K41),"-")</f>
        <v>85.588967527851182</v>
      </c>
      <c r="M27" s="201">
        <f>RANK(K27, K$27:$K$41)</f>
        <v>1</v>
      </c>
      <c r="N27" s="614"/>
      <c r="O27" s="614"/>
      <c r="P27" s="529">
        <v>14</v>
      </c>
      <c r="Q27" s="533">
        <v>1236.5217391304348</v>
      </c>
      <c r="R27" s="533">
        <v>88.322981366459629</v>
      </c>
      <c r="S27" s="529">
        <f t="shared" ref="S27:S41" si="8">RANK(R27, R$27:R$41)</f>
        <v>1</v>
      </c>
      <c r="T27" s="623">
        <f t="shared" ref="T27" si="9">AVERAGE(R27:R41)</f>
        <v>85.446364855310364</v>
      </c>
      <c r="U27" s="529">
        <v>14</v>
      </c>
      <c r="V27" s="533">
        <v>1259.9999999999991</v>
      </c>
      <c r="W27" s="533">
        <v>89.999999999999929</v>
      </c>
      <c r="X27" s="529">
        <f t="shared" ref="X27:X41" si="10">RANK(W27, W$27:W$41)</f>
        <v>1</v>
      </c>
      <c r="Y27" s="623">
        <f t="shared" ref="Y27" si="11">AVERAGE(W27:W41)</f>
        <v>86.471925133689808</v>
      </c>
      <c r="Z27" s="529">
        <v>14</v>
      </c>
      <c r="AA27" s="533">
        <v>1285.2631578947357</v>
      </c>
      <c r="AB27" s="533">
        <v>91.804511278195406</v>
      </c>
      <c r="AC27" s="529">
        <f t="shared" ref="AC27:AC41" si="12">RANK(AB27, AB$27:AB$41)</f>
        <v>1</v>
      </c>
      <c r="AD27" s="623">
        <f t="shared" ref="AD27" si="13">AVERAGE(AB27:AB41)</f>
        <v>86.897021966681351</v>
      </c>
      <c r="AE27" s="529">
        <v>14</v>
      </c>
      <c r="AF27" s="533">
        <v>1235.9999999999995</v>
      </c>
      <c r="AG27" s="533">
        <v>88.285714285714249</v>
      </c>
      <c r="AH27" s="529">
        <f t="shared" ref="AH27:AH41" si="14">RANK(AG27, AG$27:AG$41)</f>
        <v>1</v>
      </c>
      <c r="AI27" s="623">
        <f t="shared" ref="AI27" si="15">AVERAGE(AG27:AG41)</f>
        <v>83.616246498599438</v>
      </c>
      <c r="AJ27" s="529">
        <v>14</v>
      </c>
      <c r="AK27" s="533">
        <v>1270.4347826086957</v>
      </c>
      <c r="AL27" s="533">
        <v>90.745341614906835</v>
      </c>
      <c r="AM27" s="529">
        <f t="shared" ref="AM27:AM41" si="16">RANK(AL27, AL$27:AL$41)</f>
        <v>1</v>
      </c>
      <c r="AN27" s="623">
        <f t="shared" ref="AN27" si="17">AVERAGE(AL27:AL41)</f>
        <v>86.480195223325254</v>
      </c>
      <c r="AO27" s="529">
        <v>14</v>
      </c>
      <c r="AP27" s="533">
        <v>1250.0000000000005</v>
      </c>
      <c r="AQ27" s="533">
        <v>89.28571428571432</v>
      </c>
      <c r="AR27" s="529">
        <f t="shared" ref="AR27:AR41" si="18">RANK(AQ27, AQ$27:AQ$41)</f>
        <v>1</v>
      </c>
      <c r="AS27" s="623">
        <f t="shared" ref="AS27" si="19">AVERAGE(AQ27:AQ41)</f>
        <v>84.187110328002177</v>
      </c>
      <c r="AT27" s="529">
        <v>14</v>
      </c>
      <c r="AU27" s="533">
        <v>1270.0000000000002</v>
      </c>
      <c r="AV27" s="533">
        <v>90.714285714285737</v>
      </c>
      <c r="AW27" s="529">
        <f t="shared" ref="AW27:AW41" si="20">RANK(AV27, AV$27:AV$41)</f>
        <v>1</v>
      </c>
      <c r="AX27" s="623">
        <f t="shared" ref="AX27" si="21">AVERAGE(AV27:AV41)</f>
        <v>86.023908689349909</v>
      </c>
      <c r="AZ27" s="524" t="e">
        <f t="shared" ref="AZ27:AZ41" si="22">RANK(AY27, AY$27:AY$41)</f>
        <v>#N/A</v>
      </c>
      <c r="BA27" s="623" t="e">
        <f t="shared" ref="BA27" si="23">AVERAGE(AY27:AY41)</f>
        <v>#DIV/0!</v>
      </c>
    </row>
    <row r="28" spans="2:53">
      <c r="B28" s="622"/>
      <c r="C28" s="306">
        <v>2</v>
      </c>
      <c r="D28" s="226" t="s">
        <v>676</v>
      </c>
      <c r="E28" s="182">
        <v>16</v>
      </c>
      <c r="F28" s="514">
        <v>1636</v>
      </c>
      <c r="G28" s="515">
        <v>102.3</v>
      </c>
      <c r="H28" s="664"/>
      <c r="I28" s="516">
        <f t="shared" si="5"/>
        <v>17</v>
      </c>
      <c r="J28" s="516">
        <f t="shared" si="6"/>
        <v>1451.2692657682478</v>
      </c>
      <c r="K28" s="200">
        <f t="shared" si="7"/>
        <v>85.368780339308699</v>
      </c>
      <c r="L28" s="596"/>
      <c r="M28" s="201">
        <f>RANK(K28, K$27:$K$41)</f>
        <v>2</v>
      </c>
      <c r="N28" s="614"/>
      <c r="O28" s="614"/>
      <c r="P28" s="529">
        <v>17</v>
      </c>
      <c r="Q28" s="533">
        <v>1461.4678899082567</v>
      </c>
      <c r="R28" s="533">
        <v>85.968699406368046</v>
      </c>
      <c r="S28" s="529">
        <f t="shared" si="8"/>
        <v>2</v>
      </c>
      <c r="T28" s="624"/>
      <c r="U28" s="529">
        <v>17</v>
      </c>
      <c r="V28" s="533">
        <v>1462.5000000000009</v>
      </c>
      <c r="W28" s="533">
        <v>86.029411764705941</v>
      </c>
      <c r="X28" s="529">
        <f t="shared" si="10"/>
        <v>2</v>
      </c>
      <c r="Y28" s="624"/>
      <c r="Z28" s="529">
        <v>17</v>
      </c>
      <c r="AA28" s="533">
        <v>1468.5714285714282</v>
      </c>
      <c r="AB28" s="533">
        <v>86.386554621848717</v>
      </c>
      <c r="AC28" s="529">
        <f t="shared" si="12"/>
        <v>2</v>
      </c>
      <c r="AD28" s="624"/>
      <c r="AE28" s="529">
        <v>17</v>
      </c>
      <c r="AF28" s="533">
        <v>1440.0000000000014</v>
      </c>
      <c r="AG28" s="533">
        <v>84.705882352941259</v>
      </c>
      <c r="AH28" s="529">
        <f t="shared" si="14"/>
        <v>2</v>
      </c>
      <c r="AI28" s="624"/>
      <c r="AJ28" s="529">
        <v>17</v>
      </c>
      <c r="AK28" s="533">
        <v>1485.3191489361704</v>
      </c>
      <c r="AL28" s="533">
        <v>87.371714643304145</v>
      </c>
      <c r="AM28" s="529">
        <f t="shared" si="16"/>
        <v>2</v>
      </c>
      <c r="AN28" s="624"/>
      <c r="AO28" s="529">
        <v>17</v>
      </c>
      <c r="AP28" s="533">
        <v>1411.9354838709673</v>
      </c>
      <c r="AQ28" s="533">
        <v>83.055028462998081</v>
      </c>
      <c r="AR28" s="529">
        <f t="shared" si="18"/>
        <v>2</v>
      </c>
      <c r="AS28" s="624"/>
      <c r="AT28" s="529">
        <v>17</v>
      </c>
      <c r="AU28" s="533">
        <v>1429.0909090909095</v>
      </c>
      <c r="AV28" s="533">
        <v>84.064171122994679</v>
      </c>
      <c r="AW28" s="529">
        <f t="shared" si="20"/>
        <v>2</v>
      </c>
      <c r="AX28" s="624"/>
      <c r="AZ28" s="524" t="e">
        <f t="shared" si="22"/>
        <v>#N/A</v>
      </c>
      <c r="BA28" s="624"/>
    </row>
    <row r="29" spans="2:53">
      <c r="B29" s="622"/>
      <c r="C29" s="306">
        <v>3</v>
      </c>
      <c r="D29" s="226" t="s">
        <v>795</v>
      </c>
      <c r="E29" s="182">
        <v>17</v>
      </c>
      <c r="F29" s="514">
        <v>1500</v>
      </c>
      <c r="G29" s="515">
        <v>88.2</v>
      </c>
      <c r="H29" s="664"/>
      <c r="I29" s="516">
        <f t="shared" si="5"/>
        <v>16</v>
      </c>
      <c r="J29" s="516">
        <f t="shared" si="6"/>
        <v>1304.2932735187153</v>
      </c>
      <c r="K29" s="200">
        <f t="shared" si="7"/>
        <v>81.518329594919706</v>
      </c>
      <c r="L29" s="596"/>
      <c r="M29" s="201">
        <f>RANK(K29, K$27:$K$41)</f>
        <v>3</v>
      </c>
      <c r="N29" s="614"/>
      <c r="O29" s="614"/>
      <c r="P29" s="529">
        <v>16</v>
      </c>
      <c r="Q29" s="533">
        <v>1312.7586206896544</v>
      </c>
      <c r="R29" s="533">
        <v>82.047413793103402</v>
      </c>
      <c r="S29" s="529">
        <f t="shared" si="8"/>
        <v>3</v>
      </c>
      <c r="T29" s="624"/>
      <c r="U29" s="529">
        <v>16</v>
      </c>
      <c r="V29" s="533">
        <v>1334.1818181818171</v>
      </c>
      <c r="W29" s="533">
        <v>83.386363636363569</v>
      </c>
      <c r="X29" s="529">
        <f t="shared" si="10"/>
        <v>3</v>
      </c>
      <c r="Y29" s="624"/>
      <c r="Z29" s="529">
        <v>16</v>
      </c>
      <c r="AA29" s="533">
        <v>1319.9999999999993</v>
      </c>
      <c r="AB29" s="533">
        <v>82.499999999999957</v>
      </c>
      <c r="AC29" s="529">
        <f t="shared" si="12"/>
        <v>3</v>
      </c>
      <c r="AD29" s="624"/>
      <c r="AE29" s="529">
        <v>16</v>
      </c>
      <c r="AF29" s="533">
        <v>1245.7142857142853</v>
      </c>
      <c r="AG29" s="533">
        <v>77.857142857142833</v>
      </c>
      <c r="AH29" s="529">
        <f t="shared" si="14"/>
        <v>3</v>
      </c>
      <c r="AI29" s="624"/>
      <c r="AJ29" s="529">
        <v>16</v>
      </c>
      <c r="AK29" s="533">
        <v>1301.1764705882358</v>
      </c>
      <c r="AL29" s="533">
        <v>81.323529411764738</v>
      </c>
      <c r="AM29" s="529">
        <f t="shared" si="16"/>
        <v>3</v>
      </c>
      <c r="AN29" s="624"/>
      <c r="AO29" s="529">
        <v>16</v>
      </c>
      <c r="AP29" s="533">
        <v>1283.5294117647065</v>
      </c>
      <c r="AQ29" s="533">
        <v>80.220588235294159</v>
      </c>
      <c r="AR29" s="529">
        <f t="shared" si="18"/>
        <v>3</v>
      </c>
      <c r="AS29" s="624"/>
      <c r="AT29" s="529">
        <v>16</v>
      </c>
      <c r="AU29" s="533">
        <v>1332.6923076923085</v>
      </c>
      <c r="AV29" s="533">
        <v>83.293269230769283</v>
      </c>
      <c r="AW29" s="529">
        <f t="shared" si="20"/>
        <v>3</v>
      </c>
      <c r="AX29" s="624"/>
      <c r="AZ29" s="524" t="e">
        <f t="shared" si="22"/>
        <v>#N/A</v>
      </c>
      <c r="BA29" s="624"/>
    </row>
    <row r="30" spans="2:53">
      <c r="B30" s="622"/>
      <c r="C30" s="306">
        <v>4</v>
      </c>
      <c r="D30" s="226"/>
      <c r="E30" s="182"/>
      <c r="F30" s="514"/>
      <c r="G30" s="515"/>
      <c r="H30" s="664"/>
      <c r="I30" s="516" t="str">
        <f t="shared" si="5"/>
        <v>-</v>
      </c>
      <c r="J30" s="516" t="str">
        <f t="shared" si="6"/>
        <v>-</v>
      </c>
      <c r="K30" s="200" t="str">
        <f t="shared" si="7"/>
        <v>-</v>
      </c>
      <c r="L30" s="596"/>
      <c r="M30" s="201" t="e">
        <f>RANK(K30, K$27:$K$41)</f>
        <v>#VALUE!</v>
      </c>
      <c r="N30" s="614"/>
      <c r="O30" s="614"/>
      <c r="P30" s="529" t="s">
        <v>839</v>
      </c>
      <c r="Q30" s="533" t="s">
        <v>839</v>
      </c>
      <c r="R30" s="533" t="s">
        <v>839</v>
      </c>
      <c r="S30" s="529" t="e">
        <f t="shared" si="8"/>
        <v>#VALUE!</v>
      </c>
      <c r="T30" s="624"/>
      <c r="U30" s="529" t="s">
        <v>839</v>
      </c>
      <c r="V30" s="533" t="s">
        <v>839</v>
      </c>
      <c r="W30" s="533" t="s">
        <v>839</v>
      </c>
      <c r="X30" s="529" t="e">
        <f t="shared" si="10"/>
        <v>#VALUE!</v>
      </c>
      <c r="Y30" s="624"/>
      <c r="Z30" s="529" t="s">
        <v>839</v>
      </c>
      <c r="AA30" s="533" t="s">
        <v>839</v>
      </c>
      <c r="AB30" s="533" t="s">
        <v>839</v>
      </c>
      <c r="AC30" s="529" t="e">
        <f t="shared" si="12"/>
        <v>#VALUE!</v>
      </c>
      <c r="AD30" s="624"/>
      <c r="AE30" s="529" t="s">
        <v>839</v>
      </c>
      <c r="AF30" s="533" t="s">
        <v>839</v>
      </c>
      <c r="AG30" s="533" t="s">
        <v>839</v>
      </c>
      <c r="AH30" s="529" t="e">
        <f t="shared" si="14"/>
        <v>#VALUE!</v>
      </c>
      <c r="AI30" s="624"/>
      <c r="AJ30" s="529" t="s">
        <v>839</v>
      </c>
      <c r="AK30" s="533" t="s">
        <v>839</v>
      </c>
      <c r="AL30" s="533" t="s">
        <v>839</v>
      </c>
      <c r="AM30" s="529" t="e">
        <f t="shared" si="16"/>
        <v>#VALUE!</v>
      </c>
      <c r="AN30" s="624"/>
      <c r="AO30" s="529" t="s">
        <v>839</v>
      </c>
      <c r="AP30" s="533" t="s">
        <v>839</v>
      </c>
      <c r="AQ30" s="533" t="s">
        <v>839</v>
      </c>
      <c r="AR30" s="529" t="e">
        <f t="shared" si="18"/>
        <v>#VALUE!</v>
      </c>
      <c r="AS30" s="624"/>
      <c r="AT30" s="529" t="s">
        <v>839</v>
      </c>
      <c r="AU30" s="533" t="s">
        <v>839</v>
      </c>
      <c r="AV30" s="533" t="s">
        <v>839</v>
      </c>
      <c r="AW30" s="529" t="e">
        <f t="shared" si="20"/>
        <v>#VALUE!</v>
      </c>
      <c r="AX30" s="624"/>
      <c r="AZ30" s="524" t="e">
        <f t="shared" si="22"/>
        <v>#N/A</v>
      </c>
      <c r="BA30" s="624"/>
    </row>
    <row r="31" spans="2:53">
      <c r="B31" s="622"/>
      <c r="C31" s="306">
        <v>5</v>
      </c>
      <c r="D31" s="226"/>
      <c r="E31" s="182"/>
      <c r="F31" s="514"/>
      <c r="G31" s="515"/>
      <c r="H31" s="664"/>
      <c r="I31" s="516" t="str">
        <f t="shared" si="5"/>
        <v>-</v>
      </c>
      <c r="J31" s="516" t="str">
        <f t="shared" si="6"/>
        <v>-</v>
      </c>
      <c r="K31" s="200" t="str">
        <f t="shared" si="7"/>
        <v>-</v>
      </c>
      <c r="L31" s="596"/>
      <c r="M31" s="201" t="e">
        <f>RANK(K31, K$27:$K$41)</f>
        <v>#VALUE!</v>
      </c>
      <c r="N31" s="614"/>
      <c r="O31" s="614"/>
      <c r="P31" s="529" t="s">
        <v>839</v>
      </c>
      <c r="Q31" s="533" t="s">
        <v>839</v>
      </c>
      <c r="R31" s="533" t="s">
        <v>839</v>
      </c>
      <c r="S31" s="529" t="e">
        <f t="shared" si="8"/>
        <v>#VALUE!</v>
      </c>
      <c r="T31" s="624"/>
      <c r="U31" s="529" t="s">
        <v>839</v>
      </c>
      <c r="V31" s="533" t="s">
        <v>839</v>
      </c>
      <c r="W31" s="533" t="s">
        <v>839</v>
      </c>
      <c r="X31" s="529" t="e">
        <f t="shared" si="10"/>
        <v>#VALUE!</v>
      </c>
      <c r="Y31" s="624"/>
      <c r="Z31" s="529" t="s">
        <v>839</v>
      </c>
      <c r="AA31" s="533" t="s">
        <v>839</v>
      </c>
      <c r="AB31" s="533" t="s">
        <v>839</v>
      </c>
      <c r="AC31" s="529" t="e">
        <f t="shared" si="12"/>
        <v>#VALUE!</v>
      </c>
      <c r="AD31" s="624"/>
      <c r="AE31" s="529" t="s">
        <v>839</v>
      </c>
      <c r="AF31" s="533" t="s">
        <v>839</v>
      </c>
      <c r="AG31" s="533" t="s">
        <v>839</v>
      </c>
      <c r="AH31" s="529" t="e">
        <f t="shared" si="14"/>
        <v>#VALUE!</v>
      </c>
      <c r="AI31" s="624"/>
      <c r="AJ31" s="529" t="s">
        <v>839</v>
      </c>
      <c r="AK31" s="533" t="s">
        <v>839</v>
      </c>
      <c r="AL31" s="533" t="s">
        <v>839</v>
      </c>
      <c r="AM31" s="529" t="e">
        <f t="shared" si="16"/>
        <v>#VALUE!</v>
      </c>
      <c r="AN31" s="624"/>
      <c r="AO31" s="529" t="s">
        <v>839</v>
      </c>
      <c r="AP31" s="533" t="s">
        <v>839</v>
      </c>
      <c r="AQ31" s="533" t="s">
        <v>839</v>
      </c>
      <c r="AR31" s="529" t="e">
        <f t="shared" si="18"/>
        <v>#VALUE!</v>
      </c>
      <c r="AS31" s="624"/>
      <c r="AT31" s="529" t="s">
        <v>839</v>
      </c>
      <c r="AU31" s="533" t="s">
        <v>839</v>
      </c>
      <c r="AV31" s="533" t="s">
        <v>839</v>
      </c>
      <c r="AW31" s="529" t="e">
        <f t="shared" si="20"/>
        <v>#VALUE!</v>
      </c>
      <c r="AX31" s="624"/>
      <c r="AZ31" s="524" t="e">
        <f t="shared" si="22"/>
        <v>#N/A</v>
      </c>
      <c r="BA31" s="624"/>
    </row>
    <row r="32" spans="2:53">
      <c r="B32" s="622"/>
      <c r="C32" s="306">
        <v>6</v>
      </c>
      <c r="D32" s="226"/>
      <c r="E32" s="182"/>
      <c r="F32" s="514"/>
      <c r="G32" s="515"/>
      <c r="H32" s="664"/>
      <c r="I32" s="516" t="str">
        <f t="shared" si="5"/>
        <v>-</v>
      </c>
      <c r="J32" s="516" t="str">
        <f t="shared" si="6"/>
        <v>-</v>
      </c>
      <c r="K32" s="200" t="str">
        <f t="shared" si="7"/>
        <v>-</v>
      </c>
      <c r="L32" s="596"/>
      <c r="M32" s="201" t="e">
        <f>RANK(K32, K$27:$K$41)</f>
        <v>#VALUE!</v>
      </c>
      <c r="N32" s="614"/>
      <c r="O32" s="614"/>
      <c r="P32" s="529" t="s">
        <v>839</v>
      </c>
      <c r="Q32" s="533" t="s">
        <v>839</v>
      </c>
      <c r="R32" s="533" t="s">
        <v>839</v>
      </c>
      <c r="S32" s="529" t="e">
        <f t="shared" si="8"/>
        <v>#VALUE!</v>
      </c>
      <c r="T32" s="624"/>
      <c r="U32" s="529" t="s">
        <v>839</v>
      </c>
      <c r="V32" s="533" t="s">
        <v>839</v>
      </c>
      <c r="W32" s="533" t="s">
        <v>839</v>
      </c>
      <c r="X32" s="529" t="e">
        <f t="shared" si="10"/>
        <v>#VALUE!</v>
      </c>
      <c r="Y32" s="624"/>
      <c r="Z32" s="529" t="s">
        <v>839</v>
      </c>
      <c r="AA32" s="533" t="s">
        <v>839</v>
      </c>
      <c r="AB32" s="533" t="s">
        <v>839</v>
      </c>
      <c r="AC32" s="529" t="e">
        <f t="shared" si="12"/>
        <v>#VALUE!</v>
      </c>
      <c r="AD32" s="624"/>
      <c r="AE32" s="529" t="s">
        <v>839</v>
      </c>
      <c r="AF32" s="533" t="s">
        <v>839</v>
      </c>
      <c r="AG32" s="533" t="s">
        <v>839</v>
      </c>
      <c r="AH32" s="529" t="e">
        <f t="shared" si="14"/>
        <v>#VALUE!</v>
      </c>
      <c r="AI32" s="624"/>
      <c r="AJ32" s="529" t="s">
        <v>839</v>
      </c>
      <c r="AK32" s="533" t="s">
        <v>839</v>
      </c>
      <c r="AL32" s="533" t="s">
        <v>839</v>
      </c>
      <c r="AM32" s="529" t="e">
        <f t="shared" si="16"/>
        <v>#VALUE!</v>
      </c>
      <c r="AN32" s="624"/>
      <c r="AO32" s="529" t="s">
        <v>839</v>
      </c>
      <c r="AP32" s="533" t="s">
        <v>839</v>
      </c>
      <c r="AQ32" s="533" t="s">
        <v>839</v>
      </c>
      <c r="AR32" s="529" t="e">
        <f t="shared" si="18"/>
        <v>#VALUE!</v>
      </c>
      <c r="AS32" s="624"/>
      <c r="AT32" s="529" t="s">
        <v>839</v>
      </c>
      <c r="AU32" s="533" t="s">
        <v>839</v>
      </c>
      <c r="AV32" s="533" t="s">
        <v>839</v>
      </c>
      <c r="AW32" s="529" t="e">
        <f t="shared" si="20"/>
        <v>#VALUE!</v>
      </c>
      <c r="AX32" s="624"/>
      <c r="AZ32" s="524" t="e">
        <f t="shared" si="22"/>
        <v>#N/A</v>
      </c>
      <c r="BA32" s="624"/>
    </row>
    <row r="33" spans="2:53">
      <c r="B33" s="622"/>
      <c r="C33" s="306">
        <v>7</v>
      </c>
      <c r="D33" s="456"/>
      <c r="E33" s="521"/>
      <c r="F33" s="521"/>
      <c r="G33" s="521"/>
      <c r="H33" s="664"/>
      <c r="I33" s="516" t="str">
        <f t="shared" si="5"/>
        <v>-</v>
      </c>
      <c r="J33" s="516" t="str">
        <f t="shared" si="6"/>
        <v>-</v>
      </c>
      <c r="K33" s="200" t="str">
        <f t="shared" si="7"/>
        <v>-</v>
      </c>
      <c r="L33" s="596"/>
      <c r="M33" s="201" t="e">
        <f>RANK(K33, K$27:$K$41)</f>
        <v>#VALUE!</v>
      </c>
      <c r="N33" s="614"/>
      <c r="O33" s="614"/>
      <c r="P33" s="529" t="s">
        <v>839</v>
      </c>
      <c r="Q33" s="533" t="s">
        <v>839</v>
      </c>
      <c r="R33" s="533" t="s">
        <v>839</v>
      </c>
      <c r="S33" s="529" t="e">
        <f t="shared" si="8"/>
        <v>#VALUE!</v>
      </c>
      <c r="T33" s="624"/>
      <c r="U33" s="529" t="s">
        <v>839</v>
      </c>
      <c r="V33" s="533" t="s">
        <v>839</v>
      </c>
      <c r="W33" s="533" t="s">
        <v>839</v>
      </c>
      <c r="X33" s="529" t="e">
        <f t="shared" si="10"/>
        <v>#VALUE!</v>
      </c>
      <c r="Y33" s="624"/>
      <c r="Z33" s="529" t="s">
        <v>839</v>
      </c>
      <c r="AA33" s="533" t="s">
        <v>839</v>
      </c>
      <c r="AB33" s="533" t="s">
        <v>839</v>
      </c>
      <c r="AC33" s="529" t="e">
        <f t="shared" si="12"/>
        <v>#VALUE!</v>
      </c>
      <c r="AD33" s="624"/>
      <c r="AE33" s="529" t="s">
        <v>839</v>
      </c>
      <c r="AF33" s="533" t="s">
        <v>839</v>
      </c>
      <c r="AG33" s="533" t="s">
        <v>839</v>
      </c>
      <c r="AH33" s="529" t="e">
        <f t="shared" si="14"/>
        <v>#VALUE!</v>
      </c>
      <c r="AI33" s="624"/>
      <c r="AJ33" s="529" t="s">
        <v>839</v>
      </c>
      <c r="AK33" s="533" t="s">
        <v>839</v>
      </c>
      <c r="AL33" s="533" t="s">
        <v>839</v>
      </c>
      <c r="AM33" s="529" t="e">
        <f t="shared" si="16"/>
        <v>#VALUE!</v>
      </c>
      <c r="AN33" s="624"/>
      <c r="AO33" s="529" t="s">
        <v>839</v>
      </c>
      <c r="AP33" s="533" t="s">
        <v>839</v>
      </c>
      <c r="AQ33" s="533" t="s">
        <v>839</v>
      </c>
      <c r="AR33" s="529" t="e">
        <f t="shared" si="18"/>
        <v>#VALUE!</v>
      </c>
      <c r="AS33" s="624"/>
      <c r="AT33" s="529" t="s">
        <v>839</v>
      </c>
      <c r="AU33" s="533" t="s">
        <v>839</v>
      </c>
      <c r="AV33" s="533" t="s">
        <v>839</v>
      </c>
      <c r="AW33" s="529" t="e">
        <f t="shared" si="20"/>
        <v>#VALUE!</v>
      </c>
      <c r="AX33" s="624"/>
      <c r="AZ33" s="524" t="e">
        <f t="shared" si="22"/>
        <v>#N/A</v>
      </c>
      <c r="BA33" s="624"/>
    </row>
    <row r="34" spans="2:53">
      <c r="B34" s="622"/>
      <c r="C34" s="306">
        <v>8</v>
      </c>
      <c r="D34" s="456"/>
      <c r="E34" s="521"/>
      <c r="F34" s="521"/>
      <c r="G34" s="521"/>
      <c r="H34" s="664"/>
      <c r="I34" s="516" t="str">
        <f t="shared" si="5"/>
        <v>-</v>
      </c>
      <c r="J34" s="516" t="str">
        <f t="shared" si="6"/>
        <v>-</v>
      </c>
      <c r="K34" s="200" t="str">
        <f t="shared" si="7"/>
        <v>-</v>
      </c>
      <c r="L34" s="596"/>
      <c r="M34" s="201" t="e">
        <f>RANK(K34, K$27:$K$41)</f>
        <v>#VALUE!</v>
      </c>
      <c r="N34" s="614"/>
      <c r="O34" s="614"/>
      <c r="P34" s="529" t="s">
        <v>839</v>
      </c>
      <c r="Q34" s="533" t="s">
        <v>839</v>
      </c>
      <c r="R34" s="533" t="s">
        <v>839</v>
      </c>
      <c r="S34" s="529" t="e">
        <f t="shared" si="8"/>
        <v>#VALUE!</v>
      </c>
      <c r="T34" s="624"/>
      <c r="U34" s="529" t="s">
        <v>839</v>
      </c>
      <c r="V34" s="533" t="s">
        <v>839</v>
      </c>
      <c r="W34" s="533" t="s">
        <v>839</v>
      </c>
      <c r="X34" s="529" t="e">
        <f t="shared" si="10"/>
        <v>#VALUE!</v>
      </c>
      <c r="Y34" s="624"/>
      <c r="Z34" s="529" t="s">
        <v>839</v>
      </c>
      <c r="AA34" s="533" t="s">
        <v>839</v>
      </c>
      <c r="AB34" s="533" t="s">
        <v>839</v>
      </c>
      <c r="AC34" s="529" t="e">
        <f t="shared" si="12"/>
        <v>#VALUE!</v>
      </c>
      <c r="AD34" s="624"/>
      <c r="AE34" s="529" t="s">
        <v>839</v>
      </c>
      <c r="AF34" s="533" t="s">
        <v>839</v>
      </c>
      <c r="AG34" s="533" t="s">
        <v>839</v>
      </c>
      <c r="AH34" s="529" t="e">
        <f t="shared" si="14"/>
        <v>#VALUE!</v>
      </c>
      <c r="AI34" s="624"/>
      <c r="AJ34" s="529" t="s">
        <v>839</v>
      </c>
      <c r="AK34" s="533" t="s">
        <v>839</v>
      </c>
      <c r="AL34" s="533" t="s">
        <v>839</v>
      </c>
      <c r="AM34" s="529" t="e">
        <f t="shared" si="16"/>
        <v>#VALUE!</v>
      </c>
      <c r="AN34" s="624"/>
      <c r="AO34" s="529" t="s">
        <v>839</v>
      </c>
      <c r="AP34" s="533" t="s">
        <v>839</v>
      </c>
      <c r="AQ34" s="533" t="s">
        <v>839</v>
      </c>
      <c r="AR34" s="529" t="e">
        <f t="shared" si="18"/>
        <v>#VALUE!</v>
      </c>
      <c r="AS34" s="624"/>
      <c r="AT34" s="529" t="s">
        <v>839</v>
      </c>
      <c r="AU34" s="533" t="s">
        <v>839</v>
      </c>
      <c r="AV34" s="533" t="s">
        <v>839</v>
      </c>
      <c r="AW34" s="529" t="e">
        <f t="shared" si="20"/>
        <v>#VALUE!</v>
      </c>
      <c r="AX34" s="624"/>
      <c r="AZ34" s="524" t="e">
        <f t="shared" si="22"/>
        <v>#N/A</v>
      </c>
      <c r="BA34" s="624"/>
    </row>
    <row r="35" spans="2:53">
      <c r="B35" s="622"/>
      <c r="C35" s="306">
        <v>9</v>
      </c>
      <c r="D35" s="456"/>
      <c r="E35" s="521"/>
      <c r="F35" s="521"/>
      <c r="G35" s="521"/>
      <c r="H35" s="664"/>
      <c r="I35" s="516" t="str">
        <f t="shared" si="5"/>
        <v>-</v>
      </c>
      <c r="J35" s="516" t="str">
        <f t="shared" si="6"/>
        <v>-</v>
      </c>
      <c r="K35" s="200" t="str">
        <f t="shared" si="7"/>
        <v>-</v>
      </c>
      <c r="L35" s="596"/>
      <c r="M35" s="201" t="e">
        <f>RANK(K35, K$27:$K$41)</f>
        <v>#VALUE!</v>
      </c>
      <c r="N35" s="614"/>
      <c r="O35" s="614"/>
      <c r="P35" s="529" t="s">
        <v>839</v>
      </c>
      <c r="Q35" s="533" t="s">
        <v>839</v>
      </c>
      <c r="R35" s="533" t="s">
        <v>839</v>
      </c>
      <c r="S35" s="529" t="e">
        <f t="shared" si="8"/>
        <v>#VALUE!</v>
      </c>
      <c r="T35" s="624"/>
      <c r="U35" s="529" t="s">
        <v>839</v>
      </c>
      <c r="V35" s="533" t="s">
        <v>839</v>
      </c>
      <c r="W35" s="533" t="s">
        <v>839</v>
      </c>
      <c r="X35" s="529" t="e">
        <f t="shared" si="10"/>
        <v>#VALUE!</v>
      </c>
      <c r="Y35" s="624"/>
      <c r="Z35" s="529" t="s">
        <v>839</v>
      </c>
      <c r="AA35" s="533" t="s">
        <v>839</v>
      </c>
      <c r="AB35" s="533" t="s">
        <v>839</v>
      </c>
      <c r="AC35" s="529" t="e">
        <f t="shared" si="12"/>
        <v>#VALUE!</v>
      </c>
      <c r="AD35" s="624"/>
      <c r="AE35" s="529" t="s">
        <v>839</v>
      </c>
      <c r="AF35" s="533" t="s">
        <v>839</v>
      </c>
      <c r="AG35" s="533" t="s">
        <v>839</v>
      </c>
      <c r="AH35" s="529" t="e">
        <f t="shared" si="14"/>
        <v>#VALUE!</v>
      </c>
      <c r="AI35" s="624"/>
      <c r="AJ35" s="529" t="s">
        <v>839</v>
      </c>
      <c r="AK35" s="533" t="s">
        <v>839</v>
      </c>
      <c r="AL35" s="533" t="s">
        <v>839</v>
      </c>
      <c r="AM35" s="529" t="e">
        <f t="shared" si="16"/>
        <v>#VALUE!</v>
      </c>
      <c r="AN35" s="624"/>
      <c r="AO35" s="529" t="s">
        <v>839</v>
      </c>
      <c r="AP35" s="533" t="s">
        <v>839</v>
      </c>
      <c r="AQ35" s="533" t="s">
        <v>839</v>
      </c>
      <c r="AR35" s="529" t="e">
        <f t="shared" si="18"/>
        <v>#VALUE!</v>
      </c>
      <c r="AS35" s="624"/>
      <c r="AT35" s="529" t="s">
        <v>839</v>
      </c>
      <c r="AU35" s="533" t="s">
        <v>839</v>
      </c>
      <c r="AV35" s="533" t="s">
        <v>839</v>
      </c>
      <c r="AW35" s="529" t="e">
        <f t="shared" si="20"/>
        <v>#VALUE!</v>
      </c>
      <c r="AX35" s="624"/>
      <c r="AZ35" s="524" t="e">
        <f t="shared" si="22"/>
        <v>#N/A</v>
      </c>
      <c r="BA35" s="624"/>
    </row>
    <row r="36" spans="2:53">
      <c r="B36" s="622"/>
      <c r="C36" s="306">
        <v>10</v>
      </c>
      <c r="D36" s="456"/>
      <c r="E36" s="521"/>
      <c r="F36" s="521"/>
      <c r="G36" s="521"/>
      <c r="H36" s="664"/>
      <c r="I36" s="516" t="str">
        <f t="shared" si="5"/>
        <v>-</v>
      </c>
      <c r="J36" s="516" t="str">
        <f t="shared" si="6"/>
        <v>-</v>
      </c>
      <c r="K36" s="200" t="str">
        <f t="shared" si="7"/>
        <v>-</v>
      </c>
      <c r="L36" s="596"/>
      <c r="M36" s="201" t="e">
        <f>RANK(K36, K$27:$K$41)</f>
        <v>#VALUE!</v>
      </c>
      <c r="N36" s="614"/>
      <c r="O36" s="614"/>
      <c r="P36" s="529" t="s">
        <v>839</v>
      </c>
      <c r="Q36" s="533" t="s">
        <v>839</v>
      </c>
      <c r="R36" s="533" t="s">
        <v>839</v>
      </c>
      <c r="S36" s="529" t="e">
        <f t="shared" si="8"/>
        <v>#VALUE!</v>
      </c>
      <c r="T36" s="624"/>
      <c r="U36" s="529" t="s">
        <v>839</v>
      </c>
      <c r="V36" s="533" t="s">
        <v>839</v>
      </c>
      <c r="W36" s="533" t="s">
        <v>839</v>
      </c>
      <c r="X36" s="529" t="e">
        <f t="shared" si="10"/>
        <v>#VALUE!</v>
      </c>
      <c r="Y36" s="624"/>
      <c r="Z36" s="529" t="s">
        <v>839</v>
      </c>
      <c r="AA36" s="533" t="s">
        <v>839</v>
      </c>
      <c r="AB36" s="533" t="s">
        <v>839</v>
      </c>
      <c r="AC36" s="529" t="e">
        <f t="shared" si="12"/>
        <v>#VALUE!</v>
      </c>
      <c r="AD36" s="624"/>
      <c r="AE36" s="529" t="s">
        <v>839</v>
      </c>
      <c r="AF36" s="533" t="s">
        <v>839</v>
      </c>
      <c r="AG36" s="533" t="s">
        <v>839</v>
      </c>
      <c r="AH36" s="529" t="e">
        <f t="shared" si="14"/>
        <v>#VALUE!</v>
      </c>
      <c r="AI36" s="624"/>
      <c r="AJ36" s="529" t="s">
        <v>839</v>
      </c>
      <c r="AK36" s="533" t="s">
        <v>839</v>
      </c>
      <c r="AL36" s="533" t="s">
        <v>839</v>
      </c>
      <c r="AM36" s="529" t="e">
        <f t="shared" si="16"/>
        <v>#VALUE!</v>
      </c>
      <c r="AN36" s="624"/>
      <c r="AO36" s="529" t="s">
        <v>839</v>
      </c>
      <c r="AP36" s="533" t="s">
        <v>839</v>
      </c>
      <c r="AQ36" s="533" t="s">
        <v>839</v>
      </c>
      <c r="AR36" s="529" t="e">
        <f t="shared" si="18"/>
        <v>#VALUE!</v>
      </c>
      <c r="AS36" s="624"/>
      <c r="AT36" s="529" t="s">
        <v>839</v>
      </c>
      <c r="AU36" s="533" t="s">
        <v>839</v>
      </c>
      <c r="AV36" s="533" t="s">
        <v>839</v>
      </c>
      <c r="AW36" s="529" t="e">
        <f t="shared" si="20"/>
        <v>#VALUE!</v>
      </c>
      <c r="AX36" s="624"/>
      <c r="AZ36" s="524" t="e">
        <f t="shared" si="22"/>
        <v>#N/A</v>
      </c>
      <c r="BA36" s="624"/>
    </row>
    <row r="37" spans="2:53">
      <c r="B37" s="622"/>
      <c r="C37" s="306">
        <v>11</v>
      </c>
      <c r="D37" s="456"/>
      <c r="E37" s="521"/>
      <c r="F37" s="521"/>
      <c r="G37" s="521"/>
      <c r="H37" s="664"/>
      <c r="I37" s="516" t="str">
        <f t="shared" si="5"/>
        <v>-</v>
      </c>
      <c r="J37" s="516" t="str">
        <f t="shared" si="6"/>
        <v>-</v>
      </c>
      <c r="K37" s="200" t="str">
        <f t="shared" si="7"/>
        <v>-</v>
      </c>
      <c r="L37" s="596"/>
      <c r="M37" s="201" t="e">
        <f>RANK(K37, K$27:$K$41)</f>
        <v>#VALUE!</v>
      </c>
      <c r="N37" s="614"/>
      <c r="O37" s="614"/>
      <c r="P37" s="529" t="s">
        <v>839</v>
      </c>
      <c r="Q37" s="533" t="s">
        <v>839</v>
      </c>
      <c r="R37" s="533" t="s">
        <v>839</v>
      </c>
      <c r="S37" s="529" t="e">
        <f t="shared" si="8"/>
        <v>#VALUE!</v>
      </c>
      <c r="T37" s="624"/>
      <c r="U37" s="529" t="s">
        <v>839</v>
      </c>
      <c r="V37" s="533" t="s">
        <v>839</v>
      </c>
      <c r="W37" s="533" t="s">
        <v>839</v>
      </c>
      <c r="X37" s="529" t="e">
        <f t="shared" si="10"/>
        <v>#VALUE!</v>
      </c>
      <c r="Y37" s="624"/>
      <c r="Z37" s="529" t="s">
        <v>839</v>
      </c>
      <c r="AA37" s="533" t="s">
        <v>839</v>
      </c>
      <c r="AB37" s="533" t="s">
        <v>839</v>
      </c>
      <c r="AC37" s="529" t="e">
        <f t="shared" si="12"/>
        <v>#VALUE!</v>
      </c>
      <c r="AD37" s="624"/>
      <c r="AE37" s="529" t="s">
        <v>839</v>
      </c>
      <c r="AF37" s="533" t="s">
        <v>839</v>
      </c>
      <c r="AG37" s="533" t="s">
        <v>839</v>
      </c>
      <c r="AH37" s="529" t="e">
        <f t="shared" si="14"/>
        <v>#VALUE!</v>
      </c>
      <c r="AI37" s="624"/>
      <c r="AJ37" s="529" t="s">
        <v>839</v>
      </c>
      <c r="AK37" s="533" t="s">
        <v>839</v>
      </c>
      <c r="AL37" s="533" t="s">
        <v>839</v>
      </c>
      <c r="AM37" s="529" t="e">
        <f t="shared" si="16"/>
        <v>#VALUE!</v>
      </c>
      <c r="AN37" s="624"/>
      <c r="AO37" s="529" t="s">
        <v>839</v>
      </c>
      <c r="AP37" s="533" t="s">
        <v>839</v>
      </c>
      <c r="AQ37" s="533" t="s">
        <v>839</v>
      </c>
      <c r="AR37" s="529" t="e">
        <f t="shared" si="18"/>
        <v>#VALUE!</v>
      </c>
      <c r="AS37" s="624"/>
      <c r="AT37" s="529" t="s">
        <v>839</v>
      </c>
      <c r="AU37" s="533" t="s">
        <v>839</v>
      </c>
      <c r="AV37" s="533" t="s">
        <v>839</v>
      </c>
      <c r="AW37" s="529" t="e">
        <f t="shared" si="20"/>
        <v>#VALUE!</v>
      </c>
      <c r="AX37" s="624"/>
      <c r="AZ37" s="524" t="e">
        <f t="shared" si="22"/>
        <v>#N/A</v>
      </c>
      <c r="BA37" s="624"/>
    </row>
    <row r="38" spans="2:53">
      <c r="B38" s="622"/>
      <c r="C38" s="306">
        <v>12</v>
      </c>
      <c r="D38" s="456"/>
      <c r="E38" s="521"/>
      <c r="F38" s="521"/>
      <c r="G38" s="521"/>
      <c r="H38" s="664"/>
      <c r="I38" s="516" t="str">
        <f t="shared" si="5"/>
        <v>-</v>
      </c>
      <c r="J38" s="516" t="str">
        <f t="shared" si="6"/>
        <v>-</v>
      </c>
      <c r="K38" s="200" t="str">
        <f t="shared" si="7"/>
        <v>-</v>
      </c>
      <c r="L38" s="596"/>
      <c r="M38" s="201" t="e">
        <f>RANK(K38, K$27:$K$41)</f>
        <v>#VALUE!</v>
      </c>
      <c r="N38" s="614"/>
      <c r="O38" s="614"/>
      <c r="P38" s="529" t="s">
        <v>839</v>
      </c>
      <c r="Q38" s="533" t="s">
        <v>839</v>
      </c>
      <c r="R38" s="533" t="s">
        <v>839</v>
      </c>
      <c r="S38" s="529" t="e">
        <f t="shared" si="8"/>
        <v>#VALUE!</v>
      </c>
      <c r="T38" s="624"/>
      <c r="U38" s="529" t="s">
        <v>839</v>
      </c>
      <c r="V38" s="533" t="s">
        <v>839</v>
      </c>
      <c r="W38" s="533" t="s">
        <v>839</v>
      </c>
      <c r="X38" s="529" t="e">
        <f t="shared" si="10"/>
        <v>#VALUE!</v>
      </c>
      <c r="Y38" s="624"/>
      <c r="Z38" s="529" t="s">
        <v>839</v>
      </c>
      <c r="AA38" s="533" t="s">
        <v>839</v>
      </c>
      <c r="AB38" s="533" t="s">
        <v>839</v>
      </c>
      <c r="AC38" s="529" t="e">
        <f t="shared" si="12"/>
        <v>#VALUE!</v>
      </c>
      <c r="AD38" s="624"/>
      <c r="AE38" s="529" t="s">
        <v>839</v>
      </c>
      <c r="AF38" s="533" t="s">
        <v>839</v>
      </c>
      <c r="AG38" s="533" t="s">
        <v>839</v>
      </c>
      <c r="AH38" s="529" t="e">
        <f t="shared" si="14"/>
        <v>#VALUE!</v>
      </c>
      <c r="AI38" s="624"/>
      <c r="AJ38" s="529" t="s">
        <v>839</v>
      </c>
      <c r="AK38" s="533" t="s">
        <v>839</v>
      </c>
      <c r="AL38" s="533" t="s">
        <v>839</v>
      </c>
      <c r="AM38" s="529" t="e">
        <f t="shared" si="16"/>
        <v>#VALUE!</v>
      </c>
      <c r="AN38" s="624"/>
      <c r="AO38" s="529" t="s">
        <v>839</v>
      </c>
      <c r="AP38" s="533" t="s">
        <v>839</v>
      </c>
      <c r="AQ38" s="533" t="s">
        <v>839</v>
      </c>
      <c r="AR38" s="529" t="e">
        <f t="shared" si="18"/>
        <v>#VALUE!</v>
      </c>
      <c r="AS38" s="624"/>
      <c r="AT38" s="529" t="s">
        <v>839</v>
      </c>
      <c r="AU38" s="533" t="s">
        <v>839</v>
      </c>
      <c r="AV38" s="533" t="s">
        <v>839</v>
      </c>
      <c r="AW38" s="529" t="e">
        <f t="shared" si="20"/>
        <v>#VALUE!</v>
      </c>
      <c r="AX38" s="624"/>
      <c r="AZ38" s="524" t="e">
        <f t="shared" si="22"/>
        <v>#N/A</v>
      </c>
      <c r="BA38" s="624"/>
    </row>
    <row r="39" spans="2:53">
      <c r="B39" s="622"/>
      <c r="C39" s="306">
        <v>13</v>
      </c>
      <c r="D39" s="456"/>
      <c r="E39" s="521"/>
      <c r="F39" s="521"/>
      <c r="G39" s="521"/>
      <c r="H39" s="664"/>
      <c r="I39" s="516" t="str">
        <f t="shared" si="5"/>
        <v>-</v>
      </c>
      <c r="J39" s="516" t="str">
        <f t="shared" si="6"/>
        <v>-</v>
      </c>
      <c r="K39" s="200" t="str">
        <f t="shared" si="7"/>
        <v>-</v>
      </c>
      <c r="L39" s="596"/>
      <c r="M39" s="201" t="e">
        <f>RANK(K39, K$27:$K$41)</f>
        <v>#VALUE!</v>
      </c>
      <c r="N39" s="614"/>
      <c r="O39" s="614"/>
      <c r="P39" s="529" t="s">
        <v>839</v>
      </c>
      <c r="Q39" s="533" t="s">
        <v>839</v>
      </c>
      <c r="R39" s="533" t="s">
        <v>839</v>
      </c>
      <c r="S39" s="529" t="e">
        <f t="shared" si="8"/>
        <v>#VALUE!</v>
      </c>
      <c r="T39" s="624"/>
      <c r="U39" s="529" t="s">
        <v>839</v>
      </c>
      <c r="V39" s="533" t="s">
        <v>839</v>
      </c>
      <c r="W39" s="533" t="s">
        <v>839</v>
      </c>
      <c r="X39" s="529" t="e">
        <f t="shared" si="10"/>
        <v>#VALUE!</v>
      </c>
      <c r="Y39" s="624"/>
      <c r="Z39" s="529" t="s">
        <v>839</v>
      </c>
      <c r="AA39" s="533" t="s">
        <v>839</v>
      </c>
      <c r="AB39" s="533" t="s">
        <v>839</v>
      </c>
      <c r="AC39" s="529" t="e">
        <f t="shared" si="12"/>
        <v>#VALUE!</v>
      </c>
      <c r="AD39" s="624"/>
      <c r="AE39" s="529" t="s">
        <v>839</v>
      </c>
      <c r="AF39" s="533" t="s">
        <v>839</v>
      </c>
      <c r="AG39" s="533" t="s">
        <v>839</v>
      </c>
      <c r="AH39" s="529" t="e">
        <f t="shared" si="14"/>
        <v>#VALUE!</v>
      </c>
      <c r="AI39" s="624"/>
      <c r="AJ39" s="529" t="s">
        <v>839</v>
      </c>
      <c r="AK39" s="533" t="s">
        <v>839</v>
      </c>
      <c r="AL39" s="533" t="s">
        <v>839</v>
      </c>
      <c r="AM39" s="529" t="e">
        <f t="shared" si="16"/>
        <v>#VALUE!</v>
      </c>
      <c r="AN39" s="624"/>
      <c r="AO39" s="529" t="s">
        <v>839</v>
      </c>
      <c r="AP39" s="533" t="s">
        <v>839</v>
      </c>
      <c r="AQ39" s="533" t="s">
        <v>839</v>
      </c>
      <c r="AR39" s="529" t="e">
        <f t="shared" si="18"/>
        <v>#VALUE!</v>
      </c>
      <c r="AS39" s="624"/>
      <c r="AT39" s="529" t="s">
        <v>839</v>
      </c>
      <c r="AU39" s="533" t="s">
        <v>839</v>
      </c>
      <c r="AV39" s="533" t="s">
        <v>839</v>
      </c>
      <c r="AW39" s="529" t="e">
        <f t="shared" si="20"/>
        <v>#VALUE!</v>
      </c>
      <c r="AX39" s="624"/>
      <c r="AZ39" s="524" t="e">
        <f t="shared" si="22"/>
        <v>#N/A</v>
      </c>
      <c r="BA39" s="624"/>
    </row>
    <row r="40" spans="2:53">
      <c r="B40" s="622"/>
      <c r="C40" s="306">
        <v>14</v>
      </c>
      <c r="D40" s="456"/>
      <c r="E40" s="521"/>
      <c r="F40" s="521"/>
      <c r="G40" s="521"/>
      <c r="H40" s="664"/>
      <c r="I40" s="516" t="str">
        <f t="shared" si="5"/>
        <v>-</v>
      </c>
      <c r="J40" s="516" t="str">
        <f t="shared" si="6"/>
        <v>-</v>
      </c>
      <c r="K40" s="200" t="str">
        <f t="shared" si="7"/>
        <v>-</v>
      </c>
      <c r="L40" s="596"/>
      <c r="M40" s="201" t="e">
        <f>RANK(K40, K$27:$K$41)</f>
        <v>#VALUE!</v>
      </c>
      <c r="N40" s="614"/>
      <c r="O40" s="614"/>
      <c r="P40" s="529" t="s">
        <v>839</v>
      </c>
      <c r="Q40" s="533" t="s">
        <v>839</v>
      </c>
      <c r="R40" s="533" t="s">
        <v>839</v>
      </c>
      <c r="S40" s="529" t="e">
        <f t="shared" si="8"/>
        <v>#VALUE!</v>
      </c>
      <c r="T40" s="624"/>
      <c r="U40" s="529" t="s">
        <v>839</v>
      </c>
      <c r="V40" s="533" t="s">
        <v>839</v>
      </c>
      <c r="W40" s="533" t="s">
        <v>839</v>
      </c>
      <c r="X40" s="529" t="e">
        <f t="shared" si="10"/>
        <v>#VALUE!</v>
      </c>
      <c r="Y40" s="624"/>
      <c r="Z40" s="529" t="s">
        <v>839</v>
      </c>
      <c r="AA40" s="533" t="s">
        <v>839</v>
      </c>
      <c r="AB40" s="533" t="s">
        <v>839</v>
      </c>
      <c r="AC40" s="529" t="e">
        <f t="shared" si="12"/>
        <v>#VALUE!</v>
      </c>
      <c r="AD40" s="624"/>
      <c r="AE40" s="529" t="s">
        <v>839</v>
      </c>
      <c r="AF40" s="533" t="s">
        <v>839</v>
      </c>
      <c r="AG40" s="533" t="s">
        <v>839</v>
      </c>
      <c r="AH40" s="529" t="e">
        <f t="shared" si="14"/>
        <v>#VALUE!</v>
      </c>
      <c r="AI40" s="624"/>
      <c r="AJ40" s="529" t="s">
        <v>839</v>
      </c>
      <c r="AK40" s="533" t="s">
        <v>839</v>
      </c>
      <c r="AL40" s="533" t="s">
        <v>839</v>
      </c>
      <c r="AM40" s="529" t="e">
        <f t="shared" si="16"/>
        <v>#VALUE!</v>
      </c>
      <c r="AN40" s="624"/>
      <c r="AO40" s="529" t="s">
        <v>839</v>
      </c>
      <c r="AP40" s="533" t="s">
        <v>839</v>
      </c>
      <c r="AQ40" s="533" t="s">
        <v>839</v>
      </c>
      <c r="AR40" s="529" t="e">
        <f t="shared" si="18"/>
        <v>#VALUE!</v>
      </c>
      <c r="AS40" s="624"/>
      <c r="AT40" s="529" t="s">
        <v>839</v>
      </c>
      <c r="AU40" s="533" t="s">
        <v>839</v>
      </c>
      <c r="AV40" s="533" t="s">
        <v>839</v>
      </c>
      <c r="AW40" s="529" t="e">
        <f t="shared" si="20"/>
        <v>#VALUE!</v>
      </c>
      <c r="AX40" s="624"/>
      <c r="AZ40" s="524" t="e">
        <f t="shared" si="22"/>
        <v>#N/A</v>
      </c>
      <c r="BA40" s="624"/>
    </row>
    <row r="41" spans="2:53">
      <c r="B41" s="622"/>
      <c r="C41" s="306">
        <v>15</v>
      </c>
      <c r="D41" s="456"/>
      <c r="E41" s="521"/>
      <c r="F41" s="521"/>
      <c r="G41" s="521"/>
      <c r="H41" s="665"/>
      <c r="I41" s="520"/>
      <c r="J41" s="520"/>
      <c r="K41" s="520"/>
      <c r="L41" s="597"/>
      <c r="M41" s="199" t="e">
        <f>RANK(K41, K$27:$K$41)</f>
        <v>#N/A</v>
      </c>
      <c r="N41" s="614"/>
      <c r="O41" s="614"/>
      <c r="P41" s="529" t="s">
        <v>839</v>
      </c>
      <c r="Q41" s="533" t="s">
        <v>839</v>
      </c>
      <c r="R41" s="533" t="s">
        <v>839</v>
      </c>
      <c r="S41" s="529" t="e">
        <f t="shared" si="8"/>
        <v>#VALUE!</v>
      </c>
      <c r="T41" s="625"/>
      <c r="U41" s="529" t="s">
        <v>839</v>
      </c>
      <c r="V41" s="533" t="s">
        <v>839</v>
      </c>
      <c r="W41" s="533" t="s">
        <v>839</v>
      </c>
      <c r="X41" s="529" t="e">
        <f t="shared" si="10"/>
        <v>#VALUE!</v>
      </c>
      <c r="Y41" s="625"/>
      <c r="Z41" s="529" t="s">
        <v>839</v>
      </c>
      <c r="AA41" s="533" t="s">
        <v>839</v>
      </c>
      <c r="AB41" s="533" t="s">
        <v>839</v>
      </c>
      <c r="AC41" s="529" t="e">
        <f t="shared" si="12"/>
        <v>#VALUE!</v>
      </c>
      <c r="AD41" s="625"/>
      <c r="AE41" s="529" t="s">
        <v>839</v>
      </c>
      <c r="AF41" s="533" t="s">
        <v>839</v>
      </c>
      <c r="AG41" s="533" t="s">
        <v>839</v>
      </c>
      <c r="AH41" s="529" t="e">
        <f t="shared" si="14"/>
        <v>#VALUE!</v>
      </c>
      <c r="AI41" s="625"/>
      <c r="AJ41" s="529" t="s">
        <v>839</v>
      </c>
      <c r="AK41" s="533" t="s">
        <v>839</v>
      </c>
      <c r="AL41" s="533" t="s">
        <v>839</v>
      </c>
      <c r="AM41" s="529" t="e">
        <f t="shared" si="16"/>
        <v>#VALUE!</v>
      </c>
      <c r="AN41" s="625"/>
      <c r="AO41" s="529" t="s">
        <v>839</v>
      </c>
      <c r="AP41" s="533" t="s">
        <v>839</v>
      </c>
      <c r="AQ41" s="533" t="s">
        <v>839</v>
      </c>
      <c r="AR41" s="529" t="e">
        <f t="shared" si="18"/>
        <v>#VALUE!</v>
      </c>
      <c r="AS41" s="625"/>
      <c r="AT41" s="529" t="s">
        <v>839</v>
      </c>
      <c r="AU41" s="533" t="s">
        <v>839</v>
      </c>
      <c r="AV41" s="533" t="s">
        <v>839</v>
      </c>
      <c r="AW41" s="529" t="e">
        <f t="shared" si="20"/>
        <v>#VALUE!</v>
      </c>
      <c r="AX41" s="625"/>
      <c r="AZ41" s="524" t="e">
        <f t="shared" si="22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398</v>
      </c>
      <c r="C44" s="614" t="s">
        <v>408</v>
      </c>
      <c r="D44" s="614"/>
      <c r="E44" s="614" t="s">
        <v>399</v>
      </c>
      <c r="F44" s="614"/>
      <c r="G44" s="614"/>
      <c r="H44" s="630" t="s">
        <v>395</v>
      </c>
      <c r="I44" s="598" t="s">
        <v>400</v>
      </c>
      <c r="J44" s="598"/>
      <c r="K44" s="598"/>
      <c r="L44" s="599" t="s">
        <v>395</v>
      </c>
      <c r="M44" s="605" t="s">
        <v>396</v>
      </c>
      <c r="N44" s="614"/>
      <c r="O44" s="614" t="s">
        <v>401</v>
      </c>
      <c r="P44" s="611" t="s">
        <v>758</v>
      </c>
      <c r="Q44" s="612"/>
      <c r="R44" s="612"/>
      <c r="S44" s="613"/>
      <c r="T44" s="614" t="s">
        <v>759</v>
      </c>
      <c r="U44" s="611" t="s">
        <v>758</v>
      </c>
      <c r="V44" s="612"/>
      <c r="W44" s="612"/>
      <c r="X44" s="613"/>
      <c r="Y44" s="614" t="s">
        <v>759</v>
      </c>
      <c r="Z44" s="611" t="s">
        <v>758</v>
      </c>
      <c r="AA44" s="612"/>
      <c r="AB44" s="612"/>
      <c r="AC44" s="613"/>
      <c r="AD44" s="614" t="s">
        <v>759</v>
      </c>
      <c r="AE44" s="611" t="s">
        <v>758</v>
      </c>
      <c r="AF44" s="612"/>
      <c r="AG44" s="612"/>
      <c r="AH44" s="613"/>
      <c r="AI44" s="614" t="s">
        <v>759</v>
      </c>
      <c r="AJ44" s="611" t="s">
        <v>758</v>
      </c>
      <c r="AK44" s="612"/>
      <c r="AL44" s="612"/>
      <c r="AM44" s="613"/>
      <c r="AN44" s="614" t="s">
        <v>759</v>
      </c>
      <c r="AO44" s="611" t="s">
        <v>758</v>
      </c>
      <c r="AP44" s="612"/>
      <c r="AQ44" s="612"/>
      <c r="AR44" s="613"/>
      <c r="AS44" s="614" t="s">
        <v>759</v>
      </c>
      <c r="AT44" s="611" t="s">
        <v>758</v>
      </c>
      <c r="AU44" s="612"/>
      <c r="AV44" s="612"/>
      <c r="AW44" s="613"/>
      <c r="AX44" s="614" t="s">
        <v>759</v>
      </c>
      <c r="BA44" s="614" t="s">
        <v>395</v>
      </c>
    </row>
    <row r="45" spans="2:53">
      <c r="B45" s="614"/>
      <c r="C45" s="614"/>
      <c r="D45" s="614"/>
      <c r="E45" s="614" t="s">
        <v>402</v>
      </c>
      <c r="F45" s="614"/>
      <c r="G45" s="614"/>
      <c r="H45" s="631"/>
      <c r="I45" s="598" t="s">
        <v>402</v>
      </c>
      <c r="J45" s="598"/>
      <c r="K45" s="598"/>
      <c r="L45" s="600"/>
      <c r="M45" s="606"/>
      <c r="N45" s="614"/>
      <c r="O45" s="614"/>
      <c r="P45" s="611" t="s">
        <v>760</v>
      </c>
      <c r="Q45" s="612"/>
      <c r="R45" s="612"/>
      <c r="S45" s="613"/>
      <c r="T45" s="614"/>
      <c r="U45" s="611" t="s">
        <v>760</v>
      </c>
      <c r="V45" s="612"/>
      <c r="W45" s="612"/>
      <c r="X45" s="613"/>
      <c r="Y45" s="614"/>
      <c r="Z45" s="611" t="s">
        <v>760</v>
      </c>
      <c r="AA45" s="612"/>
      <c r="AB45" s="612"/>
      <c r="AC45" s="613"/>
      <c r="AD45" s="614"/>
      <c r="AE45" s="611" t="s">
        <v>760</v>
      </c>
      <c r="AF45" s="612"/>
      <c r="AG45" s="612"/>
      <c r="AH45" s="613"/>
      <c r="AI45" s="614"/>
      <c r="AJ45" s="611" t="s">
        <v>760</v>
      </c>
      <c r="AK45" s="612"/>
      <c r="AL45" s="612"/>
      <c r="AM45" s="613"/>
      <c r="AN45" s="614"/>
      <c r="AO45" s="611" t="s">
        <v>760</v>
      </c>
      <c r="AP45" s="612"/>
      <c r="AQ45" s="612"/>
      <c r="AR45" s="613"/>
      <c r="AS45" s="614"/>
      <c r="AT45" s="611" t="s">
        <v>760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05" t="s">
        <v>404</v>
      </c>
      <c r="F46" s="305" t="s">
        <v>405</v>
      </c>
      <c r="G46" s="305" t="s">
        <v>406</v>
      </c>
      <c r="H46" s="632"/>
      <c r="I46" s="304" t="s">
        <v>404</v>
      </c>
      <c r="J46" s="304" t="s">
        <v>405</v>
      </c>
      <c r="K46" s="304" t="s">
        <v>406</v>
      </c>
      <c r="L46" s="601"/>
      <c r="M46" s="607"/>
      <c r="N46" s="614"/>
      <c r="O46" s="614"/>
      <c r="P46" s="485" t="s">
        <v>761</v>
      </c>
      <c r="Q46" s="485" t="s">
        <v>762</v>
      </c>
      <c r="R46" s="485" t="s">
        <v>763</v>
      </c>
      <c r="S46" s="485" t="s">
        <v>764</v>
      </c>
      <c r="T46" s="614"/>
      <c r="U46" s="485" t="s">
        <v>761</v>
      </c>
      <c r="V46" s="485" t="s">
        <v>762</v>
      </c>
      <c r="W46" s="485" t="s">
        <v>763</v>
      </c>
      <c r="X46" s="485" t="s">
        <v>764</v>
      </c>
      <c r="Y46" s="614"/>
      <c r="Z46" s="485" t="s">
        <v>761</v>
      </c>
      <c r="AA46" s="485" t="s">
        <v>762</v>
      </c>
      <c r="AB46" s="485" t="s">
        <v>763</v>
      </c>
      <c r="AC46" s="485" t="s">
        <v>764</v>
      </c>
      <c r="AD46" s="614"/>
      <c r="AE46" s="485" t="s">
        <v>761</v>
      </c>
      <c r="AF46" s="485" t="s">
        <v>762</v>
      </c>
      <c r="AG46" s="485" t="s">
        <v>763</v>
      </c>
      <c r="AH46" s="485" t="s">
        <v>764</v>
      </c>
      <c r="AI46" s="614"/>
      <c r="AJ46" s="485" t="s">
        <v>761</v>
      </c>
      <c r="AK46" s="485" t="s">
        <v>762</v>
      </c>
      <c r="AL46" s="485" t="s">
        <v>763</v>
      </c>
      <c r="AM46" s="485" t="s">
        <v>764</v>
      </c>
      <c r="AN46" s="614"/>
      <c r="AO46" s="485" t="s">
        <v>761</v>
      </c>
      <c r="AP46" s="485" t="s">
        <v>762</v>
      </c>
      <c r="AQ46" s="485" t="s">
        <v>763</v>
      </c>
      <c r="AR46" s="485" t="s">
        <v>764</v>
      </c>
      <c r="AS46" s="614"/>
      <c r="AT46" s="485" t="s">
        <v>761</v>
      </c>
      <c r="AU46" s="485" t="s">
        <v>762</v>
      </c>
      <c r="AV46" s="485" t="s">
        <v>763</v>
      </c>
      <c r="AW46" s="485" t="s">
        <v>764</v>
      </c>
      <c r="AX46" s="614"/>
      <c r="AZ46" s="523" t="s">
        <v>764</v>
      </c>
      <c r="BA46" s="614"/>
    </row>
    <row r="47" spans="2:53">
      <c r="B47" s="614" t="s">
        <v>410</v>
      </c>
      <c r="C47" s="306">
        <v>1</v>
      </c>
      <c r="D47" s="226"/>
      <c r="E47" s="182"/>
      <c r="F47" s="514"/>
      <c r="G47" s="515"/>
      <c r="H47" s="663" t="e">
        <f>AVERAGE(G47:G61)</f>
        <v>#DIV/0!</v>
      </c>
      <c r="I47" s="516" t="str">
        <f t="shared" ref="I47:I60" si="24">IFERROR(AVERAGE(P47,U47,Z47,AE47,AJ47,AO47,AT47),"-")</f>
        <v>-</v>
      </c>
      <c r="J47" s="516" t="str">
        <f t="shared" ref="J47:J60" si="25">IFERROR(AVERAGE(Q47,V47,AA47,AF47,AK47,AP47,AU47),"-")</f>
        <v>-</v>
      </c>
      <c r="K47" s="200" t="str">
        <f t="shared" ref="K47:K60" si="26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520"/>
      <c r="Q47" s="521"/>
      <c r="R47" s="521"/>
      <c r="S47" s="514" t="e">
        <f>RANK(R47, R$47:R$61)</f>
        <v>#N/A</v>
      </c>
      <c r="T47" s="637" t="e">
        <f>AVERAGE(R47:R61)</f>
        <v>#DIV/0!</v>
      </c>
      <c r="U47" s="520"/>
      <c r="V47" s="521"/>
      <c r="W47" s="521"/>
      <c r="X47" s="514" t="e">
        <f t="shared" ref="X47:X61" si="27">RANK(W47, W$47:W$61)</f>
        <v>#N/A</v>
      </c>
      <c r="Y47" s="637" t="e">
        <f t="shared" ref="Y47" si="28">AVERAGE(W47:W61)</f>
        <v>#DIV/0!</v>
      </c>
      <c r="Z47" s="520"/>
      <c r="AA47" s="521"/>
      <c r="AB47" s="521"/>
      <c r="AC47" s="514" t="e">
        <f t="shared" ref="AC47:AC61" si="29">RANK(AB47, AB$47:AB$61)</f>
        <v>#N/A</v>
      </c>
      <c r="AD47" s="637" t="e">
        <f t="shared" ref="AD47" si="30">AVERAGE(AB47:AB61)</f>
        <v>#DIV/0!</v>
      </c>
      <c r="AE47" s="520"/>
      <c r="AF47" s="521"/>
      <c r="AG47" s="521"/>
      <c r="AH47" s="514" t="e">
        <f t="shared" ref="AH47:AH61" si="31">RANK(AG47, AG$47:AG$61)</f>
        <v>#N/A</v>
      </c>
      <c r="AI47" s="637" t="e">
        <f t="shared" ref="AI47" si="32">AVERAGE(AG47:AG61)</f>
        <v>#DIV/0!</v>
      </c>
      <c r="AJ47" s="520"/>
      <c r="AK47" s="521"/>
      <c r="AL47" s="521"/>
      <c r="AM47" s="514" t="e">
        <f t="shared" ref="AM47:AM61" si="33">RANK(AL47, AL$47:AL$61)</f>
        <v>#N/A</v>
      </c>
      <c r="AN47" s="637" t="e">
        <f t="shared" ref="AN47" si="34">AVERAGE(AL47:AL61)</f>
        <v>#DIV/0!</v>
      </c>
      <c r="AO47" s="520"/>
      <c r="AP47" s="521"/>
      <c r="AQ47" s="521"/>
      <c r="AR47" s="514" t="e">
        <f t="shared" ref="AR47:AR61" si="35">RANK(AQ47, AQ$47:AQ$61)</f>
        <v>#N/A</v>
      </c>
      <c r="AS47" s="637" t="e">
        <f t="shared" ref="AS47" si="36">AVERAGE(AQ47:AQ61)</f>
        <v>#DIV/0!</v>
      </c>
      <c r="AT47" s="520"/>
      <c r="AU47" s="521"/>
      <c r="AV47" s="521"/>
      <c r="AW47" s="514" t="e">
        <f t="shared" ref="AW47:AW61" si="37">RANK(AV47, AV$47:AV$61)</f>
        <v>#N/A</v>
      </c>
      <c r="AX47" s="637" t="e">
        <f t="shared" ref="AX47" si="38">AVERAGE(AV47:AV61)</f>
        <v>#DIV/0!</v>
      </c>
      <c r="AZ47" s="524" t="e">
        <f t="shared" ref="AZ47:AZ61" si="39">RANK(AY47, AY$47:AY$61)</f>
        <v>#N/A</v>
      </c>
      <c r="BA47" s="637" t="e">
        <f t="shared" ref="BA47" si="40">AVERAGE(AY47:AY61)</f>
        <v>#DIV/0!</v>
      </c>
    </row>
    <row r="48" spans="2:53">
      <c r="B48" s="622"/>
      <c r="C48" s="306">
        <v>2</v>
      </c>
      <c r="D48" s="226"/>
      <c r="E48" s="182"/>
      <c r="F48" s="514"/>
      <c r="G48" s="515"/>
      <c r="H48" s="664"/>
      <c r="I48" s="516" t="str">
        <f t="shared" si="24"/>
        <v>-</v>
      </c>
      <c r="J48" s="516" t="str">
        <f t="shared" si="25"/>
        <v>-</v>
      </c>
      <c r="K48" s="200" t="str">
        <f t="shared" si="26"/>
        <v>-</v>
      </c>
      <c r="L48" s="596"/>
      <c r="M48" s="201" t="e">
        <f>RANK(K48, K$47:$K$61)</f>
        <v>#VALUE!</v>
      </c>
      <c r="N48" s="614"/>
      <c r="O48" s="614"/>
      <c r="P48" s="520"/>
      <c r="Q48" s="521"/>
      <c r="R48" s="521"/>
      <c r="S48" s="514" t="e">
        <f t="shared" ref="S48:S61" si="41">RANK(R48, R$47:R$61)</f>
        <v>#N/A</v>
      </c>
      <c r="T48" s="638"/>
      <c r="U48" s="520"/>
      <c r="V48" s="521"/>
      <c r="W48" s="521"/>
      <c r="X48" s="514" t="e">
        <f t="shared" si="27"/>
        <v>#N/A</v>
      </c>
      <c r="Y48" s="638"/>
      <c r="Z48" s="520"/>
      <c r="AA48" s="521"/>
      <c r="AB48" s="521"/>
      <c r="AC48" s="514" t="e">
        <f t="shared" si="29"/>
        <v>#N/A</v>
      </c>
      <c r="AD48" s="638"/>
      <c r="AE48" s="520"/>
      <c r="AF48" s="521"/>
      <c r="AG48" s="521"/>
      <c r="AH48" s="514" t="e">
        <f t="shared" si="31"/>
        <v>#N/A</v>
      </c>
      <c r="AI48" s="638"/>
      <c r="AJ48" s="520"/>
      <c r="AK48" s="521"/>
      <c r="AL48" s="521"/>
      <c r="AM48" s="514" t="e">
        <f t="shared" si="33"/>
        <v>#N/A</v>
      </c>
      <c r="AN48" s="638"/>
      <c r="AO48" s="520"/>
      <c r="AP48" s="521"/>
      <c r="AQ48" s="521"/>
      <c r="AR48" s="514" t="e">
        <f t="shared" si="35"/>
        <v>#N/A</v>
      </c>
      <c r="AS48" s="638"/>
      <c r="AT48" s="520"/>
      <c r="AU48" s="521"/>
      <c r="AV48" s="521"/>
      <c r="AW48" s="514" t="e">
        <f t="shared" si="37"/>
        <v>#N/A</v>
      </c>
      <c r="AX48" s="638"/>
      <c r="AZ48" s="524" t="e">
        <f t="shared" si="39"/>
        <v>#N/A</v>
      </c>
      <c r="BA48" s="638"/>
    </row>
    <row r="49" spans="2:53">
      <c r="B49" s="622"/>
      <c r="C49" s="306">
        <v>3</v>
      </c>
      <c r="D49" s="226"/>
      <c r="E49" s="182"/>
      <c r="F49" s="514"/>
      <c r="G49" s="515"/>
      <c r="H49" s="664"/>
      <c r="I49" s="516" t="str">
        <f t="shared" si="24"/>
        <v>-</v>
      </c>
      <c r="J49" s="516" t="str">
        <f t="shared" si="25"/>
        <v>-</v>
      </c>
      <c r="K49" s="200" t="str">
        <f t="shared" si="26"/>
        <v>-</v>
      </c>
      <c r="L49" s="596"/>
      <c r="M49" s="201" t="e">
        <f>RANK(K49, K$47:$K$61)</f>
        <v>#VALUE!</v>
      </c>
      <c r="N49" s="614"/>
      <c r="O49" s="614"/>
      <c r="P49" s="520"/>
      <c r="Q49" s="521"/>
      <c r="R49" s="521"/>
      <c r="S49" s="514" t="e">
        <f t="shared" si="41"/>
        <v>#N/A</v>
      </c>
      <c r="T49" s="638"/>
      <c r="U49" s="520"/>
      <c r="V49" s="521"/>
      <c r="W49" s="521"/>
      <c r="X49" s="514" t="e">
        <f t="shared" si="27"/>
        <v>#N/A</v>
      </c>
      <c r="Y49" s="638"/>
      <c r="Z49" s="520"/>
      <c r="AA49" s="521"/>
      <c r="AB49" s="521"/>
      <c r="AC49" s="514" t="e">
        <f t="shared" si="29"/>
        <v>#N/A</v>
      </c>
      <c r="AD49" s="638"/>
      <c r="AE49" s="520"/>
      <c r="AF49" s="521"/>
      <c r="AG49" s="521"/>
      <c r="AH49" s="514" t="e">
        <f t="shared" si="31"/>
        <v>#N/A</v>
      </c>
      <c r="AI49" s="638"/>
      <c r="AJ49" s="520"/>
      <c r="AK49" s="521"/>
      <c r="AL49" s="521"/>
      <c r="AM49" s="514" t="e">
        <f t="shared" si="33"/>
        <v>#N/A</v>
      </c>
      <c r="AN49" s="638"/>
      <c r="AO49" s="520"/>
      <c r="AP49" s="521"/>
      <c r="AQ49" s="521"/>
      <c r="AR49" s="514" t="e">
        <f t="shared" si="35"/>
        <v>#N/A</v>
      </c>
      <c r="AS49" s="638"/>
      <c r="AT49" s="520"/>
      <c r="AU49" s="521"/>
      <c r="AV49" s="521"/>
      <c r="AW49" s="514" t="e">
        <f t="shared" si="37"/>
        <v>#N/A</v>
      </c>
      <c r="AX49" s="638"/>
      <c r="AZ49" s="524" t="e">
        <f t="shared" si="39"/>
        <v>#N/A</v>
      </c>
      <c r="BA49" s="638"/>
    </row>
    <row r="50" spans="2:53">
      <c r="B50" s="622"/>
      <c r="C50" s="306">
        <v>4</v>
      </c>
      <c r="D50" s="226"/>
      <c r="E50" s="182"/>
      <c r="F50" s="514"/>
      <c r="G50" s="515"/>
      <c r="H50" s="664"/>
      <c r="I50" s="516" t="str">
        <f t="shared" si="24"/>
        <v>-</v>
      </c>
      <c r="J50" s="516" t="str">
        <f t="shared" si="25"/>
        <v>-</v>
      </c>
      <c r="K50" s="200" t="str">
        <f t="shared" si="26"/>
        <v>-</v>
      </c>
      <c r="L50" s="596"/>
      <c r="M50" s="201" t="e">
        <f>RANK(K50, K$47:$K$61)</f>
        <v>#VALUE!</v>
      </c>
      <c r="N50" s="614"/>
      <c r="O50" s="614"/>
      <c r="P50" s="520"/>
      <c r="Q50" s="521"/>
      <c r="R50" s="521"/>
      <c r="S50" s="514" t="e">
        <f t="shared" si="41"/>
        <v>#N/A</v>
      </c>
      <c r="T50" s="638"/>
      <c r="U50" s="520"/>
      <c r="V50" s="521"/>
      <c r="W50" s="521"/>
      <c r="X50" s="514" t="e">
        <f t="shared" si="27"/>
        <v>#N/A</v>
      </c>
      <c r="Y50" s="638"/>
      <c r="Z50" s="520"/>
      <c r="AA50" s="521"/>
      <c r="AB50" s="521"/>
      <c r="AC50" s="514" t="e">
        <f t="shared" si="29"/>
        <v>#N/A</v>
      </c>
      <c r="AD50" s="638"/>
      <c r="AE50" s="520"/>
      <c r="AF50" s="521"/>
      <c r="AG50" s="521"/>
      <c r="AH50" s="514" t="e">
        <f t="shared" si="31"/>
        <v>#N/A</v>
      </c>
      <c r="AI50" s="638"/>
      <c r="AJ50" s="520"/>
      <c r="AK50" s="521"/>
      <c r="AL50" s="521"/>
      <c r="AM50" s="514" t="e">
        <f t="shared" si="33"/>
        <v>#N/A</v>
      </c>
      <c r="AN50" s="638"/>
      <c r="AO50" s="520"/>
      <c r="AP50" s="521"/>
      <c r="AQ50" s="521"/>
      <c r="AR50" s="514" t="e">
        <f t="shared" si="35"/>
        <v>#N/A</v>
      </c>
      <c r="AS50" s="638"/>
      <c r="AT50" s="520"/>
      <c r="AU50" s="521"/>
      <c r="AV50" s="521"/>
      <c r="AW50" s="514" t="e">
        <f t="shared" si="37"/>
        <v>#N/A</v>
      </c>
      <c r="AX50" s="638"/>
      <c r="AZ50" s="524" t="e">
        <f t="shared" si="39"/>
        <v>#N/A</v>
      </c>
      <c r="BA50" s="638"/>
    </row>
    <row r="51" spans="2:53">
      <c r="B51" s="622"/>
      <c r="C51" s="306">
        <v>5</v>
      </c>
      <c r="D51" s="226"/>
      <c r="E51" s="182"/>
      <c r="F51" s="514"/>
      <c r="G51" s="515"/>
      <c r="H51" s="664"/>
      <c r="I51" s="516" t="str">
        <f t="shared" si="24"/>
        <v>-</v>
      </c>
      <c r="J51" s="516" t="str">
        <f t="shared" si="25"/>
        <v>-</v>
      </c>
      <c r="K51" s="200" t="str">
        <f t="shared" si="26"/>
        <v>-</v>
      </c>
      <c r="L51" s="596"/>
      <c r="M51" s="201" t="e">
        <f>RANK(K51, K$47:$K$61)</f>
        <v>#VALUE!</v>
      </c>
      <c r="N51" s="614"/>
      <c r="O51" s="614"/>
      <c r="P51" s="520"/>
      <c r="Q51" s="521"/>
      <c r="R51" s="521"/>
      <c r="S51" s="514" t="e">
        <f t="shared" si="41"/>
        <v>#N/A</v>
      </c>
      <c r="T51" s="638"/>
      <c r="U51" s="520"/>
      <c r="V51" s="521"/>
      <c r="W51" s="521"/>
      <c r="X51" s="514" t="e">
        <f t="shared" si="27"/>
        <v>#N/A</v>
      </c>
      <c r="Y51" s="638"/>
      <c r="Z51" s="520"/>
      <c r="AA51" s="521"/>
      <c r="AB51" s="521"/>
      <c r="AC51" s="514" t="e">
        <f t="shared" si="29"/>
        <v>#N/A</v>
      </c>
      <c r="AD51" s="638"/>
      <c r="AE51" s="520"/>
      <c r="AF51" s="521"/>
      <c r="AG51" s="521"/>
      <c r="AH51" s="514" t="e">
        <f t="shared" si="31"/>
        <v>#N/A</v>
      </c>
      <c r="AI51" s="638"/>
      <c r="AJ51" s="520"/>
      <c r="AK51" s="521"/>
      <c r="AL51" s="521"/>
      <c r="AM51" s="514" t="e">
        <f t="shared" si="33"/>
        <v>#N/A</v>
      </c>
      <c r="AN51" s="638"/>
      <c r="AO51" s="520"/>
      <c r="AP51" s="521"/>
      <c r="AQ51" s="521"/>
      <c r="AR51" s="514" t="e">
        <f t="shared" si="35"/>
        <v>#N/A</v>
      </c>
      <c r="AS51" s="638"/>
      <c r="AT51" s="520"/>
      <c r="AU51" s="521"/>
      <c r="AV51" s="521"/>
      <c r="AW51" s="514" t="e">
        <f t="shared" si="37"/>
        <v>#N/A</v>
      </c>
      <c r="AX51" s="638"/>
      <c r="AZ51" s="524" t="e">
        <f t="shared" si="39"/>
        <v>#N/A</v>
      </c>
      <c r="BA51" s="638"/>
    </row>
    <row r="52" spans="2:53">
      <c r="B52" s="622"/>
      <c r="C52" s="306">
        <v>6</v>
      </c>
      <c r="D52" s="226"/>
      <c r="E52" s="182"/>
      <c r="F52" s="514"/>
      <c r="G52" s="515"/>
      <c r="H52" s="664"/>
      <c r="I52" s="516" t="str">
        <f t="shared" si="24"/>
        <v>-</v>
      </c>
      <c r="J52" s="516" t="str">
        <f t="shared" si="25"/>
        <v>-</v>
      </c>
      <c r="K52" s="200" t="str">
        <f t="shared" si="26"/>
        <v>-</v>
      </c>
      <c r="L52" s="596"/>
      <c r="M52" s="201" t="e">
        <f>RANK(K52, K$47:$K$61)</f>
        <v>#VALUE!</v>
      </c>
      <c r="N52" s="614"/>
      <c r="O52" s="614"/>
      <c r="P52" s="520"/>
      <c r="Q52" s="521"/>
      <c r="R52" s="521"/>
      <c r="S52" s="514" t="e">
        <f t="shared" si="41"/>
        <v>#N/A</v>
      </c>
      <c r="T52" s="638"/>
      <c r="U52" s="520"/>
      <c r="V52" s="521"/>
      <c r="W52" s="521"/>
      <c r="X52" s="514" t="e">
        <f t="shared" si="27"/>
        <v>#N/A</v>
      </c>
      <c r="Y52" s="638"/>
      <c r="Z52" s="520"/>
      <c r="AA52" s="521"/>
      <c r="AB52" s="521"/>
      <c r="AC52" s="514" t="e">
        <f t="shared" si="29"/>
        <v>#N/A</v>
      </c>
      <c r="AD52" s="638"/>
      <c r="AE52" s="520"/>
      <c r="AF52" s="521"/>
      <c r="AG52" s="521"/>
      <c r="AH52" s="514" t="e">
        <f t="shared" si="31"/>
        <v>#N/A</v>
      </c>
      <c r="AI52" s="638"/>
      <c r="AJ52" s="520"/>
      <c r="AK52" s="521"/>
      <c r="AL52" s="521"/>
      <c r="AM52" s="514" t="e">
        <f t="shared" si="33"/>
        <v>#N/A</v>
      </c>
      <c r="AN52" s="638"/>
      <c r="AO52" s="520"/>
      <c r="AP52" s="521"/>
      <c r="AQ52" s="521"/>
      <c r="AR52" s="514" t="e">
        <f t="shared" si="35"/>
        <v>#N/A</v>
      </c>
      <c r="AS52" s="638"/>
      <c r="AT52" s="520"/>
      <c r="AU52" s="521"/>
      <c r="AV52" s="521"/>
      <c r="AW52" s="514" t="e">
        <f t="shared" si="37"/>
        <v>#N/A</v>
      </c>
      <c r="AX52" s="638"/>
      <c r="AZ52" s="524" t="e">
        <f t="shared" si="39"/>
        <v>#N/A</v>
      </c>
      <c r="BA52" s="638"/>
    </row>
    <row r="53" spans="2:53">
      <c r="B53" s="622"/>
      <c r="C53" s="306">
        <v>7</v>
      </c>
      <c r="D53" s="456"/>
      <c r="E53" s="521"/>
      <c r="F53" s="521"/>
      <c r="G53" s="521"/>
      <c r="H53" s="664"/>
      <c r="I53" s="516" t="str">
        <f t="shared" si="24"/>
        <v>-</v>
      </c>
      <c r="J53" s="516" t="str">
        <f t="shared" si="25"/>
        <v>-</v>
      </c>
      <c r="K53" s="200" t="str">
        <f t="shared" si="26"/>
        <v>-</v>
      </c>
      <c r="L53" s="596"/>
      <c r="M53" s="201" t="e">
        <f>RANK(K53, K$47:$K$61)</f>
        <v>#VALUE!</v>
      </c>
      <c r="N53" s="614"/>
      <c r="O53" s="614"/>
      <c r="P53" s="520"/>
      <c r="Q53" s="521"/>
      <c r="R53" s="521"/>
      <c r="S53" s="514" t="e">
        <f t="shared" si="41"/>
        <v>#N/A</v>
      </c>
      <c r="T53" s="638"/>
      <c r="U53" s="520"/>
      <c r="V53" s="521"/>
      <c r="W53" s="521"/>
      <c r="X53" s="514" t="e">
        <f t="shared" si="27"/>
        <v>#N/A</v>
      </c>
      <c r="Y53" s="638"/>
      <c r="Z53" s="520"/>
      <c r="AA53" s="521"/>
      <c r="AB53" s="521"/>
      <c r="AC53" s="514" t="e">
        <f t="shared" si="29"/>
        <v>#N/A</v>
      </c>
      <c r="AD53" s="638"/>
      <c r="AE53" s="520"/>
      <c r="AF53" s="521"/>
      <c r="AG53" s="521"/>
      <c r="AH53" s="514" t="e">
        <f t="shared" si="31"/>
        <v>#N/A</v>
      </c>
      <c r="AI53" s="638"/>
      <c r="AJ53" s="520"/>
      <c r="AK53" s="521"/>
      <c r="AL53" s="521"/>
      <c r="AM53" s="514" t="e">
        <f t="shared" si="33"/>
        <v>#N/A</v>
      </c>
      <c r="AN53" s="638"/>
      <c r="AO53" s="520"/>
      <c r="AP53" s="521"/>
      <c r="AQ53" s="521"/>
      <c r="AR53" s="514" t="e">
        <f t="shared" si="35"/>
        <v>#N/A</v>
      </c>
      <c r="AS53" s="638"/>
      <c r="AT53" s="520"/>
      <c r="AU53" s="521"/>
      <c r="AV53" s="521"/>
      <c r="AW53" s="514" t="e">
        <f t="shared" si="37"/>
        <v>#N/A</v>
      </c>
      <c r="AX53" s="638"/>
      <c r="AZ53" s="524" t="e">
        <f t="shared" si="39"/>
        <v>#N/A</v>
      </c>
      <c r="BA53" s="638"/>
    </row>
    <row r="54" spans="2:53">
      <c r="B54" s="622"/>
      <c r="C54" s="306">
        <v>8</v>
      </c>
      <c r="D54" s="456"/>
      <c r="E54" s="521"/>
      <c r="F54" s="521"/>
      <c r="G54" s="521"/>
      <c r="H54" s="664"/>
      <c r="I54" s="516" t="str">
        <f t="shared" si="24"/>
        <v>-</v>
      </c>
      <c r="J54" s="516" t="str">
        <f t="shared" si="25"/>
        <v>-</v>
      </c>
      <c r="K54" s="200" t="str">
        <f t="shared" si="26"/>
        <v>-</v>
      </c>
      <c r="L54" s="596"/>
      <c r="M54" s="201" t="e">
        <f>RANK(K54, K$47:$K$61)</f>
        <v>#VALUE!</v>
      </c>
      <c r="N54" s="614"/>
      <c r="O54" s="614"/>
      <c r="P54" s="520"/>
      <c r="Q54" s="521"/>
      <c r="R54" s="521"/>
      <c r="S54" s="514" t="e">
        <f t="shared" si="41"/>
        <v>#N/A</v>
      </c>
      <c r="T54" s="638"/>
      <c r="U54" s="520"/>
      <c r="V54" s="521"/>
      <c r="W54" s="521"/>
      <c r="X54" s="514" t="e">
        <f t="shared" si="27"/>
        <v>#N/A</v>
      </c>
      <c r="Y54" s="638"/>
      <c r="Z54" s="520"/>
      <c r="AA54" s="521"/>
      <c r="AB54" s="521"/>
      <c r="AC54" s="514" t="e">
        <f t="shared" si="29"/>
        <v>#N/A</v>
      </c>
      <c r="AD54" s="638"/>
      <c r="AE54" s="520"/>
      <c r="AF54" s="521"/>
      <c r="AG54" s="521"/>
      <c r="AH54" s="514" t="e">
        <f t="shared" si="31"/>
        <v>#N/A</v>
      </c>
      <c r="AI54" s="638"/>
      <c r="AJ54" s="520"/>
      <c r="AK54" s="521"/>
      <c r="AL54" s="521"/>
      <c r="AM54" s="514" t="e">
        <f t="shared" si="33"/>
        <v>#N/A</v>
      </c>
      <c r="AN54" s="638"/>
      <c r="AO54" s="520"/>
      <c r="AP54" s="521"/>
      <c r="AQ54" s="521"/>
      <c r="AR54" s="514" t="e">
        <f t="shared" si="35"/>
        <v>#N/A</v>
      </c>
      <c r="AS54" s="638"/>
      <c r="AT54" s="520"/>
      <c r="AU54" s="521"/>
      <c r="AV54" s="521"/>
      <c r="AW54" s="514" t="e">
        <f t="shared" si="37"/>
        <v>#N/A</v>
      </c>
      <c r="AX54" s="638"/>
      <c r="AZ54" s="524" t="e">
        <f t="shared" si="39"/>
        <v>#N/A</v>
      </c>
      <c r="BA54" s="638"/>
    </row>
    <row r="55" spans="2:53">
      <c r="B55" s="622"/>
      <c r="C55" s="306">
        <v>9</v>
      </c>
      <c r="D55" s="456"/>
      <c r="E55" s="521"/>
      <c r="F55" s="521"/>
      <c r="G55" s="521"/>
      <c r="H55" s="664"/>
      <c r="I55" s="516" t="str">
        <f t="shared" si="24"/>
        <v>-</v>
      </c>
      <c r="J55" s="516" t="str">
        <f t="shared" si="25"/>
        <v>-</v>
      </c>
      <c r="K55" s="200" t="str">
        <f t="shared" si="26"/>
        <v>-</v>
      </c>
      <c r="L55" s="596"/>
      <c r="M55" s="201" t="e">
        <f>RANK(K55, K$47:$K$61)</f>
        <v>#VALUE!</v>
      </c>
      <c r="N55" s="614"/>
      <c r="O55" s="614"/>
      <c r="P55" s="520"/>
      <c r="Q55" s="521"/>
      <c r="R55" s="521"/>
      <c r="S55" s="514" t="e">
        <f t="shared" si="41"/>
        <v>#N/A</v>
      </c>
      <c r="T55" s="638"/>
      <c r="U55" s="520"/>
      <c r="V55" s="521"/>
      <c r="W55" s="521"/>
      <c r="X55" s="514" t="e">
        <f t="shared" si="27"/>
        <v>#N/A</v>
      </c>
      <c r="Y55" s="638"/>
      <c r="Z55" s="520"/>
      <c r="AA55" s="521"/>
      <c r="AB55" s="521"/>
      <c r="AC55" s="514" t="e">
        <f t="shared" si="29"/>
        <v>#N/A</v>
      </c>
      <c r="AD55" s="638"/>
      <c r="AE55" s="520"/>
      <c r="AF55" s="521"/>
      <c r="AG55" s="521"/>
      <c r="AH55" s="514" t="e">
        <f t="shared" si="31"/>
        <v>#N/A</v>
      </c>
      <c r="AI55" s="638"/>
      <c r="AJ55" s="520"/>
      <c r="AK55" s="521"/>
      <c r="AL55" s="521"/>
      <c r="AM55" s="514" t="e">
        <f t="shared" si="33"/>
        <v>#N/A</v>
      </c>
      <c r="AN55" s="638"/>
      <c r="AO55" s="520"/>
      <c r="AP55" s="521"/>
      <c r="AQ55" s="521"/>
      <c r="AR55" s="514" t="e">
        <f t="shared" si="35"/>
        <v>#N/A</v>
      </c>
      <c r="AS55" s="638"/>
      <c r="AT55" s="520"/>
      <c r="AU55" s="521"/>
      <c r="AV55" s="521"/>
      <c r="AW55" s="514" t="e">
        <f t="shared" si="37"/>
        <v>#N/A</v>
      </c>
      <c r="AX55" s="638"/>
      <c r="AZ55" s="524" t="e">
        <f t="shared" si="39"/>
        <v>#N/A</v>
      </c>
      <c r="BA55" s="638"/>
    </row>
    <row r="56" spans="2:53">
      <c r="B56" s="622"/>
      <c r="C56" s="306">
        <v>10</v>
      </c>
      <c r="D56" s="456"/>
      <c r="E56" s="521"/>
      <c r="F56" s="521"/>
      <c r="G56" s="521"/>
      <c r="H56" s="664"/>
      <c r="I56" s="516" t="str">
        <f t="shared" si="24"/>
        <v>-</v>
      </c>
      <c r="J56" s="516" t="str">
        <f t="shared" si="25"/>
        <v>-</v>
      </c>
      <c r="K56" s="200" t="str">
        <f t="shared" si="26"/>
        <v>-</v>
      </c>
      <c r="L56" s="596"/>
      <c r="M56" s="201" t="e">
        <f>RANK(K56, K$47:$K$61)</f>
        <v>#VALUE!</v>
      </c>
      <c r="N56" s="614"/>
      <c r="O56" s="614"/>
      <c r="P56" s="520"/>
      <c r="Q56" s="521"/>
      <c r="R56" s="521"/>
      <c r="S56" s="514" t="e">
        <f t="shared" si="41"/>
        <v>#N/A</v>
      </c>
      <c r="T56" s="638"/>
      <c r="U56" s="520"/>
      <c r="V56" s="521"/>
      <c r="W56" s="521"/>
      <c r="X56" s="514" t="e">
        <f t="shared" si="27"/>
        <v>#N/A</v>
      </c>
      <c r="Y56" s="638"/>
      <c r="Z56" s="520"/>
      <c r="AA56" s="521"/>
      <c r="AB56" s="521"/>
      <c r="AC56" s="514" t="e">
        <f t="shared" si="29"/>
        <v>#N/A</v>
      </c>
      <c r="AD56" s="638"/>
      <c r="AE56" s="520"/>
      <c r="AF56" s="521"/>
      <c r="AG56" s="521"/>
      <c r="AH56" s="514" t="e">
        <f t="shared" si="31"/>
        <v>#N/A</v>
      </c>
      <c r="AI56" s="638"/>
      <c r="AJ56" s="520"/>
      <c r="AK56" s="521"/>
      <c r="AL56" s="521"/>
      <c r="AM56" s="514" t="e">
        <f t="shared" si="33"/>
        <v>#N/A</v>
      </c>
      <c r="AN56" s="638"/>
      <c r="AO56" s="520"/>
      <c r="AP56" s="521"/>
      <c r="AQ56" s="521"/>
      <c r="AR56" s="514" t="e">
        <f t="shared" si="35"/>
        <v>#N/A</v>
      </c>
      <c r="AS56" s="638"/>
      <c r="AT56" s="520"/>
      <c r="AU56" s="521"/>
      <c r="AV56" s="521"/>
      <c r="AW56" s="514" t="e">
        <f t="shared" si="37"/>
        <v>#N/A</v>
      </c>
      <c r="AX56" s="638"/>
      <c r="AZ56" s="524" t="e">
        <f t="shared" si="39"/>
        <v>#N/A</v>
      </c>
      <c r="BA56" s="638"/>
    </row>
    <row r="57" spans="2:53">
      <c r="B57" s="622"/>
      <c r="C57" s="306">
        <v>11</v>
      </c>
      <c r="D57" s="456"/>
      <c r="E57" s="521"/>
      <c r="F57" s="521"/>
      <c r="G57" s="521"/>
      <c r="H57" s="664"/>
      <c r="I57" s="516" t="str">
        <f t="shared" si="24"/>
        <v>-</v>
      </c>
      <c r="J57" s="516" t="str">
        <f t="shared" si="25"/>
        <v>-</v>
      </c>
      <c r="K57" s="200" t="str">
        <f t="shared" si="26"/>
        <v>-</v>
      </c>
      <c r="L57" s="596"/>
      <c r="M57" s="201" t="e">
        <f>RANK(K57, K$47:$K$61)</f>
        <v>#VALUE!</v>
      </c>
      <c r="N57" s="614"/>
      <c r="O57" s="614"/>
      <c r="P57" s="520"/>
      <c r="Q57" s="521"/>
      <c r="R57" s="521"/>
      <c r="S57" s="514" t="e">
        <f t="shared" si="41"/>
        <v>#N/A</v>
      </c>
      <c r="T57" s="638"/>
      <c r="U57" s="520"/>
      <c r="V57" s="521"/>
      <c r="W57" s="521"/>
      <c r="X57" s="514" t="e">
        <f t="shared" si="27"/>
        <v>#N/A</v>
      </c>
      <c r="Y57" s="638"/>
      <c r="Z57" s="520"/>
      <c r="AA57" s="521"/>
      <c r="AB57" s="521"/>
      <c r="AC57" s="514" t="e">
        <f t="shared" si="29"/>
        <v>#N/A</v>
      </c>
      <c r="AD57" s="638"/>
      <c r="AE57" s="520"/>
      <c r="AF57" s="521"/>
      <c r="AG57" s="521"/>
      <c r="AH57" s="514" t="e">
        <f t="shared" si="31"/>
        <v>#N/A</v>
      </c>
      <c r="AI57" s="638"/>
      <c r="AJ57" s="520"/>
      <c r="AK57" s="521"/>
      <c r="AL57" s="521"/>
      <c r="AM57" s="514" t="e">
        <f t="shared" si="33"/>
        <v>#N/A</v>
      </c>
      <c r="AN57" s="638"/>
      <c r="AO57" s="520"/>
      <c r="AP57" s="521"/>
      <c r="AQ57" s="521"/>
      <c r="AR57" s="514" t="e">
        <f t="shared" si="35"/>
        <v>#N/A</v>
      </c>
      <c r="AS57" s="638"/>
      <c r="AT57" s="520"/>
      <c r="AU57" s="521"/>
      <c r="AV57" s="521"/>
      <c r="AW57" s="514" t="e">
        <f t="shared" si="37"/>
        <v>#N/A</v>
      </c>
      <c r="AX57" s="638"/>
      <c r="AZ57" s="524" t="e">
        <f t="shared" si="39"/>
        <v>#N/A</v>
      </c>
      <c r="BA57" s="638"/>
    </row>
    <row r="58" spans="2:53">
      <c r="B58" s="622"/>
      <c r="C58" s="306">
        <v>12</v>
      </c>
      <c r="D58" s="456"/>
      <c r="E58" s="521"/>
      <c r="F58" s="521"/>
      <c r="G58" s="521"/>
      <c r="H58" s="664"/>
      <c r="I58" s="516" t="str">
        <f t="shared" si="24"/>
        <v>-</v>
      </c>
      <c r="J58" s="516" t="str">
        <f t="shared" si="25"/>
        <v>-</v>
      </c>
      <c r="K58" s="200" t="str">
        <f t="shared" si="26"/>
        <v>-</v>
      </c>
      <c r="L58" s="596"/>
      <c r="M58" s="201" t="e">
        <f>RANK(K58, K$47:$K$61)</f>
        <v>#VALUE!</v>
      </c>
      <c r="N58" s="614"/>
      <c r="O58" s="614"/>
      <c r="P58" s="520"/>
      <c r="Q58" s="521"/>
      <c r="R58" s="521"/>
      <c r="S58" s="514" t="e">
        <f t="shared" si="41"/>
        <v>#N/A</v>
      </c>
      <c r="T58" s="638"/>
      <c r="U58" s="520"/>
      <c r="V58" s="521"/>
      <c r="W58" s="521"/>
      <c r="X58" s="514" t="e">
        <f t="shared" si="27"/>
        <v>#N/A</v>
      </c>
      <c r="Y58" s="638"/>
      <c r="Z58" s="520"/>
      <c r="AA58" s="521"/>
      <c r="AB58" s="521"/>
      <c r="AC58" s="514" t="e">
        <f t="shared" si="29"/>
        <v>#N/A</v>
      </c>
      <c r="AD58" s="638"/>
      <c r="AE58" s="520"/>
      <c r="AF58" s="521"/>
      <c r="AG58" s="521"/>
      <c r="AH58" s="514" t="e">
        <f t="shared" si="31"/>
        <v>#N/A</v>
      </c>
      <c r="AI58" s="638"/>
      <c r="AJ58" s="520"/>
      <c r="AK58" s="521"/>
      <c r="AL58" s="521"/>
      <c r="AM58" s="514" t="e">
        <f t="shared" si="33"/>
        <v>#N/A</v>
      </c>
      <c r="AN58" s="638"/>
      <c r="AO58" s="520"/>
      <c r="AP58" s="521"/>
      <c r="AQ58" s="521"/>
      <c r="AR58" s="514" t="e">
        <f t="shared" si="35"/>
        <v>#N/A</v>
      </c>
      <c r="AS58" s="638"/>
      <c r="AT58" s="520"/>
      <c r="AU58" s="521"/>
      <c r="AV58" s="521"/>
      <c r="AW58" s="514" t="e">
        <f t="shared" si="37"/>
        <v>#N/A</v>
      </c>
      <c r="AX58" s="638"/>
      <c r="AZ58" s="524" t="e">
        <f t="shared" si="39"/>
        <v>#N/A</v>
      </c>
      <c r="BA58" s="638"/>
    </row>
    <row r="59" spans="2:53">
      <c r="B59" s="622"/>
      <c r="C59" s="306">
        <v>13</v>
      </c>
      <c r="D59" s="456"/>
      <c r="E59" s="521"/>
      <c r="F59" s="521"/>
      <c r="G59" s="521"/>
      <c r="H59" s="664"/>
      <c r="I59" s="516" t="str">
        <f t="shared" si="24"/>
        <v>-</v>
      </c>
      <c r="J59" s="516" t="str">
        <f t="shared" si="25"/>
        <v>-</v>
      </c>
      <c r="K59" s="200" t="str">
        <f t="shared" si="26"/>
        <v>-</v>
      </c>
      <c r="L59" s="596"/>
      <c r="M59" s="201" t="e">
        <f>RANK(K59, K$47:$K$61)</f>
        <v>#VALUE!</v>
      </c>
      <c r="N59" s="614"/>
      <c r="O59" s="614"/>
      <c r="P59" s="520"/>
      <c r="Q59" s="521"/>
      <c r="R59" s="521"/>
      <c r="S59" s="514" t="e">
        <f t="shared" si="41"/>
        <v>#N/A</v>
      </c>
      <c r="T59" s="638"/>
      <c r="U59" s="520"/>
      <c r="V59" s="521"/>
      <c r="W59" s="521"/>
      <c r="X59" s="514" t="e">
        <f t="shared" si="27"/>
        <v>#N/A</v>
      </c>
      <c r="Y59" s="638"/>
      <c r="Z59" s="520"/>
      <c r="AA59" s="521"/>
      <c r="AB59" s="521"/>
      <c r="AC59" s="514" t="e">
        <f t="shared" si="29"/>
        <v>#N/A</v>
      </c>
      <c r="AD59" s="638"/>
      <c r="AE59" s="520"/>
      <c r="AF59" s="521"/>
      <c r="AG59" s="521"/>
      <c r="AH59" s="514" t="e">
        <f t="shared" si="31"/>
        <v>#N/A</v>
      </c>
      <c r="AI59" s="638"/>
      <c r="AJ59" s="520"/>
      <c r="AK59" s="521"/>
      <c r="AL59" s="521"/>
      <c r="AM59" s="514" t="e">
        <f t="shared" si="33"/>
        <v>#N/A</v>
      </c>
      <c r="AN59" s="638"/>
      <c r="AO59" s="520"/>
      <c r="AP59" s="521"/>
      <c r="AQ59" s="521"/>
      <c r="AR59" s="514" t="e">
        <f t="shared" si="35"/>
        <v>#N/A</v>
      </c>
      <c r="AS59" s="638"/>
      <c r="AT59" s="520"/>
      <c r="AU59" s="521"/>
      <c r="AV59" s="521"/>
      <c r="AW59" s="514" t="e">
        <f t="shared" si="37"/>
        <v>#N/A</v>
      </c>
      <c r="AX59" s="638"/>
      <c r="AZ59" s="524" t="e">
        <f t="shared" si="39"/>
        <v>#N/A</v>
      </c>
      <c r="BA59" s="638"/>
    </row>
    <row r="60" spans="2:53">
      <c r="B60" s="622"/>
      <c r="C60" s="306">
        <v>14</v>
      </c>
      <c r="D60" s="456"/>
      <c r="E60" s="521"/>
      <c r="F60" s="521"/>
      <c r="G60" s="521"/>
      <c r="H60" s="664"/>
      <c r="I60" s="516" t="str">
        <f t="shared" si="24"/>
        <v>-</v>
      </c>
      <c r="J60" s="516" t="str">
        <f t="shared" si="25"/>
        <v>-</v>
      </c>
      <c r="K60" s="200" t="str">
        <f t="shared" si="26"/>
        <v>-</v>
      </c>
      <c r="L60" s="596"/>
      <c r="M60" s="201" t="e">
        <f>RANK(K60, K$47:$K$61)</f>
        <v>#VALUE!</v>
      </c>
      <c r="N60" s="614"/>
      <c r="O60" s="614"/>
      <c r="P60" s="520"/>
      <c r="Q60" s="521"/>
      <c r="R60" s="521"/>
      <c r="S60" s="514" t="e">
        <f t="shared" si="41"/>
        <v>#N/A</v>
      </c>
      <c r="T60" s="638"/>
      <c r="U60" s="520"/>
      <c r="V60" s="521"/>
      <c r="W60" s="521"/>
      <c r="X60" s="514" t="e">
        <f t="shared" si="27"/>
        <v>#N/A</v>
      </c>
      <c r="Y60" s="638"/>
      <c r="Z60" s="520"/>
      <c r="AA60" s="521"/>
      <c r="AB60" s="521"/>
      <c r="AC60" s="514" t="e">
        <f t="shared" si="29"/>
        <v>#N/A</v>
      </c>
      <c r="AD60" s="638"/>
      <c r="AE60" s="520"/>
      <c r="AF60" s="521"/>
      <c r="AG60" s="521"/>
      <c r="AH60" s="514" t="e">
        <f t="shared" si="31"/>
        <v>#N/A</v>
      </c>
      <c r="AI60" s="638"/>
      <c r="AJ60" s="520"/>
      <c r="AK60" s="521"/>
      <c r="AL60" s="521"/>
      <c r="AM60" s="514" t="e">
        <f t="shared" si="33"/>
        <v>#N/A</v>
      </c>
      <c r="AN60" s="638"/>
      <c r="AO60" s="520"/>
      <c r="AP60" s="521"/>
      <c r="AQ60" s="521"/>
      <c r="AR60" s="514" t="e">
        <f t="shared" si="35"/>
        <v>#N/A</v>
      </c>
      <c r="AS60" s="638"/>
      <c r="AT60" s="520"/>
      <c r="AU60" s="521"/>
      <c r="AV60" s="521"/>
      <c r="AW60" s="514" t="e">
        <f t="shared" si="37"/>
        <v>#N/A</v>
      </c>
      <c r="AX60" s="638"/>
      <c r="AZ60" s="524" t="e">
        <f t="shared" si="39"/>
        <v>#N/A</v>
      </c>
      <c r="BA60" s="638"/>
    </row>
    <row r="61" spans="2:53">
      <c r="B61" s="622"/>
      <c r="C61" s="306">
        <v>15</v>
      </c>
      <c r="D61" s="456"/>
      <c r="E61" s="521"/>
      <c r="F61" s="521"/>
      <c r="G61" s="521"/>
      <c r="H61" s="665"/>
      <c r="I61" s="520"/>
      <c r="J61" s="520"/>
      <c r="K61" s="520"/>
      <c r="L61" s="597"/>
      <c r="M61" s="201" t="e">
        <f>RANK(K61, K$47:$K$61)</f>
        <v>#N/A</v>
      </c>
      <c r="N61" s="614"/>
      <c r="O61" s="614"/>
      <c r="P61" s="520"/>
      <c r="Q61" s="521"/>
      <c r="R61" s="521"/>
      <c r="S61" s="514" t="e">
        <f t="shared" si="41"/>
        <v>#N/A</v>
      </c>
      <c r="T61" s="639"/>
      <c r="U61" s="520"/>
      <c r="V61" s="521"/>
      <c r="W61" s="521"/>
      <c r="X61" s="514" t="e">
        <f t="shared" si="27"/>
        <v>#N/A</v>
      </c>
      <c r="Y61" s="639"/>
      <c r="Z61" s="520"/>
      <c r="AA61" s="521"/>
      <c r="AB61" s="521"/>
      <c r="AC61" s="514" t="e">
        <f t="shared" si="29"/>
        <v>#N/A</v>
      </c>
      <c r="AD61" s="639"/>
      <c r="AE61" s="520"/>
      <c r="AF61" s="521"/>
      <c r="AG61" s="521"/>
      <c r="AH61" s="514" t="e">
        <f t="shared" si="31"/>
        <v>#N/A</v>
      </c>
      <c r="AI61" s="639"/>
      <c r="AJ61" s="520"/>
      <c r="AK61" s="521"/>
      <c r="AL61" s="521"/>
      <c r="AM61" s="514" t="e">
        <f t="shared" si="33"/>
        <v>#N/A</v>
      </c>
      <c r="AN61" s="639"/>
      <c r="AO61" s="520"/>
      <c r="AP61" s="521"/>
      <c r="AQ61" s="521"/>
      <c r="AR61" s="514" t="e">
        <f t="shared" si="35"/>
        <v>#N/A</v>
      </c>
      <c r="AS61" s="639"/>
      <c r="AT61" s="520"/>
      <c r="AU61" s="521"/>
      <c r="AV61" s="521"/>
      <c r="AW61" s="514" t="e">
        <f t="shared" si="37"/>
        <v>#N/A</v>
      </c>
      <c r="AX61" s="639"/>
      <c r="AZ61" s="524" t="e">
        <f t="shared" si="39"/>
        <v>#N/A</v>
      </c>
      <c r="BA61" s="639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398</v>
      </c>
      <c r="C64" s="614" t="s">
        <v>408</v>
      </c>
      <c r="D64" s="614"/>
      <c r="E64" s="614" t="s">
        <v>399</v>
      </c>
      <c r="F64" s="614"/>
      <c r="G64" s="614"/>
      <c r="H64" s="630" t="s">
        <v>395</v>
      </c>
      <c r="I64" s="598" t="s">
        <v>400</v>
      </c>
      <c r="J64" s="598"/>
      <c r="K64" s="598"/>
      <c r="L64" s="599" t="s">
        <v>395</v>
      </c>
      <c r="M64" s="605" t="s">
        <v>396</v>
      </c>
      <c r="N64" s="614"/>
      <c r="O64" s="614" t="s">
        <v>401</v>
      </c>
      <c r="P64" s="611" t="s">
        <v>397</v>
      </c>
      <c r="Q64" s="612"/>
      <c r="R64" s="612"/>
      <c r="S64" s="613"/>
      <c r="T64" s="614" t="s">
        <v>395</v>
      </c>
      <c r="U64" s="611" t="s">
        <v>397</v>
      </c>
      <c r="V64" s="612"/>
      <c r="W64" s="612"/>
      <c r="X64" s="613"/>
      <c r="Y64" s="614" t="s">
        <v>395</v>
      </c>
      <c r="Z64" s="611" t="s">
        <v>397</v>
      </c>
      <c r="AA64" s="612"/>
      <c r="AB64" s="612"/>
      <c r="AC64" s="613"/>
      <c r="AD64" s="614" t="s">
        <v>395</v>
      </c>
      <c r="AE64" s="611" t="s">
        <v>397</v>
      </c>
      <c r="AF64" s="612"/>
      <c r="AG64" s="612"/>
      <c r="AH64" s="613"/>
      <c r="AI64" s="614" t="s">
        <v>395</v>
      </c>
      <c r="AJ64" s="611" t="s">
        <v>397</v>
      </c>
      <c r="AK64" s="612"/>
      <c r="AL64" s="612"/>
      <c r="AM64" s="613"/>
      <c r="AN64" s="614" t="s">
        <v>395</v>
      </c>
      <c r="AO64" s="611" t="s">
        <v>397</v>
      </c>
      <c r="AP64" s="612"/>
      <c r="AQ64" s="612"/>
      <c r="AR64" s="613"/>
      <c r="AS64" s="614" t="s">
        <v>395</v>
      </c>
      <c r="AT64" s="611" t="s">
        <v>397</v>
      </c>
      <c r="AU64" s="612"/>
      <c r="AV64" s="612"/>
      <c r="AW64" s="613"/>
      <c r="AX64" s="614" t="s">
        <v>395</v>
      </c>
      <c r="BA64" s="614" t="s">
        <v>395</v>
      </c>
    </row>
    <row r="65" spans="2:53">
      <c r="B65" s="614"/>
      <c r="C65" s="614"/>
      <c r="D65" s="614"/>
      <c r="E65" s="614" t="s">
        <v>402</v>
      </c>
      <c r="F65" s="614"/>
      <c r="G65" s="614"/>
      <c r="H65" s="631"/>
      <c r="I65" s="598" t="s">
        <v>402</v>
      </c>
      <c r="J65" s="598"/>
      <c r="K65" s="598"/>
      <c r="L65" s="600"/>
      <c r="M65" s="606"/>
      <c r="N65" s="614"/>
      <c r="O65" s="614"/>
      <c r="P65" s="611" t="s">
        <v>403</v>
      </c>
      <c r="Q65" s="612"/>
      <c r="R65" s="612"/>
      <c r="S65" s="613"/>
      <c r="T65" s="614"/>
      <c r="U65" s="611" t="s">
        <v>403</v>
      </c>
      <c r="V65" s="612"/>
      <c r="W65" s="612"/>
      <c r="X65" s="613"/>
      <c r="Y65" s="614"/>
      <c r="Z65" s="611" t="s">
        <v>403</v>
      </c>
      <c r="AA65" s="612"/>
      <c r="AB65" s="612"/>
      <c r="AC65" s="613"/>
      <c r="AD65" s="614"/>
      <c r="AE65" s="611" t="s">
        <v>403</v>
      </c>
      <c r="AF65" s="612"/>
      <c r="AG65" s="612"/>
      <c r="AH65" s="613"/>
      <c r="AI65" s="614"/>
      <c r="AJ65" s="611" t="s">
        <v>403</v>
      </c>
      <c r="AK65" s="612"/>
      <c r="AL65" s="612"/>
      <c r="AM65" s="613"/>
      <c r="AN65" s="614"/>
      <c r="AO65" s="611" t="s">
        <v>403</v>
      </c>
      <c r="AP65" s="612"/>
      <c r="AQ65" s="612"/>
      <c r="AR65" s="613"/>
      <c r="AS65" s="614"/>
      <c r="AT65" s="611" t="s">
        <v>403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404</v>
      </c>
      <c r="F66" s="305" t="s">
        <v>405</v>
      </c>
      <c r="G66" s="305" t="s">
        <v>406</v>
      </c>
      <c r="H66" s="632"/>
      <c r="I66" s="304" t="s">
        <v>404</v>
      </c>
      <c r="J66" s="304" t="s">
        <v>405</v>
      </c>
      <c r="K66" s="304" t="s">
        <v>406</v>
      </c>
      <c r="L66" s="601"/>
      <c r="M66" s="607"/>
      <c r="N66" s="614"/>
      <c r="O66" s="614"/>
      <c r="P66" s="305" t="s">
        <v>404</v>
      </c>
      <c r="Q66" s="305" t="s">
        <v>405</v>
      </c>
      <c r="R66" s="305" t="s">
        <v>406</v>
      </c>
      <c r="S66" s="305" t="s">
        <v>396</v>
      </c>
      <c r="T66" s="614"/>
      <c r="U66" s="305" t="s">
        <v>404</v>
      </c>
      <c r="V66" s="305" t="s">
        <v>405</v>
      </c>
      <c r="W66" s="305" t="s">
        <v>406</v>
      </c>
      <c r="X66" s="305" t="s">
        <v>396</v>
      </c>
      <c r="Y66" s="614"/>
      <c r="Z66" s="305" t="s">
        <v>404</v>
      </c>
      <c r="AA66" s="305" t="s">
        <v>405</v>
      </c>
      <c r="AB66" s="305" t="s">
        <v>406</v>
      </c>
      <c r="AC66" s="305" t="s">
        <v>396</v>
      </c>
      <c r="AD66" s="614"/>
      <c r="AE66" s="305" t="s">
        <v>404</v>
      </c>
      <c r="AF66" s="305" t="s">
        <v>405</v>
      </c>
      <c r="AG66" s="305" t="s">
        <v>406</v>
      </c>
      <c r="AH66" s="305" t="s">
        <v>396</v>
      </c>
      <c r="AI66" s="614"/>
      <c r="AJ66" s="305" t="s">
        <v>404</v>
      </c>
      <c r="AK66" s="305" t="s">
        <v>405</v>
      </c>
      <c r="AL66" s="305" t="s">
        <v>406</v>
      </c>
      <c r="AM66" s="305" t="s">
        <v>396</v>
      </c>
      <c r="AN66" s="614"/>
      <c r="AO66" s="305" t="s">
        <v>404</v>
      </c>
      <c r="AP66" s="305" t="s">
        <v>405</v>
      </c>
      <c r="AQ66" s="305" t="s">
        <v>406</v>
      </c>
      <c r="AR66" s="305" t="s">
        <v>396</v>
      </c>
      <c r="AS66" s="614"/>
      <c r="AT66" s="305" t="s">
        <v>404</v>
      </c>
      <c r="AU66" s="305" t="s">
        <v>405</v>
      </c>
      <c r="AV66" s="305" t="s">
        <v>406</v>
      </c>
      <c r="AW66" s="305" t="s">
        <v>396</v>
      </c>
      <c r="AX66" s="614"/>
      <c r="AZ66" s="523" t="s">
        <v>396</v>
      </c>
      <c r="BA66" s="614"/>
    </row>
    <row r="67" spans="2:53">
      <c r="B67" s="614" t="s">
        <v>410</v>
      </c>
      <c r="C67" s="306">
        <v>1</v>
      </c>
      <c r="D67" s="226"/>
      <c r="E67" s="182"/>
      <c r="F67" s="514"/>
      <c r="G67" s="515"/>
      <c r="H67" s="663" t="e">
        <f>AVERAGE(G67:G81)</f>
        <v>#DIV/0!</v>
      </c>
      <c r="I67" s="516" t="str">
        <f t="shared" ref="I67:I80" si="42">IFERROR(AVERAGE(P67,U67,Z67,AE67,AJ67,AO67,AT67),"-")</f>
        <v>-</v>
      </c>
      <c r="J67" s="516" t="str">
        <f t="shared" ref="J67:J80" si="43">IFERROR(AVERAGE(Q67,V67,AA67,AF67,AK67,AP67,AU67),"-")</f>
        <v>-</v>
      </c>
      <c r="K67" s="200" t="str">
        <f t="shared" ref="K67:K80" si="44">IFERROR(AVERAGE(R67,W67,AB67,AG67,AL67,AQ67,AV67),"-")</f>
        <v>-</v>
      </c>
      <c r="L67" s="595" t="str">
        <f>IFERROR(AVERAGE(K67:K81),"-")</f>
        <v>-</v>
      </c>
      <c r="M67" s="201" t="e">
        <f>RANK(K67, K$67:$K$81)</f>
        <v>#VALUE!</v>
      </c>
      <c r="N67" s="614"/>
      <c r="O67" s="614"/>
      <c r="P67" s="520"/>
      <c r="Q67" s="521"/>
      <c r="R67" s="521"/>
      <c r="S67" s="514" t="e">
        <f>RANK(R67, R$67:R$81)</f>
        <v>#N/A</v>
      </c>
      <c r="T67" s="637" t="e">
        <f>AVERAGE(R67:R81)</f>
        <v>#DIV/0!</v>
      </c>
      <c r="U67" s="520"/>
      <c r="V67" s="521"/>
      <c r="W67" s="521"/>
      <c r="X67" s="514" t="e">
        <f t="shared" ref="X67:X81" si="45">RANK(W67, W$67:W$81)</f>
        <v>#N/A</v>
      </c>
      <c r="Y67" s="637" t="e">
        <f t="shared" ref="Y67" si="46">AVERAGE(W67:W81)</f>
        <v>#DIV/0!</v>
      </c>
      <c r="Z67" s="520"/>
      <c r="AA67" s="521"/>
      <c r="AB67" s="521"/>
      <c r="AC67" s="514" t="e">
        <f t="shared" ref="AC67:AC81" si="47">RANK(AB67, AB$67:AB$81)</f>
        <v>#N/A</v>
      </c>
      <c r="AD67" s="637" t="e">
        <f t="shared" ref="AD67" si="48">AVERAGE(AB67:AB81)</f>
        <v>#DIV/0!</v>
      </c>
      <c r="AE67" s="520"/>
      <c r="AF67" s="521"/>
      <c r="AG67" s="521"/>
      <c r="AH67" s="514" t="e">
        <f t="shared" ref="AH67:AH81" si="49">RANK(AG67, AG$67:AG$81)</f>
        <v>#N/A</v>
      </c>
      <c r="AI67" s="637" t="e">
        <f t="shared" ref="AI67" si="50">AVERAGE(AG67:AG81)</f>
        <v>#DIV/0!</v>
      </c>
      <c r="AJ67" s="520"/>
      <c r="AK67" s="521"/>
      <c r="AL67" s="521"/>
      <c r="AM67" s="514" t="e">
        <f t="shared" ref="AM67:AM81" si="51">RANK(AL67, AL$67:AL$81)</f>
        <v>#N/A</v>
      </c>
      <c r="AN67" s="637" t="e">
        <f t="shared" ref="AN67" si="52">AVERAGE(AL67:AL81)</f>
        <v>#DIV/0!</v>
      </c>
      <c r="AO67" s="520"/>
      <c r="AP67" s="521"/>
      <c r="AQ67" s="521"/>
      <c r="AR67" s="514" t="e">
        <f t="shared" ref="AR67:AR81" si="53">RANK(AQ67, AQ$67:AQ$81)</f>
        <v>#N/A</v>
      </c>
      <c r="AS67" s="637" t="e">
        <f t="shared" ref="AS67" si="54">AVERAGE(AQ67:AQ81)</f>
        <v>#DIV/0!</v>
      </c>
      <c r="AT67" s="520"/>
      <c r="AU67" s="521"/>
      <c r="AV67" s="521"/>
      <c r="AW67" s="514" t="e">
        <f t="shared" ref="AW67:AW81" si="55">RANK(AV67, AV$67:AV$81)</f>
        <v>#N/A</v>
      </c>
      <c r="AX67" s="637" t="e">
        <f t="shared" ref="AX67" si="56">AVERAGE(AV67:AV81)</f>
        <v>#DIV/0!</v>
      </c>
      <c r="AZ67" s="524" t="e">
        <f t="shared" ref="AZ67:AZ81" si="57">RANK(AY67, AY$67:AY$81)</f>
        <v>#N/A</v>
      </c>
      <c r="BA67" s="637" t="e">
        <f t="shared" ref="BA67" si="58">AVERAGE(AY67:AY81)</f>
        <v>#DIV/0!</v>
      </c>
    </row>
    <row r="68" spans="2:53">
      <c r="B68" s="622"/>
      <c r="C68" s="306">
        <v>2</v>
      </c>
      <c r="D68" s="226"/>
      <c r="E68" s="182"/>
      <c r="F68" s="514"/>
      <c r="G68" s="515"/>
      <c r="H68" s="664"/>
      <c r="I68" s="516" t="str">
        <f t="shared" si="42"/>
        <v>-</v>
      </c>
      <c r="J68" s="516" t="str">
        <f t="shared" si="43"/>
        <v>-</v>
      </c>
      <c r="K68" s="200" t="str">
        <f t="shared" si="44"/>
        <v>-</v>
      </c>
      <c r="L68" s="596"/>
      <c r="M68" s="201" t="e">
        <f>RANK(K68, K$67:$K$81)</f>
        <v>#VALUE!</v>
      </c>
      <c r="N68" s="614"/>
      <c r="O68" s="614"/>
      <c r="P68" s="520"/>
      <c r="Q68" s="521"/>
      <c r="R68" s="521"/>
      <c r="S68" s="514" t="e">
        <f t="shared" ref="S68:S81" si="59">RANK(R68, R$67:R$81)</f>
        <v>#N/A</v>
      </c>
      <c r="T68" s="638"/>
      <c r="U68" s="520"/>
      <c r="V68" s="521"/>
      <c r="W68" s="521"/>
      <c r="X68" s="514" t="e">
        <f t="shared" si="45"/>
        <v>#N/A</v>
      </c>
      <c r="Y68" s="638"/>
      <c r="Z68" s="520"/>
      <c r="AA68" s="521"/>
      <c r="AB68" s="521"/>
      <c r="AC68" s="514" t="e">
        <f t="shared" si="47"/>
        <v>#N/A</v>
      </c>
      <c r="AD68" s="638"/>
      <c r="AE68" s="520"/>
      <c r="AF68" s="521"/>
      <c r="AG68" s="521"/>
      <c r="AH68" s="514" t="e">
        <f t="shared" si="49"/>
        <v>#N/A</v>
      </c>
      <c r="AI68" s="638"/>
      <c r="AJ68" s="520"/>
      <c r="AK68" s="521"/>
      <c r="AL68" s="521"/>
      <c r="AM68" s="514" t="e">
        <f t="shared" si="51"/>
        <v>#N/A</v>
      </c>
      <c r="AN68" s="638"/>
      <c r="AO68" s="520"/>
      <c r="AP68" s="521"/>
      <c r="AQ68" s="521"/>
      <c r="AR68" s="514" t="e">
        <f t="shared" si="53"/>
        <v>#N/A</v>
      </c>
      <c r="AS68" s="638"/>
      <c r="AT68" s="520"/>
      <c r="AU68" s="521"/>
      <c r="AV68" s="521"/>
      <c r="AW68" s="514" t="e">
        <f t="shared" si="55"/>
        <v>#N/A</v>
      </c>
      <c r="AX68" s="638"/>
      <c r="AZ68" s="524" t="e">
        <f t="shared" si="57"/>
        <v>#N/A</v>
      </c>
      <c r="BA68" s="638"/>
    </row>
    <row r="69" spans="2:53">
      <c r="B69" s="622"/>
      <c r="C69" s="306">
        <v>3</v>
      </c>
      <c r="D69" s="226"/>
      <c r="E69" s="182"/>
      <c r="F69" s="514"/>
      <c r="G69" s="515"/>
      <c r="H69" s="664"/>
      <c r="I69" s="516" t="str">
        <f t="shared" si="42"/>
        <v>-</v>
      </c>
      <c r="J69" s="516" t="str">
        <f t="shared" si="43"/>
        <v>-</v>
      </c>
      <c r="K69" s="200" t="str">
        <f t="shared" si="44"/>
        <v>-</v>
      </c>
      <c r="L69" s="596"/>
      <c r="M69" s="201" t="e">
        <f>RANK(K69, K$67:$K$81)</f>
        <v>#VALUE!</v>
      </c>
      <c r="N69" s="614"/>
      <c r="O69" s="614"/>
      <c r="P69" s="520"/>
      <c r="Q69" s="521"/>
      <c r="R69" s="521"/>
      <c r="S69" s="514" t="e">
        <f t="shared" si="59"/>
        <v>#N/A</v>
      </c>
      <c r="T69" s="638"/>
      <c r="U69" s="520"/>
      <c r="V69" s="521"/>
      <c r="W69" s="521"/>
      <c r="X69" s="514" t="e">
        <f t="shared" si="45"/>
        <v>#N/A</v>
      </c>
      <c r="Y69" s="638"/>
      <c r="Z69" s="520"/>
      <c r="AA69" s="521"/>
      <c r="AB69" s="521"/>
      <c r="AC69" s="514" t="e">
        <f t="shared" si="47"/>
        <v>#N/A</v>
      </c>
      <c r="AD69" s="638"/>
      <c r="AE69" s="520"/>
      <c r="AF69" s="521"/>
      <c r="AG69" s="521"/>
      <c r="AH69" s="514" t="e">
        <f t="shared" si="49"/>
        <v>#N/A</v>
      </c>
      <c r="AI69" s="638"/>
      <c r="AJ69" s="520"/>
      <c r="AK69" s="521"/>
      <c r="AL69" s="521"/>
      <c r="AM69" s="514" t="e">
        <f t="shared" si="51"/>
        <v>#N/A</v>
      </c>
      <c r="AN69" s="638"/>
      <c r="AO69" s="520"/>
      <c r="AP69" s="521"/>
      <c r="AQ69" s="521"/>
      <c r="AR69" s="514" t="e">
        <f t="shared" si="53"/>
        <v>#N/A</v>
      </c>
      <c r="AS69" s="638"/>
      <c r="AT69" s="520"/>
      <c r="AU69" s="521"/>
      <c r="AV69" s="521"/>
      <c r="AW69" s="514" t="e">
        <f t="shared" si="55"/>
        <v>#N/A</v>
      </c>
      <c r="AX69" s="638"/>
      <c r="AZ69" s="524" t="e">
        <f t="shared" si="57"/>
        <v>#N/A</v>
      </c>
      <c r="BA69" s="638"/>
    </row>
    <row r="70" spans="2:53">
      <c r="B70" s="622"/>
      <c r="C70" s="306">
        <v>4</v>
      </c>
      <c r="D70" s="226"/>
      <c r="E70" s="182"/>
      <c r="F70" s="514"/>
      <c r="G70" s="515"/>
      <c r="H70" s="664"/>
      <c r="I70" s="516" t="str">
        <f t="shared" si="42"/>
        <v>-</v>
      </c>
      <c r="J70" s="516" t="str">
        <f t="shared" si="43"/>
        <v>-</v>
      </c>
      <c r="K70" s="200" t="str">
        <f t="shared" si="44"/>
        <v>-</v>
      </c>
      <c r="L70" s="596"/>
      <c r="M70" s="201" t="e">
        <f>RANK(K70, K$67:$K$81)</f>
        <v>#VALUE!</v>
      </c>
      <c r="N70" s="614"/>
      <c r="O70" s="614"/>
      <c r="P70" s="520"/>
      <c r="Q70" s="521"/>
      <c r="R70" s="521"/>
      <c r="S70" s="514" t="e">
        <f t="shared" si="59"/>
        <v>#N/A</v>
      </c>
      <c r="T70" s="638"/>
      <c r="U70" s="520"/>
      <c r="V70" s="521"/>
      <c r="W70" s="521"/>
      <c r="X70" s="514" t="e">
        <f t="shared" si="45"/>
        <v>#N/A</v>
      </c>
      <c r="Y70" s="638"/>
      <c r="Z70" s="520"/>
      <c r="AA70" s="521"/>
      <c r="AB70" s="521"/>
      <c r="AC70" s="514" t="e">
        <f t="shared" si="47"/>
        <v>#N/A</v>
      </c>
      <c r="AD70" s="638"/>
      <c r="AE70" s="520"/>
      <c r="AF70" s="521"/>
      <c r="AG70" s="521"/>
      <c r="AH70" s="514" t="e">
        <f t="shared" si="49"/>
        <v>#N/A</v>
      </c>
      <c r="AI70" s="638"/>
      <c r="AJ70" s="520"/>
      <c r="AK70" s="521"/>
      <c r="AL70" s="521"/>
      <c r="AM70" s="514" t="e">
        <f t="shared" si="51"/>
        <v>#N/A</v>
      </c>
      <c r="AN70" s="638"/>
      <c r="AO70" s="520"/>
      <c r="AP70" s="521"/>
      <c r="AQ70" s="521"/>
      <c r="AR70" s="514" t="e">
        <f t="shared" si="53"/>
        <v>#N/A</v>
      </c>
      <c r="AS70" s="638"/>
      <c r="AT70" s="520"/>
      <c r="AU70" s="521"/>
      <c r="AV70" s="521"/>
      <c r="AW70" s="514" t="e">
        <f t="shared" si="55"/>
        <v>#N/A</v>
      </c>
      <c r="AX70" s="638"/>
      <c r="AZ70" s="524" t="e">
        <f t="shared" si="57"/>
        <v>#N/A</v>
      </c>
      <c r="BA70" s="638"/>
    </row>
    <row r="71" spans="2:53">
      <c r="B71" s="622"/>
      <c r="C71" s="306">
        <v>5</v>
      </c>
      <c r="D71" s="226"/>
      <c r="E71" s="182"/>
      <c r="F71" s="514"/>
      <c r="G71" s="515"/>
      <c r="H71" s="664"/>
      <c r="I71" s="516" t="str">
        <f t="shared" si="42"/>
        <v>-</v>
      </c>
      <c r="J71" s="516" t="str">
        <f t="shared" si="43"/>
        <v>-</v>
      </c>
      <c r="K71" s="200" t="str">
        <f t="shared" si="44"/>
        <v>-</v>
      </c>
      <c r="L71" s="596"/>
      <c r="M71" s="201" t="e">
        <f>RANK(K71, K$67:$K$81)</f>
        <v>#VALUE!</v>
      </c>
      <c r="N71" s="614"/>
      <c r="O71" s="614"/>
      <c r="P71" s="520"/>
      <c r="Q71" s="521"/>
      <c r="R71" s="521"/>
      <c r="S71" s="514" t="e">
        <f t="shared" si="59"/>
        <v>#N/A</v>
      </c>
      <c r="T71" s="638"/>
      <c r="U71" s="520"/>
      <c r="V71" s="521"/>
      <c r="W71" s="521"/>
      <c r="X71" s="514" t="e">
        <f t="shared" si="45"/>
        <v>#N/A</v>
      </c>
      <c r="Y71" s="638"/>
      <c r="Z71" s="520"/>
      <c r="AA71" s="521"/>
      <c r="AB71" s="521"/>
      <c r="AC71" s="514" t="e">
        <f t="shared" si="47"/>
        <v>#N/A</v>
      </c>
      <c r="AD71" s="638"/>
      <c r="AE71" s="520"/>
      <c r="AF71" s="521"/>
      <c r="AG71" s="521"/>
      <c r="AH71" s="514" t="e">
        <f t="shared" si="49"/>
        <v>#N/A</v>
      </c>
      <c r="AI71" s="638"/>
      <c r="AJ71" s="520"/>
      <c r="AK71" s="521"/>
      <c r="AL71" s="521"/>
      <c r="AM71" s="514" t="e">
        <f t="shared" si="51"/>
        <v>#N/A</v>
      </c>
      <c r="AN71" s="638"/>
      <c r="AO71" s="520"/>
      <c r="AP71" s="521"/>
      <c r="AQ71" s="521"/>
      <c r="AR71" s="514" t="e">
        <f t="shared" si="53"/>
        <v>#N/A</v>
      </c>
      <c r="AS71" s="638"/>
      <c r="AT71" s="520"/>
      <c r="AU71" s="521"/>
      <c r="AV71" s="521"/>
      <c r="AW71" s="514" t="e">
        <f t="shared" si="55"/>
        <v>#N/A</v>
      </c>
      <c r="AX71" s="638"/>
      <c r="AZ71" s="524" t="e">
        <f t="shared" si="57"/>
        <v>#N/A</v>
      </c>
      <c r="BA71" s="638"/>
    </row>
    <row r="72" spans="2:53">
      <c r="B72" s="622"/>
      <c r="C72" s="306">
        <v>6</v>
      </c>
      <c r="D72" s="226"/>
      <c r="E72" s="182"/>
      <c r="F72" s="514"/>
      <c r="G72" s="515"/>
      <c r="H72" s="664"/>
      <c r="I72" s="516" t="str">
        <f t="shared" si="42"/>
        <v>-</v>
      </c>
      <c r="J72" s="516" t="str">
        <f t="shared" si="43"/>
        <v>-</v>
      </c>
      <c r="K72" s="200" t="str">
        <f t="shared" si="44"/>
        <v>-</v>
      </c>
      <c r="L72" s="596"/>
      <c r="M72" s="201" t="e">
        <f>RANK(K72, K$67:$K$81)</f>
        <v>#VALUE!</v>
      </c>
      <c r="N72" s="614"/>
      <c r="O72" s="614"/>
      <c r="P72" s="520"/>
      <c r="Q72" s="521"/>
      <c r="R72" s="521"/>
      <c r="S72" s="514" t="e">
        <f t="shared" si="59"/>
        <v>#N/A</v>
      </c>
      <c r="T72" s="638"/>
      <c r="U72" s="520"/>
      <c r="V72" s="521"/>
      <c r="W72" s="521"/>
      <c r="X72" s="514" t="e">
        <f t="shared" si="45"/>
        <v>#N/A</v>
      </c>
      <c r="Y72" s="638"/>
      <c r="Z72" s="520"/>
      <c r="AA72" s="521"/>
      <c r="AB72" s="521"/>
      <c r="AC72" s="514" t="e">
        <f t="shared" si="47"/>
        <v>#N/A</v>
      </c>
      <c r="AD72" s="638"/>
      <c r="AE72" s="520"/>
      <c r="AF72" s="521"/>
      <c r="AG72" s="521"/>
      <c r="AH72" s="514" t="e">
        <f t="shared" si="49"/>
        <v>#N/A</v>
      </c>
      <c r="AI72" s="638"/>
      <c r="AJ72" s="520"/>
      <c r="AK72" s="521"/>
      <c r="AL72" s="521"/>
      <c r="AM72" s="514" t="e">
        <f t="shared" si="51"/>
        <v>#N/A</v>
      </c>
      <c r="AN72" s="638"/>
      <c r="AO72" s="520"/>
      <c r="AP72" s="521"/>
      <c r="AQ72" s="521"/>
      <c r="AR72" s="514" t="e">
        <f t="shared" si="53"/>
        <v>#N/A</v>
      </c>
      <c r="AS72" s="638"/>
      <c r="AT72" s="520"/>
      <c r="AU72" s="521"/>
      <c r="AV72" s="521"/>
      <c r="AW72" s="514" t="e">
        <f t="shared" si="55"/>
        <v>#N/A</v>
      </c>
      <c r="AX72" s="638"/>
      <c r="AZ72" s="524" t="e">
        <f t="shared" si="57"/>
        <v>#N/A</v>
      </c>
      <c r="BA72" s="638"/>
    </row>
    <row r="73" spans="2:53">
      <c r="B73" s="622"/>
      <c r="C73" s="306">
        <v>7</v>
      </c>
      <c r="D73" s="456"/>
      <c r="E73" s="521"/>
      <c r="F73" s="521"/>
      <c r="G73" s="521"/>
      <c r="H73" s="664"/>
      <c r="I73" s="516" t="str">
        <f t="shared" si="42"/>
        <v>-</v>
      </c>
      <c r="J73" s="516" t="str">
        <f t="shared" si="43"/>
        <v>-</v>
      </c>
      <c r="K73" s="200" t="str">
        <f t="shared" si="44"/>
        <v>-</v>
      </c>
      <c r="L73" s="596"/>
      <c r="M73" s="201" t="e">
        <f>RANK(K73, K$67:$K$81)</f>
        <v>#VALUE!</v>
      </c>
      <c r="N73" s="614"/>
      <c r="O73" s="614"/>
      <c r="P73" s="520"/>
      <c r="Q73" s="521"/>
      <c r="R73" s="521"/>
      <c r="S73" s="514" t="e">
        <f t="shared" si="59"/>
        <v>#N/A</v>
      </c>
      <c r="T73" s="638"/>
      <c r="U73" s="520"/>
      <c r="V73" s="521"/>
      <c r="W73" s="521"/>
      <c r="X73" s="514" t="e">
        <f t="shared" si="45"/>
        <v>#N/A</v>
      </c>
      <c r="Y73" s="638"/>
      <c r="Z73" s="520"/>
      <c r="AA73" s="521"/>
      <c r="AB73" s="521"/>
      <c r="AC73" s="514" t="e">
        <f t="shared" si="47"/>
        <v>#N/A</v>
      </c>
      <c r="AD73" s="638"/>
      <c r="AE73" s="520"/>
      <c r="AF73" s="521"/>
      <c r="AG73" s="521"/>
      <c r="AH73" s="514" t="e">
        <f t="shared" si="49"/>
        <v>#N/A</v>
      </c>
      <c r="AI73" s="638"/>
      <c r="AJ73" s="520"/>
      <c r="AK73" s="521"/>
      <c r="AL73" s="521"/>
      <c r="AM73" s="514" t="e">
        <f t="shared" si="51"/>
        <v>#N/A</v>
      </c>
      <c r="AN73" s="638"/>
      <c r="AO73" s="520"/>
      <c r="AP73" s="521"/>
      <c r="AQ73" s="521"/>
      <c r="AR73" s="514" t="e">
        <f t="shared" si="53"/>
        <v>#N/A</v>
      </c>
      <c r="AS73" s="638"/>
      <c r="AT73" s="520"/>
      <c r="AU73" s="521"/>
      <c r="AV73" s="521"/>
      <c r="AW73" s="514" t="e">
        <f t="shared" si="55"/>
        <v>#N/A</v>
      </c>
      <c r="AX73" s="638"/>
      <c r="AZ73" s="524" t="e">
        <f t="shared" si="57"/>
        <v>#N/A</v>
      </c>
      <c r="BA73" s="638"/>
    </row>
    <row r="74" spans="2:53">
      <c r="B74" s="622"/>
      <c r="C74" s="306">
        <v>8</v>
      </c>
      <c r="D74" s="456"/>
      <c r="E74" s="521"/>
      <c r="F74" s="521"/>
      <c r="G74" s="521"/>
      <c r="H74" s="664"/>
      <c r="I74" s="516" t="str">
        <f t="shared" si="42"/>
        <v>-</v>
      </c>
      <c r="J74" s="516" t="str">
        <f t="shared" si="43"/>
        <v>-</v>
      </c>
      <c r="K74" s="200" t="str">
        <f t="shared" si="44"/>
        <v>-</v>
      </c>
      <c r="L74" s="596"/>
      <c r="M74" s="201" t="e">
        <f>RANK(K74, K$67:$K$81)</f>
        <v>#VALUE!</v>
      </c>
      <c r="N74" s="614"/>
      <c r="O74" s="614"/>
      <c r="P74" s="520"/>
      <c r="Q74" s="521"/>
      <c r="R74" s="521"/>
      <c r="S74" s="514" t="e">
        <f t="shared" si="59"/>
        <v>#N/A</v>
      </c>
      <c r="T74" s="638"/>
      <c r="U74" s="520"/>
      <c r="V74" s="521"/>
      <c r="W74" s="521"/>
      <c r="X74" s="514" t="e">
        <f t="shared" si="45"/>
        <v>#N/A</v>
      </c>
      <c r="Y74" s="638"/>
      <c r="Z74" s="520"/>
      <c r="AA74" s="521"/>
      <c r="AB74" s="521"/>
      <c r="AC74" s="514" t="e">
        <f t="shared" si="47"/>
        <v>#N/A</v>
      </c>
      <c r="AD74" s="638"/>
      <c r="AE74" s="520"/>
      <c r="AF74" s="521"/>
      <c r="AG74" s="521"/>
      <c r="AH74" s="514" t="e">
        <f t="shared" si="49"/>
        <v>#N/A</v>
      </c>
      <c r="AI74" s="638"/>
      <c r="AJ74" s="520"/>
      <c r="AK74" s="521"/>
      <c r="AL74" s="521"/>
      <c r="AM74" s="514" t="e">
        <f t="shared" si="51"/>
        <v>#N/A</v>
      </c>
      <c r="AN74" s="638"/>
      <c r="AO74" s="520"/>
      <c r="AP74" s="521"/>
      <c r="AQ74" s="521"/>
      <c r="AR74" s="514" t="e">
        <f t="shared" si="53"/>
        <v>#N/A</v>
      </c>
      <c r="AS74" s="638"/>
      <c r="AT74" s="520"/>
      <c r="AU74" s="521"/>
      <c r="AV74" s="521"/>
      <c r="AW74" s="514" t="e">
        <f t="shared" si="55"/>
        <v>#N/A</v>
      </c>
      <c r="AX74" s="638"/>
      <c r="AZ74" s="524" t="e">
        <f t="shared" si="57"/>
        <v>#N/A</v>
      </c>
      <c r="BA74" s="638"/>
    </row>
    <row r="75" spans="2:53">
      <c r="B75" s="622"/>
      <c r="C75" s="306">
        <v>9</v>
      </c>
      <c r="D75" s="456"/>
      <c r="E75" s="521"/>
      <c r="F75" s="521"/>
      <c r="G75" s="521"/>
      <c r="H75" s="664"/>
      <c r="I75" s="516" t="str">
        <f t="shared" si="42"/>
        <v>-</v>
      </c>
      <c r="J75" s="516" t="str">
        <f t="shared" si="43"/>
        <v>-</v>
      </c>
      <c r="K75" s="200" t="str">
        <f t="shared" si="44"/>
        <v>-</v>
      </c>
      <c r="L75" s="596"/>
      <c r="M75" s="201" t="e">
        <f>RANK(K75, K$67:$K$81)</f>
        <v>#VALUE!</v>
      </c>
      <c r="N75" s="614"/>
      <c r="O75" s="614"/>
      <c r="P75" s="520"/>
      <c r="Q75" s="521"/>
      <c r="R75" s="521"/>
      <c r="S75" s="514" t="e">
        <f t="shared" si="59"/>
        <v>#N/A</v>
      </c>
      <c r="T75" s="638"/>
      <c r="U75" s="520"/>
      <c r="V75" s="521"/>
      <c r="W75" s="521"/>
      <c r="X75" s="514" t="e">
        <f t="shared" si="45"/>
        <v>#N/A</v>
      </c>
      <c r="Y75" s="638"/>
      <c r="Z75" s="520"/>
      <c r="AA75" s="521"/>
      <c r="AB75" s="521"/>
      <c r="AC75" s="514" t="e">
        <f t="shared" si="47"/>
        <v>#N/A</v>
      </c>
      <c r="AD75" s="638"/>
      <c r="AE75" s="520"/>
      <c r="AF75" s="521"/>
      <c r="AG75" s="521"/>
      <c r="AH75" s="514" t="e">
        <f t="shared" si="49"/>
        <v>#N/A</v>
      </c>
      <c r="AI75" s="638"/>
      <c r="AJ75" s="520"/>
      <c r="AK75" s="521"/>
      <c r="AL75" s="521"/>
      <c r="AM75" s="514" t="e">
        <f t="shared" si="51"/>
        <v>#N/A</v>
      </c>
      <c r="AN75" s="638"/>
      <c r="AO75" s="520"/>
      <c r="AP75" s="521"/>
      <c r="AQ75" s="521"/>
      <c r="AR75" s="514" t="e">
        <f t="shared" si="53"/>
        <v>#N/A</v>
      </c>
      <c r="AS75" s="638"/>
      <c r="AT75" s="520"/>
      <c r="AU75" s="521"/>
      <c r="AV75" s="521"/>
      <c r="AW75" s="514" t="e">
        <f t="shared" si="55"/>
        <v>#N/A</v>
      </c>
      <c r="AX75" s="638"/>
      <c r="AZ75" s="524" t="e">
        <f t="shared" si="57"/>
        <v>#N/A</v>
      </c>
      <c r="BA75" s="638"/>
    </row>
    <row r="76" spans="2:53">
      <c r="B76" s="622"/>
      <c r="C76" s="306">
        <v>10</v>
      </c>
      <c r="D76" s="456"/>
      <c r="E76" s="521"/>
      <c r="F76" s="521"/>
      <c r="G76" s="521"/>
      <c r="H76" s="664"/>
      <c r="I76" s="516" t="str">
        <f t="shared" si="42"/>
        <v>-</v>
      </c>
      <c r="J76" s="516" t="str">
        <f t="shared" si="43"/>
        <v>-</v>
      </c>
      <c r="K76" s="200" t="str">
        <f t="shared" si="44"/>
        <v>-</v>
      </c>
      <c r="L76" s="596"/>
      <c r="M76" s="201" t="e">
        <f>RANK(K76, K$67:$K$81)</f>
        <v>#VALUE!</v>
      </c>
      <c r="N76" s="614"/>
      <c r="O76" s="614"/>
      <c r="P76" s="520"/>
      <c r="Q76" s="521"/>
      <c r="R76" s="521"/>
      <c r="S76" s="514" t="e">
        <f t="shared" si="59"/>
        <v>#N/A</v>
      </c>
      <c r="T76" s="638"/>
      <c r="U76" s="520"/>
      <c r="V76" s="521"/>
      <c r="W76" s="521"/>
      <c r="X76" s="514" t="e">
        <f t="shared" si="45"/>
        <v>#N/A</v>
      </c>
      <c r="Y76" s="638"/>
      <c r="Z76" s="520"/>
      <c r="AA76" s="521"/>
      <c r="AB76" s="521"/>
      <c r="AC76" s="514" t="e">
        <f t="shared" si="47"/>
        <v>#N/A</v>
      </c>
      <c r="AD76" s="638"/>
      <c r="AE76" s="520"/>
      <c r="AF76" s="521"/>
      <c r="AG76" s="521"/>
      <c r="AH76" s="514" t="e">
        <f t="shared" si="49"/>
        <v>#N/A</v>
      </c>
      <c r="AI76" s="638"/>
      <c r="AJ76" s="520"/>
      <c r="AK76" s="521"/>
      <c r="AL76" s="521"/>
      <c r="AM76" s="514" t="e">
        <f t="shared" si="51"/>
        <v>#N/A</v>
      </c>
      <c r="AN76" s="638"/>
      <c r="AO76" s="520"/>
      <c r="AP76" s="521"/>
      <c r="AQ76" s="521"/>
      <c r="AR76" s="514" t="e">
        <f t="shared" si="53"/>
        <v>#N/A</v>
      </c>
      <c r="AS76" s="638"/>
      <c r="AT76" s="520"/>
      <c r="AU76" s="521"/>
      <c r="AV76" s="521"/>
      <c r="AW76" s="514" t="e">
        <f t="shared" si="55"/>
        <v>#N/A</v>
      </c>
      <c r="AX76" s="638"/>
      <c r="AZ76" s="524" t="e">
        <f t="shared" si="57"/>
        <v>#N/A</v>
      </c>
      <c r="BA76" s="638"/>
    </row>
    <row r="77" spans="2:53">
      <c r="B77" s="622"/>
      <c r="C77" s="306">
        <v>11</v>
      </c>
      <c r="D77" s="456"/>
      <c r="E77" s="521"/>
      <c r="F77" s="521"/>
      <c r="G77" s="521"/>
      <c r="H77" s="664"/>
      <c r="I77" s="516" t="str">
        <f t="shared" si="42"/>
        <v>-</v>
      </c>
      <c r="J77" s="516" t="str">
        <f t="shared" si="43"/>
        <v>-</v>
      </c>
      <c r="K77" s="200" t="str">
        <f t="shared" si="44"/>
        <v>-</v>
      </c>
      <c r="L77" s="596"/>
      <c r="M77" s="201" t="e">
        <f>RANK(K77, K$67:$K$81)</f>
        <v>#VALUE!</v>
      </c>
      <c r="N77" s="614"/>
      <c r="O77" s="614"/>
      <c r="P77" s="520"/>
      <c r="Q77" s="521"/>
      <c r="R77" s="521"/>
      <c r="S77" s="514" t="e">
        <f t="shared" si="59"/>
        <v>#N/A</v>
      </c>
      <c r="T77" s="638"/>
      <c r="U77" s="520"/>
      <c r="V77" s="521"/>
      <c r="W77" s="521"/>
      <c r="X77" s="514" t="e">
        <f t="shared" si="45"/>
        <v>#N/A</v>
      </c>
      <c r="Y77" s="638"/>
      <c r="Z77" s="520"/>
      <c r="AA77" s="521"/>
      <c r="AB77" s="521"/>
      <c r="AC77" s="514" t="e">
        <f t="shared" si="47"/>
        <v>#N/A</v>
      </c>
      <c r="AD77" s="638"/>
      <c r="AE77" s="520"/>
      <c r="AF77" s="521"/>
      <c r="AG77" s="521"/>
      <c r="AH77" s="514" t="e">
        <f t="shared" si="49"/>
        <v>#N/A</v>
      </c>
      <c r="AI77" s="638"/>
      <c r="AJ77" s="520"/>
      <c r="AK77" s="521"/>
      <c r="AL77" s="521"/>
      <c r="AM77" s="514" t="e">
        <f t="shared" si="51"/>
        <v>#N/A</v>
      </c>
      <c r="AN77" s="638"/>
      <c r="AO77" s="520"/>
      <c r="AP77" s="521"/>
      <c r="AQ77" s="521"/>
      <c r="AR77" s="514" t="e">
        <f t="shared" si="53"/>
        <v>#N/A</v>
      </c>
      <c r="AS77" s="638"/>
      <c r="AT77" s="520"/>
      <c r="AU77" s="521"/>
      <c r="AV77" s="521"/>
      <c r="AW77" s="514" t="e">
        <f t="shared" si="55"/>
        <v>#N/A</v>
      </c>
      <c r="AX77" s="638"/>
      <c r="AZ77" s="524" t="e">
        <f t="shared" si="57"/>
        <v>#N/A</v>
      </c>
      <c r="BA77" s="638"/>
    </row>
    <row r="78" spans="2:53">
      <c r="B78" s="622"/>
      <c r="C78" s="306">
        <v>12</v>
      </c>
      <c r="D78" s="456"/>
      <c r="E78" s="521"/>
      <c r="F78" s="521"/>
      <c r="G78" s="521"/>
      <c r="H78" s="664"/>
      <c r="I78" s="516" t="str">
        <f t="shared" si="42"/>
        <v>-</v>
      </c>
      <c r="J78" s="516" t="str">
        <f t="shared" si="43"/>
        <v>-</v>
      </c>
      <c r="K78" s="200" t="str">
        <f t="shared" si="44"/>
        <v>-</v>
      </c>
      <c r="L78" s="596"/>
      <c r="M78" s="201" t="e">
        <f>RANK(K78, K$67:$K$81)</f>
        <v>#VALUE!</v>
      </c>
      <c r="N78" s="614"/>
      <c r="O78" s="614"/>
      <c r="P78" s="520"/>
      <c r="Q78" s="521"/>
      <c r="R78" s="521"/>
      <c r="S78" s="514" t="e">
        <f t="shared" si="59"/>
        <v>#N/A</v>
      </c>
      <c r="T78" s="638"/>
      <c r="U78" s="520"/>
      <c r="V78" s="521"/>
      <c r="W78" s="521"/>
      <c r="X78" s="514" t="e">
        <f t="shared" si="45"/>
        <v>#N/A</v>
      </c>
      <c r="Y78" s="638"/>
      <c r="Z78" s="520"/>
      <c r="AA78" s="521"/>
      <c r="AB78" s="521"/>
      <c r="AC78" s="514" t="e">
        <f t="shared" si="47"/>
        <v>#N/A</v>
      </c>
      <c r="AD78" s="638"/>
      <c r="AE78" s="520"/>
      <c r="AF78" s="521"/>
      <c r="AG78" s="521"/>
      <c r="AH78" s="514" t="e">
        <f t="shared" si="49"/>
        <v>#N/A</v>
      </c>
      <c r="AI78" s="638"/>
      <c r="AJ78" s="520"/>
      <c r="AK78" s="521"/>
      <c r="AL78" s="521"/>
      <c r="AM78" s="514" t="e">
        <f t="shared" si="51"/>
        <v>#N/A</v>
      </c>
      <c r="AN78" s="638"/>
      <c r="AO78" s="520"/>
      <c r="AP78" s="521"/>
      <c r="AQ78" s="521"/>
      <c r="AR78" s="514" t="e">
        <f t="shared" si="53"/>
        <v>#N/A</v>
      </c>
      <c r="AS78" s="638"/>
      <c r="AT78" s="520"/>
      <c r="AU78" s="521"/>
      <c r="AV78" s="521"/>
      <c r="AW78" s="514" t="e">
        <f t="shared" si="55"/>
        <v>#N/A</v>
      </c>
      <c r="AX78" s="638"/>
      <c r="AZ78" s="524" t="e">
        <f t="shared" si="57"/>
        <v>#N/A</v>
      </c>
      <c r="BA78" s="638"/>
    </row>
    <row r="79" spans="2:53">
      <c r="B79" s="622"/>
      <c r="C79" s="306">
        <v>13</v>
      </c>
      <c r="D79" s="456"/>
      <c r="E79" s="521"/>
      <c r="F79" s="521"/>
      <c r="G79" s="521"/>
      <c r="H79" s="664"/>
      <c r="I79" s="516" t="str">
        <f t="shared" si="42"/>
        <v>-</v>
      </c>
      <c r="J79" s="516" t="str">
        <f t="shared" si="43"/>
        <v>-</v>
      </c>
      <c r="K79" s="200" t="str">
        <f t="shared" si="44"/>
        <v>-</v>
      </c>
      <c r="L79" s="596"/>
      <c r="M79" s="201" t="e">
        <f>RANK(K79, K$67:$K$81)</f>
        <v>#VALUE!</v>
      </c>
      <c r="N79" s="614"/>
      <c r="O79" s="614"/>
      <c r="P79" s="520"/>
      <c r="Q79" s="521"/>
      <c r="R79" s="521"/>
      <c r="S79" s="514" t="e">
        <f t="shared" si="59"/>
        <v>#N/A</v>
      </c>
      <c r="T79" s="638"/>
      <c r="U79" s="520"/>
      <c r="V79" s="521"/>
      <c r="W79" s="521"/>
      <c r="X79" s="514" t="e">
        <f t="shared" si="45"/>
        <v>#N/A</v>
      </c>
      <c r="Y79" s="638"/>
      <c r="Z79" s="520"/>
      <c r="AA79" s="521"/>
      <c r="AB79" s="521"/>
      <c r="AC79" s="514" t="e">
        <f t="shared" si="47"/>
        <v>#N/A</v>
      </c>
      <c r="AD79" s="638"/>
      <c r="AE79" s="520"/>
      <c r="AF79" s="521"/>
      <c r="AG79" s="521"/>
      <c r="AH79" s="514" t="e">
        <f t="shared" si="49"/>
        <v>#N/A</v>
      </c>
      <c r="AI79" s="638"/>
      <c r="AJ79" s="520"/>
      <c r="AK79" s="521"/>
      <c r="AL79" s="521"/>
      <c r="AM79" s="514" t="e">
        <f t="shared" si="51"/>
        <v>#N/A</v>
      </c>
      <c r="AN79" s="638"/>
      <c r="AO79" s="520"/>
      <c r="AP79" s="521"/>
      <c r="AQ79" s="521"/>
      <c r="AR79" s="514" t="e">
        <f t="shared" si="53"/>
        <v>#N/A</v>
      </c>
      <c r="AS79" s="638"/>
      <c r="AT79" s="520"/>
      <c r="AU79" s="521"/>
      <c r="AV79" s="521"/>
      <c r="AW79" s="514" t="e">
        <f t="shared" si="55"/>
        <v>#N/A</v>
      </c>
      <c r="AX79" s="638"/>
      <c r="AZ79" s="524" t="e">
        <f t="shared" si="57"/>
        <v>#N/A</v>
      </c>
      <c r="BA79" s="638"/>
    </row>
    <row r="80" spans="2:53">
      <c r="B80" s="622"/>
      <c r="C80" s="306">
        <v>14</v>
      </c>
      <c r="D80" s="456"/>
      <c r="E80" s="521"/>
      <c r="F80" s="521"/>
      <c r="G80" s="521"/>
      <c r="H80" s="664"/>
      <c r="I80" s="516" t="str">
        <f t="shared" si="42"/>
        <v>-</v>
      </c>
      <c r="J80" s="516" t="str">
        <f t="shared" si="43"/>
        <v>-</v>
      </c>
      <c r="K80" s="200" t="str">
        <f t="shared" si="44"/>
        <v>-</v>
      </c>
      <c r="L80" s="596"/>
      <c r="M80" s="201" t="e">
        <f>RANK(K80, K$67:$K$81)</f>
        <v>#VALUE!</v>
      </c>
      <c r="N80" s="614"/>
      <c r="O80" s="614"/>
      <c r="P80" s="520"/>
      <c r="Q80" s="521"/>
      <c r="R80" s="521"/>
      <c r="S80" s="514" t="e">
        <f t="shared" si="59"/>
        <v>#N/A</v>
      </c>
      <c r="T80" s="638"/>
      <c r="U80" s="520"/>
      <c r="V80" s="521"/>
      <c r="W80" s="521"/>
      <c r="X80" s="514" t="e">
        <f t="shared" si="45"/>
        <v>#N/A</v>
      </c>
      <c r="Y80" s="638"/>
      <c r="Z80" s="520"/>
      <c r="AA80" s="521"/>
      <c r="AB80" s="521"/>
      <c r="AC80" s="514" t="e">
        <f t="shared" si="47"/>
        <v>#N/A</v>
      </c>
      <c r="AD80" s="638"/>
      <c r="AE80" s="520"/>
      <c r="AF80" s="521"/>
      <c r="AG80" s="521"/>
      <c r="AH80" s="514" t="e">
        <f t="shared" si="49"/>
        <v>#N/A</v>
      </c>
      <c r="AI80" s="638"/>
      <c r="AJ80" s="520"/>
      <c r="AK80" s="521"/>
      <c r="AL80" s="521"/>
      <c r="AM80" s="514" t="e">
        <f t="shared" si="51"/>
        <v>#N/A</v>
      </c>
      <c r="AN80" s="638"/>
      <c r="AO80" s="520"/>
      <c r="AP80" s="521"/>
      <c r="AQ80" s="521"/>
      <c r="AR80" s="514" t="e">
        <f t="shared" si="53"/>
        <v>#N/A</v>
      </c>
      <c r="AS80" s="638"/>
      <c r="AT80" s="520"/>
      <c r="AU80" s="521"/>
      <c r="AV80" s="521"/>
      <c r="AW80" s="514" t="e">
        <f t="shared" si="55"/>
        <v>#N/A</v>
      </c>
      <c r="AX80" s="638"/>
      <c r="AZ80" s="524" t="e">
        <f t="shared" si="57"/>
        <v>#N/A</v>
      </c>
      <c r="BA80" s="638"/>
    </row>
    <row r="81" spans="2:53">
      <c r="B81" s="622"/>
      <c r="C81" s="306">
        <v>15</v>
      </c>
      <c r="D81" s="456"/>
      <c r="E81" s="521"/>
      <c r="F81" s="521"/>
      <c r="G81" s="521"/>
      <c r="H81" s="665"/>
      <c r="I81" s="520"/>
      <c r="J81" s="520"/>
      <c r="K81" s="520"/>
      <c r="L81" s="597"/>
      <c r="M81" s="201" t="e">
        <f>RANK(K81, K$67:$K$81)</f>
        <v>#N/A</v>
      </c>
      <c r="N81" s="614"/>
      <c r="O81" s="614"/>
      <c r="P81" s="520"/>
      <c r="Q81" s="521"/>
      <c r="R81" s="521"/>
      <c r="S81" s="514" t="e">
        <f t="shared" si="59"/>
        <v>#N/A</v>
      </c>
      <c r="T81" s="639"/>
      <c r="U81" s="520"/>
      <c r="V81" s="521"/>
      <c r="W81" s="521"/>
      <c r="X81" s="514" t="e">
        <f t="shared" si="45"/>
        <v>#N/A</v>
      </c>
      <c r="Y81" s="639"/>
      <c r="Z81" s="520"/>
      <c r="AA81" s="521"/>
      <c r="AB81" s="521"/>
      <c r="AC81" s="514" t="e">
        <f t="shared" si="47"/>
        <v>#N/A</v>
      </c>
      <c r="AD81" s="639"/>
      <c r="AE81" s="520"/>
      <c r="AF81" s="521"/>
      <c r="AG81" s="521"/>
      <c r="AH81" s="514" t="e">
        <f t="shared" si="49"/>
        <v>#N/A</v>
      </c>
      <c r="AI81" s="639"/>
      <c r="AJ81" s="520"/>
      <c r="AK81" s="521"/>
      <c r="AL81" s="521"/>
      <c r="AM81" s="514" t="e">
        <f t="shared" si="51"/>
        <v>#N/A</v>
      </c>
      <c r="AN81" s="639"/>
      <c r="AO81" s="520"/>
      <c r="AP81" s="521"/>
      <c r="AQ81" s="521"/>
      <c r="AR81" s="514" t="e">
        <f t="shared" si="53"/>
        <v>#N/A</v>
      </c>
      <c r="AS81" s="639"/>
      <c r="AT81" s="520"/>
      <c r="AU81" s="521"/>
      <c r="AV81" s="521"/>
      <c r="AW81" s="514" t="e">
        <f t="shared" si="55"/>
        <v>#N/A</v>
      </c>
      <c r="AX81" s="639"/>
      <c r="AZ81" s="524" t="e">
        <f t="shared" si="57"/>
        <v>#N/A</v>
      </c>
      <c r="BA81" s="639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424</v>
      </c>
      <c r="C84" s="614" t="s">
        <v>425</v>
      </c>
      <c r="D84" s="614"/>
      <c r="E84" s="614" t="s">
        <v>426</v>
      </c>
      <c r="F84" s="614"/>
      <c r="G84" s="614"/>
      <c r="H84" s="630" t="s">
        <v>427</v>
      </c>
      <c r="I84" s="598" t="s">
        <v>428</v>
      </c>
      <c r="J84" s="598"/>
      <c r="K84" s="598"/>
      <c r="L84" s="599" t="s">
        <v>395</v>
      </c>
      <c r="M84" s="605" t="s">
        <v>429</v>
      </c>
      <c r="N84" s="614"/>
      <c r="O84" s="614" t="s">
        <v>430</v>
      </c>
      <c r="P84" s="611" t="s">
        <v>431</v>
      </c>
      <c r="Q84" s="612"/>
      <c r="R84" s="612"/>
      <c r="S84" s="613"/>
      <c r="T84" s="614" t="s">
        <v>427</v>
      </c>
      <c r="U84" s="611" t="s">
        <v>431</v>
      </c>
      <c r="V84" s="612"/>
      <c r="W84" s="612"/>
      <c r="X84" s="613"/>
      <c r="Y84" s="614" t="s">
        <v>427</v>
      </c>
      <c r="Z84" s="611" t="s">
        <v>431</v>
      </c>
      <c r="AA84" s="612"/>
      <c r="AB84" s="612"/>
      <c r="AC84" s="613"/>
      <c r="AD84" s="614" t="s">
        <v>427</v>
      </c>
      <c r="AE84" s="611" t="s">
        <v>431</v>
      </c>
      <c r="AF84" s="612"/>
      <c r="AG84" s="612"/>
      <c r="AH84" s="613"/>
      <c r="AI84" s="614" t="s">
        <v>427</v>
      </c>
      <c r="AJ84" s="611" t="s">
        <v>431</v>
      </c>
      <c r="AK84" s="612"/>
      <c r="AL84" s="612"/>
      <c r="AM84" s="613"/>
      <c r="AN84" s="614" t="s">
        <v>427</v>
      </c>
      <c r="AO84" s="611" t="s">
        <v>431</v>
      </c>
      <c r="AP84" s="612"/>
      <c r="AQ84" s="612"/>
      <c r="AR84" s="613"/>
      <c r="AS84" s="614" t="s">
        <v>427</v>
      </c>
      <c r="AT84" s="611" t="s">
        <v>431</v>
      </c>
      <c r="AU84" s="612"/>
      <c r="AV84" s="612"/>
      <c r="AW84" s="613"/>
      <c r="AX84" s="614" t="s">
        <v>427</v>
      </c>
      <c r="BA84" s="614" t="s">
        <v>395</v>
      </c>
    </row>
    <row r="85" spans="2:53">
      <c r="B85" s="614"/>
      <c r="C85" s="614"/>
      <c r="D85" s="614"/>
      <c r="E85" s="614" t="s">
        <v>432</v>
      </c>
      <c r="F85" s="614"/>
      <c r="G85" s="614"/>
      <c r="H85" s="631"/>
      <c r="I85" s="598" t="s">
        <v>432</v>
      </c>
      <c r="J85" s="598"/>
      <c r="K85" s="598"/>
      <c r="L85" s="600"/>
      <c r="M85" s="606"/>
      <c r="N85" s="614"/>
      <c r="O85" s="614"/>
      <c r="P85" s="611" t="s">
        <v>433</v>
      </c>
      <c r="Q85" s="612"/>
      <c r="R85" s="612"/>
      <c r="S85" s="613"/>
      <c r="T85" s="614"/>
      <c r="U85" s="611" t="s">
        <v>433</v>
      </c>
      <c r="V85" s="612"/>
      <c r="W85" s="612"/>
      <c r="X85" s="613"/>
      <c r="Y85" s="614"/>
      <c r="Z85" s="611" t="s">
        <v>433</v>
      </c>
      <c r="AA85" s="612"/>
      <c r="AB85" s="612"/>
      <c r="AC85" s="613"/>
      <c r="AD85" s="614"/>
      <c r="AE85" s="611" t="s">
        <v>433</v>
      </c>
      <c r="AF85" s="612"/>
      <c r="AG85" s="612"/>
      <c r="AH85" s="613"/>
      <c r="AI85" s="614"/>
      <c r="AJ85" s="611" t="s">
        <v>433</v>
      </c>
      <c r="AK85" s="612"/>
      <c r="AL85" s="612"/>
      <c r="AM85" s="613"/>
      <c r="AN85" s="614"/>
      <c r="AO85" s="611" t="s">
        <v>433</v>
      </c>
      <c r="AP85" s="612"/>
      <c r="AQ85" s="612"/>
      <c r="AR85" s="613"/>
      <c r="AS85" s="614"/>
      <c r="AT85" s="611" t="s">
        <v>433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299" t="s">
        <v>434</v>
      </c>
      <c r="F86" s="299" t="s">
        <v>435</v>
      </c>
      <c r="G86" s="299" t="s">
        <v>436</v>
      </c>
      <c r="H86" s="632"/>
      <c r="I86" s="300" t="s">
        <v>434</v>
      </c>
      <c r="J86" s="300" t="s">
        <v>435</v>
      </c>
      <c r="K86" s="300" t="s">
        <v>436</v>
      </c>
      <c r="L86" s="601"/>
      <c r="M86" s="607"/>
      <c r="N86" s="614"/>
      <c r="O86" s="614"/>
      <c r="P86" s="299" t="s">
        <v>434</v>
      </c>
      <c r="Q86" s="299" t="s">
        <v>435</v>
      </c>
      <c r="R86" s="299" t="s">
        <v>436</v>
      </c>
      <c r="S86" s="299" t="s">
        <v>429</v>
      </c>
      <c r="T86" s="614"/>
      <c r="U86" s="299" t="s">
        <v>434</v>
      </c>
      <c r="V86" s="299" t="s">
        <v>435</v>
      </c>
      <c r="W86" s="299" t="s">
        <v>436</v>
      </c>
      <c r="X86" s="299" t="s">
        <v>429</v>
      </c>
      <c r="Y86" s="614"/>
      <c r="Z86" s="299" t="s">
        <v>434</v>
      </c>
      <c r="AA86" s="299" t="s">
        <v>435</v>
      </c>
      <c r="AB86" s="299" t="s">
        <v>436</v>
      </c>
      <c r="AC86" s="299" t="s">
        <v>429</v>
      </c>
      <c r="AD86" s="614"/>
      <c r="AE86" s="299" t="s">
        <v>434</v>
      </c>
      <c r="AF86" s="299" t="s">
        <v>435</v>
      </c>
      <c r="AG86" s="299" t="s">
        <v>436</v>
      </c>
      <c r="AH86" s="299" t="s">
        <v>429</v>
      </c>
      <c r="AI86" s="614"/>
      <c r="AJ86" s="299" t="s">
        <v>434</v>
      </c>
      <c r="AK86" s="299" t="s">
        <v>435</v>
      </c>
      <c r="AL86" s="299" t="s">
        <v>436</v>
      </c>
      <c r="AM86" s="299" t="s">
        <v>429</v>
      </c>
      <c r="AN86" s="614"/>
      <c r="AO86" s="299" t="s">
        <v>434</v>
      </c>
      <c r="AP86" s="299" t="s">
        <v>435</v>
      </c>
      <c r="AQ86" s="299" t="s">
        <v>436</v>
      </c>
      <c r="AR86" s="299" t="s">
        <v>429</v>
      </c>
      <c r="AS86" s="614"/>
      <c r="AT86" s="299" t="s">
        <v>434</v>
      </c>
      <c r="AU86" s="299" t="s">
        <v>435</v>
      </c>
      <c r="AV86" s="299" t="s">
        <v>436</v>
      </c>
      <c r="AW86" s="299" t="s">
        <v>429</v>
      </c>
      <c r="AX86" s="614"/>
      <c r="AZ86" s="523" t="s">
        <v>396</v>
      </c>
      <c r="BA86" s="614"/>
    </row>
    <row r="87" spans="2:53">
      <c r="B87" s="614" t="s">
        <v>441</v>
      </c>
      <c r="C87" s="298">
        <v>1</v>
      </c>
      <c r="D87" s="226"/>
      <c r="E87" s="182"/>
      <c r="F87" s="466"/>
      <c r="G87" s="467"/>
      <c r="H87" s="663" t="e">
        <f>AVERAGE(G87:G101)</f>
        <v>#DIV/0!</v>
      </c>
      <c r="I87" s="516" t="str">
        <f t="shared" ref="I87:I100" si="60">IFERROR(AVERAGE(P87,U87,Z87,AE87,AJ87,AO87,AT87),"-")</f>
        <v>-</v>
      </c>
      <c r="J87" s="516" t="str">
        <f t="shared" ref="J87:J100" si="61">IFERROR(AVERAGE(Q87,V87,AA87,AF87,AK87,AP87,AU87),"-")</f>
        <v>-</v>
      </c>
      <c r="K87" s="200" t="str">
        <f t="shared" ref="K87:K100" si="62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509"/>
      <c r="Q87" s="510"/>
      <c r="R87" s="510"/>
      <c r="S87" s="298" t="e">
        <f>RANK(R87, R$87:R$101)</f>
        <v>#N/A</v>
      </c>
      <c r="T87" s="636" t="e">
        <f>AVERAGE(R87:R101)</f>
        <v>#DIV/0!</v>
      </c>
      <c r="U87" s="509"/>
      <c r="V87" s="510"/>
      <c r="W87" s="510"/>
      <c r="X87" s="442" t="e">
        <f t="shared" ref="X87:X101" si="63">RANK(W87, W$87:W$101)</f>
        <v>#N/A</v>
      </c>
      <c r="Y87" s="636" t="e">
        <f t="shared" ref="Y87" si="64">AVERAGE(W87:W101)</f>
        <v>#DIV/0!</v>
      </c>
      <c r="Z87" s="509"/>
      <c r="AA87" s="510"/>
      <c r="AB87" s="510"/>
      <c r="AC87" s="442" t="e">
        <f t="shared" ref="AC87:AC101" si="65">RANK(AB87, AB$87:AB$101)</f>
        <v>#N/A</v>
      </c>
      <c r="AD87" s="636" t="e">
        <f t="shared" ref="AD87" si="66">AVERAGE(AB87:AB101)</f>
        <v>#DIV/0!</v>
      </c>
      <c r="AE87" s="509"/>
      <c r="AF87" s="510"/>
      <c r="AG87" s="510"/>
      <c r="AH87" s="442" t="e">
        <f t="shared" ref="AH87:AH101" si="67">RANK(AG87, AG$87:AG$101)</f>
        <v>#N/A</v>
      </c>
      <c r="AI87" s="636" t="e">
        <f t="shared" ref="AI87" si="68">AVERAGE(AG87:AG101)</f>
        <v>#DIV/0!</v>
      </c>
      <c r="AJ87" s="509"/>
      <c r="AK87" s="510"/>
      <c r="AL87" s="510"/>
      <c r="AM87" s="442" t="e">
        <f t="shared" ref="AM87:AM101" si="69">RANK(AL87, AL$87:AL$101)</f>
        <v>#N/A</v>
      </c>
      <c r="AN87" s="636" t="e">
        <f t="shared" ref="AN87" si="70">AVERAGE(AL87:AL101)</f>
        <v>#DIV/0!</v>
      </c>
      <c r="AO87" s="509"/>
      <c r="AP87" s="510"/>
      <c r="AQ87" s="510"/>
      <c r="AR87" s="442" t="e">
        <f t="shared" ref="AR87:AR101" si="71">RANK(AQ87, AQ$87:AQ$101)</f>
        <v>#N/A</v>
      </c>
      <c r="AS87" s="636" t="e">
        <f t="shared" ref="AS87" si="72">AVERAGE(AQ87:AQ101)</f>
        <v>#DIV/0!</v>
      </c>
      <c r="AT87" s="509"/>
      <c r="AU87" s="510"/>
      <c r="AV87" s="510"/>
      <c r="AW87" s="442" t="e">
        <f t="shared" ref="AW87:AW101" si="73">RANK(AV87, AV$87:AV$101)</f>
        <v>#N/A</v>
      </c>
      <c r="AX87" s="636" t="e">
        <f t="shared" ref="AX87" si="74">AVERAGE(AV87:AV101)</f>
        <v>#DIV/0!</v>
      </c>
      <c r="AZ87" s="524" t="e">
        <f t="shared" ref="AZ87:AZ101" si="75">RANK(AY87, AY$87:AY$101)</f>
        <v>#N/A</v>
      </c>
      <c r="BA87" s="636" t="e">
        <f t="shared" ref="BA87" si="76">AVERAGE(AY87:AY101)</f>
        <v>#DIV/0!</v>
      </c>
    </row>
    <row r="88" spans="2:53">
      <c r="B88" s="622"/>
      <c r="C88" s="298">
        <v>2</v>
      </c>
      <c r="D88" s="226"/>
      <c r="E88" s="182"/>
      <c r="F88" s="466"/>
      <c r="G88" s="467"/>
      <c r="H88" s="664"/>
      <c r="I88" s="516" t="str">
        <f t="shared" si="60"/>
        <v>-</v>
      </c>
      <c r="J88" s="516" t="str">
        <f t="shared" si="61"/>
        <v>-</v>
      </c>
      <c r="K88" s="200" t="str">
        <f t="shared" si="62"/>
        <v>-</v>
      </c>
      <c r="L88" s="596"/>
      <c r="M88" s="201" t="e">
        <f>RANK(K88, K$87:$K$101)</f>
        <v>#VALUE!</v>
      </c>
      <c r="N88" s="614"/>
      <c r="O88" s="614"/>
      <c r="P88" s="509"/>
      <c r="Q88" s="510"/>
      <c r="R88" s="510"/>
      <c r="S88" s="298" t="e">
        <f t="shared" ref="S88:S101" si="77">RANK(R88, R$87:R$101)</f>
        <v>#N/A</v>
      </c>
      <c r="T88" s="636"/>
      <c r="U88" s="509"/>
      <c r="V88" s="510"/>
      <c r="W88" s="510"/>
      <c r="X88" s="442" t="e">
        <f t="shared" si="63"/>
        <v>#N/A</v>
      </c>
      <c r="Y88" s="636"/>
      <c r="Z88" s="509"/>
      <c r="AA88" s="510"/>
      <c r="AB88" s="510"/>
      <c r="AC88" s="442" t="e">
        <f t="shared" si="65"/>
        <v>#N/A</v>
      </c>
      <c r="AD88" s="636"/>
      <c r="AE88" s="509"/>
      <c r="AF88" s="510"/>
      <c r="AG88" s="510"/>
      <c r="AH88" s="442" t="e">
        <f t="shared" si="67"/>
        <v>#N/A</v>
      </c>
      <c r="AI88" s="636"/>
      <c r="AJ88" s="509"/>
      <c r="AK88" s="510"/>
      <c r="AL88" s="510"/>
      <c r="AM88" s="442" t="e">
        <f t="shared" si="69"/>
        <v>#N/A</v>
      </c>
      <c r="AN88" s="636"/>
      <c r="AO88" s="509"/>
      <c r="AP88" s="510"/>
      <c r="AQ88" s="510"/>
      <c r="AR88" s="442" t="e">
        <f t="shared" si="71"/>
        <v>#N/A</v>
      </c>
      <c r="AS88" s="636"/>
      <c r="AT88" s="509"/>
      <c r="AU88" s="510"/>
      <c r="AV88" s="510"/>
      <c r="AW88" s="442" t="e">
        <f t="shared" si="73"/>
        <v>#N/A</v>
      </c>
      <c r="AX88" s="636"/>
      <c r="AZ88" s="524" t="e">
        <f t="shared" si="75"/>
        <v>#N/A</v>
      </c>
      <c r="BA88" s="636"/>
    </row>
    <row r="89" spans="2:53">
      <c r="B89" s="622"/>
      <c r="C89" s="298">
        <v>3</v>
      </c>
      <c r="D89" s="226"/>
      <c r="E89" s="182"/>
      <c r="F89" s="466"/>
      <c r="G89" s="467"/>
      <c r="H89" s="664"/>
      <c r="I89" s="516" t="str">
        <f t="shared" si="60"/>
        <v>-</v>
      </c>
      <c r="J89" s="516" t="str">
        <f t="shared" si="61"/>
        <v>-</v>
      </c>
      <c r="K89" s="200" t="str">
        <f t="shared" si="62"/>
        <v>-</v>
      </c>
      <c r="L89" s="596"/>
      <c r="M89" s="201" t="e">
        <f>RANK(K89, K$87:$K$101)</f>
        <v>#VALUE!</v>
      </c>
      <c r="N89" s="614"/>
      <c r="O89" s="614"/>
      <c r="P89" s="509"/>
      <c r="Q89" s="510"/>
      <c r="R89" s="510"/>
      <c r="S89" s="298" t="e">
        <f t="shared" si="77"/>
        <v>#N/A</v>
      </c>
      <c r="T89" s="636"/>
      <c r="U89" s="509"/>
      <c r="V89" s="510"/>
      <c r="W89" s="510"/>
      <c r="X89" s="442" t="e">
        <f t="shared" si="63"/>
        <v>#N/A</v>
      </c>
      <c r="Y89" s="636"/>
      <c r="Z89" s="509"/>
      <c r="AA89" s="510"/>
      <c r="AB89" s="510"/>
      <c r="AC89" s="442" t="e">
        <f t="shared" si="65"/>
        <v>#N/A</v>
      </c>
      <c r="AD89" s="636"/>
      <c r="AE89" s="509"/>
      <c r="AF89" s="510"/>
      <c r="AG89" s="510"/>
      <c r="AH89" s="442" t="e">
        <f t="shared" si="67"/>
        <v>#N/A</v>
      </c>
      <c r="AI89" s="636"/>
      <c r="AJ89" s="509"/>
      <c r="AK89" s="510"/>
      <c r="AL89" s="510"/>
      <c r="AM89" s="442" t="e">
        <f t="shared" si="69"/>
        <v>#N/A</v>
      </c>
      <c r="AN89" s="636"/>
      <c r="AO89" s="509"/>
      <c r="AP89" s="510"/>
      <c r="AQ89" s="510"/>
      <c r="AR89" s="442" t="e">
        <f t="shared" si="71"/>
        <v>#N/A</v>
      </c>
      <c r="AS89" s="636"/>
      <c r="AT89" s="509"/>
      <c r="AU89" s="510"/>
      <c r="AV89" s="510"/>
      <c r="AW89" s="442" t="e">
        <f t="shared" si="73"/>
        <v>#N/A</v>
      </c>
      <c r="AX89" s="636"/>
      <c r="AZ89" s="524" t="e">
        <f t="shared" si="75"/>
        <v>#N/A</v>
      </c>
      <c r="BA89" s="636"/>
    </row>
    <row r="90" spans="2:53">
      <c r="B90" s="622"/>
      <c r="C90" s="298">
        <v>4</v>
      </c>
      <c r="D90" s="226"/>
      <c r="E90" s="182"/>
      <c r="F90" s="466"/>
      <c r="G90" s="467"/>
      <c r="H90" s="664"/>
      <c r="I90" s="516" t="str">
        <f t="shared" si="60"/>
        <v>-</v>
      </c>
      <c r="J90" s="516" t="str">
        <f t="shared" si="61"/>
        <v>-</v>
      </c>
      <c r="K90" s="200" t="str">
        <f t="shared" si="62"/>
        <v>-</v>
      </c>
      <c r="L90" s="596"/>
      <c r="M90" s="201" t="e">
        <f>RANK(K90, K$87:$K$101)</f>
        <v>#VALUE!</v>
      </c>
      <c r="N90" s="614"/>
      <c r="O90" s="614"/>
      <c r="P90" s="509"/>
      <c r="Q90" s="510"/>
      <c r="R90" s="510"/>
      <c r="S90" s="298" t="e">
        <f t="shared" si="77"/>
        <v>#N/A</v>
      </c>
      <c r="T90" s="636"/>
      <c r="U90" s="509"/>
      <c r="V90" s="510"/>
      <c r="W90" s="510"/>
      <c r="X90" s="442" t="e">
        <f t="shared" si="63"/>
        <v>#N/A</v>
      </c>
      <c r="Y90" s="636"/>
      <c r="Z90" s="509"/>
      <c r="AA90" s="510"/>
      <c r="AB90" s="510"/>
      <c r="AC90" s="442" t="e">
        <f t="shared" si="65"/>
        <v>#N/A</v>
      </c>
      <c r="AD90" s="636"/>
      <c r="AE90" s="509"/>
      <c r="AF90" s="510"/>
      <c r="AG90" s="510"/>
      <c r="AH90" s="442" t="e">
        <f t="shared" si="67"/>
        <v>#N/A</v>
      </c>
      <c r="AI90" s="636"/>
      <c r="AJ90" s="509"/>
      <c r="AK90" s="510"/>
      <c r="AL90" s="510"/>
      <c r="AM90" s="442" t="e">
        <f t="shared" si="69"/>
        <v>#N/A</v>
      </c>
      <c r="AN90" s="636"/>
      <c r="AO90" s="509"/>
      <c r="AP90" s="510"/>
      <c r="AQ90" s="510"/>
      <c r="AR90" s="442" t="e">
        <f t="shared" si="71"/>
        <v>#N/A</v>
      </c>
      <c r="AS90" s="636"/>
      <c r="AT90" s="509"/>
      <c r="AU90" s="510"/>
      <c r="AV90" s="510"/>
      <c r="AW90" s="442" t="e">
        <f t="shared" si="73"/>
        <v>#N/A</v>
      </c>
      <c r="AX90" s="636"/>
      <c r="AZ90" s="524" t="e">
        <f t="shared" si="75"/>
        <v>#N/A</v>
      </c>
      <c r="BA90" s="636"/>
    </row>
    <row r="91" spans="2:53">
      <c r="B91" s="622"/>
      <c r="C91" s="298">
        <v>5</v>
      </c>
      <c r="D91" s="226"/>
      <c r="E91" s="182"/>
      <c r="F91" s="466"/>
      <c r="G91" s="467"/>
      <c r="H91" s="664"/>
      <c r="I91" s="516" t="str">
        <f t="shared" si="60"/>
        <v>-</v>
      </c>
      <c r="J91" s="516" t="str">
        <f t="shared" si="61"/>
        <v>-</v>
      </c>
      <c r="K91" s="200" t="str">
        <f t="shared" si="62"/>
        <v>-</v>
      </c>
      <c r="L91" s="596"/>
      <c r="M91" s="201" t="e">
        <f>RANK(K91, K$87:$K$101)</f>
        <v>#VALUE!</v>
      </c>
      <c r="N91" s="614"/>
      <c r="O91" s="614"/>
      <c r="P91" s="509"/>
      <c r="Q91" s="510"/>
      <c r="R91" s="510"/>
      <c r="S91" s="298" t="e">
        <f t="shared" si="77"/>
        <v>#N/A</v>
      </c>
      <c r="T91" s="636"/>
      <c r="U91" s="509"/>
      <c r="V91" s="510"/>
      <c r="W91" s="510"/>
      <c r="X91" s="442" t="e">
        <f t="shared" si="63"/>
        <v>#N/A</v>
      </c>
      <c r="Y91" s="636"/>
      <c r="Z91" s="509"/>
      <c r="AA91" s="510"/>
      <c r="AB91" s="510"/>
      <c r="AC91" s="442" t="e">
        <f t="shared" si="65"/>
        <v>#N/A</v>
      </c>
      <c r="AD91" s="636"/>
      <c r="AE91" s="509"/>
      <c r="AF91" s="510"/>
      <c r="AG91" s="510"/>
      <c r="AH91" s="442" t="e">
        <f t="shared" si="67"/>
        <v>#N/A</v>
      </c>
      <c r="AI91" s="636"/>
      <c r="AJ91" s="509"/>
      <c r="AK91" s="510"/>
      <c r="AL91" s="510"/>
      <c r="AM91" s="442" t="e">
        <f t="shared" si="69"/>
        <v>#N/A</v>
      </c>
      <c r="AN91" s="636"/>
      <c r="AO91" s="509"/>
      <c r="AP91" s="510"/>
      <c r="AQ91" s="510"/>
      <c r="AR91" s="442" t="e">
        <f t="shared" si="71"/>
        <v>#N/A</v>
      </c>
      <c r="AS91" s="636"/>
      <c r="AT91" s="509"/>
      <c r="AU91" s="510"/>
      <c r="AV91" s="510"/>
      <c r="AW91" s="442" t="e">
        <f t="shared" si="73"/>
        <v>#N/A</v>
      </c>
      <c r="AX91" s="636"/>
      <c r="AZ91" s="524" t="e">
        <f t="shared" si="75"/>
        <v>#N/A</v>
      </c>
      <c r="BA91" s="636"/>
    </row>
    <row r="92" spans="2:53">
      <c r="B92" s="622"/>
      <c r="C92" s="298">
        <v>6</v>
      </c>
      <c r="D92" s="226"/>
      <c r="E92" s="182"/>
      <c r="F92" s="466"/>
      <c r="G92" s="467"/>
      <c r="H92" s="664"/>
      <c r="I92" s="516" t="str">
        <f t="shared" si="60"/>
        <v>-</v>
      </c>
      <c r="J92" s="516" t="str">
        <f t="shared" si="61"/>
        <v>-</v>
      </c>
      <c r="K92" s="200" t="str">
        <f t="shared" si="62"/>
        <v>-</v>
      </c>
      <c r="L92" s="596"/>
      <c r="M92" s="201" t="e">
        <f>RANK(K92, K$87:$K$101)</f>
        <v>#VALUE!</v>
      </c>
      <c r="N92" s="614"/>
      <c r="O92" s="614"/>
      <c r="P92" s="509"/>
      <c r="Q92" s="510"/>
      <c r="R92" s="510"/>
      <c r="S92" s="298" t="e">
        <f t="shared" si="77"/>
        <v>#N/A</v>
      </c>
      <c r="T92" s="636"/>
      <c r="U92" s="509"/>
      <c r="V92" s="510"/>
      <c r="W92" s="510"/>
      <c r="X92" s="442" t="e">
        <f t="shared" si="63"/>
        <v>#N/A</v>
      </c>
      <c r="Y92" s="636"/>
      <c r="Z92" s="509"/>
      <c r="AA92" s="510"/>
      <c r="AB92" s="510"/>
      <c r="AC92" s="442" t="e">
        <f t="shared" si="65"/>
        <v>#N/A</v>
      </c>
      <c r="AD92" s="636"/>
      <c r="AE92" s="509"/>
      <c r="AF92" s="510"/>
      <c r="AG92" s="510"/>
      <c r="AH92" s="442" t="e">
        <f t="shared" si="67"/>
        <v>#N/A</v>
      </c>
      <c r="AI92" s="636"/>
      <c r="AJ92" s="509"/>
      <c r="AK92" s="510"/>
      <c r="AL92" s="510"/>
      <c r="AM92" s="442" t="e">
        <f t="shared" si="69"/>
        <v>#N/A</v>
      </c>
      <c r="AN92" s="636"/>
      <c r="AO92" s="509"/>
      <c r="AP92" s="510"/>
      <c r="AQ92" s="510"/>
      <c r="AR92" s="442" t="e">
        <f t="shared" si="71"/>
        <v>#N/A</v>
      </c>
      <c r="AS92" s="636"/>
      <c r="AT92" s="509"/>
      <c r="AU92" s="510"/>
      <c r="AV92" s="510"/>
      <c r="AW92" s="442" t="e">
        <f t="shared" si="73"/>
        <v>#N/A</v>
      </c>
      <c r="AX92" s="636"/>
      <c r="AZ92" s="524" t="e">
        <f t="shared" si="75"/>
        <v>#N/A</v>
      </c>
      <c r="BA92" s="636"/>
    </row>
    <row r="93" spans="2:53">
      <c r="B93" s="622"/>
      <c r="C93" s="298">
        <v>7</v>
      </c>
      <c r="D93" s="226"/>
      <c r="E93" s="182"/>
      <c r="F93" s="466"/>
      <c r="G93" s="467"/>
      <c r="H93" s="664"/>
      <c r="I93" s="516" t="str">
        <f t="shared" si="60"/>
        <v>-</v>
      </c>
      <c r="J93" s="516" t="str">
        <f t="shared" si="61"/>
        <v>-</v>
      </c>
      <c r="K93" s="200" t="str">
        <f t="shared" si="62"/>
        <v>-</v>
      </c>
      <c r="L93" s="596"/>
      <c r="M93" s="201" t="e">
        <f>RANK(K93, K$87:$K$101)</f>
        <v>#VALUE!</v>
      </c>
      <c r="N93" s="614"/>
      <c r="O93" s="614"/>
      <c r="P93" s="509"/>
      <c r="Q93" s="510"/>
      <c r="R93" s="510"/>
      <c r="S93" s="298" t="e">
        <f t="shared" si="77"/>
        <v>#N/A</v>
      </c>
      <c r="T93" s="636"/>
      <c r="U93" s="509"/>
      <c r="V93" s="510"/>
      <c r="W93" s="510"/>
      <c r="X93" s="442" t="e">
        <f t="shared" si="63"/>
        <v>#N/A</v>
      </c>
      <c r="Y93" s="636"/>
      <c r="Z93" s="509"/>
      <c r="AA93" s="510"/>
      <c r="AB93" s="510"/>
      <c r="AC93" s="442" t="e">
        <f t="shared" si="65"/>
        <v>#N/A</v>
      </c>
      <c r="AD93" s="636"/>
      <c r="AE93" s="509"/>
      <c r="AF93" s="510"/>
      <c r="AG93" s="510"/>
      <c r="AH93" s="442" t="e">
        <f t="shared" si="67"/>
        <v>#N/A</v>
      </c>
      <c r="AI93" s="636"/>
      <c r="AJ93" s="509"/>
      <c r="AK93" s="510"/>
      <c r="AL93" s="510"/>
      <c r="AM93" s="442" t="e">
        <f t="shared" si="69"/>
        <v>#N/A</v>
      </c>
      <c r="AN93" s="636"/>
      <c r="AO93" s="509"/>
      <c r="AP93" s="510"/>
      <c r="AQ93" s="510"/>
      <c r="AR93" s="442" t="e">
        <f t="shared" si="71"/>
        <v>#N/A</v>
      </c>
      <c r="AS93" s="636"/>
      <c r="AT93" s="509"/>
      <c r="AU93" s="510"/>
      <c r="AV93" s="510"/>
      <c r="AW93" s="442" t="e">
        <f t="shared" si="73"/>
        <v>#N/A</v>
      </c>
      <c r="AX93" s="636"/>
      <c r="AZ93" s="524" t="e">
        <f t="shared" si="75"/>
        <v>#N/A</v>
      </c>
      <c r="BA93" s="636"/>
    </row>
    <row r="94" spans="2:53">
      <c r="B94" s="622"/>
      <c r="C94" s="298">
        <v>8</v>
      </c>
      <c r="D94" s="226"/>
      <c r="E94" s="182"/>
      <c r="F94" s="466"/>
      <c r="G94" s="467"/>
      <c r="H94" s="664"/>
      <c r="I94" s="516" t="str">
        <f t="shared" si="60"/>
        <v>-</v>
      </c>
      <c r="J94" s="516" t="str">
        <f t="shared" si="61"/>
        <v>-</v>
      </c>
      <c r="K94" s="200" t="str">
        <f t="shared" si="62"/>
        <v>-</v>
      </c>
      <c r="L94" s="596"/>
      <c r="M94" s="201" t="e">
        <f>RANK(K94, K$87:$K$101)</f>
        <v>#VALUE!</v>
      </c>
      <c r="N94" s="614"/>
      <c r="O94" s="614"/>
      <c r="P94" s="509"/>
      <c r="Q94" s="510"/>
      <c r="R94" s="510"/>
      <c r="S94" s="298" t="e">
        <f t="shared" si="77"/>
        <v>#N/A</v>
      </c>
      <c r="T94" s="636"/>
      <c r="U94" s="509"/>
      <c r="V94" s="510"/>
      <c r="W94" s="510"/>
      <c r="X94" s="442" t="e">
        <f t="shared" si="63"/>
        <v>#N/A</v>
      </c>
      <c r="Y94" s="636"/>
      <c r="Z94" s="509"/>
      <c r="AA94" s="510"/>
      <c r="AB94" s="510"/>
      <c r="AC94" s="442" t="e">
        <f t="shared" si="65"/>
        <v>#N/A</v>
      </c>
      <c r="AD94" s="636"/>
      <c r="AE94" s="509"/>
      <c r="AF94" s="510"/>
      <c r="AG94" s="510"/>
      <c r="AH94" s="442" t="e">
        <f t="shared" si="67"/>
        <v>#N/A</v>
      </c>
      <c r="AI94" s="636"/>
      <c r="AJ94" s="509"/>
      <c r="AK94" s="510"/>
      <c r="AL94" s="510"/>
      <c r="AM94" s="442" t="e">
        <f t="shared" si="69"/>
        <v>#N/A</v>
      </c>
      <c r="AN94" s="636"/>
      <c r="AO94" s="509"/>
      <c r="AP94" s="510"/>
      <c r="AQ94" s="510"/>
      <c r="AR94" s="442" t="e">
        <f t="shared" si="71"/>
        <v>#N/A</v>
      </c>
      <c r="AS94" s="636"/>
      <c r="AT94" s="509"/>
      <c r="AU94" s="510"/>
      <c r="AV94" s="510"/>
      <c r="AW94" s="442" t="e">
        <f t="shared" si="73"/>
        <v>#N/A</v>
      </c>
      <c r="AX94" s="636"/>
      <c r="AZ94" s="524" t="e">
        <f t="shared" si="75"/>
        <v>#N/A</v>
      </c>
      <c r="BA94" s="636"/>
    </row>
    <row r="95" spans="2:53">
      <c r="B95" s="622"/>
      <c r="C95" s="298">
        <v>9</v>
      </c>
      <c r="D95" s="226"/>
      <c r="E95" s="182"/>
      <c r="F95" s="466"/>
      <c r="G95" s="467"/>
      <c r="H95" s="664"/>
      <c r="I95" s="516" t="str">
        <f t="shared" si="60"/>
        <v>-</v>
      </c>
      <c r="J95" s="516" t="str">
        <f t="shared" si="61"/>
        <v>-</v>
      </c>
      <c r="K95" s="200" t="str">
        <f t="shared" si="62"/>
        <v>-</v>
      </c>
      <c r="L95" s="596"/>
      <c r="M95" s="201" t="e">
        <f>RANK(K95, K$87:$K$101)</f>
        <v>#VALUE!</v>
      </c>
      <c r="N95" s="614"/>
      <c r="O95" s="614"/>
      <c r="P95" s="509"/>
      <c r="Q95" s="510"/>
      <c r="R95" s="510"/>
      <c r="S95" s="298" t="e">
        <f t="shared" si="77"/>
        <v>#N/A</v>
      </c>
      <c r="T95" s="636"/>
      <c r="U95" s="509"/>
      <c r="V95" s="510"/>
      <c r="W95" s="510"/>
      <c r="X95" s="442" t="e">
        <f t="shared" si="63"/>
        <v>#N/A</v>
      </c>
      <c r="Y95" s="636"/>
      <c r="Z95" s="509"/>
      <c r="AA95" s="510"/>
      <c r="AB95" s="510"/>
      <c r="AC95" s="442" t="e">
        <f t="shared" si="65"/>
        <v>#N/A</v>
      </c>
      <c r="AD95" s="636"/>
      <c r="AE95" s="509"/>
      <c r="AF95" s="510"/>
      <c r="AG95" s="510"/>
      <c r="AH95" s="442" t="e">
        <f t="shared" si="67"/>
        <v>#N/A</v>
      </c>
      <c r="AI95" s="636"/>
      <c r="AJ95" s="509"/>
      <c r="AK95" s="510"/>
      <c r="AL95" s="510"/>
      <c r="AM95" s="442" t="e">
        <f t="shared" si="69"/>
        <v>#N/A</v>
      </c>
      <c r="AN95" s="636"/>
      <c r="AO95" s="509"/>
      <c r="AP95" s="510"/>
      <c r="AQ95" s="510"/>
      <c r="AR95" s="442" t="e">
        <f t="shared" si="71"/>
        <v>#N/A</v>
      </c>
      <c r="AS95" s="636"/>
      <c r="AT95" s="509"/>
      <c r="AU95" s="510"/>
      <c r="AV95" s="510"/>
      <c r="AW95" s="442" t="e">
        <f t="shared" si="73"/>
        <v>#N/A</v>
      </c>
      <c r="AX95" s="636"/>
      <c r="AZ95" s="524" t="e">
        <f t="shared" si="75"/>
        <v>#N/A</v>
      </c>
      <c r="BA95" s="636"/>
    </row>
    <row r="96" spans="2:53">
      <c r="B96" s="622"/>
      <c r="C96" s="298">
        <v>10</v>
      </c>
      <c r="D96" s="226"/>
      <c r="E96" s="182"/>
      <c r="F96" s="466"/>
      <c r="G96" s="467"/>
      <c r="H96" s="664"/>
      <c r="I96" s="516" t="str">
        <f t="shared" si="60"/>
        <v>-</v>
      </c>
      <c r="J96" s="516" t="str">
        <f t="shared" si="61"/>
        <v>-</v>
      </c>
      <c r="K96" s="200" t="str">
        <f t="shared" si="62"/>
        <v>-</v>
      </c>
      <c r="L96" s="596"/>
      <c r="M96" s="201" t="e">
        <f>RANK(K96, K$87:$K$101)</f>
        <v>#VALUE!</v>
      </c>
      <c r="N96" s="614"/>
      <c r="O96" s="614"/>
      <c r="P96" s="509"/>
      <c r="Q96" s="510"/>
      <c r="R96" s="510"/>
      <c r="S96" s="298" t="e">
        <f t="shared" si="77"/>
        <v>#N/A</v>
      </c>
      <c r="T96" s="636"/>
      <c r="U96" s="509"/>
      <c r="V96" s="510"/>
      <c r="W96" s="510"/>
      <c r="X96" s="442" t="e">
        <f t="shared" si="63"/>
        <v>#N/A</v>
      </c>
      <c r="Y96" s="636"/>
      <c r="Z96" s="509"/>
      <c r="AA96" s="510"/>
      <c r="AB96" s="510"/>
      <c r="AC96" s="442" t="e">
        <f t="shared" si="65"/>
        <v>#N/A</v>
      </c>
      <c r="AD96" s="636"/>
      <c r="AE96" s="509"/>
      <c r="AF96" s="510"/>
      <c r="AG96" s="510"/>
      <c r="AH96" s="442" t="e">
        <f t="shared" si="67"/>
        <v>#N/A</v>
      </c>
      <c r="AI96" s="636"/>
      <c r="AJ96" s="509"/>
      <c r="AK96" s="510"/>
      <c r="AL96" s="510"/>
      <c r="AM96" s="442" t="e">
        <f t="shared" si="69"/>
        <v>#N/A</v>
      </c>
      <c r="AN96" s="636"/>
      <c r="AO96" s="509"/>
      <c r="AP96" s="510"/>
      <c r="AQ96" s="510"/>
      <c r="AR96" s="442" t="e">
        <f t="shared" si="71"/>
        <v>#N/A</v>
      </c>
      <c r="AS96" s="636"/>
      <c r="AT96" s="509"/>
      <c r="AU96" s="510"/>
      <c r="AV96" s="510"/>
      <c r="AW96" s="442" t="e">
        <f t="shared" si="73"/>
        <v>#N/A</v>
      </c>
      <c r="AX96" s="636"/>
      <c r="AZ96" s="524" t="e">
        <f t="shared" si="75"/>
        <v>#N/A</v>
      </c>
      <c r="BA96" s="636"/>
    </row>
    <row r="97" spans="2:53">
      <c r="B97" s="622"/>
      <c r="C97" s="298">
        <v>11</v>
      </c>
      <c r="D97" s="226"/>
      <c r="E97" s="182"/>
      <c r="F97" s="466"/>
      <c r="G97" s="467"/>
      <c r="H97" s="664"/>
      <c r="I97" s="516" t="str">
        <f t="shared" si="60"/>
        <v>-</v>
      </c>
      <c r="J97" s="516" t="str">
        <f t="shared" si="61"/>
        <v>-</v>
      </c>
      <c r="K97" s="200" t="str">
        <f t="shared" si="62"/>
        <v>-</v>
      </c>
      <c r="L97" s="596"/>
      <c r="M97" s="201" t="e">
        <f>RANK(K97, K$87:$K$101)</f>
        <v>#VALUE!</v>
      </c>
      <c r="N97" s="614"/>
      <c r="O97" s="614"/>
      <c r="P97" s="509"/>
      <c r="Q97" s="510"/>
      <c r="R97" s="510"/>
      <c r="S97" s="298" t="e">
        <f t="shared" si="77"/>
        <v>#N/A</v>
      </c>
      <c r="T97" s="636"/>
      <c r="U97" s="509"/>
      <c r="V97" s="510"/>
      <c r="W97" s="510"/>
      <c r="X97" s="442" t="e">
        <f t="shared" si="63"/>
        <v>#N/A</v>
      </c>
      <c r="Y97" s="636"/>
      <c r="Z97" s="509"/>
      <c r="AA97" s="510"/>
      <c r="AB97" s="510"/>
      <c r="AC97" s="442" t="e">
        <f t="shared" si="65"/>
        <v>#N/A</v>
      </c>
      <c r="AD97" s="636"/>
      <c r="AE97" s="509"/>
      <c r="AF97" s="510"/>
      <c r="AG97" s="510"/>
      <c r="AH97" s="442" t="e">
        <f t="shared" si="67"/>
        <v>#N/A</v>
      </c>
      <c r="AI97" s="636"/>
      <c r="AJ97" s="509"/>
      <c r="AK97" s="510"/>
      <c r="AL97" s="510"/>
      <c r="AM97" s="442" t="e">
        <f t="shared" si="69"/>
        <v>#N/A</v>
      </c>
      <c r="AN97" s="636"/>
      <c r="AO97" s="509"/>
      <c r="AP97" s="510"/>
      <c r="AQ97" s="510"/>
      <c r="AR97" s="442" t="e">
        <f t="shared" si="71"/>
        <v>#N/A</v>
      </c>
      <c r="AS97" s="636"/>
      <c r="AT97" s="509"/>
      <c r="AU97" s="510"/>
      <c r="AV97" s="510"/>
      <c r="AW97" s="442" t="e">
        <f t="shared" si="73"/>
        <v>#N/A</v>
      </c>
      <c r="AX97" s="636"/>
      <c r="AZ97" s="524" t="e">
        <f t="shared" si="75"/>
        <v>#N/A</v>
      </c>
      <c r="BA97" s="636"/>
    </row>
    <row r="98" spans="2:53">
      <c r="B98" s="622"/>
      <c r="C98" s="298">
        <v>12</v>
      </c>
      <c r="D98" s="226"/>
      <c r="E98" s="182"/>
      <c r="F98" s="466"/>
      <c r="G98" s="467"/>
      <c r="H98" s="664"/>
      <c r="I98" s="516" t="str">
        <f t="shared" si="60"/>
        <v>-</v>
      </c>
      <c r="J98" s="516" t="str">
        <f t="shared" si="61"/>
        <v>-</v>
      </c>
      <c r="K98" s="200" t="str">
        <f t="shared" si="62"/>
        <v>-</v>
      </c>
      <c r="L98" s="596"/>
      <c r="M98" s="201" t="e">
        <f>RANK(K98, K$87:$K$101)</f>
        <v>#VALUE!</v>
      </c>
      <c r="N98" s="614"/>
      <c r="O98" s="614"/>
      <c r="P98" s="509"/>
      <c r="Q98" s="510"/>
      <c r="R98" s="510"/>
      <c r="S98" s="298" t="e">
        <f t="shared" si="77"/>
        <v>#N/A</v>
      </c>
      <c r="T98" s="636"/>
      <c r="U98" s="509"/>
      <c r="V98" s="510"/>
      <c r="W98" s="510"/>
      <c r="X98" s="442" t="e">
        <f t="shared" si="63"/>
        <v>#N/A</v>
      </c>
      <c r="Y98" s="636"/>
      <c r="Z98" s="509"/>
      <c r="AA98" s="510"/>
      <c r="AB98" s="510"/>
      <c r="AC98" s="442" t="e">
        <f t="shared" si="65"/>
        <v>#N/A</v>
      </c>
      <c r="AD98" s="636"/>
      <c r="AE98" s="509"/>
      <c r="AF98" s="510"/>
      <c r="AG98" s="510"/>
      <c r="AH98" s="442" t="e">
        <f t="shared" si="67"/>
        <v>#N/A</v>
      </c>
      <c r="AI98" s="636"/>
      <c r="AJ98" s="509"/>
      <c r="AK98" s="510"/>
      <c r="AL98" s="510"/>
      <c r="AM98" s="442" t="e">
        <f t="shared" si="69"/>
        <v>#N/A</v>
      </c>
      <c r="AN98" s="636"/>
      <c r="AO98" s="509"/>
      <c r="AP98" s="510"/>
      <c r="AQ98" s="510"/>
      <c r="AR98" s="442" t="e">
        <f t="shared" si="71"/>
        <v>#N/A</v>
      </c>
      <c r="AS98" s="636"/>
      <c r="AT98" s="509"/>
      <c r="AU98" s="510"/>
      <c r="AV98" s="510"/>
      <c r="AW98" s="442" t="e">
        <f t="shared" si="73"/>
        <v>#N/A</v>
      </c>
      <c r="AX98" s="636"/>
      <c r="AZ98" s="524" t="e">
        <f t="shared" si="75"/>
        <v>#N/A</v>
      </c>
      <c r="BA98" s="636"/>
    </row>
    <row r="99" spans="2:53">
      <c r="B99" s="622"/>
      <c r="C99" s="298">
        <v>13</v>
      </c>
      <c r="D99" s="226"/>
      <c r="E99" s="182"/>
      <c r="F99" s="466"/>
      <c r="G99" s="467"/>
      <c r="H99" s="664"/>
      <c r="I99" s="516" t="str">
        <f t="shared" si="60"/>
        <v>-</v>
      </c>
      <c r="J99" s="516" t="str">
        <f t="shared" si="61"/>
        <v>-</v>
      </c>
      <c r="K99" s="200" t="str">
        <f t="shared" si="62"/>
        <v>-</v>
      </c>
      <c r="L99" s="596"/>
      <c r="M99" s="201" t="e">
        <f>RANK(K99, K$87:$K$101)</f>
        <v>#VALUE!</v>
      </c>
      <c r="N99" s="614"/>
      <c r="O99" s="614"/>
      <c r="P99" s="509"/>
      <c r="Q99" s="510"/>
      <c r="R99" s="510"/>
      <c r="S99" s="298" t="e">
        <f t="shared" si="77"/>
        <v>#N/A</v>
      </c>
      <c r="T99" s="636"/>
      <c r="U99" s="509"/>
      <c r="V99" s="510"/>
      <c r="W99" s="510"/>
      <c r="X99" s="442" t="e">
        <f t="shared" si="63"/>
        <v>#N/A</v>
      </c>
      <c r="Y99" s="636"/>
      <c r="Z99" s="509"/>
      <c r="AA99" s="510"/>
      <c r="AB99" s="510"/>
      <c r="AC99" s="442" t="e">
        <f t="shared" si="65"/>
        <v>#N/A</v>
      </c>
      <c r="AD99" s="636"/>
      <c r="AE99" s="509"/>
      <c r="AF99" s="510"/>
      <c r="AG99" s="510"/>
      <c r="AH99" s="442" t="e">
        <f t="shared" si="67"/>
        <v>#N/A</v>
      </c>
      <c r="AI99" s="636"/>
      <c r="AJ99" s="509"/>
      <c r="AK99" s="510"/>
      <c r="AL99" s="510"/>
      <c r="AM99" s="442" t="e">
        <f t="shared" si="69"/>
        <v>#N/A</v>
      </c>
      <c r="AN99" s="636"/>
      <c r="AO99" s="509"/>
      <c r="AP99" s="510"/>
      <c r="AQ99" s="510"/>
      <c r="AR99" s="442" t="e">
        <f t="shared" si="71"/>
        <v>#N/A</v>
      </c>
      <c r="AS99" s="636"/>
      <c r="AT99" s="509"/>
      <c r="AU99" s="510"/>
      <c r="AV99" s="510"/>
      <c r="AW99" s="442" t="e">
        <f t="shared" si="73"/>
        <v>#N/A</v>
      </c>
      <c r="AX99" s="636"/>
      <c r="AZ99" s="524" t="e">
        <f t="shared" si="75"/>
        <v>#N/A</v>
      </c>
      <c r="BA99" s="636"/>
    </row>
    <row r="100" spans="2:53">
      <c r="B100" s="622"/>
      <c r="C100" s="298">
        <v>14</v>
      </c>
      <c r="D100" s="226"/>
      <c r="E100" s="182"/>
      <c r="F100" s="466"/>
      <c r="G100" s="467"/>
      <c r="H100" s="664"/>
      <c r="I100" s="516" t="str">
        <f t="shared" si="60"/>
        <v>-</v>
      </c>
      <c r="J100" s="516" t="str">
        <f t="shared" si="61"/>
        <v>-</v>
      </c>
      <c r="K100" s="200" t="str">
        <f t="shared" si="62"/>
        <v>-</v>
      </c>
      <c r="L100" s="596"/>
      <c r="M100" s="201" t="e">
        <f>RANK(K100, K$87:$K$101)</f>
        <v>#VALUE!</v>
      </c>
      <c r="N100" s="614"/>
      <c r="O100" s="614"/>
      <c r="P100" s="509"/>
      <c r="Q100" s="510"/>
      <c r="R100" s="510"/>
      <c r="S100" s="298" t="e">
        <f t="shared" si="77"/>
        <v>#N/A</v>
      </c>
      <c r="T100" s="636"/>
      <c r="U100" s="509"/>
      <c r="V100" s="510"/>
      <c r="W100" s="510"/>
      <c r="X100" s="442" t="e">
        <f t="shared" si="63"/>
        <v>#N/A</v>
      </c>
      <c r="Y100" s="636"/>
      <c r="Z100" s="509"/>
      <c r="AA100" s="510"/>
      <c r="AB100" s="510"/>
      <c r="AC100" s="442" t="e">
        <f t="shared" si="65"/>
        <v>#N/A</v>
      </c>
      <c r="AD100" s="636"/>
      <c r="AE100" s="509"/>
      <c r="AF100" s="510"/>
      <c r="AG100" s="510"/>
      <c r="AH100" s="442" t="e">
        <f t="shared" si="67"/>
        <v>#N/A</v>
      </c>
      <c r="AI100" s="636"/>
      <c r="AJ100" s="509"/>
      <c r="AK100" s="510"/>
      <c r="AL100" s="510"/>
      <c r="AM100" s="442" t="e">
        <f t="shared" si="69"/>
        <v>#N/A</v>
      </c>
      <c r="AN100" s="636"/>
      <c r="AO100" s="509"/>
      <c r="AP100" s="510"/>
      <c r="AQ100" s="510"/>
      <c r="AR100" s="442" t="e">
        <f t="shared" si="71"/>
        <v>#N/A</v>
      </c>
      <c r="AS100" s="636"/>
      <c r="AT100" s="509"/>
      <c r="AU100" s="510"/>
      <c r="AV100" s="510"/>
      <c r="AW100" s="442" t="e">
        <f t="shared" si="73"/>
        <v>#N/A</v>
      </c>
      <c r="AX100" s="636"/>
      <c r="AZ100" s="524" t="e">
        <f t="shared" si="75"/>
        <v>#N/A</v>
      </c>
      <c r="BA100" s="636"/>
    </row>
    <row r="101" spans="2:53">
      <c r="B101" s="622"/>
      <c r="C101" s="298">
        <v>15</v>
      </c>
      <c r="D101" s="226"/>
      <c r="E101" s="182"/>
      <c r="F101" s="466"/>
      <c r="G101" s="467"/>
      <c r="H101" s="665"/>
      <c r="I101" s="520"/>
      <c r="J101" s="520"/>
      <c r="K101" s="520"/>
      <c r="L101" s="597"/>
      <c r="M101" s="199" t="e">
        <f>RANK(K101, K$87:$K$101)</f>
        <v>#N/A</v>
      </c>
      <c r="N101" s="614"/>
      <c r="O101" s="614"/>
      <c r="P101" s="509"/>
      <c r="Q101" s="510"/>
      <c r="R101" s="510"/>
      <c r="S101" s="298" t="e">
        <f t="shared" si="77"/>
        <v>#N/A</v>
      </c>
      <c r="T101" s="636"/>
      <c r="U101" s="509"/>
      <c r="V101" s="510"/>
      <c r="W101" s="510"/>
      <c r="X101" s="442" t="e">
        <f t="shared" si="63"/>
        <v>#N/A</v>
      </c>
      <c r="Y101" s="636"/>
      <c r="Z101" s="509"/>
      <c r="AA101" s="510"/>
      <c r="AB101" s="510"/>
      <c r="AC101" s="442" t="e">
        <f t="shared" si="65"/>
        <v>#N/A</v>
      </c>
      <c r="AD101" s="636"/>
      <c r="AE101" s="509"/>
      <c r="AF101" s="510"/>
      <c r="AG101" s="510"/>
      <c r="AH101" s="442" t="e">
        <f t="shared" si="67"/>
        <v>#N/A</v>
      </c>
      <c r="AI101" s="636"/>
      <c r="AJ101" s="509"/>
      <c r="AK101" s="510"/>
      <c r="AL101" s="510"/>
      <c r="AM101" s="442" t="e">
        <f t="shared" si="69"/>
        <v>#N/A</v>
      </c>
      <c r="AN101" s="636"/>
      <c r="AO101" s="509"/>
      <c r="AP101" s="510"/>
      <c r="AQ101" s="510"/>
      <c r="AR101" s="442" t="e">
        <f t="shared" si="71"/>
        <v>#N/A</v>
      </c>
      <c r="AS101" s="636"/>
      <c r="AT101" s="509"/>
      <c r="AU101" s="510"/>
      <c r="AV101" s="510"/>
      <c r="AW101" s="442" t="e">
        <f t="shared" si="73"/>
        <v>#N/A</v>
      </c>
      <c r="AX101" s="636"/>
      <c r="AZ101" s="524" t="e">
        <f t="shared" si="75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695</v>
      </c>
      <c r="C104" s="614" t="s">
        <v>696</v>
      </c>
      <c r="D104" s="614"/>
      <c r="E104" s="614" t="s">
        <v>697</v>
      </c>
      <c r="F104" s="614"/>
      <c r="G104" s="614"/>
      <c r="H104" s="630" t="s">
        <v>698</v>
      </c>
      <c r="I104" s="614" t="s">
        <v>699</v>
      </c>
      <c r="J104" s="614"/>
      <c r="K104" s="614"/>
      <c r="L104" s="630" t="s">
        <v>395</v>
      </c>
      <c r="M104" s="615" t="s">
        <v>700</v>
      </c>
      <c r="N104" s="614"/>
      <c r="O104" s="614" t="s">
        <v>701</v>
      </c>
      <c r="P104" s="611" t="s">
        <v>687</v>
      </c>
      <c r="Q104" s="612"/>
      <c r="R104" s="612"/>
      <c r="S104" s="613"/>
      <c r="T104" s="614" t="s">
        <v>683</v>
      </c>
      <c r="U104" s="611" t="s">
        <v>687</v>
      </c>
      <c r="V104" s="612"/>
      <c r="W104" s="612"/>
      <c r="X104" s="613"/>
      <c r="Y104" s="614" t="s">
        <v>683</v>
      </c>
      <c r="Z104" s="611" t="s">
        <v>687</v>
      </c>
      <c r="AA104" s="612"/>
      <c r="AB104" s="612"/>
      <c r="AC104" s="613"/>
      <c r="AD104" s="614" t="s">
        <v>683</v>
      </c>
      <c r="AE104" s="611" t="s">
        <v>687</v>
      </c>
      <c r="AF104" s="612"/>
      <c r="AG104" s="612"/>
      <c r="AH104" s="613"/>
      <c r="AI104" s="614" t="s">
        <v>683</v>
      </c>
      <c r="AJ104" s="611" t="s">
        <v>687</v>
      </c>
      <c r="AK104" s="612"/>
      <c r="AL104" s="612"/>
      <c r="AM104" s="613"/>
      <c r="AN104" s="614" t="s">
        <v>683</v>
      </c>
      <c r="AO104" s="611" t="s">
        <v>687</v>
      </c>
      <c r="AP104" s="612"/>
      <c r="AQ104" s="612"/>
      <c r="AR104" s="613"/>
      <c r="AS104" s="614" t="s">
        <v>683</v>
      </c>
      <c r="AT104" s="611" t="s">
        <v>687</v>
      </c>
      <c r="AU104" s="612"/>
      <c r="AV104" s="612"/>
      <c r="AW104" s="613"/>
      <c r="AX104" s="614" t="s">
        <v>683</v>
      </c>
      <c r="BA104" s="614" t="s">
        <v>395</v>
      </c>
    </row>
    <row r="105" spans="2:53">
      <c r="B105" s="614"/>
      <c r="C105" s="614"/>
      <c r="D105" s="614"/>
      <c r="E105" s="614" t="s">
        <v>702</v>
      </c>
      <c r="F105" s="614"/>
      <c r="G105" s="614"/>
      <c r="H105" s="631"/>
      <c r="I105" s="614" t="s">
        <v>702</v>
      </c>
      <c r="J105" s="614"/>
      <c r="K105" s="614"/>
      <c r="L105" s="631"/>
      <c r="M105" s="616"/>
      <c r="N105" s="614"/>
      <c r="O105" s="614"/>
      <c r="P105" s="611" t="s">
        <v>689</v>
      </c>
      <c r="Q105" s="612"/>
      <c r="R105" s="612"/>
      <c r="S105" s="613"/>
      <c r="T105" s="614"/>
      <c r="U105" s="611" t="s">
        <v>689</v>
      </c>
      <c r="V105" s="612"/>
      <c r="W105" s="612"/>
      <c r="X105" s="613"/>
      <c r="Y105" s="614"/>
      <c r="Z105" s="611" t="s">
        <v>689</v>
      </c>
      <c r="AA105" s="612"/>
      <c r="AB105" s="612"/>
      <c r="AC105" s="613"/>
      <c r="AD105" s="614"/>
      <c r="AE105" s="611" t="s">
        <v>689</v>
      </c>
      <c r="AF105" s="612"/>
      <c r="AG105" s="612"/>
      <c r="AH105" s="613"/>
      <c r="AI105" s="614"/>
      <c r="AJ105" s="611" t="s">
        <v>689</v>
      </c>
      <c r="AK105" s="612"/>
      <c r="AL105" s="612"/>
      <c r="AM105" s="613"/>
      <c r="AN105" s="614"/>
      <c r="AO105" s="611" t="s">
        <v>689</v>
      </c>
      <c r="AP105" s="612"/>
      <c r="AQ105" s="612"/>
      <c r="AR105" s="613"/>
      <c r="AS105" s="614"/>
      <c r="AT105" s="611" t="s">
        <v>689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447" t="s">
        <v>703</v>
      </c>
      <c r="F106" s="447" t="s">
        <v>704</v>
      </c>
      <c r="G106" s="447" t="s">
        <v>705</v>
      </c>
      <c r="H106" s="632"/>
      <c r="I106" s="447" t="s">
        <v>703</v>
      </c>
      <c r="J106" s="447" t="s">
        <v>704</v>
      </c>
      <c r="K106" s="447" t="s">
        <v>705</v>
      </c>
      <c r="L106" s="632"/>
      <c r="M106" s="617"/>
      <c r="N106" s="614"/>
      <c r="O106" s="614"/>
      <c r="P106" s="447" t="s">
        <v>690</v>
      </c>
      <c r="Q106" s="447" t="s">
        <v>691</v>
      </c>
      <c r="R106" s="447" t="s">
        <v>692</v>
      </c>
      <c r="S106" s="447" t="s">
        <v>685</v>
      </c>
      <c r="T106" s="614"/>
      <c r="U106" s="447" t="s">
        <v>690</v>
      </c>
      <c r="V106" s="447" t="s">
        <v>691</v>
      </c>
      <c r="W106" s="447" t="s">
        <v>692</v>
      </c>
      <c r="X106" s="447" t="s">
        <v>685</v>
      </c>
      <c r="Y106" s="614"/>
      <c r="Z106" s="447" t="s">
        <v>690</v>
      </c>
      <c r="AA106" s="447" t="s">
        <v>691</v>
      </c>
      <c r="AB106" s="447" t="s">
        <v>692</v>
      </c>
      <c r="AC106" s="447" t="s">
        <v>685</v>
      </c>
      <c r="AD106" s="614"/>
      <c r="AE106" s="447" t="s">
        <v>690</v>
      </c>
      <c r="AF106" s="447" t="s">
        <v>691</v>
      </c>
      <c r="AG106" s="447" t="s">
        <v>692</v>
      </c>
      <c r="AH106" s="447" t="s">
        <v>685</v>
      </c>
      <c r="AI106" s="614"/>
      <c r="AJ106" s="447" t="s">
        <v>690</v>
      </c>
      <c r="AK106" s="447" t="s">
        <v>691</v>
      </c>
      <c r="AL106" s="447" t="s">
        <v>692</v>
      </c>
      <c r="AM106" s="447" t="s">
        <v>685</v>
      </c>
      <c r="AN106" s="614"/>
      <c r="AO106" s="447" t="s">
        <v>690</v>
      </c>
      <c r="AP106" s="447" t="s">
        <v>691</v>
      </c>
      <c r="AQ106" s="447" t="s">
        <v>692</v>
      </c>
      <c r="AR106" s="447" t="s">
        <v>685</v>
      </c>
      <c r="AS106" s="614"/>
      <c r="AT106" s="447" t="s">
        <v>690</v>
      </c>
      <c r="AU106" s="447" t="s">
        <v>691</v>
      </c>
      <c r="AV106" s="447" t="s">
        <v>692</v>
      </c>
      <c r="AW106" s="447" t="s">
        <v>685</v>
      </c>
      <c r="AX106" s="614"/>
      <c r="AZ106" s="523" t="s">
        <v>685</v>
      </c>
      <c r="BA106" s="614"/>
    </row>
    <row r="107" spans="2:53">
      <c r="B107" s="614" t="s">
        <v>135</v>
      </c>
      <c r="C107" s="452">
        <v>1</v>
      </c>
      <c r="D107" s="226"/>
      <c r="E107" s="182"/>
      <c r="F107" s="466"/>
      <c r="G107" s="467"/>
      <c r="H107" s="658" t="e">
        <f>AVERAGE(G107:G121)</f>
        <v>#DIV/0!</v>
      </c>
      <c r="I107" s="516" t="str">
        <f t="shared" ref="I107:I120" si="78">IFERROR(AVERAGE(P107,U107,Z107,AE107,AJ107,AO107,AT107),"-")</f>
        <v>-</v>
      </c>
      <c r="J107" s="516" t="str">
        <f t="shared" ref="J107:J120" si="79">IFERROR(AVERAGE(Q107,V107,AA107,AF107,AK107,AP107,AU107),"-")</f>
        <v>-</v>
      </c>
      <c r="K107" s="200" t="str">
        <f t="shared" ref="K107:K120" si="80">IFERROR(AVERAGE(R107,W107,AB107,AG107,AL107,AQ107,AV107),"-")</f>
        <v>-</v>
      </c>
      <c r="L107" s="595" t="str">
        <f>IFERROR(AVERAGE(K107:K121),"-")</f>
        <v>-</v>
      </c>
      <c r="M107" s="453" t="e">
        <f>RANK(K107, K$67:$K$81)</f>
        <v>#VALUE!</v>
      </c>
      <c r="N107" s="614"/>
      <c r="O107" s="614"/>
      <c r="P107" s="452"/>
      <c r="Q107" s="453"/>
      <c r="R107" s="453"/>
      <c r="S107" s="453" t="e">
        <f>RANK(R107, R$67:R$81)</f>
        <v>#N/A</v>
      </c>
      <c r="T107" s="687" t="e">
        <f>AVERAGE(R107:R121)</f>
        <v>#DIV/0!</v>
      </c>
      <c r="U107" s="470"/>
      <c r="V107" s="473"/>
      <c r="W107" s="473"/>
      <c r="X107" s="453" t="e">
        <f>RANK(W107, W$67:W$81)</f>
        <v>#N/A</v>
      </c>
      <c r="Y107" s="661" t="e">
        <f>AVERAGE(W107:W121)</f>
        <v>#DIV/0!</v>
      </c>
      <c r="Z107" s="470"/>
      <c r="AA107" s="473"/>
      <c r="AB107" s="473"/>
      <c r="AC107" s="453" t="e">
        <f>RANK(AB107, AB$67:AB$81)</f>
        <v>#N/A</v>
      </c>
      <c r="AD107" s="661" t="e">
        <f>AVERAGE(AB107:AB121)</f>
        <v>#DIV/0!</v>
      </c>
      <c r="AE107" s="470"/>
      <c r="AF107" s="473"/>
      <c r="AG107" s="473"/>
      <c r="AH107" s="453" t="e">
        <f>RANK(AG107, AG$67:AG$81)</f>
        <v>#N/A</v>
      </c>
      <c r="AI107" s="661" t="e">
        <f>AVERAGE(AG107:AG121)</f>
        <v>#DIV/0!</v>
      </c>
      <c r="AJ107" s="470"/>
      <c r="AK107" s="473"/>
      <c r="AL107" s="473"/>
      <c r="AM107" s="453" t="e">
        <f>RANK(AL107, AL$67:AL$81)</f>
        <v>#N/A</v>
      </c>
      <c r="AN107" s="661" t="e">
        <f>AVERAGE(AL107:AL121)</f>
        <v>#DIV/0!</v>
      </c>
      <c r="AO107" s="470"/>
      <c r="AP107" s="473"/>
      <c r="AQ107" s="473"/>
      <c r="AR107" s="453" t="e">
        <f>RANK(AQ107, AQ$67:AQ$81)</f>
        <v>#N/A</v>
      </c>
      <c r="AS107" s="687" t="e">
        <f>AVERAGE(AQ107:AQ121)</f>
        <v>#DIV/0!</v>
      </c>
      <c r="AT107" s="182"/>
      <c r="AU107" s="182"/>
      <c r="AV107" s="182"/>
      <c r="AW107" s="452" t="e">
        <f>RANK(AV107, AV$67:AV$81)</f>
        <v>#N/A</v>
      </c>
      <c r="AX107" s="682" t="e">
        <f>AVERAGE(AV107:AV121)</f>
        <v>#DIV/0!</v>
      </c>
      <c r="AZ107" s="525" t="e">
        <f>RANK(AY107, AY$67:AY$81)</f>
        <v>#N/A</v>
      </c>
      <c r="BA107" s="682" t="e">
        <f>AVERAGE(AY107:AY121)</f>
        <v>#DIV/0!</v>
      </c>
    </row>
    <row r="108" spans="2:53">
      <c r="B108" s="647"/>
      <c r="C108" s="452">
        <v>2</v>
      </c>
      <c r="D108" s="226"/>
      <c r="E108" s="182"/>
      <c r="F108" s="466"/>
      <c r="G108" s="467"/>
      <c r="H108" s="659"/>
      <c r="I108" s="516" t="str">
        <f t="shared" si="78"/>
        <v>-</v>
      </c>
      <c r="J108" s="516" t="str">
        <f t="shared" si="79"/>
        <v>-</v>
      </c>
      <c r="K108" s="200" t="str">
        <f t="shared" si="80"/>
        <v>-</v>
      </c>
      <c r="L108" s="596"/>
      <c r="M108" s="453" t="e">
        <f>RANK(K108, K$67:$K$81)</f>
        <v>#VALUE!</v>
      </c>
      <c r="N108" s="614"/>
      <c r="O108" s="614"/>
      <c r="P108" s="452"/>
      <c r="Q108" s="453"/>
      <c r="R108" s="453"/>
      <c r="S108" s="453" t="e">
        <f t="shared" ref="S108:S121" si="81">RANK(R108, R$67:R$81)</f>
        <v>#N/A</v>
      </c>
      <c r="T108" s="687"/>
      <c r="U108" s="470"/>
      <c r="V108" s="473"/>
      <c r="W108" s="473"/>
      <c r="X108" s="453" t="e">
        <f t="shared" ref="X108:X121" si="82">RANK(W108, W$67:W$81)</f>
        <v>#N/A</v>
      </c>
      <c r="Y108" s="661"/>
      <c r="Z108" s="470"/>
      <c r="AA108" s="473"/>
      <c r="AB108" s="473"/>
      <c r="AC108" s="453" t="e">
        <f t="shared" ref="AC108:AC121" si="83">RANK(AB108, AB$67:AB$81)</f>
        <v>#N/A</v>
      </c>
      <c r="AD108" s="661"/>
      <c r="AE108" s="470"/>
      <c r="AF108" s="473"/>
      <c r="AG108" s="473"/>
      <c r="AH108" s="453" t="e">
        <f t="shared" ref="AH108:AH121" si="84">RANK(AG108, AG$67:AG$81)</f>
        <v>#N/A</v>
      </c>
      <c r="AI108" s="661"/>
      <c r="AJ108" s="470"/>
      <c r="AK108" s="473"/>
      <c r="AL108" s="473"/>
      <c r="AM108" s="453" t="e">
        <f t="shared" ref="AM108:AM121" si="85">RANK(AL108, AL$67:AL$81)</f>
        <v>#N/A</v>
      </c>
      <c r="AN108" s="661"/>
      <c r="AO108" s="470"/>
      <c r="AP108" s="473"/>
      <c r="AQ108" s="473"/>
      <c r="AR108" s="453" t="e">
        <f t="shared" ref="AR108:AR121" si="86">RANK(AQ108, AQ$67:AQ$81)</f>
        <v>#N/A</v>
      </c>
      <c r="AS108" s="687"/>
      <c r="AT108" s="182"/>
      <c r="AU108" s="182"/>
      <c r="AV108" s="182"/>
      <c r="AW108" s="452" t="e">
        <f t="shared" ref="AW108:AW121" si="87">RANK(AV108, AV$67:AV$81)</f>
        <v>#N/A</v>
      </c>
      <c r="AX108" s="682"/>
      <c r="AZ108" s="525" t="e">
        <f t="shared" ref="AZ108:AZ121" si="88">RANK(AY108, AY$67:AY$81)</f>
        <v>#N/A</v>
      </c>
      <c r="BA108" s="682"/>
    </row>
    <row r="109" spans="2:53">
      <c r="B109" s="647"/>
      <c r="C109" s="452">
        <v>3</v>
      </c>
      <c r="D109" s="226"/>
      <c r="E109" s="182"/>
      <c r="F109" s="466"/>
      <c r="G109" s="467"/>
      <c r="H109" s="659"/>
      <c r="I109" s="516" t="str">
        <f t="shared" si="78"/>
        <v>-</v>
      </c>
      <c r="J109" s="516" t="str">
        <f t="shared" si="79"/>
        <v>-</v>
      </c>
      <c r="K109" s="200" t="str">
        <f t="shared" si="80"/>
        <v>-</v>
      </c>
      <c r="L109" s="596"/>
      <c r="M109" s="453" t="e">
        <f>RANK(K109, K$67:$K$81)</f>
        <v>#VALUE!</v>
      </c>
      <c r="N109" s="614"/>
      <c r="O109" s="614"/>
      <c r="P109" s="452"/>
      <c r="Q109" s="453"/>
      <c r="R109" s="453"/>
      <c r="S109" s="453" t="e">
        <f t="shared" si="81"/>
        <v>#N/A</v>
      </c>
      <c r="T109" s="687"/>
      <c r="U109" s="470"/>
      <c r="V109" s="473"/>
      <c r="W109" s="473"/>
      <c r="X109" s="453" t="e">
        <f t="shared" si="82"/>
        <v>#N/A</v>
      </c>
      <c r="Y109" s="661"/>
      <c r="Z109" s="470"/>
      <c r="AA109" s="473"/>
      <c r="AB109" s="473"/>
      <c r="AC109" s="453" t="e">
        <f t="shared" si="83"/>
        <v>#N/A</v>
      </c>
      <c r="AD109" s="661"/>
      <c r="AE109" s="470"/>
      <c r="AF109" s="473"/>
      <c r="AG109" s="473"/>
      <c r="AH109" s="453" t="e">
        <f t="shared" si="84"/>
        <v>#N/A</v>
      </c>
      <c r="AI109" s="661"/>
      <c r="AJ109" s="470"/>
      <c r="AK109" s="473"/>
      <c r="AL109" s="473"/>
      <c r="AM109" s="453" t="e">
        <f t="shared" si="85"/>
        <v>#N/A</v>
      </c>
      <c r="AN109" s="661"/>
      <c r="AO109" s="470"/>
      <c r="AP109" s="473"/>
      <c r="AQ109" s="473"/>
      <c r="AR109" s="453" t="e">
        <f t="shared" si="86"/>
        <v>#N/A</v>
      </c>
      <c r="AS109" s="687"/>
      <c r="AT109" s="182"/>
      <c r="AU109" s="182"/>
      <c r="AV109" s="182"/>
      <c r="AW109" s="452" t="e">
        <f t="shared" si="87"/>
        <v>#N/A</v>
      </c>
      <c r="AX109" s="682"/>
      <c r="AZ109" s="525" t="e">
        <f t="shared" si="88"/>
        <v>#N/A</v>
      </c>
      <c r="BA109" s="682"/>
    </row>
    <row r="110" spans="2:53">
      <c r="B110" s="647"/>
      <c r="C110" s="452">
        <v>4</v>
      </c>
      <c r="D110" s="226"/>
      <c r="E110" s="182"/>
      <c r="F110" s="466"/>
      <c r="G110" s="467"/>
      <c r="H110" s="659"/>
      <c r="I110" s="516" t="str">
        <f t="shared" si="78"/>
        <v>-</v>
      </c>
      <c r="J110" s="516" t="str">
        <f t="shared" si="79"/>
        <v>-</v>
      </c>
      <c r="K110" s="200" t="str">
        <f t="shared" si="80"/>
        <v>-</v>
      </c>
      <c r="L110" s="596"/>
      <c r="M110" s="453" t="e">
        <f>RANK(K110, K$67:$K$81)</f>
        <v>#VALUE!</v>
      </c>
      <c r="N110" s="614"/>
      <c r="O110" s="614"/>
      <c r="P110" s="452"/>
      <c r="Q110" s="453"/>
      <c r="R110" s="453"/>
      <c r="S110" s="453" t="e">
        <f t="shared" si="81"/>
        <v>#N/A</v>
      </c>
      <c r="T110" s="687"/>
      <c r="U110" s="470"/>
      <c r="V110" s="473"/>
      <c r="W110" s="473"/>
      <c r="X110" s="453" t="e">
        <f t="shared" si="82"/>
        <v>#N/A</v>
      </c>
      <c r="Y110" s="661"/>
      <c r="Z110" s="470"/>
      <c r="AA110" s="473"/>
      <c r="AB110" s="473"/>
      <c r="AC110" s="453" t="e">
        <f t="shared" si="83"/>
        <v>#N/A</v>
      </c>
      <c r="AD110" s="661"/>
      <c r="AE110" s="470"/>
      <c r="AF110" s="473"/>
      <c r="AG110" s="473"/>
      <c r="AH110" s="453" t="e">
        <f t="shared" si="84"/>
        <v>#N/A</v>
      </c>
      <c r="AI110" s="661"/>
      <c r="AJ110" s="470"/>
      <c r="AK110" s="473"/>
      <c r="AL110" s="473"/>
      <c r="AM110" s="453" t="e">
        <f t="shared" si="85"/>
        <v>#N/A</v>
      </c>
      <c r="AN110" s="661"/>
      <c r="AO110" s="470"/>
      <c r="AP110" s="473"/>
      <c r="AQ110" s="473"/>
      <c r="AR110" s="453" t="e">
        <f t="shared" si="86"/>
        <v>#N/A</v>
      </c>
      <c r="AS110" s="687"/>
      <c r="AT110" s="182"/>
      <c r="AU110" s="182"/>
      <c r="AV110" s="182"/>
      <c r="AW110" s="452" t="e">
        <f t="shared" si="87"/>
        <v>#N/A</v>
      </c>
      <c r="AX110" s="682"/>
      <c r="AZ110" s="525" t="e">
        <f t="shared" si="88"/>
        <v>#N/A</v>
      </c>
      <c r="BA110" s="682"/>
    </row>
    <row r="111" spans="2:53">
      <c r="B111" s="647"/>
      <c r="C111" s="452">
        <v>5</v>
      </c>
      <c r="D111" s="226"/>
      <c r="E111" s="182"/>
      <c r="F111" s="466"/>
      <c r="G111" s="467"/>
      <c r="H111" s="659"/>
      <c r="I111" s="516" t="str">
        <f t="shared" si="78"/>
        <v>-</v>
      </c>
      <c r="J111" s="516" t="str">
        <f t="shared" si="79"/>
        <v>-</v>
      </c>
      <c r="K111" s="200" t="str">
        <f t="shared" si="80"/>
        <v>-</v>
      </c>
      <c r="L111" s="596"/>
      <c r="M111" s="453" t="e">
        <f>RANK(K111, K$67:$K$81)</f>
        <v>#VALUE!</v>
      </c>
      <c r="N111" s="614"/>
      <c r="O111" s="614"/>
      <c r="P111" s="452"/>
      <c r="Q111" s="453"/>
      <c r="R111" s="453"/>
      <c r="S111" s="453" t="e">
        <f t="shared" si="81"/>
        <v>#N/A</v>
      </c>
      <c r="T111" s="687"/>
      <c r="U111" s="470"/>
      <c r="V111" s="473"/>
      <c r="W111" s="473"/>
      <c r="X111" s="453" t="e">
        <f t="shared" si="82"/>
        <v>#N/A</v>
      </c>
      <c r="Y111" s="661"/>
      <c r="Z111" s="470"/>
      <c r="AA111" s="473"/>
      <c r="AB111" s="473"/>
      <c r="AC111" s="453" t="e">
        <f t="shared" si="83"/>
        <v>#N/A</v>
      </c>
      <c r="AD111" s="661"/>
      <c r="AE111" s="470"/>
      <c r="AF111" s="473"/>
      <c r="AG111" s="473"/>
      <c r="AH111" s="453" t="e">
        <f t="shared" si="84"/>
        <v>#N/A</v>
      </c>
      <c r="AI111" s="661"/>
      <c r="AJ111" s="470"/>
      <c r="AK111" s="473"/>
      <c r="AL111" s="473"/>
      <c r="AM111" s="453" t="e">
        <f t="shared" si="85"/>
        <v>#N/A</v>
      </c>
      <c r="AN111" s="661"/>
      <c r="AO111" s="470"/>
      <c r="AP111" s="473"/>
      <c r="AQ111" s="473"/>
      <c r="AR111" s="453" t="e">
        <f t="shared" si="86"/>
        <v>#N/A</v>
      </c>
      <c r="AS111" s="687"/>
      <c r="AT111" s="182"/>
      <c r="AU111" s="182"/>
      <c r="AV111" s="182"/>
      <c r="AW111" s="452" t="e">
        <f t="shared" si="87"/>
        <v>#N/A</v>
      </c>
      <c r="AX111" s="682"/>
      <c r="AZ111" s="525" t="e">
        <f t="shared" si="88"/>
        <v>#N/A</v>
      </c>
      <c r="BA111" s="682"/>
    </row>
    <row r="112" spans="2:53">
      <c r="B112" s="647"/>
      <c r="C112" s="452">
        <v>6</v>
      </c>
      <c r="D112" s="226"/>
      <c r="E112" s="182"/>
      <c r="F112" s="466"/>
      <c r="G112" s="467"/>
      <c r="H112" s="659"/>
      <c r="I112" s="516" t="str">
        <f t="shared" si="78"/>
        <v>-</v>
      </c>
      <c r="J112" s="516" t="str">
        <f t="shared" si="79"/>
        <v>-</v>
      </c>
      <c r="K112" s="200" t="str">
        <f t="shared" si="80"/>
        <v>-</v>
      </c>
      <c r="L112" s="596"/>
      <c r="M112" s="453" t="e">
        <f>RANK(K112, K$67:$K$81)</f>
        <v>#VALUE!</v>
      </c>
      <c r="N112" s="614"/>
      <c r="O112" s="614"/>
      <c r="P112" s="452"/>
      <c r="Q112" s="453"/>
      <c r="R112" s="453"/>
      <c r="S112" s="453" t="e">
        <f t="shared" si="81"/>
        <v>#N/A</v>
      </c>
      <c r="T112" s="687"/>
      <c r="U112" s="470"/>
      <c r="V112" s="473"/>
      <c r="W112" s="473"/>
      <c r="X112" s="453" t="e">
        <f t="shared" si="82"/>
        <v>#N/A</v>
      </c>
      <c r="Y112" s="661"/>
      <c r="Z112" s="470"/>
      <c r="AA112" s="473"/>
      <c r="AB112" s="473"/>
      <c r="AC112" s="453" t="e">
        <f t="shared" si="83"/>
        <v>#N/A</v>
      </c>
      <c r="AD112" s="661"/>
      <c r="AE112" s="470"/>
      <c r="AF112" s="473"/>
      <c r="AG112" s="473"/>
      <c r="AH112" s="453" t="e">
        <f t="shared" si="84"/>
        <v>#N/A</v>
      </c>
      <c r="AI112" s="661"/>
      <c r="AJ112" s="470"/>
      <c r="AK112" s="473"/>
      <c r="AL112" s="473"/>
      <c r="AM112" s="453" t="e">
        <f t="shared" si="85"/>
        <v>#N/A</v>
      </c>
      <c r="AN112" s="661"/>
      <c r="AO112" s="470"/>
      <c r="AP112" s="473"/>
      <c r="AQ112" s="473"/>
      <c r="AR112" s="453" t="e">
        <f t="shared" si="86"/>
        <v>#N/A</v>
      </c>
      <c r="AS112" s="687"/>
      <c r="AT112" s="182"/>
      <c r="AU112" s="182"/>
      <c r="AV112" s="182"/>
      <c r="AW112" s="452" t="e">
        <f t="shared" si="87"/>
        <v>#N/A</v>
      </c>
      <c r="AX112" s="682"/>
      <c r="AZ112" s="525" t="e">
        <f t="shared" si="88"/>
        <v>#N/A</v>
      </c>
      <c r="BA112" s="682"/>
    </row>
    <row r="113" spans="2:53">
      <c r="B113" s="647"/>
      <c r="C113" s="452">
        <v>7</v>
      </c>
      <c r="D113" s="226"/>
      <c r="E113" s="182"/>
      <c r="F113" s="466"/>
      <c r="G113" s="467"/>
      <c r="H113" s="659"/>
      <c r="I113" s="516" t="str">
        <f t="shared" si="78"/>
        <v>-</v>
      </c>
      <c r="J113" s="516" t="str">
        <f t="shared" si="79"/>
        <v>-</v>
      </c>
      <c r="K113" s="200" t="str">
        <f t="shared" si="80"/>
        <v>-</v>
      </c>
      <c r="L113" s="596"/>
      <c r="M113" s="453" t="e">
        <f>RANK(K113, K$67:$K$81)</f>
        <v>#VALUE!</v>
      </c>
      <c r="N113" s="614"/>
      <c r="O113" s="614"/>
      <c r="P113" s="452"/>
      <c r="Q113" s="453"/>
      <c r="R113" s="453"/>
      <c r="S113" s="453" t="e">
        <f t="shared" si="81"/>
        <v>#N/A</v>
      </c>
      <c r="T113" s="687"/>
      <c r="U113" s="470"/>
      <c r="V113" s="473"/>
      <c r="W113" s="473"/>
      <c r="X113" s="453" t="e">
        <f t="shared" si="82"/>
        <v>#N/A</v>
      </c>
      <c r="Y113" s="661"/>
      <c r="Z113" s="470"/>
      <c r="AA113" s="473"/>
      <c r="AB113" s="473"/>
      <c r="AC113" s="453" t="e">
        <f t="shared" si="83"/>
        <v>#N/A</v>
      </c>
      <c r="AD113" s="661"/>
      <c r="AE113" s="470"/>
      <c r="AF113" s="473"/>
      <c r="AG113" s="473"/>
      <c r="AH113" s="453" t="e">
        <f t="shared" si="84"/>
        <v>#N/A</v>
      </c>
      <c r="AI113" s="661"/>
      <c r="AJ113" s="470"/>
      <c r="AK113" s="473"/>
      <c r="AL113" s="473"/>
      <c r="AM113" s="453" t="e">
        <f t="shared" si="85"/>
        <v>#N/A</v>
      </c>
      <c r="AN113" s="661"/>
      <c r="AO113" s="470"/>
      <c r="AP113" s="473"/>
      <c r="AQ113" s="473"/>
      <c r="AR113" s="453" t="e">
        <f t="shared" si="86"/>
        <v>#N/A</v>
      </c>
      <c r="AS113" s="687"/>
      <c r="AT113" s="182"/>
      <c r="AU113" s="182"/>
      <c r="AV113" s="182"/>
      <c r="AW113" s="452" t="e">
        <f t="shared" si="87"/>
        <v>#N/A</v>
      </c>
      <c r="AX113" s="682"/>
      <c r="AZ113" s="525" t="e">
        <f t="shared" si="88"/>
        <v>#N/A</v>
      </c>
      <c r="BA113" s="682"/>
    </row>
    <row r="114" spans="2:53">
      <c r="B114" s="647"/>
      <c r="C114" s="452">
        <v>8</v>
      </c>
      <c r="D114" s="226"/>
      <c r="E114" s="182"/>
      <c r="F114" s="466"/>
      <c r="G114" s="467"/>
      <c r="H114" s="659"/>
      <c r="I114" s="516" t="str">
        <f t="shared" si="78"/>
        <v>-</v>
      </c>
      <c r="J114" s="516" t="str">
        <f t="shared" si="79"/>
        <v>-</v>
      </c>
      <c r="K114" s="200" t="str">
        <f t="shared" si="80"/>
        <v>-</v>
      </c>
      <c r="L114" s="596"/>
      <c r="M114" s="453" t="e">
        <f>RANK(K114, K$67:$K$81)</f>
        <v>#VALUE!</v>
      </c>
      <c r="N114" s="614"/>
      <c r="O114" s="614"/>
      <c r="P114" s="452"/>
      <c r="Q114" s="453"/>
      <c r="R114" s="453"/>
      <c r="S114" s="453" t="e">
        <f t="shared" si="81"/>
        <v>#N/A</v>
      </c>
      <c r="T114" s="687"/>
      <c r="U114" s="470"/>
      <c r="V114" s="473"/>
      <c r="W114" s="473"/>
      <c r="X114" s="453" t="e">
        <f t="shared" si="82"/>
        <v>#N/A</v>
      </c>
      <c r="Y114" s="661"/>
      <c r="Z114" s="470"/>
      <c r="AA114" s="473"/>
      <c r="AB114" s="473"/>
      <c r="AC114" s="453" t="e">
        <f t="shared" si="83"/>
        <v>#N/A</v>
      </c>
      <c r="AD114" s="661"/>
      <c r="AE114" s="470"/>
      <c r="AF114" s="473"/>
      <c r="AG114" s="473"/>
      <c r="AH114" s="453" t="e">
        <f t="shared" si="84"/>
        <v>#N/A</v>
      </c>
      <c r="AI114" s="661"/>
      <c r="AJ114" s="470"/>
      <c r="AK114" s="473"/>
      <c r="AL114" s="473"/>
      <c r="AM114" s="453" t="e">
        <f t="shared" si="85"/>
        <v>#N/A</v>
      </c>
      <c r="AN114" s="661"/>
      <c r="AO114" s="470"/>
      <c r="AP114" s="473"/>
      <c r="AQ114" s="473"/>
      <c r="AR114" s="453" t="e">
        <f t="shared" si="86"/>
        <v>#N/A</v>
      </c>
      <c r="AS114" s="687"/>
      <c r="AT114" s="182"/>
      <c r="AU114" s="182"/>
      <c r="AV114" s="182"/>
      <c r="AW114" s="452" t="e">
        <f t="shared" si="87"/>
        <v>#N/A</v>
      </c>
      <c r="AX114" s="682"/>
      <c r="AZ114" s="525" t="e">
        <f t="shared" si="88"/>
        <v>#N/A</v>
      </c>
      <c r="BA114" s="682"/>
    </row>
    <row r="115" spans="2:53">
      <c r="B115" s="647"/>
      <c r="C115" s="452">
        <v>9</v>
      </c>
      <c r="D115" s="226"/>
      <c r="E115" s="182"/>
      <c r="F115" s="466"/>
      <c r="G115" s="467"/>
      <c r="H115" s="659"/>
      <c r="I115" s="516" t="str">
        <f t="shared" si="78"/>
        <v>-</v>
      </c>
      <c r="J115" s="516" t="str">
        <f t="shared" si="79"/>
        <v>-</v>
      </c>
      <c r="K115" s="200" t="str">
        <f t="shared" si="80"/>
        <v>-</v>
      </c>
      <c r="L115" s="596"/>
      <c r="M115" s="453" t="e">
        <f>RANK(K115, K$67:$K$81)</f>
        <v>#VALUE!</v>
      </c>
      <c r="N115" s="614"/>
      <c r="O115" s="614"/>
      <c r="P115" s="452"/>
      <c r="Q115" s="453"/>
      <c r="R115" s="453"/>
      <c r="S115" s="453" t="e">
        <f t="shared" si="81"/>
        <v>#N/A</v>
      </c>
      <c r="T115" s="687"/>
      <c r="U115" s="470"/>
      <c r="V115" s="473"/>
      <c r="W115" s="473"/>
      <c r="X115" s="453" t="e">
        <f t="shared" si="82"/>
        <v>#N/A</v>
      </c>
      <c r="Y115" s="661"/>
      <c r="Z115" s="470"/>
      <c r="AA115" s="473"/>
      <c r="AB115" s="473"/>
      <c r="AC115" s="453" t="e">
        <f t="shared" si="83"/>
        <v>#N/A</v>
      </c>
      <c r="AD115" s="661"/>
      <c r="AE115" s="470"/>
      <c r="AF115" s="473"/>
      <c r="AG115" s="473"/>
      <c r="AH115" s="453" t="e">
        <f t="shared" si="84"/>
        <v>#N/A</v>
      </c>
      <c r="AI115" s="661"/>
      <c r="AJ115" s="470"/>
      <c r="AK115" s="473"/>
      <c r="AL115" s="473"/>
      <c r="AM115" s="453" t="e">
        <f t="shared" si="85"/>
        <v>#N/A</v>
      </c>
      <c r="AN115" s="661"/>
      <c r="AO115" s="470"/>
      <c r="AP115" s="473"/>
      <c r="AQ115" s="473"/>
      <c r="AR115" s="453" t="e">
        <f t="shared" si="86"/>
        <v>#N/A</v>
      </c>
      <c r="AS115" s="687"/>
      <c r="AT115" s="182"/>
      <c r="AU115" s="182"/>
      <c r="AV115" s="182"/>
      <c r="AW115" s="452" t="e">
        <f t="shared" si="87"/>
        <v>#N/A</v>
      </c>
      <c r="AX115" s="682"/>
      <c r="AZ115" s="525" t="e">
        <f t="shared" si="88"/>
        <v>#N/A</v>
      </c>
      <c r="BA115" s="682"/>
    </row>
    <row r="116" spans="2:53">
      <c r="B116" s="647"/>
      <c r="C116" s="452">
        <v>10</v>
      </c>
      <c r="D116" s="226"/>
      <c r="E116" s="182"/>
      <c r="F116" s="466"/>
      <c r="G116" s="467"/>
      <c r="H116" s="659"/>
      <c r="I116" s="516" t="str">
        <f t="shared" si="78"/>
        <v>-</v>
      </c>
      <c r="J116" s="516" t="str">
        <f t="shared" si="79"/>
        <v>-</v>
      </c>
      <c r="K116" s="200" t="str">
        <f t="shared" si="80"/>
        <v>-</v>
      </c>
      <c r="L116" s="596"/>
      <c r="M116" s="453" t="e">
        <f>RANK(K116, K$67:$K$81)</f>
        <v>#VALUE!</v>
      </c>
      <c r="N116" s="614"/>
      <c r="O116" s="614"/>
      <c r="P116" s="452"/>
      <c r="Q116" s="453"/>
      <c r="R116" s="453"/>
      <c r="S116" s="453" t="e">
        <f t="shared" si="81"/>
        <v>#N/A</v>
      </c>
      <c r="T116" s="687"/>
      <c r="U116" s="470"/>
      <c r="V116" s="473"/>
      <c r="W116" s="473"/>
      <c r="X116" s="453" t="e">
        <f t="shared" si="82"/>
        <v>#N/A</v>
      </c>
      <c r="Y116" s="661"/>
      <c r="Z116" s="470"/>
      <c r="AA116" s="473"/>
      <c r="AB116" s="473"/>
      <c r="AC116" s="453" t="e">
        <f t="shared" si="83"/>
        <v>#N/A</v>
      </c>
      <c r="AD116" s="661"/>
      <c r="AE116" s="470"/>
      <c r="AF116" s="473"/>
      <c r="AG116" s="473"/>
      <c r="AH116" s="453" t="e">
        <f t="shared" si="84"/>
        <v>#N/A</v>
      </c>
      <c r="AI116" s="661"/>
      <c r="AJ116" s="470"/>
      <c r="AK116" s="473"/>
      <c r="AL116" s="473"/>
      <c r="AM116" s="453" t="e">
        <f t="shared" si="85"/>
        <v>#N/A</v>
      </c>
      <c r="AN116" s="661"/>
      <c r="AO116" s="470"/>
      <c r="AP116" s="473"/>
      <c r="AQ116" s="473"/>
      <c r="AR116" s="453" t="e">
        <f t="shared" si="86"/>
        <v>#N/A</v>
      </c>
      <c r="AS116" s="687"/>
      <c r="AT116" s="182"/>
      <c r="AU116" s="182"/>
      <c r="AV116" s="182"/>
      <c r="AW116" s="452" t="e">
        <f t="shared" si="87"/>
        <v>#N/A</v>
      </c>
      <c r="AX116" s="682"/>
      <c r="AZ116" s="525" t="e">
        <f t="shared" si="88"/>
        <v>#N/A</v>
      </c>
      <c r="BA116" s="682"/>
    </row>
    <row r="117" spans="2:53">
      <c r="B117" s="647"/>
      <c r="C117" s="452">
        <v>11</v>
      </c>
      <c r="D117" s="226"/>
      <c r="E117" s="182"/>
      <c r="F117" s="466"/>
      <c r="G117" s="467"/>
      <c r="H117" s="659"/>
      <c r="I117" s="516" t="str">
        <f t="shared" si="78"/>
        <v>-</v>
      </c>
      <c r="J117" s="516" t="str">
        <f t="shared" si="79"/>
        <v>-</v>
      </c>
      <c r="K117" s="200" t="str">
        <f t="shared" si="80"/>
        <v>-</v>
      </c>
      <c r="L117" s="596"/>
      <c r="M117" s="453" t="e">
        <f>RANK(K117, K$67:$K$81)</f>
        <v>#VALUE!</v>
      </c>
      <c r="N117" s="614"/>
      <c r="O117" s="614"/>
      <c r="P117" s="452"/>
      <c r="Q117" s="453"/>
      <c r="R117" s="453"/>
      <c r="S117" s="453" t="e">
        <f t="shared" si="81"/>
        <v>#N/A</v>
      </c>
      <c r="T117" s="687"/>
      <c r="U117" s="470"/>
      <c r="V117" s="473"/>
      <c r="W117" s="473"/>
      <c r="X117" s="453" t="e">
        <f t="shared" si="82"/>
        <v>#N/A</v>
      </c>
      <c r="Y117" s="661"/>
      <c r="Z117" s="470"/>
      <c r="AA117" s="473"/>
      <c r="AB117" s="473"/>
      <c r="AC117" s="453" t="e">
        <f t="shared" si="83"/>
        <v>#N/A</v>
      </c>
      <c r="AD117" s="661"/>
      <c r="AE117" s="470"/>
      <c r="AF117" s="473"/>
      <c r="AG117" s="473"/>
      <c r="AH117" s="453" t="e">
        <f t="shared" si="84"/>
        <v>#N/A</v>
      </c>
      <c r="AI117" s="661"/>
      <c r="AJ117" s="470"/>
      <c r="AK117" s="473"/>
      <c r="AL117" s="473"/>
      <c r="AM117" s="453" t="e">
        <f t="shared" si="85"/>
        <v>#N/A</v>
      </c>
      <c r="AN117" s="661"/>
      <c r="AO117" s="470"/>
      <c r="AP117" s="473"/>
      <c r="AQ117" s="473"/>
      <c r="AR117" s="453" t="e">
        <f t="shared" si="86"/>
        <v>#N/A</v>
      </c>
      <c r="AS117" s="687"/>
      <c r="AT117" s="182"/>
      <c r="AU117" s="182"/>
      <c r="AV117" s="182"/>
      <c r="AW117" s="452" t="e">
        <f t="shared" si="87"/>
        <v>#N/A</v>
      </c>
      <c r="AX117" s="682"/>
      <c r="AZ117" s="525" t="e">
        <f t="shared" si="88"/>
        <v>#N/A</v>
      </c>
      <c r="BA117" s="682"/>
    </row>
    <row r="118" spans="2:53">
      <c r="B118" s="647"/>
      <c r="C118" s="452">
        <v>12</v>
      </c>
      <c r="D118" s="226"/>
      <c r="E118" s="182"/>
      <c r="F118" s="466"/>
      <c r="G118" s="467"/>
      <c r="H118" s="659"/>
      <c r="I118" s="516" t="str">
        <f t="shared" si="78"/>
        <v>-</v>
      </c>
      <c r="J118" s="516" t="str">
        <f t="shared" si="79"/>
        <v>-</v>
      </c>
      <c r="K118" s="200" t="str">
        <f t="shared" si="80"/>
        <v>-</v>
      </c>
      <c r="L118" s="596"/>
      <c r="M118" s="453" t="e">
        <f>RANK(K118, K$67:$K$81)</f>
        <v>#VALUE!</v>
      </c>
      <c r="N118" s="614"/>
      <c r="O118" s="614"/>
      <c r="P118" s="452"/>
      <c r="Q118" s="453"/>
      <c r="R118" s="453"/>
      <c r="S118" s="453" t="e">
        <f t="shared" si="81"/>
        <v>#N/A</v>
      </c>
      <c r="T118" s="687"/>
      <c r="U118" s="470"/>
      <c r="V118" s="473"/>
      <c r="W118" s="473"/>
      <c r="X118" s="453" t="e">
        <f t="shared" si="82"/>
        <v>#N/A</v>
      </c>
      <c r="Y118" s="661"/>
      <c r="Z118" s="470"/>
      <c r="AA118" s="473"/>
      <c r="AB118" s="473"/>
      <c r="AC118" s="453" t="e">
        <f t="shared" si="83"/>
        <v>#N/A</v>
      </c>
      <c r="AD118" s="661"/>
      <c r="AE118" s="470"/>
      <c r="AF118" s="473"/>
      <c r="AG118" s="473"/>
      <c r="AH118" s="453" t="e">
        <f t="shared" si="84"/>
        <v>#N/A</v>
      </c>
      <c r="AI118" s="661"/>
      <c r="AJ118" s="470"/>
      <c r="AK118" s="473"/>
      <c r="AL118" s="473"/>
      <c r="AM118" s="453" t="e">
        <f t="shared" si="85"/>
        <v>#N/A</v>
      </c>
      <c r="AN118" s="661"/>
      <c r="AO118" s="470"/>
      <c r="AP118" s="473"/>
      <c r="AQ118" s="473"/>
      <c r="AR118" s="453" t="e">
        <f t="shared" si="86"/>
        <v>#N/A</v>
      </c>
      <c r="AS118" s="687"/>
      <c r="AT118" s="182"/>
      <c r="AU118" s="182"/>
      <c r="AV118" s="182"/>
      <c r="AW118" s="452" t="e">
        <f t="shared" si="87"/>
        <v>#N/A</v>
      </c>
      <c r="AX118" s="682"/>
      <c r="AZ118" s="525" t="e">
        <f t="shared" si="88"/>
        <v>#N/A</v>
      </c>
      <c r="BA118" s="682"/>
    </row>
    <row r="119" spans="2:53">
      <c r="B119" s="647"/>
      <c r="C119" s="452">
        <v>13</v>
      </c>
      <c r="D119" s="226"/>
      <c r="E119" s="182"/>
      <c r="F119" s="466"/>
      <c r="G119" s="467"/>
      <c r="H119" s="659"/>
      <c r="I119" s="516" t="str">
        <f t="shared" si="78"/>
        <v>-</v>
      </c>
      <c r="J119" s="516" t="str">
        <f t="shared" si="79"/>
        <v>-</v>
      </c>
      <c r="K119" s="200" t="str">
        <f t="shared" si="80"/>
        <v>-</v>
      </c>
      <c r="L119" s="596"/>
      <c r="M119" s="453" t="e">
        <f>RANK(K119, K$67:$K$81)</f>
        <v>#VALUE!</v>
      </c>
      <c r="N119" s="614"/>
      <c r="O119" s="614"/>
      <c r="P119" s="452"/>
      <c r="Q119" s="453"/>
      <c r="R119" s="453"/>
      <c r="S119" s="453" t="e">
        <f t="shared" si="81"/>
        <v>#N/A</v>
      </c>
      <c r="T119" s="687"/>
      <c r="U119" s="470"/>
      <c r="V119" s="473"/>
      <c r="W119" s="473"/>
      <c r="X119" s="453" t="e">
        <f t="shared" si="82"/>
        <v>#N/A</v>
      </c>
      <c r="Y119" s="661"/>
      <c r="Z119" s="470"/>
      <c r="AA119" s="473"/>
      <c r="AB119" s="473"/>
      <c r="AC119" s="454" t="e">
        <f t="shared" si="83"/>
        <v>#N/A</v>
      </c>
      <c r="AD119" s="661"/>
      <c r="AE119" s="470"/>
      <c r="AF119" s="473"/>
      <c r="AG119" s="473"/>
      <c r="AH119" s="453" t="e">
        <f t="shared" si="84"/>
        <v>#N/A</v>
      </c>
      <c r="AI119" s="661"/>
      <c r="AJ119" s="470"/>
      <c r="AK119" s="473"/>
      <c r="AL119" s="473"/>
      <c r="AM119" s="453" t="e">
        <f t="shared" si="85"/>
        <v>#N/A</v>
      </c>
      <c r="AN119" s="661"/>
      <c r="AO119" s="470"/>
      <c r="AP119" s="473"/>
      <c r="AQ119" s="473"/>
      <c r="AR119" s="454" t="e">
        <f t="shared" si="86"/>
        <v>#N/A</v>
      </c>
      <c r="AS119" s="687"/>
      <c r="AT119" s="182"/>
      <c r="AU119" s="182"/>
      <c r="AV119" s="182"/>
      <c r="AW119" s="452" t="e">
        <f t="shared" si="87"/>
        <v>#N/A</v>
      </c>
      <c r="AX119" s="682"/>
      <c r="AZ119" s="525" t="e">
        <f t="shared" si="88"/>
        <v>#N/A</v>
      </c>
      <c r="BA119" s="682"/>
    </row>
    <row r="120" spans="2:53">
      <c r="B120" s="647"/>
      <c r="C120" s="452">
        <v>14</v>
      </c>
      <c r="D120" s="226"/>
      <c r="E120" s="182"/>
      <c r="F120" s="466"/>
      <c r="G120" s="467"/>
      <c r="H120" s="659"/>
      <c r="I120" s="516" t="str">
        <f t="shared" si="78"/>
        <v>-</v>
      </c>
      <c r="J120" s="516" t="str">
        <f t="shared" si="79"/>
        <v>-</v>
      </c>
      <c r="K120" s="200" t="str">
        <f t="shared" si="80"/>
        <v>-</v>
      </c>
      <c r="L120" s="596"/>
      <c r="M120" s="453" t="e">
        <f>RANK(K120, K$67:$K$81)</f>
        <v>#VALUE!</v>
      </c>
      <c r="N120" s="614"/>
      <c r="O120" s="614"/>
      <c r="P120" s="452"/>
      <c r="Q120" s="453"/>
      <c r="R120" s="453"/>
      <c r="S120" s="453" t="e">
        <f t="shared" si="81"/>
        <v>#N/A</v>
      </c>
      <c r="T120" s="687"/>
      <c r="U120" s="470"/>
      <c r="V120" s="473"/>
      <c r="W120" s="473"/>
      <c r="X120" s="453" t="e">
        <f t="shared" si="82"/>
        <v>#N/A</v>
      </c>
      <c r="Y120" s="661"/>
      <c r="Z120" s="470"/>
      <c r="AA120" s="473"/>
      <c r="AB120" s="473"/>
      <c r="AC120" s="454" t="e">
        <f t="shared" si="83"/>
        <v>#N/A</v>
      </c>
      <c r="AD120" s="661"/>
      <c r="AE120" s="470"/>
      <c r="AF120" s="473"/>
      <c r="AG120" s="473"/>
      <c r="AH120" s="454" t="e">
        <f t="shared" si="84"/>
        <v>#N/A</v>
      </c>
      <c r="AI120" s="661"/>
      <c r="AJ120" s="470"/>
      <c r="AK120" s="473"/>
      <c r="AL120" s="473"/>
      <c r="AM120" s="454" t="e">
        <f t="shared" si="85"/>
        <v>#N/A</v>
      </c>
      <c r="AN120" s="661"/>
      <c r="AO120" s="470"/>
      <c r="AP120" s="473"/>
      <c r="AQ120" s="473"/>
      <c r="AR120" s="454" t="e">
        <f t="shared" si="86"/>
        <v>#N/A</v>
      </c>
      <c r="AS120" s="687"/>
      <c r="AT120" s="182"/>
      <c r="AU120" s="182"/>
      <c r="AV120" s="182"/>
      <c r="AW120" s="452" t="e">
        <f t="shared" si="87"/>
        <v>#N/A</v>
      </c>
      <c r="AX120" s="682"/>
      <c r="AZ120" s="525" t="e">
        <f t="shared" si="88"/>
        <v>#N/A</v>
      </c>
      <c r="BA120" s="682"/>
    </row>
    <row r="121" spans="2:53">
      <c r="B121" s="647"/>
      <c r="C121" s="452">
        <v>15</v>
      </c>
      <c r="D121" s="226"/>
      <c r="E121" s="182"/>
      <c r="F121" s="466"/>
      <c r="G121" s="467"/>
      <c r="H121" s="669"/>
      <c r="I121" s="520"/>
      <c r="J121" s="520"/>
      <c r="K121" s="520"/>
      <c r="L121" s="597"/>
      <c r="M121" s="453" t="e">
        <f>RANK(K121, K$67:$K$81)</f>
        <v>#N/A</v>
      </c>
      <c r="N121" s="614"/>
      <c r="O121" s="614"/>
      <c r="P121" s="452"/>
      <c r="Q121" s="453"/>
      <c r="R121" s="453"/>
      <c r="S121" s="453" t="e">
        <f t="shared" si="81"/>
        <v>#N/A</v>
      </c>
      <c r="T121" s="687"/>
      <c r="U121" s="470"/>
      <c r="V121" s="473"/>
      <c r="W121" s="473"/>
      <c r="X121" s="454" t="e">
        <f t="shared" si="82"/>
        <v>#N/A</v>
      </c>
      <c r="Y121" s="661"/>
      <c r="Z121" s="470"/>
      <c r="AA121" s="473"/>
      <c r="AB121" s="473"/>
      <c r="AC121" s="454" t="e">
        <f t="shared" si="83"/>
        <v>#N/A</v>
      </c>
      <c r="AD121" s="661"/>
      <c r="AE121" s="470"/>
      <c r="AF121" s="473"/>
      <c r="AG121" s="473"/>
      <c r="AH121" s="454" t="e">
        <f t="shared" si="84"/>
        <v>#N/A</v>
      </c>
      <c r="AI121" s="661"/>
      <c r="AJ121" s="470"/>
      <c r="AK121" s="473"/>
      <c r="AL121" s="473"/>
      <c r="AM121" s="454" t="e">
        <f t="shared" si="85"/>
        <v>#N/A</v>
      </c>
      <c r="AN121" s="661"/>
      <c r="AO121" s="470"/>
      <c r="AP121" s="473"/>
      <c r="AQ121" s="473"/>
      <c r="AR121" s="454" t="e">
        <f t="shared" si="86"/>
        <v>#N/A</v>
      </c>
      <c r="AS121" s="687"/>
      <c r="AT121" s="182"/>
      <c r="AU121" s="182"/>
      <c r="AV121" s="182"/>
      <c r="AW121" s="452" t="e">
        <f t="shared" si="87"/>
        <v>#N/A</v>
      </c>
      <c r="AX121" s="682"/>
      <c r="AZ121" s="525" t="e">
        <f t="shared" si="88"/>
        <v>#N/A</v>
      </c>
      <c r="BA121" s="682"/>
    </row>
    <row r="123" spans="2:53" ht="15.75">
      <c r="B123" s="653" t="s">
        <v>573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154</v>
      </c>
      <c r="C125" s="614" t="s">
        <v>408</v>
      </c>
      <c r="D125" s="614"/>
      <c r="E125" s="614" t="s">
        <v>399</v>
      </c>
      <c r="F125" s="614"/>
      <c r="G125" s="614"/>
      <c r="H125" s="630" t="s">
        <v>395</v>
      </c>
      <c r="I125" s="657" t="s">
        <v>400</v>
      </c>
      <c r="J125" s="657"/>
      <c r="K125" s="657"/>
      <c r="L125" s="673" t="s">
        <v>395</v>
      </c>
      <c r="M125" s="676" t="s">
        <v>396</v>
      </c>
    </row>
    <row r="126" spans="2:53">
      <c r="B126" s="614"/>
      <c r="C126" s="614"/>
      <c r="D126" s="614"/>
      <c r="E126" s="614" t="s">
        <v>402</v>
      </c>
      <c r="F126" s="614"/>
      <c r="G126" s="614"/>
      <c r="H126" s="631"/>
      <c r="I126" s="657" t="s">
        <v>402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404</v>
      </c>
      <c r="F127" s="335" t="s">
        <v>405</v>
      </c>
      <c r="G127" s="335" t="s">
        <v>406</v>
      </c>
      <c r="H127" s="632"/>
      <c r="I127" s="342" t="s">
        <v>404</v>
      </c>
      <c r="J127" s="342" t="s">
        <v>405</v>
      </c>
      <c r="K127" s="342" t="s">
        <v>406</v>
      </c>
      <c r="L127" s="675"/>
      <c r="M127" s="678"/>
    </row>
    <row r="128" spans="2:53">
      <c r="B128" s="614" t="s">
        <v>410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J137" si="89">AVERAGEIF($D$7:$D$121,$D128,I$7:I$121)</f>
        <v>#DIV/0!</v>
      </c>
      <c r="J128" s="199" t="e">
        <f t="shared" si="89"/>
        <v>#DIV/0!</v>
      </c>
      <c r="K128" s="199" t="e">
        <f t="shared" ref="K128:K137" si="90"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39">
      <c r="B129" s="622"/>
      <c r="C129" s="334">
        <v>2</v>
      </c>
      <c r="D129" s="226"/>
      <c r="E129" s="182"/>
      <c r="F129" s="334"/>
      <c r="G129" s="337"/>
      <c r="H129" s="664"/>
      <c r="I129" s="199" t="e">
        <f t="shared" si="89"/>
        <v>#DIV/0!</v>
      </c>
      <c r="J129" s="199" t="e">
        <f t="shared" si="89"/>
        <v>#DIV/0!</v>
      </c>
      <c r="K129" s="199" t="e">
        <f t="shared" si="90"/>
        <v>#DIV/0!</v>
      </c>
      <c r="L129" s="671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2"/>
      <c r="C130" s="334">
        <v>3</v>
      </c>
      <c r="D130" s="226"/>
      <c r="E130" s="182"/>
      <c r="F130" s="334"/>
      <c r="G130" s="337"/>
      <c r="H130" s="664"/>
      <c r="I130" s="199" t="e">
        <f t="shared" si="89"/>
        <v>#DIV/0!</v>
      </c>
      <c r="J130" s="199" t="e">
        <f t="shared" si="89"/>
        <v>#DIV/0!</v>
      </c>
      <c r="K130" s="199" t="e">
        <f t="shared" si="90"/>
        <v>#DIV/0!</v>
      </c>
      <c r="L130" s="671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2"/>
      <c r="C131" s="334">
        <v>4</v>
      </c>
      <c r="D131" s="226"/>
      <c r="E131" s="182"/>
      <c r="F131" s="334"/>
      <c r="G131" s="337"/>
      <c r="H131" s="664"/>
      <c r="I131" s="199" t="e">
        <f t="shared" si="89"/>
        <v>#DIV/0!</v>
      </c>
      <c r="J131" s="199" t="e">
        <f t="shared" si="89"/>
        <v>#DIV/0!</v>
      </c>
      <c r="K131" s="199" t="e">
        <f t="shared" si="90"/>
        <v>#DIV/0!</v>
      </c>
      <c r="L131" s="671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2"/>
      <c r="C132" s="334">
        <v>5</v>
      </c>
      <c r="D132" s="226"/>
      <c r="E132" s="182"/>
      <c r="F132" s="334"/>
      <c r="G132" s="337"/>
      <c r="H132" s="664"/>
      <c r="I132" s="199" t="e">
        <f t="shared" si="89"/>
        <v>#DIV/0!</v>
      </c>
      <c r="J132" s="199" t="e">
        <f t="shared" si="89"/>
        <v>#DIV/0!</v>
      </c>
      <c r="K132" s="199" t="e">
        <f t="shared" si="90"/>
        <v>#DIV/0!</v>
      </c>
      <c r="L132" s="671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2"/>
      <c r="C133" s="334">
        <v>6</v>
      </c>
      <c r="D133" s="343"/>
      <c r="E133" s="182"/>
      <c r="F133" s="334"/>
      <c r="G133" s="337"/>
      <c r="H133" s="664"/>
      <c r="I133" s="199" t="e">
        <f t="shared" si="89"/>
        <v>#DIV/0!</v>
      </c>
      <c r="J133" s="199" t="e">
        <f t="shared" si="89"/>
        <v>#DIV/0!</v>
      </c>
      <c r="K133" s="199" t="e">
        <f t="shared" si="90"/>
        <v>#DIV/0!</v>
      </c>
      <c r="L133" s="671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2"/>
      <c r="C134" s="334">
        <v>7</v>
      </c>
      <c r="D134" s="226"/>
      <c r="E134" s="182"/>
      <c r="F134" s="334"/>
      <c r="G134" s="337"/>
      <c r="H134" s="664"/>
      <c r="I134" s="199" t="e">
        <f t="shared" si="89"/>
        <v>#DIV/0!</v>
      </c>
      <c r="J134" s="199" t="e">
        <f t="shared" si="89"/>
        <v>#DIV/0!</v>
      </c>
      <c r="K134" s="199" t="e">
        <f t="shared" si="90"/>
        <v>#DIV/0!</v>
      </c>
      <c r="L134" s="671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2"/>
      <c r="C135" s="334">
        <v>8</v>
      </c>
      <c r="D135" s="226"/>
      <c r="E135" s="182"/>
      <c r="F135" s="334"/>
      <c r="G135" s="337"/>
      <c r="H135" s="664"/>
      <c r="I135" s="199" t="e">
        <f t="shared" si="89"/>
        <v>#DIV/0!</v>
      </c>
      <c r="J135" s="199" t="e">
        <f t="shared" si="89"/>
        <v>#DIV/0!</v>
      </c>
      <c r="K135" s="199" t="e">
        <f t="shared" si="90"/>
        <v>#DIV/0!</v>
      </c>
      <c r="L135" s="671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2"/>
      <c r="C136" s="334">
        <v>9</v>
      </c>
      <c r="D136" s="226"/>
      <c r="E136" s="334"/>
      <c r="F136" s="334"/>
      <c r="G136" s="334"/>
      <c r="H136" s="664"/>
      <c r="I136" s="199" t="e">
        <f t="shared" si="89"/>
        <v>#DIV/0!</v>
      </c>
      <c r="J136" s="199" t="e">
        <f t="shared" si="89"/>
        <v>#DIV/0!</v>
      </c>
      <c r="K136" s="199" t="e">
        <f t="shared" si="90"/>
        <v>#DIV/0!</v>
      </c>
      <c r="L136" s="671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2"/>
      <c r="C137" s="334">
        <v>10</v>
      </c>
      <c r="D137" s="226"/>
      <c r="E137" s="334"/>
      <c r="F137" s="334"/>
      <c r="G137" s="334"/>
      <c r="H137" s="664"/>
      <c r="I137" s="199" t="e">
        <f t="shared" si="89"/>
        <v>#DIV/0!</v>
      </c>
      <c r="J137" s="199" t="e">
        <f t="shared" si="89"/>
        <v>#DIV/0!</v>
      </c>
      <c r="K137" s="199" t="e">
        <f t="shared" si="90"/>
        <v>#DIV/0!</v>
      </c>
      <c r="L137" s="671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2"/>
      <c r="C138" s="334">
        <v>11</v>
      </c>
      <c r="D138" s="226"/>
      <c r="E138" s="334"/>
      <c r="F138" s="334"/>
      <c r="G138" s="334"/>
      <c r="H138" s="664"/>
      <c r="I138" s="199"/>
      <c r="J138" s="199"/>
      <c r="K138" s="199"/>
      <c r="L138" s="671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27" activeCellId="6" sqref="AW27:AX41 AR27:AS41 AM27:AN41 AH27:AI41 AC27:AD41 X27:Y41 S27:T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124.0287145071924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695</v>
      </c>
      <c r="C4" s="614" t="s">
        <v>696</v>
      </c>
      <c r="D4" s="614"/>
      <c r="E4" s="614" t="s">
        <v>697</v>
      </c>
      <c r="F4" s="614"/>
      <c r="G4" s="614"/>
      <c r="H4" s="630" t="s">
        <v>698</v>
      </c>
      <c r="I4" s="614" t="s">
        <v>699</v>
      </c>
      <c r="J4" s="614"/>
      <c r="K4" s="614"/>
      <c r="L4" s="630" t="s">
        <v>395</v>
      </c>
      <c r="M4" s="615" t="s">
        <v>700</v>
      </c>
      <c r="N4" s="614"/>
      <c r="O4" s="614" t="s">
        <v>430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702</v>
      </c>
      <c r="F5" s="614"/>
      <c r="G5" s="614"/>
      <c r="H5" s="631"/>
      <c r="I5" s="614" t="s">
        <v>702</v>
      </c>
      <c r="J5" s="614"/>
      <c r="K5" s="614"/>
      <c r="L5" s="631"/>
      <c r="M5" s="616"/>
      <c r="N5" s="614"/>
      <c r="O5" s="614"/>
      <c r="P5" s="611" t="s">
        <v>689</v>
      </c>
      <c r="Q5" s="612"/>
      <c r="R5" s="612"/>
      <c r="S5" s="613"/>
      <c r="T5" s="614"/>
      <c r="U5" s="611" t="s">
        <v>689</v>
      </c>
      <c r="V5" s="612"/>
      <c r="W5" s="612"/>
      <c r="X5" s="613"/>
      <c r="Y5" s="614"/>
      <c r="Z5" s="611" t="s">
        <v>689</v>
      </c>
      <c r="AA5" s="612"/>
      <c r="AB5" s="612"/>
      <c r="AC5" s="613"/>
      <c r="AD5" s="614"/>
      <c r="AE5" s="611" t="s">
        <v>689</v>
      </c>
      <c r="AF5" s="612"/>
      <c r="AG5" s="612"/>
      <c r="AH5" s="613"/>
      <c r="AI5" s="614"/>
      <c r="AJ5" s="611" t="s">
        <v>689</v>
      </c>
      <c r="AK5" s="612"/>
      <c r="AL5" s="612"/>
      <c r="AM5" s="613"/>
      <c r="AN5" s="614"/>
      <c r="AO5" s="611" t="s">
        <v>689</v>
      </c>
      <c r="AP5" s="612"/>
      <c r="AQ5" s="612"/>
      <c r="AR5" s="613"/>
      <c r="AS5" s="614"/>
      <c r="AT5" s="611" t="s">
        <v>689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9" t="s">
        <v>703</v>
      </c>
      <c r="F6" s="469" t="s">
        <v>704</v>
      </c>
      <c r="G6" s="469" t="s">
        <v>705</v>
      </c>
      <c r="H6" s="632"/>
      <c r="I6" s="469" t="s">
        <v>703</v>
      </c>
      <c r="J6" s="469" t="s">
        <v>704</v>
      </c>
      <c r="K6" s="469" t="s">
        <v>705</v>
      </c>
      <c r="L6" s="632"/>
      <c r="M6" s="617"/>
      <c r="N6" s="614"/>
      <c r="O6" s="614"/>
      <c r="P6" s="469" t="s">
        <v>404</v>
      </c>
      <c r="Q6" s="469" t="s">
        <v>691</v>
      </c>
      <c r="R6" s="469" t="s">
        <v>692</v>
      </c>
      <c r="S6" s="469" t="s">
        <v>396</v>
      </c>
      <c r="T6" s="614"/>
      <c r="U6" s="469" t="s">
        <v>404</v>
      </c>
      <c r="V6" s="469" t="s">
        <v>691</v>
      </c>
      <c r="W6" s="469" t="s">
        <v>692</v>
      </c>
      <c r="X6" s="469" t="s">
        <v>396</v>
      </c>
      <c r="Y6" s="614"/>
      <c r="Z6" s="469" t="s">
        <v>404</v>
      </c>
      <c r="AA6" s="469" t="s">
        <v>691</v>
      </c>
      <c r="AB6" s="469" t="s">
        <v>692</v>
      </c>
      <c r="AC6" s="469" t="s">
        <v>396</v>
      </c>
      <c r="AD6" s="614"/>
      <c r="AE6" s="469" t="s">
        <v>404</v>
      </c>
      <c r="AF6" s="469" t="s">
        <v>691</v>
      </c>
      <c r="AG6" s="469" t="s">
        <v>692</v>
      </c>
      <c r="AH6" s="469" t="s">
        <v>396</v>
      </c>
      <c r="AI6" s="614"/>
      <c r="AJ6" s="469" t="s">
        <v>404</v>
      </c>
      <c r="AK6" s="469" t="s">
        <v>691</v>
      </c>
      <c r="AL6" s="469" t="s">
        <v>692</v>
      </c>
      <c r="AM6" s="469" t="s">
        <v>396</v>
      </c>
      <c r="AN6" s="614"/>
      <c r="AO6" s="469" t="s">
        <v>404</v>
      </c>
      <c r="AP6" s="469" t="s">
        <v>691</v>
      </c>
      <c r="AQ6" s="469" t="s">
        <v>692</v>
      </c>
      <c r="AR6" s="469" t="s">
        <v>396</v>
      </c>
      <c r="AS6" s="614"/>
      <c r="AT6" s="469" t="s">
        <v>404</v>
      </c>
      <c r="AU6" s="469" t="s">
        <v>691</v>
      </c>
      <c r="AV6" s="469" t="s">
        <v>692</v>
      </c>
      <c r="AW6" s="469" t="s">
        <v>396</v>
      </c>
      <c r="AX6" s="614"/>
      <c r="AZ6" s="523" t="s">
        <v>396</v>
      </c>
      <c r="BA6" s="614"/>
    </row>
    <row r="7" spans="1:53" ht="14.25">
      <c r="A7" s="81"/>
      <c r="B7" s="614" t="s">
        <v>136</v>
      </c>
      <c r="C7" s="470">
        <v>1</v>
      </c>
      <c r="D7" s="456" t="s">
        <v>377</v>
      </c>
      <c r="E7" s="473">
        <v>20</v>
      </c>
      <c r="F7" s="473">
        <v>2400</v>
      </c>
      <c r="G7" s="473">
        <v>120</v>
      </c>
      <c r="H7" s="688">
        <f>AVERAGE(G7:G21)</f>
        <v>148.73999999999998</v>
      </c>
      <c r="I7" s="516">
        <f t="shared" ref="I7:I20" si="0">IFERROR(AVERAGE(P7,U7,Z7,AE7,AJ7,AO7,AT7),"-")</f>
        <v>20</v>
      </c>
      <c r="J7" s="516">
        <f t="shared" ref="J7:J20" si="1">IFERROR(AVERAGE(Q7,V7,AA7,AF7,AK7,AP7,AU7),"-")</f>
        <v>2277.4089280617613</v>
      </c>
      <c r="K7" s="200">
        <f t="shared" ref="K7:K20" si="2">IFERROR(AVERAGE(R7,W7,AB7,AG7,AL7,AQ7,AV7),"-")</f>
        <v>113.87044640308807</v>
      </c>
      <c r="L7" s="658">
        <f>IFERROR(AVERAGE(K7:K21),"-")</f>
        <v>123.5962842751391</v>
      </c>
      <c r="M7" s="472">
        <f>RANK(K7, K$7:$K$21)</f>
        <v>5</v>
      </c>
      <c r="N7" s="614"/>
      <c r="O7" s="614"/>
      <c r="P7" s="524">
        <v>20</v>
      </c>
      <c r="Q7" s="182">
        <v>2263.788990825688</v>
      </c>
      <c r="R7" s="182">
        <v>113.1894495412844</v>
      </c>
      <c r="S7" s="525">
        <f t="shared" ref="S7:S21" si="3">RANK(R7, R$7:R$21)</f>
        <v>5</v>
      </c>
      <c r="T7" s="661">
        <f t="shared" ref="T7" si="4">AVERAGE(R7:R21)</f>
        <v>124.51891468739927</v>
      </c>
      <c r="U7" s="524">
        <v>20</v>
      </c>
      <c r="V7" s="182">
        <v>2250.8571428571422</v>
      </c>
      <c r="W7" s="182">
        <v>112.54285714285712</v>
      </c>
      <c r="X7" s="525">
        <f t="shared" ref="X7:X21" si="5">RANK(W7, W$7:W$21)</f>
        <v>5</v>
      </c>
      <c r="Y7" s="661">
        <f t="shared" ref="Y7" si="6">AVERAGE(W7:W21)</f>
        <v>123.39556950192794</v>
      </c>
      <c r="Z7" s="524">
        <v>20</v>
      </c>
      <c r="AA7" s="182">
        <v>2294.3030303030291</v>
      </c>
      <c r="AB7" s="182">
        <v>114.71515151515146</v>
      </c>
      <c r="AC7" s="525">
        <f t="shared" ref="AC7:AC21" si="7">RANK(AB7, AB$7:AB$21)</f>
        <v>5</v>
      </c>
      <c r="AD7" s="661">
        <f t="shared" ref="AD7" si="8">AVERAGE(AB7:AB21)</f>
        <v>122.97106588824015</v>
      </c>
      <c r="AE7" s="524">
        <v>20</v>
      </c>
      <c r="AF7" s="182">
        <v>2282.6746987951801</v>
      </c>
      <c r="AG7" s="182">
        <v>114.13373493975901</v>
      </c>
      <c r="AH7" s="525">
        <f t="shared" ref="AH7:AH21" si="9">RANK(AG7, AG$7:AG$21)</f>
        <v>5</v>
      </c>
      <c r="AI7" s="661">
        <f t="shared" ref="AI7" si="10">AVERAGE(AG7:AG21)</f>
        <v>123.42848039676076</v>
      </c>
      <c r="AJ7" s="524">
        <v>20</v>
      </c>
      <c r="AK7" s="182">
        <v>2287.5806451612907</v>
      </c>
      <c r="AL7" s="182">
        <v>114.37903225806454</v>
      </c>
      <c r="AM7" s="525">
        <f t="shared" ref="AM7:AM21" si="11">RANK(AL7, AL$7:AL$21)</f>
        <v>5</v>
      </c>
      <c r="AN7" s="661">
        <f t="shared" ref="AN7" si="12">AVERAGE(AL7:AL21)</f>
        <v>123.80788436624346</v>
      </c>
      <c r="AO7" s="524">
        <v>20</v>
      </c>
      <c r="AP7" s="182">
        <v>2288.2921348314608</v>
      </c>
      <c r="AQ7" s="182">
        <v>114.41460674157304</v>
      </c>
      <c r="AR7" s="525">
        <f t="shared" ref="AR7:AR21" si="13">RANK(AQ7, AQ$7:AQ$21)</f>
        <v>5</v>
      </c>
      <c r="AS7" s="661">
        <f t="shared" ref="AS7" si="14">AVERAGE(AQ7:AQ21)</f>
        <v>123.16307134633966</v>
      </c>
      <c r="AT7" s="524">
        <v>20</v>
      </c>
      <c r="AU7" s="182">
        <v>2274.3658536585376</v>
      </c>
      <c r="AV7" s="182">
        <v>113.71829268292689</v>
      </c>
      <c r="AW7" s="525">
        <f t="shared" ref="AW7:AW21" si="15">RANK(AV7, AV$7:AV$21)</f>
        <v>5</v>
      </c>
      <c r="AX7" s="661">
        <f t="shared" ref="AX7" si="16">AVERAGE(AV7:AV21)</f>
        <v>123.88900373906252</v>
      </c>
      <c r="AZ7" s="525" t="e">
        <f t="shared" ref="AZ7:AZ21" si="17">RANK(AY7, AY$7:AY$21)</f>
        <v>#N/A</v>
      </c>
      <c r="BA7" s="661" t="e">
        <f t="shared" ref="BA7" si="18">AVERAGE(AY7:AY21)</f>
        <v>#DIV/0!</v>
      </c>
    </row>
    <row r="8" spans="1:53" ht="15" customHeight="1">
      <c r="A8" s="81"/>
      <c r="B8" s="647"/>
      <c r="C8" s="470">
        <v>2</v>
      </c>
      <c r="D8" s="456" t="s">
        <v>378</v>
      </c>
      <c r="E8" s="473">
        <v>18</v>
      </c>
      <c r="F8" s="473">
        <v>2600</v>
      </c>
      <c r="G8" s="473">
        <v>166.7</v>
      </c>
      <c r="H8" s="689"/>
      <c r="I8" s="516">
        <f t="shared" si="0"/>
        <v>19.142857142857142</v>
      </c>
      <c r="J8" s="516">
        <f t="shared" si="1"/>
        <v>2524.3319952981192</v>
      </c>
      <c r="K8" s="200">
        <f t="shared" si="2"/>
        <v>131.91657834186304</v>
      </c>
      <c r="L8" s="659"/>
      <c r="M8" s="472">
        <f>RANK(K8, K$7:$K$21)</f>
        <v>1</v>
      </c>
      <c r="N8" s="614"/>
      <c r="O8" s="614"/>
      <c r="P8" s="524">
        <v>20</v>
      </c>
      <c r="Q8" s="182">
        <v>2508.3809523809518</v>
      </c>
      <c r="R8" s="182">
        <v>125.41904761904759</v>
      </c>
      <c r="S8" s="525">
        <f t="shared" si="3"/>
        <v>3</v>
      </c>
      <c r="T8" s="661"/>
      <c r="U8" s="524">
        <v>19</v>
      </c>
      <c r="V8" s="182">
        <v>2531.099999999999</v>
      </c>
      <c r="W8" s="182">
        <v>133.21578947368417</v>
      </c>
      <c r="X8" s="525">
        <f t="shared" si="5"/>
        <v>1</v>
      </c>
      <c r="Y8" s="661"/>
      <c r="Z8" s="524">
        <v>19</v>
      </c>
      <c r="AA8" s="182">
        <v>2525.8999999999987</v>
      </c>
      <c r="AB8" s="182">
        <v>132.94210526315783</v>
      </c>
      <c r="AC8" s="525">
        <f t="shared" si="7"/>
        <v>1</v>
      </c>
      <c r="AD8" s="661"/>
      <c r="AE8" s="524">
        <v>19</v>
      </c>
      <c r="AF8" s="182">
        <v>2487.5882352941189</v>
      </c>
      <c r="AG8" s="182">
        <v>130.92569659442731</v>
      </c>
      <c r="AH8" s="525">
        <f t="shared" si="9"/>
        <v>1</v>
      </c>
      <c r="AI8" s="661"/>
      <c r="AJ8" s="524">
        <v>19</v>
      </c>
      <c r="AK8" s="182">
        <v>2551.8235294117662</v>
      </c>
      <c r="AL8" s="182">
        <v>134.30650154798769</v>
      </c>
      <c r="AM8" s="525">
        <f t="shared" si="11"/>
        <v>1</v>
      </c>
      <c r="AN8" s="661"/>
      <c r="AO8" s="524">
        <v>19</v>
      </c>
      <c r="AP8" s="182">
        <v>2529.3125000000009</v>
      </c>
      <c r="AQ8" s="182">
        <v>133.12171052631584</v>
      </c>
      <c r="AR8" s="525">
        <f t="shared" si="13"/>
        <v>1</v>
      </c>
      <c r="AS8" s="661"/>
      <c r="AT8" s="524">
        <v>19</v>
      </c>
      <c r="AU8" s="182">
        <v>2536.2187499999995</v>
      </c>
      <c r="AV8" s="182">
        <v>133.48519736842104</v>
      </c>
      <c r="AW8" s="525">
        <f t="shared" si="15"/>
        <v>1</v>
      </c>
      <c r="AX8" s="661"/>
      <c r="AZ8" s="525" t="e">
        <f t="shared" si="17"/>
        <v>#N/A</v>
      </c>
      <c r="BA8" s="661"/>
    </row>
    <row r="9" spans="1:53" ht="14.25">
      <c r="A9" s="81"/>
      <c r="B9" s="647"/>
      <c r="C9" s="470">
        <v>3</v>
      </c>
      <c r="D9" s="456" t="s">
        <v>379</v>
      </c>
      <c r="E9" s="473">
        <v>18</v>
      </c>
      <c r="F9" s="473">
        <v>2600</v>
      </c>
      <c r="G9" s="473">
        <v>166.7</v>
      </c>
      <c r="H9" s="689"/>
      <c r="I9" s="516">
        <f t="shared" si="0"/>
        <v>19.142857142857142</v>
      </c>
      <c r="J9" s="516">
        <f t="shared" si="1"/>
        <v>2396.9452100840331</v>
      </c>
      <c r="K9" s="200">
        <f t="shared" si="2"/>
        <v>125.15174922600617</v>
      </c>
      <c r="L9" s="659"/>
      <c r="M9" s="472">
        <f>RANK(K9, K$7:$K$21)</f>
        <v>3</v>
      </c>
      <c r="N9" s="614"/>
      <c r="O9" s="614"/>
      <c r="P9" s="524">
        <v>20</v>
      </c>
      <c r="Q9" s="182">
        <v>2668.6764705882333</v>
      </c>
      <c r="R9" s="182">
        <v>133.43382352941165</v>
      </c>
      <c r="S9" s="525">
        <f t="shared" si="3"/>
        <v>1</v>
      </c>
      <c r="T9" s="661"/>
      <c r="U9" s="524">
        <v>19</v>
      </c>
      <c r="V9" s="182">
        <v>2357.9999999999991</v>
      </c>
      <c r="W9" s="182">
        <v>124.10526315789468</v>
      </c>
      <c r="X9" s="525">
        <f t="shared" si="5"/>
        <v>3</v>
      </c>
      <c r="Y9" s="661"/>
      <c r="Z9" s="524">
        <v>19</v>
      </c>
      <c r="AA9" s="182">
        <v>2332.3999999999987</v>
      </c>
      <c r="AB9" s="182">
        <v>122.75789473684203</v>
      </c>
      <c r="AC9" s="525">
        <f t="shared" si="7"/>
        <v>3</v>
      </c>
      <c r="AD9" s="661"/>
      <c r="AE9" s="524">
        <v>19</v>
      </c>
      <c r="AF9" s="182">
        <v>2388.4800000000009</v>
      </c>
      <c r="AG9" s="182">
        <v>125.70947368421058</v>
      </c>
      <c r="AH9" s="525">
        <f t="shared" si="9"/>
        <v>3</v>
      </c>
      <c r="AI9" s="661"/>
      <c r="AJ9" s="524">
        <v>19</v>
      </c>
      <c r="AK9" s="182">
        <v>2350.5599999999972</v>
      </c>
      <c r="AL9" s="182">
        <v>123.71368421052617</v>
      </c>
      <c r="AM9" s="525">
        <f t="shared" si="11"/>
        <v>3</v>
      </c>
      <c r="AN9" s="661"/>
      <c r="AO9" s="524">
        <v>19</v>
      </c>
      <c r="AP9" s="182">
        <v>2324.0000000000009</v>
      </c>
      <c r="AQ9" s="182">
        <v>122.31578947368426</v>
      </c>
      <c r="AR9" s="525">
        <f t="shared" si="13"/>
        <v>3</v>
      </c>
      <c r="AS9" s="661"/>
      <c r="AT9" s="524">
        <v>19</v>
      </c>
      <c r="AU9" s="182">
        <v>2356.5000000000027</v>
      </c>
      <c r="AV9" s="182">
        <v>124.02631578947383</v>
      </c>
      <c r="AW9" s="525">
        <f t="shared" si="15"/>
        <v>3</v>
      </c>
      <c r="AX9" s="661"/>
      <c r="AZ9" s="525" t="e">
        <f t="shared" si="17"/>
        <v>#N/A</v>
      </c>
      <c r="BA9" s="661"/>
    </row>
    <row r="10" spans="1:53" ht="14.25">
      <c r="A10" s="81"/>
      <c r="B10" s="647"/>
      <c r="C10" s="470">
        <v>4</v>
      </c>
      <c r="D10" s="456" t="s">
        <v>380</v>
      </c>
      <c r="E10" s="473">
        <v>19</v>
      </c>
      <c r="F10" s="473">
        <v>2600</v>
      </c>
      <c r="G10" s="473">
        <v>157.9</v>
      </c>
      <c r="H10" s="689"/>
      <c r="I10" s="516">
        <f t="shared" si="0"/>
        <v>20</v>
      </c>
      <c r="J10" s="516">
        <f t="shared" si="1"/>
        <v>2538.5933960580487</v>
      </c>
      <c r="K10" s="200">
        <f t="shared" si="2"/>
        <v>126.92966980290244</v>
      </c>
      <c r="L10" s="659"/>
      <c r="M10" s="472">
        <f>RANK(K10, K$7:$K$21)</f>
        <v>2</v>
      </c>
      <c r="N10" s="614"/>
      <c r="O10" s="614"/>
      <c r="P10" s="524">
        <v>20</v>
      </c>
      <c r="Q10" s="182">
        <v>2516.099999999999</v>
      </c>
      <c r="R10" s="182">
        <v>125.80499999999995</v>
      </c>
      <c r="S10" s="525">
        <f t="shared" si="3"/>
        <v>2</v>
      </c>
      <c r="T10" s="661"/>
      <c r="U10" s="524">
        <v>20</v>
      </c>
      <c r="V10" s="182">
        <v>2533.9243243243259</v>
      </c>
      <c r="W10" s="182">
        <v>126.6962162162163</v>
      </c>
      <c r="X10" s="525">
        <f t="shared" si="5"/>
        <v>2</v>
      </c>
      <c r="Y10" s="661"/>
      <c r="Z10" s="524">
        <v>20</v>
      </c>
      <c r="AA10" s="182">
        <v>2520.9247706422016</v>
      </c>
      <c r="AB10" s="182">
        <v>126.04623853211008</v>
      </c>
      <c r="AC10" s="525">
        <f t="shared" si="7"/>
        <v>2</v>
      </c>
      <c r="AD10" s="661"/>
      <c r="AE10" s="524">
        <v>20</v>
      </c>
      <c r="AF10" s="182">
        <v>2551.7123595505618</v>
      </c>
      <c r="AG10" s="182">
        <v>127.58561797752809</v>
      </c>
      <c r="AH10" s="525">
        <f t="shared" si="9"/>
        <v>2</v>
      </c>
      <c r="AI10" s="661"/>
      <c r="AJ10" s="524">
        <v>20</v>
      </c>
      <c r="AK10" s="182">
        <v>2572.520388349516</v>
      </c>
      <c r="AL10" s="182">
        <v>128.62601941747579</v>
      </c>
      <c r="AM10" s="525">
        <f t="shared" si="11"/>
        <v>2</v>
      </c>
      <c r="AN10" s="661"/>
      <c r="AO10" s="524">
        <v>20</v>
      </c>
      <c r="AP10" s="182">
        <v>2526.9278350515474</v>
      </c>
      <c r="AQ10" s="182">
        <v>126.34639175257738</v>
      </c>
      <c r="AR10" s="525">
        <f t="shared" si="13"/>
        <v>2</v>
      </c>
      <c r="AS10" s="661"/>
      <c r="AT10" s="524">
        <v>20</v>
      </c>
      <c r="AU10" s="182">
        <v>2548.0440944881889</v>
      </c>
      <c r="AV10" s="182">
        <v>127.40220472440944</v>
      </c>
      <c r="AW10" s="525">
        <f t="shared" si="15"/>
        <v>2</v>
      </c>
      <c r="AX10" s="661"/>
      <c r="AZ10" s="525" t="e">
        <f t="shared" si="17"/>
        <v>#N/A</v>
      </c>
      <c r="BA10" s="661"/>
    </row>
    <row r="11" spans="1:53" ht="14.25">
      <c r="A11" s="81"/>
      <c r="B11" s="647"/>
      <c r="C11" s="470">
        <v>5</v>
      </c>
      <c r="D11" s="456" t="s">
        <v>645</v>
      </c>
      <c r="E11" s="473">
        <v>17</v>
      </c>
      <c r="F11" s="473">
        <v>2250</v>
      </c>
      <c r="G11" s="473">
        <v>132.4</v>
      </c>
      <c r="H11" s="689"/>
      <c r="I11" s="516">
        <f t="shared" si="0"/>
        <v>18</v>
      </c>
      <c r="J11" s="516">
        <f t="shared" si="1"/>
        <v>2162.0335968330442</v>
      </c>
      <c r="K11" s="200">
        <f t="shared" si="2"/>
        <v>120.11297760183579</v>
      </c>
      <c r="L11" s="659"/>
      <c r="M11" s="472">
        <f>RANK(K11, K$7:$K$21)</f>
        <v>4</v>
      </c>
      <c r="N11" s="614"/>
      <c r="O11" s="614"/>
      <c r="P11" s="524">
        <v>18</v>
      </c>
      <c r="Q11" s="182">
        <v>2245.4505494505497</v>
      </c>
      <c r="R11" s="182">
        <v>124.74725274725276</v>
      </c>
      <c r="S11" s="525">
        <f t="shared" si="3"/>
        <v>4</v>
      </c>
      <c r="T11" s="661"/>
      <c r="U11" s="524">
        <v>18</v>
      </c>
      <c r="V11" s="182">
        <v>2167.5189873417721</v>
      </c>
      <c r="W11" s="182">
        <v>120.41772151898734</v>
      </c>
      <c r="X11" s="525">
        <f t="shared" si="5"/>
        <v>4</v>
      </c>
      <c r="Y11" s="661"/>
      <c r="Z11" s="524">
        <v>18</v>
      </c>
      <c r="AA11" s="182">
        <v>2131.090909090909</v>
      </c>
      <c r="AB11" s="182">
        <v>118.39393939393939</v>
      </c>
      <c r="AC11" s="525">
        <f t="shared" si="7"/>
        <v>4</v>
      </c>
      <c r="AD11" s="661"/>
      <c r="AE11" s="524">
        <v>18</v>
      </c>
      <c r="AF11" s="182">
        <v>2138.181818181818</v>
      </c>
      <c r="AG11" s="182">
        <v>118.78787878787878</v>
      </c>
      <c r="AH11" s="525">
        <f t="shared" si="9"/>
        <v>4</v>
      </c>
      <c r="AI11" s="661"/>
      <c r="AJ11" s="524">
        <v>18</v>
      </c>
      <c r="AK11" s="182">
        <v>2124.2553191489355</v>
      </c>
      <c r="AL11" s="182">
        <v>118.01418439716309</v>
      </c>
      <c r="AM11" s="525">
        <f t="shared" si="11"/>
        <v>4</v>
      </c>
      <c r="AN11" s="661"/>
      <c r="AO11" s="524">
        <v>18</v>
      </c>
      <c r="AP11" s="182">
        <v>2153.1034482758614</v>
      </c>
      <c r="AQ11" s="182">
        <v>119.61685823754786</v>
      </c>
      <c r="AR11" s="525">
        <f t="shared" si="13"/>
        <v>4</v>
      </c>
      <c r="AS11" s="661"/>
      <c r="AT11" s="524">
        <v>18</v>
      </c>
      <c r="AU11" s="182">
        <v>2174.6341463414637</v>
      </c>
      <c r="AV11" s="182">
        <v>120.81300813008131</v>
      </c>
      <c r="AW11" s="525">
        <f t="shared" si="15"/>
        <v>4</v>
      </c>
      <c r="AX11" s="661"/>
      <c r="AZ11" s="525" t="e">
        <f t="shared" si="17"/>
        <v>#N/A</v>
      </c>
      <c r="BA11" s="661"/>
    </row>
    <row r="12" spans="1:53" ht="14.25">
      <c r="A12" s="81"/>
      <c r="B12" s="647"/>
      <c r="C12" s="470">
        <v>6</v>
      </c>
      <c r="D12" s="456"/>
      <c r="E12" s="473"/>
      <c r="F12" s="473"/>
      <c r="G12" s="473"/>
      <c r="H12" s="689"/>
      <c r="I12" s="516" t="str">
        <f t="shared" si="0"/>
        <v>-</v>
      </c>
      <c r="J12" s="516" t="str">
        <f t="shared" si="1"/>
        <v>-</v>
      </c>
      <c r="K12" s="200" t="str">
        <f t="shared" si="2"/>
        <v>-</v>
      </c>
      <c r="L12" s="659"/>
      <c r="M12" s="472" t="e">
        <f>RANK(K12, K$7:$K$21)</f>
        <v>#VALUE!</v>
      </c>
      <c r="N12" s="614"/>
      <c r="O12" s="614"/>
      <c r="P12" s="524" t="s">
        <v>839</v>
      </c>
      <c r="Q12" s="182" t="s">
        <v>839</v>
      </c>
      <c r="R12" s="182" t="s">
        <v>839</v>
      </c>
      <c r="S12" s="525" t="e">
        <f t="shared" si="3"/>
        <v>#VALUE!</v>
      </c>
      <c r="T12" s="661"/>
      <c r="U12" s="524" t="s">
        <v>839</v>
      </c>
      <c r="V12" s="182" t="s">
        <v>839</v>
      </c>
      <c r="W12" s="182" t="s">
        <v>839</v>
      </c>
      <c r="X12" s="525" t="e">
        <f t="shared" si="5"/>
        <v>#VALUE!</v>
      </c>
      <c r="Y12" s="661"/>
      <c r="Z12" s="524" t="s">
        <v>839</v>
      </c>
      <c r="AA12" s="182" t="s">
        <v>839</v>
      </c>
      <c r="AB12" s="182" t="s">
        <v>839</v>
      </c>
      <c r="AC12" s="525" t="e">
        <f t="shared" si="7"/>
        <v>#VALUE!</v>
      </c>
      <c r="AD12" s="661"/>
      <c r="AE12" s="524" t="s">
        <v>839</v>
      </c>
      <c r="AF12" s="182" t="s">
        <v>839</v>
      </c>
      <c r="AG12" s="182" t="s">
        <v>839</v>
      </c>
      <c r="AH12" s="525" t="e">
        <f t="shared" si="9"/>
        <v>#VALUE!</v>
      </c>
      <c r="AI12" s="661"/>
      <c r="AJ12" s="524" t="s">
        <v>839</v>
      </c>
      <c r="AK12" s="182" t="s">
        <v>839</v>
      </c>
      <c r="AL12" s="182" t="s">
        <v>839</v>
      </c>
      <c r="AM12" s="525" t="e">
        <f t="shared" si="11"/>
        <v>#VALUE!</v>
      </c>
      <c r="AN12" s="661"/>
      <c r="AO12" s="524" t="s">
        <v>839</v>
      </c>
      <c r="AP12" s="182" t="s">
        <v>839</v>
      </c>
      <c r="AQ12" s="182" t="s">
        <v>839</v>
      </c>
      <c r="AR12" s="525" t="e">
        <f t="shared" si="13"/>
        <v>#VALUE!</v>
      </c>
      <c r="AS12" s="661"/>
      <c r="AT12" s="524" t="s">
        <v>839</v>
      </c>
      <c r="AU12" s="182" t="s">
        <v>839</v>
      </c>
      <c r="AV12" s="182" t="s">
        <v>839</v>
      </c>
      <c r="AW12" s="525" t="e">
        <f t="shared" si="15"/>
        <v>#VALUE!</v>
      </c>
      <c r="AX12" s="661"/>
      <c r="AZ12" s="525" t="e">
        <f t="shared" si="17"/>
        <v>#N/A</v>
      </c>
      <c r="BA12" s="661"/>
    </row>
    <row r="13" spans="1:53" ht="14.25">
      <c r="A13" s="81"/>
      <c r="B13" s="647"/>
      <c r="C13" s="470">
        <v>7</v>
      </c>
      <c r="D13" s="456"/>
      <c r="E13" s="473"/>
      <c r="F13" s="473"/>
      <c r="G13" s="473"/>
      <c r="H13" s="689"/>
      <c r="I13" s="516" t="str">
        <f t="shared" si="0"/>
        <v>-</v>
      </c>
      <c r="J13" s="516" t="str">
        <f t="shared" si="1"/>
        <v>-</v>
      </c>
      <c r="K13" s="200" t="str">
        <f t="shared" si="2"/>
        <v>-</v>
      </c>
      <c r="L13" s="659"/>
      <c r="M13" s="472" t="e">
        <f>RANK(K13, K$7:$K$21)</f>
        <v>#VALUE!</v>
      </c>
      <c r="N13" s="614"/>
      <c r="O13" s="614"/>
      <c r="P13" s="524" t="s">
        <v>839</v>
      </c>
      <c r="Q13" s="182" t="s">
        <v>839</v>
      </c>
      <c r="R13" s="182" t="s">
        <v>839</v>
      </c>
      <c r="S13" s="525" t="e">
        <f t="shared" si="3"/>
        <v>#VALUE!</v>
      </c>
      <c r="T13" s="661"/>
      <c r="U13" s="524" t="s">
        <v>839</v>
      </c>
      <c r="V13" s="182" t="s">
        <v>839</v>
      </c>
      <c r="W13" s="182" t="s">
        <v>839</v>
      </c>
      <c r="X13" s="525" t="e">
        <f t="shared" si="5"/>
        <v>#VALUE!</v>
      </c>
      <c r="Y13" s="661"/>
      <c r="Z13" s="524" t="s">
        <v>839</v>
      </c>
      <c r="AA13" s="182" t="s">
        <v>839</v>
      </c>
      <c r="AB13" s="182" t="s">
        <v>839</v>
      </c>
      <c r="AC13" s="525" t="e">
        <f t="shared" si="7"/>
        <v>#VALUE!</v>
      </c>
      <c r="AD13" s="661"/>
      <c r="AE13" s="524" t="s">
        <v>839</v>
      </c>
      <c r="AF13" s="182" t="s">
        <v>839</v>
      </c>
      <c r="AG13" s="182" t="s">
        <v>839</v>
      </c>
      <c r="AH13" s="525" t="e">
        <f t="shared" si="9"/>
        <v>#VALUE!</v>
      </c>
      <c r="AI13" s="661"/>
      <c r="AJ13" s="524" t="s">
        <v>839</v>
      </c>
      <c r="AK13" s="182" t="s">
        <v>839</v>
      </c>
      <c r="AL13" s="182" t="s">
        <v>839</v>
      </c>
      <c r="AM13" s="525" t="e">
        <f t="shared" si="11"/>
        <v>#VALUE!</v>
      </c>
      <c r="AN13" s="661"/>
      <c r="AO13" s="524" t="s">
        <v>839</v>
      </c>
      <c r="AP13" s="182" t="s">
        <v>839</v>
      </c>
      <c r="AQ13" s="182" t="s">
        <v>839</v>
      </c>
      <c r="AR13" s="525" t="e">
        <f t="shared" si="13"/>
        <v>#VALUE!</v>
      </c>
      <c r="AS13" s="661"/>
      <c r="AT13" s="524" t="s">
        <v>839</v>
      </c>
      <c r="AU13" s="182" t="s">
        <v>839</v>
      </c>
      <c r="AV13" s="182" t="s">
        <v>839</v>
      </c>
      <c r="AW13" s="525" t="e">
        <f t="shared" si="15"/>
        <v>#VALUE!</v>
      </c>
      <c r="AX13" s="661"/>
      <c r="AZ13" s="525" t="e">
        <f t="shared" si="17"/>
        <v>#N/A</v>
      </c>
      <c r="BA13" s="661"/>
    </row>
    <row r="14" spans="1:53" ht="14.25">
      <c r="A14" s="81"/>
      <c r="B14" s="647"/>
      <c r="C14" s="470">
        <v>8</v>
      </c>
      <c r="D14" s="456"/>
      <c r="E14" s="473"/>
      <c r="F14" s="473"/>
      <c r="G14" s="473"/>
      <c r="H14" s="689"/>
      <c r="I14" s="516" t="str">
        <f t="shared" si="0"/>
        <v>-</v>
      </c>
      <c r="J14" s="516" t="str">
        <f t="shared" si="1"/>
        <v>-</v>
      </c>
      <c r="K14" s="200" t="str">
        <f t="shared" si="2"/>
        <v>-</v>
      </c>
      <c r="L14" s="659"/>
      <c r="M14" s="472" t="e">
        <f>RANK(K14, K$7:$K$21)</f>
        <v>#VALUE!</v>
      </c>
      <c r="N14" s="614"/>
      <c r="O14" s="614"/>
      <c r="P14" s="524" t="s">
        <v>839</v>
      </c>
      <c r="Q14" s="182" t="s">
        <v>839</v>
      </c>
      <c r="R14" s="182" t="s">
        <v>839</v>
      </c>
      <c r="S14" s="525" t="e">
        <f t="shared" si="3"/>
        <v>#VALUE!</v>
      </c>
      <c r="T14" s="661"/>
      <c r="U14" s="524" t="s">
        <v>839</v>
      </c>
      <c r="V14" s="182" t="s">
        <v>839</v>
      </c>
      <c r="W14" s="182" t="s">
        <v>839</v>
      </c>
      <c r="X14" s="525" t="e">
        <f t="shared" si="5"/>
        <v>#VALUE!</v>
      </c>
      <c r="Y14" s="661"/>
      <c r="Z14" s="524" t="s">
        <v>839</v>
      </c>
      <c r="AA14" s="182" t="s">
        <v>839</v>
      </c>
      <c r="AB14" s="182" t="s">
        <v>839</v>
      </c>
      <c r="AC14" s="525" t="e">
        <f t="shared" si="7"/>
        <v>#VALUE!</v>
      </c>
      <c r="AD14" s="661"/>
      <c r="AE14" s="524" t="s">
        <v>839</v>
      </c>
      <c r="AF14" s="182" t="s">
        <v>839</v>
      </c>
      <c r="AG14" s="182" t="s">
        <v>839</v>
      </c>
      <c r="AH14" s="525" t="e">
        <f t="shared" si="9"/>
        <v>#VALUE!</v>
      </c>
      <c r="AI14" s="661"/>
      <c r="AJ14" s="524" t="s">
        <v>839</v>
      </c>
      <c r="AK14" s="182" t="s">
        <v>839</v>
      </c>
      <c r="AL14" s="182" t="s">
        <v>839</v>
      </c>
      <c r="AM14" s="525" t="e">
        <f t="shared" si="11"/>
        <v>#VALUE!</v>
      </c>
      <c r="AN14" s="661"/>
      <c r="AO14" s="524" t="s">
        <v>839</v>
      </c>
      <c r="AP14" s="182" t="s">
        <v>839</v>
      </c>
      <c r="AQ14" s="182" t="s">
        <v>839</v>
      </c>
      <c r="AR14" s="525" t="e">
        <f t="shared" si="13"/>
        <v>#VALUE!</v>
      </c>
      <c r="AS14" s="661"/>
      <c r="AT14" s="524" t="s">
        <v>839</v>
      </c>
      <c r="AU14" s="182" t="s">
        <v>839</v>
      </c>
      <c r="AV14" s="182" t="s">
        <v>839</v>
      </c>
      <c r="AW14" s="525" t="e">
        <f t="shared" si="15"/>
        <v>#VALUE!</v>
      </c>
      <c r="AX14" s="661"/>
      <c r="AZ14" s="525" t="e">
        <f t="shared" si="17"/>
        <v>#N/A</v>
      </c>
      <c r="BA14" s="661"/>
    </row>
    <row r="15" spans="1:53" ht="14.25">
      <c r="A15" s="81"/>
      <c r="B15" s="647"/>
      <c r="C15" s="470">
        <v>9</v>
      </c>
      <c r="D15" s="456"/>
      <c r="E15" s="473"/>
      <c r="F15" s="473"/>
      <c r="G15" s="473"/>
      <c r="H15" s="689"/>
      <c r="I15" s="516" t="str">
        <f t="shared" si="0"/>
        <v>-</v>
      </c>
      <c r="J15" s="516" t="str">
        <f t="shared" si="1"/>
        <v>-</v>
      </c>
      <c r="K15" s="200" t="str">
        <f t="shared" si="2"/>
        <v>-</v>
      </c>
      <c r="L15" s="659"/>
      <c r="M15" s="472" t="e">
        <f>RANK(K15, K$7:$K$21)</f>
        <v>#VALUE!</v>
      </c>
      <c r="N15" s="614"/>
      <c r="O15" s="614"/>
      <c r="P15" s="524" t="s">
        <v>839</v>
      </c>
      <c r="Q15" s="182" t="s">
        <v>839</v>
      </c>
      <c r="R15" s="182" t="s">
        <v>839</v>
      </c>
      <c r="S15" s="525" t="e">
        <f t="shared" si="3"/>
        <v>#VALUE!</v>
      </c>
      <c r="T15" s="661"/>
      <c r="U15" s="524" t="s">
        <v>839</v>
      </c>
      <c r="V15" s="182" t="s">
        <v>839</v>
      </c>
      <c r="W15" s="182" t="s">
        <v>839</v>
      </c>
      <c r="X15" s="525" t="e">
        <f t="shared" si="5"/>
        <v>#VALUE!</v>
      </c>
      <c r="Y15" s="661"/>
      <c r="Z15" s="524" t="s">
        <v>839</v>
      </c>
      <c r="AA15" s="182" t="s">
        <v>839</v>
      </c>
      <c r="AB15" s="182" t="s">
        <v>839</v>
      </c>
      <c r="AC15" s="525" t="e">
        <f t="shared" si="7"/>
        <v>#VALUE!</v>
      </c>
      <c r="AD15" s="661"/>
      <c r="AE15" s="524" t="s">
        <v>839</v>
      </c>
      <c r="AF15" s="182" t="s">
        <v>839</v>
      </c>
      <c r="AG15" s="182" t="s">
        <v>839</v>
      </c>
      <c r="AH15" s="525" t="e">
        <f t="shared" si="9"/>
        <v>#VALUE!</v>
      </c>
      <c r="AI15" s="661"/>
      <c r="AJ15" s="524" t="s">
        <v>839</v>
      </c>
      <c r="AK15" s="182" t="s">
        <v>839</v>
      </c>
      <c r="AL15" s="182" t="s">
        <v>839</v>
      </c>
      <c r="AM15" s="525" t="e">
        <f t="shared" si="11"/>
        <v>#VALUE!</v>
      </c>
      <c r="AN15" s="661"/>
      <c r="AO15" s="524" t="s">
        <v>839</v>
      </c>
      <c r="AP15" s="182" t="s">
        <v>839</v>
      </c>
      <c r="AQ15" s="182" t="s">
        <v>839</v>
      </c>
      <c r="AR15" s="525" t="e">
        <f t="shared" si="13"/>
        <v>#VALUE!</v>
      </c>
      <c r="AS15" s="661"/>
      <c r="AT15" s="524" t="s">
        <v>839</v>
      </c>
      <c r="AU15" s="182" t="s">
        <v>839</v>
      </c>
      <c r="AV15" s="182" t="s">
        <v>839</v>
      </c>
      <c r="AW15" s="525" t="e">
        <f t="shared" si="15"/>
        <v>#VALUE!</v>
      </c>
      <c r="AX15" s="661"/>
      <c r="AZ15" s="525" t="e">
        <f t="shared" si="17"/>
        <v>#N/A</v>
      </c>
      <c r="BA15" s="661"/>
    </row>
    <row r="16" spans="1:53" ht="14.25">
      <c r="A16" s="81"/>
      <c r="B16" s="647"/>
      <c r="C16" s="470">
        <v>10</v>
      </c>
      <c r="D16" s="456"/>
      <c r="E16" s="473"/>
      <c r="F16" s="473"/>
      <c r="G16" s="473"/>
      <c r="H16" s="689"/>
      <c r="I16" s="516" t="str">
        <f t="shared" si="0"/>
        <v>-</v>
      </c>
      <c r="J16" s="516" t="str">
        <f t="shared" si="1"/>
        <v>-</v>
      </c>
      <c r="K16" s="200" t="str">
        <f t="shared" si="2"/>
        <v>-</v>
      </c>
      <c r="L16" s="659"/>
      <c r="M16" s="472" t="e">
        <f>RANK(K16, K$7:$K$21)</f>
        <v>#VALUE!</v>
      </c>
      <c r="N16" s="614"/>
      <c r="O16" s="614"/>
      <c r="P16" s="524" t="s">
        <v>839</v>
      </c>
      <c r="Q16" s="182" t="s">
        <v>839</v>
      </c>
      <c r="R16" s="182" t="s">
        <v>839</v>
      </c>
      <c r="S16" s="525" t="e">
        <f t="shared" si="3"/>
        <v>#VALUE!</v>
      </c>
      <c r="T16" s="661"/>
      <c r="U16" s="524" t="s">
        <v>839</v>
      </c>
      <c r="V16" s="182" t="s">
        <v>839</v>
      </c>
      <c r="W16" s="182" t="s">
        <v>839</v>
      </c>
      <c r="X16" s="525" t="e">
        <f t="shared" si="5"/>
        <v>#VALUE!</v>
      </c>
      <c r="Y16" s="661"/>
      <c r="Z16" s="524" t="s">
        <v>839</v>
      </c>
      <c r="AA16" s="182" t="s">
        <v>839</v>
      </c>
      <c r="AB16" s="182" t="s">
        <v>839</v>
      </c>
      <c r="AC16" s="525" t="e">
        <f t="shared" si="7"/>
        <v>#VALUE!</v>
      </c>
      <c r="AD16" s="661"/>
      <c r="AE16" s="524" t="s">
        <v>839</v>
      </c>
      <c r="AF16" s="182" t="s">
        <v>839</v>
      </c>
      <c r="AG16" s="182" t="s">
        <v>839</v>
      </c>
      <c r="AH16" s="525" t="e">
        <f t="shared" si="9"/>
        <v>#VALUE!</v>
      </c>
      <c r="AI16" s="661"/>
      <c r="AJ16" s="524" t="s">
        <v>839</v>
      </c>
      <c r="AK16" s="182" t="s">
        <v>839</v>
      </c>
      <c r="AL16" s="182" t="s">
        <v>839</v>
      </c>
      <c r="AM16" s="525" t="e">
        <f t="shared" si="11"/>
        <v>#VALUE!</v>
      </c>
      <c r="AN16" s="661"/>
      <c r="AO16" s="524" t="s">
        <v>839</v>
      </c>
      <c r="AP16" s="182" t="s">
        <v>839</v>
      </c>
      <c r="AQ16" s="182" t="s">
        <v>839</v>
      </c>
      <c r="AR16" s="525" t="e">
        <f t="shared" si="13"/>
        <v>#VALUE!</v>
      </c>
      <c r="AS16" s="661"/>
      <c r="AT16" s="524" t="s">
        <v>839</v>
      </c>
      <c r="AU16" s="182" t="s">
        <v>839</v>
      </c>
      <c r="AV16" s="182" t="s">
        <v>839</v>
      </c>
      <c r="AW16" s="525" t="e">
        <f t="shared" si="15"/>
        <v>#VALUE!</v>
      </c>
      <c r="AX16" s="661"/>
      <c r="AZ16" s="525" t="e">
        <f t="shared" si="17"/>
        <v>#N/A</v>
      </c>
      <c r="BA16" s="661"/>
    </row>
    <row r="17" spans="2:53">
      <c r="B17" s="647"/>
      <c r="C17" s="470">
        <v>11</v>
      </c>
      <c r="D17" s="456"/>
      <c r="E17" s="473"/>
      <c r="F17" s="473"/>
      <c r="G17" s="473"/>
      <c r="H17" s="689"/>
      <c r="I17" s="516" t="str">
        <f t="shared" si="0"/>
        <v>-</v>
      </c>
      <c r="J17" s="516" t="str">
        <f t="shared" si="1"/>
        <v>-</v>
      </c>
      <c r="K17" s="200" t="str">
        <f t="shared" si="2"/>
        <v>-</v>
      </c>
      <c r="L17" s="659"/>
      <c r="M17" s="472" t="e">
        <f>RANK(K17, K$7:$K$21)</f>
        <v>#VALUE!</v>
      </c>
      <c r="N17" s="614"/>
      <c r="O17" s="614"/>
      <c r="P17" s="524" t="s">
        <v>839</v>
      </c>
      <c r="Q17" s="182" t="s">
        <v>839</v>
      </c>
      <c r="R17" s="182" t="s">
        <v>839</v>
      </c>
      <c r="S17" s="525" t="e">
        <f t="shared" si="3"/>
        <v>#VALUE!</v>
      </c>
      <c r="T17" s="661"/>
      <c r="U17" s="524" t="s">
        <v>839</v>
      </c>
      <c r="V17" s="182" t="s">
        <v>839</v>
      </c>
      <c r="W17" s="182" t="s">
        <v>839</v>
      </c>
      <c r="X17" s="525" t="e">
        <f t="shared" si="5"/>
        <v>#VALUE!</v>
      </c>
      <c r="Y17" s="661"/>
      <c r="Z17" s="524" t="s">
        <v>839</v>
      </c>
      <c r="AA17" s="182" t="s">
        <v>839</v>
      </c>
      <c r="AB17" s="182" t="s">
        <v>839</v>
      </c>
      <c r="AC17" s="525" t="e">
        <f t="shared" si="7"/>
        <v>#VALUE!</v>
      </c>
      <c r="AD17" s="661"/>
      <c r="AE17" s="524" t="s">
        <v>839</v>
      </c>
      <c r="AF17" s="182" t="s">
        <v>839</v>
      </c>
      <c r="AG17" s="182" t="s">
        <v>839</v>
      </c>
      <c r="AH17" s="525" t="e">
        <f t="shared" si="9"/>
        <v>#VALUE!</v>
      </c>
      <c r="AI17" s="661"/>
      <c r="AJ17" s="524" t="s">
        <v>839</v>
      </c>
      <c r="AK17" s="182" t="s">
        <v>839</v>
      </c>
      <c r="AL17" s="182" t="s">
        <v>839</v>
      </c>
      <c r="AM17" s="525" t="e">
        <f t="shared" si="11"/>
        <v>#VALUE!</v>
      </c>
      <c r="AN17" s="661"/>
      <c r="AO17" s="524" t="s">
        <v>839</v>
      </c>
      <c r="AP17" s="182" t="s">
        <v>839</v>
      </c>
      <c r="AQ17" s="182" t="s">
        <v>839</v>
      </c>
      <c r="AR17" s="525" t="e">
        <f t="shared" si="13"/>
        <v>#VALUE!</v>
      </c>
      <c r="AS17" s="661"/>
      <c r="AT17" s="524" t="s">
        <v>839</v>
      </c>
      <c r="AU17" s="182" t="s">
        <v>839</v>
      </c>
      <c r="AV17" s="182" t="s">
        <v>839</v>
      </c>
      <c r="AW17" s="525" t="e">
        <f t="shared" si="15"/>
        <v>#VALUE!</v>
      </c>
      <c r="AX17" s="661"/>
      <c r="AZ17" s="525" t="e">
        <f t="shared" si="17"/>
        <v>#N/A</v>
      </c>
      <c r="BA17" s="661"/>
    </row>
    <row r="18" spans="2:53">
      <c r="B18" s="647"/>
      <c r="C18" s="470">
        <v>12</v>
      </c>
      <c r="D18" s="456"/>
      <c r="E18" s="473"/>
      <c r="F18" s="473"/>
      <c r="G18" s="473"/>
      <c r="H18" s="689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659"/>
      <c r="M18" s="472" t="e">
        <f>RANK(K18, K$7:$K$21)</f>
        <v>#VALUE!</v>
      </c>
      <c r="N18" s="614"/>
      <c r="O18" s="614"/>
      <c r="P18" s="524" t="s">
        <v>839</v>
      </c>
      <c r="Q18" s="182" t="s">
        <v>839</v>
      </c>
      <c r="R18" s="182" t="s">
        <v>839</v>
      </c>
      <c r="S18" s="525" t="e">
        <f t="shared" si="3"/>
        <v>#VALUE!</v>
      </c>
      <c r="T18" s="661"/>
      <c r="U18" s="524" t="s">
        <v>839</v>
      </c>
      <c r="V18" s="182" t="s">
        <v>839</v>
      </c>
      <c r="W18" s="182" t="s">
        <v>839</v>
      </c>
      <c r="X18" s="525" t="e">
        <f t="shared" si="5"/>
        <v>#VALUE!</v>
      </c>
      <c r="Y18" s="661"/>
      <c r="Z18" s="524" t="s">
        <v>839</v>
      </c>
      <c r="AA18" s="182" t="s">
        <v>839</v>
      </c>
      <c r="AB18" s="182" t="s">
        <v>839</v>
      </c>
      <c r="AC18" s="525" t="e">
        <f t="shared" si="7"/>
        <v>#VALUE!</v>
      </c>
      <c r="AD18" s="661"/>
      <c r="AE18" s="524" t="s">
        <v>839</v>
      </c>
      <c r="AF18" s="182" t="s">
        <v>839</v>
      </c>
      <c r="AG18" s="182" t="s">
        <v>839</v>
      </c>
      <c r="AH18" s="525" t="e">
        <f t="shared" si="9"/>
        <v>#VALUE!</v>
      </c>
      <c r="AI18" s="661"/>
      <c r="AJ18" s="524" t="s">
        <v>839</v>
      </c>
      <c r="AK18" s="182" t="s">
        <v>839</v>
      </c>
      <c r="AL18" s="182" t="s">
        <v>839</v>
      </c>
      <c r="AM18" s="525" t="e">
        <f t="shared" si="11"/>
        <v>#VALUE!</v>
      </c>
      <c r="AN18" s="661"/>
      <c r="AO18" s="524" t="s">
        <v>839</v>
      </c>
      <c r="AP18" s="182" t="s">
        <v>839</v>
      </c>
      <c r="AQ18" s="182" t="s">
        <v>839</v>
      </c>
      <c r="AR18" s="525" t="e">
        <f t="shared" si="13"/>
        <v>#VALUE!</v>
      </c>
      <c r="AS18" s="661"/>
      <c r="AT18" s="524" t="s">
        <v>839</v>
      </c>
      <c r="AU18" s="182" t="s">
        <v>839</v>
      </c>
      <c r="AV18" s="182" t="s">
        <v>839</v>
      </c>
      <c r="AW18" s="525" t="e">
        <f t="shared" si="15"/>
        <v>#VALUE!</v>
      </c>
      <c r="AX18" s="661"/>
      <c r="AZ18" s="525" t="e">
        <f t="shared" si="17"/>
        <v>#N/A</v>
      </c>
      <c r="BA18" s="661"/>
    </row>
    <row r="19" spans="2:53">
      <c r="B19" s="647"/>
      <c r="C19" s="470">
        <v>13</v>
      </c>
      <c r="D19" s="456"/>
      <c r="E19" s="473"/>
      <c r="F19" s="473"/>
      <c r="G19" s="473"/>
      <c r="H19" s="689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659"/>
      <c r="M19" s="472" t="e">
        <f>RANK(K19, K$7:$K$21)</f>
        <v>#VALUE!</v>
      </c>
      <c r="N19" s="614"/>
      <c r="O19" s="614"/>
      <c r="P19" s="524" t="s">
        <v>839</v>
      </c>
      <c r="Q19" s="182" t="s">
        <v>839</v>
      </c>
      <c r="R19" s="182" t="s">
        <v>839</v>
      </c>
      <c r="S19" s="525" t="e">
        <f t="shared" si="3"/>
        <v>#VALUE!</v>
      </c>
      <c r="T19" s="661"/>
      <c r="U19" s="524" t="s">
        <v>839</v>
      </c>
      <c r="V19" s="182" t="s">
        <v>839</v>
      </c>
      <c r="W19" s="182" t="s">
        <v>839</v>
      </c>
      <c r="X19" s="525" t="e">
        <f t="shared" si="5"/>
        <v>#VALUE!</v>
      </c>
      <c r="Y19" s="661"/>
      <c r="Z19" s="524" t="s">
        <v>839</v>
      </c>
      <c r="AA19" s="182" t="s">
        <v>839</v>
      </c>
      <c r="AB19" s="182" t="s">
        <v>839</v>
      </c>
      <c r="AC19" s="525" t="e">
        <f t="shared" si="7"/>
        <v>#VALUE!</v>
      </c>
      <c r="AD19" s="661"/>
      <c r="AE19" s="524" t="s">
        <v>839</v>
      </c>
      <c r="AF19" s="182" t="s">
        <v>839</v>
      </c>
      <c r="AG19" s="182" t="s">
        <v>839</v>
      </c>
      <c r="AH19" s="525" t="e">
        <f t="shared" si="9"/>
        <v>#VALUE!</v>
      </c>
      <c r="AI19" s="661"/>
      <c r="AJ19" s="524" t="s">
        <v>839</v>
      </c>
      <c r="AK19" s="182" t="s">
        <v>839</v>
      </c>
      <c r="AL19" s="182" t="s">
        <v>839</v>
      </c>
      <c r="AM19" s="525" t="e">
        <f t="shared" si="11"/>
        <v>#VALUE!</v>
      </c>
      <c r="AN19" s="661"/>
      <c r="AO19" s="524" t="s">
        <v>839</v>
      </c>
      <c r="AP19" s="182" t="s">
        <v>839</v>
      </c>
      <c r="AQ19" s="182" t="s">
        <v>839</v>
      </c>
      <c r="AR19" s="525" t="e">
        <f t="shared" si="13"/>
        <v>#VALUE!</v>
      </c>
      <c r="AS19" s="661"/>
      <c r="AT19" s="524" t="s">
        <v>839</v>
      </c>
      <c r="AU19" s="182" t="s">
        <v>839</v>
      </c>
      <c r="AV19" s="182" t="s">
        <v>839</v>
      </c>
      <c r="AW19" s="525" t="e">
        <f t="shared" si="15"/>
        <v>#VALUE!</v>
      </c>
      <c r="AX19" s="661"/>
      <c r="AZ19" s="525" t="e">
        <f t="shared" si="17"/>
        <v>#N/A</v>
      </c>
      <c r="BA19" s="661"/>
    </row>
    <row r="20" spans="2:53">
      <c r="B20" s="647"/>
      <c r="C20" s="470">
        <v>14</v>
      </c>
      <c r="D20" s="456"/>
      <c r="E20" s="473"/>
      <c r="F20" s="473"/>
      <c r="G20" s="473"/>
      <c r="H20" s="689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659"/>
      <c r="M20" s="472" t="e">
        <f>RANK(K20, K$7:$K$21)</f>
        <v>#VALUE!</v>
      </c>
      <c r="N20" s="614"/>
      <c r="O20" s="614"/>
      <c r="P20" s="524" t="s">
        <v>839</v>
      </c>
      <c r="Q20" s="182" t="s">
        <v>839</v>
      </c>
      <c r="R20" s="182" t="s">
        <v>839</v>
      </c>
      <c r="S20" s="525" t="e">
        <f t="shared" si="3"/>
        <v>#VALUE!</v>
      </c>
      <c r="T20" s="661"/>
      <c r="U20" s="524" t="s">
        <v>839</v>
      </c>
      <c r="V20" s="182" t="s">
        <v>839</v>
      </c>
      <c r="W20" s="182" t="s">
        <v>839</v>
      </c>
      <c r="X20" s="525" t="e">
        <f t="shared" si="5"/>
        <v>#VALUE!</v>
      </c>
      <c r="Y20" s="661"/>
      <c r="Z20" s="524" t="s">
        <v>839</v>
      </c>
      <c r="AA20" s="182" t="s">
        <v>839</v>
      </c>
      <c r="AB20" s="182" t="s">
        <v>839</v>
      </c>
      <c r="AC20" s="525" t="e">
        <f t="shared" si="7"/>
        <v>#VALUE!</v>
      </c>
      <c r="AD20" s="661"/>
      <c r="AE20" s="524" t="s">
        <v>839</v>
      </c>
      <c r="AF20" s="182" t="s">
        <v>839</v>
      </c>
      <c r="AG20" s="182" t="s">
        <v>839</v>
      </c>
      <c r="AH20" s="525" t="e">
        <f t="shared" si="9"/>
        <v>#VALUE!</v>
      </c>
      <c r="AI20" s="661"/>
      <c r="AJ20" s="524" t="s">
        <v>839</v>
      </c>
      <c r="AK20" s="182" t="s">
        <v>839</v>
      </c>
      <c r="AL20" s="182" t="s">
        <v>839</v>
      </c>
      <c r="AM20" s="525" t="e">
        <f t="shared" si="11"/>
        <v>#VALUE!</v>
      </c>
      <c r="AN20" s="661"/>
      <c r="AO20" s="524" t="s">
        <v>839</v>
      </c>
      <c r="AP20" s="182" t="s">
        <v>839</v>
      </c>
      <c r="AQ20" s="182" t="s">
        <v>839</v>
      </c>
      <c r="AR20" s="525" t="e">
        <f t="shared" si="13"/>
        <v>#VALUE!</v>
      </c>
      <c r="AS20" s="661"/>
      <c r="AT20" s="524" t="s">
        <v>839</v>
      </c>
      <c r="AU20" s="182" t="s">
        <v>839</v>
      </c>
      <c r="AV20" s="182" t="s">
        <v>839</v>
      </c>
      <c r="AW20" s="525" t="e">
        <f t="shared" si="15"/>
        <v>#VALUE!</v>
      </c>
      <c r="AX20" s="661"/>
      <c r="AZ20" s="525" t="e">
        <f t="shared" si="17"/>
        <v>#N/A</v>
      </c>
      <c r="BA20" s="661"/>
    </row>
    <row r="21" spans="2:53">
      <c r="B21" s="647"/>
      <c r="C21" s="470">
        <v>15</v>
      </c>
      <c r="D21" s="456"/>
      <c r="E21" s="473"/>
      <c r="F21" s="473"/>
      <c r="G21" s="473"/>
      <c r="H21" s="690"/>
      <c r="I21" s="470"/>
      <c r="J21" s="470"/>
      <c r="K21" s="470"/>
      <c r="L21" s="669"/>
      <c r="M21" s="472" t="e">
        <f>RANK(K21, K$7:$K$21)</f>
        <v>#N/A</v>
      </c>
      <c r="N21" s="614"/>
      <c r="O21" s="614"/>
      <c r="P21" s="524" t="s">
        <v>839</v>
      </c>
      <c r="Q21" s="182" t="s">
        <v>839</v>
      </c>
      <c r="R21" s="182" t="s">
        <v>839</v>
      </c>
      <c r="S21" s="525" t="e">
        <f t="shared" si="3"/>
        <v>#VALUE!</v>
      </c>
      <c r="T21" s="661"/>
      <c r="U21" s="524" t="s">
        <v>839</v>
      </c>
      <c r="V21" s="182" t="s">
        <v>839</v>
      </c>
      <c r="W21" s="182" t="s">
        <v>839</v>
      </c>
      <c r="X21" s="525" t="e">
        <f t="shared" si="5"/>
        <v>#VALUE!</v>
      </c>
      <c r="Y21" s="661"/>
      <c r="Z21" s="524" t="s">
        <v>839</v>
      </c>
      <c r="AA21" s="182" t="s">
        <v>839</v>
      </c>
      <c r="AB21" s="182" t="s">
        <v>839</v>
      </c>
      <c r="AC21" s="525" t="e">
        <f t="shared" si="7"/>
        <v>#VALUE!</v>
      </c>
      <c r="AD21" s="661"/>
      <c r="AE21" s="524" t="s">
        <v>839</v>
      </c>
      <c r="AF21" s="182" t="s">
        <v>839</v>
      </c>
      <c r="AG21" s="182" t="s">
        <v>839</v>
      </c>
      <c r="AH21" s="525" t="e">
        <f t="shared" si="9"/>
        <v>#VALUE!</v>
      </c>
      <c r="AI21" s="661"/>
      <c r="AJ21" s="524" t="s">
        <v>839</v>
      </c>
      <c r="AK21" s="182" t="s">
        <v>839</v>
      </c>
      <c r="AL21" s="182" t="s">
        <v>839</v>
      </c>
      <c r="AM21" s="525" t="e">
        <f t="shared" si="11"/>
        <v>#VALUE!</v>
      </c>
      <c r="AN21" s="661"/>
      <c r="AO21" s="524" t="s">
        <v>839</v>
      </c>
      <c r="AP21" s="182" t="s">
        <v>839</v>
      </c>
      <c r="AQ21" s="182" t="s">
        <v>839</v>
      </c>
      <c r="AR21" s="525" t="e">
        <f t="shared" si="13"/>
        <v>#VALUE!</v>
      </c>
      <c r="AS21" s="661"/>
      <c r="AT21" s="524" t="s">
        <v>839</v>
      </c>
      <c r="AU21" s="182" t="s">
        <v>839</v>
      </c>
      <c r="AV21" s="182" t="s">
        <v>839</v>
      </c>
      <c r="AW21" s="525" t="e">
        <f t="shared" si="15"/>
        <v>#VALUE!</v>
      </c>
      <c r="AX21" s="661"/>
      <c r="AZ21" s="525" t="e">
        <f t="shared" si="17"/>
        <v>#N/A</v>
      </c>
      <c r="BA21" s="661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154</v>
      </c>
      <c r="C24" s="614" t="s">
        <v>502</v>
      </c>
      <c r="D24" s="614"/>
      <c r="E24" s="614" t="s">
        <v>503</v>
      </c>
      <c r="F24" s="614"/>
      <c r="G24" s="614"/>
      <c r="H24" s="630" t="s">
        <v>395</v>
      </c>
      <c r="I24" s="598" t="s">
        <v>400</v>
      </c>
      <c r="J24" s="598"/>
      <c r="K24" s="598"/>
      <c r="L24" s="599" t="s">
        <v>395</v>
      </c>
      <c r="M24" s="605" t="s">
        <v>497</v>
      </c>
      <c r="N24" s="614"/>
      <c r="O24" s="614" t="s">
        <v>401</v>
      </c>
      <c r="P24" s="611" t="s">
        <v>505</v>
      </c>
      <c r="Q24" s="612"/>
      <c r="R24" s="612"/>
      <c r="S24" s="613"/>
      <c r="T24" s="614" t="s">
        <v>395</v>
      </c>
      <c r="U24" s="611" t="s">
        <v>505</v>
      </c>
      <c r="V24" s="612"/>
      <c r="W24" s="612"/>
      <c r="X24" s="613"/>
      <c r="Y24" s="614" t="s">
        <v>504</v>
      </c>
      <c r="Z24" s="611" t="s">
        <v>397</v>
      </c>
      <c r="AA24" s="612"/>
      <c r="AB24" s="612"/>
      <c r="AC24" s="613"/>
      <c r="AD24" s="614" t="s">
        <v>395</v>
      </c>
      <c r="AE24" s="611" t="s">
        <v>397</v>
      </c>
      <c r="AF24" s="612"/>
      <c r="AG24" s="612"/>
      <c r="AH24" s="613"/>
      <c r="AI24" s="614" t="s">
        <v>504</v>
      </c>
      <c r="AJ24" s="611" t="s">
        <v>397</v>
      </c>
      <c r="AK24" s="612"/>
      <c r="AL24" s="612"/>
      <c r="AM24" s="613"/>
      <c r="AN24" s="614" t="s">
        <v>395</v>
      </c>
      <c r="AO24" s="611" t="s">
        <v>505</v>
      </c>
      <c r="AP24" s="612"/>
      <c r="AQ24" s="612"/>
      <c r="AR24" s="613"/>
      <c r="AS24" s="614" t="s">
        <v>395</v>
      </c>
      <c r="AT24" s="611" t="s">
        <v>505</v>
      </c>
      <c r="AU24" s="612"/>
      <c r="AV24" s="612"/>
      <c r="AW24" s="613"/>
      <c r="AX24" s="614" t="s">
        <v>395</v>
      </c>
      <c r="BA24" s="614" t="s">
        <v>395</v>
      </c>
    </row>
    <row r="25" spans="2:53">
      <c r="B25" s="614"/>
      <c r="C25" s="614"/>
      <c r="D25" s="614"/>
      <c r="E25" s="614" t="s">
        <v>506</v>
      </c>
      <c r="F25" s="614"/>
      <c r="G25" s="614"/>
      <c r="H25" s="631"/>
      <c r="I25" s="598" t="s">
        <v>506</v>
      </c>
      <c r="J25" s="598"/>
      <c r="K25" s="598"/>
      <c r="L25" s="600"/>
      <c r="M25" s="606"/>
      <c r="N25" s="614"/>
      <c r="O25" s="614"/>
      <c r="P25" s="611" t="s">
        <v>403</v>
      </c>
      <c r="Q25" s="612"/>
      <c r="R25" s="612"/>
      <c r="S25" s="613"/>
      <c r="T25" s="614"/>
      <c r="U25" s="611" t="s">
        <v>403</v>
      </c>
      <c r="V25" s="612"/>
      <c r="W25" s="612"/>
      <c r="X25" s="613"/>
      <c r="Y25" s="614"/>
      <c r="Z25" s="611" t="s">
        <v>507</v>
      </c>
      <c r="AA25" s="612"/>
      <c r="AB25" s="612"/>
      <c r="AC25" s="613"/>
      <c r="AD25" s="614"/>
      <c r="AE25" s="611" t="s">
        <v>507</v>
      </c>
      <c r="AF25" s="612"/>
      <c r="AG25" s="612"/>
      <c r="AH25" s="613"/>
      <c r="AI25" s="614"/>
      <c r="AJ25" s="611" t="s">
        <v>403</v>
      </c>
      <c r="AK25" s="612"/>
      <c r="AL25" s="612"/>
      <c r="AM25" s="613"/>
      <c r="AN25" s="614"/>
      <c r="AO25" s="611" t="s">
        <v>403</v>
      </c>
      <c r="AP25" s="612"/>
      <c r="AQ25" s="612"/>
      <c r="AR25" s="613"/>
      <c r="AS25" s="614"/>
      <c r="AT25" s="611" t="s">
        <v>507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317" t="s">
        <v>404</v>
      </c>
      <c r="F26" s="317" t="s">
        <v>405</v>
      </c>
      <c r="G26" s="317" t="s">
        <v>406</v>
      </c>
      <c r="H26" s="632"/>
      <c r="I26" s="316" t="s">
        <v>508</v>
      </c>
      <c r="J26" s="316" t="s">
        <v>509</v>
      </c>
      <c r="K26" s="316" t="s">
        <v>510</v>
      </c>
      <c r="L26" s="601"/>
      <c r="M26" s="607"/>
      <c r="N26" s="614"/>
      <c r="O26" s="614"/>
      <c r="P26" s="317" t="s">
        <v>508</v>
      </c>
      <c r="Q26" s="317" t="s">
        <v>405</v>
      </c>
      <c r="R26" s="317" t="s">
        <v>406</v>
      </c>
      <c r="S26" s="317" t="s">
        <v>396</v>
      </c>
      <c r="T26" s="614"/>
      <c r="U26" s="317" t="s">
        <v>404</v>
      </c>
      <c r="V26" s="317" t="s">
        <v>509</v>
      </c>
      <c r="W26" s="317" t="s">
        <v>510</v>
      </c>
      <c r="X26" s="317" t="s">
        <v>396</v>
      </c>
      <c r="Y26" s="614"/>
      <c r="Z26" s="317" t="s">
        <v>508</v>
      </c>
      <c r="AA26" s="317" t="s">
        <v>509</v>
      </c>
      <c r="AB26" s="317" t="s">
        <v>406</v>
      </c>
      <c r="AC26" s="317" t="s">
        <v>396</v>
      </c>
      <c r="AD26" s="614"/>
      <c r="AE26" s="317" t="s">
        <v>508</v>
      </c>
      <c r="AF26" s="317" t="s">
        <v>511</v>
      </c>
      <c r="AG26" s="317" t="s">
        <v>406</v>
      </c>
      <c r="AH26" s="317" t="s">
        <v>512</v>
      </c>
      <c r="AI26" s="614"/>
      <c r="AJ26" s="317" t="s">
        <v>404</v>
      </c>
      <c r="AK26" s="317" t="s">
        <v>509</v>
      </c>
      <c r="AL26" s="317" t="s">
        <v>406</v>
      </c>
      <c r="AM26" s="317" t="s">
        <v>396</v>
      </c>
      <c r="AN26" s="614"/>
      <c r="AO26" s="317" t="s">
        <v>404</v>
      </c>
      <c r="AP26" s="317" t="s">
        <v>509</v>
      </c>
      <c r="AQ26" s="317" t="s">
        <v>510</v>
      </c>
      <c r="AR26" s="317" t="s">
        <v>396</v>
      </c>
      <c r="AS26" s="614"/>
      <c r="AT26" s="317" t="s">
        <v>404</v>
      </c>
      <c r="AU26" s="317" t="s">
        <v>509</v>
      </c>
      <c r="AV26" s="317" t="s">
        <v>406</v>
      </c>
      <c r="AW26" s="317" t="s">
        <v>396</v>
      </c>
      <c r="AX26" s="614"/>
      <c r="AZ26" s="523" t="s">
        <v>396</v>
      </c>
      <c r="BA26" s="614"/>
    </row>
    <row r="27" spans="2:53">
      <c r="B27" s="614" t="s">
        <v>513</v>
      </c>
      <c r="C27" s="318">
        <v>1</v>
      </c>
      <c r="D27" s="456" t="s">
        <v>377</v>
      </c>
      <c r="E27" s="521">
        <v>20</v>
      </c>
      <c r="F27" s="521">
        <v>2400</v>
      </c>
      <c r="G27" s="521">
        <v>120</v>
      </c>
      <c r="H27" s="663">
        <f>AVERAGE(G27:G41)</f>
        <v>148.73999999999998</v>
      </c>
      <c r="I27" s="516">
        <f t="shared" ref="I27:I40" si="19">IFERROR(AVERAGE(P27,U27,Z27,AE27,AJ27,AO27,AT27),"-")</f>
        <v>20</v>
      </c>
      <c r="J27" s="516">
        <f t="shared" ref="J27:J40" si="20">IFERROR(AVERAGE(Q27,V27,AA27,AF27,AK27,AP27,AU27),"-")</f>
        <v>2253.5505589906697</v>
      </c>
      <c r="K27" s="200">
        <f t="shared" ref="K27:K40" si="21">IFERROR(AVERAGE(R27,W27,AB27,AG27,AL27,AQ27,AV27),"-")</f>
        <v>112.67752794953348</v>
      </c>
      <c r="L27" s="595">
        <f>IFERROR(AVERAGE(K27:K41),"-")</f>
        <v>124.46114473924573</v>
      </c>
      <c r="M27" s="201">
        <f>RANK(K27, K$27:$K$41)</f>
        <v>5</v>
      </c>
      <c r="N27" s="614"/>
      <c r="O27" s="614"/>
      <c r="P27" s="529">
        <v>20</v>
      </c>
      <c r="Q27" s="533">
        <v>2249.1074380165292</v>
      </c>
      <c r="R27" s="533">
        <v>112.45537190082646</v>
      </c>
      <c r="S27" s="529">
        <f t="shared" ref="S27:S41" si="22">RANK(R27, R$27:R$41)</f>
        <v>5</v>
      </c>
      <c r="T27" s="623">
        <f t="shared" ref="T27" si="23">AVERAGE(R27:R41)</f>
        <v>125.858086908514</v>
      </c>
      <c r="U27" s="529">
        <v>20</v>
      </c>
      <c r="V27" s="533">
        <v>2249.2184873949586</v>
      </c>
      <c r="W27" s="533">
        <v>112.46092436974793</v>
      </c>
      <c r="X27" s="529">
        <f t="shared" ref="X27:X41" si="24">RANK(W27, W$27:W$41)</f>
        <v>5</v>
      </c>
      <c r="Y27" s="623">
        <f t="shared" ref="Y27" si="25">AVERAGE(W27:W41)</f>
        <v>126.27713101590021</v>
      </c>
      <c r="Z27" s="529">
        <v>20</v>
      </c>
      <c r="AA27" s="533">
        <v>2291.3505154639179</v>
      </c>
      <c r="AB27" s="533">
        <v>114.5675257731959</v>
      </c>
      <c r="AC27" s="529">
        <f t="shared" ref="AC27:AC41" si="26">RANK(AB27, AB$27:AB$41)</f>
        <v>5</v>
      </c>
      <c r="AD27" s="623">
        <f t="shared" ref="AD27" si="27">AVERAGE(AB27:AB41)</f>
        <v>123.76098020651622</v>
      </c>
      <c r="AE27" s="529">
        <v>20</v>
      </c>
      <c r="AF27" s="533">
        <v>2237.4742268041246</v>
      </c>
      <c r="AG27" s="533">
        <v>111.87371134020623</v>
      </c>
      <c r="AH27" s="529">
        <f t="shared" ref="AH27:AH41" si="28">RANK(AG27, AG$27:AG$41)</f>
        <v>5</v>
      </c>
      <c r="AI27" s="623">
        <f t="shared" ref="AI27" si="29">AVERAGE(AG27:AG41)</f>
        <v>123.65928497886939</v>
      </c>
      <c r="AJ27" s="529">
        <v>20</v>
      </c>
      <c r="AK27" s="533">
        <v>2277.8644067796617</v>
      </c>
      <c r="AL27" s="533">
        <v>113.89322033898308</v>
      </c>
      <c r="AM27" s="529">
        <f t="shared" ref="AM27:AM41" si="30">RANK(AL27, AL$27:AL$41)</f>
        <v>5</v>
      </c>
      <c r="AN27" s="623">
        <f t="shared" ref="AN27" si="31">AVERAGE(AL27:AL41)</f>
        <v>123.93269968766469</v>
      </c>
      <c r="AO27" s="529">
        <v>20</v>
      </c>
      <c r="AP27" s="533">
        <v>2244.786206896551</v>
      </c>
      <c r="AQ27" s="533">
        <v>112.23931034482754</v>
      </c>
      <c r="AR27" s="529">
        <f t="shared" ref="AR27:AR41" si="32">RANK(AQ27, AQ$27:AQ$41)</f>
        <v>5</v>
      </c>
      <c r="AS27" s="623">
        <f t="shared" ref="AS27" si="33">AVERAGE(AQ27:AQ41)</f>
        <v>124.97747012736541</v>
      </c>
      <c r="AT27" s="529">
        <v>20</v>
      </c>
      <c r="AU27" s="533">
        <v>2225.0526315789471</v>
      </c>
      <c r="AV27" s="533">
        <v>111.25263157894736</v>
      </c>
      <c r="AW27" s="529">
        <f t="shared" ref="AW27:AW41" si="34">RANK(AV27, AV$27:AV$41)</f>
        <v>5</v>
      </c>
      <c r="AX27" s="623">
        <f t="shared" ref="AX27" si="35">AVERAGE(AV27:AV41)</f>
        <v>122.76236024988998</v>
      </c>
      <c r="AZ27" s="524" t="e">
        <f t="shared" ref="AZ27:AZ41" si="36">RANK(AY27, AY$27:AY$41)</f>
        <v>#N/A</v>
      </c>
      <c r="BA27" s="623" t="e">
        <f t="shared" ref="BA27" si="37">AVERAGE(AY27:AY41)</f>
        <v>#DIV/0!</v>
      </c>
    </row>
    <row r="28" spans="2:53">
      <c r="B28" s="622"/>
      <c r="C28" s="318">
        <v>2</v>
      </c>
      <c r="D28" s="456" t="s">
        <v>378</v>
      </c>
      <c r="E28" s="521">
        <v>18</v>
      </c>
      <c r="F28" s="521">
        <v>2700</v>
      </c>
      <c r="G28" s="521">
        <v>166.7</v>
      </c>
      <c r="H28" s="664"/>
      <c r="I28" s="516">
        <f t="shared" si="19"/>
        <v>19</v>
      </c>
      <c r="J28" s="516">
        <f t="shared" si="20"/>
        <v>2520.008327161951</v>
      </c>
      <c r="K28" s="200">
        <f t="shared" si="21"/>
        <v>132.63201721905006</v>
      </c>
      <c r="L28" s="596"/>
      <c r="M28" s="201">
        <f>RANK(K28, K$27:$K$41)</f>
        <v>1</v>
      </c>
      <c r="N28" s="614"/>
      <c r="O28" s="614"/>
      <c r="P28" s="529">
        <v>19</v>
      </c>
      <c r="Q28" s="533">
        <v>2542.6721311475403</v>
      </c>
      <c r="R28" s="533">
        <v>133.82484900776527</v>
      </c>
      <c r="S28" s="529">
        <f t="shared" si="22"/>
        <v>1</v>
      </c>
      <c r="T28" s="624"/>
      <c r="U28" s="529">
        <v>19</v>
      </c>
      <c r="V28" s="533">
        <v>2546.6999999999994</v>
      </c>
      <c r="W28" s="533">
        <v>134.03684210526313</v>
      </c>
      <c r="X28" s="529">
        <f t="shared" si="24"/>
        <v>1</v>
      </c>
      <c r="Y28" s="624"/>
      <c r="Z28" s="529">
        <v>19</v>
      </c>
      <c r="AA28" s="533">
        <v>2492.2500000000018</v>
      </c>
      <c r="AB28" s="533">
        <v>131.17105263157904</v>
      </c>
      <c r="AC28" s="529">
        <f t="shared" si="26"/>
        <v>1</v>
      </c>
      <c r="AD28" s="624"/>
      <c r="AE28" s="529">
        <v>19</v>
      </c>
      <c r="AF28" s="533">
        <v>2509.2452830188695</v>
      </c>
      <c r="AG28" s="533">
        <v>132.06554121151945</v>
      </c>
      <c r="AH28" s="529">
        <f t="shared" si="28"/>
        <v>1</v>
      </c>
      <c r="AI28" s="624"/>
      <c r="AJ28" s="529">
        <v>19</v>
      </c>
      <c r="AK28" s="533">
        <v>2483.955882352941</v>
      </c>
      <c r="AL28" s="533">
        <v>130.73452012383899</v>
      </c>
      <c r="AM28" s="529">
        <f t="shared" si="30"/>
        <v>1</v>
      </c>
      <c r="AN28" s="624"/>
      <c r="AO28" s="529">
        <v>19</v>
      </c>
      <c r="AP28" s="533">
        <v>2563.4074074074065</v>
      </c>
      <c r="AQ28" s="533">
        <v>134.91617933723191</v>
      </c>
      <c r="AR28" s="529">
        <f t="shared" si="32"/>
        <v>1</v>
      </c>
      <c r="AS28" s="624"/>
      <c r="AT28" s="529">
        <v>19</v>
      </c>
      <c r="AU28" s="533">
        <v>2501.8275862068963</v>
      </c>
      <c r="AV28" s="533">
        <v>131.67513611615243</v>
      </c>
      <c r="AW28" s="529">
        <f t="shared" si="34"/>
        <v>1</v>
      </c>
      <c r="AX28" s="624"/>
      <c r="AZ28" s="524" t="e">
        <f t="shared" si="36"/>
        <v>#N/A</v>
      </c>
      <c r="BA28" s="624"/>
    </row>
    <row r="29" spans="2:53">
      <c r="B29" s="622"/>
      <c r="C29" s="318">
        <v>3</v>
      </c>
      <c r="D29" s="456" t="s">
        <v>379</v>
      </c>
      <c r="E29" s="521">
        <v>18</v>
      </c>
      <c r="F29" s="521">
        <v>2700</v>
      </c>
      <c r="G29" s="521">
        <v>166.7</v>
      </c>
      <c r="H29" s="664"/>
      <c r="I29" s="516">
        <f t="shared" si="19"/>
        <v>19.714285714285715</v>
      </c>
      <c r="J29" s="516">
        <f t="shared" si="20"/>
        <v>2492.9689091273453</v>
      </c>
      <c r="K29" s="200">
        <f t="shared" si="21"/>
        <v>126.4528214994498</v>
      </c>
      <c r="L29" s="596"/>
      <c r="M29" s="201">
        <f>RANK(K29, K$27:$K$41)</f>
        <v>3</v>
      </c>
      <c r="N29" s="614"/>
      <c r="O29" s="614"/>
      <c r="P29" s="529">
        <v>20</v>
      </c>
      <c r="Q29" s="533">
        <v>2620.7142857142849</v>
      </c>
      <c r="R29" s="533">
        <v>131.03571428571425</v>
      </c>
      <c r="S29" s="529">
        <f t="shared" si="22"/>
        <v>2</v>
      </c>
      <c r="T29" s="624"/>
      <c r="U29" s="529">
        <v>20</v>
      </c>
      <c r="V29" s="533">
        <v>2641.5789473684194</v>
      </c>
      <c r="W29" s="533">
        <v>132.07894736842098</v>
      </c>
      <c r="X29" s="529">
        <f t="shared" si="24"/>
        <v>2</v>
      </c>
      <c r="Y29" s="624"/>
      <c r="Z29" s="529">
        <v>20</v>
      </c>
      <c r="AA29" s="533">
        <v>2473.2750000000028</v>
      </c>
      <c r="AB29" s="533">
        <v>123.66375000000014</v>
      </c>
      <c r="AC29" s="529">
        <f t="shared" si="26"/>
        <v>4</v>
      </c>
      <c r="AD29" s="624"/>
      <c r="AE29" s="529">
        <v>20</v>
      </c>
      <c r="AF29" s="533">
        <v>2433.5294117647095</v>
      </c>
      <c r="AG29" s="533">
        <v>121.67647058823547</v>
      </c>
      <c r="AH29" s="529">
        <f t="shared" si="28"/>
        <v>4</v>
      </c>
      <c r="AI29" s="624"/>
      <c r="AJ29" s="529">
        <v>19</v>
      </c>
      <c r="AK29" s="533">
        <v>2291.0086956521736</v>
      </c>
      <c r="AL29" s="533">
        <v>120.57940503432492</v>
      </c>
      <c r="AM29" s="529">
        <f t="shared" si="30"/>
        <v>4</v>
      </c>
      <c r="AN29" s="624"/>
      <c r="AO29" s="529">
        <v>19</v>
      </c>
      <c r="AP29" s="533">
        <v>2508.6315789473779</v>
      </c>
      <c r="AQ29" s="533">
        <v>132.03324099723042</v>
      </c>
      <c r="AR29" s="529">
        <f t="shared" si="32"/>
        <v>2</v>
      </c>
      <c r="AS29" s="624"/>
      <c r="AT29" s="529">
        <v>20</v>
      </c>
      <c r="AU29" s="533">
        <v>2482.0444444444461</v>
      </c>
      <c r="AV29" s="533">
        <v>124.10222222222231</v>
      </c>
      <c r="AW29" s="529">
        <f t="shared" si="34"/>
        <v>3</v>
      </c>
      <c r="AX29" s="624"/>
      <c r="AZ29" s="524" t="e">
        <f t="shared" si="36"/>
        <v>#N/A</v>
      </c>
      <c r="BA29" s="624"/>
    </row>
    <row r="30" spans="2:53">
      <c r="B30" s="622"/>
      <c r="C30" s="318">
        <v>4</v>
      </c>
      <c r="D30" s="456" t="s">
        <v>380</v>
      </c>
      <c r="E30" s="521">
        <v>19</v>
      </c>
      <c r="F30" s="521">
        <v>2700</v>
      </c>
      <c r="G30" s="521">
        <v>157.9</v>
      </c>
      <c r="H30" s="664"/>
      <c r="I30" s="516">
        <f t="shared" si="19"/>
        <v>20</v>
      </c>
      <c r="J30" s="516">
        <f t="shared" si="20"/>
        <v>2540.4945325138756</v>
      </c>
      <c r="K30" s="200">
        <f t="shared" si="21"/>
        <v>127.02472662569379</v>
      </c>
      <c r="L30" s="596"/>
      <c r="M30" s="201">
        <f>RANK(K30, K$27:$K$41)</f>
        <v>2</v>
      </c>
      <c r="N30" s="614"/>
      <c r="O30" s="614"/>
      <c r="P30" s="529">
        <v>20</v>
      </c>
      <c r="Q30" s="533">
        <v>2545.2371134020627</v>
      </c>
      <c r="R30" s="533">
        <v>127.26185567010313</v>
      </c>
      <c r="S30" s="529">
        <f t="shared" si="22"/>
        <v>3</v>
      </c>
      <c r="T30" s="624"/>
      <c r="U30" s="529">
        <v>20</v>
      </c>
      <c r="V30" s="533">
        <v>2553.7978723404262</v>
      </c>
      <c r="W30" s="533">
        <v>127.68989361702131</v>
      </c>
      <c r="X30" s="529">
        <f t="shared" si="24"/>
        <v>3</v>
      </c>
      <c r="Y30" s="624"/>
      <c r="Z30" s="529">
        <v>20</v>
      </c>
      <c r="AA30" s="533">
        <v>2512.0657894736855</v>
      </c>
      <c r="AB30" s="533">
        <v>125.60328947368427</v>
      </c>
      <c r="AC30" s="529">
        <f t="shared" si="26"/>
        <v>2</v>
      </c>
      <c r="AD30" s="624"/>
      <c r="AE30" s="529">
        <v>20</v>
      </c>
      <c r="AF30" s="533">
        <v>2554.6666666666661</v>
      </c>
      <c r="AG30" s="533">
        <v>127.73333333333331</v>
      </c>
      <c r="AH30" s="529">
        <f t="shared" si="28"/>
        <v>2</v>
      </c>
      <c r="AI30" s="624"/>
      <c r="AJ30" s="529">
        <v>20</v>
      </c>
      <c r="AK30" s="533">
        <v>2571.4800000000005</v>
      </c>
      <c r="AL30" s="533">
        <v>128.57400000000001</v>
      </c>
      <c r="AM30" s="529">
        <f t="shared" si="30"/>
        <v>2</v>
      </c>
      <c r="AN30" s="624"/>
      <c r="AO30" s="529">
        <v>20</v>
      </c>
      <c r="AP30" s="533">
        <v>2511.0000000000005</v>
      </c>
      <c r="AQ30" s="533">
        <v>125.55000000000003</v>
      </c>
      <c r="AR30" s="529">
        <f t="shared" si="32"/>
        <v>3</v>
      </c>
      <c r="AS30" s="624"/>
      <c r="AT30" s="529">
        <v>20</v>
      </c>
      <c r="AU30" s="533">
        <v>2535.2142857142862</v>
      </c>
      <c r="AV30" s="533">
        <v>126.76071428571431</v>
      </c>
      <c r="AW30" s="529">
        <f t="shared" si="34"/>
        <v>2</v>
      </c>
      <c r="AX30" s="624"/>
      <c r="AZ30" s="524" t="e">
        <f t="shared" si="36"/>
        <v>#N/A</v>
      </c>
      <c r="BA30" s="624"/>
    </row>
    <row r="31" spans="2:53">
      <c r="B31" s="622"/>
      <c r="C31" s="318">
        <v>5</v>
      </c>
      <c r="D31" s="456" t="s">
        <v>645</v>
      </c>
      <c r="E31" s="521">
        <v>17</v>
      </c>
      <c r="F31" s="521">
        <v>2250</v>
      </c>
      <c r="G31" s="521">
        <v>132.4</v>
      </c>
      <c r="H31" s="664"/>
      <c r="I31" s="516">
        <f t="shared" si="19"/>
        <v>18</v>
      </c>
      <c r="J31" s="516">
        <f t="shared" si="20"/>
        <v>2223.3353472450258</v>
      </c>
      <c r="K31" s="200">
        <f t="shared" si="21"/>
        <v>123.51863040250143</v>
      </c>
      <c r="L31" s="596"/>
      <c r="M31" s="201">
        <f>RANK(K31, K$27:$K$41)</f>
        <v>4</v>
      </c>
      <c r="N31" s="614"/>
      <c r="O31" s="614"/>
      <c r="P31" s="529">
        <v>18</v>
      </c>
      <c r="Q31" s="533">
        <v>2244.8275862068958</v>
      </c>
      <c r="R31" s="533">
        <v>124.71264367816087</v>
      </c>
      <c r="S31" s="529">
        <f t="shared" si="22"/>
        <v>4</v>
      </c>
      <c r="T31" s="624"/>
      <c r="U31" s="529">
        <v>18</v>
      </c>
      <c r="V31" s="533">
        <v>2252.1428571428569</v>
      </c>
      <c r="W31" s="533">
        <v>125.11904761904761</v>
      </c>
      <c r="X31" s="529">
        <f t="shared" si="24"/>
        <v>4</v>
      </c>
      <c r="Y31" s="624"/>
      <c r="Z31" s="529">
        <v>18</v>
      </c>
      <c r="AA31" s="533">
        <v>2228.3870967741927</v>
      </c>
      <c r="AB31" s="533">
        <v>123.79928315412182</v>
      </c>
      <c r="AC31" s="529">
        <f t="shared" si="26"/>
        <v>3</v>
      </c>
      <c r="AD31" s="624"/>
      <c r="AE31" s="529">
        <v>18</v>
      </c>
      <c r="AF31" s="533">
        <v>2249.0526315789466</v>
      </c>
      <c r="AG31" s="533">
        <v>124.94736842105259</v>
      </c>
      <c r="AH31" s="529">
        <f t="shared" si="28"/>
        <v>3</v>
      </c>
      <c r="AI31" s="624"/>
      <c r="AJ31" s="529">
        <v>18</v>
      </c>
      <c r="AK31" s="533">
        <v>2265.8823529411761</v>
      </c>
      <c r="AL31" s="533">
        <v>125.88235294117645</v>
      </c>
      <c r="AM31" s="529">
        <f t="shared" si="30"/>
        <v>3</v>
      </c>
      <c r="AN31" s="624"/>
      <c r="AO31" s="529">
        <v>18</v>
      </c>
      <c r="AP31" s="533">
        <v>2162.6751592356682</v>
      </c>
      <c r="AQ31" s="533">
        <v>120.14861995753712</v>
      </c>
      <c r="AR31" s="529">
        <f t="shared" si="32"/>
        <v>4</v>
      </c>
      <c r="AS31" s="624"/>
      <c r="AT31" s="529">
        <v>18</v>
      </c>
      <c r="AU31" s="533">
        <v>2160.3797468354428</v>
      </c>
      <c r="AV31" s="533">
        <v>120.02109704641349</v>
      </c>
      <c r="AW31" s="529">
        <f t="shared" si="34"/>
        <v>4</v>
      </c>
      <c r="AX31" s="624"/>
      <c r="AZ31" s="524" t="e">
        <f t="shared" si="36"/>
        <v>#N/A</v>
      </c>
      <c r="BA31" s="624"/>
    </row>
    <row r="32" spans="2:53">
      <c r="B32" s="622"/>
      <c r="C32" s="318">
        <v>6</v>
      </c>
      <c r="D32" s="456"/>
      <c r="E32" s="521"/>
      <c r="F32" s="521"/>
      <c r="G32" s="521"/>
      <c r="H32" s="664"/>
      <c r="I32" s="516" t="str">
        <f t="shared" si="19"/>
        <v>-</v>
      </c>
      <c r="J32" s="516" t="str">
        <f t="shared" si="20"/>
        <v>-</v>
      </c>
      <c r="K32" s="200" t="str">
        <f t="shared" si="21"/>
        <v>-</v>
      </c>
      <c r="L32" s="596"/>
      <c r="M32" s="201" t="e">
        <f>RANK(K32, K$27:$K$41)</f>
        <v>#VALUE!</v>
      </c>
      <c r="N32" s="614"/>
      <c r="O32" s="614"/>
      <c r="P32" s="529" t="s">
        <v>839</v>
      </c>
      <c r="Q32" s="533" t="s">
        <v>839</v>
      </c>
      <c r="R32" s="533" t="s">
        <v>839</v>
      </c>
      <c r="S32" s="529" t="e">
        <f t="shared" si="22"/>
        <v>#VALUE!</v>
      </c>
      <c r="T32" s="624"/>
      <c r="U32" s="529" t="s">
        <v>839</v>
      </c>
      <c r="V32" s="533" t="s">
        <v>839</v>
      </c>
      <c r="W32" s="533" t="s">
        <v>839</v>
      </c>
      <c r="X32" s="529" t="e">
        <f t="shared" si="24"/>
        <v>#VALUE!</v>
      </c>
      <c r="Y32" s="624"/>
      <c r="Z32" s="529" t="s">
        <v>839</v>
      </c>
      <c r="AA32" s="533" t="s">
        <v>839</v>
      </c>
      <c r="AB32" s="533" t="s">
        <v>839</v>
      </c>
      <c r="AC32" s="529" t="e">
        <f t="shared" si="26"/>
        <v>#VALUE!</v>
      </c>
      <c r="AD32" s="624"/>
      <c r="AE32" s="529" t="s">
        <v>839</v>
      </c>
      <c r="AF32" s="533" t="s">
        <v>839</v>
      </c>
      <c r="AG32" s="533" t="s">
        <v>839</v>
      </c>
      <c r="AH32" s="529" t="e">
        <f t="shared" si="28"/>
        <v>#VALUE!</v>
      </c>
      <c r="AI32" s="624"/>
      <c r="AJ32" s="529" t="s">
        <v>839</v>
      </c>
      <c r="AK32" s="533" t="s">
        <v>839</v>
      </c>
      <c r="AL32" s="533" t="s">
        <v>839</v>
      </c>
      <c r="AM32" s="529" t="e">
        <f t="shared" si="30"/>
        <v>#VALUE!</v>
      </c>
      <c r="AN32" s="624"/>
      <c r="AO32" s="529" t="s">
        <v>839</v>
      </c>
      <c r="AP32" s="533" t="s">
        <v>839</v>
      </c>
      <c r="AQ32" s="533" t="s">
        <v>839</v>
      </c>
      <c r="AR32" s="529" t="e">
        <f t="shared" si="32"/>
        <v>#VALUE!</v>
      </c>
      <c r="AS32" s="624"/>
      <c r="AT32" s="529" t="s">
        <v>839</v>
      </c>
      <c r="AU32" s="533" t="s">
        <v>839</v>
      </c>
      <c r="AV32" s="533" t="s">
        <v>839</v>
      </c>
      <c r="AW32" s="529" t="e">
        <f t="shared" si="34"/>
        <v>#VALUE!</v>
      </c>
      <c r="AX32" s="624"/>
      <c r="AZ32" s="524" t="e">
        <f t="shared" si="36"/>
        <v>#N/A</v>
      </c>
      <c r="BA32" s="624"/>
    </row>
    <row r="33" spans="2:53">
      <c r="B33" s="622"/>
      <c r="C33" s="318">
        <v>7</v>
      </c>
      <c r="D33" s="456"/>
      <c r="E33" s="521"/>
      <c r="F33" s="521"/>
      <c r="G33" s="521"/>
      <c r="H33" s="664"/>
      <c r="I33" s="516" t="str">
        <f t="shared" si="19"/>
        <v>-</v>
      </c>
      <c r="J33" s="516" t="str">
        <f t="shared" si="20"/>
        <v>-</v>
      </c>
      <c r="K33" s="200" t="str">
        <f t="shared" si="21"/>
        <v>-</v>
      </c>
      <c r="L33" s="596"/>
      <c r="M33" s="201" t="e">
        <f>RANK(K33, K$27:$K$41)</f>
        <v>#VALUE!</v>
      </c>
      <c r="N33" s="614"/>
      <c r="O33" s="614"/>
      <c r="P33" s="529" t="s">
        <v>839</v>
      </c>
      <c r="Q33" s="533" t="s">
        <v>839</v>
      </c>
      <c r="R33" s="533" t="s">
        <v>839</v>
      </c>
      <c r="S33" s="529" t="e">
        <f t="shared" si="22"/>
        <v>#VALUE!</v>
      </c>
      <c r="T33" s="624"/>
      <c r="U33" s="529" t="s">
        <v>839</v>
      </c>
      <c r="V33" s="533" t="s">
        <v>839</v>
      </c>
      <c r="W33" s="533" t="s">
        <v>839</v>
      </c>
      <c r="X33" s="529" t="e">
        <f t="shared" si="24"/>
        <v>#VALUE!</v>
      </c>
      <c r="Y33" s="624"/>
      <c r="Z33" s="529" t="s">
        <v>839</v>
      </c>
      <c r="AA33" s="533" t="s">
        <v>839</v>
      </c>
      <c r="AB33" s="533" t="s">
        <v>839</v>
      </c>
      <c r="AC33" s="529" t="e">
        <f t="shared" si="26"/>
        <v>#VALUE!</v>
      </c>
      <c r="AD33" s="624"/>
      <c r="AE33" s="529" t="s">
        <v>839</v>
      </c>
      <c r="AF33" s="533" t="s">
        <v>839</v>
      </c>
      <c r="AG33" s="533" t="s">
        <v>839</v>
      </c>
      <c r="AH33" s="529" t="e">
        <f t="shared" si="28"/>
        <v>#VALUE!</v>
      </c>
      <c r="AI33" s="624"/>
      <c r="AJ33" s="529" t="s">
        <v>839</v>
      </c>
      <c r="AK33" s="533" t="s">
        <v>839</v>
      </c>
      <c r="AL33" s="533" t="s">
        <v>839</v>
      </c>
      <c r="AM33" s="529" t="e">
        <f t="shared" si="30"/>
        <v>#VALUE!</v>
      </c>
      <c r="AN33" s="624"/>
      <c r="AO33" s="529" t="s">
        <v>839</v>
      </c>
      <c r="AP33" s="533" t="s">
        <v>839</v>
      </c>
      <c r="AQ33" s="533" t="s">
        <v>839</v>
      </c>
      <c r="AR33" s="529" t="e">
        <f t="shared" si="32"/>
        <v>#VALUE!</v>
      </c>
      <c r="AS33" s="624"/>
      <c r="AT33" s="529" t="s">
        <v>839</v>
      </c>
      <c r="AU33" s="533" t="s">
        <v>839</v>
      </c>
      <c r="AV33" s="533" t="s">
        <v>839</v>
      </c>
      <c r="AW33" s="529" t="e">
        <f t="shared" si="34"/>
        <v>#VALUE!</v>
      </c>
      <c r="AX33" s="624"/>
      <c r="AZ33" s="524" t="e">
        <f t="shared" si="36"/>
        <v>#N/A</v>
      </c>
      <c r="BA33" s="624"/>
    </row>
    <row r="34" spans="2:53">
      <c r="B34" s="622"/>
      <c r="C34" s="318">
        <v>8</v>
      </c>
      <c r="D34" s="456"/>
      <c r="E34" s="521"/>
      <c r="F34" s="521"/>
      <c r="G34" s="521"/>
      <c r="H34" s="664"/>
      <c r="I34" s="516" t="str">
        <f t="shared" si="19"/>
        <v>-</v>
      </c>
      <c r="J34" s="516" t="str">
        <f t="shared" si="20"/>
        <v>-</v>
      </c>
      <c r="K34" s="200" t="str">
        <f t="shared" si="21"/>
        <v>-</v>
      </c>
      <c r="L34" s="596"/>
      <c r="M34" s="201" t="e">
        <f>RANK(K34, K$27:$K$41)</f>
        <v>#VALUE!</v>
      </c>
      <c r="N34" s="614"/>
      <c r="O34" s="614"/>
      <c r="P34" s="529" t="s">
        <v>839</v>
      </c>
      <c r="Q34" s="533" t="s">
        <v>839</v>
      </c>
      <c r="R34" s="533" t="s">
        <v>839</v>
      </c>
      <c r="S34" s="529" t="e">
        <f t="shared" si="22"/>
        <v>#VALUE!</v>
      </c>
      <c r="T34" s="624"/>
      <c r="U34" s="529" t="s">
        <v>839</v>
      </c>
      <c r="V34" s="533" t="s">
        <v>839</v>
      </c>
      <c r="W34" s="533" t="s">
        <v>839</v>
      </c>
      <c r="X34" s="529" t="e">
        <f t="shared" si="24"/>
        <v>#VALUE!</v>
      </c>
      <c r="Y34" s="624"/>
      <c r="Z34" s="529" t="s">
        <v>839</v>
      </c>
      <c r="AA34" s="533" t="s">
        <v>839</v>
      </c>
      <c r="AB34" s="533" t="s">
        <v>839</v>
      </c>
      <c r="AC34" s="529" t="e">
        <f t="shared" si="26"/>
        <v>#VALUE!</v>
      </c>
      <c r="AD34" s="624"/>
      <c r="AE34" s="529" t="s">
        <v>839</v>
      </c>
      <c r="AF34" s="533" t="s">
        <v>839</v>
      </c>
      <c r="AG34" s="533" t="s">
        <v>839</v>
      </c>
      <c r="AH34" s="529" t="e">
        <f t="shared" si="28"/>
        <v>#VALUE!</v>
      </c>
      <c r="AI34" s="624"/>
      <c r="AJ34" s="529" t="s">
        <v>839</v>
      </c>
      <c r="AK34" s="533" t="s">
        <v>839</v>
      </c>
      <c r="AL34" s="533" t="s">
        <v>839</v>
      </c>
      <c r="AM34" s="529" t="e">
        <f t="shared" si="30"/>
        <v>#VALUE!</v>
      </c>
      <c r="AN34" s="624"/>
      <c r="AO34" s="529" t="s">
        <v>839</v>
      </c>
      <c r="AP34" s="533" t="s">
        <v>839</v>
      </c>
      <c r="AQ34" s="533" t="s">
        <v>839</v>
      </c>
      <c r="AR34" s="529" t="e">
        <f t="shared" si="32"/>
        <v>#VALUE!</v>
      </c>
      <c r="AS34" s="624"/>
      <c r="AT34" s="529" t="s">
        <v>839</v>
      </c>
      <c r="AU34" s="533" t="s">
        <v>839</v>
      </c>
      <c r="AV34" s="533" t="s">
        <v>839</v>
      </c>
      <c r="AW34" s="529" t="e">
        <f t="shared" si="34"/>
        <v>#VALUE!</v>
      </c>
      <c r="AX34" s="624"/>
      <c r="AZ34" s="524" t="e">
        <f t="shared" si="36"/>
        <v>#N/A</v>
      </c>
      <c r="BA34" s="624"/>
    </row>
    <row r="35" spans="2:53">
      <c r="B35" s="622"/>
      <c r="C35" s="318">
        <v>9</v>
      </c>
      <c r="D35" s="456"/>
      <c r="E35" s="521"/>
      <c r="F35" s="521"/>
      <c r="G35" s="521"/>
      <c r="H35" s="664"/>
      <c r="I35" s="516" t="str">
        <f t="shared" si="19"/>
        <v>-</v>
      </c>
      <c r="J35" s="516" t="str">
        <f t="shared" si="20"/>
        <v>-</v>
      </c>
      <c r="K35" s="200" t="str">
        <f t="shared" si="21"/>
        <v>-</v>
      </c>
      <c r="L35" s="596"/>
      <c r="M35" s="201" t="e">
        <f>RANK(K35, K$27:$K$41)</f>
        <v>#VALUE!</v>
      </c>
      <c r="N35" s="614"/>
      <c r="O35" s="614"/>
      <c r="P35" s="529" t="s">
        <v>839</v>
      </c>
      <c r="Q35" s="533" t="s">
        <v>839</v>
      </c>
      <c r="R35" s="533" t="s">
        <v>839</v>
      </c>
      <c r="S35" s="529" t="e">
        <f t="shared" si="22"/>
        <v>#VALUE!</v>
      </c>
      <c r="T35" s="624"/>
      <c r="U35" s="529" t="s">
        <v>839</v>
      </c>
      <c r="V35" s="533" t="s">
        <v>839</v>
      </c>
      <c r="W35" s="533" t="s">
        <v>839</v>
      </c>
      <c r="X35" s="529" t="e">
        <f t="shared" si="24"/>
        <v>#VALUE!</v>
      </c>
      <c r="Y35" s="624"/>
      <c r="Z35" s="529" t="s">
        <v>839</v>
      </c>
      <c r="AA35" s="533" t="s">
        <v>839</v>
      </c>
      <c r="AB35" s="533" t="s">
        <v>839</v>
      </c>
      <c r="AC35" s="529" t="e">
        <f t="shared" si="26"/>
        <v>#VALUE!</v>
      </c>
      <c r="AD35" s="624"/>
      <c r="AE35" s="529" t="s">
        <v>839</v>
      </c>
      <c r="AF35" s="533" t="s">
        <v>839</v>
      </c>
      <c r="AG35" s="533" t="s">
        <v>839</v>
      </c>
      <c r="AH35" s="529" t="e">
        <f t="shared" si="28"/>
        <v>#VALUE!</v>
      </c>
      <c r="AI35" s="624"/>
      <c r="AJ35" s="529" t="s">
        <v>839</v>
      </c>
      <c r="AK35" s="533" t="s">
        <v>839</v>
      </c>
      <c r="AL35" s="533" t="s">
        <v>839</v>
      </c>
      <c r="AM35" s="529" t="e">
        <f t="shared" si="30"/>
        <v>#VALUE!</v>
      </c>
      <c r="AN35" s="624"/>
      <c r="AO35" s="529" t="s">
        <v>839</v>
      </c>
      <c r="AP35" s="533" t="s">
        <v>839</v>
      </c>
      <c r="AQ35" s="533" t="s">
        <v>839</v>
      </c>
      <c r="AR35" s="529" t="e">
        <f t="shared" si="32"/>
        <v>#VALUE!</v>
      </c>
      <c r="AS35" s="624"/>
      <c r="AT35" s="529" t="s">
        <v>839</v>
      </c>
      <c r="AU35" s="533" t="s">
        <v>839</v>
      </c>
      <c r="AV35" s="533" t="s">
        <v>839</v>
      </c>
      <c r="AW35" s="529" t="e">
        <f t="shared" si="34"/>
        <v>#VALUE!</v>
      </c>
      <c r="AX35" s="624"/>
      <c r="AZ35" s="524" t="e">
        <f t="shared" si="36"/>
        <v>#N/A</v>
      </c>
      <c r="BA35" s="624"/>
    </row>
    <row r="36" spans="2:53">
      <c r="B36" s="622"/>
      <c r="C36" s="318">
        <v>10</v>
      </c>
      <c r="D36" s="456"/>
      <c r="E36" s="521"/>
      <c r="F36" s="521"/>
      <c r="G36" s="521"/>
      <c r="H36" s="664"/>
      <c r="I36" s="516" t="str">
        <f t="shared" si="19"/>
        <v>-</v>
      </c>
      <c r="J36" s="516" t="str">
        <f t="shared" si="20"/>
        <v>-</v>
      </c>
      <c r="K36" s="200" t="str">
        <f t="shared" si="21"/>
        <v>-</v>
      </c>
      <c r="L36" s="596"/>
      <c r="M36" s="201" t="e">
        <f>RANK(K36, K$27:$K$41)</f>
        <v>#VALUE!</v>
      </c>
      <c r="N36" s="614"/>
      <c r="O36" s="614"/>
      <c r="P36" s="529" t="s">
        <v>839</v>
      </c>
      <c r="Q36" s="533" t="s">
        <v>839</v>
      </c>
      <c r="R36" s="533" t="s">
        <v>839</v>
      </c>
      <c r="S36" s="529" t="e">
        <f t="shared" si="22"/>
        <v>#VALUE!</v>
      </c>
      <c r="T36" s="624"/>
      <c r="U36" s="529" t="s">
        <v>839</v>
      </c>
      <c r="V36" s="533" t="s">
        <v>839</v>
      </c>
      <c r="W36" s="533" t="s">
        <v>839</v>
      </c>
      <c r="X36" s="529" t="e">
        <f t="shared" si="24"/>
        <v>#VALUE!</v>
      </c>
      <c r="Y36" s="624"/>
      <c r="Z36" s="529" t="s">
        <v>839</v>
      </c>
      <c r="AA36" s="533" t="s">
        <v>839</v>
      </c>
      <c r="AB36" s="533" t="s">
        <v>839</v>
      </c>
      <c r="AC36" s="529" t="e">
        <f t="shared" si="26"/>
        <v>#VALUE!</v>
      </c>
      <c r="AD36" s="624"/>
      <c r="AE36" s="529" t="s">
        <v>839</v>
      </c>
      <c r="AF36" s="533" t="s">
        <v>839</v>
      </c>
      <c r="AG36" s="533" t="s">
        <v>839</v>
      </c>
      <c r="AH36" s="529" t="e">
        <f t="shared" si="28"/>
        <v>#VALUE!</v>
      </c>
      <c r="AI36" s="624"/>
      <c r="AJ36" s="529" t="s">
        <v>839</v>
      </c>
      <c r="AK36" s="533" t="s">
        <v>839</v>
      </c>
      <c r="AL36" s="533" t="s">
        <v>839</v>
      </c>
      <c r="AM36" s="529" t="e">
        <f t="shared" si="30"/>
        <v>#VALUE!</v>
      </c>
      <c r="AN36" s="624"/>
      <c r="AO36" s="529" t="s">
        <v>839</v>
      </c>
      <c r="AP36" s="533" t="s">
        <v>839</v>
      </c>
      <c r="AQ36" s="533" t="s">
        <v>839</v>
      </c>
      <c r="AR36" s="529" t="e">
        <f t="shared" si="32"/>
        <v>#VALUE!</v>
      </c>
      <c r="AS36" s="624"/>
      <c r="AT36" s="529" t="s">
        <v>839</v>
      </c>
      <c r="AU36" s="533" t="s">
        <v>839</v>
      </c>
      <c r="AV36" s="533" t="s">
        <v>839</v>
      </c>
      <c r="AW36" s="529" t="e">
        <f t="shared" si="34"/>
        <v>#VALUE!</v>
      </c>
      <c r="AX36" s="624"/>
      <c r="AZ36" s="524" t="e">
        <f t="shared" si="36"/>
        <v>#N/A</v>
      </c>
      <c r="BA36" s="624"/>
    </row>
    <row r="37" spans="2:53">
      <c r="B37" s="622"/>
      <c r="C37" s="318">
        <v>11</v>
      </c>
      <c r="D37" s="456"/>
      <c r="E37" s="521"/>
      <c r="F37" s="521"/>
      <c r="G37" s="521"/>
      <c r="H37" s="664"/>
      <c r="I37" s="516" t="str">
        <f t="shared" si="19"/>
        <v>-</v>
      </c>
      <c r="J37" s="516" t="str">
        <f t="shared" si="20"/>
        <v>-</v>
      </c>
      <c r="K37" s="200" t="str">
        <f t="shared" si="21"/>
        <v>-</v>
      </c>
      <c r="L37" s="596"/>
      <c r="M37" s="201" t="e">
        <f>RANK(K37, K$27:$K$41)</f>
        <v>#VALUE!</v>
      </c>
      <c r="N37" s="614"/>
      <c r="O37" s="614"/>
      <c r="P37" s="529" t="s">
        <v>839</v>
      </c>
      <c r="Q37" s="533" t="s">
        <v>839</v>
      </c>
      <c r="R37" s="533" t="s">
        <v>839</v>
      </c>
      <c r="S37" s="529" t="e">
        <f t="shared" si="22"/>
        <v>#VALUE!</v>
      </c>
      <c r="T37" s="624"/>
      <c r="U37" s="529" t="s">
        <v>839</v>
      </c>
      <c r="V37" s="533" t="s">
        <v>839</v>
      </c>
      <c r="W37" s="533" t="s">
        <v>839</v>
      </c>
      <c r="X37" s="529" t="e">
        <f t="shared" si="24"/>
        <v>#VALUE!</v>
      </c>
      <c r="Y37" s="624"/>
      <c r="Z37" s="529" t="s">
        <v>839</v>
      </c>
      <c r="AA37" s="533" t="s">
        <v>839</v>
      </c>
      <c r="AB37" s="533" t="s">
        <v>839</v>
      </c>
      <c r="AC37" s="529" t="e">
        <f t="shared" si="26"/>
        <v>#VALUE!</v>
      </c>
      <c r="AD37" s="624"/>
      <c r="AE37" s="529" t="s">
        <v>839</v>
      </c>
      <c r="AF37" s="533" t="s">
        <v>839</v>
      </c>
      <c r="AG37" s="533" t="s">
        <v>839</v>
      </c>
      <c r="AH37" s="529" t="e">
        <f t="shared" si="28"/>
        <v>#VALUE!</v>
      </c>
      <c r="AI37" s="624"/>
      <c r="AJ37" s="529" t="s">
        <v>839</v>
      </c>
      <c r="AK37" s="533" t="s">
        <v>839</v>
      </c>
      <c r="AL37" s="533" t="s">
        <v>839</v>
      </c>
      <c r="AM37" s="529" t="e">
        <f t="shared" si="30"/>
        <v>#VALUE!</v>
      </c>
      <c r="AN37" s="624"/>
      <c r="AO37" s="529" t="s">
        <v>839</v>
      </c>
      <c r="AP37" s="533" t="s">
        <v>839</v>
      </c>
      <c r="AQ37" s="533" t="s">
        <v>839</v>
      </c>
      <c r="AR37" s="529" t="e">
        <f t="shared" si="32"/>
        <v>#VALUE!</v>
      </c>
      <c r="AS37" s="624"/>
      <c r="AT37" s="529" t="s">
        <v>839</v>
      </c>
      <c r="AU37" s="533" t="s">
        <v>839</v>
      </c>
      <c r="AV37" s="533" t="s">
        <v>839</v>
      </c>
      <c r="AW37" s="529" t="e">
        <f t="shared" si="34"/>
        <v>#VALUE!</v>
      </c>
      <c r="AX37" s="624"/>
      <c r="AZ37" s="524" t="e">
        <f t="shared" si="36"/>
        <v>#N/A</v>
      </c>
      <c r="BA37" s="624"/>
    </row>
    <row r="38" spans="2:53">
      <c r="B38" s="622"/>
      <c r="C38" s="318">
        <v>12</v>
      </c>
      <c r="D38" s="456"/>
      <c r="E38" s="521"/>
      <c r="F38" s="521"/>
      <c r="G38" s="521"/>
      <c r="H38" s="664"/>
      <c r="I38" s="516" t="str">
        <f t="shared" si="19"/>
        <v>-</v>
      </c>
      <c r="J38" s="516" t="str">
        <f t="shared" si="20"/>
        <v>-</v>
      </c>
      <c r="K38" s="200" t="str">
        <f t="shared" si="21"/>
        <v>-</v>
      </c>
      <c r="L38" s="596"/>
      <c r="M38" s="201" t="e">
        <f>RANK(K38, K$27:$K$41)</f>
        <v>#VALUE!</v>
      </c>
      <c r="N38" s="614"/>
      <c r="O38" s="614"/>
      <c r="P38" s="529" t="s">
        <v>839</v>
      </c>
      <c r="Q38" s="533" t="s">
        <v>839</v>
      </c>
      <c r="R38" s="533" t="s">
        <v>839</v>
      </c>
      <c r="S38" s="529" t="e">
        <f t="shared" si="22"/>
        <v>#VALUE!</v>
      </c>
      <c r="T38" s="624"/>
      <c r="U38" s="529" t="s">
        <v>839</v>
      </c>
      <c r="V38" s="533" t="s">
        <v>839</v>
      </c>
      <c r="W38" s="533" t="s">
        <v>839</v>
      </c>
      <c r="X38" s="529" t="e">
        <f t="shared" si="24"/>
        <v>#VALUE!</v>
      </c>
      <c r="Y38" s="624"/>
      <c r="Z38" s="529" t="s">
        <v>839</v>
      </c>
      <c r="AA38" s="533" t="s">
        <v>839</v>
      </c>
      <c r="AB38" s="533" t="s">
        <v>839</v>
      </c>
      <c r="AC38" s="529" t="e">
        <f t="shared" si="26"/>
        <v>#VALUE!</v>
      </c>
      <c r="AD38" s="624"/>
      <c r="AE38" s="529" t="s">
        <v>839</v>
      </c>
      <c r="AF38" s="533" t="s">
        <v>839</v>
      </c>
      <c r="AG38" s="533" t="s">
        <v>839</v>
      </c>
      <c r="AH38" s="529" t="e">
        <f t="shared" si="28"/>
        <v>#VALUE!</v>
      </c>
      <c r="AI38" s="624"/>
      <c r="AJ38" s="529" t="s">
        <v>839</v>
      </c>
      <c r="AK38" s="533" t="s">
        <v>839</v>
      </c>
      <c r="AL38" s="533" t="s">
        <v>839</v>
      </c>
      <c r="AM38" s="529" t="e">
        <f t="shared" si="30"/>
        <v>#VALUE!</v>
      </c>
      <c r="AN38" s="624"/>
      <c r="AO38" s="529" t="s">
        <v>839</v>
      </c>
      <c r="AP38" s="533" t="s">
        <v>839</v>
      </c>
      <c r="AQ38" s="533" t="s">
        <v>839</v>
      </c>
      <c r="AR38" s="529" t="e">
        <f t="shared" si="32"/>
        <v>#VALUE!</v>
      </c>
      <c r="AS38" s="624"/>
      <c r="AT38" s="529" t="s">
        <v>839</v>
      </c>
      <c r="AU38" s="533" t="s">
        <v>839</v>
      </c>
      <c r="AV38" s="533" t="s">
        <v>839</v>
      </c>
      <c r="AW38" s="529" t="e">
        <f t="shared" si="34"/>
        <v>#VALUE!</v>
      </c>
      <c r="AX38" s="624"/>
      <c r="AZ38" s="524" t="e">
        <f t="shared" si="36"/>
        <v>#N/A</v>
      </c>
      <c r="BA38" s="624"/>
    </row>
    <row r="39" spans="2:53">
      <c r="B39" s="622"/>
      <c r="C39" s="318">
        <v>13</v>
      </c>
      <c r="D39" s="456"/>
      <c r="E39" s="521"/>
      <c r="F39" s="521"/>
      <c r="G39" s="521"/>
      <c r="H39" s="664"/>
      <c r="I39" s="516" t="str">
        <f t="shared" si="19"/>
        <v>-</v>
      </c>
      <c r="J39" s="516" t="str">
        <f t="shared" si="20"/>
        <v>-</v>
      </c>
      <c r="K39" s="200" t="str">
        <f t="shared" si="21"/>
        <v>-</v>
      </c>
      <c r="L39" s="596"/>
      <c r="M39" s="201" t="e">
        <f>RANK(K39, K$27:$K$41)</f>
        <v>#VALUE!</v>
      </c>
      <c r="N39" s="614"/>
      <c r="O39" s="614"/>
      <c r="P39" s="529" t="s">
        <v>839</v>
      </c>
      <c r="Q39" s="533" t="s">
        <v>839</v>
      </c>
      <c r="R39" s="533" t="s">
        <v>839</v>
      </c>
      <c r="S39" s="529" t="e">
        <f t="shared" si="22"/>
        <v>#VALUE!</v>
      </c>
      <c r="T39" s="624"/>
      <c r="U39" s="529" t="s">
        <v>839</v>
      </c>
      <c r="V39" s="533" t="s">
        <v>839</v>
      </c>
      <c r="W39" s="533" t="s">
        <v>839</v>
      </c>
      <c r="X39" s="529" t="e">
        <f t="shared" si="24"/>
        <v>#VALUE!</v>
      </c>
      <c r="Y39" s="624"/>
      <c r="Z39" s="529" t="s">
        <v>839</v>
      </c>
      <c r="AA39" s="533" t="s">
        <v>839</v>
      </c>
      <c r="AB39" s="533" t="s">
        <v>839</v>
      </c>
      <c r="AC39" s="529" t="e">
        <f t="shared" si="26"/>
        <v>#VALUE!</v>
      </c>
      <c r="AD39" s="624"/>
      <c r="AE39" s="529" t="s">
        <v>839</v>
      </c>
      <c r="AF39" s="533" t="s">
        <v>839</v>
      </c>
      <c r="AG39" s="533" t="s">
        <v>839</v>
      </c>
      <c r="AH39" s="529" t="e">
        <f t="shared" si="28"/>
        <v>#VALUE!</v>
      </c>
      <c r="AI39" s="624"/>
      <c r="AJ39" s="529" t="s">
        <v>839</v>
      </c>
      <c r="AK39" s="533" t="s">
        <v>839</v>
      </c>
      <c r="AL39" s="533" t="s">
        <v>839</v>
      </c>
      <c r="AM39" s="529" t="e">
        <f t="shared" si="30"/>
        <v>#VALUE!</v>
      </c>
      <c r="AN39" s="624"/>
      <c r="AO39" s="529" t="s">
        <v>839</v>
      </c>
      <c r="AP39" s="533" t="s">
        <v>839</v>
      </c>
      <c r="AQ39" s="533" t="s">
        <v>839</v>
      </c>
      <c r="AR39" s="529" t="e">
        <f t="shared" si="32"/>
        <v>#VALUE!</v>
      </c>
      <c r="AS39" s="624"/>
      <c r="AT39" s="529" t="s">
        <v>839</v>
      </c>
      <c r="AU39" s="533" t="s">
        <v>839</v>
      </c>
      <c r="AV39" s="533" t="s">
        <v>839</v>
      </c>
      <c r="AW39" s="529" t="e">
        <f t="shared" si="34"/>
        <v>#VALUE!</v>
      </c>
      <c r="AX39" s="624"/>
      <c r="AZ39" s="524" t="e">
        <f t="shared" si="36"/>
        <v>#N/A</v>
      </c>
      <c r="BA39" s="624"/>
    </row>
    <row r="40" spans="2:53">
      <c r="B40" s="622"/>
      <c r="C40" s="318">
        <v>14</v>
      </c>
      <c r="D40" s="456"/>
      <c r="E40" s="521"/>
      <c r="F40" s="521"/>
      <c r="G40" s="521"/>
      <c r="H40" s="664"/>
      <c r="I40" s="516" t="str">
        <f t="shared" si="19"/>
        <v>-</v>
      </c>
      <c r="J40" s="516" t="str">
        <f t="shared" si="20"/>
        <v>-</v>
      </c>
      <c r="K40" s="200" t="str">
        <f t="shared" si="21"/>
        <v>-</v>
      </c>
      <c r="L40" s="596"/>
      <c r="M40" s="201" t="e">
        <f>RANK(K40, K$27:$K$41)</f>
        <v>#VALUE!</v>
      </c>
      <c r="N40" s="614"/>
      <c r="O40" s="614"/>
      <c r="P40" s="529" t="s">
        <v>839</v>
      </c>
      <c r="Q40" s="533" t="s">
        <v>839</v>
      </c>
      <c r="R40" s="533" t="s">
        <v>839</v>
      </c>
      <c r="S40" s="529" t="e">
        <f t="shared" si="22"/>
        <v>#VALUE!</v>
      </c>
      <c r="T40" s="624"/>
      <c r="U40" s="529" t="s">
        <v>839</v>
      </c>
      <c r="V40" s="533" t="s">
        <v>839</v>
      </c>
      <c r="W40" s="533" t="s">
        <v>839</v>
      </c>
      <c r="X40" s="529" t="e">
        <f t="shared" si="24"/>
        <v>#VALUE!</v>
      </c>
      <c r="Y40" s="624"/>
      <c r="Z40" s="529" t="s">
        <v>839</v>
      </c>
      <c r="AA40" s="533" t="s">
        <v>839</v>
      </c>
      <c r="AB40" s="533" t="s">
        <v>839</v>
      </c>
      <c r="AC40" s="529" t="e">
        <f t="shared" si="26"/>
        <v>#VALUE!</v>
      </c>
      <c r="AD40" s="624"/>
      <c r="AE40" s="529" t="s">
        <v>839</v>
      </c>
      <c r="AF40" s="533" t="s">
        <v>839</v>
      </c>
      <c r="AG40" s="533" t="s">
        <v>839</v>
      </c>
      <c r="AH40" s="529" t="e">
        <f t="shared" si="28"/>
        <v>#VALUE!</v>
      </c>
      <c r="AI40" s="624"/>
      <c r="AJ40" s="529" t="s">
        <v>839</v>
      </c>
      <c r="AK40" s="533" t="s">
        <v>839</v>
      </c>
      <c r="AL40" s="533" t="s">
        <v>839</v>
      </c>
      <c r="AM40" s="529" t="e">
        <f t="shared" si="30"/>
        <v>#VALUE!</v>
      </c>
      <c r="AN40" s="624"/>
      <c r="AO40" s="529" t="s">
        <v>839</v>
      </c>
      <c r="AP40" s="533" t="s">
        <v>839</v>
      </c>
      <c r="AQ40" s="533" t="s">
        <v>839</v>
      </c>
      <c r="AR40" s="529" t="e">
        <f t="shared" si="32"/>
        <v>#VALUE!</v>
      </c>
      <c r="AS40" s="624"/>
      <c r="AT40" s="529" t="s">
        <v>839</v>
      </c>
      <c r="AU40" s="533" t="s">
        <v>839</v>
      </c>
      <c r="AV40" s="533" t="s">
        <v>839</v>
      </c>
      <c r="AW40" s="529" t="e">
        <f t="shared" si="34"/>
        <v>#VALUE!</v>
      </c>
      <c r="AX40" s="624"/>
      <c r="AZ40" s="524" t="e">
        <f t="shared" si="36"/>
        <v>#N/A</v>
      </c>
      <c r="BA40" s="624"/>
    </row>
    <row r="41" spans="2:53">
      <c r="B41" s="622"/>
      <c r="C41" s="318">
        <v>15</v>
      </c>
      <c r="D41" s="456"/>
      <c r="E41" s="521"/>
      <c r="F41" s="521"/>
      <c r="G41" s="521"/>
      <c r="H41" s="665"/>
      <c r="I41" s="520"/>
      <c r="J41" s="520"/>
      <c r="K41" s="520"/>
      <c r="L41" s="597"/>
      <c r="M41" s="199" t="e">
        <f>RANK(K41, K$27:$K$41)</f>
        <v>#N/A</v>
      </c>
      <c r="N41" s="614"/>
      <c r="O41" s="614"/>
      <c r="P41" s="529" t="s">
        <v>839</v>
      </c>
      <c r="Q41" s="533" t="s">
        <v>839</v>
      </c>
      <c r="R41" s="533" t="s">
        <v>839</v>
      </c>
      <c r="S41" s="529" t="e">
        <f t="shared" si="22"/>
        <v>#VALUE!</v>
      </c>
      <c r="T41" s="625"/>
      <c r="U41" s="529" t="s">
        <v>839</v>
      </c>
      <c r="V41" s="533" t="s">
        <v>839</v>
      </c>
      <c r="W41" s="533" t="s">
        <v>839</v>
      </c>
      <c r="X41" s="529" t="e">
        <f t="shared" si="24"/>
        <v>#VALUE!</v>
      </c>
      <c r="Y41" s="625"/>
      <c r="Z41" s="529" t="s">
        <v>839</v>
      </c>
      <c r="AA41" s="533" t="s">
        <v>839</v>
      </c>
      <c r="AB41" s="533" t="s">
        <v>839</v>
      </c>
      <c r="AC41" s="529" t="e">
        <f t="shared" si="26"/>
        <v>#VALUE!</v>
      </c>
      <c r="AD41" s="625"/>
      <c r="AE41" s="529" t="s">
        <v>839</v>
      </c>
      <c r="AF41" s="533" t="s">
        <v>839</v>
      </c>
      <c r="AG41" s="533" t="s">
        <v>839</v>
      </c>
      <c r="AH41" s="529" t="e">
        <f t="shared" si="28"/>
        <v>#VALUE!</v>
      </c>
      <c r="AI41" s="625"/>
      <c r="AJ41" s="529" t="s">
        <v>839</v>
      </c>
      <c r="AK41" s="533" t="s">
        <v>839</v>
      </c>
      <c r="AL41" s="533" t="s">
        <v>839</v>
      </c>
      <c r="AM41" s="529" t="e">
        <f t="shared" si="30"/>
        <v>#VALUE!</v>
      </c>
      <c r="AN41" s="625"/>
      <c r="AO41" s="529" t="s">
        <v>839</v>
      </c>
      <c r="AP41" s="533" t="s">
        <v>839</v>
      </c>
      <c r="AQ41" s="533" t="s">
        <v>839</v>
      </c>
      <c r="AR41" s="529" t="e">
        <f t="shared" si="32"/>
        <v>#VALUE!</v>
      </c>
      <c r="AS41" s="625"/>
      <c r="AT41" s="529" t="s">
        <v>839</v>
      </c>
      <c r="AU41" s="533" t="s">
        <v>839</v>
      </c>
      <c r="AV41" s="533" t="s">
        <v>839</v>
      </c>
      <c r="AW41" s="529" t="e">
        <f t="shared" si="34"/>
        <v>#VALUE!</v>
      </c>
      <c r="AX41" s="625"/>
      <c r="AZ41" s="524" t="e">
        <f t="shared" si="36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531</v>
      </c>
      <c r="C44" s="614" t="s">
        <v>532</v>
      </c>
      <c r="D44" s="614"/>
      <c r="E44" s="614" t="s">
        <v>533</v>
      </c>
      <c r="F44" s="614"/>
      <c r="G44" s="614"/>
      <c r="H44" s="630" t="s">
        <v>534</v>
      </c>
      <c r="I44" s="598" t="s">
        <v>535</v>
      </c>
      <c r="J44" s="598"/>
      <c r="K44" s="598"/>
      <c r="L44" s="599" t="s">
        <v>395</v>
      </c>
      <c r="M44" s="605" t="s">
        <v>536</v>
      </c>
      <c r="N44" s="614"/>
      <c r="O44" s="614" t="s">
        <v>537</v>
      </c>
      <c r="P44" s="611" t="s">
        <v>758</v>
      </c>
      <c r="Q44" s="612"/>
      <c r="R44" s="612"/>
      <c r="S44" s="613"/>
      <c r="T44" s="614" t="s">
        <v>759</v>
      </c>
      <c r="U44" s="611" t="s">
        <v>758</v>
      </c>
      <c r="V44" s="612"/>
      <c r="W44" s="612"/>
      <c r="X44" s="613"/>
      <c r="Y44" s="614" t="s">
        <v>759</v>
      </c>
      <c r="Z44" s="611" t="s">
        <v>758</v>
      </c>
      <c r="AA44" s="612"/>
      <c r="AB44" s="612"/>
      <c r="AC44" s="613"/>
      <c r="AD44" s="614" t="s">
        <v>759</v>
      </c>
      <c r="AE44" s="611" t="s">
        <v>758</v>
      </c>
      <c r="AF44" s="612"/>
      <c r="AG44" s="612"/>
      <c r="AH44" s="613"/>
      <c r="AI44" s="614" t="s">
        <v>759</v>
      </c>
      <c r="AJ44" s="611" t="s">
        <v>758</v>
      </c>
      <c r="AK44" s="612"/>
      <c r="AL44" s="612"/>
      <c r="AM44" s="613"/>
      <c r="AN44" s="614" t="s">
        <v>759</v>
      </c>
      <c r="AO44" s="611" t="s">
        <v>758</v>
      </c>
      <c r="AP44" s="612"/>
      <c r="AQ44" s="612"/>
      <c r="AR44" s="613"/>
      <c r="AS44" s="614" t="s">
        <v>759</v>
      </c>
      <c r="AT44" s="611" t="s">
        <v>758</v>
      </c>
      <c r="AU44" s="612"/>
      <c r="AV44" s="612"/>
      <c r="AW44" s="613"/>
      <c r="AX44" s="614" t="s">
        <v>759</v>
      </c>
      <c r="BA44" s="614" t="s">
        <v>395</v>
      </c>
    </row>
    <row r="45" spans="2:53">
      <c r="B45" s="614"/>
      <c r="C45" s="614"/>
      <c r="D45" s="614"/>
      <c r="E45" s="614" t="s">
        <v>539</v>
      </c>
      <c r="F45" s="614"/>
      <c r="G45" s="614"/>
      <c r="H45" s="631"/>
      <c r="I45" s="598" t="s">
        <v>539</v>
      </c>
      <c r="J45" s="598"/>
      <c r="K45" s="598"/>
      <c r="L45" s="600"/>
      <c r="M45" s="606"/>
      <c r="N45" s="614"/>
      <c r="O45" s="614"/>
      <c r="P45" s="611" t="s">
        <v>760</v>
      </c>
      <c r="Q45" s="612"/>
      <c r="R45" s="612"/>
      <c r="S45" s="613"/>
      <c r="T45" s="614"/>
      <c r="U45" s="611" t="s">
        <v>760</v>
      </c>
      <c r="V45" s="612"/>
      <c r="W45" s="612"/>
      <c r="X45" s="613"/>
      <c r="Y45" s="614"/>
      <c r="Z45" s="611" t="s">
        <v>760</v>
      </c>
      <c r="AA45" s="612"/>
      <c r="AB45" s="612"/>
      <c r="AC45" s="613"/>
      <c r="AD45" s="614"/>
      <c r="AE45" s="611" t="s">
        <v>760</v>
      </c>
      <c r="AF45" s="612"/>
      <c r="AG45" s="612"/>
      <c r="AH45" s="613"/>
      <c r="AI45" s="614"/>
      <c r="AJ45" s="611" t="s">
        <v>760</v>
      </c>
      <c r="AK45" s="612"/>
      <c r="AL45" s="612"/>
      <c r="AM45" s="613"/>
      <c r="AN45" s="614"/>
      <c r="AO45" s="611" t="s">
        <v>760</v>
      </c>
      <c r="AP45" s="612"/>
      <c r="AQ45" s="612"/>
      <c r="AR45" s="613"/>
      <c r="AS45" s="614"/>
      <c r="AT45" s="611" t="s">
        <v>760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20" t="s">
        <v>541</v>
      </c>
      <c r="F46" s="320" t="s">
        <v>542</v>
      </c>
      <c r="G46" s="320" t="s">
        <v>543</v>
      </c>
      <c r="H46" s="632"/>
      <c r="I46" s="319" t="s">
        <v>541</v>
      </c>
      <c r="J46" s="319" t="s">
        <v>542</v>
      </c>
      <c r="K46" s="319" t="s">
        <v>543</v>
      </c>
      <c r="L46" s="601"/>
      <c r="M46" s="607"/>
      <c r="N46" s="614"/>
      <c r="O46" s="614"/>
      <c r="P46" s="485" t="s">
        <v>761</v>
      </c>
      <c r="Q46" s="485" t="s">
        <v>762</v>
      </c>
      <c r="R46" s="485" t="s">
        <v>763</v>
      </c>
      <c r="S46" s="485" t="s">
        <v>764</v>
      </c>
      <c r="T46" s="614"/>
      <c r="U46" s="485" t="s">
        <v>761</v>
      </c>
      <c r="V46" s="485" t="s">
        <v>762</v>
      </c>
      <c r="W46" s="485" t="s">
        <v>763</v>
      </c>
      <c r="X46" s="485" t="s">
        <v>764</v>
      </c>
      <c r="Y46" s="614"/>
      <c r="Z46" s="485" t="s">
        <v>761</v>
      </c>
      <c r="AA46" s="485" t="s">
        <v>762</v>
      </c>
      <c r="AB46" s="485" t="s">
        <v>763</v>
      </c>
      <c r="AC46" s="485" t="s">
        <v>764</v>
      </c>
      <c r="AD46" s="614"/>
      <c r="AE46" s="485" t="s">
        <v>761</v>
      </c>
      <c r="AF46" s="485" t="s">
        <v>762</v>
      </c>
      <c r="AG46" s="485" t="s">
        <v>763</v>
      </c>
      <c r="AH46" s="485" t="s">
        <v>764</v>
      </c>
      <c r="AI46" s="614"/>
      <c r="AJ46" s="485" t="s">
        <v>761</v>
      </c>
      <c r="AK46" s="485" t="s">
        <v>762</v>
      </c>
      <c r="AL46" s="485" t="s">
        <v>763</v>
      </c>
      <c r="AM46" s="485" t="s">
        <v>764</v>
      </c>
      <c r="AN46" s="614"/>
      <c r="AO46" s="485" t="s">
        <v>761</v>
      </c>
      <c r="AP46" s="485" t="s">
        <v>762</v>
      </c>
      <c r="AQ46" s="485" t="s">
        <v>763</v>
      </c>
      <c r="AR46" s="485" t="s">
        <v>764</v>
      </c>
      <c r="AS46" s="614"/>
      <c r="AT46" s="485" t="s">
        <v>761</v>
      </c>
      <c r="AU46" s="485" t="s">
        <v>762</v>
      </c>
      <c r="AV46" s="485" t="s">
        <v>763</v>
      </c>
      <c r="AW46" s="485" t="s">
        <v>764</v>
      </c>
      <c r="AX46" s="614"/>
      <c r="AZ46" s="523" t="s">
        <v>764</v>
      </c>
      <c r="BA46" s="614"/>
    </row>
    <row r="47" spans="2:53">
      <c r="B47" s="614" t="s">
        <v>546</v>
      </c>
      <c r="C47" s="321">
        <v>1</v>
      </c>
      <c r="D47" s="456"/>
      <c r="E47" s="521"/>
      <c r="F47" s="521"/>
      <c r="G47" s="521"/>
      <c r="H47" s="663" t="e">
        <f>AVERAGE(G47:G61)</f>
        <v>#DIV/0!</v>
      </c>
      <c r="I47" s="516" t="str">
        <f t="shared" ref="I47:I60" si="38">IFERROR(AVERAGE(P47,U47,Z47,AE47,AJ47,AO47,AT47),"-")</f>
        <v>-</v>
      </c>
      <c r="J47" s="516" t="str">
        <f t="shared" ref="J47:J60" si="39">IFERROR(AVERAGE(Q47,V47,AA47,AF47,AK47,AP47,AU47),"-")</f>
        <v>-</v>
      </c>
      <c r="K47" s="200" t="str">
        <f t="shared" ref="K47:K60" si="40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520"/>
      <c r="Q47" s="521"/>
      <c r="R47" s="521"/>
      <c r="S47" s="514" t="e">
        <f t="shared" ref="S47:S51" si="41">RANK(R47, R$47:R$61)</f>
        <v>#N/A</v>
      </c>
      <c r="T47" s="623" t="e">
        <f>AVERAGE(R47:R61)</f>
        <v>#DIV/0!</v>
      </c>
      <c r="U47" s="520"/>
      <c r="V47" s="521"/>
      <c r="W47" s="521"/>
      <c r="X47" s="514" t="e">
        <f t="shared" ref="X47:X51" si="42">RANK(W47, W$47:W$61)</f>
        <v>#N/A</v>
      </c>
      <c r="Y47" s="623" t="e">
        <f t="shared" ref="Y47" si="43">AVERAGE(W47:W61)</f>
        <v>#DIV/0!</v>
      </c>
      <c r="Z47" s="520"/>
      <c r="AA47" s="521"/>
      <c r="AB47" s="521"/>
      <c r="AC47" s="514" t="e">
        <f t="shared" ref="AC47:AC51" si="44">RANK(AB47, AB$47:AB$61)</f>
        <v>#N/A</v>
      </c>
      <c r="AD47" s="623" t="e">
        <f t="shared" ref="AD47" si="45">AVERAGE(AB47:AB61)</f>
        <v>#DIV/0!</v>
      </c>
      <c r="AE47" s="520"/>
      <c r="AF47" s="521"/>
      <c r="AG47" s="521"/>
      <c r="AH47" s="514" t="e">
        <f t="shared" ref="AH47:AH51" si="46">RANK(AG47, AG$47:AG$61)</f>
        <v>#N/A</v>
      </c>
      <c r="AI47" s="623" t="e">
        <f t="shared" ref="AI47" si="47">AVERAGE(AG47:AG61)</f>
        <v>#DIV/0!</v>
      </c>
      <c r="AJ47" s="520"/>
      <c r="AK47" s="521"/>
      <c r="AL47" s="521"/>
      <c r="AM47" s="514" t="e">
        <f t="shared" ref="AM47:AM51" si="48">RANK(AL47, AL$47:AL$61)</f>
        <v>#N/A</v>
      </c>
      <c r="AN47" s="623" t="e">
        <f t="shared" ref="AN47" si="49">AVERAGE(AL47:AL61)</f>
        <v>#DIV/0!</v>
      </c>
      <c r="AO47" s="520"/>
      <c r="AP47" s="521"/>
      <c r="AQ47" s="521"/>
      <c r="AR47" s="514" t="e">
        <f t="shared" ref="AR47:AR51" si="50">RANK(AQ47, AQ$47:AQ$61)</f>
        <v>#N/A</v>
      </c>
      <c r="AS47" s="623" t="e">
        <f t="shared" ref="AS47" si="51">AVERAGE(AQ47:AQ61)</f>
        <v>#DIV/0!</v>
      </c>
      <c r="AT47" s="520"/>
      <c r="AU47" s="521"/>
      <c r="AV47" s="521"/>
      <c r="AW47" s="514" t="e">
        <f t="shared" ref="AW47:AW51" si="52">RANK(AV47, AV$47:AV$61)</f>
        <v>#N/A</v>
      </c>
      <c r="AX47" s="623" t="e">
        <f t="shared" ref="AX47" si="53">AVERAGE(AV47:AV61)</f>
        <v>#DIV/0!</v>
      </c>
      <c r="AZ47" s="524" t="e">
        <f t="shared" ref="AZ47:AZ51" si="54">RANK(AY47, AY$47:AY$61)</f>
        <v>#N/A</v>
      </c>
      <c r="BA47" s="623" t="e">
        <f t="shared" ref="BA47" si="55">AVERAGE(AY47:AY61)</f>
        <v>#DIV/0!</v>
      </c>
    </row>
    <row r="48" spans="2:53">
      <c r="B48" s="622"/>
      <c r="C48" s="321">
        <v>2</v>
      </c>
      <c r="D48" s="456"/>
      <c r="E48" s="521"/>
      <c r="F48" s="521"/>
      <c r="G48" s="521"/>
      <c r="H48" s="664"/>
      <c r="I48" s="516" t="str">
        <f t="shared" si="38"/>
        <v>-</v>
      </c>
      <c r="J48" s="516" t="str">
        <f t="shared" si="39"/>
        <v>-</v>
      </c>
      <c r="K48" s="200" t="str">
        <f t="shared" si="40"/>
        <v>-</v>
      </c>
      <c r="L48" s="596"/>
      <c r="M48" s="201" t="e">
        <f>RANK(K48, K$47:$K$61)</f>
        <v>#VALUE!</v>
      </c>
      <c r="N48" s="614"/>
      <c r="O48" s="614"/>
      <c r="P48" s="520"/>
      <c r="Q48" s="521"/>
      <c r="R48" s="521"/>
      <c r="S48" s="514" t="e">
        <f t="shared" si="41"/>
        <v>#N/A</v>
      </c>
      <c r="T48" s="624"/>
      <c r="U48" s="520"/>
      <c r="V48" s="521"/>
      <c r="W48" s="521"/>
      <c r="X48" s="514" t="e">
        <f t="shared" si="42"/>
        <v>#N/A</v>
      </c>
      <c r="Y48" s="624"/>
      <c r="Z48" s="520"/>
      <c r="AA48" s="521"/>
      <c r="AB48" s="521"/>
      <c r="AC48" s="514" t="e">
        <f t="shared" si="44"/>
        <v>#N/A</v>
      </c>
      <c r="AD48" s="624"/>
      <c r="AE48" s="520"/>
      <c r="AF48" s="521"/>
      <c r="AG48" s="521"/>
      <c r="AH48" s="514" t="e">
        <f t="shared" si="46"/>
        <v>#N/A</v>
      </c>
      <c r="AI48" s="624"/>
      <c r="AJ48" s="520"/>
      <c r="AK48" s="521"/>
      <c r="AL48" s="521"/>
      <c r="AM48" s="514" t="e">
        <f t="shared" si="48"/>
        <v>#N/A</v>
      </c>
      <c r="AN48" s="624"/>
      <c r="AO48" s="520"/>
      <c r="AP48" s="521"/>
      <c r="AQ48" s="521"/>
      <c r="AR48" s="514" t="e">
        <f t="shared" si="50"/>
        <v>#N/A</v>
      </c>
      <c r="AS48" s="624"/>
      <c r="AT48" s="520"/>
      <c r="AU48" s="521"/>
      <c r="AV48" s="521"/>
      <c r="AW48" s="514" t="e">
        <f t="shared" si="52"/>
        <v>#N/A</v>
      </c>
      <c r="AX48" s="624"/>
      <c r="AZ48" s="524" t="e">
        <f t="shared" si="54"/>
        <v>#N/A</v>
      </c>
      <c r="BA48" s="624"/>
    </row>
    <row r="49" spans="2:53">
      <c r="B49" s="622"/>
      <c r="C49" s="321">
        <v>3</v>
      </c>
      <c r="D49" s="456"/>
      <c r="E49" s="521"/>
      <c r="F49" s="521"/>
      <c r="G49" s="521"/>
      <c r="H49" s="664"/>
      <c r="I49" s="516" t="str">
        <f t="shared" si="38"/>
        <v>-</v>
      </c>
      <c r="J49" s="516" t="str">
        <f t="shared" si="39"/>
        <v>-</v>
      </c>
      <c r="K49" s="200" t="str">
        <f t="shared" si="40"/>
        <v>-</v>
      </c>
      <c r="L49" s="596"/>
      <c r="M49" s="201" t="e">
        <f>RANK(K49, K$47:$K$61)</f>
        <v>#VALUE!</v>
      </c>
      <c r="N49" s="614"/>
      <c r="O49" s="614"/>
      <c r="P49" s="520"/>
      <c r="Q49" s="521"/>
      <c r="R49" s="521"/>
      <c r="S49" s="514" t="e">
        <f t="shared" si="41"/>
        <v>#N/A</v>
      </c>
      <c r="T49" s="624"/>
      <c r="U49" s="520"/>
      <c r="V49" s="521"/>
      <c r="W49" s="521"/>
      <c r="X49" s="514" t="e">
        <f t="shared" si="42"/>
        <v>#N/A</v>
      </c>
      <c r="Y49" s="624"/>
      <c r="Z49" s="520"/>
      <c r="AA49" s="521"/>
      <c r="AB49" s="521"/>
      <c r="AC49" s="514" t="e">
        <f t="shared" si="44"/>
        <v>#N/A</v>
      </c>
      <c r="AD49" s="624"/>
      <c r="AE49" s="520"/>
      <c r="AF49" s="521"/>
      <c r="AG49" s="521"/>
      <c r="AH49" s="514" t="e">
        <f t="shared" si="46"/>
        <v>#N/A</v>
      </c>
      <c r="AI49" s="624"/>
      <c r="AJ49" s="520"/>
      <c r="AK49" s="521"/>
      <c r="AL49" s="521"/>
      <c r="AM49" s="514" t="e">
        <f t="shared" si="48"/>
        <v>#N/A</v>
      </c>
      <c r="AN49" s="624"/>
      <c r="AO49" s="520"/>
      <c r="AP49" s="521"/>
      <c r="AQ49" s="521"/>
      <c r="AR49" s="514" t="e">
        <f t="shared" si="50"/>
        <v>#N/A</v>
      </c>
      <c r="AS49" s="624"/>
      <c r="AT49" s="520"/>
      <c r="AU49" s="521"/>
      <c r="AV49" s="521"/>
      <c r="AW49" s="514" t="e">
        <f t="shared" si="52"/>
        <v>#N/A</v>
      </c>
      <c r="AX49" s="624"/>
      <c r="AZ49" s="524" t="e">
        <f t="shared" si="54"/>
        <v>#N/A</v>
      </c>
      <c r="BA49" s="624"/>
    </row>
    <row r="50" spans="2:53">
      <c r="B50" s="622"/>
      <c r="C50" s="321">
        <v>4</v>
      </c>
      <c r="D50" s="456"/>
      <c r="E50" s="521"/>
      <c r="F50" s="521"/>
      <c r="G50" s="521"/>
      <c r="H50" s="664"/>
      <c r="I50" s="516" t="str">
        <f t="shared" si="38"/>
        <v>-</v>
      </c>
      <c r="J50" s="516" t="str">
        <f t="shared" si="39"/>
        <v>-</v>
      </c>
      <c r="K50" s="200" t="str">
        <f t="shared" si="40"/>
        <v>-</v>
      </c>
      <c r="L50" s="596"/>
      <c r="M50" s="201" t="e">
        <f>RANK(K50, K$47:$K$61)</f>
        <v>#VALUE!</v>
      </c>
      <c r="N50" s="614"/>
      <c r="O50" s="614"/>
      <c r="P50" s="520"/>
      <c r="Q50" s="521"/>
      <c r="R50" s="521"/>
      <c r="S50" s="514" t="e">
        <f t="shared" si="41"/>
        <v>#N/A</v>
      </c>
      <c r="T50" s="624"/>
      <c r="U50" s="520"/>
      <c r="V50" s="521"/>
      <c r="W50" s="521"/>
      <c r="X50" s="514" t="e">
        <f t="shared" si="42"/>
        <v>#N/A</v>
      </c>
      <c r="Y50" s="624"/>
      <c r="Z50" s="520"/>
      <c r="AA50" s="521"/>
      <c r="AB50" s="521"/>
      <c r="AC50" s="514" t="e">
        <f t="shared" si="44"/>
        <v>#N/A</v>
      </c>
      <c r="AD50" s="624"/>
      <c r="AE50" s="520"/>
      <c r="AF50" s="521"/>
      <c r="AG50" s="521"/>
      <c r="AH50" s="514" t="e">
        <f t="shared" si="46"/>
        <v>#N/A</v>
      </c>
      <c r="AI50" s="624"/>
      <c r="AJ50" s="520"/>
      <c r="AK50" s="521"/>
      <c r="AL50" s="521"/>
      <c r="AM50" s="514" t="e">
        <f t="shared" si="48"/>
        <v>#N/A</v>
      </c>
      <c r="AN50" s="624"/>
      <c r="AO50" s="520"/>
      <c r="AP50" s="521"/>
      <c r="AQ50" s="521"/>
      <c r="AR50" s="514" t="e">
        <f t="shared" si="50"/>
        <v>#N/A</v>
      </c>
      <c r="AS50" s="624"/>
      <c r="AT50" s="520"/>
      <c r="AU50" s="521"/>
      <c r="AV50" s="521"/>
      <c r="AW50" s="514" t="e">
        <f t="shared" si="52"/>
        <v>#N/A</v>
      </c>
      <c r="AX50" s="624"/>
      <c r="AZ50" s="524" t="e">
        <f t="shared" si="54"/>
        <v>#N/A</v>
      </c>
      <c r="BA50" s="624"/>
    </row>
    <row r="51" spans="2:53">
      <c r="B51" s="622"/>
      <c r="C51" s="321">
        <v>5</v>
      </c>
      <c r="D51" s="456"/>
      <c r="E51" s="521"/>
      <c r="F51" s="521"/>
      <c r="G51" s="521"/>
      <c r="H51" s="664"/>
      <c r="I51" s="516" t="str">
        <f t="shared" si="38"/>
        <v>-</v>
      </c>
      <c r="J51" s="516" t="str">
        <f t="shared" si="39"/>
        <v>-</v>
      </c>
      <c r="K51" s="200" t="str">
        <f t="shared" si="40"/>
        <v>-</v>
      </c>
      <c r="L51" s="596"/>
      <c r="M51" s="201" t="e">
        <f>RANK(K51, K$47:$K$61)</f>
        <v>#VALUE!</v>
      </c>
      <c r="N51" s="614"/>
      <c r="O51" s="614"/>
      <c r="P51" s="520"/>
      <c r="Q51" s="521"/>
      <c r="R51" s="521"/>
      <c r="S51" s="514" t="e">
        <f t="shared" si="41"/>
        <v>#N/A</v>
      </c>
      <c r="T51" s="624"/>
      <c r="U51" s="520"/>
      <c r="V51" s="521"/>
      <c r="W51" s="521"/>
      <c r="X51" s="514" t="e">
        <f t="shared" si="42"/>
        <v>#N/A</v>
      </c>
      <c r="Y51" s="624"/>
      <c r="Z51" s="520"/>
      <c r="AA51" s="521"/>
      <c r="AB51" s="521"/>
      <c r="AC51" s="514" t="e">
        <f t="shared" si="44"/>
        <v>#N/A</v>
      </c>
      <c r="AD51" s="624"/>
      <c r="AE51" s="520"/>
      <c r="AF51" s="521"/>
      <c r="AG51" s="521"/>
      <c r="AH51" s="514" t="e">
        <f t="shared" si="46"/>
        <v>#N/A</v>
      </c>
      <c r="AI51" s="624"/>
      <c r="AJ51" s="520"/>
      <c r="AK51" s="521"/>
      <c r="AL51" s="521"/>
      <c r="AM51" s="514" t="e">
        <f t="shared" si="48"/>
        <v>#N/A</v>
      </c>
      <c r="AN51" s="624"/>
      <c r="AO51" s="520"/>
      <c r="AP51" s="521"/>
      <c r="AQ51" s="521"/>
      <c r="AR51" s="514" t="e">
        <f t="shared" si="50"/>
        <v>#N/A</v>
      </c>
      <c r="AS51" s="624"/>
      <c r="AT51" s="520"/>
      <c r="AU51" s="521"/>
      <c r="AV51" s="521"/>
      <c r="AW51" s="514" t="e">
        <f t="shared" si="52"/>
        <v>#N/A</v>
      </c>
      <c r="AX51" s="624"/>
      <c r="AZ51" s="524" t="e">
        <f t="shared" si="54"/>
        <v>#N/A</v>
      </c>
      <c r="BA51" s="624"/>
    </row>
    <row r="52" spans="2:53">
      <c r="B52" s="622"/>
      <c r="C52" s="321">
        <v>6</v>
      </c>
      <c r="D52" s="456"/>
      <c r="E52" s="521"/>
      <c r="F52" s="521"/>
      <c r="G52" s="521"/>
      <c r="H52" s="664"/>
      <c r="I52" s="516" t="str">
        <f t="shared" si="38"/>
        <v>-</v>
      </c>
      <c r="J52" s="516" t="str">
        <f t="shared" si="39"/>
        <v>-</v>
      </c>
      <c r="K52" s="200" t="str">
        <f t="shared" si="40"/>
        <v>-</v>
      </c>
      <c r="L52" s="596"/>
      <c r="M52" s="201" t="e">
        <f>RANK(K52, K$47:$K$61)</f>
        <v>#VALUE!</v>
      </c>
      <c r="N52" s="614"/>
      <c r="O52" s="614"/>
      <c r="P52" s="520"/>
      <c r="Q52" s="521"/>
      <c r="R52" s="521"/>
      <c r="S52" s="514"/>
      <c r="T52" s="624"/>
      <c r="U52" s="520"/>
      <c r="V52" s="521"/>
      <c r="W52" s="521"/>
      <c r="X52" s="514"/>
      <c r="Y52" s="624"/>
      <c r="Z52" s="520"/>
      <c r="AA52" s="521"/>
      <c r="AB52" s="521"/>
      <c r="AC52" s="514"/>
      <c r="AD52" s="624"/>
      <c r="AE52" s="520"/>
      <c r="AF52" s="521"/>
      <c r="AG52" s="521"/>
      <c r="AH52" s="514"/>
      <c r="AI52" s="624"/>
      <c r="AJ52" s="520"/>
      <c r="AK52" s="521"/>
      <c r="AL52" s="521"/>
      <c r="AM52" s="514"/>
      <c r="AN52" s="624"/>
      <c r="AO52" s="520"/>
      <c r="AP52" s="521"/>
      <c r="AQ52" s="521"/>
      <c r="AR52" s="514"/>
      <c r="AS52" s="624"/>
      <c r="AT52" s="520"/>
      <c r="AU52" s="521"/>
      <c r="AV52" s="521"/>
      <c r="AW52" s="514"/>
      <c r="AX52" s="624"/>
      <c r="AZ52" s="524"/>
      <c r="BA52" s="624"/>
    </row>
    <row r="53" spans="2:53">
      <c r="B53" s="622"/>
      <c r="C53" s="321">
        <v>7</v>
      </c>
      <c r="D53" s="456"/>
      <c r="E53" s="521"/>
      <c r="F53" s="521"/>
      <c r="G53" s="521"/>
      <c r="H53" s="664"/>
      <c r="I53" s="516" t="str">
        <f t="shared" si="38"/>
        <v>-</v>
      </c>
      <c r="J53" s="516" t="str">
        <f t="shared" si="39"/>
        <v>-</v>
      </c>
      <c r="K53" s="200" t="str">
        <f t="shared" si="40"/>
        <v>-</v>
      </c>
      <c r="L53" s="596"/>
      <c r="M53" s="201" t="e">
        <f>RANK(K53, K$47:$K$61)</f>
        <v>#VALUE!</v>
      </c>
      <c r="N53" s="614"/>
      <c r="O53" s="614"/>
      <c r="P53" s="520"/>
      <c r="Q53" s="521"/>
      <c r="R53" s="521"/>
      <c r="S53" s="514"/>
      <c r="T53" s="624"/>
      <c r="U53" s="520"/>
      <c r="V53" s="521"/>
      <c r="W53" s="521"/>
      <c r="X53" s="514"/>
      <c r="Y53" s="624"/>
      <c r="Z53" s="520"/>
      <c r="AA53" s="521"/>
      <c r="AB53" s="521"/>
      <c r="AC53" s="514"/>
      <c r="AD53" s="624"/>
      <c r="AE53" s="520"/>
      <c r="AF53" s="521"/>
      <c r="AG53" s="521"/>
      <c r="AH53" s="514"/>
      <c r="AI53" s="624"/>
      <c r="AJ53" s="520"/>
      <c r="AK53" s="521"/>
      <c r="AL53" s="521"/>
      <c r="AM53" s="514"/>
      <c r="AN53" s="624"/>
      <c r="AO53" s="520"/>
      <c r="AP53" s="521"/>
      <c r="AQ53" s="521"/>
      <c r="AR53" s="514"/>
      <c r="AS53" s="624"/>
      <c r="AT53" s="520"/>
      <c r="AU53" s="521"/>
      <c r="AV53" s="521"/>
      <c r="AW53" s="514"/>
      <c r="AX53" s="624"/>
      <c r="AZ53" s="524"/>
      <c r="BA53" s="624"/>
    </row>
    <row r="54" spans="2:53">
      <c r="B54" s="622"/>
      <c r="C54" s="321">
        <v>8</v>
      </c>
      <c r="D54" s="456"/>
      <c r="E54" s="521"/>
      <c r="F54" s="521"/>
      <c r="G54" s="521"/>
      <c r="H54" s="664"/>
      <c r="I54" s="516" t="str">
        <f t="shared" si="38"/>
        <v>-</v>
      </c>
      <c r="J54" s="516" t="str">
        <f t="shared" si="39"/>
        <v>-</v>
      </c>
      <c r="K54" s="200" t="str">
        <f t="shared" si="40"/>
        <v>-</v>
      </c>
      <c r="L54" s="596"/>
      <c r="M54" s="201" t="e">
        <f>RANK(K54, K$47:$K$61)</f>
        <v>#VALUE!</v>
      </c>
      <c r="N54" s="614"/>
      <c r="O54" s="614"/>
      <c r="P54" s="520"/>
      <c r="Q54" s="521"/>
      <c r="R54" s="521"/>
      <c r="S54" s="514"/>
      <c r="T54" s="624"/>
      <c r="U54" s="520"/>
      <c r="V54" s="521"/>
      <c r="W54" s="521"/>
      <c r="X54" s="514"/>
      <c r="Y54" s="624"/>
      <c r="Z54" s="520"/>
      <c r="AA54" s="521"/>
      <c r="AB54" s="521"/>
      <c r="AC54" s="514"/>
      <c r="AD54" s="624"/>
      <c r="AE54" s="520"/>
      <c r="AF54" s="521"/>
      <c r="AG54" s="521"/>
      <c r="AH54" s="514"/>
      <c r="AI54" s="624"/>
      <c r="AJ54" s="520"/>
      <c r="AK54" s="521"/>
      <c r="AL54" s="521"/>
      <c r="AM54" s="514"/>
      <c r="AN54" s="624"/>
      <c r="AO54" s="520"/>
      <c r="AP54" s="521"/>
      <c r="AQ54" s="521"/>
      <c r="AR54" s="514"/>
      <c r="AS54" s="624"/>
      <c r="AT54" s="520"/>
      <c r="AU54" s="521"/>
      <c r="AV54" s="521"/>
      <c r="AW54" s="514"/>
      <c r="AX54" s="624"/>
      <c r="AZ54" s="524"/>
      <c r="BA54" s="624"/>
    </row>
    <row r="55" spans="2:53">
      <c r="B55" s="622"/>
      <c r="C55" s="321">
        <v>9</v>
      </c>
      <c r="D55" s="456"/>
      <c r="E55" s="521"/>
      <c r="F55" s="521"/>
      <c r="G55" s="521"/>
      <c r="H55" s="664"/>
      <c r="I55" s="516" t="str">
        <f t="shared" si="38"/>
        <v>-</v>
      </c>
      <c r="J55" s="516" t="str">
        <f t="shared" si="39"/>
        <v>-</v>
      </c>
      <c r="K55" s="200" t="str">
        <f t="shared" si="40"/>
        <v>-</v>
      </c>
      <c r="L55" s="596"/>
      <c r="M55" s="201" t="e">
        <f>RANK(K55, K$47:$K$61)</f>
        <v>#VALUE!</v>
      </c>
      <c r="N55" s="614"/>
      <c r="O55" s="614"/>
      <c r="P55" s="520"/>
      <c r="Q55" s="521"/>
      <c r="R55" s="521"/>
      <c r="S55" s="514"/>
      <c r="T55" s="624"/>
      <c r="U55" s="520"/>
      <c r="V55" s="521"/>
      <c r="W55" s="521"/>
      <c r="X55" s="514"/>
      <c r="Y55" s="624"/>
      <c r="Z55" s="520"/>
      <c r="AA55" s="521"/>
      <c r="AB55" s="521"/>
      <c r="AC55" s="514"/>
      <c r="AD55" s="624"/>
      <c r="AE55" s="520"/>
      <c r="AF55" s="521"/>
      <c r="AG55" s="521"/>
      <c r="AH55" s="514"/>
      <c r="AI55" s="624"/>
      <c r="AJ55" s="520"/>
      <c r="AK55" s="521"/>
      <c r="AL55" s="521"/>
      <c r="AM55" s="514"/>
      <c r="AN55" s="624"/>
      <c r="AO55" s="520"/>
      <c r="AP55" s="521"/>
      <c r="AQ55" s="521"/>
      <c r="AR55" s="514"/>
      <c r="AS55" s="624"/>
      <c r="AT55" s="520"/>
      <c r="AU55" s="521"/>
      <c r="AV55" s="521"/>
      <c r="AW55" s="514"/>
      <c r="AX55" s="624"/>
      <c r="AZ55" s="524"/>
      <c r="BA55" s="624"/>
    </row>
    <row r="56" spans="2:53">
      <c r="B56" s="622"/>
      <c r="C56" s="321">
        <v>10</v>
      </c>
      <c r="D56" s="456"/>
      <c r="E56" s="521"/>
      <c r="F56" s="521"/>
      <c r="G56" s="521"/>
      <c r="H56" s="664"/>
      <c r="I56" s="516" t="str">
        <f t="shared" si="38"/>
        <v>-</v>
      </c>
      <c r="J56" s="516" t="str">
        <f t="shared" si="39"/>
        <v>-</v>
      </c>
      <c r="K56" s="200" t="str">
        <f t="shared" si="40"/>
        <v>-</v>
      </c>
      <c r="L56" s="596"/>
      <c r="M56" s="201" t="e">
        <f>RANK(K56, K$47:$K$61)</f>
        <v>#VALUE!</v>
      </c>
      <c r="N56" s="614"/>
      <c r="O56" s="614"/>
      <c r="P56" s="520"/>
      <c r="Q56" s="521"/>
      <c r="R56" s="521"/>
      <c r="S56" s="514"/>
      <c r="T56" s="624"/>
      <c r="U56" s="520"/>
      <c r="V56" s="521"/>
      <c r="W56" s="521"/>
      <c r="X56" s="514"/>
      <c r="Y56" s="624"/>
      <c r="Z56" s="520"/>
      <c r="AA56" s="521"/>
      <c r="AB56" s="521"/>
      <c r="AC56" s="514"/>
      <c r="AD56" s="624"/>
      <c r="AE56" s="520"/>
      <c r="AF56" s="521"/>
      <c r="AG56" s="521"/>
      <c r="AH56" s="514"/>
      <c r="AI56" s="624"/>
      <c r="AJ56" s="520"/>
      <c r="AK56" s="521"/>
      <c r="AL56" s="521"/>
      <c r="AM56" s="514"/>
      <c r="AN56" s="624"/>
      <c r="AO56" s="520"/>
      <c r="AP56" s="521"/>
      <c r="AQ56" s="521"/>
      <c r="AR56" s="514"/>
      <c r="AS56" s="624"/>
      <c r="AT56" s="520"/>
      <c r="AU56" s="521"/>
      <c r="AV56" s="521"/>
      <c r="AW56" s="514"/>
      <c r="AX56" s="624"/>
      <c r="AZ56" s="524"/>
      <c r="BA56" s="624"/>
    </row>
    <row r="57" spans="2:53">
      <c r="B57" s="622"/>
      <c r="C57" s="321">
        <v>11</v>
      </c>
      <c r="D57" s="456"/>
      <c r="E57" s="521"/>
      <c r="F57" s="521"/>
      <c r="G57" s="521"/>
      <c r="H57" s="664"/>
      <c r="I57" s="516" t="str">
        <f t="shared" si="38"/>
        <v>-</v>
      </c>
      <c r="J57" s="516" t="str">
        <f t="shared" si="39"/>
        <v>-</v>
      </c>
      <c r="K57" s="200" t="str">
        <f t="shared" si="40"/>
        <v>-</v>
      </c>
      <c r="L57" s="596"/>
      <c r="M57" s="201" t="e">
        <f>RANK(K57, K$47:$K$61)</f>
        <v>#VALUE!</v>
      </c>
      <c r="N57" s="614"/>
      <c r="O57" s="614"/>
      <c r="P57" s="520"/>
      <c r="Q57" s="521"/>
      <c r="R57" s="521"/>
      <c r="S57" s="514"/>
      <c r="T57" s="624"/>
      <c r="U57" s="520"/>
      <c r="V57" s="521"/>
      <c r="W57" s="521"/>
      <c r="X57" s="514"/>
      <c r="Y57" s="624"/>
      <c r="Z57" s="520"/>
      <c r="AA57" s="521"/>
      <c r="AB57" s="521"/>
      <c r="AC57" s="514"/>
      <c r="AD57" s="624"/>
      <c r="AE57" s="520"/>
      <c r="AF57" s="521"/>
      <c r="AG57" s="521"/>
      <c r="AH57" s="514"/>
      <c r="AI57" s="624"/>
      <c r="AJ57" s="520"/>
      <c r="AK57" s="521"/>
      <c r="AL57" s="521"/>
      <c r="AM57" s="514"/>
      <c r="AN57" s="624"/>
      <c r="AO57" s="520"/>
      <c r="AP57" s="521"/>
      <c r="AQ57" s="521"/>
      <c r="AR57" s="514"/>
      <c r="AS57" s="624"/>
      <c r="AT57" s="520"/>
      <c r="AU57" s="521"/>
      <c r="AV57" s="521"/>
      <c r="AW57" s="514"/>
      <c r="AX57" s="624"/>
      <c r="AZ57" s="524"/>
      <c r="BA57" s="624"/>
    </row>
    <row r="58" spans="2:53">
      <c r="B58" s="622"/>
      <c r="C58" s="321">
        <v>12</v>
      </c>
      <c r="D58" s="456"/>
      <c r="E58" s="521"/>
      <c r="F58" s="521"/>
      <c r="G58" s="521"/>
      <c r="H58" s="664"/>
      <c r="I58" s="516" t="str">
        <f t="shared" si="38"/>
        <v>-</v>
      </c>
      <c r="J58" s="516" t="str">
        <f t="shared" si="39"/>
        <v>-</v>
      </c>
      <c r="K58" s="200" t="str">
        <f t="shared" si="40"/>
        <v>-</v>
      </c>
      <c r="L58" s="596"/>
      <c r="M58" s="201" t="e">
        <f>RANK(K58, K$47:$K$61)</f>
        <v>#VALUE!</v>
      </c>
      <c r="N58" s="614"/>
      <c r="O58" s="614"/>
      <c r="P58" s="520"/>
      <c r="Q58" s="521"/>
      <c r="R58" s="521"/>
      <c r="S58" s="514"/>
      <c r="T58" s="624"/>
      <c r="U58" s="520"/>
      <c r="V58" s="521"/>
      <c r="W58" s="521"/>
      <c r="X58" s="514"/>
      <c r="Y58" s="624"/>
      <c r="Z58" s="520"/>
      <c r="AA58" s="521"/>
      <c r="AB58" s="521"/>
      <c r="AC58" s="514"/>
      <c r="AD58" s="624"/>
      <c r="AE58" s="520"/>
      <c r="AF58" s="521"/>
      <c r="AG58" s="521"/>
      <c r="AH58" s="514"/>
      <c r="AI58" s="624"/>
      <c r="AJ58" s="520"/>
      <c r="AK58" s="521"/>
      <c r="AL58" s="521"/>
      <c r="AM58" s="514"/>
      <c r="AN58" s="624"/>
      <c r="AO58" s="520"/>
      <c r="AP58" s="521"/>
      <c r="AQ58" s="521"/>
      <c r="AR58" s="514"/>
      <c r="AS58" s="624"/>
      <c r="AT58" s="520"/>
      <c r="AU58" s="521"/>
      <c r="AV58" s="521"/>
      <c r="AW58" s="514"/>
      <c r="AX58" s="624"/>
      <c r="AZ58" s="524"/>
      <c r="BA58" s="624"/>
    </row>
    <row r="59" spans="2:53">
      <c r="B59" s="622"/>
      <c r="C59" s="321">
        <v>13</v>
      </c>
      <c r="D59" s="456"/>
      <c r="E59" s="521"/>
      <c r="F59" s="521"/>
      <c r="G59" s="521"/>
      <c r="H59" s="664"/>
      <c r="I59" s="516" t="str">
        <f t="shared" si="38"/>
        <v>-</v>
      </c>
      <c r="J59" s="516" t="str">
        <f t="shared" si="39"/>
        <v>-</v>
      </c>
      <c r="K59" s="200" t="str">
        <f t="shared" si="40"/>
        <v>-</v>
      </c>
      <c r="L59" s="596"/>
      <c r="M59" s="201" t="e">
        <f>RANK(K59, K$47:$K$61)</f>
        <v>#VALUE!</v>
      </c>
      <c r="N59" s="614"/>
      <c r="O59" s="614"/>
      <c r="P59" s="520"/>
      <c r="Q59" s="521"/>
      <c r="R59" s="521"/>
      <c r="S59" s="514"/>
      <c r="T59" s="624"/>
      <c r="U59" s="520"/>
      <c r="V59" s="521"/>
      <c r="W59" s="521"/>
      <c r="X59" s="514"/>
      <c r="Y59" s="624"/>
      <c r="Z59" s="520"/>
      <c r="AA59" s="521"/>
      <c r="AB59" s="521"/>
      <c r="AC59" s="514"/>
      <c r="AD59" s="624"/>
      <c r="AE59" s="520"/>
      <c r="AF59" s="521"/>
      <c r="AG59" s="521"/>
      <c r="AH59" s="514"/>
      <c r="AI59" s="624"/>
      <c r="AJ59" s="520"/>
      <c r="AK59" s="521"/>
      <c r="AL59" s="521"/>
      <c r="AM59" s="514"/>
      <c r="AN59" s="624"/>
      <c r="AO59" s="520"/>
      <c r="AP59" s="521"/>
      <c r="AQ59" s="521"/>
      <c r="AR59" s="514"/>
      <c r="AS59" s="624"/>
      <c r="AT59" s="520"/>
      <c r="AU59" s="521"/>
      <c r="AV59" s="521"/>
      <c r="AW59" s="514"/>
      <c r="AX59" s="624"/>
      <c r="AZ59" s="524"/>
      <c r="BA59" s="624"/>
    </row>
    <row r="60" spans="2:53">
      <c r="B60" s="622"/>
      <c r="C60" s="321">
        <v>14</v>
      </c>
      <c r="D60" s="456"/>
      <c r="E60" s="521"/>
      <c r="F60" s="521"/>
      <c r="G60" s="521"/>
      <c r="H60" s="664"/>
      <c r="I60" s="516" t="str">
        <f t="shared" si="38"/>
        <v>-</v>
      </c>
      <c r="J60" s="516" t="str">
        <f t="shared" si="39"/>
        <v>-</v>
      </c>
      <c r="K60" s="200" t="str">
        <f t="shared" si="40"/>
        <v>-</v>
      </c>
      <c r="L60" s="596"/>
      <c r="M60" s="201" t="e">
        <f>RANK(K60, K$47:$K$61)</f>
        <v>#VALUE!</v>
      </c>
      <c r="N60" s="614"/>
      <c r="O60" s="614"/>
      <c r="P60" s="520"/>
      <c r="Q60" s="521"/>
      <c r="R60" s="521"/>
      <c r="S60" s="514"/>
      <c r="T60" s="624"/>
      <c r="U60" s="520"/>
      <c r="V60" s="521"/>
      <c r="W60" s="521"/>
      <c r="X60" s="514"/>
      <c r="Y60" s="624"/>
      <c r="Z60" s="520"/>
      <c r="AA60" s="521"/>
      <c r="AB60" s="521"/>
      <c r="AC60" s="514"/>
      <c r="AD60" s="624"/>
      <c r="AE60" s="520"/>
      <c r="AF60" s="521"/>
      <c r="AG60" s="521"/>
      <c r="AH60" s="514"/>
      <c r="AI60" s="624"/>
      <c r="AJ60" s="520"/>
      <c r="AK60" s="521"/>
      <c r="AL60" s="521"/>
      <c r="AM60" s="514"/>
      <c r="AN60" s="624"/>
      <c r="AO60" s="520"/>
      <c r="AP60" s="521"/>
      <c r="AQ60" s="521"/>
      <c r="AR60" s="514"/>
      <c r="AS60" s="624"/>
      <c r="AT60" s="520"/>
      <c r="AU60" s="521"/>
      <c r="AV60" s="521"/>
      <c r="AW60" s="514"/>
      <c r="AX60" s="624"/>
      <c r="AZ60" s="524"/>
      <c r="BA60" s="624"/>
    </row>
    <row r="61" spans="2:53">
      <c r="B61" s="622"/>
      <c r="C61" s="321">
        <v>15</v>
      </c>
      <c r="D61" s="456"/>
      <c r="E61" s="521"/>
      <c r="F61" s="521"/>
      <c r="G61" s="521"/>
      <c r="H61" s="665"/>
      <c r="I61" s="520"/>
      <c r="J61" s="520"/>
      <c r="K61" s="520"/>
      <c r="L61" s="597"/>
      <c r="M61" s="201" t="e">
        <f>RANK(K61, K$47:$K$61)</f>
        <v>#N/A</v>
      </c>
      <c r="N61" s="614"/>
      <c r="O61" s="614"/>
      <c r="P61" s="520"/>
      <c r="Q61" s="521"/>
      <c r="R61" s="521"/>
      <c r="S61" s="514"/>
      <c r="T61" s="625"/>
      <c r="U61" s="520"/>
      <c r="V61" s="521"/>
      <c r="W61" s="521"/>
      <c r="X61" s="514"/>
      <c r="Y61" s="625"/>
      <c r="Z61" s="520"/>
      <c r="AA61" s="521"/>
      <c r="AB61" s="521"/>
      <c r="AC61" s="514"/>
      <c r="AD61" s="625"/>
      <c r="AE61" s="520"/>
      <c r="AF61" s="521"/>
      <c r="AG61" s="521"/>
      <c r="AH61" s="514"/>
      <c r="AI61" s="625"/>
      <c r="AJ61" s="520"/>
      <c r="AK61" s="521"/>
      <c r="AL61" s="521"/>
      <c r="AM61" s="514"/>
      <c r="AN61" s="625"/>
      <c r="AO61" s="520"/>
      <c r="AP61" s="521"/>
      <c r="AQ61" s="521"/>
      <c r="AR61" s="514"/>
      <c r="AS61" s="625"/>
      <c r="AT61" s="520"/>
      <c r="AU61" s="521"/>
      <c r="AV61" s="521"/>
      <c r="AW61" s="514"/>
      <c r="AX61" s="625"/>
      <c r="AZ61" s="524"/>
      <c r="BA61" s="625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442</v>
      </c>
      <c r="C64" s="614" t="s">
        <v>443</v>
      </c>
      <c r="D64" s="614"/>
      <c r="E64" s="614" t="s">
        <v>444</v>
      </c>
      <c r="F64" s="614"/>
      <c r="G64" s="614"/>
      <c r="H64" s="630" t="s">
        <v>445</v>
      </c>
      <c r="I64" s="598" t="s">
        <v>446</v>
      </c>
      <c r="J64" s="598"/>
      <c r="K64" s="598"/>
      <c r="L64" s="599" t="s">
        <v>395</v>
      </c>
      <c r="M64" s="605" t="s">
        <v>447</v>
      </c>
      <c r="N64" s="614"/>
      <c r="O64" s="614" t="s">
        <v>448</v>
      </c>
      <c r="P64" s="611" t="s">
        <v>449</v>
      </c>
      <c r="Q64" s="612"/>
      <c r="R64" s="612"/>
      <c r="S64" s="613"/>
      <c r="T64" s="614" t="s">
        <v>445</v>
      </c>
      <c r="U64" s="611" t="s">
        <v>449</v>
      </c>
      <c r="V64" s="612"/>
      <c r="W64" s="612"/>
      <c r="X64" s="613"/>
      <c r="Y64" s="614" t="s">
        <v>445</v>
      </c>
      <c r="Z64" s="611" t="s">
        <v>449</v>
      </c>
      <c r="AA64" s="612"/>
      <c r="AB64" s="612"/>
      <c r="AC64" s="613"/>
      <c r="AD64" s="614" t="s">
        <v>445</v>
      </c>
      <c r="AE64" s="611" t="s">
        <v>449</v>
      </c>
      <c r="AF64" s="612"/>
      <c r="AG64" s="612"/>
      <c r="AH64" s="613"/>
      <c r="AI64" s="614" t="s">
        <v>445</v>
      </c>
      <c r="AJ64" s="611" t="s">
        <v>449</v>
      </c>
      <c r="AK64" s="612"/>
      <c r="AL64" s="612"/>
      <c r="AM64" s="613"/>
      <c r="AN64" s="614" t="s">
        <v>445</v>
      </c>
      <c r="AO64" s="611" t="s">
        <v>449</v>
      </c>
      <c r="AP64" s="612"/>
      <c r="AQ64" s="612"/>
      <c r="AR64" s="613"/>
      <c r="AS64" s="614" t="s">
        <v>445</v>
      </c>
      <c r="AT64" s="611" t="s">
        <v>449</v>
      </c>
      <c r="AU64" s="612"/>
      <c r="AV64" s="612"/>
      <c r="AW64" s="613"/>
      <c r="AX64" s="614" t="s">
        <v>445</v>
      </c>
      <c r="BA64" s="614" t="s">
        <v>395</v>
      </c>
    </row>
    <row r="65" spans="2:53">
      <c r="B65" s="614"/>
      <c r="C65" s="614"/>
      <c r="D65" s="614"/>
      <c r="E65" s="614" t="s">
        <v>450</v>
      </c>
      <c r="F65" s="614"/>
      <c r="G65" s="614"/>
      <c r="H65" s="631"/>
      <c r="I65" s="598" t="s">
        <v>450</v>
      </c>
      <c r="J65" s="598"/>
      <c r="K65" s="598"/>
      <c r="L65" s="600"/>
      <c r="M65" s="606"/>
      <c r="N65" s="614"/>
      <c r="O65" s="614"/>
      <c r="P65" s="611" t="s">
        <v>451</v>
      </c>
      <c r="Q65" s="612"/>
      <c r="R65" s="612"/>
      <c r="S65" s="613"/>
      <c r="T65" s="614"/>
      <c r="U65" s="611" t="s">
        <v>451</v>
      </c>
      <c r="V65" s="612"/>
      <c r="W65" s="612"/>
      <c r="X65" s="613"/>
      <c r="Y65" s="614"/>
      <c r="Z65" s="611" t="s">
        <v>451</v>
      </c>
      <c r="AA65" s="612"/>
      <c r="AB65" s="612"/>
      <c r="AC65" s="613"/>
      <c r="AD65" s="614"/>
      <c r="AE65" s="611" t="s">
        <v>451</v>
      </c>
      <c r="AF65" s="612"/>
      <c r="AG65" s="612"/>
      <c r="AH65" s="613"/>
      <c r="AI65" s="614"/>
      <c r="AJ65" s="611" t="s">
        <v>451</v>
      </c>
      <c r="AK65" s="612"/>
      <c r="AL65" s="612"/>
      <c r="AM65" s="613"/>
      <c r="AN65" s="614"/>
      <c r="AO65" s="611" t="s">
        <v>451</v>
      </c>
      <c r="AP65" s="612"/>
      <c r="AQ65" s="612"/>
      <c r="AR65" s="613"/>
      <c r="AS65" s="614"/>
      <c r="AT65" s="611" t="s">
        <v>451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452</v>
      </c>
      <c r="F66" s="305" t="s">
        <v>453</v>
      </c>
      <c r="G66" s="305" t="s">
        <v>454</v>
      </c>
      <c r="H66" s="632"/>
      <c r="I66" s="304" t="s">
        <v>452</v>
      </c>
      <c r="J66" s="304" t="s">
        <v>453</v>
      </c>
      <c r="K66" s="304" t="s">
        <v>454</v>
      </c>
      <c r="L66" s="601"/>
      <c r="M66" s="607"/>
      <c r="N66" s="614"/>
      <c r="O66" s="614"/>
      <c r="P66" s="305" t="s">
        <v>452</v>
      </c>
      <c r="Q66" s="305" t="s">
        <v>453</v>
      </c>
      <c r="R66" s="305" t="s">
        <v>454</v>
      </c>
      <c r="S66" s="305" t="s">
        <v>447</v>
      </c>
      <c r="T66" s="614"/>
      <c r="U66" s="305" t="s">
        <v>452</v>
      </c>
      <c r="V66" s="305" t="s">
        <v>453</v>
      </c>
      <c r="W66" s="305" t="s">
        <v>454</v>
      </c>
      <c r="X66" s="305" t="s">
        <v>447</v>
      </c>
      <c r="Y66" s="614"/>
      <c r="Z66" s="305" t="s">
        <v>452</v>
      </c>
      <c r="AA66" s="305" t="s">
        <v>453</v>
      </c>
      <c r="AB66" s="305" t="s">
        <v>454</v>
      </c>
      <c r="AC66" s="305" t="s">
        <v>447</v>
      </c>
      <c r="AD66" s="614"/>
      <c r="AE66" s="305" t="s">
        <v>452</v>
      </c>
      <c r="AF66" s="305" t="s">
        <v>453</v>
      </c>
      <c r="AG66" s="305" t="s">
        <v>454</v>
      </c>
      <c r="AH66" s="305" t="s">
        <v>447</v>
      </c>
      <c r="AI66" s="614"/>
      <c r="AJ66" s="305" t="s">
        <v>452</v>
      </c>
      <c r="AK66" s="305" t="s">
        <v>453</v>
      </c>
      <c r="AL66" s="305" t="s">
        <v>454</v>
      </c>
      <c r="AM66" s="305" t="s">
        <v>447</v>
      </c>
      <c r="AN66" s="614"/>
      <c r="AO66" s="305" t="s">
        <v>452</v>
      </c>
      <c r="AP66" s="305" t="s">
        <v>453</v>
      </c>
      <c r="AQ66" s="305" t="s">
        <v>454</v>
      </c>
      <c r="AR66" s="305" t="s">
        <v>447</v>
      </c>
      <c r="AS66" s="614"/>
      <c r="AT66" s="305" t="s">
        <v>452</v>
      </c>
      <c r="AU66" s="305" t="s">
        <v>453</v>
      </c>
      <c r="AV66" s="305" t="s">
        <v>454</v>
      </c>
      <c r="AW66" s="305" t="s">
        <v>447</v>
      </c>
      <c r="AX66" s="614"/>
      <c r="AZ66" s="523" t="s">
        <v>396</v>
      </c>
      <c r="BA66" s="614"/>
    </row>
    <row r="67" spans="2:53">
      <c r="B67" s="614" t="s">
        <v>459</v>
      </c>
      <c r="C67" s="306">
        <v>1</v>
      </c>
      <c r="D67" s="456"/>
      <c r="E67" s="521"/>
      <c r="F67" s="521"/>
      <c r="G67" s="521"/>
      <c r="H67" s="663" t="e">
        <f>AVERAGE(G67:G81)</f>
        <v>#DIV/0!</v>
      </c>
      <c r="I67" s="516" t="str">
        <f t="shared" ref="I67:I80" si="56">IFERROR(AVERAGE(P67,U67,Z67,AE67,AJ67,AO67,AT67),"-")</f>
        <v>-</v>
      </c>
      <c r="J67" s="516" t="str">
        <f t="shared" ref="J67:J80" si="57">IFERROR(AVERAGE(Q67,V67,AA67,AF67,AK67,AP67,AU67),"-")</f>
        <v>-</v>
      </c>
      <c r="K67" s="200" t="str">
        <f t="shared" ref="K67:K80" si="58">IFERROR(AVERAGE(R67,W67,AB67,AG67,AL67,AQ67,AV67),"-")</f>
        <v>-</v>
      </c>
      <c r="L67" s="595" t="str">
        <f>IFERROR(AVERAGE(K67:K81),"-")</f>
        <v>-</v>
      </c>
      <c r="M67" s="201" t="e">
        <f>RANK(K67, K$67:$K$81)</f>
        <v>#VALUE!</v>
      </c>
      <c r="N67" s="614"/>
      <c r="O67" s="614"/>
      <c r="P67" s="520"/>
      <c r="Q67" s="521"/>
      <c r="R67" s="521"/>
      <c r="S67" s="514" t="e">
        <f>RANK(R67, R$67:R$81)</f>
        <v>#N/A</v>
      </c>
      <c r="T67" s="623" t="e">
        <f>AVERAGE(R67:R81)</f>
        <v>#DIV/0!</v>
      </c>
      <c r="U67" s="520"/>
      <c r="V67" s="521"/>
      <c r="W67" s="521"/>
      <c r="X67" s="514" t="e">
        <f t="shared" ref="X67:X81" si="59">RANK(W67, W$67:W$81)</f>
        <v>#N/A</v>
      </c>
      <c r="Y67" s="623" t="e">
        <f t="shared" ref="Y67" si="60">AVERAGE(W67:W81)</f>
        <v>#DIV/0!</v>
      </c>
      <c r="Z67" s="520"/>
      <c r="AA67" s="521"/>
      <c r="AB67" s="521"/>
      <c r="AC67" s="514" t="e">
        <f t="shared" ref="AC67:AC81" si="61">RANK(AB67, AB$67:AB$81)</f>
        <v>#N/A</v>
      </c>
      <c r="AD67" s="623" t="e">
        <f t="shared" ref="AD67" si="62">AVERAGE(AB67:AB81)</f>
        <v>#DIV/0!</v>
      </c>
      <c r="AE67" s="520"/>
      <c r="AF67" s="521"/>
      <c r="AG67" s="521"/>
      <c r="AH67" s="514" t="e">
        <f t="shared" ref="AH67:AH81" si="63">RANK(AG67, AG$67:AG$81)</f>
        <v>#N/A</v>
      </c>
      <c r="AI67" s="623" t="e">
        <f t="shared" ref="AI67" si="64">AVERAGE(AG67:AG81)</f>
        <v>#DIV/0!</v>
      </c>
      <c r="AJ67" s="520"/>
      <c r="AK67" s="521"/>
      <c r="AL67" s="521"/>
      <c r="AM67" s="514" t="e">
        <f t="shared" ref="AM67:AM81" si="65">RANK(AL67, AL$67:AL$81)</f>
        <v>#N/A</v>
      </c>
      <c r="AN67" s="623" t="e">
        <f t="shared" ref="AN67" si="66">AVERAGE(AL67:AL81)</f>
        <v>#DIV/0!</v>
      </c>
      <c r="AO67" s="520"/>
      <c r="AP67" s="521"/>
      <c r="AQ67" s="521"/>
      <c r="AR67" s="514" t="e">
        <f t="shared" ref="AR67:AR81" si="67">RANK(AQ67, AQ$67:AQ$81)</f>
        <v>#N/A</v>
      </c>
      <c r="AS67" s="623" t="e">
        <f t="shared" ref="AS67" si="68">AVERAGE(AQ67:AQ81)</f>
        <v>#DIV/0!</v>
      </c>
      <c r="AT67" s="520"/>
      <c r="AU67" s="521"/>
      <c r="AV67" s="521"/>
      <c r="AW67" s="514" t="e">
        <f t="shared" ref="AW67:AW81" si="69">RANK(AV67, AV$67:AV$81)</f>
        <v>#N/A</v>
      </c>
      <c r="AX67" s="623" t="e">
        <f t="shared" ref="AX67" si="70">AVERAGE(AV67:AV81)</f>
        <v>#DIV/0!</v>
      </c>
      <c r="AZ67" s="524" t="e">
        <f t="shared" ref="AZ67:AZ81" si="71">RANK(AY67, AY$67:AY$81)</f>
        <v>#N/A</v>
      </c>
      <c r="BA67" s="623" t="e">
        <f t="shared" ref="BA67" si="72">AVERAGE(AY67:AY81)</f>
        <v>#DIV/0!</v>
      </c>
    </row>
    <row r="68" spans="2:53">
      <c r="B68" s="622"/>
      <c r="C68" s="306">
        <v>2</v>
      </c>
      <c r="D68" s="456"/>
      <c r="E68" s="521"/>
      <c r="F68" s="521"/>
      <c r="G68" s="521"/>
      <c r="H68" s="664"/>
      <c r="I68" s="516" t="str">
        <f t="shared" si="56"/>
        <v>-</v>
      </c>
      <c r="J68" s="516" t="str">
        <f t="shared" si="57"/>
        <v>-</v>
      </c>
      <c r="K68" s="200" t="str">
        <f t="shared" si="58"/>
        <v>-</v>
      </c>
      <c r="L68" s="596"/>
      <c r="M68" s="201" t="e">
        <f>RANK(K68, K$67:$K$81)</f>
        <v>#VALUE!</v>
      </c>
      <c r="N68" s="614"/>
      <c r="O68" s="614"/>
      <c r="P68" s="520"/>
      <c r="Q68" s="521"/>
      <c r="R68" s="521"/>
      <c r="S68" s="514" t="e">
        <f t="shared" ref="S68:S81" si="73">RANK(R68, R$67:R$81)</f>
        <v>#N/A</v>
      </c>
      <c r="T68" s="624"/>
      <c r="U68" s="520"/>
      <c r="V68" s="521"/>
      <c r="W68" s="521"/>
      <c r="X68" s="514" t="e">
        <f t="shared" si="59"/>
        <v>#N/A</v>
      </c>
      <c r="Y68" s="624"/>
      <c r="Z68" s="520"/>
      <c r="AA68" s="521"/>
      <c r="AB68" s="521"/>
      <c r="AC68" s="514" t="e">
        <f t="shared" si="61"/>
        <v>#N/A</v>
      </c>
      <c r="AD68" s="624"/>
      <c r="AE68" s="520"/>
      <c r="AF68" s="521"/>
      <c r="AG68" s="521"/>
      <c r="AH68" s="514" t="e">
        <f t="shared" si="63"/>
        <v>#N/A</v>
      </c>
      <c r="AI68" s="624"/>
      <c r="AJ68" s="520"/>
      <c r="AK68" s="521"/>
      <c r="AL68" s="521"/>
      <c r="AM68" s="514" t="e">
        <f t="shared" si="65"/>
        <v>#N/A</v>
      </c>
      <c r="AN68" s="624"/>
      <c r="AO68" s="520"/>
      <c r="AP68" s="521"/>
      <c r="AQ68" s="521"/>
      <c r="AR68" s="514" t="e">
        <f t="shared" si="67"/>
        <v>#N/A</v>
      </c>
      <c r="AS68" s="624"/>
      <c r="AT68" s="520"/>
      <c r="AU68" s="521"/>
      <c r="AV68" s="521"/>
      <c r="AW68" s="514" t="e">
        <f t="shared" si="69"/>
        <v>#N/A</v>
      </c>
      <c r="AX68" s="624"/>
      <c r="AZ68" s="524" t="e">
        <f t="shared" si="71"/>
        <v>#N/A</v>
      </c>
      <c r="BA68" s="624"/>
    </row>
    <row r="69" spans="2:53">
      <c r="B69" s="622"/>
      <c r="C69" s="306">
        <v>3</v>
      </c>
      <c r="D69" s="456"/>
      <c r="E69" s="521"/>
      <c r="F69" s="521"/>
      <c r="G69" s="521"/>
      <c r="H69" s="664"/>
      <c r="I69" s="516" t="str">
        <f t="shared" si="56"/>
        <v>-</v>
      </c>
      <c r="J69" s="516" t="str">
        <f t="shared" si="57"/>
        <v>-</v>
      </c>
      <c r="K69" s="200" t="str">
        <f t="shared" si="58"/>
        <v>-</v>
      </c>
      <c r="L69" s="596"/>
      <c r="M69" s="201" t="e">
        <f>RANK(K69, K$67:$K$81)</f>
        <v>#VALUE!</v>
      </c>
      <c r="N69" s="614"/>
      <c r="O69" s="614"/>
      <c r="P69" s="520"/>
      <c r="Q69" s="521"/>
      <c r="R69" s="521"/>
      <c r="S69" s="514" t="e">
        <f t="shared" si="73"/>
        <v>#N/A</v>
      </c>
      <c r="T69" s="624"/>
      <c r="U69" s="520"/>
      <c r="V69" s="521"/>
      <c r="W69" s="521"/>
      <c r="X69" s="514" t="e">
        <f t="shared" si="59"/>
        <v>#N/A</v>
      </c>
      <c r="Y69" s="624"/>
      <c r="Z69" s="520"/>
      <c r="AA69" s="521"/>
      <c r="AB69" s="521"/>
      <c r="AC69" s="514" t="e">
        <f t="shared" si="61"/>
        <v>#N/A</v>
      </c>
      <c r="AD69" s="624"/>
      <c r="AE69" s="520"/>
      <c r="AF69" s="521"/>
      <c r="AG69" s="521"/>
      <c r="AH69" s="514" t="e">
        <f t="shared" si="63"/>
        <v>#N/A</v>
      </c>
      <c r="AI69" s="624"/>
      <c r="AJ69" s="520"/>
      <c r="AK69" s="521"/>
      <c r="AL69" s="521"/>
      <c r="AM69" s="514" t="e">
        <f t="shared" si="65"/>
        <v>#N/A</v>
      </c>
      <c r="AN69" s="624"/>
      <c r="AO69" s="520"/>
      <c r="AP69" s="521"/>
      <c r="AQ69" s="521"/>
      <c r="AR69" s="514" t="e">
        <f t="shared" si="67"/>
        <v>#N/A</v>
      </c>
      <c r="AS69" s="624"/>
      <c r="AT69" s="520"/>
      <c r="AU69" s="521"/>
      <c r="AV69" s="521"/>
      <c r="AW69" s="514" t="e">
        <f t="shared" si="69"/>
        <v>#N/A</v>
      </c>
      <c r="AX69" s="624"/>
      <c r="AZ69" s="524" t="e">
        <f t="shared" si="71"/>
        <v>#N/A</v>
      </c>
      <c r="BA69" s="624"/>
    </row>
    <row r="70" spans="2:53">
      <c r="B70" s="622"/>
      <c r="C70" s="306">
        <v>4</v>
      </c>
      <c r="D70" s="456"/>
      <c r="E70" s="521"/>
      <c r="F70" s="521"/>
      <c r="G70" s="521"/>
      <c r="H70" s="664"/>
      <c r="I70" s="516" t="str">
        <f t="shared" si="56"/>
        <v>-</v>
      </c>
      <c r="J70" s="516" t="str">
        <f t="shared" si="57"/>
        <v>-</v>
      </c>
      <c r="K70" s="200" t="str">
        <f t="shared" si="58"/>
        <v>-</v>
      </c>
      <c r="L70" s="596"/>
      <c r="M70" s="201" t="e">
        <f>RANK(K70, K$67:$K$81)</f>
        <v>#VALUE!</v>
      </c>
      <c r="N70" s="614"/>
      <c r="O70" s="614"/>
      <c r="P70" s="520"/>
      <c r="Q70" s="521"/>
      <c r="R70" s="521"/>
      <c r="S70" s="514" t="e">
        <f t="shared" si="73"/>
        <v>#N/A</v>
      </c>
      <c r="T70" s="624"/>
      <c r="U70" s="520"/>
      <c r="V70" s="521"/>
      <c r="W70" s="521"/>
      <c r="X70" s="514" t="e">
        <f t="shared" si="59"/>
        <v>#N/A</v>
      </c>
      <c r="Y70" s="624"/>
      <c r="Z70" s="520"/>
      <c r="AA70" s="521"/>
      <c r="AB70" s="521"/>
      <c r="AC70" s="514" t="e">
        <f t="shared" si="61"/>
        <v>#N/A</v>
      </c>
      <c r="AD70" s="624"/>
      <c r="AE70" s="520"/>
      <c r="AF70" s="521"/>
      <c r="AG70" s="521"/>
      <c r="AH70" s="514" t="e">
        <f t="shared" si="63"/>
        <v>#N/A</v>
      </c>
      <c r="AI70" s="624"/>
      <c r="AJ70" s="520"/>
      <c r="AK70" s="521"/>
      <c r="AL70" s="521"/>
      <c r="AM70" s="514" t="e">
        <f t="shared" si="65"/>
        <v>#N/A</v>
      </c>
      <c r="AN70" s="624"/>
      <c r="AO70" s="520"/>
      <c r="AP70" s="521"/>
      <c r="AQ70" s="521"/>
      <c r="AR70" s="514" t="e">
        <f t="shared" si="67"/>
        <v>#N/A</v>
      </c>
      <c r="AS70" s="624"/>
      <c r="AT70" s="520"/>
      <c r="AU70" s="521"/>
      <c r="AV70" s="521"/>
      <c r="AW70" s="514" t="e">
        <f t="shared" si="69"/>
        <v>#N/A</v>
      </c>
      <c r="AX70" s="624"/>
      <c r="AZ70" s="524" t="e">
        <f t="shared" si="71"/>
        <v>#N/A</v>
      </c>
      <c r="BA70" s="624"/>
    </row>
    <row r="71" spans="2:53">
      <c r="B71" s="622"/>
      <c r="C71" s="306">
        <v>5</v>
      </c>
      <c r="D71" s="456"/>
      <c r="E71" s="521"/>
      <c r="F71" s="521"/>
      <c r="G71" s="521"/>
      <c r="H71" s="664"/>
      <c r="I71" s="516" t="str">
        <f t="shared" si="56"/>
        <v>-</v>
      </c>
      <c r="J71" s="516" t="str">
        <f t="shared" si="57"/>
        <v>-</v>
      </c>
      <c r="K71" s="200" t="str">
        <f t="shared" si="58"/>
        <v>-</v>
      </c>
      <c r="L71" s="596"/>
      <c r="M71" s="201" t="e">
        <f>RANK(K71, K$67:$K$81)</f>
        <v>#VALUE!</v>
      </c>
      <c r="N71" s="614"/>
      <c r="O71" s="614"/>
      <c r="P71" s="520"/>
      <c r="Q71" s="521"/>
      <c r="R71" s="521"/>
      <c r="S71" s="514" t="e">
        <f t="shared" si="73"/>
        <v>#N/A</v>
      </c>
      <c r="T71" s="624"/>
      <c r="U71" s="520"/>
      <c r="V71" s="521"/>
      <c r="W71" s="521"/>
      <c r="X71" s="514" t="e">
        <f t="shared" si="59"/>
        <v>#N/A</v>
      </c>
      <c r="Y71" s="624"/>
      <c r="Z71" s="520"/>
      <c r="AA71" s="521"/>
      <c r="AB71" s="521"/>
      <c r="AC71" s="514" t="e">
        <f t="shared" si="61"/>
        <v>#N/A</v>
      </c>
      <c r="AD71" s="624"/>
      <c r="AE71" s="520"/>
      <c r="AF71" s="521"/>
      <c r="AG71" s="521"/>
      <c r="AH71" s="514" t="e">
        <f t="shared" si="63"/>
        <v>#N/A</v>
      </c>
      <c r="AI71" s="624"/>
      <c r="AJ71" s="520"/>
      <c r="AK71" s="521"/>
      <c r="AL71" s="521"/>
      <c r="AM71" s="514" t="e">
        <f t="shared" si="65"/>
        <v>#N/A</v>
      </c>
      <c r="AN71" s="624"/>
      <c r="AO71" s="520"/>
      <c r="AP71" s="521"/>
      <c r="AQ71" s="521"/>
      <c r="AR71" s="514" t="e">
        <f t="shared" si="67"/>
        <v>#N/A</v>
      </c>
      <c r="AS71" s="624"/>
      <c r="AT71" s="520"/>
      <c r="AU71" s="521"/>
      <c r="AV71" s="521"/>
      <c r="AW71" s="514" t="e">
        <f t="shared" si="69"/>
        <v>#N/A</v>
      </c>
      <c r="AX71" s="624"/>
      <c r="AZ71" s="524" t="e">
        <f t="shared" si="71"/>
        <v>#N/A</v>
      </c>
      <c r="BA71" s="624"/>
    </row>
    <row r="72" spans="2:53">
      <c r="B72" s="622"/>
      <c r="C72" s="306">
        <v>6</v>
      </c>
      <c r="D72" s="456"/>
      <c r="E72" s="521"/>
      <c r="F72" s="521"/>
      <c r="G72" s="521"/>
      <c r="H72" s="664"/>
      <c r="I72" s="516" t="str">
        <f t="shared" si="56"/>
        <v>-</v>
      </c>
      <c r="J72" s="516" t="str">
        <f t="shared" si="57"/>
        <v>-</v>
      </c>
      <c r="K72" s="200" t="str">
        <f t="shared" si="58"/>
        <v>-</v>
      </c>
      <c r="L72" s="596"/>
      <c r="M72" s="201" t="e">
        <f>RANK(K72, K$67:$K$81)</f>
        <v>#VALUE!</v>
      </c>
      <c r="N72" s="614"/>
      <c r="O72" s="614"/>
      <c r="P72" s="520"/>
      <c r="Q72" s="521"/>
      <c r="R72" s="521"/>
      <c r="S72" s="514" t="e">
        <f t="shared" si="73"/>
        <v>#N/A</v>
      </c>
      <c r="T72" s="624"/>
      <c r="U72" s="520"/>
      <c r="V72" s="521"/>
      <c r="W72" s="521"/>
      <c r="X72" s="514" t="e">
        <f t="shared" si="59"/>
        <v>#N/A</v>
      </c>
      <c r="Y72" s="624"/>
      <c r="Z72" s="520"/>
      <c r="AA72" s="521"/>
      <c r="AB72" s="521"/>
      <c r="AC72" s="514" t="e">
        <f t="shared" si="61"/>
        <v>#N/A</v>
      </c>
      <c r="AD72" s="624"/>
      <c r="AE72" s="520"/>
      <c r="AF72" s="521"/>
      <c r="AG72" s="521"/>
      <c r="AH72" s="514" t="e">
        <f t="shared" si="63"/>
        <v>#N/A</v>
      </c>
      <c r="AI72" s="624"/>
      <c r="AJ72" s="520"/>
      <c r="AK72" s="521"/>
      <c r="AL72" s="521"/>
      <c r="AM72" s="514" t="e">
        <f t="shared" si="65"/>
        <v>#N/A</v>
      </c>
      <c r="AN72" s="624"/>
      <c r="AO72" s="520"/>
      <c r="AP72" s="521"/>
      <c r="AQ72" s="521"/>
      <c r="AR72" s="514" t="e">
        <f t="shared" si="67"/>
        <v>#N/A</v>
      </c>
      <c r="AS72" s="624"/>
      <c r="AT72" s="520"/>
      <c r="AU72" s="521"/>
      <c r="AV72" s="521"/>
      <c r="AW72" s="514" t="e">
        <f t="shared" si="69"/>
        <v>#N/A</v>
      </c>
      <c r="AX72" s="624"/>
      <c r="AZ72" s="524" t="e">
        <f t="shared" si="71"/>
        <v>#N/A</v>
      </c>
      <c r="BA72" s="624"/>
    </row>
    <row r="73" spans="2:53">
      <c r="B73" s="622"/>
      <c r="C73" s="306">
        <v>7</v>
      </c>
      <c r="D73" s="456"/>
      <c r="E73" s="521"/>
      <c r="F73" s="521"/>
      <c r="G73" s="521"/>
      <c r="H73" s="664"/>
      <c r="I73" s="516" t="str">
        <f t="shared" si="56"/>
        <v>-</v>
      </c>
      <c r="J73" s="516" t="str">
        <f t="shared" si="57"/>
        <v>-</v>
      </c>
      <c r="K73" s="200" t="str">
        <f t="shared" si="58"/>
        <v>-</v>
      </c>
      <c r="L73" s="596"/>
      <c r="M73" s="201" t="e">
        <f>RANK(K73, K$67:$K$81)</f>
        <v>#VALUE!</v>
      </c>
      <c r="N73" s="614"/>
      <c r="O73" s="614"/>
      <c r="P73" s="520"/>
      <c r="Q73" s="521"/>
      <c r="R73" s="521"/>
      <c r="S73" s="514" t="e">
        <f t="shared" si="73"/>
        <v>#N/A</v>
      </c>
      <c r="T73" s="624"/>
      <c r="U73" s="520"/>
      <c r="V73" s="521"/>
      <c r="W73" s="521"/>
      <c r="X73" s="514" t="e">
        <f t="shared" si="59"/>
        <v>#N/A</v>
      </c>
      <c r="Y73" s="624"/>
      <c r="Z73" s="520"/>
      <c r="AA73" s="521"/>
      <c r="AB73" s="521"/>
      <c r="AC73" s="514" t="e">
        <f t="shared" si="61"/>
        <v>#N/A</v>
      </c>
      <c r="AD73" s="624"/>
      <c r="AE73" s="520"/>
      <c r="AF73" s="521"/>
      <c r="AG73" s="521"/>
      <c r="AH73" s="514" t="e">
        <f t="shared" si="63"/>
        <v>#N/A</v>
      </c>
      <c r="AI73" s="624"/>
      <c r="AJ73" s="520"/>
      <c r="AK73" s="521"/>
      <c r="AL73" s="521"/>
      <c r="AM73" s="514" t="e">
        <f t="shared" si="65"/>
        <v>#N/A</v>
      </c>
      <c r="AN73" s="624"/>
      <c r="AO73" s="520"/>
      <c r="AP73" s="521"/>
      <c r="AQ73" s="521"/>
      <c r="AR73" s="514" t="e">
        <f t="shared" si="67"/>
        <v>#N/A</v>
      </c>
      <c r="AS73" s="624"/>
      <c r="AT73" s="520"/>
      <c r="AU73" s="521"/>
      <c r="AV73" s="521"/>
      <c r="AW73" s="514" t="e">
        <f t="shared" si="69"/>
        <v>#N/A</v>
      </c>
      <c r="AX73" s="624"/>
      <c r="AZ73" s="524" t="e">
        <f t="shared" si="71"/>
        <v>#N/A</v>
      </c>
      <c r="BA73" s="624"/>
    </row>
    <row r="74" spans="2:53">
      <c r="B74" s="622"/>
      <c r="C74" s="306">
        <v>8</v>
      </c>
      <c r="D74" s="456"/>
      <c r="E74" s="521"/>
      <c r="F74" s="521"/>
      <c r="G74" s="521"/>
      <c r="H74" s="664"/>
      <c r="I74" s="516" t="str">
        <f t="shared" si="56"/>
        <v>-</v>
      </c>
      <c r="J74" s="516" t="str">
        <f t="shared" si="57"/>
        <v>-</v>
      </c>
      <c r="K74" s="200" t="str">
        <f t="shared" si="58"/>
        <v>-</v>
      </c>
      <c r="L74" s="596"/>
      <c r="M74" s="201" t="e">
        <f>RANK(K74, K$67:$K$81)</f>
        <v>#VALUE!</v>
      </c>
      <c r="N74" s="614"/>
      <c r="O74" s="614"/>
      <c r="P74" s="520"/>
      <c r="Q74" s="521"/>
      <c r="R74" s="521"/>
      <c r="S74" s="514" t="e">
        <f t="shared" si="73"/>
        <v>#N/A</v>
      </c>
      <c r="T74" s="624"/>
      <c r="U74" s="520"/>
      <c r="V74" s="521"/>
      <c r="W74" s="521"/>
      <c r="X74" s="514" t="e">
        <f t="shared" si="59"/>
        <v>#N/A</v>
      </c>
      <c r="Y74" s="624"/>
      <c r="Z74" s="520"/>
      <c r="AA74" s="521"/>
      <c r="AB74" s="521"/>
      <c r="AC74" s="514" t="e">
        <f t="shared" si="61"/>
        <v>#N/A</v>
      </c>
      <c r="AD74" s="624"/>
      <c r="AE74" s="520"/>
      <c r="AF74" s="521"/>
      <c r="AG74" s="521"/>
      <c r="AH74" s="514" t="e">
        <f t="shared" si="63"/>
        <v>#N/A</v>
      </c>
      <c r="AI74" s="624"/>
      <c r="AJ74" s="520"/>
      <c r="AK74" s="521"/>
      <c r="AL74" s="521"/>
      <c r="AM74" s="514" t="e">
        <f t="shared" si="65"/>
        <v>#N/A</v>
      </c>
      <c r="AN74" s="624"/>
      <c r="AO74" s="520"/>
      <c r="AP74" s="521"/>
      <c r="AQ74" s="521"/>
      <c r="AR74" s="514" t="e">
        <f t="shared" si="67"/>
        <v>#N/A</v>
      </c>
      <c r="AS74" s="624"/>
      <c r="AT74" s="520"/>
      <c r="AU74" s="521"/>
      <c r="AV74" s="521"/>
      <c r="AW74" s="514" t="e">
        <f t="shared" si="69"/>
        <v>#N/A</v>
      </c>
      <c r="AX74" s="624"/>
      <c r="AZ74" s="524" t="e">
        <f t="shared" si="71"/>
        <v>#N/A</v>
      </c>
      <c r="BA74" s="624"/>
    </row>
    <row r="75" spans="2:53">
      <c r="B75" s="622"/>
      <c r="C75" s="306">
        <v>9</v>
      </c>
      <c r="D75" s="456"/>
      <c r="E75" s="521"/>
      <c r="F75" s="521"/>
      <c r="G75" s="521"/>
      <c r="H75" s="664"/>
      <c r="I75" s="516" t="str">
        <f t="shared" si="56"/>
        <v>-</v>
      </c>
      <c r="J75" s="516" t="str">
        <f t="shared" si="57"/>
        <v>-</v>
      </c>
      <c r="K75" s="200" t="str">
        <f t="shared" si="58"/>
        <v>-</v>
      </c>
      <c r="L75" s="596"/>
      <c r="M75" s="201" t="e">
        <f>RANK(K75, K$67:$K$81)</f>
        <v>#VALUE!</v>
      </c>
      <c r="N75" s="614"/>
      <c r="O75" s="614"/>
      <c r="P75" s="520"/>
      <c r="Q75" s="521"/>
      <c r="R75" s="521"/>
      <c r="S75" s="514" t="e">
        <f t="shared" si="73"/>
        <v>#N/A</v>
      </c>
      <c r="T75" s="624"/>
      <c r="U75" s="520"/>
      <c r="V75" s="521"/>
      <c r="W75" s="521"/>
      <c r="X75" s="514" t="e">
        <f t="shared" si="59"/>
        <v>#N/A</v>
      </c>
      <c r="Y75" s="624"/>
      <c r="Z75" s="520"/>
      <c r="AA75" s="521"/>
      <c r="AB75" s="521"/>
      <c r="AC75" s="514" t="e">
        <f t="shared" si="61"/>
        <v>#N/A</v>
      </c>
      <c r="AD75" s="624"/>
      <c r="AE75" s="520"/>
      <c r="AF75" s="521"/>
      <c r="AG75" s="521"/>
      <c r="AH75" s="514" t="e">
        <f t="shared" si="63"/>
        <v>#N/A</v>
      </c>
      <c r="AI75" s="624"/>
      <c r="AJ75" s="520"/>
      <c r="AK75" s="521"/>
      <c r="AL75" s="521"/>
      <c r="AM75" s="514" t="e">
        <f t="shared" si="65"/>
        <v>#N/A</v>
      </c>
      <c r="AN75" s="624"/>
      <c r="AO75" s="520"/>
      <c r="AP75" s="521"/>
      <c r="AQ75" s="521"/>
      <c r="AR75" s="514" t="e">
        <f t="shared" si="67"/>
        <v>#N/A</v>
      </c>
      <c r="AS75" s="624"/>
      <c r="AT75" s="520"/>
      <c r="AU75" s="521"/>
      <c r="AV75" s="521"/>
      <c r="AW75" s="514" t="e">
        <f t="shared" si="69"/>
        <v>#N/A</v>
      </c>
      <c r="AX75" s="624"/>
      <c r="AZ75" s="524" t="e">
        <f t="shared" si="71"/>
        <v>#N/A</v>
      </c>
      <c r="BA75" s="624"/>
    </row>
    <row r="76" spans="2:53">
      <c r="B76" s="622"/>
      <c r="C76" s="306">
        <v>10</v>
      </c>
      <c r="D76" s="456"/>
      <c r="E76" s="521"/>
      <c r="F76" s="521"/>
      <c r="G76" s="521"/>
      <c r="H76" s="664"/>
      <c r="I76" s="516" t="str">
        <f t="shared" si="56"/>
        <v>-</v>
      </c>
      <c r="J76" s="516" t="str">
        <f t="shared" si="57"/>
        <v>-</v>
      </c>
      <c r="K76" s="200" t="str">
        <f t="shared" si="58"/>
        <v>-</v>
      </c>
      <c r="L76" s="596"/>
      <c r="M76" s="201" t="e">
        <f>RANK(K76, K$67:$K$81)</f>
        <v>#VALUE!</v>
      </c>
      <c r="N76" s="614"/>
      <c r="O76" s="614"/>
      <c r="P76" s="520"/>
      <c r="Q76" s="521"/>
      <c r="R76" s="521"/>
      <c r="S76" s="514" t="e">
        <f t="shared" si="73"/>
        <v>#N/A</v>
      </c>
      <c r="T76" s="624"/>
      <c r="U76" s="520"/>
      <c r="V76" s="521"/>
      <c r="W76" s="521"/>
      <c r="X76" s="514" t="e">
        <f t="shared" si="59"/>
        <v>#N/A</v>
      </c>
      <c r="Y76" s="624"/>
      <c r="Z76" s="520"/>
      <c r="AA76" s="521"/>
      <c r="AB76" s="521"/>
      <c r="AC76" s="514" t="e">
        <f t="shared" si="61"/>
        <v>#N/A</v>
      </c>
      <c r="AD76" s="624"/>
      <c r="AE76" s="520"/>
      <c r="AF76" s="521"/>
      <c r="AG76" s="521"/>
      <c r="AH76" s="514" t="e">
        <f t="shared" si="63"/>
        <v>#N/A</v>
      </c>
      <c r="AI76" s="624"/>
      <c r="AJ76" s="520"/>
      <c r="AK76" s="521"/>
      <c r="AL76" s="521"/>
      <c r="AM76" s="514" t="e">
        <f t="shared" si="65"/>
        <v>#N/A</v>
      </c>
      <c r="AN76" s="624"/>
      <c r="AO76" s="520"/>
      <c r="AP76" s="521"/>
      <c r="AQ76" s="521"/>
      <c r="AR76" s="514" t="e">
        <f t="shared" si="67"/>
        <v>#N/A</v>
      </c>
      <c r="AS76" s="624"/>
      <c r="AT76" s="520"/>
      <c r="AU76" s="521"/>
      <c r="AV76" s="521"/>
      <c r="AW76" s="514" t="e">
        <f t="shared" si="69"/>
        <v>#N/A</v>
      </c>
      <c r="AX76" s="624"/>
      <c r="AZ76" s="524" t="e">
        <f t="shared" si="71"/>
        <v>#N/A</v>
      </c>
      <c r="BA76" s="624"/>
    </row>
    <row r="77" spans="2:53">
      <c r="B77" s="622"/>
      <c r="C77" s="306">
        <v>11</v>
      </c>
      <c r="D77" s="456"/>
      <c r="E77" s="521"/>
      <c r="F77" s="521"/>
      <c r="G77" s="521"/>
      <c r="H77" s="664"/>
      <c r="I77" s="516" t="str">
        <f t="shared" si="56"/>
        <v>-</v>
      </c>
      <c r="J77" s="516" t="str">
        <f t="shared" si="57"/>
        <v>-</v>
      </c>
      <c r="K77" s="200" t="str">
        <f t="shared" si="58"/>
        <v>-</v>
      </c>
      <c r="L77" s="596"/>
      <c r="M77" s="201" t="e">
        <f>RANK(K77, K$67:$K$81)</f>
        <v>#VALUE!</v>
      </c>
      <c r="N77" s="614"/>
      <c r="O77" s="614"/>
      <c r="P77" s="520"/>
      <c r="Q77" s="521"/>
      <c r="R77" s="521"/>
      <c r="S77" s="514" t="e">
        <f t="shared" si="73"/>
        <v>#N/A</v>
      </c>
      <c r="T77" s="624"/>
      <c r="U77" s="520"/>
      <c r="V77" s="521"/>
      <c r="W77" s="521"/>
      <c r="X77" s="514" t="e">
        <f t="shared" si="59"/>
        <v>#N/A</v>
      </c>
      <c r="Y77" s="624"/>
      <c r="Z77" s="520"/>
      <c r="AA77" s="521"/>
      <c r="AB77" s="521"/>
      <c r="AC77" s="514" t="e">
        <f t="shared" si="61"/>
        <v>#N/A</v>
      </c>
      <c r="AD77" s="624"/>
      <c r="AE77" s="520"/>
      <c r="AF77" s="521"/>
      <c r="AG77" s="521"/>
      <c r="AH77" s="514" t="e">
        <f t="shared" si="63"/>
        <v>#N/A</v>
      </c>
      <c r="AI77" s="624"/>
      <c r="AJ77" s="520"/>
      <c r="AK77" s="521"/>
      <c r="AL77" s="521"/>
      <c r="AM77" s="514" t="e">
        <f t="shared" si="65"/>
        <v>#N/A</v>
      </c>
      <c r="AN77" s="624"/>
      <c r="AO77" s="520"/>
      <c r="AP77" s="521"/>
      <c r="AQ77" s="521"/>
      <c r="AR77" s="514" t="e">
        <f t="shared" si="67"/>
        <v>#N/A</v>
      </c>
      <c r="AS77" s="624"/>
      <c r="AT77" s="520"/>
      <c r="AU77" s="521"/>
      <c r="AV77" s="521"/>
      <c r="AW77" s="514" t="e">
        <f t="shared" si="69"/>
        <v>#N/A</v>
      </c>
      <c r="AX77" s="624"/>
      <c r="AZ77" s="524" t="e">
        <f t="shared" si="71"/>
        <v>#N/A</v>
      </c>
      <c r="BA77" s="624"/>
    </row>
    <row r="78" spans="2:53">
      <c r="B78" s="622"/>
      <c r="C78" s="306">
        <v>12</v>
      </c>
      <c r="D78" s="456"/>
      <c r="E78" s="521"/>
      <c r="F78" s="521"/>
      <c r="G78" s="521"/>
      <c r="H78" s="664"/>
      <c r="I78" s="516" t="str">
        <f t="shared" si="56"/>
        <v>-</v>
      </c>
      <c r="J78" s="516" t="str">
        <f t="shared" si="57"/>
        <v>-</v>
      </c>
      <c r="K78" s="200" t="str">
        <f t="shared" si="58"/>
        <v>-</v>
      </c>
      <c r="L78" s="596"/>
      <c r="M78" s="201" t="e">
        <f>RANK(K78, K$67:$K$81)</f>
        <v>#VALUE!</v>
      </c>
      <c r="N78" s="614"/>
      <c r="O78" s="614"/>
      <c r="P78" s="520"/>
      <c r="Q78" s="521"/>
      <c r="R78" s="521"/>
      <c r="S78" s="514" t="e">
        <f t="shared" si="73"/>
        <v>#N/A</v>
      </c>
      <c r="T78" s="624"/>
      <c r="U78" s="520"/>
      <c r="V78" s="521"/>
      <c r="W78" s="521"/>
      <c r="X78" s="514" t="e">
        <f t="shared" si="59"/>
        <v>#N/A</v>
      </c>
      <c r="Y78" s="624"/>
      <c r="Z78" s="520"/>
      <c r="AA78" s="521"/>
      <c r="AB78" s="521"/>
      <c r="AC78" s="514" t="e">
        <f t="shared" si="61"/>
        <v>#N/A</v>
      </c>
      <c r="AD78" s="624"/>
      <c r="AE78" s="520"/>
      <c r="AF78" s="521"/>
      <c r="AG78" s="521"/>
      <c r="AH78" s="514" t="e">
        <f t="shared" si="63"/>
        <v>#N/A</v>
      </c>
      <c r="AI78" s="624"/>
      <c r="AJ78" s="520"/>
      <c r="AK78" s="521"/>
      <c r="AL78" s="521"/>
      <c r="AM78" s="514" t="e">
        <f t="shared" si="65"/>
        <v>#N/A</v>
      </c>
      <c r="AN78" s="624"/>
      <c r="AO78" s="520"/>
      <c r="AP78" s="521"/>
      <c r="AQ78" s="521"/>
      <c r="AR78" s="514" t="e">
        <f t="shared" si="67"/>
        <v>#N/A</v>
      </c>
      <c r="AS78" s="624"/>
      <c r="AT78" s="520"/>
      <c r="AU78" s="521"/>
      <c r="AV78" s="521"/>
      <c r="AW78" s="514" t="e">
        <f t="shared" si="69"/>
        <v>#N/A</v>
      </c>
      <c r="AX78" s="624"/>
      <c r="AZ78" s="524" t="e">
        <f t="shared" si="71"/>
        <v>#N/A</v>
      </c>
      <c r="BA78" s="624"/>
    </row>
    <row r="79" spans="2:53">
      <c r="B79" s="622"/>
      <c r="C79" s="306">
        <v>13</v>
      </c>
      <c r="D79" s="456"/>
      <c r="E79" s="521"/>
      <c r="F79" s="521"/>
      <c r="G79" s="521"/>
      <c r="H79" s="664"/>
      <c r="I79" s="516" t="str">
        <f t="shared" si="56"/>
        <v>-</v>
      </c>
      <c r="J79" s="516" t="str">
        <f t="shared" si="57"/>
        <v>-</v>
      </c>
      <c r="K79" s="200" t="str">
        <f t="shared" si="58"/>
        <v>-</v>
      </c>
      <c r="L79" s="596"/>
      <c r="M79" s="201" t="e">
        <f>RANK(K79, K$67:$K$81)</f>
        <v>#VALUE!</v>
      </c>
      <c r="N79" s="614"/>
      <c r="O79" s="614"/>
      <c r="P79" s="520"/>
      <c r="Q79" s="521"/>
      <c r="R79" s="521"/>
      <c r="S79" s="514" t="e">
        <f t="shared" si="73"/>
        <v>#N/A</v>
      </c>
      <c r="T79" s="624"/>
      <c r="U79" s="520"/>
      <c r="V79" s="521"/>
      <c r="W79" s="521"/>
      <c r="X79" s="514" t="e">
        <f t="shared" si="59"/>
        <v>#N/A</v>
      </c>
      <c r="Y79" s="624"/>
      <c r="Z79" s="520"/>
      <c r="AA79" s="521"/>
      <c r="AB79" s="521"/>
      <c r="AC79" s="514" t="e">
        <f t="shared" si="61"/>
        <v>#N/A</v>
      </c>
      <c r="AD79" s="624"/>
      <c r="AE79" s="520"/>
      <c r="AF79" s="521"/>
      <c r="AG79" s="521"/>
      <c r="AH79" s="514" t="e">
        <f t="shared" si="63"/>
        <v>#N/A</v>
      </c>
      <c r="AI79" s="624"/>
      <c r="AJ79" s="520"/>
      <c r="AK79" s="521"/>
      <c r="AL79" s="521"/>
      <c r="AM79" s="514" t="e">
        <f t="shared" si="65"/>
        <v>#N/A</v>
      </c>
      <c r="AN79" s="624"/>
      <c r="AO79" s="520"/>
      <c r="AP79" s="521"/>
      <c r="AQ79" s="521"/>
      <c r="AR79" s="514" t="e">
        <f t="shared" si="67"/>
        <v>#N/A</v>
      </c>
      <c r="AS79" s="624"/>
      <c r="AT79" s="520"/>
      <c r="AU79" s="521"/>
      <c r="AV79" s="521"/>
      <c r="AW79" s="514" t="e">
        <f t="shared" si="69"/>
        <v>#N/A</v>
      </c>
      <c r="AX79" s="624"/>
      <c r="AZ79" s="524" t="e">
        <f t="shared" si="71"/>
        <v>#N/A</v>
      </c>
      <c r="BA79" s="624"/>
    </row>
    <row r="80" spans="2:53">
      <c r="B80" s="622"/>
      <c r="C80" s="306">
        <v>14</v>
      </c>
      <c r="D80" s="456"/>
      <c r="E80" s="521"/>
      <c r="F80" s="521"/>
      <c r="G80" s="521"/>
      <c r="H80" s="664"/>
      <c r="I80" s="516" t="str">
        <f t="shared" si="56"/>
        <v>-</v>
      </c>
      <c r="J80" s="516" t="str">
        <f t="shared" si="57"/>
        <v>-</v>
      </c>
      <c r="K80" s="200" t="str">
        <f t="shared" si="58"/>
        <v>-</v>
      </c>
      <c r="L80" s="596"/>
      <c r="M80" s="201" t="e">
        <f>RANK(K80, K$67:$K$81)</f>
        <v>#VALUE!</v>
      </c>
      <c r="N80" s="614"/>
      <c r="O80" s="614"/>
      <c r="P80" s="520"/>
      <c r="Q80" s="521"/>
      <c r="R80" s="521"/>
      <c r="S80" s="514" t="e">
        <f t="shared" si="73"/>
        <v>#N/A</v>
      </c>
      <c r="T80" s="624"/>
      <c r="U80" s="520"/>
      <c r="V80" s="521"/>
      <c r="W80" s="521"/>
      <c r="X80" s="514" t="e">
        <f t="shared" si="59"/>
        <v>#N/A</v>
      </c>
      <c r="Y80" s="624"/>
      <c r="Z80" s="520"/>
      <c r="AA80" s="521"/>
      <c r="AB80" s="521"/>
      <c r="AC80" s="514" t="e">
        <f t="shared" si="61"/>
        <v>#N/A</v>
      </c>
      <c r="AD80" s="624"/>
      <c r="AE80" s="520"/>
      <c r="AF80" s="521"/>
      <c r="AG80" s="521"/>
      <c r="AH80" s="514" t="e">
        <f t="shared" si="63"/>
        <v>#N/A</v>
      </c>
      <c r="AI80" s="624"/>
      <c r="AJ80" s="520"/>
      <c r="AK80" s="521"/>
      <c r="AL80" s="521"/>
      <c r="AM80" s="514" t="e">
        <f t="shared" si="65"/>
        <v>#N/A</v>
      </c>
      <c r="AN80" s="624"/>
      <c r="AO80" s="520"/>
      <c r="AP80" s="521"/>
      <c r="AQ80" s="521"/>
      <c r="AR80" s="514" t="e">
        <f t="shared" si="67"/>
        <v>#N/A</v>
      </c>
      <c r="AS80" s="624"/>
      <c r="AT80" s="520"/>
      <c r="AU80" s="521"/>
      <c r="AV80" s="521"/>
      <c r="AW80" s="514" t="e">
        <f t="shared" si="69"/>
        <v>#N/A</v>
      </c>
      <c r="AX80" s="624"/>
      <c r="AZ80" s="524" t="e">
        <f t="shared" si="71"/>
        <v>#N/A</v>
      </c>
      <c r="BA80" s="624"/>
    </row>
    <row r="81" spans="2:53">
      <c r="B81" s="622"/>
      <c r="C81" s="306">
        <v>15</v>
      </c>
      <c r="D81" s="456"/>
      <c r="E81" s="521"/>
      <c r="F81" s="521"/>
      <c r="G81" s="521"/>
      <c r="H81" s="665"/>
      <c r="I81" s="520"/>
      <c r="J81" s="520"/>
      <c r="K81" s="520"/>
      <c r="L81" s="597"/>
      <c r="M81" s="201" t="e">
        <f>RANK(K81, K$67:$K$81)</f>
        <v>#N/A</v>
      </c>
      <c r="N81" s="614"/>
      <c r="O81" s="614"/>
      <c r="P81" s="520"/>
      <c r="Q81" s="521"/>
      <c r="R81" s="521"/>
      <c r="S81" s="514" t="e">
        <f t="shared" si="73"/>
        <v>#N/A</v>
      </c>
      <c r="T81" s="625"/>
      <c r="U81" s="520"/>
      <c r="V81" s="521"/>
      <c r="W81" s="521"/>
      <c r="X81" s="514" t="e">
        <f t="shared" si="59"/>
        <v>#N/A</v>
      </c>
      <c r="Y81" s="625"/>
      <c r="Z81" s="520"/>
      <c r="AA81" s="521"/>
      <c r="AB81" s="521"/>
      <c r="AC81" s="514" t="e">
        <f t="shared" si="61"/>
        <v>#N/A</v>
      </c>
      <c r="AD81" s="625"/>
      <c r="AE81" s="520"/>
      <c r="AF81" s="521"/>
      <c r="AG81" s="521"/>
      <c r="AH81" s="514" t="e">
        <f t="shared" si="63"/>
        <v>#N/A</v>
      </c>
      <c r="AI81" s="625"/>
      <c r="AJ81" s="520"/>
      <c r="AK81" s="521"/>
      <c r="AL81" s="521"/>
      <c r="AM81" s="514" t="e">
        <f t="shared" si="65"/>
        <v>#N/A</v>
      </c>
      <c r="AN81" s="625"/>
      <c r="AO81" s="520"/>
      <c r="AP81" s="521"/>
      <c r="AQ81" s="521"/>
      <c r="AR81" s="514" t="e">
        <f t="shared" si="67"/>
        <v>#N/A</v>
      </c>
      <c r="AS81" s="625"/>
      <c r="AT81" s="520"/>
      <c r="AU81" s="521"/>
      <c r="AV81" s="521"/>
      <c r="AW81" s="514" t="e">
        <f t="shared" si="69"/>
        <v>#N/A</v>
      </c>
      <c r="AX81" s="625"/>
      <c r="AZ81" s="524" t="e">
        <f t="shared" si="71"/>
        <v>#N/A</v>
      </c>
      <c r="BA81" s="625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442</v>
      </c>
      <c r="C84" s="614" t="s">
        <v>443</v>
      </c>
      <c r="D84" s="614"/>
      <c r="E84" s="614" t="s">
        <v>444</v>
      </c>
      <c r="F84" s="614"/>
      <c r="G84" s="614"/>
      <c r="H84" s="630" t="s">
        <v>445</v>
      </c>
      <c r="I84" s="598" t="s">
        <v>446</v>
      </c>
      <c r="J84" s="598"/>
      <c r="K84" s="598"/>
      <c r="L84" s="599" t="s">
        <v>395</v>
      </c>
      <c r="M84" s="605" t="s">
        <v>447</v>
      </c>
      <c r="N84" s="614"/>
      <c r="O84" s="614" t="s">
        <v>448</v>
      </c>
      <c r="P84" s="611" t="s">
        <v>449</v>
      </c>
      <c r="Q84" s="612"/>
      <c r="R84" s="612"/>
      <c r="S84" s="613"/>
      <c r="T84" s="614" t="s">
        <v>445</v>
      </c>
      <c r="U84" s="611" t="s">
        <v>449</v>
      </c>
      <c r="V84" s="612"/>
      <c r="W84" s="612"/>
      <c r="X84" s="613"/>
      <c r="Y84" s="614" t="s">
        <v>445</v>
      </c>
      <c r="Z84" s="611" t="s">
        <v>449</v>
      </c>
      <c r="AA84" s="612"/>
      <c r="AB84" s="612"/>
      <c r="AC84" s="613"/>
      <c r="AD84" s="614" t="s">
        <v>445</v>
      </c>
      <c r="AE84" s="611" t="s">
        <v>449</v>
      </c>
      <c r="AF84" s="612"/>
      <c r="AG84" s="612"/>
      <c r="AH84" s="613"/>
      <c r="AI84" s="614" t="s">
        <v>445</v>
      </c>
      <c r="AJ84" s="611" t="s">
        <v>449</v>
      </c>
      <c r="AK84" s="612"/>
      <c r="AL84" s="612"/>
      <c r="AM84" s="613"/>
      <c r="AN84" s="614" t="s">
        <v>445</v>
      </c>
      <c r="AO84" s="611" t="s">
        <v>449</v>
      </c>
      <c r="AP84" s="612"/>
      <c r="AQ84" s="612"/>
      <c r="AR84" s="613"/>
      <c r="AS84" s="614" t="s">
        <v>445</v>
      </c>
      <c r="AT84" s="611" t="s">
        <v>449</v>
      </c>
      <c r="AU84" s="612"/>
      <c r="AV84" s="612"/>
      <c r="AW84" s="613"/>
      <c r="AX84" s="614" t="s">
        <v>445</v>
      </c>
      <c r="BA84" s="614" t="s">
        <v>395</v>
      </c>
    </row>
    <row r="85" spans="2:53">
      <c r="B85" s="614"/>
      <c r="C85" s="614"/>
      <c r="D85" s="614"/>
      <c r="E85" s="614" t="s">
        <v>450</v>
      </c>
      <c r="F85" s="614"/>
      <c r="G85" s="614"/>
      <c r="H85" s="631"/>
      <c r="I85" s="598" t="s">
        <v>450</v>
      </c>
      <c r="J85" s="598"/>
      <c r="K85" s="598"/>
      <c r="L85" s="600"/>
      <c r="M85" s="606"/>
      <c r="N85" s="614"/>
      <c r="O85" s="614"/>
      <c r="P85" s="611" t="s">
        <v>451</v>
      </c>
      <c r="Q85" s="612"/>
      <c r="R85" s="612"/>
      <c r="S85" s="613"/>
      <c r="T85" s="614"/>
      <c r="U85" s="611" t="s">
        <v>451</v>
      </c>
      <c r="V85" s="612"/>
      <c r="W85" s="612"/>
      <c r="X85" s="613"/>
      <c r="Y85" s="614"/>
      <c r="Z85" s="611" t="s">
        <v>451</v>
      </c>
      <c r="AA85" s="612"/>
      <c r="AB85" s="612"/>
      <c r="AC85" s="613"/>
      <c r="AD85" s="614"/>
      <c r="AE85" s="611" t="s">
        <v>451</v>
      </c>
      <c r="AF85" s="612"/>
      <c r="AG85" s="612"/>
      <c r="AH85" s="613"/>
      <c r="AI85" s="614"/>
      <c r="AJ85" s="611" t="s">
        <v>451</v>
      </c>
      <c r="AK85" s="612"/>
      <c r="AL85" s="612"/>
      <c r="AM85" s="613"/>
      <c r="AN85" s="614"/>
      <c r="AO85" s="611" t="s">
        <v>451</v>
      </c>
      <c r="AP85" s="612"/>
      <c r="AQ85" s="612"/>
      <c r="AR85" s="613"/>
      <c r="AS85" s="614"/>
      <c r="AT85" s="611" t="s">
        <v>451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302" t="s">
        <v>452</v>
      </c>
      <c r="F86" s="302" t="s">
        <v>453</v>
      </c>
      <c r="G86" s="302" t="s">
        <v>454</v>
      </c>
      <c r="H86" s="632"/>
      <c r="I86" s="303" t="s">
        <v>452</v>
      </c>
      <c r="J86" s="303" t="s">
        <v>453</v>
      </c>
      <c r="K86" s="303" t="s">
        <v>454</v>
      </c>
      <c r="L86" s="601"/>
      <c r="M86" s="607"/>
      <c r="N86" s="614"/>
      <c r="O86" s="614"/>
      <c r="P86" s="302" t="s">
        <v>452</v>
      </c>
      <c r="Q86" s="302" t="s">
        <v>453</v>
      </c>
      <c r="R86" s="302" t="s">
        <v>454</v>
      </c>
      <c r="S86" s="302" t="s">
        <v>447</v>
      </c>
      <c r="T86" s="614"/>
      <c r="U86" s="302" t="s">
        <v>452</v>
      </c>
      <c r="V86" s="302" t="s">
        <v>453</v>
      </c>
      <c r="W86" s="302" t="s">
        <v>454</v>
      </c>
      <c r="X86" s="302" t="s">
        <v>447</v>
      </c>
      <c r="Y86" s="614"/>
      <c r="Z86" s="302" t="s">
        <v>452</v>
      </c>
      <c r="AA86" s="302" t="s">
        <v>453</v>
      </c>
      <c r="AB86" s="302" t="s">
        <v>454</v>
      </c>
      <c r="AC86" s="302" t="s">
        <v>447</v>
      </c>
      <c r="AD86" s="614"/>
      <c r="AE86" s="302" t="s">
        <v>452</v>
      </c>
      <c r="AF86" s="302" t="s">
        <v>453</v>
      </c>
      <c r="AG86" s="302" t="s">
        <v>454</v>
      </c>
      <c r="AH86" s="302" t="s">
        <v>447</v>
      </c>
      <c r="AI86" s="614"/>
      <c r="AJ86" s="302" t="s">
        <v>452</v>
      </c>
      <c r="AK86" s="302" t="s">
        <v>453</v>
      </c>
      <c r="AL86" s="302" t="s">
        <v>454</v>
      </c>
      <c r="AM86" s="302" t="s">
        <v>447</v>
      </c>
      <c r="AN86" s="614"/>
      <c r="AO86" s="302" t="s">
        <v>452</v>
      </c>
      <c r="AP86" s="302" t="s">
        <v>453</v>
      </c>
      <c r="AQ86" s="302" t="s">
        <v>454</v>
      </c>
      <c r="AR86" s="302" t="s">
        <v>447</v>
      </c>
      <c r="AS86" s="614"/>
      <c r="AT86" s="302" t="s">
        <v>452</v>
      </c>
      <c r="AU86" s="302" t="s">
        <v>453</v>
      </c>
      <c r="AV86" s="302" t="s">
        <v>454</v>
      </c>
      <c r="AW86" s="302" t="s">
        <v>447</v>
      </c>
      <c r="AX86" s="614"/>
      <c r="AZ86" s="523" t="s">
        <v>396</v>
      </c>
      <c r="BA86" s="614"/>
    </row>
    <row r="87" spans="2:53">
      <c r="B87" s="614" t="s">
        <v>459</v>
      </c>
      <c r="C87" s="301">
        <v>1</v>
      </c>
      <c r="D87" s="226"/>
      <c r="E87" s="182"/>
      <c r="F87" s="490"/>
      <c r="G87" s="491"/>
      <c r="H87" s="663" t="e">
        <f>AVERAGE(G87:G101)</f>
        <v>#DIV/0!</v>
      </c>
      <c r="I87" s="516" t="str">
        <f t="shared" ref="I87:I100" si="74">IFERROR(AVERAGE(P87,U87,Z87,AE87,AJ87,AO87,AT87),"-")</f>
        <v>-</v>
      </c>
      <c r="J87" s="516" t="str">
        <f t="shared" ref="J87:J100" si="75">IFERROR(AVERAGE(Q87,V87,AA87,AF87,AK87,AP87,AU87),"-")</f>
        <v>-</v>
      </c>
      <c r="K87" s="200" t="str">
        <f t="shared" ref="K87:K100" si="76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509"/>
      <c r="Q87" s="510"/>
      <c r="R87" s="510"/>
      <c r="S87" s="301" t="e">
        <f>RANK(R87, R$87:R$101)</f>
        <v>#N/A</v>
      </c>
      <c r="T87" s="663" t="e">
        <f>AVERAGE(R87:R101)</f>
        <v>#DIV/0!</v>
      </c>
      <c r="U87" s="509"/>
      <c r="V87" s="510"/>
      <c r="W87" s="510"/>
      <c r="X87" s="442" t="e">
        <f t="shared" ref="X87:X101" si="77">RANK(W87, W$87:W$101)</f>
        <v>#N/A</v>
      </c>
      <c r="Y87" s="663" t="e">
        <f t="shared" ref="Y87" si="78">AVERAGE(W87:W101)</f>
        <v>#DIV/0!</v>
      </c>
      <c r="Z87" s="509"/>
      <c r="AA87" s="510"/>
      <c r="AB87" s="510"/>
      <c r="AC87" s="442" t="e">
        <f t="shared" ref="AC87:AC101" si="79">RANK(AB87, AB$87:AB$101)</f>
        <v>#N/A</v>
      </c>
      <c r="AD87" s="663" t="e">
        <f t="shared" ref="AD87" si="80">AVERAGE(AB87:AB101)</f>
        <v>#DIV/0!</v>
      </c>
      <c r="AE87" s="509"/>
      <c r="AF87" s="510"/>
      <c r="AG87" s="510"/>
      <c r="AH87" s="442" t="e">
        <f t="shared" ref="AH87:AH101" si="81">RANK(AG87, AG$87:AG$101)</f>
        <v>#N/A</v>
      </c>
      <c r="AI87" s="663" t="e">
        <f t="shared" ref="AI87" si="82">AVERAGE(AG87:AG101)</f>
        <v>#DIV/0!</v>
      </c>
      <c r="AJ87" s="509"/>
      <c r="AK87" s="510"/>
      <c r="AL87" s="510"/>
      <c r="AM87" s="442" t="e">
        <f t="shared" ref="AM87:AM101" si="83">RANK(AL87, AL$87:AL$101)</f>
        <v>#N/A</v>
      </c>
      <c r="AN87" s="663" t="e">
        <f t="shared" ref="AN87" si="84">AVERAGE(AL87:AL101)</f>
        <v>#DIV/0!</v>
      </c>
      <c r="AO87" s="509"/>
      <c r="AP87" s="510"/>
      <c r="AQ87" s="510"/>
      <c r="AR87" s="442" t="e">
        <f t="shared" ref="AR87:AR101" si="85">RANK(AQ87, AQ$87:AQ$101)</f>
        <v>#N/A</v>
      </c>
      <c r="AS87" s="663" t="e">
        <f t="shared" ref="AS87" si="86">AVERAGE(AQ87:AQ101)</f>
        <v>#DIV/0!</v>
      </c>
      <c r="AT87" s="509"/>
      <c r="AU87" s="510"/>
      <c r="AV87" s="510"/>
      <c r="AW87" s="442" t="e">
        <f t="shared" ref="AW87:AW101" si="87">RANK(AV87, AV$87:AV$101)</f>
        <v>#N/A</v>
      </c>
      <c r="AX87" s="636" t="e">
        <f t="shared" ref="AX87" si="88">AVERAGE(AV87:AV101)</f>
        <v>#DIV/0!</v>
      </c>
      <c r="AZ87" s="524" t="e">
        <f t="shared" ref="AZ87:AZ101" si="89">RANK(AY87, AY$87:AY$101)</f>
        <v>#N/A</v>
      </c>
      <c r="BA87" s="636" t="e">
        <f t="shared" ref="BA87" si="90">AVERAGE(AY87:AY101)</f>
        <v>#DIV/0!</v>
      </c>
    </row>
    <row r="88" spans="2:53">
      <c r="B88" s="622"/>
      <c r="C88" s="301">
        <v>2</v>
      </c>
      <c r="D88" s="226"/>
      <c r="E88" s="182"/>
      <c r="F88" s="490"/>
      <c r="G88" s="491"/>
      <c r="H88" s="664"/>
      <c r="I88" s="516" t="str">
        <f t="shared" si="74"/>
        <v>-</v>
      </c>
      <c r="J88" s="516" t="str">
        <f t="shared" si="75"/>
        <v>-</v>
      </c>
      <c r="K88" s="200" t="str">
        <f t="shared" si="76"/>
        <v>-</v>
      </c>
      <c r="L88" s="596"/>
      <c r="M88" s="201" t="e">
        <f>RANK(K88, K$87:$K$101)</f>
        <v>#VALUE!</v>
      </c>
      <c r="N88" s="614"/>
      <c r="O88" s="614"/>
      <c r="P88" s="509"/>
      <c r="Q88" s="510"/>
      <c r="R88" s="510"/>
      <c r="S88" s="301" t="e">
        <f t="shared" ref="S88:S101" si="91">RANK(R88, R$87:R$101)</f>
        <v>#N/A</v>
      </c>
      <c r="T88" s="664"/>
      <c r="U88" s="509"/>
      <c r="V88" s="510"/>
      <c r="W88" s="510"/>
      <c r="X88" s="442" t="e">
        <f t="shared" si="77"/>
        <v>#N/A</v>
      </c>
      <c r="Y88" s="664"/>
      <c r="Z88" s="509"/>
      <c r="AA88" s="510"/>
      <c r="AB88" s="510"/>
      <c r="AC88" s="442" t="e">
        <f t="shared" si="79"/>
        <v>#N/A</v>
      </c>
      <c r="AD88" s="664"/>
      <c r="AE88" s="509"/>
      <c r="AF88" s="510"/>
      <c r="AG88" s="510"/>
      <c r="AH88" s="442" t="e">
        <f t="shared" si="81"/>
        <v>#N/A</v>
      </c>
      <c r="AI88" s="664"/>
      <c r="AJ88" s="509"/>
      <c r="AK88" s="510"/>
      <c r="AL88" s="510"/>
      <c r="AM88" s="442" t="e">
        <f t="shared" si="83"/>
        <v>#N/A</v>
      </c>
      <c r="AN88" s="664"/>
      <c r="AO88" s="509"/>
      <c r="AP88" s="510"/>
      <c r="AQ88" s="510"/>
      <c r="AR88" s="442" t="e">
        <f t="shared" si="85"/>
        <v>#N/A</v>
      </c>
      <c r="AS88" s="664"/>
      <c r="AT88" s="509"/>
      <c r="AU88" s="510"/>
      <c r="AV88" s="510"/>
      <c r="AW88" s="442" t="e">
        <f t="shared" si="87"/>
        <v>#N/A</v>
      </c>
      <c r="AX88" s="636"/>
      <c r="AZ88" s="524" t="e">
        <f t="shared" si="89"/>
        <v>#N/A</v>
      </c>
      <c r="BA88" s="636"/>
    </row>
    <row r="89" spans="2:53">
      <c r="B89" s="622"/>
      <c r="C89" s="301">
        <v>3</v>
      </c>
      <c r="D89" s="226"/>
      <c r="E89" s="182"/>
      <c r="F89" s="490"/>
      <c r="G89" s="491"/>
      <c r="H89" s="664"/>
      <c r="I89" s="516" t="str">
        <f t="shared" si="74"/>
        <v>-</v>
      </c>
      <c r="J89" s="516" t="str">
        <f t="shared" si="75"/>
        <v>-</v>
      </c>
      <c r="K89" s="200" t="str">
        <f t="shared" si="76"/>
        <v>-</v>
      </c>
      <c r="L89" s="596"/>
      <c r="M89" s="201" t="e">
        <f>RANK(K89, K$87:$K$101)</f>
        <v>#VALUE!</v>
      </c>
      <c r="N89" s="614"/>
      <c r="O89" s="614"/>
      <c r="P89" s="509"/>
      <c r="Q89" s="510"/>
      <c r="R89" s="510"/>
      <c r="S89" s="301" t="e">
        <f t="shared" si="91"/>
        <v>#N/A</v>
      </c>
      <c r="T89" s="664"/>
      <c r="U89" s="509"/>
      <c r="V89" s="510"/>
      <c r="W89" s="510"/>
      <c r="X89" s="442" t="e">
        <f t="shared" si="77"/>
        <v>#N/A</v>
      </c>
      <c r="Y89" s="664"/>
      <c r="Z89" s="509"/>
      <c r="AA89" s="510"/>
      <c r="AB89" s="510"/>
      <c r="AC89" s="442" t="e">
        <f t="shared" si="79"/>
        <v>#N/A</v>
      </c>
      <c r="AD89" s="664"/>
      <c r="AE89" s="509"/>
      <c r="AF89" s="510"/>
      <c r="AG89" s="510"/>
      <c r="AH89" s="442" t="e">
        <f t="shared" si="81"/>
        <v>#N/A</v>
      </c>
      <c r="AI89" s="664"/>
      <c r="AJ89" s="509"/>
      <c r="AK89" s="510"/>
      <c r="AL89" s="510"/>
      <c r="AM89" s="442" t="e">
        <f t="shared" si="83"/>
        <v>#N/A</v>
      </c>
      <c r="AN89" s="664"/>
      <c r="AO89" s="509"/>
      <c r="AP89" s="510"/>
      <c r="AQ89" s="510"/>
      <c r="AR89" s="442" t="e">
        <f t="shared" si="85"/>
        <v>#N/A</v>
      </c>
      <c r="AS89" s="664"/>
      <c r="AT89" s="509"/>
      <c r="AU89" s="510"/>
      <c r="AV89" s="510"/>
      <c r="AW89" s="442" t="e">
        <f t="shared" si="87"/>
        <v>#N/A</v>
      </c>
      <c r="AX89" s="636"/>
      <c r="AZ89" s="524" t="e">
        <f t="shared" si="89"/>
        <v>#N/A</v>
      </c>
      <c r="BA89" s="636"/>
    </row>
    <row r="90" spans="2:53">
      <c r="B90" s="622"/>
      <c r="C90" s="301">
        <v>4</v>
      </c>
      <c r="D90" s="226"/>
      <c r="E90" s="182"/>
      <c r="F90" s="490"/>
      <c r="G90" s="491"/>
      <c r="H90" s="664"/>
      <c r="I90" s="516" t="str">
        <f t="shared" si="74"/>
        <v>-</v>
      </c>
      <c r="J90" s="516" t="str">
        <f t="shared" si="75"/>
        <v>-</v>
      </c>
      <c r="K90" s="200" t="str">
        <f t="shared" si="76"/>
        <v>-</v>
      </c>
      <c r="L90" s="596"/>
      <c r="M90" s="201" t="e">
        <f>RANK(K90, K$87:$K$101)</f>
        <v>#VALUE!</v>
      </c>
      <c r="N90" s="614"/>
      <c r="O90" s="614"/>
      <c r="P90" s="509"/>
      <c r="Q90" s="510"/>
      <c r="R90" s="510"/>
      <c r="S90" s="301" t="e">
        <f t="shared" si="91"/>
        <v>#N/A</v>
      </c>
      <c r="T90" s="664"/>
      <c r="U90" s="509"/>
      <c r="V90" s="510"/>
      <c r="W90" s="510"/>
      <c r="X90" s="442" t="e">
        <f t="shared" si="77"/>
        <v>#N/A</v>
      </c>
      <c r="Y90" s="664"/>
      <c r="Z90" s="509"/>
      <c r="AA90" s="510"/>
      <c r="AB90" s="510"/>
      <c r="AC90" s="442" t="e">
        <f t="shared" si="79"/>
        <v>#N/A</v>
      </c>
      <c r="AD90" s="664"/>
      <c r="AE90" s="509"/>
      <c r="AF90" s="510"/>
      <c r="AG90" s="510"/>
      <c r="AH90" s="442" t="e">
        <f t="shared" si="81"/>
        <v>#N/A</v>
      </c>
      <c r="AI90" s="664"/>
      <c r="AJ90" s="509"/>
      <c r="AK90" s="510"/>
      <c r="AL90" s="510"/>
      <c r="AM90" s="442" t="e">
        <f t="shared" si="83"/>
        <v>#N/A</v>
      </c>
      <c r="AN90" s="664"/>
      <c r="AO90" s="509"/>
      <c r="AP90" s="510"/>
      <c r="AQ90" s="510"/>
      <c r="AR90" s="442" t="e">
        <f t="shared" si="85"/>
        <v>#N/A</v>
      </c>
      <c r="AS90" s="664"/>
      <c r="AT90" s="509"/>
      <c r="AU90" s="510"/>
      <c r="AV90" s="510"/>
      <c r="AW90" s="442" t="e">
        <f t="shared" si="87"/>
        <v>#N/A</v>
      </c>
      <c r="AX90" s="636"/>
      <c r="AZ90" s="524" t="e">
        <f t="shared" si="89"/>
        <v>#N/A</v>
      </c>
      <c r="BA90" s="636"/>
    </row>
    <row r="91" spans="2:53">
      <c r="B91" s="622"/>
      <c r="C91" s="301">
        <v>5</v>
      </c>
      <c r="D91" s="226"/>
      <c r="E91" s="182"/>
      <c r="F91" s="490"/>
      <c r="G91" s="491"/>
      <c r="H91" s="664"/>
      <c r="I91" s="516" t="str">
        <f t="shared" si="74"/>
        <v>-</v>
      </c>
      <c r="J91" s="516" t="str">
        <f t="shared" si="75"/>
        <v>-</v>
      </c>
      <c r="K91" s="200" t="str">
        <f t="shared" si="76"/>
        <v>-</v>
      </c>
      <c r="L91" s="596"/>
      <c r="M91" s="201" t="e">
        <f>RANK(K91, K$87:$K$101)</f>
        <v>#VALUE!</v>
      </c>
      <c r="N91" s="614"/>
      <c r="O91" s="614"/>
      <c r="P91" s="509"/>
      <c r="Q91" s="510"/>
      <c r="R91" s="510"/>
      <c r="S91" s="301" t="e">
        <f t="shared" si="91"/>
        <v>#N/A</v>
      </c>
      <c r="T91" s="664"/>
      <c r="U91" s="509"/>
      <c r="V91" s="510"/>
      <c r="W91" s="510"/>
      <c r="X91" s="442" t="e">
        <f t="shared" si="77"/>
        <v>#N/A</v>
      </c>
      <c r="Y91" s="664"/>
      <c r="Z91" s="509"/>
      <c r="AA91" s="510"/>
      <c r="AB91" s="510"/>
      <c r="AC91" s="442" t="e">
        <f t="shared" si="79"/>
        <v>#N/A</v>
      </c>
      <c r="AD91" s="664"/>
      <c r="AE91" s="509"/>
      <c r="AF91" s="510"/>
      <c r="AG91" s="510"/>
      <c r="AH91" s="442" t="e">
        <f t="shared" si="81"/>
        <v>#N/A</v>
      </c>
      <c r="AI91" s="664"/>
      <c r="AJ91" s="509"/>
      <c r="AK91" s="510"/>
      <c r="AL91" s="510"/>
      <c r="AM91" s="442" t="e">
        <f t="shared" si="83"/>
        <v>#N/A</v>
      </c>
      <c r="AN91" s="664"/>
      <c r="AO91" s="509"/>
      <c r="AP91" s="510"/>
      <c r="AQ91" s="510"/>
      <c r="AR91" s="442" t="e">
        <f t="shared" si="85"/>
        <v>#N/A</v>
      </c>
      <c r="AS91" s="664"/>
      <c r="AT91" s="509"/>
      <c r="AU91" s="510"/>
      <c r="AV91" s="510"/>
      <c r="AW91" s="442" t="e">
        <f t="shared" si="87"/>
        <v>#N/A</v>
      </c>
      <c r="AX91" s="636"/>
      <c r="AZ91" s="524" t="e">
        <f t="shared" si="89"/>
        <v>#N/A</v>
      </c>
      <c r="BA91" s="636"/>
    </row>
    <row r="92" spans="2:53">
      <c r="B92" s="622"/>
      <c r="C92" s="301">
        <v>6</v>
      </c>
      <c r="D92" s="226"/>
      <c r="E92" s="182"/>
      <c r="F92" s="466"/>
      <c r="G92" s="467"/>
      <c r="H92" s="664"/>
      <c r="I92" s="516" t="str">
        <f t="shared" si="74"/>
        <v>-</v>
      </c>
      <c r="J92" s="516" t="str">
        <f t="shared" si="75"/>
        <v>-</v>
      </c>
      <c r="K92" s="200" t="str">
        <f t="shared" si="76"/>
        <v>-</v>
      </c>
      <c r="L92" s="596"/>
      <c r="M92" s="201" t="e">
        <f>RANK(K92, K$87:$K$101)</f>
        <v>#VALUE!</v>
      </c>
      <c r="N92" s="614"/>
      <c r="O92" s="614"/>
      <c r="P92" s="509"/>
      <c r="Q92" s="510"/>
      <c r="R92" s="510"/>
      <c r="S92" s="301" t="e">
        <f t="shared" si="91"/>
        <v>#N/A</v>
      </c>
      <c r="T92" s="664"/>
      <c r="U92" s="509"/>
      <c r="V92" s="510"/>
      <c r="W92" s="510"/>
      <c r="X92" s="442" t="e">
        <f t="shared" si="77"/>
        <v>#N/A</v>
      </c>
      <c r="Y92" s="664"/>
      <c r="Z92" s="509"/>
      <c r="AA92" s="510"/>
      <c r="AB92" s="510"/>
      <c r="AC92" s="442" t="e">
        <f t="shared" si="79"/>
        <v>#N/A</v>
      </c>
      <c r="AD92" s="664"/>
      <c r="AE92" s="509"/>
      <c r="AF92" s="510"/>
      <c r="AG92" s="510"/>
      <c r="AH92" s="442" t="e">
        <f t="shared" si="81"/>
        <v>#N/A</v>
      </c>
      <c r="AI92" s="664"/>
      <c r="AJ92" s="509"/>
      <c r="AK92" s="510"/>
      <c r="AL92" s="510"/>
      <c r="AM92" s="442" t="e">
        <f t="shared" si="83"/>
        <v>#N/A</v>
      </c>
      <c r="AN92" s="664"/>
      <c r="AO92" s="509"/>
      <c r="AP92" s="510"/>
      <c r="AQ92" s="510"/>
      <c r="AR92" s="442" t="e">
        <f t="shared" si="85"/>
        <v>#N/A</v>
      </c>
      <c r="AS92" s="664"/>
      <c r="AT92" s="509"/>
      <c r="AU92" s="510"/>
      <c r="AV92" s="510"/>
      <c r="AW92" s="442" t="e">
        <f t="shared" si="87"/>
        <v>#N/A</v>
      </c>
      <c r="AX92" s="636"/>
      <c r="AZ92" s="524" t="e">
        <f t="shared" si="89"/>
        <v>#N/A</v>
      </c>
      <c r="BA92" s="636"/>
    </row>
    <row r="93" spans="2:53">
      <c r="B93" s="622"/>
      <c r="C93" s="301">
        <v>7</v>
      </c>
      <c r="D93" s="226"/>
      <c r="E93" s="182"/>
      <c r="F93" s="466"/>
      <c r="G93" s="467"/>
      <c r="H93" s="664"/>
      <c r="I93" s="516" t="str">
        <f t="shared" si="74"/>
        <v>-</v>
      </c>
      <c r="J93" s="516" t="str">
        <f t="shared" si="75"/>
        <v>-</v>
      </c>
      <c r="K93" s="200" t="str">
        <f t="shared" si="76"/>
        <v>-</v>
      </c>
      <c r="L93" s="596"/>
      <c r="M93" s="201" t="e">
        <f>RANK(K93, K$87:$K$101)</f>
        <v>#VALUE!</v>
      </c>
      <c r="N93" s="614"/>
      <c r="O93" s="614"/>
      <c r="P93" s="509"/>
      <c r="Q93" s="510"/>
      <c r="R93" s="510"/>
      <c r="S93" s="301" t="e">
        <f t="shared" si="91"/>
        <v>#N/A</v>
      </c>
      <c r="T93" s="664"/>
      <c r="U93" s="509"/>
      <c r="V93" s="510"/>
      <c r="W93" s="510"/>
      <c r="X93" s="442" t="e">
        <f t="shared" si="77"/>
        <v>#N/A</v>
      </c>
      <c r="Y93" s="664"/>
      <c r="Z93" s="509"/>
      <c r="AA93" s="510"/>
      <c r="AB93" s="510"/>
      <c r="AC93" s="442" t="e">
        <f t="shared" si="79"/>
        <v>#N/A</v>
      </c>
      <c r="AD93" s="664"/>
      <c r="AE93" s="509"/>
      <c r="AF93" s="510"/>
      <c r="AG93" s="510"/>
      <c r="AH93" s="442" t="e">
        <f t="shared" si="81"/>
        <v>#N/A</v>
      </c>
      <c r="AI93" s="664"/>
      <c r="AJ93" s="509"/>
      <c r="AK93" s="510"/>
      <c r="AL93" s="510"/>
      <c r="AM93" s="442" t="e">
        <f t="shared" si="83"/>
        <v>#N/A</v>
      </c>
      <c r="AN93" s="664"/>
      <c r="AO93" s="509"/>
      <c r="AP93" s="510"/>
      <c r="AQ93" s="510"/>
      <c r="AR93" s="442" t="e">
        <f t="shared" si="85"/>
        <v>#N/A</v>
      </c>
      <c r="AS93" s="664"/>
      <c r="AT93" s="509"/>
      <c r="AU93" s="510"/>
      <c r="AV93" s="510"/>
      <c r="AW93" s="442" t="e">
        <f t="shared" si="87"/>
        <v>#N/A</v>
      </c>
      <c r="AX93" s="636"/>
      <c r="AZ93" s="524" t="e">
        <f t="shared" si="89"/>
        <v>#N/A</v>
      </c>
      <c r="BA93" s="636"/>
    </row>
    <row r="94" spans="2:53">
      <c r="B94" s="622"/>
      <c r="C94" s="301">
        <v>8</v>
      </c>
      <c r="D94" s="226"/>
      <c r="E94" s="182"/>
      <c r="F94" s="466"/>
      <c r="G94" s="467"/>
      <c r="H94" s="664"/>
      <c r="I94" s="516" t="str">
        <f t="shared" si="74"/>
        <v>-</v>
      </c>
      <c r="J94" s="516" t="str">
        <f t="shared" si="75"/>
        <v>-</v>
      </c>
      <c r="K94" s="200" t="str">
        <f t="shared" si="76"/>
        <v>-</v>
      </c>
      <c r="L94" s="596"/>
      <c r="M94" s="201" t="e">
        <f>RANK(K94, K$87:$K$101)</f>
        <v>#VALUE!</v>
      </c>
      <c r="N94" s="614"/>
      <c r="O94" s="614"/>
      <c r="P94" s="509"/>
      <c r="Q94" s="510"/>
      <c r="R94" s="510"/>
      <c r="S94" s="301" t="e">
        <f t="shared" si="91"/>
        <v>#N/A</v>
      </c>
      <c r="T94" s="664"/>
      <c r="U94" s="509"/>
      <c r="V94" s="510"/>
      <c r="W94" s="510"/>
      <c r="X94" s="442" t="e">
        <f t="shared" si="77"/>
        <v>#N/A</v>
      </c>
      <c r="Y94" s="664"/>
      <c r="Z94" s="509"/>
      <c r="AA94" s="510"/>
      <c r="AB94" s="510"/>
      <c r="AC94" s="442" t="e">
        <f t="shared" si="79"/>
        <v>#N/A</v>
      </c>
      <c r="AD94" s="664"/>
      <c r="AE94" s="509"/>
      <c r="AF94" s="510"/>
      <c r="AG94" s="510"/>
      <c r="AH94" s="442" t="e">
        <f t="shared" si="81"/>
        <v>#N/A</v>
      </c>
      <c r="AI94" s="664"/>
      <c r="AJ94" s="509"/>
      <c r="AK94" s="510"/>
      <c r="AL94" s="510"/>
      <c r="AM94" s="442" t="e">
        <f t="shared" si="83"/>
        <v>#N/A</v>
      </c>
      <c r="AN94" s="664"/>
      <c r="AO94" s="509"/>
      <c r="AP94" s="510"/>
      <c r="AQ94" s="510"/>
      <c r="AR94" s="442" t="e">
        <f t="shared" si="85"/>
        <v>#N/A</v>
      </c>
      <c r="AS94" s="664"/>
      <c r="AT94" s="509"/>
      <c r="AU94" s="510"/>
      <c r="AV94" s="510"/>
      <c r="AW94" s="442" t="e">
        <f t="shared" si="87"/>
        <v>#N/A</v>
      </c>
      <c r="AX94" s="636"/>
      <c r="AZ94" s="524" t="e">
        <f t="shared" si="89"/>
        <v>#N/A</v>
      </c>
      <c r="BA94" s="636"/>
    </row>
    <row r="95" spans="2:53">
      <c r="B95" s="622"/>
      <c r="C95" s="301">
        <v>9</v>
      </c>
      <c r="D95" s="226"/>
      <c r="E95" s="182"/>
      <c r="F95" s="466"/>
      <c r="G95" s="467"/>
      <c r="H95" s="664"/>
      <c r="I95" s="516" t="str">
        <f t="shared" si="74"/>
        <v>-</v>
      </c>
      <c r="J95" s="516" t="str">
        <f t="shared" si="75"/>
        <v>-</v>
      </c>
      <c r="K95" s="200" t="str">
        <f t="shared" si="76"/>
        <v>-</v>
      </c>
      <c r="L95" s="596"/>
      <c r="M95" s="201" t="e">
        <f>RANK(K95, K$87:$K$101)</f>
        <v>#VALUE!</v>
      </c>
      <c r="N95" s="614"/>
      <c r="O95" s="614"/>
      <c r="P95" s="509"/>
      <c r="Q95" s="510"/>
      <c r="R95" s="510"/>
      <c r="S95" s="301" t="e">
        <f t="shared" si="91"/>
        <v>#N/A</v>
      </c>
      <c r="T95" s="664"/>
      <c r="U95" s="509"/>
      <c r="V95" s="510"/>
      <c r="W95" s="510"/>
      <c r="X95" s="442" t="e">
        <f t="shared" si="77"/>
        <v>#N/A</v>
      </c>
      <c r="Y95" s="664"/>
      <c r="Z95" s="509"/>
      <c r="AA95" s="510"/>
      <c r="AB95" s="510"/>
      <c r="AC95" s="442" t="e">
        <f t="shared" si="79"/>
        <v>#N/A</v>
      </c>
      <c r="AD95" s="664"/>
      <c r="AE95" s="509"/>
      <c r="AF95" s="510"/>
      <c r="AG95" s="510"/>
      <c r="AH95" s="442" t="e">
        <f t="shared" si="81"/>
        <v>#N/A</v>
      </c>
      <c r="AI95" s="664"/>
      <c r="AJ95" s="509"/>
      <c r="AK95" s="510"/>
      <c r="AL95" s="510"/>
      <c r="AM95" s="442" t="e">
        <f t="shared" si="83"/>
        <v>#N/A</v>
      </c>
      <c r="AN95" s="664"/>
      <c r="AO95" s="509"/>
      <c r="AP95" s="510"/>
      <c r="AQ95" s="510"/>
      <c r="AR95" s="442" t="e">
        <f t="shared" si="85"/>
        <v>#N/A</v>
      </c>
      <c r="AS95" s="664"/>
      <c r="AT95" s="509"/>
      <c r="AU95" s="510"/>
      <c r="AV95" s="510"/>
      <c r="AW95" s="442" t="e">
        <f t="shared" si="87"/>
        <v>#N/A</v>
      </c>
      <c r="AX95" s="636"/>
      <c r="AZ95" s="524" t="e">
        <f t="shared" si="89"/>
        <v>#N/A</v>
      </c>
      <c r="BA95" s="636"/>
    </row>
    <row r="96" spans="2:53">
      <c r="B96" s="622"/>
      <c r="C96" s="301">
        <v>10</v>
      </c>
      <c r="D96" s="226"/>
      <c r="E96" s="182"/>
      <c r="F96" s="466"/>
      <c r="G96" s="467"/>
      <c r="H96" s="664"/>
      <c r="I96" s="516" t="str">
        <f t="shared" si="74"/>
        <v>-</v>
      </c>
      <c r="J96" s="516" t="str">
        <f t="shared" si="75"/>
        <v>-</v>
      </c>
      <c r="K96" s="200" t="str">
        <f t="shared" si="76"/>
        <v>-</v>
      </c>
      <c r="L96" s="596"/>
      <c r="M96" s="201" t="e">
        <f>RANK(K96, K$87:$K$101)</f>
        <v>#VALUE!</v>
      </c>
      <c r="N96" s="614"/>
      <c r="O96" s="614"/>
      <c r="P96" s="509"/>
      <c r="Q96" s="510"/>
      <c r="R96" s="510"/>
      <c r="S96" s="301" t="e">
        <f t="shared" si="91"/>
        <v>#N/A</v>
      </c>
      <c r="T96" s="664"/>
      <c r="U96" s="509"/>
      <c r="V96" s="510"/>
      <c r="W96" s="510"/>
      <c r="X96" s="442" t="e">
        <f t="shared" si="77"/>
        <v>#N/A</v>
      </c>
      <c r="Y96" s="664"/>
      <c r="Z96" s="509"/>
      <c r="AA96" s="510"/>
      <c r="AB96" s="510"/>
      <c r="AC96" s="442" t="e">
        <f t="shared" si="79"/>
        <v>#N/A</v>
      </c>
      <c r="AD96" s="664"/>
      <c r="AE96" s="509"/>
      <c r="AF96" s="510"/>
      <c r="AG96" s="510"/>
      <c r="AH96" s="442" t="e">
        <f t="shared" si="81"/>
        <v>#N/A</v>
      </c>
      <c r="AI96" s="664"/>
      <c r="AJ96" s="509"/>
      <c r="AK96" s="510"/>
      <c r="AL96" s="510"/>
      <c r="AM96" s="442" t="e">
        <f t="shared" si="83"/>
        <v>#N/A</v>
      </c>
      <c r="AN96" s="664"/>
      <c r="AO96" s="509"/>
      <c r="AP96" s="510"/>
      <c r="AQ96" s="510"/>
      <c r="AR96" s="442" t="e">
        <f t="shared" si="85"/>
        <v>#N/A</v>
      </c>
      <c r="AS96" s="664"/>
      <c r="AT96" s="509"/>
      <c r="AU96" s="510"/>
      <c r="AV96" s="510"/>
      <c r="AW96" s="442" t="e">
        <f t="shared" si="87"/>
        <v>#N/A</v>
      </c>
      <c r="AX96" s="636"/>
      <c r="AZ96" s="524" t="e">
        <f t="shared" si="89"/>
        <v>#N/A</v>
      </c>
      <c r="BA96" s="636"/>
    </row>
    <row r="97" spans="2:53">
      <c r="B97" s="622"/>
      <c r="C97" s="301">
        <v>11</v>
      </c>
      <c r="D97" s="226"/>
      <c r="E97" s="182"/>
      <c r="F97" s="466"/>
      <c r="G97" s="467"/>
      <c r="H97" s="664"/>
      <c r="I97" s="516" t="str">
        <f t="shared" si="74"/>
        <v>-</v>
      </c>
      <c r="J97" s="516" t="str">
        <f t="shared" si="75"/>
        <v>-</v>
      </c>
      <c r="K97" s="200" t="str">
        <f t="shared" si="76"/>
        <v>-</v>
      </c>
      <c r="L97" s="596"/>
      <c r="M97" s="201" t="e">
        <f>RANK(K97, K$87:$K$101)</f>
        <v>#VALUE!</v>
      </c>
      <c r="N97" s="614"/>
      <c r="O97" s="614"/>
      <c r="P97" s="509"/>
      <c r="Q97" s="510"/>
      <c r="R97" s="510"/>
      <c r="S97" s="301" t="e">
        <f t="shared" si="91"/>
        <v>#N/A</v>
      </c>
      <c r="T97" s="664"/>
      <c r="U97" s="509"/>
      <c r="V97" s="510"/>
      <c r="W97" s="510"/>
      <c r="X97" s="442" t="e">
        <f t="shared" si="77"/>
        <v>#N/A</v>
      </c>
      <c r="Y97" s="664"/>
      <c r="Z97" s="509"/>
      <c r="AA97" s="510"/>
      <c r="AB97" s="510"/>
      <c r="AC97" s="442" t="e">
        <f t="shared" si="79"/>
        <v>#N/A</v>
      </c>
      <c r="AD97" s="664"/>
      <c r="AE97" s="509"/>
      <c r="AF97" s="510"/>
      <c r="AG97" s="510"/>
      <c r="AH97" s="442" t="e">
        <f t="shared" si="81"/>
        <v>#N/A</v>
      </c>
      <c r="AI97" s="664"/>
      <c r="AJ97" s="509"/>
      <c r="AK97" s="510"/>
      <c r="AL97" s="510"/>
      <c r="AM97" s="442" t="e">
        <f t="shared" si="83"/>
        <v>#N/A</v>
      </c>
      <c r="AN97" s="664"/>
      <c r="AO97" s="509"/>
      <c r="AP97" s="510"/>
      <c r="AQ97" s="510"/>
      <c r="AR97" s="442" t="e">
        <f t="shared" si="85"/>
        <v>#N/A</v>
      </c>
      <c r="AS97" s="664"/>
      <c r="AT97" s="509"/>
      <c r="AU97" s="510"/>
      <c r="AV97" s="510"/>
      <c r="AW97" s="442" t="e">
        <f t="shared" si="87"/>
        <v>#N/A</v>
      </c>
      <c r="AX97" s="636"/>
      <c r="AZ97" s="524" t="e">
        <f t="shared" si="89"/>
        <v>#N/A</v>
      </c>
      <c r="BA97" s="636"/>
    </row>
    <row r="98" spans="2:53">
      <c r="B98" s="622"/>
      <c r="C98" s="301">
        <v>12</v>
      </c>
      <c r="D98" s="226"/>
      <c r="E98" s="182"/>
      <c r="F98" s="466"/>
      <c r="G98" s="467"/>
      <c r="H98" s="664"/>
      <c r="I98" s="516" t="str">
        <f t="shared" si="74"/>
        <v>-</v>
      </c>
      <c r="J98" s="516" t="str">
        <f t="shared" si="75"/>
        <v>-</v>
      </c>
      <c r="K98" s="200" t="str">
        <f t="shared" si="76"/>
        <v>-</v>
      </c>
      <c r="L98" s="596"/>
      <c r="M98" s="201" t="e">
        <f>RANK(K98, K$87:$K$101)</f>
        <v>#VALUE!</v>
      </c>
      <c r="N98" s="614"/>
      <c r="O98" s="614"/>
      <c r="P98" s="509"/>
      <c r="Q98" s="510"/>
      <c r="R98" s="510"/>
      <c r="S98" s="301" t="e">
        <f t="shared" si="91"/>
        <v>#N/A</v>
      </c>
      <c r="T98" s="664"/>
      <c r="U98" s="509"/>
      <c r="V98" s="510"/>
      <c r="W98" s="510"/>
      <c r="X98" s="442" t="e">
        <f t="shared" si="77"/>
        <v>#N/A</v>
      </c>
      <c r="Y98" s="664"/>
      <c r="Z98" s="509"/>
      <c r="AA98" s="510"/>
      <c r="AB98" s="510"/>
      <c r="AC98" s="442" t="e">
        <f t="shared" si="79"/>
        <v>#N/A</v>
      </c>
      <c r="AD98" s="664"/>
      <c r="AE98" s="509"/>
      <c r="AF98" s="510"/>
      <c r="AG98" s="510"/>
      <c r="AH98" s="442" t="e">
        <f t="shared" si="81"/>
        <v>#N/A</v>
      </c>
      <c r="AI98" s="664"/>
      <c r="AJ98" s="509"/>
      <c r="AK98" s="510"/>
      <c r="AL98" s="510"/>
      <c r="AM98" s="442" t="e">
        <f t="shared" si="83"/>
        <v>#N/A</v>
      </c>
      <c r="AN98" s="664"/>
      <c r="AO98" s="509"/>
      <c r="AP98" s="510"/>
      <c r="AQ98" s="510"/>
      <c r="AR98" s="442" t="e">
        <f t="shared" si="85"/>
        <v>#N/A</v>
      </c>
      <c r="AS98" s="664"/>
      <c r="AT98" s="509"/>
      <c r="AU98" s="510"/>
      <c r="AV98" s="510"/>
      <c r="AW98" s="442" t="e">
        <f t="shared" si="87"/>
        <v>#N/A</v>
      </c>
      <c r="AX98" s="636"/>
      <c r="AZ98" s="524" t="e">
        <f t="shared" si="89"/>
        <v>#N/A</v>
      </c>
      <c r="BA98" s="636"/>
    </row>
    <row r="99" spans="2:53">
      <c r="B99" s="622"/>
      <c r="C99" s="301">
        <v>13</v>
      </c>
      <c r="D99" s="226"/>
      <c r="E99" s="182"/>
      <c r="F99" s="466"/>
      <c r="G99" s="467"/>
      <c r="H99" s="664"/>
      <c r="I99" s="516" t="str">
        <f t="shared" si="74"/>
        <v>-</v>
      </c>
      <c r="J99" s="516" t="str">
        <f t="shared" si="75"/>
        <v>-</v>
      </c>
      <c r="K99" s="200" t="str">
        <f t="shared" si="76"/>
        <v>-</v>
      </c>
      <c r="L99" s="596"/>
      <c r="M99" s="201" t="e">
        <f>RANK(K99, K$87:$K$101)</f>
        <v>#VALUE!</v>
      </c>
      <c r="N99" s="614"/>
      <c r="O99" s="614"/>
      <c r="P99" s="509"/>
      <c r="Q99" s="510"/>
      <c r="R99" s="510"/>
      <c r="S99" s="301" t="e">
        <f t="shared" si="91"/>
        <v>#N/A</v>
      </c>
      <c r="T99" s="664"/>
      <c r="U99" s="509"/>
      <c r="V99" s="510"/>
      <c r="W99" s="510"/>
      <c r="X99" s="442" t="e">
        <f t="shared" si="77"/>
        <v>#N/A</v>
      </c>
      <c r="Y99" s="664"/>
      <c r="Z99" s="509"/>
      <c r="AA99" s="510"/>
      <c r="AB99" s="510"/>
      <c r="AC99" s="442" t="e">
        <f t="shared" si="79"/>
        <v>#N/A</v>
      </c>
      <c r="AD99" s="664"/>
      <c r="AE99" s="509"/>
      <c r="AF99" s="510"/>
      <c r="AG99" s="510"/>
      <c r="AH99" s="442" t="e">
        <f t="shared" si="81"/>
        <v>#N/A</v>
      </c>
      <c r="AI99" s="664"/>
      <c r="AJ99" s="509"/>
      <c r="AK99" s="510"/>
      <c r="AL99" s="510"/>
      <c r="AM99" s="442" t="e">
        <f t="shared" si="83"/>
        <v>#N/A</v>
      </c>
      <c r="AN99" s="664"/>
      <c r="AO99" s="509"/>
      <c r="AP99" s="510"/>
      <c r="AQ99" s="510"/>
      <c r="AR99" s="442" t="e">
        <f t="shared" si="85"/>
        <v>#N/A</v>
      </c>
      <c r="AS99" s="664"/>
      <c r="AT99" s="509"/>
      <c r="AU99" s="510"/>
      <c r="AV99" s="510"/>
      <c r="AW99" s="442" t="e">
        <f t="shared" si="87"/>
        <v>#N/A</v>
      </c>
      <c r="AX99" s="636"/>
      <c r="AZ99" s="524" t="e">
        <f t="shared" si="89"/>
        <v>#N/A</v>
      </c>
      <c r="BA99" s="636"/>
    </row>
    <row r="100" spans="2:53">
      <c r="B100" s="622"/>
      <c r="C100" s="301">
        <v>14</v>
      </c>
      <c r="D100" s="226"/>
      <c r="E100" s="182"/>
      <c r="F100" s="466"/>
      <c r="G100" s="467"/>
      <c r="H100" s="664"/>
      <c r="I100" s="516" t="str">
        <f t="shared" si="74"/>
        <v>-</v>
      </c>
      <c r="J100" s="516" t="str">
        <f t="shared" si="75"/>
        <v>-</v>
      </c>
      <c r="K100" s="200" t="str">
        <f t="shared" si="76"/>
        <v>-</v>
      </c>
      <c r="L100" s="596"/>
      <c r="M100" s="201" t="e">
        <f>RANK(K100, K$87:$K$101)</f>
        <v>#VALUE!</v>
      </c>
      <c r="N100" s="614"/>
      <c r="O100" s="614"/>
      <c r="P100" s="509"/>
      <c r="Q100" s="510"/>
      <c r="R100" s="510"/>
      <c r="S100" s="301" t="e">
        <f t="shared" si="91"/>
        <v>#N/A</v>
      </c>
      <c r="T100" s="664"/>
      <c r="U100" s="509"/>
      <c r="V100" s="510"/>
      <c r="W100" s="510"/>
      <c r="X100" s="442" t="e">
        <f t="shared" si="77"/>
        <v>#N/A</v>
      </c>
      <c r="Y100" s="664"/>
      <c r="Z100" s="509"/>
      <c r="AA100" s="510"/>
      <c r="AB100" s="510"/>
      <c r="AC100" s="442" t="e">
        <f t="shared" si="79"/>
        <v>#N/A</v>
      </c>
      <c r="AD100" s="664"/>
      <c r="AE100" s="509"/>
      <c r="AF100" s="510"/>
      <c r="AG100" s="510"/>
      <c r="AH100" s="442" t="e">
        <f t="shared" si="81"/>
        <v>#N/A</v>
      </c>
      <c r="AI100" s="664"/>
      <c r="AJ100" s="509"/>
      <c r="AK100" s="510"/>
      <c r="AL100" s="510"/>
      <c r="AM100" s="442" t="e">
        <f t="shared" si="83"/>
        <v>#N/A</v>
      </c>
      <c r="AN100" s="664"/>
      <c r="AO100" s="509"/>
      <c r="AP100" s="510"/>
      <c r="AQ100" s="510"/>
      <c r="AR100" s="442" t="e">
        <f t="shared" si="85"/>
        <v>#N/A</v>
      </c>
      <c r="AS100" s="664"/>
      <c r="AT100" s="509"/>
      <c r="AU100" s="510"/>
      <c r="AV100" s="510"/>
      <c r="AW100" s="442" t="e">
        <f t="shared" si="87"/>
        <v>#N/A</v>
      </c>
      <c r="AX100" s="636"/>
      <c r="AZ100" s="524" t="e">
        <f t="shared" si="89"/>
        <v>#N/A</v>
      </c>
      <c r="BA100" s="636"/>
    </row>
    <row r="101" spans="2:53">
      <c r="B101" s="622"/>
      <c r="C101" s="301">
        <v>15</v>
      </c>
      <c r="D101" s="226"/>
      <c r="E101" s="182"/>
      <c r="F101" s="466"/>
      <c r="G101" s="467"/>
      <c r="H101" s="665"/>
      <c r="I101" s="520"/>
      <c r="J101" s="520"/>
      <c r="K101" s="520"/>
      <c r="L101" s="597"/>
      <c r="M101" s="199" t="e">
        <f>RANK(K101, K$87:$K$101)</f>
        <v>#N/A</v>
      </c>
      <c r="N101" s="614"/>
      <c r="O101" s="614"/>
      <c r="P101" s="509"/>
      <c r="Q101" s="510"/>
      <c r="R101" s="510"/>
      <c r="S101" s="301" t="e">
        <f t="shared" si="91"/>
        <v>#N/A</v>
      </c>
      <c r="T101" s="665"/>
      <c r="U101" s="509"/>
      <c r="V101" s="510"/>
      <c r="W101" s="510"/>
      <c r="X101" s="442" t="e">
        <f t="shared" si="77"/>
        <v>#N/A</v>
      </c>
      <c r="Y101" s="665"/>
      <c r="Z101" s="509"/>
      <c r="AA101" s="510"/>
      <c r="AB101" s="510"/>
      <c r="AC101" s="442" t="e">
        <f t="shared" si="79"/>
        <v>#N/A</v>
      </c>
      <c r="AD101" s="665"/>
      <c r="AE101" s="509"/>
      <c r="AF101" s="510"/>
      <c r="AG101" s="510"/>
      <c r="AH101" s="442" t="e">
        <f t="shared" si="81"/>
        <v>#N/A</v>
      </c>
      <c r="AI101" s="665"/>
      <c r="AJ101" s="509"/>
      <c r="AK101" s="510"/>
      <c r="AL101" s="510"/>
      <c r="AM101" s="442" t="e">
        <f t="shared" si="83"/>
        <v>#N/A</v>
      </c>
      <c r="AN101" s="665"/>
      <c r="AO101" s="509"/>
      <c r="AP101" s="510"/>
      <c r="AQ101" s="510"/>
      <c r="AR101" s="442" t="e">
        <f t="shared" si="85"/>
        <v>#N/A</v>
      </c>
      <c r="AS101" s="665"/>
      <c r="AT101" s="509"/>
      <c r="AU101" s="510"/>
      <c r="AV101" s="510"/>
      <c r="AW101" s="442" t="e">
        <f t="shared" si="87"/>
        <v>#N/A</v>
      </c>
      <c r="AX101" s="636"/>
      <c r="AZ101" s="524" t="e">
        <f t="shared" si="89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695</v>
      </c>
      <c r="C104" s="614" t="s">
        <v>696</v>
      </c>
      <c r="D104" s="614"/>
      <c r="E104" s="614" t="s">
        <v>697</v>
      </c>
      <c r="F104" s="614"/>
      <c r="G104" s="614"/>
      <c r="H104" s="630" t="s">
        <v>698</v>
      </c>
      <c r="I104" s="614" t="s">
        <v>699</v>
      </c>
      <c r="J104" s="614"/>
      <c r="K104" s="614"/>
      <c r="L104" s="630" t="s">
        <v>395</v>
      </c>
      <c r="M104" s="615" t="s">
        <v>700</v>
      </c>
      <c r="N104" s="614"/>
      <c r="O104" s="614" t="s">
        <v>686</v>
      </c>
      <c r="P104" s="611" t="s">
        <v>687</v>
      </c>
      <c r="Q104" s="612"/>
      <c r="R104" s="612"/>
      <c r="S104" s="613"/>
      <c r="T104" s="614" t="s">
        <v>683</v>
      </c>
      <c r="U104" s="611" t="s">
        <v>687</v>
      </c>
      <c r="V104" s="612"/>
      <c r="W104" s="612"/>
      <c r="X104" s="613"/>
      <c r="Y104" s="614" t="s">
        <v>683</v>
      </c>
      <c r="Z104" s="611" t="s">
        <v>687</v>
      </c>
      <c r="AA104" s="612"/>
      <c r="AB104" s="612"/>
      <c r="AC104" s="613"/>
      <c r="AD104" s="614" t="s">
        <v>683</v>
      </c>
      <c r="AE104" s="611" t="s">
        <v>687</v>
      </c>
      <c r="AF104" s="612"/>
      <c r="AG104" s="612"/>
      <c r="AH104" s="613"/>
      <c r="AI104" s="614" t="s">
        <v>683</v>
      </c>
      <c r="AJ104" s="611" t="s">
        <v>687</v>
      </c>
      <c r="AK104" s="612"/>
      <c r="AL104" s="612"/>
      <c r="AM104" s="613"/>
      <c r="AN104" s="614" t="s">
        <v>683</v>
      </c>
      <c r="AO104" s="611" t="s">
        <v>687</v>
      </c>
      <c r="AP104" s="612"/>
      <c r="AQ104" s="612"/>
      <c r="AR104" s="613"/>
      <c r="AS104" s="614" t="s">
        <v>683</v>
      </c>
      <c r="AT104" s="611" t="s">
        <v>687</v>
      </c>
      <c r="AU104" s="612"/>
      <c r="AV104" s="612"/>
      <c r="AW104" s="613"/>
      <c r="AX104" s="614" t="s">
        <v>683</v>
      </c>
      <c r="BA104" s="614" t="s">
        <v>395</v>
      </c>
    </row>
    <row r="105" spans="2:53">
      <c r="B105" s="614"/>
      <c r="C105" s="614"/>
      <c r="D105" s="614"/>
      <c r="E105" s="614" t="s">
        <v>702</v>
      </c>
      <c r="F105" s="614"/>
      <c r="G105" s="614"/>
      <c r="H105" s="631"/>
      <c r="I105" s="614" t="s">
        <v>702</v>
      </c>
      <c r="J105" s="614"/>
      <c r="K105" s="614"/>
      <c r="L105" s="631"/>
      <c r="M105" s="616"/>
      <c r="N105" s="614"/>
      <c r="O105" s="614"/>
      <c r="P105" s="611" t="s">
        <v>689</v>
      </c>
      <c r="Q105" s="612"/>
      <c r="R105" s="612"/>
      <c r="S105" s="613"/>
      <c r="T105" s="614"/>
      <c r="U105" s="611" t="s">
        <v>689</v>
      </c>
      <c r="V105" s="612"/>
      <c r="W105" s="612"/>
      <c r="X105" s="613"/>
      <c r="Y105" s="614"/>
      <c r="Z105" s="611" t="s">
        <v>689</v>
      </c>
      <c r="AA105" s="612"/>
      <c r="AB105" s="612"/>
      <c r="AC105" s="613"/>
      <c r="AD105" s="614"/>
      <c r="AE105" s="611" t="s">
        <v>689</v>
      </c>
      <c r="AF105" s="612"/>
      <c r="AG105" s="612"/>
      <c r="AH105" s="613"/>
      <c r="AI105" s="614"/>
      <c r="AJ105" s="611" t="s">
        <v>689</v>
      </c>
      <c r="AK105" s="612"/>
      <c r="AL105" s="612"/>
      <c r="AM105" s="613"/>
      <c r="AN105" s="614"/>
      <c r="AO105" s="611" t="s">
        <v>689</v>
      </c>
      <c r="AP105" s="612"/>
      <c r="AQ105" s="612"/>
      <c r="AR105" s="613"/>
      <c r="AS105" s="614"/>
      <c r="AT105" s="611" t="s">
        <v>689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447" t="s">
        <v>703</v>
      </c>
      <c r="F106" s="447" t="s">
        <v>704</v>
      </c>
      <c r="G106" s="447" t="s">
        <v>705</v>
      </c>
      <c r="H106" s="632"/>
      <c r="I106" s="447" t="s">
        <v>703</v>
      </c>
      <c r="J106" s="447" t="s">
        <v>704</v>
      </c>
      <c r="K106" s="447" t="s">
        <v>705</v>
      </c>
      <c r="L106" s="632"/>
      <c r="M106" s="617"/>
      <c r="N106" s="614"/>
      <c r="O106" s="614"/>
      <c r="P106" s="447" t="s">
        <v>690</v>
      </c>
      <c r="Q106" s="447" t="s">
        <v>691</v>
      </c>
      <c r="R106" s="447" t="s">
        <v>692</v>
      </c>
      <c r="S106" s="447" t="s">
        <v>685</v>
      </c>
      <c r="T106" s="614"/>
      <c r="U106" s="447" t="s">
        <v>690</v>
      </c>
      <c r="V106" s="447" t="s">
        <v>691</v>
      </c>
      <c r="W106" s="447" t="s">
        <v>692</v>
      </c>
      <c r="X106" s="447" t="s">
        <v>685</v>
      </c>
      <c r="Y106" s="614"/>
      <c r="Z106" s="447" t="s">
        <v>690</v>
      </c>
      <c r="AA106" s="447" t="s">
        <v>691</v>
      </c>
      <c r="AB106" s="447" t="s">
        <v>692</v>
      </c>
      <c r="AC106" s="447" t="s">
        <v>685</v>
      </c>
      <c r="AD106" s="614"/>
      <c r="AE106" s="447" t="s">
        <v>690</v>
      </c>
      <c r="AF106" s="447" t="s">
        <v>691</v>
      </c>
      <c r="AG106" s="447" t="s">
        <v>692</v>
      </c>
      <c r="AH106" s="447" t="s">
        <v>685</v>
      </c>
      <c r="AI106" s="614"/>
      <c r="AJ106" s="447" t="s">
        <v>690</v>
      </c>
      <c r="AK106" s="447" t="s">
        <v>691</v>
      </c>
      <c r="AL106" s="447" t="s">
        <v>692</v>
      </c>
      <c r="AM106" s="447" t="s">
        <v>685</v>
      </c>
      <c r="AN106" s="614"/>
      <c r="AO106" s="447" t="s">
        <v>690</v>
      </c>
      <c r="AP106" s="447" t="s">
        <v>691</v>
      </c>
      <c r="AQ106" s="447" t="s">
        <v>692</v>
      </c>
      <c r="AR106" s="447" t="s">
        <v>685</v>
      </c>
      <c r="AS106" s="614"/>
      <c r="AT106" s="447" t="s">
        <v>690</v>
      </c>
      <c r="AU106" s="447" t="s">
        <v>691</v>
      </c>
      <c r="AV106" s="447" t="s">
        <v>692</v>
      </c>
      <c r="AW106" s="447" t="s">
        <v>685</v>
      </c>
      <c r="AX106" s="614"/>
      <c r="AZ106" s="523" t="s">
        <v>685</v>
      </c>
      <c r="BA106" s="614"/>
    </row>
    <row r="107" spans="2:53">
      <c r="B107" s="614" t="s">
        <v>136</v>
      </c>
      <c r="C107" s="452">
        <v>1</v>
      </c>
      <c r="D107" s="226"/>
      <c r="E107" s="182"/>
      <c r="F107" s="466"/>
      <c r="G107" s="467"/>
      <c r="H107" s="688" t="e">
        <f>AVERAGE(G107:G121)</f>
        <v>#DIV/0!</v>
      </c>
      <c r="I107" s="516" t="str">
        <f t="shared" ref="I107:I120" si="92">IFERROR(AVERAGE(P107,U107,Z107,AE107,AJ107,AO107,AT107),"-")</f>
        <v>-</v>
      </c>
      <c r="J107" s="516" t="str">
        <f t="shared" ref="J107:J120" si="93">IFERROR(AVERAGE(Q107,V107,AA107,AF107,AK107,AP107,AU107),"-")</f>
        <v>-</v>
      </c>
      <c r="K107" s="200" t="str">
        <f t="shared" ref="K107:K120" si="94">IFERROR(AVERAGE(R107,W107,AB107,AG107,AL107,AQ107,AV107),"-")</f>
        <v>-</v>
      </c>
      <c r="L107" s="595" t="str">
        <f>IFERROR(AVERAGE(K107:K121),"-")</f>
        <v>-</v>
      </c>
      <c r="M107" s="453" t="e">
        <f>RANK(K107, K$67:$K$81)</f>
        <v>#VALUE!</v>
      </c>
      <c r="N107" s="614"/>
      <c r="O107" s="614"/>
      <c r="P107" s="452"/>
      <c r="Q107" s="453"/>
      <c r="R107" s="453"/>
      <c r="S107" s="452" t="e">
        <f>RANK(R107, R$67:R$81)</f>
        <v>#N/A</v>
      </c>
      <c r="T107" s="661" t="e">
        <f>AVERAGE(R107:R121)</f>
        <v>#DIV/0!</v>
      </c>
      <c r="U107" s="470"/>
      <c r="V107" s="473"/>
      <c r="W107" s="473"/>
      <c r="X107" s="452" t="e">
        <f>RANK(W107, W$67:W$81)</f>
        <v>#N/A</v>
      </c>
      <c r="Y107" s="661" t="e">
        <f>AVERAGE(W107:W121)</f>
        <v>#DIV/0!</v>
      </c>
      <c r="Z107" s="470"/>
      <c r="AA107" s="473"/>
      <c r="AB107" s="473"/>
      <c r="AC107" s="452" t="e">
        <f>RANK(AB107, AB$67:AB$81)</f>
        <v>#N/A</v>
      </c>
      <c r="AD107" s="661" t="e">
        <f>AVERAGE(AB107:AB121)</f>
        <v>#DIV/0!</v>
      </c>
      <c r="AE107" s="470"/>
      <c r="AF107" s="473"/>
      <c r="AG107" s="473"/>
      <c r="AH107" s="452" t="e">
        <f>RANK(AG107, AG$67:AG$81)</f>
        <v>#N/A</v>
      </c>
      <c r="AI107" s="661" t="e">
        <f>AVERAGE(AG107:AG121)</f>
        <v>#DIV/0!</v>
      </c>
      <c r="AJ107" s="470"/>
      <c r="AK107" s="473"/>
      <c r="AL107" s="473"/>
      <c r="AM107" s="452" t="e">
        <f>RANK(AL107, AL$67:AL$81)</f>
        <v>#N/A</v>
      </c>
      <c r="AN107" s="661" t="e">
        <f>AVERAGE(AL107:AL121)</f>
        <v>#DIV/0!</v>
      </c>
      <c r="AO107" s="470"/>
      <c r="AP107" s="473"/>
      <c r="AQ107" s="473"/>
      <c r="AR107" s="452" t="e">
        <f>RANK(AQ107, AQ$67:AQ$81)</f>
        <v>#N/A</v>
      </c>
      <c r="AS107" s="661" t="e">
        <f>AVERAGE(AQ107:AQ121)</f>
        <v>#DIV/0!</v>
      </c>
      <c r="AT107" s="182"/>
      <c r="AU107" s="467"/>
      <c r="AV107" s="467"/>
      <c r="AW107" s="452" t="e">
        <f>RANK(AV107, AV$67:AV$81)</f>
        <v>#N/A</v>
      </c>
      <c r="AX107" s="661" t="e">
        <f>AVERAGE(AV107:AV121)</f>
        <v>#DIV/0!</v>
      </c>
      <c r="AZ107" s="525" t="e">
        <f>RANK(AY107, AY$67:AY$81)</f>
        <v>#N/A</v>
      </c>
      <c r="BA107" s="661" t="e">
        <f>AVERAGE(AY107:AY121)</f>
        <v>#DIV/0!</v>
      </c>
    </row>
    <row r="108" spans="2:53">
      <c r="B108" s="647"/>
      <c r="C108" s="452">
        <v>2</v>
      </c>
      <c r="D108" s="226"/>
      <c r="E108" s="182"/>
      <c r="F108" s="466"/>
      <c r="G108" s="467"/>
      <c r="H108" s="689"/>
      <c r="I108" s="516" t="str">
        <f t="shared" si="92"/>
        <v>-</v>
      </c>
      <c r="J108" s="516" t="str">
        <f t="shared" si="93"/>
        <v>-</v>
      </c>
      <c r="K108" s="200" t="str">
        <f t="shared" si="94"/>
        <v>-</v>
      </c>
      <c r="L108" s="596"/>
      <c r="M108" s="453" t="e">
        <f>RANK(K108, K$67:$K$81)</f>
        <v>#VALUE!</v>
      </c>
      <c r="N108" s="614"/>
      <c r="O108" s="614"/>
      <c r="P108" s="452"/>
      <c r="Q108" s="453"/>
      <c r="R108" s="453"/>
      <c r="S108" s="452" t="e">
        <f t="shared" ref="S108:S121" si="95">RANK(R108, R$67:R$81)</f>
        <v>#N/A</v>
      </c>
      <c r="T108" s="661"/>
      <c r="U108" s="470"/>
      <c r="V108" s="473"/>
      <c r="W108" s="473"/>
      <c r="X108" s="452" t="e">
        <f t="shared" ref="X108:X121" si="96">RANK(W108, W$67:W$81)</f>
        <v>#N/A</v>
      </c>
      <c r="Y108" s="661"/>
      <c r="Z108" s="470"/>
      <c r="AA108" s="473"/>
      <c r="AB108" s="473"/>
      <c r="AC108" s="452" t="e">
        <f t="shared" ref="AC108:AC121" si="97">RANK(AB108, AB$67:AB$81)</f>
        <v>#N/A</v>
      </c>
      <c r="AD108" s="661"/>
      <c r="AE108" s="470"/>
      <c r="AF108" s="473"/>
      <c r="AG108" s="473"/>
      <c r="AH108" s="452" t="e">
        <f t="shared" ref="AH108:AH121" si="98">RANK(AG108, AG$67:AG$81)</f>
        <v>#N/A</v>
      </c>
      <c r="AI108" s="661"/>
      <c r="AJ108" s="470"/>
      <c r="AK108" s="473"/>
      <c r="AL108" s="473"/>
      <c r="AM108" s="452" t="e">
        <f t="shared" ref="AM108:AM121" si="99">RANK(AL108, AL$67:AL$81)</f>
        <v>#N/A</v>
      </c>
      <c r="AN108" s="661"/>
      <c r="AO108" s="470"/>
      <c r="AP108" s="473"/>
      <c r="AQ108" s="473"/>
      <c r="AR108" s="452" t="e">
        <f t="shared" ref="AR108:AR121" si="100">RANK(AQ108, AQ$67:AQ$81)</f>
        <v>#N/A</v>
      </c>
      <c r="AS108" s="661"/>
      <c r="AT108" s="466"/>
      <c r="AU108" s="467"/>
      <c r="AV108" s="467"/>
      <c r="AW108" s="452" t="e">
        <f t="shared" ref="AW108:AW121" si="101">RANK(AV108, AV$67:AV$81)</f>
        <v>#N/A</v>
      </c>
      <c r="AX108" s="661"/>
      <c r="AZ108" s="525" t="e">
        <f t="shared" ref="AZ108:AZ121" si="102">RANK(AY108, AY$67:AY$81)</f>
        <v>#N/A</v>
      </c>
      <c r="BA108" s="661"/>
    </row>
    <row r="109" spans="2:53">
      <c r="B109" s="647"/>
      <c r="C109" s="452">
        <v>3</v>
      </c>
      <c r="D109" s="226"/>
      <c r="E109" s="182"/>
      <c r="F109" s="466"/>
      <c r="G109" s="467"/>
      <c r="H109" s="689"/>
      <c r="I109" s="516" t="str">
        <f t="shared" si="92"/>
        <v>-</v>
      </c>
      <c r="J109" s="516" t="str">
        <f t="shared" si="93"/>
        <v>-</v>
      </c>
      <c r="K109" s="200" t="str">
        <f t="shared" si="94"/>
        <v>-</v>
      </c>
      <c r="L109" s="596"/>
      <c r="M109" s="453" t="e">
        <f>RANK(K109, K$67:$K$81)</f>
        <v>#VALUE!</v>
      </c>
      <c r="N109" s="614"/>
      <c r="O109" s="614"/>
      <c r="P109" s="452"/>
      <c r="Q109" s="453"/>
      <c r="R109" s="453"/>
      <c r="S109" s="452" t="e">
        <f t="shared" si="95"/>
        <v>#N/A</v>
      </c>
      <c r="T109" s="661"/>
      <c r="U109" s="470"/>
      <c r="V109" s="473"/>
      <c r="W109" s="473"/>
      <c r="X109" s="452" t="e">
        <f t="shared" si="96"/>
        <v>#N/A</v>
      </c>
      <c r="Y109" s="661"/>
      <c r="Z109" s="470"/>
      <c r="AA109" s="473"/>
      <c r="AB109" s="473"/>
      <c r="AC109" s="452" t="e">
        <f t="shared" si="97"/>
        <v>#N/A</v>
      </c>
      <c r="AD109" s="661"/>
      <c r="AE109" s="470"/>
      <c r="AF109" s="473"/>
      <c r="AG109" s="473"/>
      <c r="AH109" s="452" t="e">
        <f t="shared" si="98"/>
        <v>#N/A</v>
      </c>
      <c r="AI109" s="661"/>
      <c r="AJ109" s="470"/>
      <c r="AK109" s="473"/>
      <c r="AL109" s="473"/>
      <c r="AM109" s="452" t="e">
        <f t="shared" si="99"/>
        <v>#N/A</v>
      </c>
      <c r="AN109" s="661"/>
      <c r="AO109" s="470"/>
      <c r="AP109" s="473"/>
      <c r="AQ109" s="473"/>
      <c r="AR109" s="452" t="e">
        <f t="shared" si="100"/>
        <v>#N/A</v>
      </c>
      <c r="AS109" s="661"/>
      <c r="AT109" s="466"/>
      <c r="AU109" s="467"/>
      <c r="AV109" s="467"/>
      <c r="AW109" s="452" t="e">
        <f t="shared" si="101"/>
        <v>#N/A</v>
      </c>
      <c r="AX109" s="661"/>
      <c r="AZ109" s="525" t="e">
        <f t="shared" si="102"/>
        <v>#N/A</v>
      </c>
      <c r="BA109" s="661"/>
    </row>
    <row r="110" spans="2:53">
      <c r="B110" s="647"/>
      <c r="C110" s="452">
        <v>4</v>
      </c>
      <c r="D110" s="226"/>
      <c r="E110" s="182"/>
      <c r="F110" s="466"/>
      <c r="G110" s="467"/>
      <c r="H110" s="689"/>
      <c r="I110" s="516" t="str">
        <f t="shared" si="92"/>
        <v>-</v>
      </c>
      <c r="J110" s="516" t="str">
        <f t="shared" si="93"/>
        <v>-</v>
      </c>
      <c r="K110" s="200" t="str">
        <f t="shared" si="94"/>
        <v>-</v>
      </c>
      <c r="L110" s="596"/>
      <c r="M110" s="453" t="e">
        <f>RANK(K110, K$67:$K$81)</f>
        <v>#VALUE!</v>
      </c>
      <c r="N110" s="614"/>
      <c r="O110" s="614"/>
      <c r="P110" s="452"/>
      <c r="Q110" s="453"/>
      <c r="R110" s="453"/>
      <c r="S110" s="452" t="e">
        <f t="shared" si="95"/>
        <v>#N/A</v>
      </c>
      <c r="T110" s="661"/>
      <c r="U110" s="470"/>
      <c r="V110" s="473"/>
      <c r="W110" s="473"/>
      <c r="X110" s="452" t="e">
        <f t="shared" si="96"/>
        <v>#N/A</v>
      </c>
      <c r="Y110" s="661"/>
      <c r="Z110" s="470"/>
      <c r="AA110" s="473"/>
      <c r="AB110" s="473"/>
      <c r="AC110" s="452" t="e">
        <f t="shared" si="97"/>
        <v>#N/A</v>
      </c>
      <c r="AD110" s="661"/>
      <c r="AE110" s="470"/>
      <c r="AF110" s="473"/>
      <c r="AG110" s="473"/>
      <c r="AH110" s="452" t="e">
        <f t="shared" si="98"/>
        <v>#N/A</v>
      </c>
      <c r="AI110" s="661"/>
      <c r="AJ110" s="470"/>
      <c r="AK110" s="473"/>
      <c r="AL110" s="473"/>
      <c r="AM110" s="452" t="e">
        <f t="shared" si="99"/>
        <v>#N/A</v>
      </c>
      <c r="AN110" s="661"/>
      <c r="AO110" s="470"/>
      <c r="AP110" s="473"/>
      <c r="AQ110" s="473"/>
      <c r="AR110" s="452" t="e">
        <f t="shared" si="100"/>
        <v>#N/A</v>
      </c>
      <c r="AS110" s="661"/>
      <c r="AT110" s="466"/>
      <c r="AU110" s="467"/>
      <c r="AV110" s="467"/>
      <c r="AW110" s="452" t="e">
        <f t="shared" si="101"/>
        <v>#N/A</v>
      </c>
      <c r="AX110" s="661"/>
      <c r="AZ110" s="525" t="e">
        <f t="shared" si="102"/>
        <v>#N/A</v>
      </c>
      <c r="BA110" s="661"/>
    </row>
    <row r="111" spans="2:53">
      <c r="B111" s="647"/>
      <c r="C111" s="452">
        <v>5</v>
      </c>
      <c r="D111" s="226"/>
      <c r="E111" s="182"/>
      <c r="F111" s="466"/>
      <c r="G111" s="467"/>
      <c r="H111" s="689"/>
      <c r="I111" s="516" t="str">
        <f t="shared" si="92"/>
        <v>-</v>
      </c>
      <c r="J111" s="516" t="str">
        <f t="shared" si="93"/>
        <v>-</v>
      </c>
      <c r="K111" s="200" t="str">
        <f t="shared" si="94"/>
        <v>-</v>
      </c>
      <c r="L111" s="596"/>
      <c r="M111" s="453" t="e">
        <f>RANK(K111, K$67:$K$81)</f>
        <v>#VALUE!</v>
      </c>
      <c r="N111" s="614"/>
      <c r="O111" s="614"/>
      <c r="P111" s="452"/>
      <c r="Q111" s="453"/>
      <c r="R111" s="453"/>
      <c r="S111" s="452" t="e">
        <f t="shared" si="95"/>
        <v>#N/A</v>
      </c>
      <c r="T111" s="661"/>
      <c r="U111" s="470"/>
      <c r="V111" s="473"/>
      <c r="W111" s="473"/>
      <c r="X111" s="452" t="e">
        <f t="shared" si="96"/>
        <v>#N/A</v>
      </c>
      <c r="Y111" s="661"/>
      <c r="Z111" s="470"/>
      <c r="AA111" s="473"/>
      <c r="AB111" s="473"/>
      <c r="AC111" s="452" t="e">
        <f t="shared" si="97"/>
        <v>#N/A</v>
      </c>
      <c r="AD111" s="661"/>
      <c r="AE111" s="470"/>
      <c r="AF111" s="473"/>
      <c r="AG111" s="473"/>
      <c r="AH111" s="452" t="e">
        <f t="shared" si="98"/>
        <v>#N/A</v>
      </c>
      <c r="AI111" s="661"/>
      <c r="AJ111" s="470"/>
      <c r="AK111" s="473"/>
      <c r="AL111" s="473"/>
      <c r="AM111" s="452" t="e">
        <f t="shared" si="99"/>
        <v>#N/A</v>
      </c>
      <c r="AN111" s="661"/>
      <c r="AO111" s="470"/>
      <c r="AP111" s="473"/>
      <c r="AQ111" s="473"/>
      <c r="AR111" s="452" t="e">
        <f t="shared" si="100"/>
        <v>#N/A</v>
      </c>
      <c r="AS111" s="661"/>
      <c r="AT111" s="466"/>
      <c r="AU111" s="467"/>
      <c r="AV111" s="467"/>
      <c r="AW111" s="452" t="e">
        <f t="shared" si="101"/>
        <v>#N/A</v>
      </c>
      <c r="AX111" s="661"/>
      <c r="AZ111" s="525" t="e">
        <f t="shared" si="102"/>
        <v>#N/A</v>
      </c>
      <c r="BA111" s="661"/>
    </row>
    <row r="112" spans="2:53">
      <c r="B112" s="647"/>
      <c r="C112" s="452">
        <v>6</v>
      </c>
      <c r="D112" s="226"/>
      <c r="E112" s="182"/>
      <c r="F112" s="466"/>
      <c r="G112" s="467"/>
      <c r="H112" s="689"/>
      <c r="I112" s="516" t="str">
        <f t="shared" si="92"/>
        <v>-</v>
      </c>
      <c r="J112" s="516" t="str">
        <f t="shared" si="93"/>
        <v>-</v>
      </c>
      <c r="K112" s="200" t="str">
        <f t="shared" si="94"/>
        <v>-</v>
      </c>
      <c r="L112" s="596"/>
      <c r="M112" s="453" t="e">
        <f>RANK(K112, K$67:$K$81)</f>
        <v>#VALUE!</v>
      </c>
      <c r="N112" s="614"/>
      <c r="O112" s="614"/>
      <c r="P112" s="452"/>
      <c r="Q112" s="453"/>
      <c r="R112" s="453"/>
      <c r="S112" s="452" t="e">
        <f t="shared" si="95"/>
        <v>#N/A</v>
      </c>
      <c r="T112" s="661"/>
      <c r="U112" s="470"/>
      <c r="V112" s="473"/>
      <c r="W112" s="473"/>
      <c r="X112" s="452" t="e">
        <f t="shared" si="96"/>
        <v>#N/A</v>
      </c>
      <c r="Y112" s="661"/>
      <c r="Z112" s="470"/>
      <c r="AA112" s="473"/>
      <c r="AB112" s="473"/>
      <c r="AC112" s="452" t="e">
        <f t="shared" si="97"/>
        <v>#N/A</v>
      </c>
      <c r="AD112" s="661"/>
      <c r="AE112" s="470"/>
      <c r="AF112" s="473"/>
      <c r="AG112" s="473"/>
      <c r="AH112" s="452" t="e">
        <f t="shared" si="98"/>
        <v>#N/A</v>
      </c>
      <c r="AI112" s="661"/>
      <c r="AJ112" s="470"/>
      <c r="AK112" s="473"/>
      <c r="AL112" s="473"/>
      <c r="AM112" s="452" t="e">
        <f t="shared" si="99"/>
        <v>#N/A</v>
      </c>
      <c r="AN112" s="661"/>
      <c r="AO112" s="470"/>
      <c r="AP112" s="473"/>
      <c r="AQ112" s="473"/>
      <c r="AR112" s="452" t="e">
        <f t="shared" si="100"/>
        <v>#N/A</v>
      </c>
      <c r="AS112" s="661"/>
      <c r="AT112" s="466"/>
      <c r="AU112" s="467"/>
      <c r="AV112" s="467"/>
      <c r="AW112" s="452" t="e">
        <f t="shared" si="101"/>
        <v>#N/A</v>
      </c>
      <c r="AX112" s="661"/>
      <c r="AZ112" s="525" t="e">
        <f t="shared" si="102"/>
        <v>#N/A</v>
      </c>
      <c r="BA112" s="661"/>
    </row>
    <row r="113" spans="2:53">
      <c r="B113" s="647"/>
      <c r="C113" s="452">
        <v>7</v>
      </c>
      <c r="D113" s="226"/>
      <c r="E113" s="182"/>
      <c r="F113" s="466"/>
      <c r="G113" s="467"/>
      <c r="H113" s="689"/>
      <c r="I113" s="516" t="str">
        <f t="shared" si="92"/>
        <v>-</v>
      </c>
      <c r="J113" s="516" t="str">
        <f t="shared" si="93"/>
        <v>-</v>
      </c>
      <c r="K113" s="200" t="str">
        <f t="shared" si="94"/>
        <v>-</v>
      </c>
      <c r="L113" s="596"/>
      <c r="M113" s="453" t="e">
        <f>RANK(K113, K$67:$K$81)</f>
        <v>#VALUE!</v>
      </c>
      <c r="N113" s="614"/>
      <c r="O113" s="614"/>
      <c r="P113" s="452"/>
      <c r="Q113" s="453"/>
      <c r="R113" s="453"/>
      <c r="S113" s="452" t="e">
        <f t="shared" si="95"/>
        <v>#N/A</v>
      </c>
      <c r="T113" s="661"/>
      <c r="U113" s="470"/>
      <c r="V113" s="473"/>
      <c r="W113" s="473"/>
      <c r="X113" s="452" t="e">
        <f t="shared" si="96"/>
        <v>#N/A</v>
      </c>
      <c r="Y113" s="661"/>
      <c r="Z113" s="470"/>
      <c r="AA113" s="473"/>
      <c r="AB113" s="473"/>
      <c r="AC113" s="452" t="e">
        <f t="shared" si="97"/>
        <v>#N/A</v>
      </c>
      <c r="AD113" s="661"/>
      <c r="AE113" s="470"/>
      <c r="AF113" s="473"/>
      <c r="AG113" s="473"/>
      <c r="AH113" s="452" t="e">
        <f t="shared" si="98"/>
        <v>#N/A</v>
      </c>
      <c r="AI113" s="661"/>
      <c r="AJ113" s="470"/>
      <c r="AK113" s="473"/>
      <c r="AL113" s="473"/>
      <c r="AM113" s="452" t="e">
        <f t="shared" si="99"/>
        <v>#N/A</v>
      </c>
      <c r="AN113" s="661"/>
      <c r="AO113" s="470"/>
      <c r="AP113" s="473"/>
      <c r="AQ113" s="473"/>
      <c r="AR113" s="452" t="e">
        <f t="shared" si="100"/>
        <v>#N/A</v>
      </c>
      <c r="AS113" s="661"/>
      <c r="AT113" s="466"/>
      <c r="AU113" s="467"/>
      <c r="AV113" s="467"/>
      <c r="AW113" s="452" t="e">
        <f t="shared" si="101"/>
        <v>#N/A</v>
      </c>
      <c r="AX113" s="661"/>
      <c r="AZ113" s="525" t="e">
        <f t="shared" si="102"/>
        <v>#N/A</v>
      </c>
      <c r="BA113" s="661"/>
    </row>
    <row r="114" spans="2:53">
      <c r="B114" s="647"/>
      <c r="C114" s="452">
        <v>8</v>
      </c>
      <c r="D114" s="226"/>
      <c r="E114" s="182"/>
      <c r="F114" s="466"/>
      <c r="G114" s="467"/>
      <c r="H114" s="689"/>
      <c r="I114" s="516" t="str">
        <f t="shared" si="92"/>
        <v>-</v>
      </c>
      <c r="J114" s="516" t="str">
        <f t="shared" si="93"/>
        <v>-</v>
      </c>
      <c r="K114" s="200" t="str">
        <f t="shared" si="94"/>
        <v>-</v>
      </c>
      <c r="L114" s="596"/>
      <c r="M114" s="453" t="e">
        <f>RANK(K114, K$67:$K$81)</f>
        <v>#VALUE!</v>
      </c>
      <c r="N114" s="614"/>
      <c r="O114" s="614"/>
      <c r="P114" s="452"/>
      <c r="Q114" s="453"/>
      <c r="R114" s="453"/>
      <c r="S114" s="452" t="e">
        <f t="shared" si="95"/>
        <v>#N/A</v>
      </c>
      <c r="T114" s="661"/>
      <c r="U114" s="470"/>
      <c r="V114" s="473"/>
      <c r="W114" s="473"/>
      <c r="X114" s="452" t="e">
        <f t="shared" si="96"/>
        <v>#N/A</v>
      </c>
      <c r="Y114" s="661"/>
      <c r="Z114" s="470"/>
      <c r="AA114" s="473"/>
      <c r="AB114" s="473"/>
      <c r="AC114" s="452" t="e">
        <f t="shared" si="97"/>
        <v>#N/A</v>
      </c>
      <c r="AD114" s="661"/>
      <c r="AE114" s="470"/>
      <c r="AF114" s="473"/>
      <c r="AG114" s="473"/>
      <c r="AH114" s="452" t="e">
        <f t="shared" si="98"/>
        <v>#N/A</v>
      </c>
      <c r="AI114" s="661"/>
      <c r="AJ114" s="470"/>
      <c r="AK114" s="473"/>
      <c r="AL114" s="473"/>
      <c r="AM114" s="452" t="e">
        <f t="shared" si="99"/>
        <v>#N/A</v>
      </c>
      <c r="AN114" s="661"/>
      <c r="AO114" s="470"/>
      <c r="AP114" s="473"/>
      <c r="AQ114" s="473"/>
      <c r="AR114" s="452" t="e">
        <f t="shared" si="100"/>
        <v>#N/A</v>
      </c>
      <c r="AS114" s="661"/>
      <c r="AT114" s="466"/>
      <c r="AU114" s="467"/>
      <c r="AV114" s="467"/>
      <c r="AW114" s="452" t="e">
        <f t="shared" si="101"/>
        <v>#N/A</v>
      </c>
      <c r="AX114" s="661"/>
      <c r="AZ114" s="525" t="e">
        <f t="shared" si="102"/>
        <v>#N/A</v>
      </c>
      <c r="BA114" s="661"/>
    </row>
    <row r="115" spans="2:53">
      <c r="B115" s="647"/>
      <c r="C115" s="452">
        <v>9</v>
      </c>
      <c r="D115" s="226"/>
      <c r="E115" s="182"/>
      <c r="F115" s="466"/>
      <c r="G115" s="467"/>
      <c r="H115" s="689"/>
      <c r="I115" s="516" t="str">
        <f t="shared" si="92"/>
        <v>-</v>
      </c>
      <c r="J115" s="516" t="str">
        <f t="shared" si="93"/>
        <v>-</v>
      </c>
      <c r="K115" s="200" t="str">
        <f t="shared" si="94"/>
        <v>-</v>
      </c>
      <c r="L115" s="596"/>
      <c r="M115" s="453" t="e">
        <f>RANK(K115, K$67:$K$81)</f>
        <v>#VALUE!</v>
      </c>
      <c r="N115" s="614"/>
      <c r="O115" s="614"/>
      <c r="P115" s="452"/>
      <c r="Q115" s="453"/>
      <c r="R115" s="453"/>
      <c r="S115" s="452" t="e">
        <f t="shared" si="95"/>
        <v>#N/A</v>
      </c>
      <c r="T115" s="661"/>
      <c r="U115" s="470"/>
      <c r="V115" s="473"/>
      <c r="W115" s="473"/>
      <c r="X115" s="452" t="e">
        <f t="shared" si="96"/>
        <v>#N/A</v>
      </c>
      <c r="Y115" s="661"/>
      <c r="Z115" s="470"/>
      <c r="AA115" s="473"/>
      <c r="AB115" s="473"/>
      <c r="AC115" s="452" t="e">
        <f t="shared" si="97"/>
        <v>#N/A</v>
      </c>
      <c r="AD115" s="661"/>
      <c r="AE115" s="470"/>
      <c r="AF115" s="473"/>
      <c r="AG115" s="473"/>
      <c r="AH115" s="452" t="e">
        <f t="shared" si="98"/>
        <v>#N/A</v>
      </c>
      <c r="AI115" s="661"/>
      <c r="AJ115" s="470"/>
      <c r="AK115" s="473"/>
      <c r="AL115" s="473"/>
      <c r="AM115" s="452" t="e">
        <f t="shared" si="99"/>
        <v>#N/A</v>
      </c>
      <c r="AN115" s="661"/>
      <c r="AO115" s="470"/>
      <c r="AP115" s="473"/>
      <c r="AQ115" s="473"/>
      <c r="AR115" s="452" t="e">
        <f t="shared" si="100"/>
        <v>#N/A</v>
      </c>
      <c r="AS115" s="661"/>
      <c r="AT115" s="466"/>
      <c r="AU115" s="467"/>
      <c r="AV115" s="467"/>
      <c r="AW115" s="452" t="e">
        <f t="shared" si="101"/>
        <v>#N/A</v>
      </c>
      <c r="AX115" s="661"/>
      <c r="AZ115" s="525" t="e">
        <f t="shared" si="102"/>
        <v>#N/A</v>
      </c>
      <c r="BA115" s="661"/>
    </row>
    <row r="116" spans="2:53">
      <c r="B116" s="647"/>
      <c r="C116" s="452">
        <v>10</v>
      </c>
      <c r="D116" s="226"/>
      <c r="E116" s="182"/>
      <c r="F116" s="466"/>
      <c r="G116" s="467"/>
      <c r="H116" s="689"/>
      <c r="I116" s="516" t="str">
        <f t="shared" si="92"/>
        <v>-</v>
      </c>
      <c r="J116" s="516" t="str">
        <f t="shared" si="93"/>
        <v>-</v>
      </c>
      <c r="K116" s="200" t="str">
        <f t="shared" si="94"/>
        <v>-</v>
      </c>
      <c r="L116" s="596"/>
      <c r="M116" s="453" t="e">
        <f>RANK(K116, K$67:$K$81)</f>
        <v>#VALUE!</v>
      </c>
      <c r="N116" s="614"/>
      <c r="O116" s="614"/>
      <c r="P116" s="452"/>
      <c r="Q116" s="453"/>
      <c r="R116" s="453"/>
      <c r="S116" s="452" t="e">
        <f t="shared" si="95"/>
        <v>#N/A</v>
      </c>
      <c r="T116" s="661"/>
      <c r="U116" s="470"/>
      <c r="V116" s="473"/>
      <c r="W116" s="473"/>
      <c r="X116" s="452" t="e">
        <f t="shared" si="96"/>
        <v>#N/A</v>
      </c>
      <c r="Y116" s="661"/>
      <c r="Z116" s="470"/>
      <c r="AA116" s="473"/>
      <c r="AB116" s="473"/>
      <c r="AC116" s="452" t="e">
        <f t="shared" si="97"/>
        <v>#N/A</v>
      </c>
      <c r="AD116" s="661"/>
      <c r="AE116" s="470"/>
      <c r="AF116" s="473"/>
      <c r="AG116" s="473"/>
      <c r="AH116" s="452" t="e">
        <f t="shared" si="98"/>
        <v>#N/A</v>
      </c>
      <c r="AI116" s="661"/>
      <c r="AJ116" s="470"/>
      <c r="AK116" s="473"/>
      <c r="AL116" s="473"/>
      <c r="AM116" s="452" t="e">
        <f t="shared" si="99"/>
        <v>#N/A</v>
      </c>
      <c r="AN116" s="661"/>
      <c r="AO116" s="470"/>
      <c r="AP116" s="473"/>
      <c r="AQ116" s="473"/>
      <c r="AR116" s="452" t="e">
        <f t="shared" si="100"/>
        <v>#N/A</v>
      </c>
      <c r="AS116" s="661"/>
      <c r="AT116" s="466"/>
      <c r="AU116" s="466"/>
      <c r="AV116" s="467"/>
      <c r="AW116" s="452" t="e">
        <f t="shared" si="101"/>
        <v>#N/A</v>
      </c>
      <c r="AX116" s="661"/>
      <c r="AZ116" s="525" t="e">
        <f t="shared" si="102"/>
        <v>#N/A</v>
      </c>
      <c r="BA116" s="661"/>
    </row>
    <row r="117" spans="2:53">
      <c r="B117" s="647"/>
      <c r="C117" s="452">
        <v>11</v>
      </c>
      <c r="D117" s="226"/>
      <c r="E117" s="182"/>
      <c r="F117" s="466"/>
      <c r="G117" s="467"/>
      <c r="H117" s="689"/>
      <c r="I117" s="516" t="str">
        <f t="shared" si="92"/>
        <v>-</v>
      </c>
      <c r="J117" s="516" t="str">
        <f t="shared" si="93"/>
        <v>-</v>
      </c>
      <c r="K117" s="200" t="str">
        <f t="shared" si="94"/>
        <v>-</v>
      </c>
      <c r="L117" s="596"/>
      <c r="M117" s="453" t="e">
        <f>RANK(K117, K$67:$K$81)</f>
        <v>#VALUE!</v>
      </c>
      <c r="N117" s="614"/>
      <c r="O117" s="614"/>
      <c r="P117" s="452"/>
      <c r="Q117" s="453"/>
      <c r="R117" s="453"/>
      <c r="S117" s="452" t="e">
        <f t="shared" si="95"/>
        <v>#N/A</v>
      </c>
      <c r="T117" s="661"/>
      <c r="U117" s="470"/>
      <c r="V117" s="473"/>
      <c r="W117" s="473"/>
      <c r="X117" s="452" t="e">
        <f t="shared" si="96"/>
        <v>#N/A</v>
      </c>
      <c r="Y117" s="661"/>
      <c r="Z117" s="470"/>
      <c r="AA117" s="473"/>
      <c r="AB117" s="473"/>
      <c r="AC117" s="452" t="e">
        <f t="shared" si="97"/>
        <v>#N/A</v>
      </c>
      <c r="AD117" s="661"/>
      <c r="AE117" s="470"/>
      <c r="AF117" s="473"/>
      <c r="AG117" s="473"/>
      <c r="AH117" s="452" t="e">
        <f t="shared" si="98"/>
        <v>#N/A</v>
      </c>
      <c r="AI117" s="661"/>
      <c r="AJ117" s="470"/>
      <c r="AK117" s="473"/>
      <c r="AL117" s="473"/>
      <c r="AM117" s="452" t="e">
        <f t="shared" si="99"/>
        <v>#N/A</v>
      </c>
      <c r="AN117" s="661"/>
      <c r="AO117" s="470"/>
      <c r="AP117" s="473"/>
      <c r="AQ117" s="473"/>
      <c r="AR117" s="452" t="e">
        <f t="shared" si="100"/>
        <v>#N/A</v>
      </c>
      <c r="AS117" s="661"/>
      <c r="AT117" s="466"/>
      <c r="AU117" s="466"/>
      <c r="AV117" s="466"/>
      <c r="AW117" s="452" t="e">
        <f t="shared" si="101"/>
        <v>#N/A</v>
      </c>
      <c r="AX117" s="661"/>
      <c r="AZ117" s="525" t="e">
        <f t="shared" si="102"/>
        <v>#N/A</v>
      </c>
      <c r="BA117" s="661"/>
    </row>
    <row r="118" spans="2:53">
      <c r="B118" s="647"/>
      <c r="C118" s="452">
        <v>12</v>
      </c>
      <c r="D118" s="226"/>
      <c r="E118" s="182"/>
      <c r="F118" s="466"/>
      <c r="G118" s="467"/>
      <c r="H118" s="689"/>
      <c r="I118" s="516" t="str">
        <f t="shared" si="92"/>
        <v>-</v>
      </c>
      <c r="J118" s="516" t="str">
        <f t="shared" si="93"/>
        <v>-</v>
      </c>
      <c r="K118" s="200" t="str">
        <f t="shared" si="94"/>
        <v>-</v>
      </c>
      <c r="L118" s="596"/>
      <c r="M118" s="453" t="e">
        <f>RANK(K118, K$67:$K$81)</f>
        <v>#VALUE!</v>
      </c>
      <c r="N118" s="614"/>
      <c r="O118" s="614"/>
      <c r="P118" s="452"/>
      <c r="Q118" s="453"/>
      <c r="R118" s="453"/>
      <c r="S118" s="452" t="e">
        <f t="shared" si="95"/>
        <v>#N/A</v>
      </c>
      <c r="T118" s="661"/>
      <c r="U118" s="470"/>
      <c r="V118" s="473"/>
      <c r="W118" s="473"/>
      <c r="X118" s="452" t="e">
        <f t="shared" si="96"/>
        <v>#N/A</v>
      </c>
      <c r="Y118" s="661"/>
      <c r="Z118" s="470"/>
      <c r="AA118" s="473"/>
      <c r="AB118" s="473"/>
      <c r="AC118" s="452" t="e">
        <f t="shared" si="97"/>
        <v>#N/A</v>
      </c>
      <c r="AD118" s="661"/>
      <c r="AE118" s="470"/>
      <c r="AF118" s="473"/>
      <c r="AG118" s="473"/>
      <c r="AH118" s="452" t="e">
        <f t="shared" si="98"/>
        <v>#N/A</v>
      </c>
      <c r="AI118" s="661"/>
      <c r="AJ118" s="470"/>
      <c r="AK118" s="473"/>
      <c r="AL118" s="473"/>
      <c r="AM118" s="452" t="e">
        <f t="shared" si="99"/>
        <v>#N/A</v>
      </c>
      <c r="AN118" s="661"/>
      <c r="AO118" s="470"/>
      <c r="AP118" s="473"/>
      <c r="AQ118" s="473"/>
      <c r="AR118" s="452" t="e">
        <f t="shared" si="100"/>
        <v>#N/A</v>
      </c>
      <c r="AS118" s="661"/>
      <c r="AT118" s="466"/>
      <c r="AU118" s="466"/>
      <c r="AV118" s="466"/>
      <c r="AW118" s="452" t="e">
        <f t="shared" si="101"/>
        <v>#N/A</v>
      </c>
      <c r="AX118" s="661"/>
      <c r="AZ118" s="525" t="e">
        <f t="shared" si="102"/>
        <v>#N/A</v>
      </c>
      <c r="BA118" s="661"/>
    </row>
    <row r="119" spans="2:53">
      <c r="B119" s="647"/>
      <c r="C119" s="452">
        <v>13</v>
      </c>
      <c r="D119" s="226"/>
      <c r="E119" s="182"/>
      <c r="F119" s="466"/>
      <c r="G119" s="467"/>
      <c r="H119" s="689"/>
      <c r="I119" s="516" t="str">
        <f t="shared" si="92"/>
        <v>-</v>
      </c>
      <c r="J119" s="516" t="str">
        <f t="shared" si="93"/>
        <v>-</v>
      </c>
      <c r="K119" s="200" t="str">
        <f t="shared" si="94"/>
        <v>-</v>
      </c>
      <c r="L119" s="596"/>
      <c r="M119" s="453" t="e">
        <f>RANK(K119, K$67:$K$81)</f>
        <v>#VALUE!</v>
      </c>
      <c r="N119" s="614"/>
      <c r="O119" s="614"/>
      <c r="P119" s="452"/>
      <c r="Q119" s="453"/>
      <c r="R119" s="453"/>
      <c r="S119" s="452" t="e">
        <f t="shared" si="95"/>
        <v>#N/A</v>
      </c>
      <c r="T119" s="661"/>
      <c r="U119" s="470"/>
      <c r="V119" s="473"/>
      <c r="W119" s="473"/>
      <c r="X119" s="452" t="e">
        <f t="shared" si="96"/>
        <v>#N/A</v>
      </c>
      <c r="Y119" s="661"/>
      <c r="Z119" s="470"/>
      <c r="AA119" s="473"/>
      <c r="AB119" s="473"/>
      <c r="AC119" s="452" t="e">
        <f t="shared" si="97"/>
        <v>#N/A</v>
      </c>
      <c r="AD119" s="661"/>
      <c r="AE119" s="470"/>
      <c r="AF119" s="473"/>
      <c r="AG119" s="473"/>
      <c r="AH119" s="452" t="e">
        <f t="shared" si="98"/>
        <v>#N/A</v>
      </c>
      <c r="AI119" s="661"/>
      <c r="AJ119" s="470"/>
      <c r="AK119" s="473"/>
      <c r="AL119" s="473"/>
      <c r="AM119" s="452" t="e">
        <f t="shared" si="99"/>
        <v>#N/A</v>
      </c>
      <c r="AN119" s="661"/>
      <c r="AO119" s="470"/>
      <c r="AP119" s="473"/>
      <c r="AQ119" s="473"/>
      <c r="AR119" s="452" t="e">
        <f t="shared" si="100"/>
        <v>#N/A</v>
      </c>
      <c r="AS119" s="661"/>
      <c r="AT119" s="466"/>
      <c r="AU119" s="466"/>
      <c r="AV119" s="466"/>
      <c r="AW119" s="452" t="e">
        <f t="shared" si="101"/>
        <v>#N/A</v>
      </c>
      <c r="AX119" s="661"/>
      <c r="AZ119" s="525" t="e">
        <f t="shared" si="102"/>
        <v>#N/A</v>
      </c>
      <c r="BA119" s="661"/>
    </row>
    <row r="120" spans="2:53">
      <c r="B120" s="647"/>
      <c r="C120" s="452">
        <v>14</v>
      </c>
      <c r="D120" s="226"/>
      <c r="E120" s="182"/>
      <c r="F120" s="466"/>
      <c r="G120" s="467"/>
      <c r="H120" s="689"/>
      <c r="I120" s="516" t="str">
        <f t="shared" si="92"/>
        <v>-</v>
      </c>
      <c r="J120" s="516" t="str">
        <f t="shared" si="93"/>
        <v>-</v>
      </c>
      <c r="K120" s="200" t="str">
        <f t="shared" si="94"/>
        <v>-</v>
      </c>
      <c r="L120" s="596"/>
      <c r="M120" s="453" t="e">
        <f>RANK(K120, K$67:$K$81)</f>
        <v>#VALUE!</v>
      </c>
      <c r="N120" s="614"/>
      <c r="O120" s="614"/>
      <c r="P120" s="452"/>
      <c r="Q120" s="453"/>
      <c r="R120" s="453"/>
      <c r="S120" s="452" t="e">
        <f t="shared" si="95"/>
        <v>#N/A</v>
      </c>
      <c r="T120" s="661"/>
      <c r="U120" s="470"/>
      <c r="V120" s="473"/>
      <c r="W120" s="473"/>
      <c r="X120" s="452" t="e">
        <f t="shared" si="96"/>
        <v>#N/A</v>
      </c>
      <c r="Y120" s="661"/>
      <c r="Z120" s="470"/>
      <c r="AA120" s="473"/>
      <c r="AB120" s="473"/>
      <c r="AC120" s="452" t="e">
        <f t="shared" si="97"/>
        <v>#N/A</v>
      </c>
      <c r="AD120" s="661"/>
      <c r="AE120" s="470"/>
      <c r="AF120" s="473"/>
      <c r="AG120" s="473"/>
      <c r="AH120" s="452" t="e">
        <f t="shared" si="98"/>
        <v>#N/A</v>
      </c>
      <c r="AI120" s="661"/>
      <c r="AJ120" s="470"/>
      <c r="AK120" s="473"/>
      <c r="AL120" s="473"/>
      <c r="AM120" s="452" t="e">
        <f t="shared" si="99"/>
        <v>#N/A</v>
      </c>
      <c r="AN120" s="661"/>
      <c r="AO120" s="470"/>
      <c r="AP120" s="473"/>
      <c r="AQ120" s="473"/>
      <c r="AR120" s="452" t="e">
        <f t="shared" si="100"/>
        <v>#N/A</v>
      </c>
      <c r="AS120" s="661"/>
      <c r="AT120" s="466"/>
      <c r="AU120" s="466"/>
      <c r="AV120" s="466"/>
      <c r="AW120" s="452" t="e">
        <f t="shared" si="101"/>
        <v>#N/A</v>
      </c>
      <c r="AX120" s="661"/>
      <c r="AZ120" s="525" t="e">
        <f t="shared" si="102"/>
        <v>#N/A</v>
      </c>
      <c r="BA120" s="661"/>
    </row>
    <row r="121" spans="2:53">
      <c r="B121" s="647"/>
      <c r="C121" s="452">
        <v>15</v>
      </c>
      <c r="D121" s="226"/>
      <c r="E121" s="182"/>
      <c r="F121" s="466"/>
      <c r="G121" s="467"/>
      <c r="H121" s="690"/>
      <c r="I121" s="520"/>
      <c r="J121" s="520"/>
      <c r="K121" s="520"/>
      <c r="L121" s="597"/>
      <c r="M121" s="453" t="e">
        <f>RANK(K121, K$47:$K$61)</f>
        <v>#N/A</v>
      </c>
      <c r="N121" s="614"/>
      <c r="O121" s="614"/>
      <c r="P121" s="452"/>
      <c r="Q121" s="453"/>
      <c r="R121" s="453"/>
      <c r="S121" s="452" t="e">
        <f t="shared" si="95"/>
        <v>#N/A</v>
      </c>
      <c r="T121" s="661"/>
      <c r="U121" s="470"/>
      <c r="V121" s="473"/>
      <c r="W121" s="473"/>
      <c r="X121" s="452" t="e">
        <f t="shared" si="96"/>
        <v>#N/A</v>
      </c>
      <c r="Y121" s="661"/>
      <c r="Z121" s="470"/>
      <c r="AA121" s="473"/>
      <c r="AB121" s="473"/>
      <c r="AC121" s="452" t="e">
        <f t="shared" si="97"/>
        <v>#N/A</v>
      </c>
      <c r="AD121" s="661"/>
      <c r="AE121" s="470"/>
      <c r="AF121" s="473"/>
      <c r="AG121" s="473"/>
      <c r="AH121" s="452" t="e">
        <f t="shared" si="98"/>
        <v>#N/A</v>
      </c>
      <c r="AI121" s="661"/>
      <c r="AJ121" s="470"/>
      <c r="AK121" s="473"/>
      <c r="AL121" s="473"/>
      <c r="AM121" s="452" t="e">
        <f t="shared" si="99"/>
        <v>#N/A</v>
      </c>
      <c r="AN121" s="661"/>
      <c r="AO121" s="470"/>
      <c r="AP121" s="473"/>
      <c r="AQ121" s="473"/>
      <c r="AR121" s="452" t="e">
        <f t="shared" si="100"/>
        <v>#N/A</v>
      </c>
      <c r="AS121" s="661"/>
      <c r="AT121" s="466"/>
      <c r="AU121" s="466"/>
      <c r="AV121" s="466"/>
      <c r="AW121" s="452" t="e">
        <f t="shared" si="101"/>
        <v>#N/A</v>
      </c>
      <c r="AX121" s="661"/>
      <c r="AZ121" s="525" t="e">
        <f t="shared" si="102"/>
        <v>#N/A</v>
      </c>
      <c r="BA121" s="661"/>
    </row>
    <row r="123" spans="2:53" ht="15.75">
      <c r="B123" s="653" t="s">
        <v>560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561</v>
      </c>
      <c r="C125" s="614" t="s">
        <v>562</v>
      </c>
      <c r="D125" s="614"/>
      <c r="E125" s="614" t="s">
        <v>563</v>
      </c>
      <c r="F125" s="614"/>
      <c r="G125" s="614"/>
      <c r="H125" s="630" t="s">
        <v>564</v>
      </c>
      <c r="I125" s="657" t="s">
        <v>565</v>
      </c>
      <c r="J125" s="657"/>
      <c r="K125" s="657"/>
      <c r="L125" s="673" t="s">
        <v>564</v>
      </c>
      <c r="M125" s="676" t="s">
        <v>566</v>
      </c>
    </row>
    <row r="126" spans="2:53">
      <c r="B126" s="614"/>
      <c r="C126" s="614"/>
      <c r="D126" s="614"/>
      <c r="E126" s="614" t="s">
        <v>567</v>
      </c>
      <c r="F126" s="614"/>
      <c r="G126" s="614"/>
      <c r="H126" s="631"/>
      <c r="I126" s="657" t="s">
        <v>567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568</v>
      </c>
      <c r="F127" s="335" t="s">
        <v>569</v>
      </c>
      <c r="G127" s="335" t="s">
        <v>570</v>
      </c>
      <c r="H127" s="632"/>
      <c r="I127" s="342" t="s">
        <v>568</v>
      </c>
      <c r="J127" s="342" t="s">
        <v>569</v>
      </c>
      <c r="K127" s="342" t="s">
        <v>570</v>
      </c>
      <c r="L127" s="675"/>
      <c r="M127" s="678"/>
    </row>
    <row r="128" spans="2:53">
      <c r="B128" s="614" t="s">
        <v>577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J132" si="103">AVERAGEIF($D$7:$D$121,$D128,I$7:I$121)</f>
        <v>#DIV/0!</v>
      </c>
      <c r="J128" s="199" t="e">
        <f t="shared" si="103"/>
        <v>#DIV/0!</v>
      </c>
      <c r="K128" s="199" t="e">
        <f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39">
      <c r="B129" s="622"/>
      <c r="C129" s="334">
        <v>2</v>
      </c>
      <c r="D129" s="226"/>
      <c r="E129" s="182"/>
      <c r="F129" s="334"/>
      <c r="G129" s="337"/>
      <c r="H129" s="664"/>
      <c r="I129" s="199" t="e">
        <f t="shared" si="103"/>
        <v>#DIV/0!</v>
      </c>
      <c r="J129" s="199" t="e">
        <f t="shared" si="103"/>
        <v>#DIV/0!</v>
      </c>
      <c r="K129" s="199" t="e">
        <f>AVERAGEIF($D$7:$D$121,$D129,K$7:K$121)</f>
        <v>#DIV/0!</v>
      </c>
      <c r="L129" s="671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622"/>
      <c r="C130" s="334">
        <v>3</v>
      </c>
      <c r="D130" s="226"/>
      <c r="E130" s="182"/>
      <c r="F130" s="334"/>
      <c r="G130" s="337"/>
      <c r="H130" s="664"/>
      <c r="I130" s="199" t="e">
        <f t="shared" si="103"/>
        <v>#DIV/0!</v>
      </c>
      <c r="J130" s="199" t="e">
        <f t="shared" si="103"/>
        <v>#DIV/0!</v>
      </c>
      <c r="K130" s="199" t="e">
        <f>AVERAGEIF($D$7:$D$121,$D130,K$7:K$121)</f>
        <v>#DIV/0!</v>
      </c>
      <c r="L130" s="671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622"/>
      <c r="C131" s="334">
        <v>4</v>
      </c>
      <c r="D131" s="226"/>
      <c r="E131" s="182"/>
      <c r="F131" s="334"/>
      <c r="G131" s="337"/>
      <c r="H131" s="664"/>
      <c r="I131" s="199" t="e">
        <f t="shared" si="103"/>
        <v>#DIV/0!</v>
      </c>
      <c r="J131" s="199" t="e">
        <f t="shared" si="103"/>
        <v>#DIV/0!</v>
      </c>
      <c r="K131" s="199" t="e">
        <f>AVERAGEIF($D$7:$D$121,$D131,K$7:K$121)</f>
        <v>#DIV/0!</v>
      </c>
      <c r="L131" s="671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622"/>
      <c r="C132" s="334">
        <v>5</v>
      </c>
      <c r="D132" s="226"/>
      <c r="E132" s="182"/>
      <c r="F132" s="334"/>
      <c r="G132" s="337"/>
      <c r="H132" s="664"/>
      <c r="I132" s="199" t="e">
        <f t="shared" si="103"/>
        <v>#DIV/0!</v>
      </c>
      <c r="J132" s="199" t="e">
        <f t="shared" si="103"/>
        <v>#DIV/0!</v>
      </c>
      <c r="K132" s="199" t="e">
        <f>AVERAGEIF($D$7:$D$121,$D132,K$7:K$121)</f>
        <v>#DIV/0!</v>
      </c>
      <c r="L132" s="671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622"/>
      <c r="C133" s="334">
        <v>6</v>
      </c>
      <c r="D133" s="343"/>
      <c r="E133" s="182"/>
      <c r="F133" s="334"/>
      <c r="G133" s="337"/>
      <c r="H133" s="664"/>
      <c r="I133" s="199"/>
      <c r="J133" s="199"/>
      <c r="K133" s="199"/>
      <c r="L133" s="671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622"/>
      <c r="C134" s="334">
        <v>7</v>
      </c>
      <c r="D134" s="226"/>
      <c r="E134" s="182"/>
      <c r="F134" s="334"/>
      <c r="G134" s="337"/>
      <c r="H134" s="664"/>
      <c r="I134" s="199"/>
      <c r="J134" s="199"/>
      <c r="K134" s="199"/>
      <c r="L134" s="671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622"/>
      <c r="C135" s="334">
        <v>8</v>
      </c>
      <c r="D135" s="226"/>
      <c r="E135" s="182"/>
      <c r="F135" s="334"/>
      <c r="G135" s="337"/>
      <c r="H135" s="664"/>
      <c r="I135" s="199"/>
      <c r="J135" s="199"/>
      <c r="K135" s="199"/>
      <c r="L135" s="671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622"/>
      <c r="C136" s="334">
        <v>9</v>
      </c>
      <c r="D136" s="226"/>
      <c r="E136" s="334"/>
      <c r="F136" s="334"/>
      <c r="G136" s="334"/>
      <c r="H136" s="664"/>
      <c r="I136" s="199"/>
      <c r="J136" s="199"/>
      <c r="K136" s="199"/>
      <c r="L136" s="671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622"/>
      <c r="C137" s="334">
        <v>10</v>
      </c>
      <c r="D137" s="226"/>
      <c r="E137" s="334"/>
      <c r="F137" s="334"/>
      <c r="G137" s="334"/>
      <c r="H137" s="664"/>
      <c r="I137" s="199"/>
      <c r="J137" s="199"/>
      <c r="K137" s="199"/>
      <c r="L137" s="671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622"/>
      <c r="C138" s="334">
        <v>11</v>
      </c>
      <c r="D138" s="226"/>
      <c r="E138" s="334"/>
      <c r="F138" s="334"/>
      <c r="G138" s="334"/>
      <c r="H138" s="664"/>
      <c r="I138" s="199"/>
      <c r="J138" s="199"/>
      <c r="K138" s="199"/>
      <c r="L138" s="671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AG101" sqref="AG10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332</v>
      </c>
      <c r="C1" s="220">
        <f>AVERAGE(L7,L27,L47,L67,L87,L107)</f>
        <v>177.9708580408809</v>
      </c>
    </row>
    <row r="2" spans="1:53" ht="15.75">
      <c r="A2" s="81"/>
      <c r="B2" s="626" t="s">
        <v>163</v>
      </c>
      <c r="C2" s="626"/>
      <c r="D2" s="626"/>
      <c r="E2" s="626"/>
      <c r="F2" s="626"/>
      <c r="G2" s="626"/>
      <c r="H2" s="626"/>
      <c r="I2" s="307"/>
      <c r="J2" s="307"/>
      <c r="K2" s="307"/>
      <c r="L2" s="307"/>
      <c r="M2" s="197"/>
      <c r="N2" s="615" t="s">
        <v>156</v>
      </c>
      <c r="O2" s="615" t="s">
        <v>155</v>
      </c>
      <c r="P2" s="642">
        <v>46112</v>
      </c>
      <c r="Q2" s="643"/>
      <c r="R2" s="643"/>
      <c r="S2" s="643"/>
      <c r="T2" s="644"/>
      <c r="U2" s="621">
        <f>P2+1</f>
        <v>46113</v>
      </c>
      <c r="V2" s="622"/>
      <c r="W2" s="622"/>
      <c r="X2" s="622"/>
      <c r="Y2" s="622"/>
      <c r="Z2" s="621">
        <f>U2+1</f>
        <v>46114</v>
      </c>
      <c r="AA2" s="622"/>
      <c r="AB2" s="622"/>
      <c r="AC2" s="622"/>
      <c r="AD2" s="622"/>
      <c r="AE2" s="621">
        <f>Z2+1</f>
        <v>46115</v>
      </c>
      <c r="AF2" s="622"/>
      <c r="AG2" s="622"/>
      <c r="AH2" s="622"/>
      <c r="AI2" s="622"/>
      <c r="AJ2" s="621">
        <f>AE2+1</f>
        <v>46116</v>
      </c>
      <c r="AK2" s="622"/>
      <c r="AL2" s="622"/>
      <c r="AM2" s="622"/>
      <c r="AN2" s="622"/>
      <c r="AO2" s="621">
        <f>AJ2+1</f>
        <v>46117</v>
      </c>
      <c r="AP2" s="622"/>
      <c r="AQ2" s="622"/>
      <c r="AR2" s="622"/>
      <c r="AS2" s="622"/>
      <c r="AT2" s="618">
        <f>AO2+1</f>
        <v>46118</v>
      </c>
      <c r="AU2" s="619"/>
      <c r="AV2" s="619"/>
      <c r="AW2" s="619"/>
      <c r="AX2" s="620"/>
    </row>
    <row r="3" spans="1:53" ht="15.75">
      <c r="A3" s="81"/>
      <c r="B3" s="645"/>
      <c r="C3" s="645"/>
      <c r="D3" s="645"/>
      <c r="E3" s="645"/>
      <c r="F3" s="645"/>
      <c r="G3" s="645"/>
      <c r="H3" s="645"/>
      <c r="I3" s="308"/>
      <c r="J3" s="308"/>
      <c r="K3" s="308"/>
      <c r="L3" s="308"/>
      <c r="M3" s="198"/>
      <c r="N3" s="617"/>
      <c r="O3" s="617"/>
      <c r="P3" s="618" t="s">
        <v>158</v>
      </c>
      <c r="Q3" s="619"/>
      <c r="R3" s="619"/>
      <c r="S3" s="619"/>
      <c r="T3" s="620"/>
      <c r="U3" s="618" t="s">
        <v>114</v>
      </c>
      <c r="V3" s="619"/>
      <c r="W3" s="619"/>
      <c r="X3" s="619"/>
      <c r="Y3" s="620"/>
      <c r="Z3" s="618" t="s">
        <v>159</v>
      </c>
      <c r="AA3" s="619"/>
      <c r="AB3" s="619"/>
      <c r="AC3" s="619"/>
      <c r="AD3" s="620"/>
      <c r="AE3" s="618" t="s">
        <v>157</v>
      </c>
      <c r="AF3" s="619"/>
      <c r="AG3" s="619"/>
      <c r="AH3" s="619"/>
      <c r="AI3" s="620"/>
      <c r="AJ3" s="618" t="s">
        <v>160</v>
      </c>
      <c r="AK3" s="619"/>
      <c r="AL3" s="619"/>
      <c r="AM3" s="619"/>
      <c r="AN3" s="620"/>
      <c r="AO3" s="618" t="s">
        <v>161</v>
      </c>
      <c r="AP3" s="619"/>
      <c r="AQ3" s="619"/>
      <c r="AR3" s="619"/>
      <c r="AS3" s="620"/>
      <c r="AT3" s="618" t="s">
        <v>162</v>
      </c>
      <c r="AU3" s="619"/>
      <c r="AV3" s="619"/>
      <c r="AW3" s="619"/>
      <c r="AX3" s="620"/>
    </row>
    <row r="4" spans="1:53" ht="14.25">
      <c r="A4" s="81"/>
      <c r="B4" s="614" t="s">
        <v>695</v>
      </c>
      <c r="C4" s="614" t="s">
        <v>696</v>
      </c>
      <c r="D4" s="614"/>
      <c r="E4" s="614" t="s">
        <v>697</v>
      </c>
      <c r="F4" s="614"/>
      <c r="G4" s="614"/>
      <c r="H4" s="630" t="s">
        <v>698</v>
      </c>
      <c r="I4" s="614" t="s">
        <v>699</v>
      </c>
      <c r="J4" s="614"/>
      <c r="K4" s="614"/>
      <c r="L4" s="630" t="s">
        <v>395</v>
      </c>
      <c r="M4" s="615" t="s">
        <v>700</v>
      </c>
      <c r="N4" s="614"/>
      <c r="O4" s="614" t="s">
        <v>430</v>
      </c>
      <c r="P4" s="611" t="s">
        <v>397</v>
      </c>
      <c r="Q4" s="612"/>
      <c r="R4" s="612"/>
      <c r="S4" s="613"/>
      <c r="T4" s="614" t="s">
        <v>395</v>
      </c>
      <c r="U4" s="611" t="s">
        <v>397</v>
      </c>
      <c r="V4" s="612"/>
      <c r="W4" s="612"/>
      <c r="X4" s="613"/>
      <c r="Y4" s="614" t="s">
        <v>395</v>
      </c>
      <c r="Z4" s="611" t="s">
        <v>397</v>
      </c>
      <c r="AA4" s="612"/>
      <c r="AB4" s="612"/>
      <c r="AC4" s="613"/>
      <c r="AD4" s="614" t="s">
        <v>395</v>
      </c>
      <c r="AE4" s="611" t="s">
        <v>397</v>
      </c>
      <c r="AF4" s="612"/>
      <c r="AG4" s="612"/>
      <c r="AH4" s="613"/>
      <c r="AI4" s="614" t="s">
        <v>395</v>
      </c>
      <c r="AJ4" s="611" t="s">
        <v>397</v>
      </c>
      <c r="AK4" s="612"/>
      <c r="AL4" s="612"/>
      <c r="AM4" s="613"/>
      <c r="AN4" s="614" t="s">
        <v>395</v>
      </c>
      <c r="AO4" s="611" t="s">
        <v>397</v>
      </c>
      <c r="AP4" s="612"/>
      <c r="AQ4" s="612"/>
      <c r="AR4" s="613"/>
      <c r="AS4" s="614" t="s">
        <v>395</v>
      </c>
      <c r="AT4" s="611" t="s">
        <v>397</v>
      </c>
      <c r="AU4" s="612"/>
      <c r="AV4" s="612"/>
      <c r="AW4" s="613"/>
      <c r="AX4" s="614" t="s">
        <v>395</v>
      </c>
      <c r="BA4" s="614" t="s">
        <v>395</v>
      </c>
    </row>
    <row r="5" spans="1:53" ht="14.25">
      <c r="A5" s="81"/>
      <c r="B5" s="614"/>
      <c r="C5" s="614"/>
      <c r="D5" s="614"/>
      <c r="E5" s="614" t="s">
        <v>702</v>
      </c>
      <c r="F5" s="614"/>
      <c r="G5" s="614"/>
      <c r="H5" s="631"/>
      <c r="I5" s="614" t="s">
        <v>702</v>
      </c>
      <c r="J5" s="614"/>
      <c r="K5" s="614"/>
      <c r="L5" s="631"/>
      <c r="M5" s="616"/>
      <c r="N5" s="614"/>
      <c r="O5" s="614"/>
      <c r="P5" s="611" t="s">
        <v>689</v>
      </c>
      <c r="Q5" s="612"/>
      <c r="R5" s="612"/>
      <c r="S5" s="613"/>
      <c r="T5" s="614"/>
      <c r="U5" s="611" t="s">
        <v>689</v>
      </c>
      <c r="V5" s="612"/>
      <c r="W5" s="612"/>
      <c r="X5" s="613"/>
      <c r="Y5" s="614"/>
      <c r="Z5" s="611" t="s">
        <v>689</v>
      </c>
      <c r="AA5" s="612"/>
      <c r="AB5" s="612"/>
      <c r="AC5" s="613"/>
      <c r="AD5" s="614"/>
      <c r="AE5" s="611" t="s">
        <v>689</v>
      </c>
      <c r="AF5" s="612"/>
      <c r="AG5" s="612"/>
      <c r="AH5" s="613"/>
      <c r="AI5" s="614"/>
      <c r="AJ5" s="611" t="s">
        <v>689</v>
      </c>
      <c r="AK5" s="612"/>
      <c r="AL5" s="612"/>
      <c r="AM5" s="613"/>
      <c r="AN5" s="614"/>
      <c r="AO5" s="611" t="s">
        <v>689</v>
      </c>
      <c r="AP5" s="612"/>
      <c r="AQ5" s="612"/>
      <c r="AR5" s="613"/>
      <c r="AS5" s="614"/>
      <c r="AT5" s="611" t="s">
        <v>689</v>
      </c>
      <c r="AU5" s="612"/>
      <c r="AV5" s="612"/>
      <c r="AW5" s="613"/>
      <c r="AX5" s="614"/>
      <c r="BA5" s="614"/>
    </row>
    <row r="6" spans="1:53" ht="14.25">
      <c r="A6" s="79"/>
      <c r="B6" s="614"/>
      <c r="C6" s="614"/>
      <c r="D6" s="614"/>
      <c r="E6" s="469" t="s">
        <v>703</v>
      </c>
      <c r="F6" s="469" t="s">
        <v>704</v>
      </c>
      <c r="G6" s="469" t="s">
        <v>705</v>
      </c>
      <c r="H6" s="632"/>
      <c r="I6" s="469" t="s">
        <v>703</v>
      </c>
      <c r="J6" s="469" t="s">
        <v>704</v>
      </c>
      <c r="K6" s="469" t="s">
        <v>705</v>
      </c>
      <c r="L6" s="632"/>
      <c r="M6" s="617"/>
      <c r="N6" s="614"/>
      <c r="O6" s="614"/>
      <c r="P6" s="469" t="s">
        <v>404</v>
      </c>
      <c r="Q6" s="469" t="s">
        <v>691</v>
      </c>
      <c r="R6" s="469" t="s">
        <v>692</v>
      </c>
      <c r="S6" s="469" t="s">
        <v>396</v>
      </c>
      <c r="T6" s="614"/>
      <c r="U6" s="469" t="s">
        <v>404</v>
      </c>
      <c r="V6" s="469" t="s">
        <v>691</v>
      </c>
      <c r="W6" s="469" t="s">
        <v>692</v>
      </c>
      <c r="X6" s="469" t="s">
        <v>396</v>
      </c>
      <c r="Y6" s="614"/>
      <c r="Z6" s="469" t="s">
        <v>404</v>
      </c>
      <c r="AA6" s="469" t="s">
        <v>691</v>
      </c>
      <c r="AB6" s="469" t="s">
        <v>692</v>
      </c>
      <c r="AC6" s="469" t="s">
        <v>396</v>
      </c>
      <c r="AD6" s="614"/>
      <c r="AE6" s="469" t="s">
        <v>404</v>
      </c>
      <c r="AF6" s="469" t="s">
        <v>691</v>
      </c>
      <c r="AG6" s="469" t="s">
        <v>692</v>
      </c>
      <c r="AH6" s="469" t="s">
        <v>396</v>
      </c>
      <c r="AI6" s="614"/>
      <c r="AJ6" s="469" t="s">
        <v>404</v>
      </c>
      <c r="AK6" s="469" t="s">
        <v>691</v>
      </c>
      <c r="AL6" s="469" t="s">
        <v>692</v>
      </c>
      <c r="AM6" s="469" t="s">
        <v>396</v>
      </c>
      <c r="AN6" s="614"/>
      <c r="AO6" s="469" t="s">
        <v>404</v>
      </c>
      <c r="AP6" s="469" t="s">
        <v>691</v>
      </c>
      <c r="AQ6" s="469" t="s">
        <v>692</v>
      </c>
      <c r="AR6" s="469" t="s">
        <v>396</v>
      </c>
      <c r="AS6" s="614"/>
      <c r="AT6" s="469" t="s">
        <v>404</v>
      </c>
      <c r="AU6" s="469" t="s">
        <v>691</v>
      </c>
      <c r="AV6" s="469" t="s">
        <v>692</v>
      </c>
      <c r="AW6" s="469" t="s">
        <v>396</v>
      </c>
      <c r="AX6" s="614"/>
      <c r="AZ6" s="523" t="s">
        <v>396</v>
      </c>
      <c r="BA6" s="614"/>
    </row>
    <row r="7" spans="1:53" ht="14.25">
      <c r="A7" s="81"/>
      <c r="B7" s="614" t="s">
        <v>136</v>
      </c>
      <c r="C7" s="470">
        <v>1</v>
      </c>
      <c r="D7" s="226" t="s">
        <v>381</v>
      </c>
      <c r="E7" s="182">
        <v>7</v>
      </c>
      <c r="F7" s="490">
        <v>1500</v>
      </c>
      <c r="G7" s="491">
        <v>214.3</v>
      </c>
      <c r="H7" s="658">
        <f>AVERAGE(G7:G21)</f>
        <v>184.21428571428575</v>
      </c>
      <c r="I7" s="516">
        <f t="shared" ref="I7:I20" si="0">IFERROR(AVERAGE(P7,U7,Z7,AE7,AJ7,AO7,AT7),"-")</f>
        <v>7</v>
      </c>
      <c r="J7" s="516">
        <f t="shared" ref="J7:J20" si="1">IFERROR(AVERAGE(Q7,V7,AA7,AF7,AK7,AP7,AU7),"-")</f>
        <v>1486.5310820327213</v>
      </c>
      <c r="K7" s="200">
        <f t="shared" ref="K7:K20" si="2">IFERROR(AVERAGE(R7,W7,AB7,AG7,AL7,AQ7,AV7),"-")</f>
        <v>212.3615831475316</v>
      </c>
      <c r="L7" s="658">
        <f>IFERROR(AVERAGE(K7:K21),"-")</f>
        <v>178.48613962015105</v>
      </c>
      <c r="M7" s="472">
        <f>RANK(K7, K$7:$K$21)</f>
        <v>2</v>
      </c>
      <c r="N7" s="614"/>
      <c r="O7" s="614"/>
      <c r="P7" s="524">
        <v>7</v>
      </c>
      <c r="Q7" s="182">
        <v>1500.7999999999997</v>
      </c>
      <c r="R7" s="182">
        <v>214.39999999999995</v>
      </c>
      <c r="S7" s="525">
        <f t="shared" ref="S7:S21" si="3">RANK(R7, R$7:R$21)</f>
        <v>2</v>
      </c>
      <c r="T7" s="661">
        <f t="shared" ref="T7" si="4">AVERAGE(R7:R21)</f>
        <v>180.09645460854637</v>
      </c>
      <c r="U7" s="524">
        <v>7</v>
      </c>
      <c r="V7" s="182">
        <v>1504.6153846153843</v>
      </c>
      <c r="W7" s="182">
        <v>214.94505494505489</v>
      </c>
      <c r="X7" s="525">
        <f t="shared" ref="X7:X21" si="5">RANK(W7, W$7:W$21)</f>
        <v>2</v>
      </c>
      <c r="Y7" s="661">
        <f t="shared" ref="Y7" si="6">AVERAGE(W7:W21)</f>
        <v>179.49686487871173</v>
      </c>
      <c r="Z7" s="524">
        <v>7</v>
      </c>
      <c r="AA7" s="182">
        <v>1484.5454545454545</v>
      </c>
      <c r="AB7" s="182">
        <v>212.07792207792207</v>
      </c>
      <c r="AC7" s="525">
        <f t="shared" ref="AC7:AC21" si="7">RANK(AB7, AB$7:AB$21)</f>
        <v>3</v>
      </c>
      <c r="AD7" s="661">
        <f t="shared" ref="AD7" si="8">AVERAGE(AB7:AB21)</f>
        <v>177.88860096507273</v>
      </c>
      <c r="AE7" s="524">
        <v>7</v>
      </c>
      <c r="AF7" s="182">
        <v>1450.8196721311479</v>
      </c>
      <c r="AG7" s="182">
        <v>207.25995316159256</v>
      </c>
      <c r="AH7" s="525">
        <f t="shared" ref="AH7:AH21" si="9">RANK(AG7, AG$7:AG$21)</f>
        <v>4</v>
      </c>
      <c r="AI7" s="661">
        <f t="shared" ref="AI7" si="10">AVERAGE(AG7:AG21)</f>
        <v>177.44054114489933</v>
      </c>
      <c r="AJ7" s="524">
        <v>7</v>
      </c>
      <c r="AK7" s="182">
        <v>1489.8461538461534</v>
      </c>
      <c r="AL7" s="182">
        <v>212.83516483516476</v>
      </c>
      <c r="AM7" s="525">
        <f t="shared" ref="AM7:AM21" si="11">RANK(AL7, AL$7:AL$21)</f>
        <v>3</v>
      </c>
      <c r="AN7" s="661">
        <f t="shared" ref="AN7" si="12">AVERAGE(AL7:AL21)</f>
        <v>179.28626096861564</v>
      </c>
      <c r="AO7" s="524">
        <v>7</v>
      </c>
      <c r="AP7" s="182">
        <v>1486.0000000000005</v>
      </c>
      <c r="AQ7" s="182">
        <v>212.28571428571436</v>
      </c>
      <c r="AR7" s="525">
        <f t="shared" ref="AR7:AR21" si="13">RANK(AQ7, AQ$7:AQ$21)</f>
        <v>2</v>
      </c>
      <c r="AS7" s="661">
        <f t="shared" ref="AS7" si="14">AVERAGE(AQ7:AQ21)</f>
        <v>176.83846369358656</v>
      </c>
      <c r="AT7" s="524">
        <v>7</v>
      </c>
      <c r="AU7" s="182">
        <v>1489.090909090909</v>
      </c>
      <c r="AV7" s="182">
        <v>212.72727272727272</v>
      </c>
      <c r="AW7" s="525">
        <f t="shared" ref="AW7:AW21" si="15">RANK(AV7, AV$7:AV$21)</f>
        <v>3</v>
      </c>
      <c r="AX7" s="661">
        <f t="shared" ref="AX7" si="16">AVERAGE(AV7:AV21)</f>
        <v>178.3557910816248</v>
      </c>
      <c r="AZ7" s="525" t="e">
        <f t="shared" ref="AZ7:AZ21" si="17">RANK(AY7, AY$7:AY$21)</f>
        <v>#N/A</v>
      </c>
      <c r="BA7" s="661" t="e">
        <f t="shared" ref="BA7" si="18">AVERAGE(AY7:AY21)</f>
        <v>#DIV/0!</v>
      </c>
    </row>
    <row r="8" spans="1:53" ht="15" customHeight="1">
      <c r="A8" s="81"/>
      <c r="B8" s="647"/>
      <c r="C8" s="470">
        <v>2</v>
      </c>
      <c r="D8" s="226" t="s">
        <v>382</v>
      </c>
      <c r="E8" s="182">
        <v>7</v>
      </c>
      <c r="F8" s="490">
        <v>1500</v>
      </c>
      <c r="G8" s="491">
        <v>214.3</v>
      </c>
      <c r="H8" s="659"/>
      <c r="I8" s="516">
        <f t="shared" si="0"/>
        <v>7</v>
      </c>
      <c r="J8" s="516">
        <f t="shared" si="1"/>
        <v>1484.5718222325618</v>
      </c>
      <c r="K8" s="200">
        <f t="shared" si="2"/>
        <v>212.08168889036597</v>
      </c>
      <c r="L8" s="659"/>
      <c r="M8" s="472">
        <f>RANK(K8, K$7:$K$21)</f>
        <v>3</v>
      </c>
      <c r="N8" s="614"/>
      <c r="O8" s="614"/>
      <c r="P8" s="524">
        <v>7</v>
      </c>
      <c r="Q8" s="182">
        <v>1472.4507042253522</v>
      </c>
      <c r="R8" s="182">
        <v>210.35010060362174</v>
      </c>
      <c r="S8" s="525">
        <f t="shared" si="3"/>
        <v>4</v>
      </c>
      <c r="T8" s="661"/>
      <c r="U8" s="524">
        <v>7</v>
      </c>
      <c r="V8" s="182">
        <v>1476.6371681415928</v>
      </c>
      <c r="W8" s="182">
        <v>210.9481668773704</v>
      </c>
      <c r="X8" s="525">
        <f t="shared" si="5"/>
        <v>4</v>
      </c>
      <c r="Y8" s="661"/>
      <c r="Z8" s="524">
        <v>7</v>
      </c>
      <c r="AA8" s="182">
        <v>1501.008403361345</v>
      </c>
      <c r="AB8" s="182">
        <v>214.42977190876357</v>
      </c>
      <c r="AC8" s="525">
        <f t="shared" si="7"/>
        <v>2</v>
      </c>
      <c r="AD8" s="661"/>
      <c r="AE8" s="524">
        <v>7</v>
      </c>
      <c r="AF8" s="182">
        <v>1497.4789915966392</v>
      </c>
      <c r="AG8" s="182">
        <v>213.92557022809132</v>
      </c>
      <c r="AH8" s="525">
        <f t="shared" si="9"/>
        <v>2</v>
      </c>
      <c r="AI8" s="661"/>
      <c r="AJ8" s="524">
        <v>7</v>
      </c>
      <c r="AK8" s="182">
        <v>1504.0677966101698</v>
      </c>
      <c r="AL8" s="182">
        <v>214.86682808716711</v>
      </c>
      <c r="AM8" s="525">
        <f t="shared" si="11"/>
        <v>2</v>
      </c>
      <c r="AN8" s="661"/>
      <c r="AO8" s="524">
        <v>7</v>
      </c>
      <c r="AP8" s="182">
        <v>1471.3274336283187</v>
      </c>
      <c r="AQ8" s="182">
        <v>210.1896333754741</v>
      </c>
      <c r="AR8" s="525">
        <f t="shared" si="13"/>
        <v>4</v>
      </c>
      <c r="AS8" s="661"/>
      <c r="AT8" s="524">
        <v>7</v>
      </c>
      <c r="AU8" s="182">
        <v>1469.0322580645156</v>
      </c>
      <c r="AV8" s="182">
        <v>209.86175115207365</v>
      </c>
      <c r="AW8" s="525">
        <f t="shared" si="15"/>
        <v>4</v>
      </c>
      <c r="AX8" s="661"/>
      <c r="AZ8" s="525" t="e">
        <f t="shared" si="17"/>
        <v>#N/A</v>
      </c>
      <c r="BA8" s="661"/>
    </row>
    <row r="9" spans="1:53" ht="14.25">
      <c r="A9" s="81"/>
      <c r="B9" s="647"/>
      <c r="C9" s="470">
        <v>3</v>
      </c>
      <c r="D9" s="226" t="s">
        <v>349</v>
      </c>
      <c r="E9" s="182">
        <v>20</v>
      </c>
      <c r="F9" s="490">
        <v>1500</v>
      </c>
      <c r="G9" s="491">
        <v>75</v>
      </c>
      <c r="H9" s="659"/>
      <c r="I9" s="516">
        <f t="shared" si="0"/>
        <v>20</v>
      </c>
      <c r="J9" s="516">
        <f t="shared" si="1"/>
        <v>1417.2040201345376</v>
      </c>
      <c r="K9" s="200">
        <f t="shared" si="2"/>
        <v>70.860201006726896</v>
      </c>
      <c r="L9" s="659"/>
      <c r="M9" s="472">
        <f>RANK(K9, K$7:$K$21)</f>
        <v>7</v>
      </c>
      <c r="N9" s="614"/>
      <c r="O9" s="614"/>
      <c r="P9" s="524">
        <v>20</v>
      </c>
      <c r="Q9" s="182">
        <v>1406.0869565217395</v>
      </c>
      <c r="R9" s="182">
        <v>70.304347826086968</v>
      </c>
      <c r="S9" s="525">
        <f t="shared" si="3"/>
        <v>7</v>
      </c>
      <c r="T9" s="661"/>
      <c r="U9" s="524">
        <v>20</v>
      </c>
      <c r="V9" s="182">
        <v>1428.9557522123894</v>
      </c>
      <c r="W9" s="182">
        <v>71.447787610619471</v>
      </c>
      <c r="X9" s="525">
        <f t="shared" si="5"/>
        <v>7</v>
      </c>
      <c r="Y9" s="661"/>
      <c r="Z9" s="524">
        <v>20</v>
      </c>
      <c r="AA9" s="182">
        <v>1408.5000000000002</v>
      </c>
      <c r="AB9" s="182">
        <v>70.425000000000011</v>
      </c>
      <c r="AC9" s="525">
        <f t="shared" si="7"/>
        <v>7</v>
      </c>
      <c r="AD9" s="661"/>
      <c r="AE9" s="524">
        <v>20</v>
      </c>
      <c r="AF9" s="182">
        <v>1436.3114754098365</v>
      </c>
      <c r="AG9" s="182">
        <v>71.815573770491824</v>
      </c>
      <c r="AH9" s="525">
        <f t="shared" si="9"/>
        <v>7</v>
      </c>
      <c r="AI9" s="661"/>
      <c r="AJ9" s="524">
        <v>20</v>
      </c>
      <c r="AK9" s="182">
        <v>1416.8181818181818</v>
      </c>
      <c r="AL9" s="182">
        <v>70.840909090909093</v>
      </c>
      <c r="AM9" s="525">
        <f t="shared" si="11"/>
        <v>7</v>
      </c>
      <c r="AN9" s="661"/>
      <c r="AO9" s="524">
        <v>20</v>
      </c>
      <c r="AP9" s="182">
        <v>1406.1654135338345</v>
      </c>
      <c r="AQ9" s="182">
        <v>70.30827067669172</v>
      </c>
      <c r="AR9" s="525">
        <f t="shared" si="13"/>
        <v>7</v>
      </c>
      <c r="AS9" s="661"/>
      <c r="AT9" s="524">
        <v>20</v>
      </c>
      <c r="AU9" s="182">
        <v>1417.5903614457827</v>
      </c>
      <c r="AV9" s="182">
        <v>70.87951807228913</v>
      </c>
      <c r="AW9" s="525">
        <f t="shared" si="15"/>
        <v>7</v>
      </c>
      <c r="AX9" s="661"/>
      <c r="AZ9" s="525" t="e">
        <f t="shared" si="17"/>
        <v>#N/A</v>
      </c>
      <c r="BA9" s="661"/>
    </row>
    <row r="10" spans="1:53" ht="14.25">
      <c r="A10" s="81"/>
      <c r="B10" s="647"/>
      <c r="C10" s="470">
        <v>4</v>
      </c>
      <c r="D10" s="226" t="s">
        <v>383</v>
      </c>
      <c r="E10" s="182">
        <v>16</v>
      </c>
      <c r="F10" s="490">
        <v>1440</v>
      </c>
      <c r="G10" s="491">
        <v>84.7</v>
      </c>
      <c r="H10" s="659"/>
      <c r="I10" s="516">
        <f t="shared" si="0"/>
        <v>16</v>
      </c>
      <c r="J10" s="516">
        <f t="shared" si="1"/>
        <v>1392.7233216106138</v>
      </c>
      <c r="K10" s="200">
        <f t="shared" si="2"/>
        <v>87.04520760066336</v>
      </c>
      <c r="L10" s="659"/>
      <c r="M10" s="472">
        <f>RANK(K10, K$7:$K$21)</f>
        <v>6</v>
      </c>
      <c r="N10" s="614"/>
      <c r="O10" s="614"/>
      <c r="P10" s="524">
        <v>16</v>
      </c>
      <c r="Q10" s="182">
        <v>1445.2173913043478</v>
      </c>
      <c r="R10" s="182">
        <v>90.326086956521735</v>
      </c>
      <c r="S10" s="525">
        <f t="shared" si="3"/>
        <v>6</v>
      </c>
      <c r="T10" s="661"/>
      <c r="U10" s="524">
        <v>16</v>
      </c>
      <c r="V10" s="182">
        <v>1406.5822784810118</v>
      </c>
      <c r="W10" s="182">
        <v>87.911392405063239</v>
      </c>
      <c r="X10" s="525">
        <f t="shared" si="5"/>
        <v>6</v>
      </c>
      <c r="Y10" s="661"/>
      <c r="Z10" s="524">
        <v>16</v>
      </c>
      <c r="AA10" s="182">
        <v>1369.0140845070425</v>
      </c>
      <c r="AB10" s="182">
        <v>85.563380281690158</v>
      </c>
      <c r="AC10" s="525">
        <f t="shared" si="7"/>
        <v>6</v>
      </c>
      <c r="AD10" s="661"/>
      <c r="AE10" s="524">
        <v>16</v>
      </c>
      <c r="AF10" s="182">
        <v>1371.4285714285716</v>
      </c>
      <c r="AG10" s="182">
        <v>85.714285714285722</v>
      </c>
      <c r="AH10" s="525">
        <f t="shared" si="9"/>
        <v>6</v>
      </c>
      <c r="AI10" s="661"/>
      <c r="AJ10" s="524">
        <v>16</v>
      </c>
      <c r="AK10" s="182">
        <v>1387.0129870129877</v>
      </c>
      <c r="AL10" s="182">
        <v>86.688311688311728</v>
      </c>
      <c r="AM10" s="525">
        <f t="shared" si="11"/>
        <v>6</v>
      </c>
      <c r="AN10" s="661"/>
      <c r="AO10" s="524">
        <v>16</v>
      </c>
      <c r="AP10" s="182">
        <v>1382.5352112676057</v>
      </c>
      <c r="AQ10" s="182">
        <v>86.408450704225359</v>
      </c>
      <c r="AR10" s="525">
        <f t="shared" si="13"/>
        <v>6</v>
      </c>
      <c r="AS10" s="661"/>
      <c r="AT10" s="524">
        <v>16</v>
      </c>
      <c r="AU10" s="182">
        <v>1387.2727272727277</v>
      </c>
      <c r="AV10" s="182">
        <v>86.704545454545482</v>
      </c>
      <c r="AW10" s="525">
        <f t="shared" si="15"/>
        <v>6</v>
      </c>
      <c r="AX10" s="661"/>
      <c r="AZ10" s="525" t="e">
        <f t="shared" si="17"/>
        <v>#N/A</v>
      </c>
      <c r="BA10" s="661"/>
    </row>
    <row r="11" spans="1:53" ht="14.25">
      <c r="A11" s="81"/>
      <c r="B11" s="647"/>
      <c r="C11" s="470">
        <v>5</v>
      </c>
      <c r="D11" s="226" t="s">
        <v>422</v>
      </c>
      <c r="E11" s="182">
        <v>7</v>
      </c>
      <c r="F11" s="490">
        <v>1500</v>
      </c>
      <c r="G11" s="491">
        <v>214.3</v>
      </c>
      <c r="H11" s="659"/>
      <c r="I11" s="516">
        <f t="shared" si="0"/>
        <v>7</v>
      </c>
      <c r="J11" s="516">
        <f t="shared" si="1"/>
        <v>1478.1587869274558</v>
      </c>
      <c r="K11" s="200">
        <f t="shared" si="2"/>
        <v>211.16554098963658</v>
      </c>
      <c r="L11" s="659"/>
      <c r="M11" s="472">
        <f>RANK(K11, K$7:$K$21)</f>
        <v>4</v>
      </c>
      <c r="N11" s="614"/>
      <c r="O11" s="614"/>
      <c r="P11" s="524">
        <v>7</v>
      </c>
      <c r="Q11" s="182">
        <v>1462.1052631578948</v>
      </c>
      <c r="R11" s="182">
        <v>208.87218045112783</v>
      </c>
      <c r="S11" s="525">
        <f t="shared" si="3"/>
        <v>5</v>
      </c>
      <c r="T11" s="661"/>
      <c r="U11" s="524">
        <v>7</v>
      </c>
      <c r="V11" s="182">
        <v>1488.9473684210523</v>
      </c>
      <c r="W11" s="182">
        <v>212.70676691729318</v>
      </c>
      <c r="X11" s="525">
        <f t="shared" si="5"/>
        <v>3</v>
      </c>
      <c r="Y11" s="661"/>
      <c r="Z11" s="524">
        <v>7</v>
      </c>
      <c r="AA11" s="182">
        <v>1468.6956521739137</v>
      </c>
      <c r="AB11" s="182">
        <v>209.81366459627338</v>
      </c>
      <c r="AC11" s="525">
        <f t="shared" si="7"/>
        <v>4</v>
      </c>
      <c r="AD11" s="661"/>
      <c r="AE11" s="524">
        <v>7</v>
      </c>
      <c r="AF11" s="182">
        <v>1478.5714285714282</v>
      </c>
      <c r="AG11" s="182">
        <v>211.22448979591832</v>
      </c>
      <c r="AH11" s="525">
        <f t="shared" si="9"/>
        <v>3</v>
      </c>
      <c r="AI11" s="661"/>
      <c r="AJ11" s="524">
        <v>7</v>
      </c>
      <c r="AK11" s="182">
        <v>1475.8695652173919</v>
      </c>
      <c r="AL11" s="182">
        <v>210.83850931677028</v>
      </c>
      <c r="AM11" s="525">
        <f t="shared" si="11"/>
        <v>4</v>
      </c>
      <c r="AN11" s="661"/>
      <c r="AO11" s="524">
        <v>7</v>
      </c>
      <c r="AP11" s="182">
        <v>1471.5789473684213</v>
      </c>
      <c r="AQ11" s="182">
        <v>210.22556390977448</v>
      </c>
      <c r="AR11" s="525">
        <f t="shared" si="13"/>
        <v>3</v>
      </c>
      <c r="AS11" s="661"/>
      <c r="AT11" s="524">
        <v>7</v>
      </c>
      <c r="AU11" s="182">
        <v>1501.3432835820895</v>
      </c>
      <c r="AV11" s="182">
        <v>214.47761194029849</v>
      </c>
      <c r="AW11" s="525">
        <f t="shared" si="15"/>
        <v>2</v>
      </c>
      <c r="AX11" s="661"/>
      <c r="AZ11" s="525" t="e">
        <f t="shared" si="17"/>
        <v>#N/A</v>
      </c>
      <c r="BA11" s="661"/>
    </row>
    <row r="12" spans="1:53" ht="14.25">
      <c r="A12" s="81"/>
      <c r="B12" s="647"/>
      <c r="C12" s="470">
        <v>6</v>
      </c>
      <c r="D12" s="226" t="s">
        <v>797</v>
      </c>
      <c r="E12" s="182">
        <v>6</v>
      </c>
      <c r="F12" s="490">
        <v>1636</v>
      </c>
      <c r="G12" s="491">
        <v>272.60000000000002</v>
      </c>
      <c r="H12" s="659"/>
      <c r="I12" s="516">
        <f t="shared" si="0"/>
        <v>6</v>
      </c>
      <c r="J12" s="516">
        <f t="shared" si="1"/>
        <v>1539.0921342517654</v>
      </c>
      <c r="K12" s="200">
        <f t="shared" si="2"/>
        <v>256.51535570862762</v>
      </c>
      <c r="L12" s="659"/>
      <c r="M12" s="472">
        <f>RANK(K12, K$7:$K$21)</f>
        <v>1</v>
      </c>
      <c r="N12" s="614"/>
      <c r="O12" s="614"/>
      <c r="P12" s="524">
        <v>6</v>
      </c>
      <c r="Q12" s="182">
        <v>1512.8205128205129</v>
      </c>
      <c r="R12" s="182">
        <v>252.13675213675216</v>
      </c>
      <c r="S12" s="525">
        <f t="shared" si="3"/>
        <v>1</v>
      </c>
      <c r="T12" s="661"/>
      <c r="U12" s="524">
        <v>6</v>
      </c>
      <c r="V12" s="182">
        <v>1557.1962616822429</v>
      </c>
      <c r="W12" s="182">
        <v>259.53271028037381</v>
      </c>
      <c r="X12" s="525">
        <f t="shared" si="5"/>
        <v>1</v>
      </c>
      <c r="Y12" s="661"/>
      <c r="Z12" s="524">
        <v>6</v>
      </c>
      <c r="AA12" s="182">
        <v>1530.3703703703698</v>
      </c>
      <c r="AB12" s="182">
        <v>255.06172839506164</v>
      </c>
      <c r="AC12" s="525">
        <f t="shared" si="7"/>
        <v>1</v>
      </c>
      <c r="AD12" s="661"/>
      <c r="AE12" s="524">
        <v>6</v>
      </c>
      <c r="AF12" s="182">
        <v>1540.8000000000006</v>
      </c>
      <c r="AG12" s="182">
        <v>256.80000000000013</v>
      </c>
      <c r="AH12" s="525">
        <f t="shared" si="9"/>
        <v>1</v>
      </c>
      <c r="AI12" s="661"/>
      <c r="AJ12" s="524">
        <v>6</v>
      </c>
      <c r="AK12" s="182">
        <v>1554.2168674698789</v>
      </c>
      <c r="AL12" s="182">
        <v>259.03614457831316</v>
      </c>
      <c r="AM12" s="525">
        <f t="shared" si="11"/>
        <v>1</v>
      </c>
      <c r="AN12" s="661"/>
      <c r="AO12" s="524">
        <v>6</v>
      </c>
      <c r="AP12" s="182">
        <v>1518.7096774193551</v>
      </c>
      <c r="AQ12" s="182">
        <v>253.11827956989251</v>
      </c>
      <c r="AR12" s="525">
        <f t="shared" si="13"/>
        <v>1</v>
      </c>
      <c r="AS12" s="661"/>
      <c r="AT12" s="524">
        <v>6</v>
      </c>
      <c r="AU12" s="182">
        <v>1559.5312499999995</v>
      </c>
      <c r="AV12" s="182">
        <v>259.92187499999994</v>
      </c>
      <c r="AW12" s="525">
        <f t="shared" si="15"/>
        <v>1</v>
      </c>
      <c r="AX12" s="661"/>
      <c r="AZ12" s="525" t="e">
        <f t="shared" si="17"/>
        <v>#N/A</v>
      </c>
      <c r="BA12" s="661"/>
    </row>
    <row r="13" spans="1:53" ht="14.25">
      <c r="A13" s="81"/>
      <c r="B13" s="647"/>
      <c r="C13" s="470">
        <v>7</v>
      </c>
      <c r="D13" s="226" t="s">
        <v>768</v>
      </c>
      <c r="E13" s="182">
        <v>7</v>
      </c>
      <c r="F13" s="490">
        <v>1500</v>
      </c>
      <c r="G13" s="491">
        <v>214.3</v>
      </c>
      <c r="H13" s="659"/>
      <c r="I13" s="516">
        <f t="shared" si="0"/>
        <v>7</v>
      </c>
      <c r="J13" s="516">
        <f t="shared" si="1"/>
        <v>1395.6137999825362</v>
      </c>
      <c r="K13" s="200">
        <f t="shared" si="2"/>
        <v>199.37339999750515</v>
      </c>
      <c r="L13" s="659"/>
      <c r="M13" s="472">
        <f>RANK(K13, K$7:$K$21)</f>
        <v>5</v>
      </c>
      <c r="N13" s="614"/>
      <c r="O13" s="614"/>
      <c r="P13" s="524">
        <v>7</v>
      </c>
      <c r="Q13" s="182">
        <v>1499.9999999999998</v>
      </c>
      <c r="R13" s="182">
        <v>214.28571428571425</v>
      </c>
      <c r="S13" s="525">
        <f t="shared" si="3"/>
        <v>3</v>
      </c>
      <c r="T13" s="661"/>
      <c r="U13" s="524">
        <v>7</v>
      </c>
      <c r="V13" s="182">
        <v>1392.9032258064517</v>
      </c>
      <c r="W13" s="182">
        <v>198.98617511520737</v>
      </c>
      <c r="X13" s="525">
        <f t="shared" si="5"/>
        <v>5</v>
      </c>
      <c r="Y13" s="661"/>
      <c r="Z13" s="524">
        <v>7</v>
      </c>
      <c r="AA13" s="182">
        <v>1384.9411764705881</v>
      </c>
      <c r="AB13" s="182">
        <v>197.8487394957983</v>
      </c>
      <c r="AC13" s="525">
        <f t="shared" si="7"/>
        <v>5</v>
      </c>
      <c r="AD13" s="661"/>
      <c r="AE13" s="524">
        <v>7</v>
      </c>
      <c r="AF13" s="182">
        <v>1367.4074074074069</v>
      </c>
      <c r="AG13" s="182">
        <v>195.34391534391528</v>
      </c>
      <c r="AH13" s="525">
        <f t="shared" si="9"/>
        <v>5</v>
      </c>
      <c r="AI13" s="661"/>
      <c r="AJ13" s="524">
        <v>7</v>
      </c>
      <c r="AK13" s="182">
        <v>1399.2857142857138</v>
      </c>
      <c r="AL13" s="182">
        <v>199.89795918367341</v>
      </c>
      <c r="AM13" s="525">
        <f t="shared" si="11"/>
        <v>5</v>
      </c>
      <c r="AN13" s="661"/>
      <c r="AO13" s="524">
        <v>7</v>
      </c>
      <c r="AP13" s="182">
        <v>1367.3333333333333</v>
      </c>
      <c r="AQ13" s="182">
        <v>195.33333333333331</v>
      </c>
      <c r="AR13" s="525">
        <f t="shared" si="13"/>
        <v>5</v>
      </c>
      <c r="AS13" s="661"/>
      <c r="AT13" s="524">
        <v>7</v>
      </c>
      <c r="AU13" s="182">
        <v>1357.425742574258</v>
      </c>
      <c r="AV13" s="182">
        <v>193.91796322489401</v>
      </c>
      <c r="AW13" s="525">
        <f t="shared" si="15"/>
        <v>5</v>
      </c>
      <c r="AX13" s="661"/>
      <c r="AZ13" s="525" t="e">
        <f t="shared" si="17"/>
        <v>#N/A</v>
      </c>
      <c r="BA13" s="661"/>
    </row>
    <row r="14" spans="1:53" ht="14.25">
      <c r="A14" s="81"/>
      <c r="B14" s="647"/>
      <c r="C14" s="470">
        <v>8</v>
      </c>
      <c r="D14" s="343"/>
      <c r="E14" s="473"/>
      <c r="F14" s="473"/>
      <c r="G14" s="473"/>
      <c r="H14" s="659"/>
      <c r="I14" s="516" t="str">
        <f t="shared" si="0"/>
        <v>-</v>
      </c>
      <c r="J14" s="516" t="str">
        <f t="shared" si="1"/>
        <v>-</v>
      </c>
      <c r="K14" s="200" t="str">
        <f t="shared" si="2"/>
        <v>-</v>
      </c>
      <c r="L14" s="659"/>
      <c r="M14" s="472" t="e">
        <f>RANK(K14, K$7:$K$21)</f>
        <v>#VALUE!</v>
      </c>
      <c r="N14" s="614"/>
      <c r="O14" s="614"/>
      <c r="P14" s="524" t="s">
        <v>839</v>
      </c>
      <c r="Q14" s="182" t="s">
        <v>839</v>
      </c>
      <c r="R14" s="182" t="s">
        <v>839</v>
      </c>
      <c r="S14" s="525" t="e">
        <f t="shared" si="3"/>
        <v>#VALUE!</v>
      </c>
      <c r="T14" s="661"/>
      <c r="U14" s="524" t="s">
        <v>839</v>
      </c>
      <c r="V14" s="182" t="s">
        <v>839</v>
      </c>
      <c r="W14" s="182" t="s">
        <v>839</v>
      </c>
      <c r="X14" s="525" t="e">
        <f t="shared" si="5"/>
        <v>#VALUE!</v>
      </c>
      <c r="Y14" s="661"/>
      <c r="Z14" s="524" t="s">
        <v>839</v>
      </c>
      <c r="AA14" s="182" t="s">
        <v>839</v>
      </c>
      <c r="AB14" s="182" t="s">
        <v>839</v>
      </c>
      <c r="AC14" s="525" t="e">
        <f t="shared" si="7"/>
        <v>#VALUE!</v>
      </c>
      <c r="AD14" s="661"/>
      <c r="AE14" s="524" t="s">
        <v>839</v>
      </c>
      <c r="AF14" s="182" t="s">
        <v>839</v>
      </c>
      <c r="AG14" s="182" t="s">
        <v>839</v>
      </c>
      <c r="AH14" s="525" t="e">
        <f t="shared" si="9"/>
        <v>#VALUE!</v>
      </c>
      <c r="AI14" s="661"/>
      <c r="AJ14" s="524" t="s">
        <v>839</v>
      </c>
      <c r="AK14" s="182" t="s">
        <v>839</v>
      </c>
      <c r="AL14" s="182" t="s">
        <v>839</v>
      </c>
      <c r="AM14" s="525" t="e">
        <f t="shared" si="11"/>
        <v>#VALUE!</v>
      </c>
      <c r="AN14" s="661"/>
      <c r="AO14" s="524" t="s">
        <v>839</v>
      </c>
      <c r="AP14" s="182" t="s">
        <v>839</v>
      </c>
      <c r="AQ14" s="182" t="s">
        <v>839</v>
      </c>
      <c r="AR14" s="525" t="e">
        <f t="shared" si="13"/>
        <v>#VALUE!</v>
      </c>
      <c r="AS14" s="661"/>
      <c r="AT14" s="524" t="s">
        <v>839</v>
      </c>
      <c r="AU14" s="182" t="s">
        <v>839</v>
      </c>
      <c r="AV14" s="182" t="s">
        <v>839</v>
      </c>
      <c r="AW14" s="525" t="e">
        <f t="shared" si="15"/>
        <v>#VALUE!</v>
      </c>
      <c r="AX14" s="661"/>
      <c r="AZ14" s="525" t="e">
        <f t="shared" si="17"/>
        <v>#N/A</v>
      </c>
      <c r="BA14" s="661"/>
    </row>
    <row r="15" spans="1:53" ht="14.25">
      <c r="A15" s="81"/>
      <c r="B15" s="647"/>
      <c r="C15" s="470">
        <v>9</v>
      </c>
      <c r="D15" s="456"/>
      <c r="E15" s="473"/>
      <c r="F15" s="473"/>
      <c r="G15" s="473"/>
      <c r="H15" s="659"/>
      <c r="I15" s="516" t="str">
        <f t="shared" si="0"/>
        <v>-</v>
      </c>
      <c r="J15" s="516" t="str">
        <f t="shared" si="1"/>
        <v>-</v>
      </c>
      <c r="K15" s="200" t="str">
        <f t="shared" si="2"/>
        <v>-</v>
      </c>
      <c r="L15" s="659"/>
      <c r="M15" s="472" t="e">
        <f>RANK(K15, K$7:$K$21)</f>
        <v>#VALUE!</v>
      </c>
      <c r="N15" s="614"/>
      <c r="O15" s="614"/>
      <c r="P15" s="524" t="s">
        <v>839</v>
      </c>
      <c r="Q15" s="182" t="s">
        <v>839</v>
      </c>
      <c r="R15" s="182" t="s">
        <v>839</v>
      </c>
      <c r="S15" s="525" t="e">
        <f t="shared" si="3"/>
        <v>#VALUE!</v>
      </c>
      <c r="T15" s="661"/>
      <c r="U15" s="524" t="s">
        <v>839</v>
      </c>
      <c r="V15" s="182" t="s">
        <v>839</v>
      </c>
      <c r="W15" s="182" t="s">
        <v>839</v>
      </c>
      <c r="X15" s="525" t="e">
        <f t="shared" si="5"/>
        <v>#VALUE!</v>
      </c>
      <c r="Y15" s="661"/>
      <c r="Z15" s="524" t="s">
        <v>839</v>
      </c>
      <c r="AA15" s="182" t="s">
        <v>839</v>
      </c>
      <c r="AB15" s="182" t="s">
        <v>839</v>
      </c>
      <c r="AC15" s="525" t="e">
        <f t="shared" si="7"/>
        <v>#VALUE!</v>
      </c>
      <c r="AD15" s="661"/>
      <c r="AE15" s="524" t="s">
        <v>839</v>
      </c>
      <c r="AF15" s="182" t="s">
        <v>839</v>
      </c>
      <c r="AG15" s="182" t="s">
        <v>839</v>
      </c>
      <c r="AH15" s="525" t="e">
        <f t="shared" si="9"/>
        <v>#VALUE!</v>
      </c>
      <c r="AI15" s="661"/>
      <c r="AJ15" s="524" t="s">
        <v>839</v>
      </c>
      <c r="AK15" s="182" t="s">
        <v>839</v>
      </c>
      <c r="AL15" s="182" t="s">
        <v>839</v>
      </c>
      <c r="AM15" s="525" t="e">
        <f t="shared" si="11"/>
        <v>#VALUE!</v>
      </c>
      <c r="AN15" s="661"/>
      <c r="AO15" s="524" t="s">
        <v>839</v>
      </c>
      <c r="AP15" s="182" t="s">
        <v>839</v>
      </c>
      <c r="AQ15" s="182" t="s">
        <v>839</v>
      </c>
      <c r="AR15" s="525" t="e">
        <f t="shared" si="13"/>
        <v>#VALUE!</v>
      </c>
      <c r="AS15" s="661"/>
      <c r="AT15" s="524" t="s">
        <v>839</v>
      </c>
      <c r="AU15" s="182" t="s">
        <v>839</v>
      </c>
      <c r="AV15" s="182" t="s">
        <v>839</v>
      </c>
      <c r="AW15" s="525" t="e">
        <f t="shared" si="15"/>
        <v>#VALUE!</v>
      </c>
      <c r="AX15" s="661"/>
      <c r="AZ15" s="525" t="e">
        <f t="shared" si="17"/>
        <v>#N/A</v>
      </c>
      <c r="BA15" s="661"/>
    </row>
    <row r="16" spans="1:53" ht="14.25">
      <c r="A16" s="81"/>
      <c r="B16" s="647"/>
      <c r="C16" s="470">
        <v>10</v>
      </c>
      <c r="D16" s="456"/>
      <c r="E16" s="473"/>
      <c r="F16" s="473"/>
      <c r="G16" s="473"/>
      <c r="H16" s="659"/>
      <c r="I16" s="516" t="str">
        <f t="shared" si="0"/>
        <v>-</v>
      </c>
      <c r="J16" s="516" t="str">
        <f t="shared" si="1"/>
        <v>-</v>
      </c>
      <c r="K16" s="200" t="str">
        <f t="shared" si="2"/>
        <v>-</v>
      </c>
      <c r="L16" s="659"/>
      <c r="M16" s="472" t="e">
        <f>RANK(K16, K$7:$K$21)</f>
        <v>#VALUE!</v>
      </c>
      <c r="N16" s="614"/>
      <c r="O16" s="614"/>
      <c r="P16" s="524" t="s">
        <v>839</v>
      </c>
      <c r="Q16" s="182" t="s">
        <v>839</v>
      </c>
      <c r="R16" s="182" t="s">
        <v>839</v>
      </c>
      <c r="S16" s="525" t="e">
        <f t="shared" si="3"/>
        <v>#VALUE!</v>
      </c>
      <c r="T16" s="661"/>
      <c r="U16" s="524" t="s">
        <v>839</v>
      </c>
      <c r="V16" s="182" t="s">
        <v>839</v>
      </c>
      <c r="W16" s="182" t="s">
        <v>839</v>
      </c>
      <c r="X16" s="525" t="e">
        <f t="shared" si="5"/>
        <v>#VALUE!</v>
      </c>
      <c r="Y16" s="661"/>
      <c r="Z16" s="524" t="s">
        <v>839</v>
      </c>
      <c r="AA16" s="182" t="s">
        <v>839</v>
      </c>
      <c r="AB16" s="182" t="s">
        <v>839</v>
      </c>
      <c r="AC16" s="525" t="e">
        <f t="shared" si="7"/>
        <v>#VALUE!</v>
      </c>
      <c r="AD16" s="661"/>
      <c r="AE16" s="524" t="s">
        <v>839</v>
      </c>
      <c r="AF16" s="182" t="s">
        <v>839</v>
      </c>
      <c r="AG16" s="182" t="s">
        <v>839</v>
      </c>
      <c r="AH16" s="525" t="e">
        <f t="shared" si="9"/>
        <v>#VALUE!</v>
      </c>
      <c r="AI16" s="661"/>
      <c r="AJ16" s="524" t="s">
        <v>839</v>
      </c>
      <c r="AK16" s="182" t="s">
        <v>839</v>
      </c>
      <c r="AL16" s="182" t="s">
        <v>839</v>
      </c>
      <c r="AM16" s="525" t="e">
        <f t="shared" si="11"/>
        <v>#VALUE!</v>
      </c>
      <c r="AN16" s="661"/>
      <c r="AO16" s="524" t="s">
        <v>839</v>
      </c>
      <c r="AP16" s="182" t="s">
        <v>839</v>
      </c>
      <c r="AQ16" s="182" t="s">
        <v>839</v>
      </c>
      <c r="AR16" s="525" t="e">
        <f t="shared" si="13"/>
        <v>#VALUE!</v>
      </c>
      <c r="AS16" s="661"/>
      <c r="AT16" s="524" t="s">
        <v>839</v>
      </c>
      <c r="AU16" s="182" t="s">
        <v>839</v>
      </c>
      <c r="AV16" s="182" t="s">
        <v>839</v>
      </c>
      <c r="AW16" s="525" t="e">
        <f t="shared" si="15"/>
        <v>#VALUE!</v>
      </c>
      <c r="AX16" s="661"/>
      <c r="AZ16" s="525" t="e">
        <f t="shared" si="17"/>
        <v>#N/A</v>
      </c>
      <c r="BA16" s="661"/>
    </row>
    <row r="17" spans="2:53">
      <c r="B17" s="647"/>
      <c r="C17" s="470">
        <v>11</v>
      </c>
      <c r="D17" s="456"/>
      <c r="E17" s="473"/>
      <c r="F17" s="473"/>
      <c r="G17" s="473"/>
      <c r="H17" s="659"/>
      <c r="I17" s="516" t="str">
        <f t="shared" si="0"/>
        <v>-</v>
      </c>
      <c r="J17" s="516" t="str">
        <f t="shared" si="1"/>
        <v>-</v>
      </c>
      <c r="K17" s="200" t="str">
        <f t="shared" si="2"/>
        <v>-</v>
      </c>
      <c r="L17" s="659"/>
      <c r="M17" s="472" t="e">
        <f>RANK(K17, K$7:$K$21)</f>
        <v>#VALUE!</v>
      </c>
      <c r="N17" s="614"/>
      <c r="O17" s="614"/>
      <c r="P17" s="524" t="s">
        <v>839</v>
      </c>
      <c r="Q17" s="182" t="s">
        <v>839</v>
      </c>
      <c r="R17" s="182" t="s">
        <v>839</v>
      </c>
      <c r="S17" s="525" t="e">
        <f t="shared" si="3"/>
        <v>#VALUE!</v>
      </c>
      <c r="T17" s="661"/>
      <c r="U17" s="524" t="s">
        <v>839</v>
      </c>
      <c r="V17" s="182" t="s">
        <v>839</v>
      </c>
      <c r="W17" s="182" t="s">
        <v>839</v>
      </c>
      <c r="X17" s="525" t="e">
        <f t="shared" si="5"/>
        <v>#VALUE!</v>
      </c>
      <c r="Y17" s="661"/>
      <c r="Z17" s="524" t="s">
        <v>839</v>
      </c>
      <c r="AA17" s="182" t="s">
        <v>839</v>
      </c>
      <c r="AB17" s="182" t="s">
        <v>839</v>
      </c>
      <c r="AC17" s="525" t="e">
        <f t="shared" si="7"/>
        <v>#VALUE!</v>
      </c>
      <c r="AD17" s="661"/>
      <c r="AE17" s="524" t="s">
        <v>839</v>
      </c>
      <c r="AF17" s="182" t="s">
        <v>839</v>
      </c>
      <c r="AG17" s="182" t="s">
        <v>839</v>
      </c>
      <c r="AH17" s="525" t="e">
        <f t="shared" si="9"/>
        <v>#VALUE!</v>
      </c>
      <c r="AI17" s="661"/>
      <c r="AJ17" s="524" t="s">
        <v>839</v>
      </c>
      <c r="AK17" s="182" t="s">
        <v>839</v>
      </c>
      <c r="AL17" s="182" t="s">
        <v>839</v>
      </c>
      <c r="AM17" s="525" t="e">
        <f t="shared" si="11"/>
        <v>#VALUE!</v>
      </c>
      <c r="AN17" s="661"/>
      <c r="AO17" s="524" t="s">
        <v>839</v>
      </c>
      <c r="AP17" s="182" t="s">
        <v>839</v>
      </c>
      <c r="AQ17" s="182" t="s">
        <v>839</v>
      </c>
      <c r="AR17" s="525" t="e">
        <f t="shared" si="13"/>
        <v>#VALUE!</v>
      </c>
      <c r="AS17" s="661"/>
      <c r="AT17" s="524" t="s">
        <v>839</v>
      </c>
      <c r="AU17" s="182" t="s">
        <v>839</v>
      </c>
      <c r="AV17" s="182" t="s">
        <v>839</v>
      </c>
      <c r="AW17" s="525" t="e">
        <f t="shared" si="15"/>
        <v>#VALUE!</v>
      </c>
      <c r="AX17" s="661"/>
      <c r="AZ17" s="525" t="e">
        <f t="shared" si="17"/>
        <v>#N/A</v>
      </c>
      <c r="BA17" s="661"/>
    </row>
    <row r="18" spans="2:53">
      <c r="B18" s="647"/>
      <c r="C18" s="470">
        <v>12</v>
      </c>
      <c r="D18" s="456"/>
      <c r="E18" s="473"/>
      <c r="F18" s="473"/>
      <c r="G18" s="473"/>
      <c r="H18" s="659"/>
      <c r="I18" s="516" t="str">
        <f t="shared" si="0"/>
        <v>-</v>
      </c>
      <c r="J18" s="516" t="str">
        <f t="shared" si="1"/>
        <v>-</v>
      </c>
      <c r="K18" s="200" t="str">
        <f t="shared" si="2"/>
        <v>-</v>
      </c>
      <c r="L18" s="659"/>
      <c r="M18" s="472" t="e">
        <f>RANK(K18, K$7:$K$21)</f>
        <v>#VALUE!</v>
      </c>
      <c r="N18" s="614"/>
      <c r="O18" s="614"/>
      <c r="P18" s="524" t="s">
        <v>839</v>
      </c>
      <c r="Q18" s="182" t="s">
        <v>839</v>
      </c>
      <c r="R18" s="182" t="s">
        <v>839</v>
      </c>
      <c r="S18" s="525" t="e">
        <f t="shared" si="3"/>
        <v>#VALUE!</v>
      </c>
      <c r="T18" s="661"/>
      <c r="U18" s="524" t="s">
        <v>839</v>
      </c>
      <c r="V18" s="182" t="s">
        <v>839</v>
      </c>
      <c r="W18" s="182" t="s">
        <v>839</v>
      </c>
      <c r="X18" s="525" t="e">
        <f t="shared" si="5"/>
        <v>#VALUE!</v>
      </c>
      <c r="Y18" s="661"/>
      <c r="Z18" s="524" t="s">
        <v>839</v>
      </c>
      <c r="AA18" s="182" t="s">
        <v>839</v>
      </c>
      <c r="AB18" s="182" t="s">
        <v>839</v>
      </c>
      <c r="AC18" s="525" t="e">
        <f t="shared" si="7"/>
        <v>#VALUE!</v>
      </c>
      <c r="AD18" s="661"/>
      <c r="AE18" s="524" t="s">
        <v>839</v>
      </c>
      <c r="AF18" s="182" t="s">
        <v>839</v>
      </c>
      <c r="AG18" s="182" t="s">
        <v>839</v>
      </c>
      <c r="AH18" s="525" t="e">
        <f t="shared" si="9"/>
        <v>#VALUE!</v>
      </c>
      <c r="AI18" s="661"/>
      <c r="AJ18" s="524" t="s">
        <v>839</v>
      </c>
      <c r="AK18" s="182" t="s">
        <v>839</v>
      </c>
      <c r="AL18" s="182" t="s">
        <v>839</v>
      </c>
      <c r="AM18" s="525" t="e">
        <f t="shared" si="11"/>
        <v>#VALUE!</v>
      </c>
      <c r="AN18" s="661"/>
      <c r="AO18" s="524" t="s">
        <v>839</v>
      </c>
      <c r="AP18" s="182" t="s">
        <v>839</v>
      </c>
      <c r="AQ18" s="182" t="s">
        <v>839</v>
      </c>
      <c r="AR18" s="525" t="e">
        <f t="shared" si="13"/>
        <v>#VALUE!</v>
      </c>
      <c r="AS18" s="661"/>
      <c r="AT18" s="524" t="s">
        <v>839</v>
      </c>
      <c r="AU18" s="182" t="s">
        <v>839</v>
      </c>
      <c r="AV18" s="182" t="s">
        <v>839</v>
      </c>
      <c r="AW18" s="525" t="e">
        <f t="shared" si="15"/>
        <v>#VALUE!</v>
      </c>
      <c r="AX18" s="661"/>
      <c r="AZ18" s="525" t="e">
        <f t="shared" si="17"/>
        <v>#N/A</v>
      </c>
      <c r="BA18" s="661"/>
    </row>
    <row r="19" spans="2:53">
      <c r="B19" s="647"/>
      <c r="C19" s="470">
        <v>13</v>
      </c>
      <c r="D19" s="456"/>
      <c r="E19" s="473"/>
      <c r="F19" s="473"/>
      <c r="G19" s="473"/>
      <c r="H19" s="659"/>
      <c r="I19" s="516" t="str">
        <f t="shared" si="0"/>
        <v>-</v>
      </c>
      <c r="J19" s="516" t="str">
        <f t="shared" si="1"/>
        <v>-</v>
      </c>
      <c r="K19" s="200" t="str">
        <f t="shared" si="2"/>
        <v>-</v>
      </c>
      <c r="L19" s="659"/>
      <c r="M19" s="472" t="e">
        <f>RANK(K19, K$7:$K$21)</f>
        <v>#VALUE!</v>
      </c>
      <c r="N19" s="614"/>
      <c r="O19" s="614"/>
      <c r="P19" s="524" t="s">
        <v>839</v>
      </c>
      <c r="Q19" s="182" t="s">
        <v>839</v>
      </c>
      <c r="R19" s="182" t="s">
        <v>839</v>
      </c>
      <c r="S19" s="525" t="e">
        <f t="shared" si="3"/>
        <v>#VALUE!</v>
      </c>
      <c r="T19" s="661"/>
      <c r="U19" s="524" t="s">
        <v>839</v>
      </c>
      <c r="V19" s="182" t="s">
        <v>839</v>
      </c>
      <c r="W19" s="182" t="s">
        <v>839</v>
      </c>
      <c r="X19" s="525" t="e">
        <f t="shared" si="5"/>
        <v>#VALUE!</v>
      </c>
      <c r="Y19" s="661"/>
      <c r="Z19" s="524" t="s">
        <v>839</v>
      </c>
      <c r="AA19" s="182" t="s">
        <v>839</v>
      </c>
      <c r="AB19" s="182" t="s">
        <v>839</v>
      </c>
      <c r="AC19" s="525" t="e">
        <f t="shared" si="7"/>
        <v>#VALUE!</v>
      </c>
      <c r="AD19" s="661"/>
      <c r="AE19" s="524" t="s">
        <v>839</v>
      </c>
      <c r="AF19" s="182" t="s">
        <v>839</v>
      </c>
      <c r="AG19" s="182" t="s">
        <v>839</v>
      </c>
      <c r="AH19" s="525" t="e">
        <f t="shared" si="9"/>
        <v>#VALUE!</v>
      </c>
      <c r="AI19" s="661"/>
      <c r="AJ19" s="524" t="s">
        <v>839</v>
      </c>
      <c r="AK19" s="182" t="s">
        <v>839</v>
      </c>
      <c r="AL19" s="182" t="s">
        <v>839</v>
      </c>
      <c r="AM19" s="525" t="e">
        <f t="shared" si="11"/>
        <v>#VALUE!</v>
      </c>
      <c r="AN19" s="661"/>
      <c r="AO19" s="524" t="s">
        <v>839</v>
      </c>
      <c r="AP19" s="182" t="s">
        <v>839</v>
      </c>
      <c r="AQ19" s="182" t="s">
        <v>839</v>
      </c>
      <c r="AR19" s="525" t="e">
        <f t="shared" si="13"/>
        <v>#VALUE!</v>
      </c>
      <c r="AS19" s="661"/>
      <c r="AT19" s="524" t="s">
        <v>839</v>
      </c>
      <c r="AU19" s="182" t="s">
        <v>839</v>
      </c>
      <c r="AV19" s="182" t="s">
        <v>839</v>
      </c>
      <c r="AW19" s="525" t="e">
        <f t="shared" si="15"/>
        <v>#VALUE!</v>
      </c>
      <c r="AX19" s="661"/>
      <c r="AZ19" s="525" t="e">
        <f t="shared" si="17"/>
        <v>#N/A</v>
      </c>
      <c r="BA19" s="661"/>
    </row>
    <row r="20" spans="2:53">
      <c r="B20" s="647"/>
      <c r="C20" s="470">
        <v>14</v>
      </c>
      <c r="D20" s="456"/>
      <c r="E20" s="473"/>
      <c r="F20" s="473"/>
      <c r="G20" s="473"/>
      <c r="H20" s="659"/>
      <c r="I20" s="516" t="str">
        <f t="shared" si="0"/>
        <v>-</v>
      </c>
      <c r="J20" s="516" t="str">
        <f t="shared" si="1"/>
        <v>-</v>
      </c>
      <c r="K20" s="200" t="str">
        <f t="shared" si="2"/>
        <v>-</v>
      </c>
      <c r="L20" s="659"/>
      <c r="M20" s="472" t="e">
        <f>RANK(K20, K$7:$K$21)</f>
        <v>#VALUE!</v>
      </c>
      <c r="N20" s="614"/>
      <c r="O20" s="614"/>
      <c r="P20" s="524" t="s">
        <v>839</v>
      </c>
      <c r="Q20" s="182" t="s">
        <v>839</v>
      </c>
      <c r="R20" s="182" t="s">
        <v>839</v>
      </c>
      <c r="S20" s="525" t="e">
        <f t="shared" si="3"/>
        <v>#VALUE!</v>
      </c>
      <c r="T20" s="661"/>
      <c r="U20" s="524" t="s">
        <v>839</v>
      </c>
      <c r="V20" s="182" t="s">
        <v>839</v>
      </c>
      <c r="W20" s="182" t="s">
        <v>839</v>
      </c>
      <c r="X20" s="525" t="e">
        <f t="shared" si="5"/>
        <v>#VALUE!</v>
      </c>
      <c r="Y20" s="661"/>
      <c r="Z20" s="524" t="s">
        <v>839</v>
      </c>
      <c r="AA20" s="182" t="s">
        <v>839</v>
      </c>
      <c r="AB20" s="182" t="s">
        <v>839</v>
      </c>
      <c r="AC20" s="525" t="e">
        <f t="shared" si="7"/>
        <v>#VALUE!</v>
      </c>
      <c r="AD20" s="661"/>
      <c r="AE20" s="524" t="s">
        <v>839</v>
      </c>
      <c r="AF20" s="182" t="s">
        <v>839</v>
      </c>
      <c r="AG20" s="182" t="s">
        <v>839</v>
      </c>
      <c r="AH20" s="525" t="e">
        <f t="shared" si="9"/>
        <v>#VALUE!</v>
      </c>
      <c r="AI20" s="661"/>
      <c r="AJ20" s="524" t="s">
        <v>839</v>
      </c>
      <c r="AK20" s="182" t="s">
        <v>839</v>
      </c>
      <c r="AL20" s="182" t="s">
        <v>839</v>
      </c>
      <c r="AM20" s="525" t="e">
        <f t="shared" si="11"/>
        <v>#VALUE!</v>
      </c>
      <c r="AN20" s="661"/>
      <c r="AO20" s="524" t="s">
        <v>839</v>
      </c>
      <c r="AP20" s="182" t="s">
        <v>839</v>
      </c>
      <c r="AQ20" s="182" t="s">
        <v>839</v>
      </c>
      <c r="AR20" s="525" t="e">
        <f t="shared" si="13"/>
        <v>#VALUE!</v>
      </c>
      <c r="AS20" s="661"/>
      <c r="AT20" s="524" t="s">
        <v>839</v>
      </c>
      <c r="AU20" s="182" t="s">
        <v>839</v>
      </c>
      <c r="AV20" s="182" t="s">
        <v>839</v>
      </c>
      <c r="AW20" s="525" t="e">
        <f t="shared" si="15"/>
        <v>#VALUE!</v>
      </c>
      <c r="AX20" s="661"/>
      <c r="AZ20" s="525" t="e">
        <f t="shared" si="17"/>
        <v>#N/A</v>
      </c>
      <c r="BA20" s="661"/>
    </row>
    <row r="21" spans="2:53">
      <c r="B21" s="647"/>
      <c r="C21" s="470">
        <v>15</v>
      </c>
      <c r="D21" s="456"/>
      <c r="E21" s="473"/>
      <c r="F21" s="473"/>
      <c r="G21" s="473"/>
      <c r="H21" s="669"/>
      <c r="I21" s="470"/>
      <c r="J21" s="470"/>
      <c r="K21" s="470"/>
      <c r="L21" s="669"/>
      <c r="M21" s="472" t="e">
        <f>RANK(K21, K$7:$K$21)</f>
        <v>#N/A</v>
      </c>
      <c r="N21" s="614"/>
      <c r="O21" s="614"/>
      <c r="P21" s="524" t="s">
        <v>839</v>
      </c>
      <c r="Q21" s="182" t="s">
        <v>839</v>
      </c>
      <c r="R21" s="182" t="s">
        <v>839</v>
      </c>
      <c r="S21" s="525" t="e">
        <f t="shared" si="3"/>
        <v>#VALUE!</v>
      </c>
      <c r="T21" s="661"/>
      <c r="U21" s="524" t="s">
        <v>839</v>
      </c>
      <c r="V21" s="182" t="s">
        <v>839</v>
      </c>
      <c r="W21" s="182" t="s">
        <v>839</v>
      </c>
      <c r="X21" s="525" t="e">
        <f t="shared" si="5"/>
        <v>#VALUE!</v>
      </c>
      <c r="Y21" s="661"/>
      <c r="Z21" s="524" t="s">
        <v>839</v>
      </c>
      <c r="AA21" s="182" t="s">
        <v>839</v>
      </c>
      <c r="AB21" s="182" t="s">
        <v>839</v>
      </c>
      <c r="AC21" s="525" t="e">
        <f t="shared" si="7"/>
        <v>#VALUE!</v>
      </c>
      <c r="AD21" s="661"/>
      <c r="AE21" s="524" t="s">
        <v>839</v>
      </c>
      <c r="AF21" s="182" t="s">
        <v>839</v>
      </c>
      <c r="AG21" s="182" t="s">
        <v>839</v>
      </c>
      <c r="AH21" s="525" t="e">
        <f t="shared" si="9"/>
        <v>#VALUE!</v>
      </c>
      <c r="AI21" s="661"/>
      <c r="AJ21" s="524" t="s">
        <v>839</v>
      </c>
      <c r="AK21" s="182" t="s">
        <v>839</v>
      </c>
      <c r="AL21" s="182" t="s">
        <v>839</v>
      </c>
      <c r="AM21" s="525" t="e">
        <f t="shared" si="11"/>
        <v>#VALUE!</v>
      </c>
      <c r="AN21" s="661"/>
      <c r="AO21" s="524" t="s">
        <v>839</v>
      </c>
      <c r="AP21" s="182" t="s">
        <v>839</v>
      </c>
      <c r="AQ21" s="182" t="s">
        <v>839</v>
      </c>
      <c r="AR21" s="525" t="e">
        <f t="shared" si="13"/>
        <v>#VALUE!</v>
      </c>
      <c r="AS21" s="661"/>
      <c r="AT21" s="524" t="s">
        <v>839</v>
      </c>
      <c r="AU21" s="182" t="s">
        <v>839</v>
      </c>
      <c r="AV21" s="182" t="s">
        <v>839</v>
      </c>
      <c r="AW21" s="525" t="e">
        <f t="shared" si="15"/>
        <v>#VALUE!</v>
      </c>
      <c r="AX21" s="661"/>
      <c r="AZ21" s="525" t="e">
        <f t="shared" si="17"/>
        <v>#N/A</v>
      </c>
      <c r="BA21" s="661"/>
    </row>
    <row r="22" spans="2:53" ht="15.75">
      <c r="B22" s="640" t="s">
        <v>163</v>
      </c>
      <c r="C22" s="641"/>
      <c r="D22" s="641"/>
      <c r="E22" s="641"/>
      <c r="F22" s="641"/>
      <c r="G22" s="641"/>
      <c r="H22" s="641"/>
      <c r="I22" s="203"/>
      <c r="J22" s="203"/>
      <c r="K22" s="203"/>
      <c r="L22" s="203"/>
      <c r="M22" s="204"/>
      <c r="N22" s="615" t="s">
        <v>156</v>
      </c>
      <c r="O22" s="615" t="s">
        <v>105</v>
      </c>
      <c r="P22" s="621">
        <f>P2+7</f>
        <v>46119</v>
      </c>
      <c r="Q22" s="622"/>
      <c r="R22" s="622"/>
      <c r="S22" s="622"/>
      <c r="T22" s="622"/>
      <c r="U22" s="618">
        <f>P22+1</f>
        <v>46120</v>
      </c>
      <c r="V22" s="619"/>
      <c r="W22" s="619"/>
      <c r="X22" s="619"/>
      <c r="Y22" s="620"/>
      <c r="Z22" s="618">
        <f>U22+1</f>
        <v>46121</v>
      </c>
      <c r="AA22" s="619"/>
      <c r="AB22" s="619"/>
      <c r="AC22" s="619"/>
      <c r="AD22" s="620"/>
      <c r="AE22" s="618">
        <f>Z22+1</f>
        <v>46122</v>
      </c>
      <c r="AF22" s="619"/>
      <c r="AG22" s="619"/>
      <c r="AH22" s="619"/>
      <c r="AI22" s="620"/>
      <c r="AJ22" s="618">
        <f>AE22+1</f>
        <v>46123</v>
      </c>
      <c r="AK22" s="619"/>
      <c r="AL22" s="619"/>
      <c r="AM22" s="619"/>
      <c r="AN22" s="620"/>
      <c r="AO22" s="618">
        <f>AJ22+1</f>
        <v>46124</v>
      </c>
      <c r="AP22" s="619"/>
      <c r="AQ22" s="619"/>
      <c r="AR22" s="619"/>
      <c r="AS22" s="620"/>
      <c r="AT22" s="618">
        <f>AO22+1</f>
        <v>46125</v>
      </c>
      <c r="AU22" s="619"/>
      <c r="AV22" s="619"/>
      <c r="AW22" s="619"/>
      <c r="AX22" s="620"/>
    </row>
    <row r="23" spans="2:53" ht="15.75">
      <c r="B23" s="629"/>
      <c r="C23" s="629"/>
      <c r="D23" s="629"/>
      <c r="E23" s="629"/>
      <c r="F23" s="629"/>
      <c r="G23" s="629"/>
      <c r="H23" s="629"/>
      <c r="I23" s="205"/>
      <c r="J23" s="205"/>
      <c r="K23" s="205"/>
      <c r="L23" s="205"/>
      <c r="M23" s="206"/>
      <c r="N23" s="617"/>
      <c r="O23" s="617"/>
      <c r="P23" s="621" t="s">
        <v>336</v>
      </c>
      <c r="Q23" s="622"/>
      <c r="R23" s="622"/>
      <c r="S23" s="622"/>
      <c r="T23" s="622"/>
      <c r="U23" s="621" t="s">
        <v>337</v>
      </c>
      <c r="V23" s="622"/>
      <c r="W23" s="622"/>
      <c r="X23" s="622"/>
      <c r="Y23" s="622"/>
      <c r="Z23" s="621" t="s">
        <v>338</v>
      </c>
      <c r="AA23" s="622"/>
      <c r="AB23" s="622"/>
      <c r="AC23" s="622"/>
      <c r="AD23" s="622"/>
      <c r="AE23" s="621" t="s">
        <v>339</v>
      </c>
      <c r="AF23" s="622"/>
      <c r="AG23" s="622"/>
      <c r="AH23" s="622"/>
      <c r="AI23" s="622"/>
      <c r="AJ23" s="621" t="s">
        <v>340</v>
      </c>
      <c r="AK23" s="622"/>
      <c r="AL23" s="622"/>
      <c r="AM23" s="622"/>
      <c r="AN23" s="622"/>
      <c r="AO23" s="621" t="s">
        <v>341</v>
      </c>
      <c r="AP23" s="622"/>
      <c r="AQ23" s="622"/>
      <c r="AR23" s="622"/>
      <c r="AS23" s="622"/>
      <c r="AT23" s="621" t="s">
        <v>342</v>
      </c>
      <c r="AU23" s="622"/>
      <c r="AV23" s="622"/>
      <c r="AW23" s="622"/>
      <c r="AX23" s="622"/>
    </row>
    <row r="24" spans="2:53">
      <c r="B24" s="614" t="s">
        <v>514</v>
      </c>
      <c r="C24" s="614" t="s">
        <v>515</v>
      </c>
      <c r="D24" s="614"/>
      <c r="E24" s="614" t="s">
        <v>516</v>
      </c>
      <c r="F24" s="614"/>
      <c r="G24" s="614"/>
      <c r="H24" s="630" t="s">
        <v>487</v>
      </c>
      <c r="I24" s="598" t="s">
        <v>483</v>
      </c>
      <c r="J24" s="598"/>
      <c r="K24" s="598"/>
      <c r="L24" s="599" t="s">
        <v>395</v>
      </c>
      <c r="M24" s="605" t="s">
        <v>517</v>
      </c>
      <c r="N24" s="614"/>
      <c r="O24" s="614" t="s">
        <v>518</v>
      </c>
      <c r="P24" s="611" t="s">
        <v>485</v>
      </c>
      <c r="Q24" s="612"/>
      <c r="R24" s="612"/>
      <c r="S24" s="613"/>
      <c r="T24" s="614" t="s">
        <v>487</v>
      </c>
      <c r="U24" s="611" t="s">
        <v>485</v>
      </c>
      <c r="V24" s="612"/>
      <c r="W24" s="612"/>
      <c r="X24" s="613"/>
      <c r="Y24" s="614" t="s">
        <v>487</v>
      </c>
      <c r="Z24" s="611" t="s">
        <v>485</v>
      </c>
      <c r="AA24" s="612"/>
      <c r="AB24" s="612"/>
      <c r="AC24" s="613"/>
      <c r="AD24" s="614" t="s">
        <v>487</v>
      </c>
      <c r="AE24" s="611" t="s">
        <v>485</v>
      </c>
      <c r="AF24" s="612"/>
      <c r="AG24" s="612"/>
      <c r="AH24" s="613"/>
      <c r="AI24" s="614" t="s">
        <v>487</v>
      </c>
      <c r="AJ24" s="611" t="s">
        <v>485</v>
      </c>
      <c r="AK24" s="612"/>
      <c r="AL24" s="612"/>
      <c r="AM24" s="613"/>
      <c r="AN24" s="614" t="s">
        <v>487</v>
      </c>
      <c r="AO24" s="611" t="s">
        <v>485</v>
      </c>
      <c r="AP24" s="612"/>
      <c r="AQ24" s="612"/>
      <c r="AR24" s="613"/>
      <c r="AS24" s="614" t="s">
        <v>487</v>
      </c>
      <c r="AT24" s="611" t="s">
        <v>485</v>
      </c>
      <c r="AU24" s="612"/>
      <c r="AV24" s="612"/>
      <c r="AW24" s="613"/>
      <c r="AX24" s="614" t="s">
        <v>487</v>
      </c>
      <c r="BA24" s="614" t="s">
        <v>395</v>
      </c>
    </row>
    <row r="25" spans="2:53">
      <c r="B25" s="614"/>
      <c r="C25" s="614"/>
      <c r="D25" s="614"/>
      <c r="E25" s="614" t="s">
        <v>490</v>
      </c>
      <c r="F25" s="614"/>
      <c r="G25" s="614"/>
      <c r="H25" s="631"/>
      <c r="I25" s="598" t="s">
        <v>490</v>
      </c>
      <c r="J25" s="598"/>
      <c r="K25" s="598"/>
      <c r="L25" s="600"/>
      <c r="M25" s="606"/>
      <c r="N25" s="614"/>
      <c r="O25" s="614"/>
      <c r="P25" s="611" t="s">
        <v>491</v>
      </c>
      <c r="Q25" s="612"/>
      <c r="R25" s="612"/>
      <c r="S25" s="613"/>
      <c r="T25" s="614"/>
      <c r="U25" s="611" t="s">
        <v>491</v>
      </c>
      <c r="V25" s="612"/>
      <c r="W25" s="612"/>
      <c r="X25" s="613"/>
      <c r="Y25" s="614"/>
      <c r="Z25" s="611" t="s">
        <v>491</v>
      </c>
      <c r="AA25" s="612"/>
      <c r="AB25" s="612"/>
      <c r="AC25" s="613"/>
      <c r="AD25" s="614"/>
      <c r="AE25" s="611" t="s">
        <v>491</v>
      </c>
      <c r="AF25" s="612"/>
      <c r="AG25" s="612"/>
      <c r="AH25" s="613"/>
      <c r="AI25" s="614"/>
      <c r="AJ25" s="611" t="s">
        <v>491</v>
      </c>
      <c r="AK25" s="612"/>
      <c r="AL25" s="612"/>
      <c r="AM25" s="613"/>
      <c r="AN25" s="614"/>
      <c r="AO25" s="611" t="s">
        <v>491</v>
      </c>
      <c r="AP25" s="612"/>
      <c r="AQ25" s="612"/>
      <c r="AR25" s="613"/>
      <c r="AS25" s="614"/>
      <c r="AT25" s="611" t="s">
        <v>491</v>
      </c>
      <c r="AU25" s="612"/>
      <c r="AV25" s="612"/>
      <c r="AW25" s="613"/>
      <c r="AX25" s="614"/>
      <c r="BA25" s="614"/>
    </row>
    <row r="26" spans="2:53">
      <c r="B26" s="614"/>
      <c r="C26" s="614"/>
      <c r="D26" s="614"/>
      <c r="E26" s="317" t="s">
        <v>495</v>
      </c>
      <c r="F26" s="317" t="s">
        <v>519</v>
      </c>
      <c r="G26" s="317" t="s">
        <v>494</v>
      </c>
      <c r="H26" s="632"/>
      <c r="I26" s="316" t="s">
        <v>495</v>
      </c>
      <c r="J26" s="316" t="s">
        <v>519</v>
      </c>
      <c r="K26" s="316" t="s">
        <v>494</v>
      </c>
      <c r="L26" s="601"/>
      <c r="M26" s="607"/>
      <c r="N26" s="614"/>
      <c r="O26" s="614"/>
      <c r="P26" s="317" t="s">
        <v>495</v>
      </c>
      <c r="Q26" s="317" t="s">
        <v>519</v>
      </c>
      <c r="R26" s="317" t="s">
        <v>494</v>
      </c>
      <c r="S26" s="317" t="s">
        <v>517</v>
      </c>
      <c r="T26" s="614"/>
      <c r="U26" s="317" t="s">
        <v>495</v>
      </c>
      <c r="V26" s="317" t="s">
        <v>405</v>
      </c>
      <c r="W26" s="317" t="s">
        <v>494</v>
      </c>
      <c r="X26" s="317" t="s">
        <v>517</v>
      </c>
      <c r="Y26" s="614"/>
      <c r="Z26" s="317" t="s">
        <v>495</v>
      </c>
      <c r="AA26" s="317" t="s">
        <v>405</v>
      </c>
      <c r="AB26" s="317" t="s">
        <v>494</v>
      </c>
      <c r="AC26" s="317" t="s">
        <v>517</v>
      </c>
      <c r="AD26" s="614"/>
      <c r="AE26" s="317" t="s">
        <v>495</v>
      </c>
      <c r="AF26" s="317" t="s">
        <v>519</v>
      </c>
      <c r="AG26" s="317" t="s">
        <v>494</v>
      </c>
      <c r="AH26" s="317" t="s">
        <v>517</v>
      </c>
      <c r="AI26" s="614"/>
      <c r="AJ26" s="317" t="s">
        <v>495</v>
      </c>
      <c r="AK26" s="317" t="s">
        <v>519</v>
      </c>
      <c r="AL26" s="317" t="s">
        <v>494</v>
      </c>
      <c r="AM26" s="317" t="s">
        <v>517</v>
      </c>
      <c r="AN26" s="614"/>
      <c r="AO26" s="317" t="s">
        <v>495</v>
      </c>
      <c r="AP26" s="317" t="s">
        <v>519</v>
      </c>
      <c r="AQ26" s="317" t="s">
        <v>494</v>
      </c>
      <c r="AR26" s="317" t="s">
        <v>517</v>
      </c>
      <c r="AS26" s="614"/>
      <c r="AT26" s="317" t="s">
        <v>495</v>
      </c>
      <c r="AU26" s="317" t="s">
        <v>519</v>
      </c>
      <c r="AV26" s="317" t="s">
        <v>494</v>
      </c>
      <c r="AW26" s="317" t="s">
        <v>517</v>
      </c>
      <c r="AX26" s="614"/>
      <c r="AZ26" s="523" t="s">
        <v>396</v>
      </c>
      <c r="BA26" s="614"/>
    </row>
    <row r="27" spans="2:53">
      <c r="B27" s="614" t="s">
        <v>520</v>
      </c>
      <c r="C27" s="318">
        <v>1</v>
      </c>
      <c r="D27" s="226" t="s">
        <v>381</v>
      </c>
      <c r="E27" s="182">
        <v>7</v>
      </c>
      <c r="F27" s="514">
        <v>1500</v>
      </c>
      <c r="G27" s="515">
        <v>214.3</v>
      </c>
      <c r="H27" s="663">
        <f>AVERAGE(G27:G41)</f>
        <v>184.21428571428575</v>
      </c>
      <c r="I27" s="516">
        <f t="shared" ref="I27:I40" si="19">IFERROR(AVERAGE(P27,U27,Z27,AE27,AJ27,AO27,AT27),"-")</f>
        <v>7</v>
      </c>
      <c r="J27" s="516">
        <f t="shared" ref="J27:J40" si="20">IFERROR(AVERAGE(Q27,V27,AA27,AF27,AK27,AP27,AU27),"-")</f>
        <v>1444.1347755388135</v>
      </c>
      <c r="K27" s="200">
        <f t="shared" ref="K27:K40" si="21">IFERROR(AVERAGE(R27,W27,AB27,AG27,AL27,AQ27,AV27),"-")</f>
        <v>206.30496793411618</v>
      </c>
      <c r="L27" s="595">
        <f>IFERROR(AVERAGE(K27:K41),"-")</f>
        <v>177.45557646161072</v>
      </c>
      <c r="M27" s="201">
        <f>RANK(K27, K$27:$K$41)</f>
        <v>5</v>
      </c>
      <c r="N27" s="614"/>
      <c r="O27" s="614"/>
      <c r="P27" s="529">
        <v>7</v>
      </c>
      <c r="Q27" s="533">
        <v>1442.3999999999996</v>
      </c>
      <c r="R27" s="533">
        <v>206.05714285714279</v>
      </c>
      <c r="S27" s="529">
        <f t="shared" ref="S27:S41" si="22">RANK(R27, R$27:R$41)</f>
        <v>5</v>
      </c>
      <c r="T27" s="623">
        <f t="shared" ref="T27" si="23">AVERAGE(R27:R41)</f>
        <v>178.22385200867345</v>
      </c>
      <c r="U27" s="529">
        <v>7</v>
      </c>
      <c r="V27" s="533">
        <v>1444.1095890410957</v>
      </c>
      <c r="W27" s="533">
        <v>206.30136986301366</v>
      </c>
      <c r="X27" s="529">
        <f t="shared" ref="X27:X41" si="24">RANK(W27, W$27:W$41)</f>
        <v>3</v>
      </c>
      <c r="Y27" s="623">
        <f t="shared" ref="Y27" si="25">AVERAGE(W27:W41)</f>
        <v>177.73363800285011</v>
      </c>
      <c r="Z27" s="529">
        <v>7</v>
      </c>
      <c r="AA27" s="533">
        <v>1442.3999999999996</v>
      </c>
      <c r="AB27" s="533">
        <v>206.05714285714279</v>
      </c>
      <c r="AC27" s="529">
        <f t="shared" ref="AC27:AC41" si="26">RANK(AB27, AB$27:AB$41)</f>
        <v>5</v>
      </c>
      <c r="AD27" s="623">
        <f t="shared" ref="AD27" si="27">AVERAGE(AB27:AB41)</f>
        <v>178.22385200867345</v>
      </c>
      <c r="AE27" s="529">
        <v>7</v>
      </c>
      <c r="AF27" s="533">
        <v>1443.8709677419361</v>
      </c>
      <c r="AG27" s="533">
        <v>206.26728110599086</v>
      </c>
      <c r="AH27" s="529">
        <f t="shared" ref="AH27:AH41" si="28">RANK(AG27, AG$27:AG$41)</f>
        <v>5</v>
      </c>
      <c r="AI27" s="623">
        <f t="shared" ref="AI27" si="29">AVERAGE(AG27:AG41)</f>
        <v>178.82550634421858</v>
      </c>
      <c r="AJ27" s="529">
        <v>7</v>
      </c>
      <c r="AK27" s="533">
        <v>1424.3835616438355</v>
      </c>
      <c r="AL27" s="533">
        <v>203.48336594911936</v>
      </c>
      <c r="AM27" s="529">
        <f t="shared" ref="AM27:AM41" si="30">RANK(AL27, AL$27:AL$41)</f>
        <v>5</v>
      </c>
      <c r="AN27" s="623">
        <f t="shared" ref="AN27" si="31">AVERAGE(AL27:AL41)</f>
        <v>177.99759072244711</v>
      </c>
      <c r="AO27" s="529">
        <v>7</v>
      </c>
      <c r="AP27" s="533">
        <v>1470.3999999999996</v>
      </c>
      <c r="AQ27" s="533">
        <v>210.05714285714279</v>
      </c>
      <c r="AR27" s="529">
        <f t="shared" ref="AR27:AR41" si="32">RANK(AQ27, AQ$27:AQ$41)</f>
        <v>3</v>
      </c>
      <c r="AS27" s="623">
        <f t="shared" ref="AS27" si="33">AVERAGE(AQ27:AQ41)</f>
        <v>174.76512207679258</v>
      </c>
      <c r="AT27" s="529">
        <v>7</v>
      </c>
      <c r="AU27" s="533">
        <v>1441.3793103448274</v>
      </c>
      <c r="AV27" s="533">
        <v>205.91133004926107</v>
      </c>
      <c r="AW27" s="529">
        <f t="shared" ref="AW27:AW41" si="34">RANK(AV27, AV$27:AV$41)</f>
        <v>5</v>
      </c>
      <c r="AX27" s="623">
        <f t="shared" ref="AX27" si="35">AVERAGE(AV27:AV41)</f>
        <v>176.41947406761975</v>
      </c>
      <c r="AZ27" s="524" t="e">
        <f t="shared" ref="AZ27:AZ41" si="36">RANK(AY27, AY$27:AY$41)</f>
        <v>#N/A</v>
      </c>
      <c r="BA27" s="623" t="e">
        <f t="shared" ref="BA27" si="37">AVERAGE(AY27:AY41)</f>
        <v>#DIV/0!</v>
      </c>
    </row>
    <row r="28" spans="2:53">
      <c r="B28" s="622"/>
      <c r="C28" s="318">
        <v>2</v>
      </c>
      <c r="D28" s="226" t="s">
        <v>382</v>
      </c>
      <c r="E28" s="182">
        <v>7</v>
      </c>
      <c r="F28" s="514">
        <v>1500</v>
      </c>
      <c r="G28" s="515">
        <v>214.3</v>
      </c>
      <c r="H28" s="664"/>
      <c r="I28" s="516">
        <f t="shared" si="19"/>
        <v>7</v>
      </c>
      <c r="J28" s="516">
        <f t="shared" si="20"/>
        <v>1451.3843670634001</v>
      </c>
      <c r="K28" s="200">
        <f t="shared" si="21"/>
        <v>207.34062386620005</v>
      </c>
      <c r="L28" s="596"/>
      <c r="M28" s="201">
        <f>RANK(K28, K$27:$K$41)</f>
        <v>4</v>
      </c>
      <c r="N28" s="614"/>
      <c r="O28" s="614"/>
      <c r="P28" s="529">
        <v>7</v>
      </c>
      <c r="Q28" s="533">
        <v>1456.4102564102566</v>
      </c>
      <c r="R28" s="533">
        <v>208.05860805860809</v>
      </c>
      <c r="S28" s="529">
        <f t="shared" si="22"/>
        <v>3</v>
      </c>
      <c r="T28" s="624"/>
      <c r="U28" s="529">
        <v>7</v>
      </c>
      <c r="V28" s="533">
        <v>1442.5000000000002</v>
      </c>
      <c r="W28" s="533">
        <v>206.07142857142861</v>
      </c>
      <c r="X28" s="529">
        <f t="shared" si="24"/>
        <v>4</v>
      </c>
      <c r="Y28" s="624"/>
      <c r="Z28" s="529">
        <v>7</v>
      </c>
      <c r="AA28" s="533">
        <v>1456.4102564102566</v>
      </c>
      <c r="AB28" s="533">
        <v>208.05860805860809</v>
      </c>
      <c r="AC28" s="529">
        <f t="shared" si="26"/>
        <v>3</v>
      </c>
      <c r="AD28" s="624"/>
      <c r="AE28" s="529">
        <v>7</v>
      </c>
      <c r="AF28" s="533">
        <v>1467.5229357798164</v>
      </c>
      <c r="AG28" s="533">
        <v>209.64613368283091</v>
      </c>
      <c r="AH28" s="529">
        <f t="shared" si="28"/>
        <v>4</v>
      </c>
      <c r="AI28" s="624"/>
      <c r="AJ28" s="529">
        <v>7</v>
      </c>
      <c r="AK28" s="533">
        <v>1448.5000000000005</v>
      </c>
      <c r="AL28" s="533">
        <v>206.9285714285715</v>
      </c>
      <c r="AM28" s="529">
        <f t="shared" si="30"/>
        <v>4</v>
      </c>
      <c r="AN28" s="624"/>
      <c r="AO28" s="529">
        <v>7</v>
      </c>
      <c r="AP28" s="533">
        <v>1446.5693430656934</v>
      </c>
      <c r="AQ28" s="533">
        <v>206.65276329509905</v>
      </c>
      <c r="AR28" s="529">
        <f t="shared" si="32"/>
        <v>4</v>
      </c>
      <c r="AS28" s="624"/>
      <c r="AT28" s="529">
        <v>7</v>
      </c>
      <c r="AU28" s="533">
        <v>1441.7777777777776</v>
      </c>
      <c r="AV28" s="533">
        <v>205.96825396825395</v>
      </c>
      <c r="AW28" s="529">
        <f t="shared" si="34"/>
        <v>4</v>
      </c>
      <c r="AX28" s="624"/>
      <c r="AZ28" s="524" t="e">
        <f t="shared" si="36"/>
        <v>#N/A</v>
      </c>
      <c r="BA28" s="624"/>
    </row>
    <row r="29" spans="2:53">
      <c r="B29" s="622"/>
      <c r="C29" s="318">
        <v>3</v>
      </c>
      <c r="D29" s="226" t="s">
        <v>349</v>
      </c>
      <c r="E29" s="182">
        <v>20</v>
      </c>
      <c r="F29" s="514">
        <v>1500</v>
      </c>
      <c r="G29" s="515">
        <v>75</v>
      </c>
      <c r="H29" s="664"/>
      <c r="I29" s="516">
        <f t="shared" si="19"/>
        <v>20</v>
      </c>
      <c r="J29" s="516">
        <f t="shared" si="20"/>
        <v>1389.2054192839237</v>
      </c>
      <c r="K29" s="200">
        <f t="shared" si="21"/>
        <v>69.460270964196184</v>
      </c>
      <c r="L29" s="596"/>
      <c r="M29" s="201">
        <f>RANK(K29, K$27:$K$41)</f>
        <v>7</v>
      </c>
      <c r="N29" s="614"/>
      <c r="O29" s="614"/>
      <c r="P29" s="529">
        <v>20</v>
      </c>
      <c r="Q29" s="533">
        <v>1409.081081081081</v>
      </c>
      <c r="R29" s="533">
        <v>70.454054054054055</v>
      </c>
      <c r="S29" s="529">
        <f t="shared" si="22"/>
        <v>7</v>
      </c>
      <c r="T29" s="624"/>
      <c r="U29" s="529">
        <v>20</v>
      </c>
      <c r="V29" s="533">
        <v>1411.9065420560744</v>
      </c>
      <c r="W29" s="533">
        <v>70.595327102803722</v>
      </c>
      <c r="X29" s="529">
        <f t="shared" si="24"/>
        <v>7</v>
      </c>
      <c r="Y29" s="624"/>
      <c r="Z29" s="529">
        <v>20</v>
      </c>
      <c r="AA29" s="533">
        <v>1409.081081081081</v>
      </c>
      <c r="AB29" s="533">
        <v>70.454054054054055</v>
      </c>
      <c r="AC29" s="529">
        <f t="shared" si="26"/>
        <v>7</v>
      </c>
      <c r="AD29" s="624"/>
      <c r="AE29" s="529">
        <v>20</v>
      </c>
      <c r="AF29" s="533">
        <v>1404.0000000000005</v>
      </c>
      <c r="AG29" s="533">
        <v>70.200000000000017</v>
      </c>
      <c r="AH29" s="529">
        <f t="shared" si="28"/>
        <v>7</v>
      </c>
      <c r="AI29" s="624"/>
      <c r="AJ29" s="529">
        <v>20</v>
      </c>
      <c r="AK29" s="533">
        <v>1395.5999999999995</v>
      </c>
      <c r="AL29" s="533">
        <v>69.779999999999973</v>
      </c>
      <c r="AM29" s="529">
        <f t="shared" si="30"/>
        <v>7</v>
      </c>
      <c r="AN29" s="624"/>
      <c r="AO29" s="529">
        <v>20</v>
      </c>
      <c r="AP29" s="533">
        <v>1345.9999999999995</v>
      </c>
      <c r="AQ29" s="533">
        <v>67.299999999999983</v>
      </c>
      <c r="AR29" s="529">
        <f t="shared" si="32"/>
        <v>7</v>
      </c>
      <c r="AS29" s="624"/>
      <c r="AT29" s="529">
        <v>20</v>
      </c>
      <c r="AU29" s="533">
        <v>1348.7692307692309</v>
      </c>
      <c r="AV29" s="533">
        <v>67.438461538461553</v>
      </c>
      <c r="AW29" s="529">
        <f t="shared" si="34"/>
        <v>7</v>
      </c>
      <c r="AX29" s="624"/>
      <c r="AZ29" s="524" t="e">
        <f t="shared" si="36"/>
        <v>#N/A</v>
      </c>
      <c r="BA29" s="624"/>
    </row>
    <row r="30" spans="2:53">
      <c r="B30" s="622"/>
      <c r="C30" s="318">
        <v>4</v>
      </c>
      <c r="D30" s="226" t="s">
        <v>383</v>
      </c>
      <c r="E30" s="182">
        <v>16</v>
      </c>
      <c r="F30" s="514">
        <v>1440</v>
      </c>
      <c r="G30" s="515">
        <v>84.7</v>
      </c>
      <c r="H30" s="664"/>
      <c r="I30" s="516">
        <f t="shared" si="19"/>
        <v>16.142857142857142</v>
      </c>
      <c r="J30" s="516">
        <f t="shared" si="20"/>
        <v>1393.2153192150829</v>
      </c>
      <c r="K30" s="200">
        <f t="shared" si="21"/>
        <v>86.361990045798805</v>
      </c>
      <c r="L30" s="596"/>
      <c r="M30" s="201">
        <f>RANK(K30, K$27:$K$41)</f>
        <v>6</v>
      </c>
      <c r="N30" s="614"/>
      <c r="O30" s="614"/>
      <c r="P30" s="529">
        <v>16</v>
      </c>
      <c r="Q30" s="533">
        <v>1402.5000000000009</v>
      </c>
      <c r="R30" s="533">
        <v>87.656250000000057</v>
      </c>
      <c r="S30" s="529">
        <f t="shared" si="22"/>
        <v>6</v>
      </c>
      <c r="T30" s="624"/>
      <c r="U30" s="529">
        <v>16</v>
      </c>
      <c r="V30" s="533">
        <v>1413.4883720930231</v>
      </c>
      <c r="W30" s="533">
        <v>88.343023255813947</v>
      </c>
      <c r="X30" s="529">
        <f t="shared" si="24"/>
        <v>6</v>
      </c>
      <c r="Y30" s="624"/>
      <c r="Z30" s="529">
        <v>16</v>
      </c>
      <c r="AA30" s="533">
        <v>1402.5000000000009</v>
      </c>
      <c r="AB30" s="533">
        <v>87.656250000000057</v>
      </c>
      <c r="AC30" s="529">
        <f t="shared" si="26"/>
        <v>6</v>
      </c>
      <c r="AD30" s="624"/>
      <c r="AE30" s="529">
        <v>16</v>
      </c>
      <c r="AF30" s="533">
        <v>1423.4210526315796</v>
      </c>
      <c r="AG30" s="533">
        <v>88.963815789473728</v>
      </c>
      <c r="AH30" s="529">
        <f t="shared" si="28"/>
        <v>6</v>
      </c>
      <c r="AI30" s="624"/>
      <c r="AJ30" s="529">
        <v>16</v>
      </c>
      <c r="AK30" s="533">
        <v>1427.0454545454545</v>
      </c>
      <c r="AL30" s="533">
        <v>89.190340909090907</v>
      </c>
      <c r="AM30" s="529">
        <f t="shared" si="30"/>
        <v>6</v>
      </c>
      <c r="AN30" s="624"/>
      <c r="AO30" s="529">
        <v>16</v>
      </c>
      <c r="AP30" s="533">
        <v>1324.1584158415835</v>
      </c>
      <c r="AQ30" s="533">
        <v>82.75990099009897</v>
      </c>
      <c r="AR30" s="529">
        <f t="shared" si="32"/>
        <v>6</v>
      </c>
      <c r="AS30" s="624"/>
      <c r="AT30" s="529">
        <v>17</v>
      </c>
      <c r="AU30" s="533">
        <v>1359.3939393939388</v>
      </c>
      <c r="AV30" s="533">
        <v>79.964349376114043</v>
      </c>
      <c r="AW30" s="529">
        <f t="shared" si="34"/>
        <v>6</v>
      </c>
      <c r="AX30" s="624"/>
      <c r="AZ30" s="524" t="e">
        <f t="shared" si="36"/>
        <v>#N/A</v>
      </c>
      <c r="BA30" s="624"/>
    </row>
    <row r="31" spans="2:53">
      <c r="B31" s="622"/>
      <c r="C31" s="318">
        <v>5</v>
      </c>
      <c r="D31" s="226" t="s">
        <v>422</v>
      </c>
      <c r="E31" s="182">
        <v>7</v>
      </c>
      <c r="F31" s="514">
        <v>1500</v>
      </c>
      <c r="G31" s="515">
        <v>214.3</v>
      </c>
      <c r="H31" s="664"/>
      <c r="I31" s="516">
        <f t="shared" si="19"/>
        <v>7</v>
      </c>
      <c r="J31" s="516">
        <f t="shared" si="20"/>
        <v>1455.1310726178745</v>
      </c>
      <c r="K31" s="200">
        <f t="shared" si="21"/>
        <v>207.87586751683921</v>
      </c>
      <c r="L31" s="596"/>
      <c r="M31" s="201">
        <f>RANK(K31, K$27:$K$41)</f>
        <v>3</v>
      </c>
      <c r="N31" s="614"/>
      <c r="O31" s="614"/>
      <c r="P31" s="529">
        <v>7</v>
      </c>
      <c r="Q31" s="533">
        <v>1453.3333333333339</v>
      </c>
      <c r="R31" s="533">
        <v>207.61904761904771</v>
      </c>
      <c r="S31" s="529">
        <f t="shared" si="22"/>
        <v>4</v>
      </c>
      <c r="T31" s="624"/>
      <c r="U31" s="529">
        <v>7</v>
      </c>
      <c r="V31" s="533">
        <v>1438.5937500000002</v>
      </c>
      <c r="W31" s="533">
        <v>205.51339285714289</v>
      </c>
      <c r="X31" s="529">
        <f t="shared" si="24"/>
        <v>5</v>
      </c>
      <c r="Y31" s="624"/>
      <c r="Z31" s="529">
        <v>7</v>
      </c>
      <c r="AA31" s="533">
        <v>1453.3333333333339</v>
      </c>
      <c r="AB31" s="533">
        <v>207.61904761904771</v>
      </c>
      <c r="AC31" s="529">
        <f t="shared" si="26"/>
        <v>4</v>
      </c>
      <c r="AD31" s="624"/>
      <c r="AE31" s="529">
        <v>7</v>
      </c>
      <c r="AF31" s="533">
        <v>1469.7345132743369</v>
      </c>
      <c r="AG31" s="533">
        <v>209.96207332490528</v>
      </c>
      <c r="AH31" s="529">
        <f t="shared" si="28"/>
        <v>3</v>
      </c>
      <c r="AI31" s="624"/>
      <c r="AJ31" s="529">
        <v>7</v>
      </c>
      <c r="AK31" s="533">
        <v>1463.8983050847457</v>
      </c>
      <c r="AL31" s="533">
        <v>209.12832929782081</v>
      </c>
      <c r="AM31" s="529">
        <f t="shared" si="30"/>
        <v>2</v>
      </c>
      <c r="AN31" s="624"/>
      <c r="AO31" s="529">
        <v>7</v>
      </c>
      <c r="AP31" s="533">
        <v>1437.446808510638</v>
      </c>
      <c r="AQ31" s="533">
        <v>205.34954407294828</v>
      </c>
      <c r="AR31" s="529">
        <f t="shared" si="32"/>
        <v>5</v>
      </c>
      <c r="AS31" s="624"/>
      <c r="AT31" s="529">
        <v>7</v>
      </c>
      <c r="AU31" s="533">
        <v>1469.5774647887329</v>
      </c>
      <c r="AV31" s="533">
        <v>209.93963782696184</v>
      </c>
      <c r="AW31" s="529">
        <f t="shared" si="34"/>
        <v>3</v>
      </c>
      <c r="AX31" s="624"/>
      <c r="AZ31" s="524" t="e">
        <f t="shared" si="36"/>
        <v>#N/A</v>
      </c>
      <c r="BA31" s="624"/>
    </row>
    <row r="32" spans="2:53">
      <c r="B32" s="622"/>
      <c r="C32" s="318">
        <v>6</v>
      </c>
      <c r="D32" s="226" t="s">
        <v>797</v>
      </c>
      <c r="E32" s="182">
        <v>6</v>
      </c>
      <c r="F32" s="514">
        <v>1636</v>
      </c>
      <c r="G32" s="515">
        <v>272.60000000000002</v>
      </c>
      <c r="H32" s="664"/>
      <c r="I32" s="516">
        <f t="shared" si="19"/>
        <v>6</v>
      </c>
      <c r="J32" s="516">
        <f t="shared" si="20"/>
        <v>1529.6832648443992</v>
      </c>
      <c r="K32" s="200">
        <f t="shared" si="21"/>
        <v>254.9472108073999</v>
      </c>
      <c r="L32" s="596"/>
      <c r="M32" s="201">
        <f>RANK(K32, K$27:$K$41)</f>
        <v>1</v>
      </c>
      <c r="N32" s="614"/>
      <c r="O32" s="614"/>
      <c r="P32" s="529">
        <v>6</v>
      </c>
      <c r="Q32" s="533">
        <v>1547.5000000000002</v>
      </c>
      <c r="R32" s="533">
        <v>257.91666666666669</v>
      </c>
      <c r="S32" s="529">
        <f t="shared" si="22"/>
        <v>1</v>
      </c>
      <c r="T32" s="624"/>
      <c r="U32" s="529">
        <v>6</v>
      </c>
      <c r="V32" s="533">
        <v>1543.8655462184877</v>
      </c>
      <c r="W32" s="533">
        <v>257.31092436974797</v>
      </c>
      <c r="X32" s="529">
        <f t="shared" si="24"/>
        <v>1</v>
      </c>
      <c r="Y32" s="624"/>
      <c r="Z32" s="529">
        <v>6</v>
      </c>
      <c r="AA32" s="533">
        <v>1547.5000000000002</v>
      </c>
      <c r="AB32" s="533">
        <v>257.91666666666669</v>
      </c>
      <c r="AC32" s="529">
        <f t="shared" si="26"/>
        <v>1</v>
      </c>
      <c r="AD32" s="624"/>
      <c r="AE32" s="529">
        <v>6</v>
      </c>
      <c r="AF32" s="533">
        <v>1533.5999999999992</v>
      </c>
      <c r="AG32" s="533">
        <v>255.59999999999988</v>
      </c>
      <c r="AH32" s="529">
        <f t="shared" si="28"/>
        <v>1</v>
      </c>
      <c r="AI32" s="624"/>
      <c r="AJ32" s="529">
        <v>6</v>
      </c>
      <c r="AK32" s="533">
        <v>1557.6923076923072</v>
      </c>
      <c r="AL32" s="533">
        <v>259.61538461538453</v>
      </c>
      <c r="AM32" s="529">
        <f t="shared" si="30"/>
        <v>1</v>
      </c>
      <c r="AN32" s="624"/>
      <c r="AO32" s="529">
        <v>6</v>
      </c>
      <c r="AP32" s="533">
        <v>1445.6249999999995</v>
      </c>
      <c r="AQ32" s="533">
        <v>240.93749999999991</v>
      </c>
      <c r="AR32" s="529">
        <f t="shared" si="32"/>
        <v>1</v>
      </c>
      <c r="AS32" s="624"/>
      <c r="AT32" s="529">
        <v>6</v>
      </c>
      <c r="AU32" s="533">
        <v>1532.0000000000002</v>
      </c>
      <c r="AV32" s="533">
        <v>255.33333333333337</v>
      </c>
      <c r="AW32" s="529">
        <f t="shared" si="34"/>
        <v>1</v>
      </c>
      <c r="AX32" s="624"/>
      <c r="AZ32" s="524" t="e">
        <f t="shared" si="36"/>
        <v>#N/A</v>
      </c>
      <c r="BA32" s="624"/>
    </row>
    <row r="33" spans="2:53">
      <c r="B33" s="622"/>
      <c r="C33" s="318">
        <v>7</v>
      </c>
      <c r="D33" s="226" t="s">
        <v>768</v>
      </c>
      <c r="E33" s="182">
        <v>7</v>
      </c>
      <c r="F33" s="514">
        <v>1500</v>
      </c>
      <c r="G33" s="515">
        <v>214.3</v>
      </c>
      <c r="H33" s="664"/>
      <c r="I33" s="516">
        <f t="shared" si="19"/>
        <v>7</v>
      </c>
      <c r="J33" s="516">
        <f t="shared" si="20"/>
        <v>1469.2867286770729</v>
      </c>
      <c r="K33" s="200">
        <f t="shared" si="21"/>
        <v>209.89810409672472</v>
      </c>
      <c r="L33" s="596"/>
      <c r="M33" s="201">
        <f>RANK(K33, K$27:$K$41)</f>
        <v>2</v>
      </c>
      <c r="N33" s="614"/>
      <c r="O33" s="614"/>
      <c r="P33" s="529">
        <v>7</v>
      </c>
      <c r="Q33" s="533">
        <v>1468.6363636363635</v>
      </c>
      <c r="R33" s="533">
        <v>209.80519480519479</v>
      </c>
      <c r="S33" s="529">
        <f t="shared" si="22"/>
        <v>2</v>
      </c>
      <c r="T33" s="624"/>
      <c r="U33" s="529">
        <v>7</v>
      </c>
      <c r="V33" s="533">
        <v>1470</v>
      </c>
      <c r="W33" s="533">
        <v>210</v>
      </c>
      <c r="X33" s="529">
        <f t="shared" si="24"/>
        <v>2</v>
      </c>
      <c r="Y33" s="624"/>
      <c r="Z33" s="529">
        <v>7</v>
      </c>
      <c r="AA33" s="533">
        <v>1468.6363636363635</v>
      </c>
      <c r="AB33" s="533">
        <v>209.80519480519479</v>
      </c>
      <c r="AC33" s="529">
        <f t="shared" si="26"/>
        <v>2</v>
      </c>
      <c r="AD33" s="624"/>
      <c r="AE33" s="529">
        <v>7</v>
      </c>
      <c r="AF33" s="533">
        <v>1477.9746835443048</v>
      </c>
      <c r="AG33" s="533">
        <v>211.13924050632926</v>
      </c>
      <c r="AH33" s="529">
        <f t="shared" si="28"/>
        <v>2</v>
      </c>
      <c r="AI33" s="624"/>
      <c r="AJ33" s="529">
        <v>7</v>
      </c>
      <c r="AK33" s="533">
        <v>1454.9999999999995</v>
      </c>
      <c r="AL33" s="533">
        <v>207.8571428571428</v>
      </c>
      <c r="AM33" s="529">
        <f t="shared" si="30"/>
        <v>3</v>
      </c>
      <c r="AN33" s="624"/>
      <c r="AO33" s="529">
        <v>7</v>
      </c>
      <c r="AP33" s="533">
        <v>1472.0930232558137</v>
      </c>
      <c r="AQ33" s="533">
        <v>210.2990033222591</v>
      </c>
      <c r="AR33" s="529">
        <f t="shared" si="32"/>
        <v>2</v>
      </c>
      <c r="AS33" s="624"/>
      <c r="AT33" s="529">
        <v>7</v>
      </c>
      <c r="AU33" s="533">
        <v>1472.6666666666667</v>
      </c>
      <c r="AV33" s="533">
        <v>210.38095238095238</v>
      </c>
      <c r="AW33" s="529">
        <f t="shared" si="34"/>
        <v>2</v>
      </c>
      <c r="AX33" s="624"/>
      <c r="AZ33" s="524" t="e">
        <f t="shared" si="36"/>
        <v>#N/A</v>
      </c>
      <c r="BA33" s="624"/>
    </row>
    <row r="34" spans="2:53">
      <c r="B34" s="622"/>
      <c r="C34" s="318">
        <v>8</v>
      </c>
      <c r="D34" s="343"/>
      <c r="E34" s="521"/>
      <c r="F34" s="521"/>
      <c r="G34" s="521"/>
      <c r="H34" s="664"/>
      <c r="I34" s="516" t="str">
        <f t="shared" si="19"/>
        <v>-</v>
      </c>
      <c r="J34" s="516" t="str">
        <f t="shared" si="20"/>
        <v>-</v>
      </c>
      <c r="K34" s="200" t="str">
        <f t="shared" si="21"/>
        <v>-</v>
      </c>
      <c r="L34" s="596"/>
      <c r="M34" s="201" t="e">
        <f>RANK(K34, K$27:$K$41)</f>
        <v>#VALUE!</v>
      </c>
      <c r="N34" s="614"/>
      <c r="O34" s="614"/>
      <c r="P34" s="529" t="s">
        <v>839</v>
      </c>
      <c r="Q34" s="533" t="s">
        <v>839</v>
      </c>
      <c r="R34" s="533" t="s">
        <v>839</v>
      </c>
      <c r="S34" s="529" t="e">
        <f t="shared" si="22"/>
        <v>#VALUE!</v>
      </c>
      <c r="T34" s="624"/>
      <c r="U34" s="529" t="s">
        <v>839</v>
      </c>
      <c r="V34" s="533" t="s">
        <v>839</v>
      </c>
      <c r="W34" s="533" t="s">
        <v>839</v>
      </c>
      <c r="X34" s="529" t="e">
        <f t="shared" si="24"/>
        <v>#VALUE!</v>
      </c>
      <c r="Y34" s="624"/>
      <c r="Z34" s="529" t="s">
        <v>839</v>
      </c>
      <c r="AA34" s="533" t="s">
        <v>839</v>
      </c>
      <c r="AB34" s="533" t="s">
        <v>839</v>
      </c>
      <c r="AC34" s="529" t="e">
        <f t="shared" si="26"/>
        <v>#VALUE!</v>
      </c>
      <c r="AD34" s="624"/>
      <c r="AE34" s="529" t="s">
        <v>839</v>
      </c>
      <c r="AF34" s="533" t="s">
        <v>839</v>
      </c>
      <c r="AG34" s="533" t="s">
        <v>839</v>
      </c>
      <c r="AH34" s="529" t="e">
        <f t="shared" si="28"/>
        <v>#VALUE!</v>
      </c>
      <c r="AI34" s="624"/>
      <c r="AJ34" s="529" t="s">
        <v>839</v>
      </c>
      <c r="AK34" s="533" t="s">
        <v>839</v>
      </c>
      <c r="AL34" s="533" t="s">
        <v>839</v>
      </c>
      <c r="AM34" s="529" t="e">
        <f t="shared" si="30"/>
        <v>#VALUE!</v>
      </c>
      <c r="AN34" s="624"/>
      <c r="AO34" s="529" t="s">
        <v>839</v>
      </c>
      <c r="AP34" s="533" t="s">
        <v>839</v>
      </c>
      <c r="AQ34" s="533" t="s">
        <v>839</v>
      </c>
      <c r="AR34" s="529" t="e">
        <f t="shared" si="32"/>
        <v>#VALUE!</v>
      </c>
      <c r="AS34" s="624"/>
      <c r="AT34" s="529" t="s">
        <v>839</v>
      </c>
      <c r="AU34" s="533" t="s">
        <v>839</v>
      </c>
      <c r="AV34" s="533" t="s">
        <v>839</v>
      </c>
      <c r="AW34" s="529" t="e">
        <f t="shared" si="34"/>
        <v>#VALUE!</v>
      </c>
      <c r="AX34" s="624"/>
      <c r="AZ34" s="524" t="e">
        <f t="shared" si="36"/>
        <v>#N/A</v>
      </c>
      <c r="BA34" s="624"/>
    </row>
    <row r="35" spans="2:53">
      <c r="B35" s="622"/>
      <c r="C35" s="318">
        <v>9</v>
      </c>
      <c r="D35" s="456"/>
      <c r="E35" s="521"/>
      <c r="F35" s="521"/>
      <c r="G35" s="521"/>
      <c r="H35" s="664"/>
      <c r="I35" s="516" t="str">
        <f t="shared" si="19"/>
        <v>-</v>
      </c>
      <c r="J35" s="516" t="str">
        <f t="shared" si="20"/>
        <v>-</v>
      </c>
      <c r="K35" s="200" t="str">
        <f t="shared" si="21"/>
        <v>-</v>
      </c>
      <c r="L35" s="596"/>
      <c r="M35" s="201" t="e">
        <f>RANK(K35, K$27:$K$41)</f>
        <v>#VALUE!</v>
      </c>
      <c r="N35" s="614"/>
      <c r="O35" s="614"/>
      <c r="P35" s="529" t="s">
        <v>839</v>
      </c>
      <c r="Q35" s="533" t="s">
        <v>839</v>
      </c>
      <c r="R35" s="533" t="s">
        <v>839</v>
      </c>
      <c r="S35" s="529" t="e">
        <f t="shared" si="22"/>
        <v>#VALUE!</v>
      </c>
      <c r="T35" s="624"/>
      <c r="U35" s="529" t="s">
        <v>839</v>
      </c>
      <c r="V35" s="533" t="s">
        <v>839</v>
      </c>
      <c r="W35" s="533" t="s">
        <v>839</v>
      </c>
      <c r="X35" s="529" t="e">
        <f t="shared" si="24"/>
        <v>#VALUE!</v>
      </c>
      <c r="Y35" s="624"/>
      <c r="Z35" s="529" t="s">
        <v>839</v>
      </c>
      <c r="AA35" s="533" t="s">
        <v>839</v>
      </c>
      <c r="AB35" s="533" t="s">
        <v>839</v>
      </c>
      <c r="AC35" s="529" t="e">
        <f t="shared" si="26"/>
        <v>#VALUE!</v>
      </c>
      <c r="AD35" s="624"/>
      <c r="AE35" s="529" t="s">
        <v>839</v>
      </c>
      <c r="AF35" s="533" t="s">
        <v>839</v>
      </c>
      <c r="AG35" s="533" t="s">
        <v>839</v>
      </c>
      <c r="AH35" s="529" t="e">
        <f t="shared" si="28"/>
        <v>#VALUE!</v>
      </c>
      <c r="AI35" s="624"/>
      <c r="AJ35" s="529" t="s">
        <v>839</v>
      </c>
      <c r="AK35" s="533" t="s">
        <v>839</v>
      </c>
      <c r="AL35" s="533" t="s">
        <v>839</v>
      </c>
      <c r="AM35" s="529" t="e">
        <f t="shared" si="30"/>
        <v>#VALUE!</v>
      </c>
      <c r="AN35" s="624"/>
      <c r="AO35" s="529" t="s">
        <v>839</v>
      </c>
      <c r="AP35" s="533" t="s">
        <v>839</v>
      </c>
      <c r="AQ35" s="533" t="s">
        <v>839</v>
      </c>
      <c r="AR35" s="529" t="e">
        <f t="shared" si="32"/>
        <v>#VALUE!</v>
      </c>
      <c r="AS35" s="624"/>
      <c r="AT35" s="529" t="s">
        <v>839</v>
      </c>
      <c r="AU35" s="533" t="s">
        <v>839</v>
      </c>
      <c r="AV35" s="533" t="s">
        <v>839</v>
      </c>
      <c r="AW35" s="529" t="e">
        <f t="shared" si="34"/>
        <v>#VALUE!</v>
      </c>
      <c r="AX35" s="624"/>
      <c r="AZ35" s="524" t="e">
        <f t="shared" si="36"/>
        <v>#N/A</v>
      </c>
      <c r="BA35" s="624"/>
    </row>
    <row r="36" spans="2:53">
      <c r="B36" s="622"/>
      <c r="C36" s="318">
        <v>10</v>
      </c>
      <c r="D36" s="456"/>
      <c r="E36" s="521"/>
      <c r="F36" s="521"/>
      <c r="G36" s="521"/>
      <c r="H36" s="664"/>
      <c r="I36" s="516" t="str">
        <f t="shared" si="19"/>
        <v>-</v>
      </c>
      <c r="J36" s="516" t="str">
        <f t="shared" si="20"/>
        <v>-</v>
      </c>
      <c r="K36" s="200" t="str">
        <f t="shared" si="21"/>
        <v>-</v>
      </c>
      <c r="L36" s="596"/>
      <c r="M36" s="201" t="e">
        <f>RANK(K36, K$27:$K$41)</f>
        <v>#VALUE!</v>
      </c>
      <c r="N36" s="614"/>
      <c r="O36" s="614"/>
      <c r="P36" s="529" t="s">
        <v>839</v>
      </c>
      <c r="Q36" s="533" t="s">
        <v>839</v>
      </c>
      <c r="R36" s="533" t="s">
        <v>839</v>
      </c>
      <c r="S36" s="529" t="e">
        <f t="shared" si="22"/>
        <v>#VALUE!</v>
      </c>
      <c r="T36" s="624"/>
      <c r="U36" s="529" t="s">
        <v>839</v>
      </c>
      <c r="V36" s="533" t="s">
        <v>839</v>
      </c>
      <c r="W36" s="533" t="s">
        <v>839</v>
      </c>
      <c r="X36" s="529" t="e">
        <f t="shared" si="24"/>
        <v>#VALUE!</v>
      </c>
      <c r="Y36" s="624"/>
      <c r="Z36" s="529" t="s">
        <v>839</v>
      </c>
      <c r="AA36" s="533" t="s">
        <v>839</v>
      </c>
      <c r="AB36" s="533" t="s">
        <v>839</v>
      </c>
      <c r="AC36" s="529" t="e">
        <f t="shared" si="26"/>
        <v>#VALUE!</v>
      </c>
      <c r="AD36" s="624"/>
      <c r="AE36" s="529" t="s">
        <v>839</v>
      </c>
      <c r="AF36" s="533" t="s">
        <v>839</v>
      </c>
      <c r="AG36" s="533" t="s">
        <v>839</v>
      </c>
      <c r="AH36" s="529" t="e">
        <f t="shared" si="28"/>
        <v>#VALUE!</v>
      </c>
      <c r="AI36" s="624"/>
      <c r="AJ36" s="529" t="s">
        <v>839</v>
      </c>
      <c r="AK36" s="533" t="s">
        <v>839</v>
      </c>
      <c r="AL36" s="533" t="s">
        <v>839</v>
      </c>
      <c r="AM36" s="529" t="e">
        <f t="shared" si="30"/>
        <v>#VALUE!</v>
      </c>
      <c r="AN36" s="624"/>
      <c r="AO36" s="529" t="s">
        <v>839</v>
      </c>
      <c r="AP36" s="533" t="s">
        <v>839</v>
      </c>
      <c r="AQ36" s="533" t="s">
        <v>839</v>
      </c>
      <c r="AR36" s="529" t="e">
        <f t="shared" si="32"/>
        <v>#VALUE!</v>
      </c>
      <c r="AS36" s="624"/>
      <c r="AT36" s="529" t="s">
        <v>839</v>
      </c>
      <c r="AU36" s="533" t="s">
        <v>839</v>
      </c>
      <c r="AV36" s="533" t="s">
        <v>839</v>
      </c>
      <c r="AW36" s="529" t="e">
        <f t="shared" si="34"/>
        <v>#VALUE!</v>
      </c>
      <c r="AX36" s="624"/>
      <c r="AZ36" s="524" t="e">
        <f t="shared" si="36"/>
        <v>#N/A</v>
      </c>
      <c r="BA36" s="624"/>
    </row>
    <row r="37" spans="2:53">
      <c r="B37" s="622"/>
      <c r="C37" s="318">
        <v>11</v>
      </c>
      <c r="D37" s="456"/>
      <c r="E37" s="521"/>
      <c r="F37" s="521"/>
      <c r="G37" s="521"/>
      <c r="H37" s="664"/>
      <c r="I37" s="516" t="str">
        <f t="shared" si="19"/>
        <v>-</v>
      </c>
      <c r="J37" s="516" t="str">
        <f t="shared" si="20"/>
        <v>-</v>
      </c>
      <c r="K37" s="200" t="str">
        <f t="shared" si="21"/>
        <v>-</v>
      </c>
      <c r="L37" s="596"/>
      <c r="M37" s="201" t="e">
        <f>RANK(K37, K$27:$K$41)</f>
        <v>#VALUE!</v>
      </c>
      <c r="N37" s="614"/>
      <c r="O37" s="614"/>
      <c r="P37" s="529" t="s">
        <v>839</v>
      </c>
      <c r="Q37" s="533" t="s">
        <v>839</v>
      </c>
      <c r="R37" s="533" t="s">
        <v>839</v>
      </c>
      <c r="S37" s="529" t="e">
        <f t="shared" si="22"/>
        <v>#VALUE!</v>
      </c>
      <c r="T37" s="624"/>
      <c r="U37" s="529" t="s">
        <v>839</v>
      </c>
      <c r="V37" s="533" t="s">
        <v>839</v>
      </c>
      <c r="W37" s="533" t="s">
        <v>839</v>
      </c>
      <c r="X37" s="529" t="e">
        <f t="shared" si="24"/>
        <v>#VALUE!</v>
      </c>
      <c r="Y37" s="624"/>
      <c r="Z37" s="529" t="s">
        <v>839</v>
      </c>
      <c r="AA37" s="533" t="s">
        <v>839</v>
      </c>
      <c r="AB37" s="533" t="s">
        <v>839</v>
      </c>
      <c r="AC37" s="529" t="e">
        <f t="shared" si="26"/>
        <v>#VALUE!</v>
      </c>
      <c r="AD37" s="624"/>
      <c r="AE37" s="529" t="s">
        <v>839</v>
      </c>
      <c r="AF37" s="533" t="s">
        <v>839</v>
      </c>
      <c r="AG37" s="533" t="s">
        <v>839</v>
      </c>
      <c r="AH37" s="529" t="e">
        <f t="shared" si="28"/>
        <v>#VALUE!</v>
      </c>
      <c r="AI37" s="624"/>
      <c r="AJ37" s="529" t="s">
        <v>839</v>
      </c>
      <c r="AK37" s="533" t="s">
        <v>839</v>
      </c>
      <c r="AL37" s="533" t="s">
        <v>839</v>
      </c>
      <c r="AM37" s="529" t="e">
        <f t="shared" si="30"/>
        <v>#VALUE!</v>
      </c>
      <c r="AN37" s="624"/>
      <c r="AO37" s="529" t="s">
        <v>839</v>
      </c>
      <c r="AP37" s="533" t="s">
        <v>839</v>
      </c>
      <c r="AQ37" s="533" t="s">
        <v>839</v>
      </c>
      <c r="AR37" s="529" t="e">
        <f t="shared" si="32"/>
        <v>#VALUE!</v>
      </c>
      <c r="AS37" s="624"/>
      <c r="AT37" s="529" t="s">
        <v>839</v>
      </c>
      <c r="AU37" s="533" t="s">
        <v>839</v>
      </c>
      <c r="AV37" s="533" t="s">
        <v>839</v>
      </c>
      <c r="AW37" s="529" t="e">
        <f t="shared" si="34"/>
        <v>#VALUE!</v>
      </c>
      <c r="AX37" s="624"/>
      <c r="AZ37" s="524" t="e">
        <f t="shared" si="36"/>
        <v>#N/A</v>
      </c>
      <c r="BA37" s="624"/>
    </row>
    <row r="38" spans="2:53">
      <c r="B38" s="622"/>
      <c r="C38" s="318">
        <v>12</v>
      </c>
      <c r="D38" s="456"/>
      <c r="E38" s="521"/>
      <c r="F38" s="521"/>
      <c r="G38" s="521"/>
      <c r="H38" s="664"/>
      <c r="I38" s="516" t="str">
        <f t="shared" si="19"/>
        <v>-</v>
      </c>
      <c r="J38" s="516" t="str">
        <f t="shared" si="20"/>
        <v>-</v>
      </c>
      <c r="K38" s="200" t="str">
        <f t="shared" si="21"/>
        <v>-</v>
      </c>
      <c r="L38" s="596"/>
      <c r="M38" s="201" t="e">
        <f>RANK(K38, K$27:$K$41)</f>
        <v>#VALUE!</v>
      </c>
      <c r="N38" s="614"/>
      <c r="O38" s="614"/>
      <c r="P38" s="529" t="s">
        <v>839</v>
      </c>
      <c r="Q38" s="533" t="s">
        <v>839</v>
      </c>
      <c r="R38" s="533" t="s">
        <v>839</v>
      </c>
      <c r="S38" s="529" t="e">
        <f t="shared" si="22"/>
        <v>#VALUE!</v>
      </c>
      <c r="T38" s="624"/>
      <c r="U38" s="529" t="s">
        <v>839</v>
      </c>
      <c r="V38" s="533" t="s">
        <v>839</v>
      </c>
      <c r="W38" s="533" t="s">
        <v>839</v>
      </c>
      <c r="X38" s="529" t="e">
        <f t="shared" si="24"/>
        <v>#VALUE!</v>
      </c>
      <c r="Y38" s="624"/>
      <c r="Z38" s="529" t="s">
        <v>839</v>
      </c>
      <c r="AA38" s="533" t="s">
        <v>839</v>
      </c>
      <c r="AB38" s="533" t="s">
        <v>839</v>
      </c>
      <c r="AC38" s="529" t="e">
        <f t="shared" si="26"/>
        <v>#VALUE!</v>
      </c>
      <c r="AD38" s="624"/>
      <c r="AE38" s="529" t="s">
        <v>839</v>
      </c>
      <c r="AF38" s="533" t="s">
        <v>839</v>
      </c>
      <c r="AG38" s="533" t="s">
        <v>839</v>
      </c>
      <c r="AH38" s="529" t="e">
        <f t="shared" si="28"/>
        <v>#VALUE!</v>
      </c>
      <c r="AI38" s="624"/>
      <c r="AJ38" s="529" t="s">
        <v>839</v>
      </c>
      <c r="AK38" s="533" t="s">
        <v>839</v>
      </c>
      <c r="AL38" s="533" t="s">
        <v>839</v>
      </c>
      <c r="AM38" s="529" t="e">
        <f t="shared" si="30"/>
        <v>#VALUE!</v>
      </c>
      <c r="AN38" s="624"/>
      <c r="AO38" s="529" t="s">
        <v>839</v>
      </c>
      <c r="AP38" s="533" t="s">
        <v>839</v>
      </c>
      <c r="AQ38" s="533" t="s">
        <v>839</v>
      </c>
      <c r="AR38" s="529" t="e">
        <f t="shared" si="32"/>
        <v>#VALUE!</v>
      </c>
      <c r="AS38" s="624"/>
      <c r="AT38" s="529" t="s">
        <v>839</v>
      </c>
      <c r="AU38" s="533" t="s">
        <v>839</v>
      </c>
      <c r="AV38" s="533" t="s">
        <v>839</v>
      </c>
      <c r="AW38" s="529" t="e">
        <f t="shared" si="34"/>
        <v>#VALUE!</v>
      </c>
      <c r="AX38" s="624"/>
      <c r="AZ38" s="524" t="e">
        <f t="shared" si="36"/>
        <v>#N/A</v>
      </c>
      <c r="BA38" s="624"/>
    </row>
    <row r="39" spans="2:53">
      <c r="B39" s="622"/>
      <c r="C39" s="318">
        <v>13</v>
      </c>
      <c r="D39" s="456"/>
      <c r="E39" s="521"/>
      <c r="F39" s="521"/>
      <c r="G39" s="521"/>
      <c r="H39" s="664"/>
      <c r="I39" s="516" t="str">
        <f t="shared" si="19"/>
        <v>-</v>
      </c>
      <c r="J39" s="516" t="str">
        <f t="shared" si="20"/>
        <v>-</v>
      </c>
      <c r="K39" s="200" t="str">
        <f t="shared" si="21"/>
        <v>-</v>
      </c>
      <c r="L39" s="596"/>
      <c r="M39" s="201" t="e">
        <f>RANK(K39, K$27:$K$41)</f>
        <v>#VALUE!</v>
      </c>
      <c r="N39" s="614"/>
      <c r="O39" s="614"/>
      <c r="P39" s="529" t="s">
        <v>839</v>
      </c>
      <c r="Q39" s="533" t="s">
        <v>839</v>
      </c>
      <c r="R39" s="533" t="s">
        <v>839</v>
      </c>
      <c r="S39" s="529" t="e">
        <f t="shared" si="22"/>
        <v>#VALUE!</v>
      </c>
      <c r="T39" s="624"/>
      <c r="U39" s="529" t="s">
        <v>839</v>
      </c>
      <c r="V39" s="533" t="s">
        <v>839</v>
      </c>
      <c r="W39" s="533" t="s">
        <v>839</v>
      </c>
      <c r="X39" s="529" t="e">
        <f t="shared" si="24"/>
        <v>#VALUE!</v>
      </c>
      <c r="Y39" s="624"/>
      <c r="Z39" s="529" t="s">
        <v>839</v>
      </c>
      <c r="AA39" s="533" t="s">
        <v>839</v>
      </c>
      <c r="AB39" s="533" t="s">
        <v>839</v>
      </c>
      <c r="AC39" s="529" t="e">
        <f t="shared" si="26"/>
        <v>#VALUE!</v>
      </c>
      <c r="AD39" s="624"/>
      <c r="AE39" s="529" t="s">
        <v>839</v>
      </c>
      <c r="AF39" s="533" t="s">
        <v>839</v>
      </c>
      <c r="AG39" s="533" t="s">
        <v>839</v>
      </c>
      <c r="AH39" s="529" t="e">
        <f t="shared" si="28"/>
        <v>#VALUE!</v>
      </c>
      <c r="AI39" s="624"/>
      <c r="AJ39" s="529" t="s">
        <v>839</v>
      </c>
      <c r="AK39" s="533" t="s">
        <v>839</v>
      </c>
      <c r="AL39" s="533" t="s">
        <v>839</v>
      </c>
      <c r="AM39" s="529" t="e">
        <f t="shared" si="30"/>
        <v>#VALUE!</v>
      </c>
      <c r="AN39" s="624"/>
      <c r="AO39" s="529" t="s">
        <v>839</v>
      </c>
      <c r="AP39" s="533" t="s">
        <v>839</v>
      </c>
      <c r="AQ39" s="533" t="s">
        <v>839</v>
      </c>
      <c r="AR39" s="529" t="e">
        <f t="shared" si="32"/>
        <v>#VALUE!</v>
      </c>
      <c r="AS39" s="624"/>
      <c r="AT39" s="529" t="s">
        <v>839</v>
      </c>
      <c r="AU39" s="533" t="s">
        <v>839</v>
      </c>
      <c r="AV39" s="533" t="s">
        <v>839</v>
      </c>
      <c r="AW39" s="529" t="e">
        <f t="shared" si="34"/>
        <v>#VALUE!</v>
      </c>
      <c r="AX39" s="624"/>
      <c r="AZ39" s="524" t="e">
        <f t="shared" si="36"/>
        <v>#N/A</v>
      </c>
      <c r="BA39" s="624"/>
    </row>
    <row r="40" spans="2:53">
      <c r="B40" s="622"/>
      <c r="C40" s="318">
        <v>14</v>
      </c>
      <c r="D40" s="456"/>
      <c r="E40" s="521"/>
      <c r="F40" s="521"/>
      <c r="G40" s="521"/>
      <c r="H40" s="664"/>
      <c r="I40" s="516" t="str">
        <f t="shared" si="19"/>
        <v>-</v>
      </c>
      <c r="J40" s="516" t="str">
        <f t="shared" si="20"/>
        <v>-</v>
      </c>
      <c r="K40" s="200" t="str">
        <f t="shared" si="21"/>
        <v>-</v>
      </c>
      <c r="L40" s="596"/>
      <c r="M40" s="201" t="e">
        <f>RANK(K40, K$27:$K$41)</f>
        <v>#VALUE!</v>
      </c>
      <c r="N40" s="614"/>
      <c r="O40" s="614"/>
      <c r="P40" s="529" t="s">
        <v>839</v>
      </c>
      <c r="Q40" s="533" t="s">
        <v>839</v>
      </c>
      <c r="R40" s="533" t="s">
        <v>839</v>
      </c>
      <c r="S40" s="529" t="e">
        <f t="shared" si="22"/>
        <v>#VALUE!</v>
      </c>
      <c r="T40" s="624"/>
      <c r="U40" s="529" t="s">
        <v>839</v>
      </c>
      <c r="V40" s="533" t="s">
        <v>839</v>
      </c>
      <c r="W40" s="533" t="s">
        <v>839</v>
      </c>
      <c r="X40" s="529" t="e">
        <f t="shared" si="24"/>
        <v>#VALUE!</v>
      </c>
      <c r="Y40" s="624"/>
      <c r="Z40" s="529" t="s">
        <v>839</v>
      </c>
      <c r="AA40" s="533" t="s">
        <v>839</v>
      </c>
      <c r="AB40" s="533" t="s">
        <v>839</v>
      </c>
      <c r="AC40" s="529" t="e">
        <f t="shared" si="26"/>
        <v>#VALUE!</v>
      </c>
      <c r="AD40" s="624"/>
      <c r="AE40" s="529" t="s">
        <v>839</v>
      </c>
      <c r="AF40" s="533" t="s">
        <v>839</v>
      </c>
      <c r="AG40" s="533" t="s">
        <v>839</v>
      </c>
      <c r="AH40" s="529" t="e">
        <f t="shared" si="28"/>
        <v>#VALUE!</v>
      </c>
      <c r="AI40" s="624"/>
      <c r="AJ40" s="529" t="s">
        <v>839</v>
      </c>
      <c r="AK40" s="533" t="s">
        <v>839</v>
      </c>
      <c r="AL40" s="533" t="s">
        <v>839</v>
      </c>
      <c r="AM40" s="529" t="e">
        <f t="shared" si="30"/>
        <v>#VALUE!</v>
      </c>
      <c r="AN40" s="624"/>
      <c r="AO40" s="529" t="s">
        <v>839</v>
      </c>
      <c r="AP40" s="533" t="s">
        <v>839</v>
      </c>
      <c r="AQ40" s="533" t="s">
        <v>839</v>
      </c>
      <c r="AR40" s="529" t="e">
        <f t="shared" si="32"/>
        <v>#VALUE!</v>
      </c>
      <c r="AS40" s="624"/>
      <c r="AT40" s="529" t="s">
        <v>839</v>
      </c>
      <c r="AU40" s="533" t="s">
        <v>839</v>
      </c>
      <c r="AV40" s="533" t="s">
        <v>839</v>
      </c>
      <c r="AW40" s="529" t="e">
        <f t="shared" si="34"/>
        <v>#VALUE!</v>
      </c>
      <c r="AX40" s="624"/>
      <c r="AZ40" s="524" t="e">
        <f t="shared" si="36"/>
        <v>#N/A</v>
      </c>
      <c r="BA40" s="624"/>
    </row>
    <row r="41" spans="2:53">
      <c r="B41" s="622"/>
      <c r="C41" s="318">
        <v>15</v>
      </c>
      <c r="D41" s="456"/>
      <c r="E41" s="521"/>
      <c r="F41" s="521"/>
      <c r="G41" s="521"/>
      <c r="H41" s="665"/>
      <c r="I41" s="520"/>
      <c r="J41" s="520"/>
      <c r="K41" s="520"/>
      <c r="L41" s="597"/>
      <c r="M41" s="199" t="e">
        <f>RANK(K41, K$27:$K$41)</f>
        <v>#N/A</v>
      </c>
      <c r="N41" s="614"/>
      <c r="O41" s="614"/>
      <c r="P41" s="529" t="s">
        <v>839</v>
      </c>
      <c r="Q41" s="533" t="s">
        <v>839</v>
      </c>
      <c r="R41" s="533" t="s">
        <v>839</v>
      </c>
      <c r="S41" s="529" t="e">
        <f t="shared" si="22"/>
        <v>#VALUE!</v>
      </c>
      <c r="T41" s="625"/>
      <c r="U41" s="529" t="s">
        <v>839</v>
      </c>
      <c r="V41" s="533" t="s">
        <v>839</v>
      </c>
      <c r="W41" s="533" t="s">
        <v>839</v>
      </c>
      <c r="X41" s="529" t="e">
        <f t="shared" si="24"/>
        <v>#VALUE!</v>
      </c>
      <c r="Y41" s="625"/>
      <c r="Z41" s="529" t="s">
        <v>839</v>
      </c>
      <c r="AA41" s="533" t="s">
        <v>839</v>
      </c>
      <c r="AB41" s="533" t="s">
        <v>839</v>
      </c>
      <c r="AC41" s="529" t="e">
        <f t="shared" si="26"/>
        <v>#VALUE!</v>
      </c>
      <c r="AD41" s="625"/>
      <c r="AE41" s="529" t="s">
        <v>839</v>
      </c>
      <c r="AF41" s="533" t="s">
        <v>839</v>
      </c>
      <c r="AG41" s="533" t="s">
        <v>839</v>
      </c>
      <c r="AH41" s="529" t="e">
        <f t="shared" si="28"/>
        <v>#VALUE!</v>
      </c>
      <c r="AI41" s="625"/>
      <c r="AJ41" s="529" t="s">
        <v>839</v>
      </c>
      <c r="AK41" s="533" t="s">
        <v>839</v>
      </c>
      <c r="AL41" s="533" t="s">
        <v>839</v>
      </c>
      <c r="AM41" s="529" t="e">
        <f t="shared" si="30"/>
        <v>#VALUE!</v>
      </c>
      <c r="AN41" s="625"/>
      <c r="AO41" s="529" t="s">
        <v>839</v>
      </c>
      <c r="AP41" s="533" t="s">
        <v>839</v>
      </c>
      <c r="AQ41" s="533" t="s">
        <v>839</v>
      </c>
      <c r="AR41" s="529" t="e">
        <f t="shared" si="32"/>
        <v>#VALUE!</v>
      </c>
      <c r="AS41" s="625"/>
      <c r="AT41" s="529" t="s">
        <v>839</v>
      </c>
      <c r="AU41" s="533" t="s">
        <v>839</v>
      </c>
      <c r="AV41" s="533" t="s">
        <v>839</v>
      </c>
      <c r="AW41" s="529" t="e">
        <f t="shared" si="34"/>
        <v>#VALUE!</v>
      </c>
      <c r="AX41" s="625"/>
      <c r="AZ41" s="524" t="e">
        <f t="shared" si="36"/>
        <v>#N/A</v>
      </c>
      <c r="BA41" s="625"/>
    </row>
    <row r="42" spans="2:53" ht="15.75">
      <c r="B42" s="640" t="s">
        <v>163</v>
      </c>
      <c r="C42" s="641"/>
      <c r="D42" s="641"/>
      <c r="E42" s="641"/>
      <c r="F42" s="641"/>
      <c r="G42" s="641"/>
      <c r="H42" s="641"/>
      <c r="I42" s="208"/>
      <c r="J42" s="203"/>
      <c r="K42" s="208"/>
      <c r="L42" s="208"/>
      <c r="M42" s="204"/>
      <c r="N42" s="615" t="s">
        <v>156</v>
      </c>
      <c r="O42" s="615" t="s">
        <v>105</v>
      </c>
      <c r="P42" s="621">
        <f>P22+7</f>
        <v>46126</v>
      </c>
      <c r="Q42" s="622"/>
      <c r="R42" s="622"/>
      <c r="S42" s="622"/>
      <c r="T42" s="622"/>
      <c r="U42" s="618">
        <f>P42+1</f>
        <v>46127</v>
      </c>
      <c r="V42" s="619"/>
      <c r="W42" s="619"/>
      <c r="X42" s="619"/>
      <c r="Y42" s="620"/>
      <c r="Z42" s="618">
        <f>U42+1</f>
        <v>46128</v>
      </c>
      <c r="AA42" s="619"/>
      <c r="AB42" s="619"/>
      <c r="AC42" s="619"/>
      <c r="AD42" s="620"/>
      <c r="AE42" s="618">
        <f>Z42+1</f>
        <v>46129</v>
      </c>
      <c r="AF42" s="619"/>
      <c r="AG42" s="619"/>
      <c r="AH42" s="619"/>
      <c r="AI42" s="620"/>
      <c r="AJ42" s="618">
        <f>AE42+1</f>
        <v>46130</v>
      </c>
      <c r="AK42" s="619"/>
      <c r="AL42" s="619"/>
      <c r="AM42" s="619"/>
      <c r="AN42" s="620"/>
      <c r="AO42" s="618">
        <f>AJ42+1</f>
        <v>46131</v>
      </c>
      <c r="AP42" s="619"/>
      <c r="AQ42" s="619"/>
      <c r="AR42" s="619"/>
      <c r="AS42" s="620"/>
      <c r="AT42" s="618">
        <f>AO42+1</f>
        <v>46132</v>
      </c>
      <c r="AU42" s="619"/>
      <c r="AV42" s="619"/>
      <c r="AW42" s="619"/>
      <c r="AX42" s="620"/>
    </row>
    <row r="43" spans="2:53" ht="15.75">
      <c r="B43" s="629"/>
      <c r="C43" s="629"/>
      <c r="D43" s="629"/>
      <c r="E43" s="629"/>
      <c r="F43" s="629"/>
      <c r="G43" s="629"/>
      <c r="H43" s="629"/>
      <c r="I43" s="205"/>
      <c r="J43" s="205"/>
      <c r="K43" s="205"/>
      <c r="L43" s="205"/>
      <c r="M43" s="206"/>
      <c r="N43" s="617"/>
      <c r="O43" s="617"/>
      <c r="P43" s="621" t="s">
        <v>336</v>
      </c>
      <c r="Q43" s="622"/>
      <c r="R43" s="622"/>
      <c r="S43" s="622"/>
      <c r="T43" s="622"/>
      <c r="U43" s="621" t="s">
        <v>337</v>
      </c>
      <c r="V43" s="622"/>
      <c r="W43" s="622"/>
      <c r="X43" s="622"/>
      <c r="Y43" s="622"/>
      <c r="Z43" s="621" t="s">
        <v>338</v>
      </c>
      <c r="AA43" s="622"/>
      <c r="AB43" s="622"/>
      <c r="AC43" s="622"/>
      <c r="AD43" s="622"/>
      <c r="AE43" s="621" t="s">
        <v>339</v>
      </c>
      <c r="AF43" s="622"/>
      <c r="AG43" s="622"/>
      <c r="AH43" s="622"/>
      <c r="AI43" s="622"/>
      <c r="AJ43" s="621" t="s">
        <v>340</v>
      </c>
      <c r="AK43" s="622"/>
      <c r="AL43" s="622"/>
      <c r="AM43" s="622"/>
      <c r="AN43" s="622"/>
      <c r="AO43" s="621" t="s">
        <v>341</v>
      </c>
      <c r="AP43" s="622"/>
      <c r="AQ43" s="622"/>
      <c r="AR43" s="622"/>
      <c r="AS43" s="622"/>
      <c r="AT43" s="621" t="s">
        <v>342</v>
      </c>
      <c r="AU43" s="622"/>
      <c r="AV43" s="622"/>
      <c r="AW43" s="622"/>
      <c r="AX43" s="622"/>
    </row>
    <row r="44" spans="2:53">
      <c r="B44" s="614" t="s">
        <v>531</v>
      </c>
      <c r="C44" s="614" t="s">
        <v>532</v>
      </c>
      <c r="D44" s="614"/>
      <c r="E44" s="614" t="s">
        <v>533</v>
      </c>
      <c r="F44" s="614"/>
      <c r="G44" s="614"/>
      <c r="H44" s="630" t="s">
        <v>534</v>
      </c>
      <c r="I44" s="598" t="s">
        <v>535</v>
      </c>
      <c r="J44" s="598"/>
      <c r="K44" s="598"/>
      <c r="L44" s="599" t="s">
        <v>395</v>
      </c>
      <c r="M44" s="605" t="s">
        <v>536</v>
      </c>
      <c r="N44" s="614"/>
      <c r="O44" s="614" t="s">
        <v>537</v>
      </c>
      <c r="P44" s="611" t="s">
        <v>758</v>
      </c>
      <c r="Q44" s="612"/>
      <c r="R44" s="612"/>
      <c r="S44" s="613"/>
      <c r="T44" s="614" t="s">
        <v>759</v>
      </c>
      <c r="U44" s="611" t="s">
        <v>758</v>
      </c>
      <c r="V44" s="612"/>
      <c r="W44" s="612"/>
      <c r="X44" s="613"/>
      <c r="Y44" s="614" t="s">
        <v>759</v>
      </c>
      <c r="Z44" s="611" t="s">
        <v>758</v>
      </c>
      <c r="AA44" s="612"/>
      <c r="AB44" s="612"/>
      <c r="AC44" s="613"/>
      <c r="AD44" s="614" t="s">
        <v>759</v>
      </c>
      <c r="AE44" s="611" t="s">
        <v>758</v>
      </c>
      <c r="AF44" s="612"/>
      <c r="AG44" s="612"/>
      <c r="AH44" s="613"/>
      <c r="AI44" s="614" t="s">
        <v>759</v>
      </c>
      <c r="AJ44" s="611" t="s">
        <v>758</v>
      </c>
      <c r="AK44" s="612"/>
      <c r="AL44" s="612"/>
      <c r="AM44" s="613"/>
      <c r="AN44" s="614" t="s">
        <v>759</v>
      </c>
      <c r="AO44" s="611" t="s">
        <v>758</v>
      </c>
      <c r="AP44" s="612"/>
      <c r="AQ44" s="612"/>
      <c r="AR44" s="613"/>
      <c r="AS44" s="614" t="s">
        <v>759</v>
      </c>
      <c r="AT44" s="611" t="s">
        <v>758</v>
      </c>
      <c r="AU44" s="612"/>
      <c r="AV44" s="612"/>
      <c r="AW44" s="613"/>
      <c r="AX44" s="614" t="s">
        <v>759</v>
      </c>
      <c r="BA44" s="614" t="s">
        <v>395</v>
      </c>
    </row>
    <row r="45" spans="2:53">
      <c r="B45" s="614"/>
      <c r="C45" s="614"/>
      <c r="D45" s="614"/>
      <c r="E45" s="614" t="s">
        <v>539</v>
      </c>
      <c r="F45" s="614"/>
      <c r="G45" s="614"/>
      <c r="H45" s="631"/>
      <c r="I45" s="598" t="s">
        <v>539</v>
      </c>
      <c r="J45" s="598"/>
      <c r="K45" s="598"/>
      <c r="L45" s="600"/>
      <c r="M45" s="606"/>
      <c r="N45" s="614"/>
      <c r="O45" s="614"/>
      <c r="P45" s="611" t="s">
        <v>760</v>
      </c>
      <c r="Q45" s="612"/>
      <c r="R45" s="612"/>
      <c r="S45" s="613"/>
      <c r="T45" s="614"/>
      <c r="U45" s="611" t="s">
        <v>760</v>
      </c>
      <c r="V45" s="612"/>
      <c r="W45" s="612"/>
      <c r="X45" s="613"/>
      <c r="Y45" s="614"/>
      <c r="Z45" s="611" t="s">
        <v>760</v>
      </c>
      <c r="AA45" s="612"/>
      <c r="AB45" s="612"/>
      <c r="AC45" s="613"/>
      <c r="AD45" s="614"/>
      <c r="AE45" s="611" t="s">
        <v>760</v>
      </c>
      <c r="AF45" s="612"/>
      <c r="AG45" s="612"/>
      <c r="AH45" s="613"/>
      <c r="AI45" s="614"/>
      <c r="AJ45" s="611" t="s">
        <v>760</v>
      </c>
      <c r="AK45" s="612"/>
      <c r="AL45" s="612"/>
      <c r="AM45" s="613"/>
      <c r="AN45" s="614"/>
      <c r="AO45" s="611" t="s">
        <v>760</v>
      </c>
      <c r="AP45" s="612"/>
      <c r="AQ45" s="612"/>
      <c r="AR45" s="613"/>
      <c r="AS45" s="614"/>
      <c r="AT45" s="611" t="s">
        <v>760</v>
      </c>
      <c r="AU45" s="612"/>
      <c r="AV45" s="612"/>
      <c r="AW45" s="613"/>
      <c r="AX45" s="614"/>
      <c r="BA45" s="614"/>
    </row>
    <row r="46" spans="2:53">
      <c r="B46" s="614"/>
      <c r="C46" s="614"/>
      <c r="D46" s="614"/>
      <c r="E46" s="320" t="s">
        <v>541</v>
      </c>
      <c r="F46" s="320" t="s">
        <v>542</v>
      </c>
      <c r="G46" s="320" t="s">
        <v>543</v>
      </c>
      <c r="H46" s="632"/>
      <c r="I46" s="319" t="s">
        <v>541</v>
      </c>
      <c r="J46" s="319" t="s">
        <v>542</v>
      </c>
      <c r="K46" s="319" t="s">
        <v>543</v>
      </c>
      <c r="L46" s="601"/>
      <c r="M46" s="607"/>
      <c r="N46" s="614"/>
      <c r="O46" s="614"/>
      <c r="P46" s="485" t="s">
        <v>761</v>
      </c>
      <c r="Q46" s="485" t="s">
        <v>762</v>
      </c>
      <c r="R46" s="485" t="s">
        <v>763</v>
      </c>
      <c r="S46" s="485" t="s">
        <v>764</v>
      </c>
      <c r="T46" s="614"/>
      <c r="U46" s="485" t="s">
        <v>761</v>
      </c>
      <c r="V46" s="485" t="s">
        <v>762</v>
      </c>
      <c r="W46" s="485" t="s">
        <v>763</v>
      </c>
      <c r="X46" s="485" t="s">
        <v>764</v>
      </c>
      <c r="Y46" s="614"/>
      <c r="Z46" s="485" t="s">
        <v>761</v>
      </c>
      <c r="AA46" s="485" t="s">
        <v>762</v>
      </c>
      <c r="AB46" s="485" t="s">
        <v>763</v>
      </c>
      <c r="AC46" s="485" t="s">
        <v>764</v>
      </c>
      <c r="AD46" s="614"/>
      <c r="AE46" s="485" t="s">
        <v>761</v>
      </c>
      <c r="AF46" s="485" t="s">
        <v>762</v>
      </c>
      <c r="AG46" s="485" t="s">
        <v>763</v>
      </c>
      <c r="AH46" s="485" t="s">
        <v>764</v>
      </c>
      <c r="AI46" s="614"/>
      <c r="AJ46" s="485" t="s">
        <v>761</v>
      </c>
      <c r="AK46" s="485" t="s">
        <v>762</v>
      </c>
      <c r="AL46" s="485" t="s">
        <v>763</v>
      </c>
      <c r="AM46" s="485" t="s">
        <v>764</v>
      </c>
      <c r="AN46" s="614"/>
      <c r="AO46" s="485" t="s">
        <v>761</v>
      </c>
      <c r="AP46" s="485" t="s">
        <v>762</v>
      </c>
      <c r="AQ46" s="485" t="s">
        <v>763</v>
      </c>
      <c r="AR46" s="485" t="s">
        <v>764</v>
      </c>
      <c r="AS46" s="614"/>
      <c r="AT46" s="485" t="s">
        <v>761</v>
      </c>
      <c r="AU46" s="485" t="s">
        <v>762</v>
      </c>
      <c r="AV46" s="485" t="s">
        <v>763</v>
      </c>
      <c r="AW46" s="485" t="s">
        <v>764</v>
      </c>
      <c r="AX46" s="614"/>
      <c r="AZ46" s="523" t="s">
        <v>764</v>
      </c>
      <c r="BA46" s="614"/>
    </row>
    <row r="47" spans="2:53">
      <c r="B47" s="614" t="s">
        <v>547</v>
      </c>
      <c r="C47" s="321">
        <v>1</v>
      </c>
      <c r="D47" s="226"/>
      <c r="E47" s="182"/>
      <c r="F47" s="514"/>
      <c r="G47" s="515"/>
      <c r="H47" s="663" t="e">
        <f>AVERAGE(G47:G61)</f>
        <v>#DIV/0!</v>
      </c>
      <c r="I47" s="516" t="str">
        <f t="shared" ref="I47:I60" si="38">IFERROR(AVERAGE(P47,U47,Z47,AE47,AJ47,AO47,AT47),"-")</f>
        <v>-</v>
      </c>
      <c r="J47" s="516" t="str">
        <f t="shared" ref="J47:J60" si="39">IFERROR(AVERAGE(Q47,V47,AA47,AF47,AK47,AP47,AU47),"-")</f>
        <v>-</v>
      </c>
      <c r="K47" s="200" t="str">
        <f t="shared" ref="K47:K60" si="40">IFERROR(AVERAGE(R47,W47,AB47,AG47,AL47,AQ47,AV47),"-")</f>
        <v>-</v>
      </c>
      <c r="L47" s="595" t="str">
        <f>IFERROR(AVERAGE(K47:K61),"-")</f>
        <v>-</v>
      </c>
      <c r="M47" s="201" t="e">
        <f>RANK(K47, K$47:$K$61)</f>
        <v>#VALUE!</v>
      </c>
      <c r="N47" s="614"/>
      <c r="O47" s="614"/>
      <c r="P47" s="520"/>
      <c r="Q47" s="521"/>
      <c r="R47" s="521"/>
      <c r="S47" s="514" t="e">
        <f>RANK(R47, R$47:R$61)</f>
        <v>#N/A</v>
      </c>
      <c r="T47" s="623" t="e">
        <f>AVERAGE(R47:R61)</f>
        <v>#DIV/0!</v>
      </c>
      <c r="U47" s="520"/>
      <c r="V47" s="521"/>
      <c r="W47" s="521"/>
      <c r="X47" s="514" t="e">
        <f t="shared" ref="X47:X50" si="41">RANK(W47, W$47:W$61)</f>
        <v>#N/A</v>
      </c>
      <c r="Y47" s="623" t="e">
        <f t="shared" ref="Y47" si="42">AVERAGE(W47:W61)</f>
        <v>#DIV/0!</v>
      </c>
      <c r="Z47" s="520"/>
      <c r="AA47" s="521"/>
      <c r="AB47" s="521"/>
      <c r="AC47" s="514" t="e">
        <f t="shared" ref="AC47:AC50" si="43">RANK(AB47, AB$47:AB$61)</f>
        <v>#N/A</v>
      </c>
      <c r="AD47" s="623" t="e">
        <f t="shared" ref="AD47" si="44">AVERAGE(AB47:AB61)</f>
        <v>#DIV/0!</v>
      </c>
      <c r="AE47" s="520"/>
      <c r="AF47" s="521"/>
      <c r="AG47" s="521"/>
      <c r="AH47" s="514" t="e">
        <f t="shared" ref="AH47:AH50" si="45">RANK(AG47, AG$47:AG$61)</f>
        <v>#N/A</v>
      </c>
      <c r="AI47" s="623" t="e">
        <f t="shared" ref="AI47" si="46">AVERAGE(AG47:AG61)</f>
        <v>#DIV/0!</v>
      </c>
      <c r="AJ47" s="520"/>
      <c r="AK47" s="521"/>
      <c r="AL47" s="521"/>
      <c r="AM47" s="514" t="e">
        <f t="shared" ref="AM47:AM50" si="47">RANK(AL47, AL$47:AL$61)</f>
        <v>#N/A</v>
      </c>
      <c r="AN47" s="623" t="e">
        <f t="shared" ref="AN47" si="48">AVERAGE(AL47:AL61)</f>
        <v>#DIV/0!</v>
      </c>
      <c r="AO47" s="520"/>
      <c r="AP47" s="521"/>
      <c r="AQ47" s="521"/>
      <c r="AR47" s="514" t="e">
        <f t="shared" ref="AR47:AR50" si="49">RANK(AQ47, AQ$47:AQ$61)</f>
        <v>#N/A</v>
      </c>
      <c r="AS47" s="623" t="e">
        <f t="shared" ref="AS47" si="50">AVERAGE(AQ47:AQ61)</f>
        <v>#DIV/0!</v>
      </c>
      <c r="AT47" s="520"/>
      <c r="AU47" s="521"/>
      <c r="AV47" s="521"/>
      <c r="AW47" s="514" t="e">
        <f t="shared" ref="AW47:AW50" si="51">RANK(AV47, AV$47:AV$61)</f>
        <v>#N/A</v>
      </c>
      <c r="AX47" s="623" t="e">
        <f t="shared" ref="AX47" si="52">AVERAGE(AV47:AV61)</f>
        <v>#DIV/0!</v>
      </c>
      <c r="AZ47" s="524" t="e">
        <f t="shared" ref="AZ47:AZ54" si="53">RANK(AY47, AY$47:AY$61)</f>
        <v>#N/A</v>
      </c>
      <c r="BA47" s="623" t="e">
        <f t="shared" ref="BA47" si="54">AVERAGE(AY47:AY61)</f>
        <v>#DIV/0!</v>
      </c>
    </row>
    <row r="48" spans="2:53">
      <c r="B48" s="622"/>
      <c r="C48" s="321">
        <v>2</v>
      </c>
      <c r="D48" s="226"/>
      <c r="E48" s="182"/>
      <c r="F48" s="514"/>
      <c r="G48" s="515"/>
      <c r="H48" s="664"/>
      <c r="I48" s="516" t="str">
        <f t="shared" si="38"/>
        <v>-</v>
      </c>
      <c r="J48" s="516" t="str">
        <f t="shared" si="39"/>
        <v>-</v>
      </c>
      <c r="K48" s="200" t="str">
        <f t="shared" si="40"/>
        <v>-</v>
      </c>
      <c r="L48" s="596"/>
      <c r="M48" s="201" t="e">
        <f>RANK(K48, K$47:$K$61)</f>
        <v>#VALUE!</v>
      </c>
      <c r="N48" s="614"/>
      <c r="O48" s="614"/>
      <c r="P48" s="520"/>
      <c r="Q48" s="521"/>
      <c r="R48" s="521"/>
      <c r="S48" s="514" t="e">
        <f t="shared" ref="S48:S54" si="55">RANK(R48, R$47:R$61)</f>
        <v>#N/A</v>
      </c>
      <c r="T48" s="624"/>
      <c r="U48" s="520"/>
      <c r="V48" s="521"/>
      <c r="W48" s="521"/>
      <c r="X48" s="514" t="e">
        <f t="shared" si="41"/>
        <v>#N/A</v>
      </c>
      <c r="Y48" s="624"/>
      <c r="Z48" s="520"/>
      <c r="AA48" s="521"/>
      <c r="AB48" s="521"/>
      <c r="AC48" s="514" t="e">
        <f t="shared" si="43"/>
        <v>#N/A</v>
      </c>
      <c r="AD48" s="624"/>
      <c r="AE48" s="520"/>
      <c r="AF48" s="521"/>
      <c r="AG48" s="521"/>
      <c r="AH48" s="514" t="e">
        <f t="shared" si="45"/>
        <v>#N/A</v>
      </c>
      <c r="AI48" s="624"/>
      <c r="AJ48" s="520"/>
      <c r="AK48" s="521"/>
      <c r="AL48" s="521"/>
      <c r="AM48" s="514" t="e">
        <f t="shared" si="47"/>
        <v>#N/A</v>
      </c>
      <c r="AN48" s="624"/>
      <c r="AO48" s="520"/>
      <c r="AP48" s="521"/>
      <c r="AQ48" s="521"/>
      <c r="AR48" s="514" t="e">
        <f t="shared" si="49"/>
        <v>#N/A</v>
      </c>
      <c r="AS48" s="624"/>
      <c r="AT48" s="520"/>
      <c r="AU48" s="521"/>
      <c r="AV48" s="521"/>
      <c r="AW48" s="514" t="e">
        <f t="shared" si="51"/>
        <v>#N/A</v>
      </c>
      <c r="AX48" s="624"/>
      <c r="AZ48" s="524" t="e">
        <f t="shared" si="53"/>
        <v>#N/A</v>
      </c>
      <c r="BA48" s="624"/>
    </row>
    <row r="49" spans="2:53">
      <c r="B49" s="622"/>
      <c r="C49" s="321">
        <v>3</v>
      </c>
      <c r="D49" s="226"/>
      <c r="E49" s="182"/>
      <c r="F49" s="514"/>
      <c r="G49" s="515"/>
      <c r="H49" s="664"/>
      <c r="I49" s="516" t="str">
        <f t="shared" si="38"/>
        <v>-</v>
      </c>
      <c r="J49" s="516" t="str">
        <f t="shared" si="39"/>
        <v>-</v>
      </c>
      <c r="K49" s="200" t="str">
        <f t="shared" si="40"/>
        <v>-</v>
      </c>
      <c r="L49" s="596"/>
      <c r="M49" s="201" t="e">
        <f>RANK(K49, K$47:$K$61)</f>
        <v>#VALUE!</v>
      </c>
      <c r="N49" s="614"/>
      <c r="O49" s="614"/>
      <c r="P49" s="520"/>
      <c r="Q49" s="521"/>
      <c r="R49" s="521"/>
      <c r="S49" s="514" t="e">
        <f t="shared" si="55"/>
        <v>#N/A</v>
      </c>
      <c r="T49" s="624"/>
      <c r="U49" s="520"/>
      <c r="V49" s="521"/>
      <c r="W49" s="521"/>
      <c r="X49" s="514" t="e">
        <f t="shared" si="41"/>
        <v>#N/A</v>
      </c>
      <c r="Y49" s="624"/>
      <c r="Z49" s="520"/>
      <c r="AA49" s="521"/>
      <c r="AB49" s="521"/>
      <c r="AC49" s="514" t="e">
        <f t="shared" si="43"/>
        <v>#N/A</v>
      </c>
      <c r="AD49" s="624"/>
      <c r="AE49" s="520"/>
      <c r="AF49" s="521"/>
      <c r="AG49" s="521"/>
      <c r="AH49" s="514" t="e">
        <f t="shared" si="45"/>
        <v>#N/A</v>
      </c>
      <c r="AI49" s="624"/>
      <c r="AJ49" s="520"/>
      <c r="AK49" s="521"/>
      <c r="AL49" s="521"/>
      <c r="AM49" s="514" t="e">
        <f t="shared" si="47"/>
        <v>#N/A</v>
      </c>
      <c r="AN49" s="624"/>
      <c r="AO49" s="520"/>
      <c r="AP49" s="521"/>
      <c r="AQ49" s="521"/>
      <c r="AR49" s="514" t="e">
        <f t="shared" si="49"/>
        <v>#N/A</v>
      </c>
      <c r="AS49" s="624"/>
      <c r="AT49" s="520"/>
      <c r="AU49" s="521"/>
      <c r="AV49" s="521"/>
      <c r="AW49" s="514" t="e">
        <f t="shared" si="51"/>
        <v>#N/A</v>
      </c>
      <c r="AX49" s="624"/>
      <c r="AZ49" s="524" t="e">
        <f t="shared" si="53"/>
        <v>#N/A</v>
      </c>
      <c r="BA49" s="624"/>
    </row>
    <row r="50" spans="2:53">
      <c r="B50" s="622"/>
      <c r="C50" s="321">
        <v>4</v>
      </c>
      <c r="D50" s="226"/>
      <c r="E50" s="182"/>
      <c r="F50" s="514"/>
      <c r="G50" s="515"/>
      <c r="H50" s="664"/>
      <c r="I50" s="516" t="str">
        <f t="shared" si="38"/>
        <v>-</v>
      </c>
      <c r="J50" s="516" t="str">
        <f t="shared" si="39"/>
        <v>-</v>
      </c>
      <c r="K50" s="200" t="str">
        <f t="shared" si="40"/>
        <v>-</v>
      </c>
      <c r="L50" s="596"/>
      <c r="M50" s="201" t="e">
        <f>RANK(K50, K$47:$K$61)</f>
        <v>#VALUE!</v>
      </c>
      <c r="N50" s="614"/>
      <c r="O50" s="614"/>
      <c r="P50" s="520"/>
      <c r="Q50" s="521"/>
      <c r="R50" s="521"/>
      <c r="S50" s="514" t="e">
        <f t="shared" si="55"/>
        <v>#N/A</v>
      </c>
      <c r="T50" s="624"/>
      <c r="U50" s="520"/>
      <c r="V50" s="521"/>
      <c r="W50" s="521"/>
      <c r="X50" s="514" t="e">
        <f t="shared" si="41"/>
        <v>#N/A</v>
      </c>
      <c r="Y50" s="624"/>
      <c r="Z50" s="520"/>
      <c r="AA50" s="521"/>
      <c r="AB50" s="521"/>
      <c r="AC50" s="514" t="e">
        <f t="shared" si="43"/>
        <v>#N/A</v>
      </c>
      <c r="AD50" s="624"/>
      <c r="AE50" s="520"/>
      <c r="AF50" s="521"/>
      <c r="AG50" s="521"/>
      <c r="AH50" s="514" t="e">
        <f t="shared" si="45"/>
        <v>#N/A</v>
      </c>
      <c r="AI50" s="624"/>
      <c r="AJ50" s="520"/>
      <c r="AK50" s="521"/>
      <c r="AL50" s="521"/>
      <c r="AM50" s="514" t="e">
        <f t="shared" si="47"/>
        <v>#N/A</v>
      </c>
      <c r="AN50" s="624"/>
      <c r="AO50" s="520"/>
      <c r="AP50" s="521"/>
      <c r="AQ50" s="521"/>
      <c r="AR50" s="514" t="e">
        <f t="shared" si="49"/>
        <v>#N/A</v>
      </c>
      <c r="AS50" s="624"/>
      <c r="AT50" s="520"/>
      <c r="AU50" s="521"/>
      <c r="AV50" s="521"/>
      <c r="AW50" s="514" t="e">
        <f t="shared" si="51"/>
        <v>#N/A</v>
      </c>
      <c r="AX50" s="624"/>
      <c r="AZ50" s="524" t="e">
        <f t="shared" si="53"/>
        <v>#N/A</v>
      </c>
      <c r="BA50" s="624"/>
    </row>
    <row r="51" spans="2:53">
      <c r="B51" s="622"/>
      <c r="C51" s="321">
        <v>5</v>
      </c>
      <c r="D51" s="226"/>
      <c r="E51" s="182"/>
      <c r="F51" s="514"/>
      <c r="G51" s="515"/>
      <c r="H51" s="664"/>
      <c r="I51" s="516" t="str">
        <f t="shared" si="38"/>
        <v>-</v>
      </c>
      <c r="J51" s="516" t="str">
        <f t="shared" si="39"/>
        <v>-</v>
      </c>
      <c r="K51" s="200" t="str">
        <f t="shared" si="40"/>
        <v>-</v>
      </c>
      <c r="L51" s="596"/>
      <c r="M51" s="201" t="e">
        <f>RANK(K51, K$47:$K$61)</f>
        <v>#VALUE!</v>
      </c>
      <c r="N51" s="614"/>
      <c r="O51" s="614"/>
      <c r="P51" s="520"/>
      <c r="Q51" s="521"/>
      <c r="R51" s="521"/>
      <c r="S51" s="514" t="e">
        <f>RANK(R51, R$47:R$61)</f>
        <v>#N/A</v>
      </c>
      <c r="T51" s="624"/>
      <c r="U51" s="520"/>
      <c r="V51" s="521"/>
      <c r="W51" s="521"/>
      <c r="X51" s="514" t="e">
        <f t="shared" ref="X51:X54" si="56">RANK(W51, W$47:W$61)</f>
        <v>#N/A</v>
      </c>
      <c r="Y51" s="624"/>
      <c r="Z51" s="520"/>
      <c r="AA51" s="521"/>
      <c r="AB51" s="521"/>
      <c r="AC51" s="514" t="e">
        <f t="shared" ref="AC51:AC54" si="57">RANK(AB51, AB$47:AB$61)</f>
        <v>#N/A</v>
      </c>
      <c r="AD51" s="624"/>
      <c r="AE51" s="520"/>
      <c r="AF51" s="521"/>
      <c r="AG51" s="521"/>
      <c r="AH51" s="514" t="e">
        <f t="shared" ref="AH51:AH54" si="58">RANK(AG51, AG$47:AG$61)</f>
        <v>#N/A</v>
      </c>
      <c r="AI51" s="624"/>
      <c r="AJ51" s="520"/>
      <c r="AK51" s="521"/>
      <c r="AL51" s="521"/>
      <c r="AM51" s="514" t="e">
        <f t="shared" ref="AM51:AM54" si="59">RANK(AL51, AL$47:AL$61)</f>
        <v>#N/A</v>
      </c>
      <c r="AN51" s="624"/>
      <c r="AO51" s="520"/>
      <c r="AP51" s="521"/>
      <c r="AQ51" s="521"/>
      <c r="AR51" s="514" t="e">
        <f t="shared" ref="AR51:AR54" si="60">RANK(AQ51, AQ$47:AQ$61)</f>
        <v>#N/A</v>
      </c>
      <c r="AS51" s="624"/>
      <c r="AT51" s="520"/>
      <c r="AU51" s="521"/>
      <c r="AV51" s="521"/>
      <c r="AW51" s="514" t="e">
        <f t="shared" ref="AW51:AW54" si="61">RANK(AV51, AV$47:AV$61)</f>
        <v>#N/A</v>
      </c>
      <c r="AX51" s="624"/>
      <c r="AZ51" s="524" t="e">
        <f t="shared" si="53"/>
        <v>#N/A</v>
      </c>
      <c r="BA51" s="624"/>
    </row>
    <row r="52" spans="2:53">
      <c r="B52" s="622"/>
      <c r="C52" s="321">
        <v>6</v>
      </c>
      <c r="D52" s="226"/>
      <c r="E52" s="182"/>
      <c r="F52" s="514"/>
      <c r="G52" s="515"/>
      <c r="H52" s="664"/>
      <c r="I52" s="516" t="str">
        <f t="shared" si="38"/>
        <v>-</v>
      </c>
      <c r="J52" s="516" t="str">
        <f t="shared" si="39"/>
        <v>-</v>
      </c>
      <c r="K52" s="200" t="str">
        <f t="shared" si="40"/>
        <v>-</v>
      </c>
      <c r="L52" s="596"/>
      <c r="M52" s="201" t="e">
        <f>RANK(K52, K$47:$K$61)</f>
        <v>#VALUE!</v>
      </c>
      <c r="N52" s="614"/>
      <c r="O52" s="614"/>
      <c r="P52" s="520"/>
      <c r="Q52" s="521"/>
      <c r="R52" s="521"/>
      <c r="S52" s="514" t="e">
        <f t="shared" si="55"/>
        <v>#N/A</v>
      </c>
      <c r="T52" s="624"/>
      <c r="U52" s="520"/>
      <c r="V52" s="521"/>
      <c r="W52" s="521"/>
      <c r="X52" s="514" t="e">
        <f t="shared" si="56"/>
        <v>#N/A</v>
      </c>
      <c r="Y52" s="624"/>
      <c r="Z52" s="520"/>
      <c r="AA52" s="521"/>
      <c r="AB52" s="521"/>
      <c r="AC52" s="514" t="e">
        <f t="shared" si="57"/>
        <v>#N/A</v>
      </c>
      <c r="AD52" s="624"/>
      <c r="AE52" s="520"/>
      <c r="AF52" s="521"/>
      <c r="AG52" s="521"/>
      <c r="AH52" s="514" t="e">
        <f t="shared" si="58"/>
        <v>#N/A</v>
      </c>
      <c r="AI52" s="624"/>
      <c r="AJ52" s="520"/>
      <c r="AK52" s="521"/>
      <c r="AL52" s="521"/>
      <c r="AM52" s="514" t="e">
        <f t="shared" si="59"/>
        <v>#N/A</v>
      </c>
      <c r="AN52" s="624"/>
      <c r="AO52" s="520"/>
      <c r="AP52" s="521"/>
      <c r="AQ52" s="521"/>
      <c r="AR52" s="514" t="e">
        <f t="shared" si="60"/>
        <v>#N/A</v>
      </c>
      <c r="AS52" s="624"/>
      <c r="AT52" s="520"/>
      <c r="AU52" s="521"/>
      <c r="AV52" s="521"/>
      <c r="AW52" s="514" t="e">
        <f t="shared" si="61"/>
        <v>#N/A</v>
      </c>
      <c r="AX52" s="624"/>
      <c r="AZ52" s="524" t="e">
        <f t="shared" si="53"/>
        <v>#N/A</v>
      </c>
      <c r="BA52" s="624"/>
    </row>
    <row r="53" spans="2:53">
      <c r="B53" s="622"/>
      <c r="C53" s="321">
        <v>7</v>
      </c>
      <c r="D53" s="226"/>
      <c r="E53" s="182"/>
      <c r="F53" s="514"/>
      <c r="G53" s="515"/>
      <c r="H53" s="664"/>
      <c r="I53" s="516" t="str">
        <f t="shared" si="38"/>
        <v>-</v>
      </c>
      <c r="J53" s="516" t="str">
        <f t="shared" si="39"/>
        <v>-</v>
      </c>
      <c r="K53" s="200" t="str">
        <f t="shared" si="40"/>
        <v>-</v>
      </c>
      <c r="L53" s="596"/>
      <c r="M53" s="201" t="e">
        <f>RANK(K53, K$47:$K$61)</f>
        <v>#VALUE!</v>
      </c>
      <c r="N53" s="614"/>
      <c r="O53" s="614"/>
      <c r="P53" s="520"/>
      <c r="Q53" s="521"/>
      <c r="R53" s="521"/>
      <c r="S53" s="514" t="e">
        <f t="shared" si="55"/>
        <v>#N/A</v>
      </c>
      <c r="T53" s="624"/>
      <c r="U53" s="520"/>
      <c r="V53" s="521"/>
      <c r="W53" s="521"/>
      <c r="X53" s="514" t="e">
        <f t="shared" si="56"/>
        <v>#N/A</v>
      </c>
      <c r="Y53" s="624"/>
      <c r="Z53" s="520"/>
      <c r="AA53" s="521"/>
      <c r="AB53" s="521"/>
      <c r="AC53" s="514" t="e">
        <f t="shared" si="57"/>
        <v>#N/A</v>
      </c>
      <c r="AD53" s="624"/>
      <c r="AE53" s="520"/>
      <c r="AF53" s="521"/>
      <c r="AG53" s="521"/>
      <c r="AH53" s="514" t="e">
        <f t="shared" si="58"/>
        <v>#N/A</v>
      </c>
      <c r="AI53" s="624"/>
      <c r="AJ53" s="520"/>
      <c r="AK53" s="521"/>
      <c r="AL53" s="521"/>
      <c r="AM53" s="514" t="e">
        <f t="shared" si="59"/>
        <v>#N/A</v>
      </c>
      <c r="AN53" s="624"/>
      <c r="AO53" s="520"/>
      <c r="AP53" s="521"/>
      <c r="AQ53" s="521"/>
      <c r="AR53" s="514" t="e">
        <f t="shared" si="60"/>
        <v>#N/A</v>
      </c>
      <c r="AS53" s="624"/>
      <c r="AT53" s="520"/>
      <c r="AU53" s="521"/>
      <c r="AV53" s="521"/>
      <c r="AW53" s="514" t="e">
        <f t="shared" si="61"/>
        <v>#N/A</v>
      </c>
      <c r="AX53" s="624"/>
      <c r="AZ53" s="524" t="e">
        <f t="shared" si="53"/>
        <v>#N/A</v>
      </c>
      <c r="BA53" s="624"/>
    </row>
    <row r="54" spans="2:53">
      <c r="B54" s="622"/>
      <c r="C54" s="321">
        <v>8</v>
      </c>
      <c r="D54" s="343"/>
      <c r="E54" s="521"/>
      <c r="F54" s="521"/>
      <c r="G54" s="521"/>
      <c r="H54" s="664"/>
      <c r="I54" s="516" t="str">
        <f t="shared" si="38"/>
        <v>-</v>
      </c>
      <c r="J54" s="516" t="str">
        <f t="shared" si="39"/>
        <v>-</v>
      </c>
      <c r="K54" s="200" t="str">
        <f t="shared" si="40"/>
        <v>-</v>
      </c>
      <c r="L54" s="596"/>
      <c r="M54" s="201" t="e">
        <f>RANK(K54, K$47:$K$61)</f>
        <v>#VALUE!</v>
      </c>
      <c r="N54" s="614"/>
      <c r="O54" s="614"/>
      <c r="P54" s="520"/>
      <c r="Q54" s="521"/>
      <c r="R54" s="521"/>
      <c r="S54" s="514" t="e">
        <f t="shared" si="55"/>
        <v>#N/A</v>
      </c>
      <c r="T54" s="624"/>
      <c r="U54" s="520"/>
      <c r="V54" s="521"/>
      <c r="W54" s="521"/>
      <c r="X54" s="514" t="e">
        <f t="shared" si="56"/>
        <v>#N/A</v>
      </c>
      <c r="Y54" s="624"/>
      <c r="Z54" s="520"/>
      <c r="AA54" s="521"/>
      <c r="AB54" s="521"/>
      <c r="AC54" s="514" t="e">
        <f t="shared" si="57"/>
        <v>#N/A</v>
      </c>
      <c r="AD54" s="624"/>
      <c r="AE54" s="520"/>
      <c r="AF54" s="521"/>
      <c r="AG54" s="521"/>
      <c r="AH54" s="514" t="e">
        <f t="shared" si="58"/>
        <v>#N/A</v>
      </c>
      <c r="AI54" s="624"/>
      <c r="AJ54" s="520"/>
      <c r="AK54" s="521"/>
      <c r="AL54" s="521"/>
      <c r="AM54" s="514" t="e">
        <f t="shared" si="59"/>
        <v>#N/A</v>
      </c>
      <c r="AN54" s="624"/>
      <c r="AO54" s="520"/>
      <c r="AP54" s="521"/>
      <c r="AQ54" s="521"/>
      <c r="AR54" s="514" t="e">
        <f t="shared" si="60"/>
        <v>#N/A</v>
      </c>
      <c r="AS54" s="624"/>
      <c r="AT54" s="520"/>
      <c r="AU54" s="521"/>
      <c r="AV54" s="521"/>
      <c r="AW54" s="514" t="e">
        <f t="shared" si="61"/>
        <v>#N/A</v>
      </c>
      <c r="AX54" s="624"/>
      <c r="AZ54" s="524" t="e">
        <f t="shared" si="53"/>
        <v>#N/A</v>
      </c>
      <c r="BA54" s="624"/>
    </row>
    <row r="55" spans="2:53">
      <c r="B55" s="622"/>
      <c r="C55" s="321">
        <v>9</v>
      </c>
      <c r="D55" s="456"/>
      <c r="E55" s="521"/>
      <c r="F55" s="521"/>
      <c r="G55" s="521"/>
      <c r="H55" s="664"/>
      <c r="I55" s="516" t="str">
        <f t="shared" si="38"/>
        <v>-</v>
      </c>
      <c r="J55" s="516" t="str">
        <f t="shared" si="39"/>
        <v>-</v>
      </c>
      <c r="K55" s="200" t="str">
        <f t="shared" si="40"/>
        <v>-</v>
      </c>
      <c r="L55" s="596"/>
      <c r="M55" s="201" t="e">
        <f>RANK(K55, K$47:$K$61)</f>
        <v>#VALUE!</v>
      </c>
      <c r="N55" s="614"/>
      <c r="O55" s="614"/>
      <c r="P55" s="520"/>
      <c r="Q55" s="521"/>
      <c r="R55" s="521"/>
      <c r="S55" s="514"/>
      <c r="T55" s="624"/>
      <c r="U55" s="520"/>
      <c r="V55" s="521"/>
      <c r="W55" s="521"/>
      <c r="X55" s="514"/>
      <c r="Y55" s="624"/>
      <c r="Z55" s="520"/>
      <c r="AA55" s="521"/>
      <c r="AB55" s="521"/>
      <c r="AC55" s="514"/>
      <c r="AD55" s="624"/>
      <c r="AE55" s="520"/>
      <c r="AF55" s="521"/>
      <c r="AG55" s="521"/>
      <c r="AH55" s="514"/>
      <c r="AI55" s="624"/>
      <c r="AJ55" s="520"/>
      <c r="AK55" s="521"/>
      <c r="AL55" s="521"/>
      <c r="AM55" s="514"/>
      <c r="AN55" s="624"/>
      <c r="AO55" s="520"/>
      <c r="AP55" s="521"/>
      <c r="AQ55" s="521"/>
      <c r="AR55" s="514"/>
      <c r="AS55" s="624"/>
      <c r="AT55" s="520"/>
      <c r="AU55" s="521"/>
      <c r="AV55" s="521"/>
      <c r="AW55" s="514"/>
      <c r="AX55" s="624"/>
      <c r="AZ55" s="524"/>
      <c r="BA55" s="624"/>
    </row>
    <row r="56" spans="2:53">
      <c r="B56" s="622"/>
      <c r="C56" s="321">
        <v>10</v>
      </c>
      <c r="D56" s="456"/>
      <c r="E56" s="521"/>
      <c r="F56" s="521"/>
      <c r="G56" s="521"/>
      <c r="H56" s="664"/>
      <c r="I56" s="516" t="str">
        <f t="shared" si="38"/>
        <v>-</v>
      </c>
      <c r="J56" s="516" t="str">
        <f t="shared" si="39"/>
        <v>-</v>
      </c>
      <c r="K56" s="200" t="str">
        <f t="shared" si="40"/>
        <v>-</v>
      </c>
      <c r="L56" s="596"/>
      <c r="M56" s="201" t="e">
        <f>RANK(K56, K$47:$K$61)</f>
        <v>#VALUE!</v>
      </c>
      <c r="N56" s="614"/>
      <c r="O56" s="614"/>
      <c r="P56" s="520"/>
      <c r="Q56" s="521"/>
      <c r="R56" s="521"/>
      <c r="S56" s="514"/>
      <c r="T56" s="624"/>
      <c r="U56" s="520"/>
      <c r="V56" s="521"/>
      <c r="W56" s="521"/>
      <c r="X56" s="514"/>
      <c r="Y56" s="624"/>
      <c r="Z56" s="520"/>
      <c r="AA56" s="521"/>
      <c r="AB56" s="521"/>
      <c r="AC56" s="514"/>
      <c r="AD56" s="624"/>
      <c r="AE56" s="520"/>
      <c r="AF56" s="521"/>
      <c r="AG56" s="521"/>
      <c r="AH56" s="514"/>
      <c r="AI56" s="624"/>
      <c r="AJ56" s="520"/>
      <c r="AK56" s="521"/>
      <c r="AL56" s="521"/>
      <c r="AM56" s="514"/>
      <c r="AN56" s="624"/>
      <c r="AO56" s="520"/>
      <c r="AP56" s="521"/>
      <c r="AQ56" s="521"/>
      <c r="AR56" s="514"/>
      <c r="AS56" s="624"/>
      <c r="AT56" s="520"/>
      <c r="AU56" s="521"/>
      <c r="AV56" s="521"/>
      <c r="AW56" s="514"/>
      <c r="AX56" s="624"/>
      <c r="AZ56" s="524"/>
      <c r="BA56" s="624"/>
    </row>
    <row r="57" spans="2:53">
      <c r="B57" s="622"/>
      <c r="C57" s="321">
        <v>11</v>
      </c>
      <c r="D57" s="456"/>
      <c r="E57" s="521"/>
      <c r="F57" s="521"/>
      <c r="G57" s="521"/>
      <c r="H57" s="664"/>
      <c r="I57" s="516" t="str">
        <f t="shared" si="38"/>
        <v>-</v>
      </c>
      <c r="J57" s="516" t="str">
        <f t="shared" si="39"/>
        <v>-</v>
      </c>
      <c r="K57" s="200" t="str">
        <f t="shared" si="40"/>
        <v>-</v>
      </c>
      <c r="L57" s="596"/>
      <c r="M57" s="201" t="e">
        <f>RANK(K57, K$47:$K$61)</f>
        <v>#VALUE!</v>
      </c>
      <c r="N57" s="614"/>
      <c r="O57" s="614"/>
      <c r="P57" s="520"/>
      <c r="Q57" s="521"/>
      <c r="R57" s="521"/>
      <c r="S57" s="514"/>
      <c r="T57" s="624"/>
      <c r="U57" s="520"/>
      <c r="V57" s="521"/>
      <c r="W57" s="521"/>
      <c r="X57" s="514"/>
      <c r="Y57" s="624"/>
      <c r="Z57" s="520"/>
      <c r="AA57" s="521"/>
      <c r="AB57" s="521"/>
      <c r="AC57" s="514"/>
      <c r="AD57" s="624"/>
      <c r="AE57" s="520"/>
      <c r="AF57" s="521"/>
      <c r="AG57" s="521"/>
      <c r="AH57" s="514"/>
      <c r="AI57" s="624"/>
      <c r="AJ57" s="520"/>
      <c r="AK57" s="521"/>
      <c r="AL57" s="521"/>
      <c r="AM57" s="514"/>
      <c r="AN57" s="624"/>
      <c r="AO57" s="520"/>
      <c r="AP57" s="521"/>
      <c r="AQ57" s="521"/>
      <c r="AR57" s="514"/>
      <c r="AS57" s="624"/>
      <c r="AT57" s="520"/>
      <c r="AU57" s="521"/>
      <c r="AV57" s="521"/>
      <c r="AW57" s="514"/>
      <c r="AX57" s="624"/>
      <c r="AZ57" s="524"/>
      <c r="BA57" s="624"/>
    </row>
    <row r="58" spans="2:53">
      <c r="B58" s="622"/>
      <c r="C58" s="321">
        <v>12</v>
      </c>
      <c r="D58" s="456"/>
      <c r="E58" s="521"/>
      <c r="F58" s="521"/>
      <c r="G58" s="521"/>
      <c r="H58" s="664"/>
      <c r="I58" s="516" t="str">
        <f t="shared" si="38"/>
        <v>-</v>
      </c>
      <c r="J58" s="516" t="str">
        <f t="shared" si="39"/>
        <v>-</v>
      </c>
      <c r="K58" s="200" t="str">
        <f t="shared" si="40"/>
        <v>-</v>
      </c>
      <c r="L58" s="596"/>
      <c r="M58" s="201" t="e">
        <f>RANK(K58, K$47:$K$61)</f>
        <v>#VALUE!</v>
      </c>
      <c r="N58" s="614"/>
      <c r="O58" s="614"/>
      <c r="P58" s="520"/>
      <c r="Q58" s="521"/>
      <c r="R58" s="521"/>
      <c r="S58" s="514"/>
      <c r="T58" s="624"/>
      <c r="U58" s="520"/>
      <c r="V58" s="521"/>
      <c r="W58" s="521"/>
      <c r="X58" s="514"/>
      <c r="Y58" s="624"/>
      <c r="Z58" s="520"/>
      <c r="AA58" s="521"/>
      <c r="AB58" s="521"/>
      <c r="AC58" s="514"/>
      <c r="AD58" s="624"/>
      <c r="AE58" s="520"/>
      <c r="AF58" s="521"/>
      <c r="AG58" s="521"/>
      <c r="AH58" s="514"/>
      <c r="AI58" s="624"/>
      <c r="AJ58" s="520"/>
      <c r="AK58" s="521"/>
      <c r="AL58" s="521"/>
      <c r="AM58" s="514"/>
      <c r="AN58" s="624"/>
      <c r="AO58" s="520"/>
      <c r="AP58" s="521"/>
      <c r="AQ58" s="521"/>
      <c r="AR58" s="514"/>
      <c r="AS58" s="624"/>
      <c r="AT58" s="520"/>
      <c r="AU58" s="521"/>
      <c r="AV58" s="521"/>
      <c r="AW58" s="514"/>
      <c r="AX58" s="624"/>
      <c r="AZ58" s="524"/>
      <c r="BA58" s="624"/>
    </row>
    <row r="59" spans="2:53">
      <c r="B59" s="622"/>
      <c r="C59" s="321">
        <v>13</v>
      </c>
      <c r="D59" s="456"/>
      <c r="E59" s="521"/>
      <c r="F59" s="521"/>
      <c r="G59" s="521"/>
      <c r="H59" s="664"/>
      <c r="I59" s="516" t="str">
        <f t="shared" si="38"/>
        <v>-</v>
      </c>
      <c r="J59" s="516" t="str">
        <f t="shared" si="39"/>
        <v>-</v>
      </c>
      <c r="K59" s="200" t="str">
        <f t="shared" si="40"/>
        <v>-</v>
      </c>
      <c r="L59" s="596"/>
      <c r="M59" s="201" t="e">
        <f>RANK(K59, K$47:$K$61)</f>
        <v>#VALUE!</v>
      </c>
      <c r="N59" s="614"/>
      <c r="O59" s="614"/>
      <c r="P59" s="520"/>
      <c r="Q59" s="521"/>
      <c r="R59" s="521"/>
      <c r="S59" s="514"/>
      <c r="T59" s="624"/>
      <c r="U59" s="520"/>
      <c r="V59" s="521"/>
      <c r="W59" s="521"/>
      <c r="X59" s="514"/>
      <c r="Y59" s="624"/>
      <c r="Z59" s="520"/>
      <c r="AA59" s="521"/>
      <c r="AB59" s="521"/>
      <c r="AC59" s="514"/>
      <c r="AD59" s="624"/>
      <c r="AE59" s="520"/>
      <c r="AF59" s="521"/>
      <c r="AG59" s="521"/>
      <c r="AH59" s="514"/>
      <c r="AI59" s="624"/>
      <c r="AJ59" s="520"/>
      <c r="AK59" s="521"/>
      <c r="AL59" s="521"/>
      <c r="AM59" s="514"/>
      <c r="AN59" s="624"/>
      <c r="AO59" s="520"/>
      <c r="AP59" s="521"/>
      <c r="AQ59" s="521"/>
      <c r="AR59" s="514"/>
      <c r="AS59" s="624"/>
      <c r="AT59" s="520"/>
      <c r="AU59" s="521"/>
      <c r="AV59" s="521"/>
      <c r="AW59" s="514"/>
      <c r="AX59" s="624"/>
      <c r="AZ59" s="524"/>
      <c r="BA59" s="624"/>
    </row>
    <row r="60" spans="2:53">
      <c r="B60" s="622"/>
      <c r="C60" s="321">
        <v>14</v>
      </c>
      <c r="D60" s="456"/>
      <c r="E60" s="521"/>
      <c r="F60" s="521"/>
      <c r="G60" s="521"/>
      <c r="H60" s="664"/>
      <c r="I60" s="516" t="str">
        <f t="shared" si="38"/>
        <v>-</v>
      </c>
      <c r="J60" s="516" t="str">
        <f t="shared" si="39"/>
        <v>-</v>
      </c>
      <c r="K60" s="200" t="str">
        <f t="shared" si="40"/>
        <v>-</v>
      </c>
      <c r="L60" s="596"/>
      <c r="M60" s="201" t="e">
        <f>RANK(K60, K$47:$K$61)</f>
        <v>#VALUE!</v>
      </c>
      <c r="N60" s="614"/>
      <c r="O60" s="614"/>
      <c r="P60" s="520"/>
      <c r="Q60" s="521"/>
      <c r="R60" s="521"/>
      <c r="S60" s="514"/>
      <c r="T60" s="624"/>
      <c r="U60" s="520"/>
      <c r="V60" s="521"/>
      <c r="W60" s="521"/>
      <c r="X60" s="514"/>
      <c r="Y60" s="624"/>
      <c r="Z60" s="520"/>
      <c r="AA60" s="521"/>
      <c r="AB60" s="521"/>
      <c r="AC60" s="514"/>
      <c r="AD60" s="624"/>
      <c r="AE60" s="520"/>
      <c r="AF60" s="521"/>
      <c r="AG60" s="521"/>
      <c r="AH60" s="514"/>
      <c r="AI60" s="624"/>
      <c r="AJ60" s="520"/>
      <c r="AK60" s="521"/>
      <c r="AL60" s="521"/>
      <c r="AM60" s="514"/>
      <c r="AN60" s="624"/>
      <c r="AO60" s="520"/>
      <c r="AP60" s="521"/>
      <c r="AQ60" s="521"/>
      <c r="AR60" s="514"/>
      <c r="AS60" s="624"/>
      <c r="AT60" s="520"/>
      <c r="AU60" s="521"/>
      <c r="AV60" s="521"/>
      <c r="AW60" s="514"/>
      <c r="AX60" s="624"/>
      <c r="AZ60" s="524"/>
      <c r="BA60" s="624"/>
    </row>
    <row r="61" spans="2:53">
      <c r="B61" s="622"/>
      <c r="C61" s="321">
        <v>15</v>
      </c>
      <c r="D61" s="456"/>
      <c r="E61" s="521"/>
      <c r="F61" s="521"/>
      <c r="G61" s="521"/>
      <c r="H61" s="665"/>
      <c r="I61" s="520"/>
      <c r="J61" s="520"/>
      <c r="K61" s="520"/>
      <c r="L61" s="597"/>
      <c r="M61" s="201" t="e">
        <f>RANK(K61, K$47:$K$61)</f>
        <v>#N/A</v>
      </c>
      <c r="N61" s="614"/>
      <c r="O61" s="614"/>
      <c r="P61" s="520"/>
      <c r="Q61" s="521"/>
      <c r="R61" s="521"/>
      <c r="S61" s="514"/>
      <c r="T61" s="625"/>
      <c r="U61" s="520"/>
      <c r="V61" s="521"/>
      <c r="W61" s="521"/>
      <c r="X61" s="514"/>
      <c r="Y61" s="625"/>
      <c r="Z61" s="520"/>
      <c r="AA61" s="521"/>
      <c r="AB61" s="521"/>
      <c r="AC61" s="514"/>
      <c r="AD61" s="625"/>
      <c r="AE61" s="520"/>
      <c r="AF61" s="521"/>
      <c r="AG61" s="521"/>
      <c r="AH61" s="514"/>
      <c r="AI61" s="625"/>
      <c r="AJ61" s="520"/>
      <c r="AK61" s="521"/>
      <c r="AL61" s="521"/>
      <c r="AM61" s="514"/>
      <c r="AN61" s="625"/>
      <c r="AO61" s="520"/>
      <c r="AP61" s="521"/>
      <c r="AQ61" s="521"/>
      <c r="AR61" s="514"/>
      <c r="AS61" s="625"/>
      <c r="AT61" s="520"/>
      <c r="AU61" s="521"/>
      <c r="AV61" s="521"/>
      <c r="AW61" s="514"/>
      <c r="AX61" s="625"/>
      <c r="AZ61" s="524"/>
      <c r="BA61" s="625"/>
    </row>
    <row r="62" spans="2:53" ht="15.75">
      <c r="B62" s="626" t="s">
        <v>163</v>
      </c>
      <c r="C62" s="627"/>
      <c r="D62" s="627"/>
      <c r="E62" s="627"/>
      <c r="F62" s="627"/>
      <c r="G62" s="627"/>
      <c r="H62" s="628"/>
      <c r="I62" s="208"/>
      <c r="J62" s="208"/>
      <c r="K62" s="208"/>
      <c r="L62" s="208"/>
      <c r="M62" s="207"/>
      <c r="N62" s="615" t="s">
        <v>156</v>
      </c>
      <c r="O62" s="615" t="s">
        <v>105</v>
      </c>
      <c r="P62" s="621">
        <f>P42+7</f>
        <v>46133</v>
      </c>
      <c r="Q62" s="622"/>
      <c r="R62" s="622"/>
      <c r="S62" s="622"/>
      <c r="T62" s="622"/>
      <c r="U62" s="618">
        <f>P62+1</f>
        <v>46134</v>
      </c>
      <c r="V62" s="619"/>
      <c r="W62" s="619"/>
      <c r="X62" s="619"/>
      <c r="Y62" s="620"/>
      <c r="Z62" s="618">
        <f>U62+1</f>
        <v>46135</v>
      </c>
      <c r="AA62" s="619"/>
      <c r="AB62" s="619"/>
      <c r="AC62" s="619"/>
      <c r="AD62" s="620"/>
      <c r="AE62" s="618">
        <f>Z62+1</f>
        <v>46136</v>
      </c>
      <c r="AF62" s="619"/>
      <c r="AG62" s="619"/>
      <c r="AH62" s="619"/>
      <c r="AI62" s="620"/>
      <c r="AJ62" s="618">
        <f>AE62+1</f>
        <v>46137</v>
      </c>
      <c r="AK62" s="619"/>
      <c r="AL62" s="619"/>
      <c r="AM62" s="619"/>
      <c r="AN62" s="620"/>
      <c r="AO62" s="618">
        <f>AJ62+1</f>
        <v>46138</v>
      </c>
      <c r="AP62" s="619"/>
      <c r="AQ62" s="619"/>
      <c r="AR62" s="619"/>
      <c r="AS62" s="620"/>
      <c r="AT62" s="618">
        <f>AO62+1</f>
        <v>46139</v>
      </c>
      <c r="AU62" s="619"/>
      <c r="AV62" s="619"/>
      <c r="AW62" s="619"/>
      <c r="AX62" s="620"/>
    </row>
    <row r="63" spans="2:53" ht="15.75">
      <c r="B63" s="629"/>
      <c r="C63" s="629"/>
      <c r="D63" s="629"/>
      <c r="E63" s="629"/>
      <c r="F63" s="629"/>
      <c r="G63" s="629"/>
      <c r="H63" s="629"/>
      <c r="I63" s="205"/>
      <c r="J63" s="205"/>
      <c r="K63" s="205"/>
      <c r="L63" s="205"/>
      <c r="M63" s="206"/>
      <c r="N63" s="617"/>
      <c r="O63" s="617"/>
      <c r="P63" s="621" t="s">
        <v>336</v>
      </c>
      <c r="Q63" s="622"/>
      <c r="R63" s="622"/>
      <c r="S63" s="622"/>
      <c r="T63" s="622"/>
      <c r="U63" s="621" t="s">
        <v>337</v>
      </c>
      <c r="V63" s="622"/>
      <c r="W63" s="622"/>
      <c r="X63" s="622"/>
      <c r="Y63" s="622"/>
      <c r="Z63" s="621" t="s">
        <v>338</v>
      </c>
      <c r="AA63" s="622"/>
      <c r="AB63" s="622"/>
      <c r="AC63" s="622"/>
      <c r="AD63" s="622"/>
      <c r="AE63" s="621" t="s">
        <v>339</v>
      </c>
      <c r="AF63" s="622"/>
      <c r="AG63" s="622"/>
      <c r="AH63" s="622"/>
      <c r="AI63" s="622"/>
      <c r="AJ63" s="621" t="s">
        <v>340</v>
      </c>
      <c r="AK63" s="622"/>
      <c r="AL63" s="622"/>
      <c r="AM63" s="622"/>
      <c r="AN63" s="622"/>
      <c r="AO63" s="621" t="s">
        <v>341</v>
      </c>
      <c r="AP63" s="622"/>
      <c r="AQ63" s="622"/>
      <c r="AR63" s="622"/>
      <c r="AS63" s="622"/>
      <c r="AT63" s="621" t="s">
        <v>342</v>
      </c>
      <c r="AU63" s="622"/>
      <c r="AV63" s="622"/>
      <c r="AW63" s="622"/>
      <c r="AX63" s="622"/>
    </row>
    <row r="64" spans="2:53">
      <c r="B64" s="614" t="s">
        <v>442</v>
      </c>
      <c r="C64" s="614" t="s">
        <v>443</v>
      </c>
      <c r="D64" s="614"/>
      <c r="E64" s="614" t="s">
        <v>444</v>
      </c>
      <c r="F64" s="614"/>
      <c r="G64" s="614"/>
      <c r="H64" s="630" t="s">
        <v>445</v>
      </c>
      <c r="I64" s="598" t="s">
        <v>446</v>
      </c>
      <c r="J64" s="598"/>
      <c r="K64" s="598"/>
      <c r="L64" s="599" t="s">
        <v>395</v>
      </c>
      <c r="M64" s="605" t="s">
        <v>447</v>
      </c>
      <c r="N64" s="614"/>
      <c r="O64" s="614" t="s">
        <v>448</v>
      </c>
      <c r="P64" s="611" t="s">
        <v>449</v>
      </c>
      <c r="Q64" s="612"/>
      <c r="R64" s="612"/>
      <c r="S64" s="613"/>
      <c r="T64" s="614" t="s">
        <v>445</v>
      </c>
      <c r="U64" s="611" t="s">
        <v>449</v>
      </c>
      <c r="V64" s="612"/>
      <c r="W64" s="612"/>
      <c r="X64" s="613"/>
      <c r="Y64" s="614" t="s">
        <v>445</v>
      </c>
      <c r="Z64" s="611" t="s">
        <v>449</v>
      </c>
      <c r="AA64" s="612"/>
      <c r="AB64" s="612"/>
      <c r="AC64" s="613"/>
      <c r="AD64" s="614" t="s">
        <v>445</v>
      </c>
      <c r="AE64" s="611" t="s">
        <v>449</v>
      </c>
      <c r="AF64" s="612"/>
      <c r="AG64" s="612"/>
      <c r="AH64" s="613"/>
      <c r="AI64" s="614" t="s">
        <v>445</v>
      </c>
      <c r="AJ64" s="611" t="s">
        <v>449</v>
      </c>
      <c r="AK64" s="612"/>
      <c r="AL64" s="612"/>
      <c r="AM64" s="613"/>
      <c r="AN64" s="614" t="s">
        <v>445</v>
      </c>
      <c r="AO64" s="611" t="s">
        <v>449</v>
      </c>
      <c r="AP64" s="612"/>
      <c r="AQ64" s="612"/>
      <c r="AR64" s="613"/>
      <c r="AS64" s="614" t="s">
        <v>445</v>
      </c>
      <c r="AT64" s="611" t="s">
        <v>449</v>
      </c>
      <c r="AU64" s="612"/>
      <c r="AV64" s="612"/>
      <c r="AW64" s="613"/>
      <c r="AX64" s="614" t="s">
        <v>445</v>
      </c>
      <c r="BA64" s="614" t="s">
        <v>395</v>
      </c>
    </row>
    <row r="65" spans="2:53">
      <c r="B65" s="614"/>
      <c r="C65" s="614"/>
      <c r="D65" s="614"/>
      <c r="E65" s="614" t="s">
        <v>450</v>
      </c>
      <c r="F65" s="614"/>
      <c r="G65" s="614"/>
      <c r="H65" s="631"/>
      <c r="I65" s="598" t="s">
        <v>450</v>
      </c>
      <c r="J65" s="598"/>
      <c r="K65" s="598"/>
      <c r="L65" s="600"/>
      <c r="M65" s="606"/>
      <c r="N65" s="614"/>
      <c r="O65" s="614"/>
      <c r="P65" s="611" t="s">
        <v>451</v>
      </c>
      <c r="Q65" s="612"/>
      <c r="R65" s="612"/>
      <c r="S65" s="613"/>
      <c r="T65" s="614"/>
      <c r="U65" s="611" t="s">
        <v>451</v>
      </c>
      <c r="V65" s="612"/>
      <c r="W65" s="612"/>
      <c r="X65" s="613"/>
      <c r="Y65" s="614"/>
      <c r="Z65" s="611" t="s">
        <v>451</v>
      </c>
      <c r="AA65" s="612"/>
      <c r="AB65" s="612"/>
      <c r="AC65" s="613"/>
      <c r="AD65" s="614"/>
      <c r="AE65" s="611" t="s">
        <v>451</v>
      </c>
      <c r="AF65" s="612"/>
      <c r="AG65" s="612"/>
      <c r="AH65" s="613"/>
      <c r="AI65" s="614"/>
      <c r="AJ65" s="611" t="s">
        <v>451</v>
      </c>
      <c r="AK65" s="612"/>
      <c r="AL65" s="612"/>
      <c r="AM65" s="613"/>
      <c r="AN65" s="614"/>
      <c r="AO65" s="611" t="s">
        <v>451</v>
      </c>
      <c r="AP65" s="612"/>
      <c r="AQ65" s="612"/>
      <c r="AR65" s="613"/>
      <c r="AS65" s="614"/>
      <c r="AT65" s="611" t="s">
        <v>451</v>
      </c>
      <c r="AU65" s="612"/>
      <c r="AV65" s="612"/>
      <c r="AW65" s="613"/>
      <c r="AX65" s="614"/>
      <c r="BA65" s="614"/>
    </row>
    <row r="66" spans="2:53">
      <c r="B66" s="614"/>
      <c r="C66" s="614"/>
      <c r="D66" s="614"/>
      <c r="E66" s="305" t="s">
        <v>452</v>
      </c>
      <c r="F66" s="305" t="s">
        <v>453</v>
      </c>
      <c r="G66" s="305" t="s">
        <v>454</v>
      </c>
      <c r="H66" s="632"/>
      <c r="I66" s="304" t="s">
        <v>452</v>
      </c>
      <c r="J66" s="304" t="s">
        <v>453</v>
      </c>
      <c r="K66" s="304" t="s">
        <v>454</v>
      </c>
      <c r="L66" s="601"/>
      <c r="M66" s="607"/>
      <c r="N66" s="614"/>
      <c r="O66" s="614"/>
      <c r="P66" s="305" t="s">
        <v>452</v>
      </c>
      <c r="Q66" s="305" t="s">
        <v>453</v>
      </c>
      <c r="R66" s="305" t="s">
        <v>454</v>
      </c>
      <c r="S66" s="305" t="s">
        <v>447</v>
      </c>
      <c r="T66" s="614"/>
      <c r="U66" s="305" t="s">
        <v>452</v>
      </c>
      <c r="V66" s="305" t="s">
        <v>453</v>
      </c>
      <c r="W66" s="305" t="s">
        <v>454</v>
      </c>
      <c r="X66" s="305" t="s">
        <v>447</v>
      </c>
      <c r="Y66" s="614"/>
      <c r="Z66" s="305" t="s">
        <v>452</v>
      </c>
      <c r="AA66" s="305" t="s">
        <v>453</v>
      </c>
      <c r="AB66" s="305" t="s">
        <v>454</v>
      </c>
      <c r="AC66" s="305" t="s">
        <v>447</v>
      </c>
      <c r="AD66" s="614"/>
      <c r="AE66" s="305" t="s">
        <v>452</v>
      </c>
      <c r="AF66" s="305" t="s">
        <v>453</v>
      </c>
      <c r="AG66" s="305" t="s">
        <v>454</v>
      </c>
      <c r="AH66" s="305" t="s">
        <v>447</v>
      </c>
      <c r="AI66" s="614"/>
      <c r="AJ66" s="305" t="s">
        <v>452</v>
      </c>
      <c r="AK66" s="305" t="s">
        <v>453</v>
      </c>
      <c r="AL66" s="305" t="s">
        <v>454</v>
      </c>
      <c r="AM66" s="305" t="s">
        <v>447</v>
      </c>
      <c r="AN66" s="614"/>
      <c r="AO66" s="305" t="s">
        <v>452</v>
      </c>
      <c r="AP66" s="305" t="s">
        <v>453</v>
      </c>
      <c r="AQ66" s="305" t="s">
        <v>454</v>
      </c>
      <c r="AR66" s="305" t="s">
        <v>447</v>
      </c>
      <c r="AS66" s="614"/>
      <c r="AT66" s="305" t="s">
        <v>452</v>
      </c>
      <c r="AU66" s="305" t="s">
        <v>453</v>
      </c>
      <c r="AV66" s="305" t="s">
        <v>454</v>
      </c>
      <c r="AW66" s="305" t="s">
        <v>447</v>
      </c>
      <c r="AX66" s="614"/>
      <c r="AZ66" s="523" t="s">
        <v>396</v>
      </c>
      <c r="BA66" s="614"/>
    </row>
    <row r="67" spans="2:53">
      <c r="B67" s="614" t="s">
        <v>456</v>
      </c>
      <c r="C67" s="306">
        <v>1</v>
      </c>
      <c r="D67" s="226"/>
      <c r="E67" s="182"/>
      <c r="F67" s="514"/>
      <c r="G67" s="515"/>
      <c r="H67" s="663" t="e">
        <f>AVERAGE(G67:G81)</f>
        <v>#DIV/0!</v>
      </c>
      <c r="I67" s="516" t="str">
        <f t="shared" ref="I67:I80" si="62">IFERROR(AVERAGE(P67,U67,Z67,AE67,AJ67,AO67,AT67),"-")</f>
        <v>-</v>
      </c>
      <c r="J67" s="516" t="str">
        <f t="shared" ref="J67:J80" si="63">IFERROR(AVERAGE(Q67,V67,AA67,AF67,AK67,AP67,AU67),"-")</f>
        <v>-</v>
      </c>
      <c r="K67" s="200" t="str">
        <f t="shared" ref="K67:K80" si="64">IFERROR(AVERAGE(R67,W67,AB67,AG67,AL67,AQ67,AV67),"-")</f>
        <v>-</v>
      </c>
      <c r="L67" s="595" t="str">
        <f>IFERROR(AVERAGE(K67:K81),"-")</f>
        <v>-</v>
      </c>
      <c r="M67" s="201" t="e">
        <f>RANK(K67, K$67:$K$81)</f>
        <v>#VALUE!</v>
      </c>
      <c r="N67" s="614"/>
      <c r="O67" s="614"/>
      <c r="P67" s="520"/>
      <c r="Q67" s="521"/>
      <c r="R67" s="521"/>
      <c r="S67" s="514" t="e">
        <f>RANK(R67, R$67:R$81)</f>
        <v>#N/A</v>
      </c>
      <c r="T67" s="623" t="e">
        <f>AVERAGE(R67:R81)</f>
        <v>#DIV/0!</v>
      </c>
      <c r="U67" s="520"/>
      <c r="V67" s="521"/>
      <c r="W67" s="521"/>
      <c r="X67" s="514" t="e">
        <f t="shared" ref="X67:X81" si="65">RANK(W67, W$67:W$81)</f>
        <v>#N/A</v>
      </c>
      <c r="Y67" s="623" t="e">
        <f t="shared" ref="Y67" si="66">AVERAGE(W67:W81)</f>
        <v>#DIV/0!</v>
      </c>
      <c r="Z67" s="520"/>
      <c r="AA67" s="521"/>
      <c r="AB67" s="521"/>
      <c r="AC67" s="514" t="e">
        <f t="shared" ref="AC67:AC81" si="67">RANK(AB67, AB$67:AB$81)</f>
        <v>#N/A</v>
      </c>
      <c r="AD67" s="623" t="e">
        <f t="shared" ref="AD67" si="68">AVERAGE(AB67:AB81)</f>
        <v>#DIV/0!</v>
      </c>
      <c r="AE67" s="520"/>
      <c r="AF67" s="521"/>
      <c r="AG67" s="521"/>
      <c r="AH67" s="514" t="e">
        <f t="shared" ref="AH67:AH81" si="69">RANK(AG67, AG$67:AG$81)</f>
        <v>#N/A</v>
      </c>
      <c r="AI67" s="623" t="e">
        <f t="shared" ref="AI67" si="70">AVERAGE(AG67:AG81)</f>
        <v>#DIV/0!</v>
      </c>
      <c r="AJ67" s="520"/>
      <c r="AK67" s="521"/>
      <c r="AL67" s="521"/>
      <c r="AM67" s="514" t="e">
        <f t="shared" ref="AM67:AM81" si="71">RANK(AL67, AL$67:AL$81)</f>
        <v>#N/A</v>
      </c>
      <c r="AN67" s="623" t="e">
        <f t="shared" ref="AN67" si="72">AVERAGE(AL67:AL81)</f>
        <v>#DIV/0!</v>
      </c>
      <c r="AO67" s="520"/>
      <c r="AP67" s="521"/>
      <c r="AQ67" s="521"/>
      <c r="AR67" s="514" t="e">
        <f t="shared" ref="AR67:AR81" si="73">RANK(AQ67, AQ$67:AQ$81)</f>
        <v>#N/A</v>
      </c>
      <c r="AS67" s="623" t="e">
        <f t="shared" ref="AS67" si="74">AVERAGE(AQ67:AQ81)</f>
        <v>#DIV/0!</v>
      </c>
      <c r="AT67" s="520"/>
      <c r="AU67" s="521"/>
      <c r="AV67" s="521"/>
      <c r="AW67" s="514" t="e">
        <f t="shared" ref="AW67:AW81" si="75">RANK(AV67, AV$67:AV$81)</f>
        <v>#N/A</v>
      </c>
      <c r="AX67" s="623" t="e">
        <f t="shared" ref="AX67" si="76">AVERAGE(AV67:AV81)</f>
        <v>#DIV/0!</v>
      </c>
      <c r="AZ67" s="524" t="e">
        <f t="shared" ref="AZ67:AZ81" si="77">RANK(AY67, AY$67:AY$81)</f>
        <v>#N/A</v>
      </c>
      <c r="BA67" s="623" t="e">
        <f t="shared" ref="BA67" si="78">AVERAGE(AY67:AY81)</f>
        <v>#DIV/0!</v>
      </c>
    </row>
    <row r="68" spans="2:53">
      <c r="B68" s="622"/>
      <c r="C68" s="306">
        <v>2</v>
      </c>
      <c r="D68" s="226"/>
      <c r="E68" s="182"/>
      <c r="F68" s="514"/>
      <c r="G68" s="515"/>
      <c r="H68" s="664"/>
      <c r="I68" s="516" t="str">
        <f t="shared" si="62"/>
        <v>-</v>
      </c>
      <c r="J68" s="516" t="str">
        <f t="shared" si="63"/>
        <v>-</v>
      </c>
      <c r="K68" s="200" t="str">
        <f t="shared" si="64"/>
        <v>-</v>
      </c>
      <c r="L68" s="596"/>
      <c r="M68" s="201" t="e">
        <f>RANK(K68, K$67:$K$81)</f>
        <v>#VALUE!</v>
      </c>
      <c r="N68" s="614"/>
      <c r="O68" s="614"/>
      <c r="P68" s="520"/>
      <c r="Q68" s="521"/>
      <c r="R68" s="521"/>
      <c r="S68" s="514" t="e">
        <f t="shared" ref="S68:S81" si="79">RANK(R68, R$67:R$81)</f>
        <v>#N/A</v>
      </c>
      <c r="T68" s="624"/>
      <c r="U68" s="520"/>
      <c r="V68" s="521"/>
      <c r="W68" s="521"/>
      <c r="X68" s="514" t="e">
        <f t="shared" si="65"/>
        <v>#N/A</v>
      </c>
      <c r="Y68" s="624"/>
      <c r="Z68" s="520"/>
      <c r="AA68" s="521"/>
      <c r="AB68" s="521"/>
      <c r="AC68" s="514" t="e">
        <f t="shared" si="67"/>
        <v>#N/A</v>
      </c>
      <c r="AD68" s="624"/>
      <c r="AE68" s="520"/>
      <c r="AF68" s="521"/>
      <c r="AG68" s="521"/>
      <c r="AH68" s="514" t="e">
        <f t="shared" si="69"/>
        <v>#N/A</v>
      </c>
      <c r="AI68" s="624"/>
      <c r="AJ68" s="520"/>
      <c r="AK68" s="521"/>
      <c r="AL68" s="521"/>
      <c r="AM68" s="514" t="e">
        <f t="shared" si="71"/>
        <v>#N/A</v>
      </c>
      <c r="AN68" s="624"/>
      <c r="AO68" s="520"/>
      <c r="AP68" s="521"/>
      <c r="AQ68" s="521"/>
      <c r="AR68" s="514" t="e">
        <f t="shared" si="73"/>
        <v>#N/A</v>
      </c>
      <c r="AS68" s="624"/>
      <c r="AT68" s="520"/>
      <c r="AU68" s="521"/>
      <c r="AV68" s="521"/>
      <c r="AW68" s="514" t="e">
        <f t="shared" si="75"/>
        <v>#N/A</v>
      </c>
      <c r="AX68" s="624"/>
      <c r="AZ68" s="524" t="e">
        <f t="shared" si="77"/>
        <v>#N/A</v>
      </c>
      <c r="BA68" s="624"/>
    </row>
    <row r="69" spans="2:53">
      <c r="B69" s="622"/>
      <c r="C69" s="306">
        <v>3</v>
      </c>
      <c r="D69" s="226"/>
      <c r="E69" s="182"/>
      <c r="F69" s="514"/>
      <c r="G69" s="515"/>
      <c r="H69" s="664"/>
      <c r="I69" s="516" t="str">
        <f t="shared" si="62"/>
        <v>-</v>
      </c>
      <c r="J69" s="516" t="str">
        <f t="shared" si="63"/>
        <v>-</v>
      </c>
      <c r="K69" s="200" t="str">
        <f t="shared" si="64"/>
        <v>-</v>
      </c>
      <c r="L69" s="596"/>
      <c r="M69" s="201" t="e">
        <f>RANK(K69, K$67:$K$81)</f>
        <v>#VALUE!</v>
      </c>
      <c r="N69" s="614"/>
      <c r="O69" s="614"/>
      <c r="P69" s="520"/>
      <c r="Q69" s="521"/>
      <c r="R69" s="521"/>
      <c r="S69" s="514" t="e">
        <f t="shared" si="79"/>
        <v>#N/A</v>
      </c>
      <c r="T69" s="624"/>
      <c r="U69" s="520"/>
      <c r="V69" s="521"/>
      <c r="W69" s="521"/>
      <c r="X69" s="514" t="e">
        <f t="shared" si="65"/>
        <v>#N/A</v>
      </c>
      <c r="Y69" s="624"/>
      <c r="Z69" s="520"/>
      <c r="AA69" s="521"/>
      <c r="AB69" s="521"/>
      <c r="AC69" s="514" t="e">
        <f t="shared" si="67"/>
        <v>#N/A</v>
      </c>
      <c r="AD69" s="624"/>
      <c r="AE69" s="520"/>
      <c r="AF69" s="521"/>
      <c r="AG69" s="521"/>
      <c r="AH69" s="514" t="e">
        <f t="shared" si="69"/>
        <v>#N/A</v>
      </c>
      <c r="AI69" s="624"/>
      <c r="AJ69" s="520"/>
      <c r="AK69" s="521"/>
      <c r="AL69" s="521"/>
      <c r="AM69" s="514" t="e">
        <f t="shared" si="71"/>
        <v>#N/A</v>
      </c>
      <c r="AN69" s="624"/>
      <c r="AO69" s="520"/>
      <c r="AP69" s="521"/>
      <c r="AQ69" s="521"/>
      <c r="AR69" s="514" t="e">
        <f t="shared" si="73"/>
        <v>#N/A</v>
      </c>
      <c r="AS69" s="624"/>
      <c r="AT69" s="520"/>
      <c r="AU69" s="521"/>
      <c r="AV69" s="521"/>
      <c r="AW69" s="514" t="e">
        <f t="shared" si="75"/>
        <v>#N/A</v>
      </c>
      <c r="AX69" s="624"/>
      <c r="AZ69" s="524" t="e">
        <f t="shared" si="77"/>
        <v>#N/A</v>
      </c>
      <c r="BA69" s="624"/>
    </row>
    <row r="70" spans="2:53">
      <c r="B70" s="622"/>
      <c r="C70" s="306">
        <v>4</v>
      </c>
      <c r="D70" s="226"/>
      <c r="E70" s="182"/>
      <c r="F70" s="514"/>
      <c r="G70" s="515"/>
      <c r="H70" s="664"/>
      <c r="I70" s="516" t="str">
        <f t="shared" si="62"/>
        <v>-</v>
      </c>
      <c r="J70" s="516" t="str">
        <f t="shared" si="63"/>
        <v>-</v>
      </c>
      <c r="K70" s="200" t="str">
        <f t="shared" si="64"/>
        <v>-</v>
      </c>
      <c r="L70" s="596"/>
      <c r="M70" s="201" t="e">
        <f>RANK(K70, K$67:$K$81)</f>
        <v>#VALUE!</v>
      </c>
      <c r="N70" s="614"/>
      <c r="O70" s="614"/>
      <c r="P70" s="520"/>
      <c r="Q70" s="521"/>
      <c r="R70" s="521"/>
      <c r="S70" s="514" t="e">
        <f t="shared" si="79"/>
        <v>#N/A</v>
      </c>
      <c r="T70" s="624"/>
      <c r="U70" s="520"/>
      <c r="V70" s="521"/>
      <c r="W70" s="521"/>
      <c r="X70" s="514" t="e">
        <f t="shared" si="65"/>
        <v>#N/A</v>
      </c>
      <c r="Y70" s="624"/>
      <c r="Z70" s="520"/>
      <c r="AA70" s="521"/>
      <c r="AB70" s="521"/>
      <c r="AC70" s="514" t="e">
        <f t="shared" si="67"/>
        <v>#N/A</v>
      </c>
      <c r="AD70" s="624"/>
      <c r="AE70" s="520"/>
      <c r="AF70" s="521"/>
      <c r="AG70" s="521"/>
      <c r="AH70" s="514" t="e">
        <f t="shared" si="69"/>
        <v>#N/A</v>
      </c>
      <c r="AI70" s="624"/>
      <c r="AJ70" s="520"/>
      <c r="AK70" s="521"/>
      <c r="AL70" s="521"/>
      <c r="AM70" s="514" t="e">
        <f t="shared" si="71"/>
        <v>#N/A</v>
      </c>
      <c r="AN70" s="624"/>
      <c r="AO70" s="520"/>
      <c r="AP70" s="521"/>
      <c r="AQ70" s="521"/>
      <c r="AR70" s="514" t="e">
        <f t="shared" si="73"/>
        <v>#N/A</v>
      </c>
      <c r="AS70" s="624"/>
      <c r="AT70" s="520"/>
      <c r="AU70" s="521"/>
      <c r="AV70" s="521"/>
      <c r="AW70" s="514" t="e">
        <f t="shared" si="75"/>
        <v>#N/A</v>
      </c>
      <c r="AX70" s="624"/>
      <c r="AZ70" s="524" t="e">
        <f t="shared" si="77"/>
        <v>#N/A</v>
      </c>
      <c r="BA70" s="624"/>
    </row>
    <row r="71" spans="2:53">
      <c r="B71" s="622"/>
      <c r="C71" s="306">
        <v>5</v>
      </c>
      <c r="D71" s="226"/>
      <c r="E71" s="182"/>
      <c r="F71" s="514"/>
      <c r="G71" s="515"/>
      <c r="H71" s="664"/>
      <c r="I71" s="516" t="str">
        <f t="shared" si="62"/>
        <v>-</v>
      </c>
      <c r="J71" s="516" t="str">
        <f t="shared" si="63"/>
        <v>-</v>
      </c>
      <c r="K71" s="200" t="str">
        <f t="shared" si="64"/>
        <v>-</v>
      </c>
      <c r="L71" s="596"/>
      <c r="M71" s="201" t="e">
        <f>RANK(K71, K$67:$K$81)</f>
        <v>#VALUE!</v>
      </c>
      <c r="N71" s="614"/>
      <c r="O71" s="614"/>
      <c r="P71" s="520"/>
      <c r="Q71" s="521"/>
      <c r="R71" s="521"/>
      <c r="S71" s="514" t="e">
        <f t="shared" si="79"/>
        <v>#N/A</v>
      </c>
      <c r="T71" s="624"/>
      <c r="U71" s="520"/>
      <c r="V71" s="521"/>
      <c r="W71" s="521"/>
      <c r="X71" s="514" t="e">
        <f t="shared" si="65"/>
        <v>#N/A</v>
      </c>
      <c r="Y71" s="624"/>
      <c r="Z71" s="520"/>
      <c r="AA71" s="521"/>
      <c r="AB71" s="521"/>
      <c r="AC71" s="514" t="e">
        <f t="shared" si="67"/>
        <v>#N/A</v>
      </c>
      <c r="AD71" s="624"/>
      <c r="AE71" s="520"/>
      <c r="AF71" s="521"/>
      <c r="AG71" s="521"/>
      <c r="AH71" s="514" t="e">
        <f t="shared" si="69"/>
        <v>#N/A</v>
      </c>
      <c r="AI71" s="624"/>
      <c r="AJ71" s="520"/>
      <c r="AK71" s="521"/>
      <c r="AL71" s="521"/>
      <c r="AM71" s="514" t="e">
        <f t="shared" si="71"/>
        <v>#N/A</v>
      </c>
      <c r="AN71" s="624"/>
      <c r="AO71" s="520"/>
      <c r="AP71" s="521"/>
      <c r="AQ71" s="521"/>
      <c r="AR71" s="514" t="e">
        <f t="shared" si="73"/>
        <v>#N/A</v>
      </c>
      <c r="AS71" s="624"/>
      <c r="AT71" s="520"/>
      <c r="AU71" s="521"/>
      <c r="AV71" s="521"/>
      <c r="AW71" s="514" t="e">
        <f t="shared" si="75"/>
        <v>#N/A</v>
      </c>
      <c r="AX71" s="624"/>
      <c r="AZ71" s="524" t="e">
        <f t="shared" si="77"/>
        <v>#N/A</v>
      </c>
      <c r="BA71" s="624"/>
    </row>
    <row r="72" spans="2:53">
      <c r="B72" s="622"/>
      <c r="C72" s="306">
        <v>6</v>
      </c>
      <c r="D72" s="226"/>
      <c r="E72" s="182"/>
      <c r="F72" s="514"/>
      <c r="G72" s="515"/>
      <c r="H72" s="664"/>
      <c r="I72" s="516" t="str">
        <f t="shared" si="62"/>
        <v>-</v>
      </c>
      <c r="J72" s="516" t="str">
        <f t="shared" si="63"/>
        <v>-</v>
      </c>
      <c r="K72" s="200" t="str">
        <f t="shared" si="64"/>
        <v>-</v>
      </c>
      <c r="L72" s="596"/>
      <c r="M72" s="201" t="e">
        <f>RANK(K72, K$67:$K$81)</f>
        <v>#VALUE!</v>
      </c>
      <c r="N72" s="614"/>
      <c r="O72" s="614"/>
      <c r="P72" s="520"/>
      <c r="Q72" s="521"/>
      <c r="R72" s="521"/>
      <c r="S72" s="514" t="e">
        <f t="shared" si="79"/>
        <v>#N/A</v>
      </c>
      <c r="T72" s="624"/>
      <c r="U72" s="520"/>
      <c r="V72" s="521"/>
      <c r="W72" s="521"/>
      <c r="X72" s="514" t="e">
        <f t="shared" si="65"/>
        <v>#N/A</v>
      </c>
      <c r="Y72" s="624"/>
      <c r="Z72" s="520"/>
      <c r="AA72" s="521"/>
      <c r="AB72" s="521"/>
      <c r="AC72" s="514" t="e">
        <f t="shared" si="67"/>
        <v>#N/A</v>
      </c>
      <c r="AD72" s="624"/>
      <c r="AE72" s="520"/>
      <c r="AF72" s="521"/>
      <c r="AG72" s="521"/>
      <c r="AH72" s="514" t="e">
        <f t="shared" si="69"/>
        <v>#N/A</v>
      </c>
      <c r="AI72" s="624"/>
      <c r="AJ72" s="520"/>
      <c r="AK72" s="521"/>
      <c r="AL72" s="521"/>
      <c r="AM72" s="514" t="e">
        <f t="shared" si="71"/>
        <v>#N/A</v>
      </c>
      <c r="AN72" s="624"/>
      <c r="AO72" s="520"/>
      <c r="AP72" s="521"/>
      <c r="AQ72" s="521"/>
      <c r="AR72" s="514" t="e">
        <f t="shared" si="73"/>
        <v>#N/A</v>
      </c>
      <c r="AS72" s="624"/>
      <c r="AT72" s="520"/>
      <c r="AU72" s="521"/>
      <c r="AV72" s="521"/>
      <c r="AW72" s="514" t="e">
        <f t="shared" si="75"/>
        <v>#N/A</v>
      </c>
      <c r="AX72" s="624"/>
      <c r="AZ72" s="524" t="e">
        <f t="shared" si="77"/>
        <v>#N/A</v>
      </c>
      <c r="BA72" s="624"/>
    </row>
    <row r="73" spans="2:53">
      <c r="B73" s="622"/>
      <c r="C73" s="306">
        <v>7</v>
      </c>
      <c r="D73" s="226"/>
      <c r="E73" s="182"/>
      <c r="F73" s="514"/>
      <c r="G73" s="515"/>
      <c r="H73" s="664"/>
      <c r="I73" s="516" t="str">
        <f t="shared" si="62"/>
        <v>-</v>
      </c>
      <c r="J73" s="516" t="str">
        <f t="shared" si="63"/>
        <v>-</v>
      </c>
      <c r="K73" s="200" t="str">
        <f t="shared" si="64"/>
        <v>-</v>
      </c>
      <c r="L73" s="596"/>
      <c r="M73" s="201" t="e">
        <f>RANK(K73, K$67:$K$81)</f>
        <v>#VALUE!</v>
      </c>
      <c r="N73" s="614"/>
      <c r="O73" s="614"/>
      <c r="P73" s="520"/>
      <c r="Q73" s="521"/>
      <c r="R73" s="521"/>
      <c r="S73" s="514" t="e">
        <f t="shared" si="79"/>
        <v>#N/A</v>
      </c>
      <c r="T73" s="624"/>
      <c r="U73" s="520"/>
      <c r="V73" s="521"/>
      <c r="W73" s="521"/>
      <c r="X73" s="514" t="e">
        <f t="shared" si="65"/>
        <v>#N/A</v>
      </c>
      <c r="Y73" s="624"/>
      <c r="Z73" s="520"/>
      <c r="AA73" s="521"/>
      <c r="AB73" s="521"/>
      <c r="AC73" s="514" t="e">
        <f t="shared" si="67"/>
        <v>#N/A</v>
      </c>
      <c r="AD73" s="624"/>
      <c r="AE73" s="520"/>
      <c r="AF73" s="521"/>
      <c r="AG73" s="521"/>
      <c r="AH73" s="514" t="e">
        <f t="shared" si="69"/>
        <v>#N/A</v>
      </c>
      <c r="AI73" s="624"/>
      <c r="AJ73" s="520"/>
      <c r="AK73" s="521"/>
      <c r="AL73" s="521"/>
      <c r="AM73" s="514" t="e">
        <f t="shared" si="71"/>
        <v>#N/A</v>
      </c>
      <c r="AN73" s="624"/>
      <c r="AO73" s="520"/>
      <c r="AP73" s="521"/>
      <c r="AQ73" s="521"/>
      <c r="AR73" s="514" t="e">
        <f t="shared" si="73"/>
        <v>#N/A</v>
      </c>
      <c r="AS73" s="624"/>
      <c r="AT73" s="520"/>
      <c r="AU73" s="521"/>
      <c r="AV73" s="521"/>
      <c r="AW73" s="514" t="e">
        <f t="shared" si="75"/>
        <v>#N/A</v>
      </c>
      <c r="AX73" s="624"/>
      <c r="AZ73" s="524" t="e">
        <f t="shared" si="77"/>
        <v>#N/A</v>
      </c>
      <c r="BA73" s="624"/>
    </row>
    <row r="74" spans="2:53">
      <c r="B74" s="622"/>
      <c r="C74" s="306">
        <v>8</v>
      </c>
      <c r="D74" s="343"/>
      <c r="E74" s="521"/>
      <c r="F74" s="521"/>
      <c r="G74" s="521"/>
      <c r="H74" s="664"/>
      <c r="I74" s="516" t="str">
        <f t="shared" si="62"/>
        <v>-</v>
      </c>
      <c r="J74" s="516" t="str">
        <f t="shared" si="63"/>
        <v>-</v>
      </c>
      <c r="K74" s="200" t="str">
        <f t="shared" si="64"/>
        <v>-</v>
      </c>
      <c r="L74" s="596"/>
      <c r="M74" s="201" t="e">
        <f>RANK(K74, K$67:$K$81)</f>
        <v>#VALUE!</v>
      </c>
      <c r="N74" s="614"/>
      <c r="O74" s="614"/>
      <c r="P74" s="520"/>
      <c r="Q74" s="521"/>
      <c r="R74" s="521"/>
      <c r="S74" s="514" t="e">
        <f t="shared" si="79"/>
        <v>#N/A</v>
      </c>
      <c r="T74" s="624"/>
      <c r="U74" s="520"/>
      <c r="V74" s="521"/>
      <c r="W74" s="521"/>
      <c r="X74" s="514" t="e">
        <f t="shared" si="65"/>
        <v>#N/A</v>
      </c>
      <c r="Y74" s="624"/>
      <c r="Z74" s="520"/>
      <c r="AA74" s="521"/>
      <c r="AB74" s="521"/>
      <c r="AC74" s="514" t="e">
        <f t="shared" si="67"/>
        <v>#N/A</v>
      </c>
      <c r="AD74" s="624"/>
      <c r="AE74" s="520"/>
      <c r="AF74" s="521"/>
      <c r="AG74" s="521"/>
      <c r="AH74" s="514" t="e">
        <f t="shared" si="69"/>
        <v>#N/A</v>
      </c>
      <c r="AI74" s="624"/>
      <c r="AJ74" s="520"/>
      <c r="AK74" s="521"/>
      <c r="AL74" s="521"/>
      <c r="AM74" s="514" t="e">
        <f t="shared" si="71"/>
        <v>#N/A</v>
      </c>
      <c r="AN74" s="624"/>
      <c r="AO74" s="520"/>
      <c r="AP74" s="521"/>
      <c r="AQ74" s="521"/>
      <c r="AR74" s="514" t="e">
        <f t="shared" si="73"/>
        <v>#N/A</v>
      </c>
      <c r="AS74" s="624"/>
      <c r="AT74" s="520"/>
      <c r="AU74" s="521"/>
      <c r="AV74" s="521"/>
      <c r="AW74" s="514" t="e">
        <f t="shared" si="75"/>
        <v>#N/A</v>
      </c>
      <c r="AX74" s="624"/>
      <c r="AZ74" s="524" t="e">
        <f t="shared" si="77"/>
        <v>#N/A</v>
      </c>
      <c r="BA74" s="624"/>
    </row>
    <row r="75" spans="2:53">
      <c r="B75" s="622"/>
      <c r="C75" s="306">
        <v>9</v>
      </c>
      <c r="D75" s="456"/>
      <c r="E75" s="521"/>
      <c r="F75" s="521"/>
      <c r="G75" s="521"/>
      <c r="H75" s="664"/>
      <c r="I75" s="516" t="str">
        <f t="shared" si="62"/>
        <v>-</v>
      </c>
      <c r="J75" s="516" t="str">
        <f t="shared" si="63"/>
        <v>-</v>
      </c>
      <c r="K75" s="200" t="str">
        <f t="shared" si="64"/>
        <v>-</v>
      </c>
      <c r="L75" s="596"/>
      <c r="M75" s="201" t="e">
        <f>RANK(K75, K$67:$K$81)</f>
        <v>#VALUE!</v>
      </c>
      <c r="N75" s="614"/>
      <c r="O75" s="614"/>
      <c r="P75" s="520"/>
      <c r="Q75" s="521"/>
      <c r="R75" s="521"/>
      <c r="S75" s="514" t="e">
        <f t="shared" si="79"/>
        <v>#N/A</v>
      </c>
      <c r="T75" s="624"/>
      <c r="U75" s="520"/>
      <c r="V75" s="521"/>
      <c r="W75" s="521"/>
      <c r="X75" s="514" t="e">
        <f t="shared" si="65"/>
        <v>#N/A</v>
      </c>
      <c r="Y75" s="624"/>
      <c r="Z75" s="520"/>
      <c r="AA75" s="521"/>
      <c r="AB75" s="521"/>
      <c r="AC75" s="514" t="e">
        <f t="shared" si="67"/>
        <v>#N/A</v>
      </c>
      <c r="AD75" s="624"/>
      <c r="AE75" s="520"/>
      <c r="AF75" s="521"/>
      <c r="AG75" s="521"/>
      <c r="AH75" s="514" t="e">
        <f t="shared" si="69"/>
        <v>#N/A</v>
      </c>
      <c r="AI75" s="624"/>
      <c r="AJ75" s="520"/>
      <c r="AK75" s="521"/>
      <c r="AL75" s="521"/>
      <c r="AM75" s="514" t="e">
        <f t="shared" si="71"/>
        <v>#N/A</v>
      </c>
      <c r="AN75" s="624"/>
      <c r="AO75" s="520"/>
      <c r="AP75" s="521"/>
      <c r="AQ75" s="521"/>
      <c r="AR75" s="514" t="e">
        <f t="shared" si="73"/>
        <v>#N/A</v>
      </c>
      <c r="AS75" s="624"/>
      <c r="AT75" s="520"/>
      <c r="AU75" s="521"/>
      <c r="AV75" s="521"/>
      <c r="AW75" s="514" t="e">
        <f t="shared" si="75"/>
        <v>#N/A</v>
      </c>
      <c r="AX75" s="624"/>
      <c r="AZ75" s="524" t="e">
        <f t="shared" si="77"/>
        <v>#N/A</v>
      </c>
      <c r="BA75" s="624"/>
    </row>
    <row r="76" spans="2:53">
      <c r="B76" s="622"/>
      <c r="C76" s="306">
        <v>10</v>
      </c>
      <c r="D76" s="456"/>
      <c r="E76" s="521"/>
      <c r="F76" s="521"/>
      <c r="G76" s="521"/>
      <c r="H76" s="664"/>
      <c r="I76" s="516" t="str">
        <f t="shared" si="62"/>
        <v>-</v>
      </c>
      <c r="J76" s="516" t="str">
        <f t="shared" si="63"/>
        <v>-</v>
      </c>
      <c r="K76" s="200" t="str">
        <f t="shared" si="64"/>
        <v>-</v>
      </c>
      <c r="L76" s="596"/>
      <c r="M76" s="201" t="e">
        <f>RANK(K76, K$67:$K$81)</f>
        <v>#VALUE!</v>
      </c>
      <c r="N76" s="614"/>
      <c r="O76" s="614"/>
      <c r="P76" s="520"/>
      <c r="Q76" s="521"/>
      <c r="R76" s="521"/>
      <c r="S76" s="514" t="e">
        <f t="shared" si="79"/>
        <v>#N/A</v>
      </c>
      <c r="T76" s="624"/>
      <c r="U76" s="520"/>
      <c r="V76" s="521"/>
      <c r="W76" s="521"/>
      <c r="X76" s="514" t="e">
        <f t="shared" si="65"/>
        <v>#N/A</v>
      </c>
      <c r="Y76" s="624"/>
      <c r="Z76" s="520"/>
      <c r="AA76" s="521"/>
      <c r="AB76" s="521"/>
      <c r="AC76" s="514" t="e">
        <f t="shared" si="67"/>
        <v>#N/A</v>
      </c>
      <c r="AD76" s="624"/>
      <c r="AE76" s="520"/>
      <c r="AF76" s="521"/>
      <c r="AG76" s="521"/>
      <c r="AH76" s="514" t="e">
        <f t="shared" si="69"/>
        <v>#N/A</v>
      </c>
      <c r="AI76" s="624"/>
      <c r="AJ76" s="520"/>
      <c r="AK76" s="521"/>
      <c r="AL76" s="521"/>
      <c r="AM76" s="514" t="e">
        <f t="shared" si="71"/>
        <v>#N/A</v>
      </c>
      <c r="AN76" s="624"/>
      <c r="AO76" s="520"/>
      <c r="AP76" s="521"/>
      <c r="AQ76" s="521"/>
      <c r="AR76" s="514" t="e">
        <f t="shared" si="73"/>
        <v>#N/A</v>
      </c>
      <c r="AS76" s="624"/>
      <c r="AT76" s="520"/>
      <c r="AU76" s="521"/>
      <c r="AV76" s="521"/>
      <c r="AW76" s="514" t="e">
        <f t="shared" si="75"/>
        <v>#N/A</v>
      </c>
      <c r="AX76" s="624"/>
      <c r="AZ76" s="524" t="e">
        <f t="shared" si="77"/>
        <v>#N/A</v>
      </c>
      <c r="BA76" s="624"/>
    </row>
    <row r="77" spans="2:53">
      <c r="B77" s="622"/>
      <c r="C77" s="306">
        <v>11</v>
      </c>
      <c r="D77" s="456"/>
      <c r="E77" s="521"/>
      <c r="F77" s="521"/>
      <c r="G77" s="521"/>
      <c r="H77" s="664"/>
      <c r="I77" s="516" t="str">
        <f t="shared" si="62"/>
        <v>-</v>
      </c>
      <c r="J77" s="516" t="str">
        <f t="shared" si="63"/>
        <v>-</v>
      </c>
      <c r="K77" s="200" t="str">
        <f t="shared" si="64"/>
        <v>-</v>
      </c>
      <c r="L77" s="596"/>
      <c r="M77" s="201" t="e">
        <f>RANK(K77, K$67:$K$81)</f>
        <v>#VALUE!</v>
      </c>
      <c r="N77" s="614"/>
      <c r="O77" s="614"/>
      <c r="P77" s="520"/>
      <c r="Q77" s="521"/>
      <c r="R77" s="521"/>
      <c r="S77" s="514" t="e">
        <f t="shared" si="79"/>
        <v>#N/A</v>
      </c>
      <c r="T77" s="624"/>
      <c r="U77" s="520"/>
      <c r="V77" s="521"/>
      <c r="W77" s="521"/>
      <c r="X77" s="514" t="e">
        <f t="shared" si="65"/>
        <v>#N/A</v>
      </c>
      <c r="Y77" s="624"/>
      <c r="Z77" s="520"/>
      <c r="AA77" s="521"/>
      <c r="AB77" s="521"/>
      <c r="AC77" s="514" t="e">
        <f t="shared" si="67"/>
        <v>#N/A</v>
      </c>
      <c r="AD77" s="624"/>
      <c r="AE77" s="520"/>
      <c r="AF77" s="521"/>
      <c r="AG77" s="521"/>
      <c r="AH77" s="514" t="e">
        <f t="shared" si="69"/>
        <v>#N/A</v>
      </c>
      <c r="AI77" s="624"/>
      <c r="AJ77" s="520"/>
      <c r="AK77" s="521"/>
      <c r="AL77" s="521"/>
      <c r="AM77" s="514" t="e">
        <f t="shared" si="71"/>
        <v>#N/A</v>
      </c>
      <c r="AN77" s="624"/>
      <c r="AO77" s="520"/>
      <c r="AP77" s="521"/>
      <c r="AQ77" s="521"/>
      <c r="AR77" s="514" t="e">
        <f t="shared" si="73"/>
        <v>#N/A</v>
      </c>
      <c r="AS77" s="624"/>
      <c r="AT77" s="520"/>
      <c r="AU77" s="521"/>
      <c r="AV77" s="521"/>
      <c r="AW77" s="514" t="e">
        <f t="shared" si="75"/>
        <v>#N/A</v>
      </c>
      <c r="AX77" s="624"/>
      <c r="AZ77" s="524" t="e">
        <f t="shared" si="77"/>
        <v>#N/A</v>
      </c>
      <c r="BA77" s="624"/>
    </row>
    <row r="78" spans="2:53">
      <c r="B78" s="622"/>
      <c r="C78" s="306">
        <v>12</v>
      </c>
      <c r="D78" s="456"/>
      <c r="E78" s="521"/>
      <c r="F78" s="521"/>
      <c r="G78" s="521"/>
      <c r="H78" s="664"/>
      <c r="I78" s="516" t="str">
        <f t="shared" si="62"/>
        <v>-</v>
      </c>
      <c r="J78" s="516" t="str">
        <f t="shared" si="63"/>
        <v>-</v>
      </c>
      <c r="K78" s="200" t="str">
        <f t="shared" si="64"/>
        <v>-</v>
      </c>
      <c r="L78" s="596"/>
      <c r="M78" s="201" t="e">
        <f>RANK(K78, K$67:$K$81)</f>
        <v>#VALUE!</v>
      </c>
      <c r="N78" s="614"/>
      <c r="O78" s="614"/>
      <c r="P78" s="520"/>
      <c r="Q78" s="521"/>
      <c r="R78" s="521"/>
      <c r="S78" s="514" t="e">
        <f t="shared" si="79"/>
        <v>#N/A</v>
      </c>
      <c r="T78" s="624"/>
      <c r="U78" s="520"/>
      <c r="V78" s="521"/>
      <c r="W78" s="521"/>
      <c r="X78" s="514" t="e">
        <f t="shared" si="65"/>
        <v>#N/A</v>
      </c>
      <c r="Y78" s="624"/>
      <c r="Z78" s="520"/>
      <c r="AA78" s="521"/>
      <c r="AB78" s="521"/>
      <c r="AC78" s="514" t="e">
        <f t="shared" si="67"/>
        <v>#N/A</v>
      </c>
      <c r="AD78" s="624"/>
      <c r="AE78" s="520"/>
      <c r="AF78" s="521"/>
      <c r="AG78" s="521"/>
      <c r="AH78" s="514" t="e">
        <f t="shared" si="69"/>
        <v>#N/A</v>
      </c>
      <c r="AI78" s="624"/>
      <c r="AJ78" s="520"/>
      <c r="AK78" s="521"/>
      <c r="AL78" s="521"/>
      <c r="AM78" s="514" t="e">
        <f t="shared" si="71"/>
        <v>#N/A</v>
      </c>
      <c r="AN78" s="624"/>
      <c r="AO78" s="520"/>
      <c r="AP78" s="521"/>
      <c r="AQ78" s="521"/>
      <c r="AR78" s="514" t="e">
        <f t="shared" si="73"/>
        <v>#N/A</v>
      </c>
      <c r="AS78" s="624"/>
      <c r="AT78" s="520"/>
      <c r="AU78" s="521"/>
      <c r="AV78" s="521"/>
      <c r="AW78" s="514" t="e">
        <f t="shared" si="75"/>
        <v>#N/A</v>
      </c>
      <c r="AX78" s="624"/>
      <c r="AZ78" s="524" t="e">
        <f t="shared" si="77"/>
        <v>#N/A</v>
      </c>
      <c r="BA78" s="624"/>
    </row>
    <row r="79" spans="2:53">
      <c r="B79" s="622"/>
      <c r="C79" s="306">
        <v>13</v>
      </c>
      <c r="D79" s="456"/>
      <c r="E79" s="521"/>
      <c r="F79" s="521"/>
      <c r="G79" s="521"/>
      <c r="H79" s="664"/>
      <c r="I79" s="516" t="str">
        <f t="shared" si="62"/>
        <v>-</v>
      </c>
      <c r="J79" s="516" t="str">
        <f t="shared" si="63"/>
        <v>-</v>
      </c>
      <c r="K79" s="200" t="str">
        <f t="shared" si="64"/>
        <v>-</v>
      </c>
      <c r="L79" s="596"/>
      <c r="M79" s="201" t="e">
        <f>RANK(K79, K$67:$K$81)</f>
        <v>#VALUE!</v>
      </c>
      <c r="N79" s="614"/>
      <c r="O79" s="614"/>
      <c r="P79" s="520"/>
      <c r="Q79" s="521"/>
      <c r="R79" s="521"/>
      <c r="S79" s="514" t="e">
        <f t="shared" si="79"/>
        <v>#N/A</v>
      </c>
      <c r="T79" s="624"/>
      <c r="U79" s="520"/>
      <c r="V79" s="521"/>
      <c r="W79" s="521"/>
      <c r="X79" s="514" t="e">
        <f t="shared" si="65"/>
        <v>#N/A</v>
      </c>
      <c r="Y79" s="624"/>
      <c r="Z79" s="520"/>
      <c r="AA79" s="521"/>
      <c r="AB79" s="521"/>
      <c r="AC79" s="514" t="e">
        <f t="shared" si="67"/>
        <v>#N/A</v>
      </c>
      <c r="AD79" s="624"/>
      <c r="AE79" s="520"/>
      <c r="AF79" s="521"/>
      <c r="AG79" s="521"/>
      <c r="AH79" s="514" t="e">
        <f t="shared" si="69"/>
        <v>#N/A</v>
      </c>
      <c r="AI79" s="624"/>
      <c r="AJ79" s="520"/>
      <c r="AK79" s="521"/>
      <c r="AL79" s="521"/>
      <c r="AM79" s="514" t="e">
        <f t="shared" si="71"/>
        <v>#N/A</v>
      </c>
      <c r="AN79" s="624"/>
      <c r="AO79" s="520"/>
      <c r="AP79" s="521"/>
      <c r="AQ79" s="521"/>
      <c r="AR79" s="514" t="e">
        <f t="shared" si="73"/>
        <v>#N/A</v>
      </c>
      <c r="AS79" s="624"/>
      <c r="AT79" s="520"/>
      <c r="AU79" s="521"/>
      <c r="AV79" s="521"/>
      <c r="AW79" s="514" t="e">
        <f t="shared" si="75"/>
        <v>#N/A</v>
      </c>
      <c r="AX79" s="624"/>
      <c r="AZ79" s="524" t="e">
        <f t="shared" si="77"/>
        <v>#N/A</v>
      </c>
      <c r="BA79" s="624"/>
    </row>
    <row r="80" spans="2:53">
      <c r="B80" s="622"/>
      <c r="C80" s="306">
        <v>14</v>
      </c>
      <c r="D80" s="456"/>
      <c r="E80" s="521"/>
      <c r="F80" s="521"/>
      <c r="G80" s="521"/>
      <c r="H80" s="664"/>
      <c r="I80" s="516" t="str">
        <f t="shared" si="62"/>
        <v>-</v>
      </c>
      <c r="J80" s="516" t="str">
        <f t="shared" si="63"/>
        <v>-</v>
      </c>
      <c r="K80" s="200" t="str">
        <f t="shared" si="64"/>
        <v>-</v>
      </c>
      <c r="L80" s="596"/>
      <c r="M80" s="201" t="e">
        <f>RANK(K80, K$67:$K$81)</f>
        <v>#VALUE!</v>
      </c>
      <c r="N80" s="614"/>
      <c r="O80" s="614"/>
      <c r="P80" s="520"/>
      <c r="Q80" s="521"/>
      <c r="R80" s="521"/>
      <c r="S80" s="514" t="e">
        <f t="shared" si="79"/>
        <v>#N/A</v>
      </c>
      <c r="T80" s="624"/>
      <c r="U80" s="520"/>
      <c r="V80" s="521"/>
      <c r="W80" s="521"/>
      <c r="X80" s="514" t="e">
        <f t="shared" si="65"/>
        <v>#N/A</v>
      </c>
      <c r="Y80" s="624"/>
      <c r="Z80" s="520"/>
      <c r="AA80" s="521"/>
      <c r="AB80" s="521"/>
      <c r="AC80" s="514" t="e">
        <f t="shared" si="67"/>
        <v>#N/A</v>
      </c>
      <c r="AD80" s="624"/>
      <c r="AE80" s="520"/>
      <c r="AF80" s="521"/>
      <c r="AG80" s="521"/>
      <c r="AH80" s="514" t="e">
        <f t="shared" si="69"/>
        <v>#N/A</v>
      </c>
      <c r="AI80" s="624"/>
      <c r="AJ80" s="520"/>
      <c r="AK80" s="521"/>
      <c r="AL80" s="521"/>
      <c r="AM80" s="514" t="e">
        <f t="shared" si="71"/>
        <v>#N/A</v>
      </c>
      <c r="AN80" s="624"/>
      <c r="AO80" s="520"/>
      <c r="AP80" s="521"/>
      <c r="AQ80" s="521"/>
      <c r="AR80" s="514" t="e">
        <f t="shared" si="73"/>
        <v>#N/A</v>
      </c>
      <c r="AS80" s="624"/>
      <c r="AT80" s="520"/>
      <c r="AU80" s="521"/>
      <c r="AV80" s="521"/>
      <c r="AW80" s="514" t="e">
        <f t="shared" si="75"/>
        <v>#N/A</v>
      </c>
      <c r="AX80" s="624"/>
      <c r="AZ80" s="524" t="e">
        <f t="shared" si="77"/>
        <v>#N/A</v>
      </c>
      <c r="BA80" s="624"/>
    </row>
    <row r="81" spans="2:53">
      <c r="B81" s="622"/>
      <c r="C81" s="306">
        <v>15</v>
      </c>
      <c r="D81" s="456"/>
      <c r="E81" s="521"/>
      <c r="F81" s="521"/>
      <c r="G81" s="521"/>
      <c r="H81" s="665"/>
      <c r="I81" s="520"/>
      <c r="J81" s="520"/>
      <c r="K81" s="520"/>
      <c r="L81" s="597"/>
      <c r="M81" s="201" t="e">
        <f>RANK(K81, K$67:$K$81)</f>
        <v>#N/A</v>
      </c>
      <c r="N81" s="614"/>
      <c r="O81" s="614"/>
      <c r="P81" s="520"/>
      <c r="Q81" s="521"/>
      <c r="R81" s="521"/>
      <c r="S81" s="514" t="e">
        <f t="shared" si="79"/>
        <v>#N/A</v>
      </c>
      <c r="T81" s="625"/>
      <c r="U81" s="520"/>
      <c r="V81" s="521"/>
      <c r="W81" s="521"/>
      <c r="X81" s="514" t="e">
        <f t="shared" si="65"/>
        <v>#N/A</v>
      </c>
      <c r="Y81" s="625"/>
      <c r="Z81" s="520"/>
      <c r="AA81" s="521"/>
      <c r="AB81" s="521"/>
      <c r="AC81" s="514" t="e">
        <f t="shared" si="67"/>
        <v>#N/A</v>
      </c>
      <c r="AD81" s="625"/>
      <c r="AE81" s="520"/>
      <c r="AF81" s="521"/>
      <c r="AG81" s="521"/>
      <c r="AH81" s="514" t="e">
        <f t="shared" si="69"/>
        <v>#N/A</v>
      </c>
      <c r="AI81" s="625"/>
      <c r="AJ81" s="520"/>
      <c r="AK81" s="521"/>
      <c r="AL81" s="521"/>
      <c r="AM81" s="514" t="e">
        <f t="shared" si="71"/>
        <v>#N/A</v>
      </c>
      <c r="AN81" s="625"/>
      <c r="AO81" s="520"/>
      <c r="AP81" s="521"/>
      <c r="AQ81" s="521"/>
      <c r="AR81" s="514" t="e">
        <f t="shared" si="73"/>
        <v>#N/A</v>
      </c>
      <c r="AS81" s="625"/>
      <c r="AT81" s="520"/>
      <c r="AU81" s="521"/>
      <c r="AV81" s="521"/>
      <c r="AW81" s="514" t="e">
        <f t="shared" si="75"/>
        <v>#N/A</v>
      </c>
      <c r="AX81" s="625"/>
      <c r="AZ81" s="524" t="e">
        <f t="shared" si="77"/>
        <v>#N/A</v>
      </c>
      <c r="BA81" s="625"/>
    </row>
    <row r="82" spans="2:53" ht="15.75">
      <c r="B82" s="626" t="s">
        <v>163</v>
      </c>
      <c r="C82" s="627"/>
      <c r="D82" s="627"/>
      <c r="E82" s="627"/>
      <c r="F82" s="627"/>
      <c r="G82" s="627"/>
      <c r="H82" s="628"/>
      <c r="I82" s="208"/>
      <c r="J82" s="208"/>
      <c r="K82" s="208"/>
      <c r="L82" s="208"/>
      <c r="M82" s="207"/>
      <c r="N82" s="615" t="s">
        <v>156</v>
      </c>
      <c r="O82" s="615" t="s">
        <v>105</v>
      </c>
      <c r="P82" s="621">
        <f>P62+7</f>
        <v>46140</v>
      </c>
      <c r="Q82" s="622"/>
      <c r="R82" s="622"/>
      <c r="S82" s="622"/>
      <c r="T82" s="622"/>
      <c r="U82" s="618">
        <f>P82+1</f>
        <v>46141</v>
      </c>
      <c r="V82" s="619"/>
      <c r="W82" s="619"/>
      <c r="X82" s="619"/>
      <c r="Y82" s="620"/>
      <c r="Z82" s="618">
        <f>U82+1</f>
        <v>46142</v>
      </c>
      <c r="AA82" s="619"/>
      <c r="AB82" s="619"/>
      <c r="AC82" s="619"/>
      <c r="AD82" s="620"/>
      <c r="AE82" s="618">
        <f>Z82+1</f>
        <v>46143</v>
      </c>
      <c r="AF82" s="619"/>
      <c r="AG82" s="619"/>
      <c r="AH82" s="619"/>
      <c r="AI82" s="620"/>
      <c r="AJ82" s="618">
        <f>AE82+1</f>
        <v>46144</v>
      </c>
      <c r="AK82" s="619"/>
      <c r="AL82" s="619"/>
      <c r="AM82" s="619"/>
      <c r="AN82" s="620"/>
      <c r="AO82" s="618">
        <f>AJ82+1</f>
        <v>46145</v>
      </c>
      <c r="AP82" s="619"/>
      <c r="AQ82" s="619"/>
      <c r="AR82" s="619"/>
      <c r="AS82" s="620"/>
      <c r="AT82" s="618">
        <f>AO82+1</f>
        <v>46146</v>
      </c>
      <c r="AU82" s="619"/>
      <c r="AV82" s="619"/>
      <c r="AW82" s="619"/>
      <c r="AX82" s="620"/>
    </row>
    <row r="83" spans="2:53" ht="15.75">
      <c r="B83" s="629"/>
      <c r="C83" s="629"/>
      <c r="D83" s="629"/>
      <c r="E83" s="629"/>
      <c r="F83" s="629"/>
      <c r="G83" s="629"/>
      <c r="H83" s="629"/>
      <c r="I83" s="205"/>
      <c r="J83" s="205"/>
      <c r="K83" s="205"/>
      <c r="L83" s="205"/>
      <c r="M83" s="206"/>
      <c r="N83" s="617"/>
      <c r="O83" s="617"/>
      <c r="P83" s="621" t="s">
        <v>336</v>
      </c>
      <c r="Q83" s="622"/>
      <c r="R83" s="622"/>
      <c r="S83" s="622"/>
      <c r="T83" s="622"/>
      <c r="U83" s="621" t="s">
        <v>337</v>
      </c>
      <c r="V83" s="622"/>
      <c r="W83" s="622"/>
      <c r="X83" s="622"/>
      <c r="Y83" s="622"/>
      <c r="Z83" s="621" t="s">
        <v>338</v>
      </c>
      <c r="AA83" s="622"/>
      <c r="AB83" s="622"/>
      <c r="AC83" s="622"/>
      <c r="AD83" s="622"/>
      <c r="AE83" s="621" t="s">
        <v>339</v>
      </c>
      <c r="AF83" s="622"/>
      <c r="AG83" s="622"/>
      <c r="AH83" s="622"/>
      <c r="AI83" s="622"/>
      <c r="AJ83" s="621" t="s">
        <v>340</v>
      </c>
      <c r="AK83" s="622"/>
      <c r="AL83" s="622"/>
      <c r="AM83" s="622"/>
      <c r="AN83" s="622"/>
      <c r="AO83" s="621" t="s">
        <v>341</v>
      </c>
      <c r="AP83" s="622"/>
      <c r="AQ83" s="622"/>
      <c r="AR83" s="622"/>
      <c r="AS83" s="622"/>
      <c r="AT83" s="621" t="s">
        <v>342</v>
      </c>
      <c r="AU83" s="622"/>
      <c r="AV83" s="622"/>
      <c r="AW83" s="622"/>
      <c r="AX83" s="622"/>
    </row>
    <row r="84" spans="2:53">
      <c r="B84" s="614" t="s">
        <v>442</v>
      </c>
      <c r="C84" s="614" t="s">
        <v>443</v>
      </c>
      <c r="D84" s="614"/>
      <c r="E84" s="614" t="s">
        <v>444</v>
      </c>
      <c r="F84" s="614"/>
      <c r="G84" s="614"/>
      <c r="H84" s="630" t="s">
        <v>445</v>
      </c>
      <c r="I84" s="598" t="s">
        <v>446</v>
      </c>
      <c r="J84" s="598"/>
      <c r="K84" s="598"/>
      <c r="L84" s="599" t="s">
        <v>395</v>
      </c>
      <c r="M84" s="605" t="s">
        <v>447</v>
      </c>
      <c r="N84" s="614"/>
      <c r="O84" s="614" t="s">
        <v>448</v>
      </c>
      <c r="P84" s="611" t="s">
        <v>449</v>
      </c>
      <c r="Q84" s="612"/>
      <c r="R84" s="612"/>
      <c r="S84" s="613"/>
      <c r="T84" s="614" t="s">
        <v>445</v>
      </c>
      <c r="U84" s="611" t="s">
        <v>449</v>
      </c>
      <c r="V84" s="612"/>
      <c r="W84" s="612"/>
      <c r="X84" s="613"/>
      <c r="Y84" s="614" t="s">
        <v>445</v>
      </c>
      <c r="Z84" s="611" t="s">
        <v>449</v>
      </c>
      <c r="AA84" s="612"/>
      <c r="AB84" s="612"/>
      <c r="AC84" s="613"/>
      <c r="AD84" s="614" t="s">
        <v>445</v>
      </c>
      <c r="AE84" s="611" t="s">
        <v>449</v>
      </c>
      <c r="AF84" s="612"/>
      <c r="AG84" s="612"/>
      <c r="AH84" s="613"/>
      <c r="AI84" s="614" t="s">
        <v>445</v>
      </c>
      <c r="AJ84" s="611" t="s">
        <v>449</v>
      </c>
      <c r="AK84" s="612"/>
      <c r="AL84" s="612"/>
      <c r="AM84" s="613"/>
      <c r="AN84" s="614" t="s">
        <v>445</v>
      </c>
      <c r="AO84" s="611" t="s">
        <v>449</v>
      </c>
      <c r="AP84" s="612"/>
      <c r="AQ84" s="612"/>
      <c r="AR84" s="613"/>
      <c r="AS84" s="614" t="s">
        <v>445</v>
      </c>
      <c r="AT84" s="611" t="s">
        <v>449</v>
      </c>
      <c r="AU84" s="612"/>
      <c r="AV84" s="612"/>
      <c r="AW84" s="613"/>
      <c r="AX84" s="614" t="s">
        <v>445</v>
      </c>
      <c r="BA84" s="614" t="s">
        <v>395</v>
      </c>
    </row>
    <row r="85" spans="2:53">
      <c r="B85" s="614"/>
      <c r="C85" s="614"/>
      <c r="D85" s="614"/>
      <c r="E85" s="614" t="s">
        <v>450</v>
      </c>
      <c r="F85" s="614"/>
      <c r="G85" s="614"/>
      <c r="H85" s="631"/>
      <c r="I85" s="598" t="s">
        <v>450</v>
      </c>
      <c r="J85" s="598"/>
      <c r="K85" s="598"/>
      <c r="L85" s="600"/>
      <c r="M85" s="606"/>
      <c r="N85" s="614"/>
      <c r="O85" s="614"/>
      <c r="P85" s="611" t="s">
        <v>451</v>
      </c>
      <c r="Q85" s="612"/>
      <c r="R85" s="612"/>
      <c r="S85" s="613"/>
      <c r="T85" s="614"/>
      <c r="U85" s="611" t="s">
        <v>451</v>
      </c>
      <c r="V85" s="612"/>
      <c r="W85" s="612"/>
      <c r="X85" s="613"/>
      <c r="Y85" s="614"/>
      <c r="Z85" s="611" t="s">
        <v>451</v>
      </c>
      <c r="AA85" s="612"/>
      <c r="AB85" s="612"/>
      <c r="AC85" s="613"/>
      <c r="AD85" s="614"/>
      <c r="AE85" s="611" t="s">
        <v>451</v>
      </c>
      <c r="AF85" s="612"/>
      <c r="AG85" s="612"/>
      <c r="AH85" s="613"/>
      <c r="AI85" s="614"/>
      <c r="AJ85" s="611" t="s">
        <v>451</v>
      </c>
      <c r="AK85" s="612"/>
      <c r="AL85" s="612"/>
      <c r="AM85" s="613"/>
      <c r="AN85" s="614"/>
      <c r="AO85" s="611" t="s">
        <v>451</v>
      </c>
      <c r="AP85" s="612"/>
      <c r="AQ85" s="612"/>
      <c r="AR85" s="613"/>
      <c r="AS85" s="614"/>
      <c r="AT85" s="611" t="s">
        <v>451</v>
      </c>
      <c r="AU85" s="612"/>
      <c r="AV85" s="612"/>
      <c r="AW85" s="613"/>
      <c r="AX85" s="614"/>
      <c r="BA85" s="614"/>
    </row>
    <row r="86" spans="2:53">
      <c r="B86" s="614"/>
      <c r="C86" s="614"/>
      <c r="D86" s="614"/>
      <c r="E86" s="302" t="s">
        <v>452</v>
      </c>
      <c r="F86" s="302" t="s">
        <v>453</v>
      </c>
      <c r="G86" s="302" t="s">
        <v>454</v>
      </c>
      <c r="H86" s="632"/>
      <c r="I86" s="303" t="s">
        <v>452</v>
      </c>
      <c r="J86" s="303" t="s">
        <v>453</v>
      </c>
      <c r="K86" s="303" t="s">
        <v>454</v>
      </c>
      <c r="L86" s="601"/>
      <c r="M86" s="607"/>
      <c r="N86" s="614"/>
      <c r="O86" s="614"/>
      <c r="P86" s="302" t="s">
        <v>452</v>
      </c>
      <c r="Q86" s="302" t="s">
        <v>453</v>
      </c>
      <c r="R86" s="302" t="s">
        <v>454</v>
      </c>
      <c r="S86" s="302" t="s">
        <v>447</v>
      </c>
      <c r="T86" s="614"/>
      <c r="U86" s="302" t="s">
        <v>452</v>
      </c>
      <c r="V86" s="302" t="s">
        <v>453</v>
      </c>
      <c r="W86" s="302" t="s">
        <v>454</v>
      </c>
      <c r="X86" s="302" t="s">
        <v>447</v>
      </c>
      <c r="Y86" s="614"/>
      <c r="Z86" s="302" t="s">
        <v>452</v>
      </c>
      <c r="AA86" s="302" t="s">
        <v>453</v>
      </c>
      <c r="AB86" s="302" t="s">
        <v>454</v>
      </c>
      <c r="AC86" s="302" t="s">
        <v>447</v>
      </c>
      <c r="AD86" s="614"/>
      <c r="AE86" s="302" t="s">
        <v>452</v>
      </c>
      <c r="AF86" s="302" t="s">
        <v>453</v>
      </c>
      <c r="AG86" s="302" t="s">
        <v>454</v>
      </c>
      <c r="AH86" s="302" t="s">
        <v>447</v>
      </c>
      <c r="AI86" s="614"/>
      <c r="AJ86" s="302" t="s">
        <v>452</v>
      </c>
      <c r="AK86" s="302" t="s">
        <v>453</v>
      </c>
      <c r="AL86" s="302" t="s">
        <v>454</v>
      </c>
      <c r="AM86" s="302" t="s">
        <v>447</v>
      </c>
      <c r="AN86" s="614"/>
      <c r="AO86" s="302" t="s">
        <v>452</v>
      </c>
      <c r="AP86" s="302" t="s">
        <v>453</v>
      </c>
      <c r="AQ86" s="302" t="s">
        <v>454</v>
      </c>
      <c r="AR86" s="302" t="s">
        <v>447</v>
      </c>
      <c r="AS86" s="614"/>
      <c r="AT86" s="302" t="s">
        <v>452</v>
      </c>
      <c r="AU86" s="302" t="s">
        <v>453</v>
      </c>
      <c r="AV86" s="302" t="s">
        <v>454</v>
      </c>
      <c r="AW86" s="302" t="s">
        <v>447</v>
      </c>
      <c r="AX86" s="614"/>
      <c r="AZ86" s="523" t="s">
        <v>396</v>
      </c>
      <c r="BA86" s="614"/>
    </row>
    <row r="87" spans="2:53">
      <c r="B87" s="614" t="s">
        <v>456</v>
      </c>
      <c r="C87" s="301">
        <v>1</v>
      </c>
      <c r="D87" s="226"/>
      <c r="E87" s="182"/>
      <c r="F87" s="490"/>
      <c r="G87" s="491"/>
      <c r="H87" s="663" t="e">
        <f>AVERAGE(G87:G101)</f>
        <v>#DIV/0!</v>
      </c>
      <c r="I87" s="516" t="str">
        <f t="shared" ref="I87:I100" si="80">IFERROR(AVERAGE(P87,U87,Z87,AE87,AJ87,AO87,AT87),"-")</f>
        <v>-</v>
      </c>
      <c r="J87" s="516" t="str">
        <f t="shared" ref="J87:J100" si="81">IFERROR(AVERAGE(Q87,V87,AA87,AF87,AK87,AP87,AU87),"-")</f>
        <v>-</v>
      </c>
      <c r="K87" s="200" t="str">
        <f t="shared" ref="K87:K100" si="82">IFERROR(AVERAGE(R87,W87,AB87,AG87,AL87,AQ87,AV87),"-")</f>
        <v>-</v>
      </c>
      <c r="L87" s="595" t="str">
        <f>IFERROR(AVERAGE(K87:K101),"-")</f>
        <v>-</v>
      </c>
      <c r="M87" s="201" t="e">
        <f>RANK(K87, K$87:$K$101)</f>
        <v>#VALUE!</v>
      </c>
      <c r="N87" s="614"/>
      <c r="O87" s="614"/>
      <c r="P87" s="509"/>
      <c r="Q87" s="510"/>
      <c r="R87" s="510"/>
      <c r="S87" s="301" t="e">
        <f>RANK(R87, R$87:R$101)</f>
        <v>#N/A</v>
      </c>
      <c r="T87" s="623" t="e">
        <f>AVERAGE(R87:R101)</f>
        <v>#DIV/0!</v>
      </c>
      <c r="U87" s="509"/>
      <c r="V87" s="510"/>
      <c r="W87" s="510"/>
      <c r="X87" s="442" t="e">
        <f t="shared" ref="X87:X101" si="83">RANK(W87, W$87:W$101)</f>
        <v>#N/A</v>
      </c>
      <c r="Y87" s="623" t="e">
        <f t="shared" ref="Y87" si="84">AVERAGE(W87:W101)</f>
        <v>#DIV/0!</v>
      </c>
      <c r="Z87" s="509"/>
      <c r="AA87" s="510"/>
      <c r="AB87" s="510"/>
      <c r="AC87" s="442" t="e">
        <f t="shared" ref="AC87:AC101" si="85">RANK(AB87, AB$87:AB$101)</f>
        <v>#N/A</v>
      </c>
      <c r="AD87" s="623" t="e">
        <f t="shared" ref="AD87" si="86">AVERAGE(AB87:AB101)</f>
        <v>#DIV/0!</v>
      </c>
      <c r="AE87" s="509"/>
      <c r="AF87" s="510"/>
      <c r="AG87" s="510"/>
      <c r="AH87" s="442" t="e">
        <f t="shared" ref="AH87:AH101" si="87">RANK(AG87, AG$87:AG$101)</f>
        <v>#N/A</v>
      </c>
      <c r="AI87" s="623" t="e">
        <f t="shared" ref="AI87" si="88">AVERAGE(AG87:AG101)</f>
        <v>#DIV/0!</v>
      </c>
      <c r="AJ87" s="509"/>
      <c r="AK87" s="510"/>
      <c r="AL87" s="510"/>
      <c r="AM87" s="442" t="e">
        <f t="shared" ref="AM87:AM101" si="89">RANK(AL87, AL$87:AL$101)</f>
        <v>#N/A</v>
      </c>
      <c r="AN87" s="623" t="e">
        <f t="shared" ref="AN87" si="90">AVERAGE(AL87:AL101)</f>
        <v>#DIV/0!</v>
      </c>
      <c r="AO87" s="509"/>
      <c r="AP87" s="510"/>
      <c r="AQ87" s="510"/>
      <c r="AR87" s="442" t="e">
        <f t="shared" ref="AR87:AR101" si="91">RANK(AQ87, AQ$87:AQ$101)</f>
        <v>#N/A</v>
      </c>
      <c r="AS87" s="623" t="e">
        <f t="shared" ref="AS87" si="92">AVERAGE(AQ87:AQ101)</f>
        <v>#DIV/0!</v>
      </c>
      <c r="AT87" s="509"/>
      <c r="AU87" s="510"/>
      <c r="AV87" s="510"/>
      <c r="AW87" s="442" t="e">
        <f t="shared" ref="AW87:AW101" si="93">RANK(AV87, AV$87:AV$101)</f>
        <v>#N/A</v>
      </c>
      <c r="AX87" s="636" t="e">
        <f t="shared" ref="AX87" si="94">AVERAGE(AV87:AV101)</f>
        <v>#DIV/0!</v>
      </c>
      <c r="AZ87" s="524" t="e">
        <f t="shared" ref="AZ87:AZ101" si="95">RANK(AY87, AY$87:AY$101)</f>
        <v>#N/A</v>
      </c>
      <c r="BA87" s="636" t="e">
        <f t="shared" ref="BA87" si="96">AVERAGE(AY87:AY101)</f>
        <v>#DIV/0!</v>
      </c>
    </row>
    <row r="88" spans="2:53">
      <c r="B88" s="622"/>
      <c r="C88" s="301">
        <v>2</v>
      </c>
      <c r="D88" s="226"/>
      <c r="E88" s="182"/>
      <c r="F88" s="490"/>
      <c r="G88" s="491"/>
      <c r="H88" s="664"/>
      <c r="I88" s="516" t="str">
        <f t="shared" si="80"/>
        <v>-</v>
      </c>
      <c r="J88" s="516" t="str">
        <f t="shared" si="81"/>
        <v>-</v>
      </c>
      <c r="K88" s="200" t="str">
        <f t="shared" si="82"/>
        <v>-</v>
      </c>
      <c r="L88" s="596"/>
      <c r="M88" s="201" t="e">
        <f>RANK(K88, K$87:$K$101)</f>
        <v>#VALUE!</v>
      </c>
      <c r="N88" s="614"/>
      <c r="O88" s="614"/>
      <c r="P88" s="509"/>
      <c r="Q88" s="510"/>
      <c r="R88" s="510"/>
      <c r="S88" s="301" t="e">
        <f t="shared" ref="S88:S101" si="97">RANK(R88, R$87:R$101)</f>
        <v>#N/A</v>
      </c>
      <c r="T88" s="624"/>
      <c r="U88" s="509"/>
      <c r="V88" s="510"/>
      <c r="W88" s="510"/>
      <c r="X88" s="442" t="e">
        <f t="shared" si="83"/>
        <v>#N/A</v>
      </c>
      <c r="Y88" s="624"/>
      <c r="Z88" s="509"/>
      <c r="AA88" s="510"/>
      <c r="AB88" s="510"/>
      <c r="AC88" s="442" t="e">
        <f t="shared" si="85"/>
        <v>#N/A</v>
      </c>
      <c r="AD88" s="624"/>
      <c r="AE88" s="509"/>
      <c r="AF88" s="510"/>
      <c r="AG88" s="510"/>
      <c r="AH88" s="442" t="e">
        <f t="shared" si="87"/>
        <v>#N/A</v>
      </c>
      <c r="AI88" s="624"/>
      <c r="AJ88" s="509"/>
      <c r="AK88" s="510"/>
      <c r="AL88" s="510"/>
      <c r="AM88" s="442" t="e">
        <f t="shared" si="89"/>
        <v>#N/A</v>
      </c>
      <c r="AN88" s="624"/>
      <c r="AO88" s="509"/>
      <c r="AP88" s="510"/>
      <c r="AQ88" s="510"/>
      <c r="AR88" s="442" t="e">
        <f t="shared" si="91"/>
        <v>#N/A</v>
      </c>
      <c r="AS88" s="624"/>
      <c r="AT88" s="509"/>
      <c r="AU88" s="510"/>
      <c r="AV88" s="510"/>
      <c r="AW88" s="442" t="e">
        <f t="shared" si="93"/>
        <v>#N/A</v>
      </c>
      <c r="AX88" s="636"/>
      <c r="AZ88" s="524" t="e">
        <f t="shared" si="95"/>
        <v>#N/A</v>
      </c>
      <c r="BA88" s="636"/>
    </row>
    <row r="89" spans="2:53">
      <c r="B89" s="622"/>
      <c r="C89" s="301">
        <v>3</v>
      </c>
      <c r="D89" s="226"/>
      <c r="E89" s="182"/>
      <c r="F89" s="490"/>
      <c r="G89" s="491"/>
      <c r="H89" s="664"/>
      <c r="I89" s="516" t="str">
        <f t="shared" si="80"/>
        <v>-</v>
      </c>
      <c r="J89" s="516" t="str">
        <f t="shared" si="81"/>
        <v>-</v>
      </c>
      <c r="K89" s="200" t="str">
        <f t="shared" si="82"/>
        <v>-</v>
      </c>
      <c r="L89" s="596"/>
      <c r="M89" s="201" t="e">
        <f>RANK(K89, K$87:$K$101)</f>
        <v>#VALUE!</v>
      </c>
      <c r="N89" s="614"/>
      <c r="O89" s="614"/>
      <c r="P89" s="509"/>
      <c r="Q89" s="510"/>
      <c r="R89" s="510"/>
      <c r="S89" s="301" t="e">
        <f t="shared" si="97"/>
        <v>#N/A</v>
      </c>
      <c r="T89" s="624"/>
      <c r="U89" s="509"/>
      <c r="V89" s="510"/>
      <c r="W89" s="510"/>
      <c r="X89" s="442" t="e">
        <f t="shared" si="83"/>
        <v>#N/A</v>
      </c>
      <c r="Y89" s="624"/>
      <c r="Z89" s="509"/>
      <c r="AA89" s="510"/>
      <c r="AB89" s="510"/>
      <c r="AC89" s="442" t="e">
        <f t="shared" si="85"/>
        <v>#N/A</v>
      </c>
      <c r="AD89" s="624"/>
      <c r="AE89" s="509"/>
      <c r="AF89" s="510"/>
      <c r="AG89" s="510"/>
      <c r="AH89" s="442" t="e">
        <f t="shared" si="87"/>
        <v>#N/A</v>
      </c>
      <c r="AI89" s="624"/>
      <c r="AJ89" s="509"/>
      <c r="AK89" s="510"/>
      <c r="AL89" s="510"/>
      <c r="AM89" s="442" t="e">
        <f t="shared" si="89"/>
        <v>#N/A</v>
      </c>
      <c r="AN89" s="624"/>
      <c r="AO89" s="509"/>
      <c r="AP89" s="510"/>
      <c r="AQ89" s="510"/>
      <c r="AR89" s="442" t="e">
        <f t="shared" si="91"/>
        <v>#N/A</v>
      </c>
      <c r="AS89" s="624"/>
      <c r="AT89" s="509"/>
      <c r="AU89" s="510"/>
      <c r="AV89" s="510"/>
      <c r="AW89" s="442" t="e">
        <f t="shared" si="93"/>
        <v>#N/A</v>
      </c>
      <c r="AX89" s="636"/>
      <c r="AZ89" s="524" t="e">
        <f t="shared" si="95"/>
        <v>#N/A</v>
      </c>
      <c r="BA89" s="636"/>
    </row>
    <row r="90" spans="2:53">
      <c r="B90" s="622"/>
      <c r="C90" s="301">
        <v>4</v>
      </c>
      <c r="D90" s="226"/>
      <c r="E90" s="182"/>
      <c r="F90" s="490"/>
      <c r="G90" s="491"/>
      <c r="H90" s="664"/>
      <c r="I90" s="516" t="str">
        <f t="shared" si="80"/>
        <v>-</v>
      </c>
      <c r="J90" s="516" t="str">
        <f t="shared" si="81"/>
        <v>-</v>
      </c>
      <c r="K90" s="200" t="str">
        <f t="shared" si="82"/>
        <v>-</v>
      </c>
      <c r="L90" s="596"/>
      <c r="M90" s="201" t="e">
        <f>RANK(K90, K$87:$K$101)</f>
        <v>#VALUE!</v>
      </c>
      <c r="N90" s="614"/>
      <c r="O90" s="614"/>
      <c r="P90" s="509"/>
      <c r="Q90" s="510"/>
      <c r="R90" s="510"/>
      <c r="S90" s="301" t="e">
        <f t="shared" si="97"/>
        <v>#N/A</v>
      </c>
      <c r="T90" s="624"/>
      <c r="U90" s="509"/>
      <c r="V90" s="510"/>
      <c r="W90" s="510"/>
      <c r="X90" s="442" t="e">
        <f t="shared" si="83"/>
        <v>#N/A</v>
      </c>
      <c r="Y90" s="624"/>
      <c r="Z90" s="509"/>
      <c r="AA90" s="510"/>
      <c r="AB90" s="510"/>
      <c r="AC90" s="442" t="e">
        <f t="shared" si="85"/>
        <v>#N/A</v>
      </c>
      <c r="AD90" s="624"/>
      <c r="AE90" s="509"/>
      <c r="AF90" s="510"/>
      <c r="AG90" s="510"/>
      <c r="AH90" s="442" t="e">
        <f t="shared" si="87"/>
        <v>#N/A</v>
      </c>
      <c r="AI90" s="624"/>
      <c r="AJ90" s="509"/>
      <c r="AK90" s="510"/>
      <c r="AL90" s="510"/>
      <c r="AM90" s="442" t="e">
        <f t="shared" si="89"/>
        <v>#N/A</v>
      </c>
      <c r="AN90" s="624"/>
      <c r="AO90" s="509"/>
      <c r="AP90" s="510"/>
      <c r="AQ90" s="510"/>
      <c r="AR90" s="442" t="e">
        <f t="shared" si="91"/>
        <v>#N/A</v>
      </c>
      <c r="AS90" s="624"/>
      <c r="AT90" s="509"/>
      <c r="AU90" s="510"/>
      <c r="AV90" s="510"/>
      <c r="AW90" s="442" t="e">
        <f t="shared" si="93"/>
        <v>#N/A</v>
      </c>
      <c r="AX90" s="636"/>
      <c r="AZ90" s="524" t="e">
        <f t="shared" si="95"/>
        <v>#N/A</v>
      </c>
      <c r="BA90" s="636"/>
    </row>
    <row r="91" spans="2:53">
      <c r="B91" s="622"/>
      <c r="C91" s="301">
        <v>5</v>
      </c>
      <c r="D91" s="226"/>
      <c r="E91" s="182"/>
      <c r="F91" s="490"/>
      <c r="G91" s="491"/>
      <c r="H91" s="664"/>
      <c r="I91" s="516" t="str">
        <f t="shared" si="80"/>
        <v>-</v>
      </c>
      <c r="J91" s="516" t="str">
        <f t="shared" si="81"/>
        <v>-</v>
      </c>
      <c r="K91" s="200" t="str">
        <f t="shared" si="82"/>
        <v>-</v>
      </c>
      <c r="L91" s="596"/>
      <c r="M91" s="201" t="e">
        <f>RANK(K91, K$87:$K$101)</f>
        <v>#VALUE!</v>
      </c>
      <c r="N91" s="614"/>
      <c r="O91" s="614"/>
      <c r="P91" s="509"/>
      <c r="Q91" s="510"/>
      <c r="R91" s="510"/>
      <c r="S91" s="301" t="e">
        <f t="shared" si="97"/>
        <v>#N/A</v>
      </c>
      <c r="T91" s="624"/>
      <c r="U91" s="509"/>
      <c r="V91" s="510"/>
      <c r="W91" s="510"/>
      <c r="X91" s="442" t="e">
        <f t="shared" si="83"/>
        <v>#N/A</v>
      </c>
      <c r="Y91" s="624"/>
      <c r="Z91" s="509"/>
      <c r="AA91" s="510"/>
      <c r="AB91" s="510"/>
      <c r="AC91" s="442" t="e">
        <f t="shared" si="85"/>
        <v>#N/A</v>
      </c>
      <c r="AD91" s="624"/>
      <c r="AE91" s="509"/>
      <c r="AF91" s="510"/>
      <c r="AG91" s="510"/>
      <c r="AH91" s="442" t="e">
        <f t="shared" si="87"/>
        <v>#N/A</v>
      </c>
      <c r="AI91" s="624"/>
      <c r="AJ91" s="509"/>
      <c r="AK91" s="510"/>
      <c r="AL91" s="510"/>
      <c r="AM91" s="442" t="e">
        <f t="shared" si="89"/>
        <v>#N/A</v>
      </c>
      <c r="AN91" s="624"/>
      <c r="AO91" s="509"/>
      <c r="AP91" s="510"/>
      <c r="AQ91" s="510"/>
      <c r="AR91" s="442" t="e">
        <f t="shared" si="91"/>
        <v>#N/A</v>
      </c>
      <c r="AS91" s="624"/>
      <c r="AT91" s="509"/>
      <c r="AU91" s="510"/>
      <c r="AV91" s="510"/>
      <c r="AW91" s="442" t="e">
        <f t="shared" si="93"/>
        <v>#N/A</v>
      </c>
      <c r="AX91" s="636"/>
      <c r="AZ91" s="524" t="e">
        <f t="shared" si="95"/>
        <v>#N/A</v>
      </c>
      <c r="BA91" s="636"/>
    </row>
    <row r="92" spans="2:53">
      <c r="B92" s="622"/>
      <c r="C92" s="301">
        <v>6</v>
      </c>
      <c r="D92" s="226"/>
      <c r="E92" s="182"/>
      <c r="F92" s="490"/>
      <c r="G92" s="491"/>
      <c r="H92" s="664"/>
      <c r="I92" s="516" t="str">
        <f t="shared" si="80"/>
        <v>-</v>
      </c>
      <c r="J92" s="516" t="str">
        <f t="shared" si="81"/>
        <v>-</v>
      </c>
      <c r="K92" s="200" t="str">
        <f t="shared" si="82"/>
        <v>-</v>
      </c>
      <c r="L92" s="596"/>
      <c r="M92" s="201" t="e">
        <f>RANK(K92, K$87:$K$101)</f>
        <v>#VALUE!</v>
      </c>
      <c r="N92" s="614"/>
      <c r="O92" s="614"/>
      <c r="P92" s="509"/>
      <c r="Q92" s="510"/>
      <c r="R92" s="510"/>
      <c r="S92" s="301" t="e">
        <f t="shared" si="97"/>
        <v>#N/A</v>
      </c>
      <c r="T92" s="624"/>
      <c r="U92" s="509"/>
      <c r="V92" s="510"/>
      <c r="W92" s="510"/>
      <c r="X92" s="442" t="e">
        <f t="shared" si="83"/>
        <v>#N/A</v>
      </c>
      <c r="Y92" s="624"/>
      <c r="Z92" s="509"/>
      <c r="AA92" s="510"/>
      <c r="AB92" s="510"/>
      <c r="AC92" s="442" t="e">
        <f t="shared" si="85"/>
        <v>#N/A</v>
      </c>
      <c r="AD92" s="624"/>
      <c r="AE92" s="509"/>
      <c r="AF92" s="510"/>
      <c r="AG92" s="510"/>
      <c r="AH92" s="442" t="e">
        <f t="shared" si="87"/>
        <v>#N/A</v>
      </c>
      <c r="AI92" s="624"/>
      <c r="AJ92" s="509"/>
      <c r="AK92" s="510"/>
      <c r="AL92" s="510"/>
      <c r="AM92" s="442" t="e">
        <f t="shared" si="89"/>
        <v>#N/A</v>
      </c>
      <c r="AN92" s="624"/>
      <c r="AO92" s="509"/>
      <c r="AP92" s="510"/>
      <c r="AQ92" s="510"/>
      <c r="AR92" s="442" t="e">
        <f t="shared" si="91"/>
        <v>#N/A</v>
      </c>
      <c r="AS92" s="624"/>
      <c r="AT92" s="509"/>
      <c r="AU92" s="510"/>
      <c r="AV92" s="510"/>
      <c r="AW92" s="442" t="e">
        <f t="shared" si="93"/>
        <v>#N/A</v>
      </c>
      <c r="AX92" s="636"/>
      <c r="AZ92" s="524" t="e">
        <f t="shared" si="95"/>
        <v>#N/A</v>
      </c>
      <c r="BA92" s="636"/>
    </row>
    <row r="93" spans="2:53">
      <c r="B93" s="622"/>
      <c r="C93" s="301">
        <v>7</v>
      </c>
      <c r="D93" s="226"/>
      <c r="E93" s="182"/>
      <c r="F93" s="490"/>
      <c r="G93" s="491"/>
      <c r="H93" s="664"/>
      <c r="I93" s="516" t="str">
        <f t="shared" si="80"/>
        <v>-</v>
      </c>
      <c r="J93" s="516" t="str">
        <f t="shared" si="81"/>
        <v>-</v>
      </c>
      <c r="K93" s="200" t="str">
        <f t="shared" si="82"/>
        <v>-</v>
      </c>
      <c r="L93" s="596"/>
      <c r="M93" s="201" t="e">
        <f>RANK(K93, K$87:$K$101)</f>
        <v>#VALUE!</v>
      </c>
      <c r="N93" s="614"/>
      <c r="O93" s="614"/>
      <c r="P93" s="509"/>
      <c r="Q93" s="510"/>
      <c r="R93" s="510"/>
      <c r="S93" s="301" t="e">
        <f t="shared" si="97"/>
        <v>#N/A</v>
      </c>
      <c r="T93" s="624"/>
      <c r="U93" s="509"/>
      <c r="V93" s="510"/>
      <c r="W93" s="510"/>
      <c r="X93" s="442" t="e">
        <f t="shared" si="83"/>
        <v>#N/A</v>
      </c>
      <c r="Y93" s="624"/>
      <c r="Z93" s="509"/>
      <c r="AA93" s="510"/>
      <c r="AB93" s="510"/>
      <c r="AC93" s="442" t="e">
        <f t="shared" si="85"/>
        <v>#N/A</v>
      </c>
      <c r="AD93" s="624"/>
      <c r="AE93" s="509"/>
      <c r="AF93" s="510"/>
      <c r="AG93" s="510"/>
      <c r="AH93" s="442" t="e">
        <f t="shared" si="87"/>
        <v>#N/A</v>
      </c>
      <c r="AI93" s="624"/>
      <c r="AJ93" s="509"/>
      <c r="AK93" s="510"/>
      <c r="AL93" s="510"/>
      <c r="AM93" s="442" t="e">
        <f t="shared" si="89"/>
        <v>#N/A</v>
      </c>
      <c r="AN93" s="624"/>
      <c r="AO93" s="509"/>
      <c r="AP93" s="510"/>
      <c r="AQ93" s="510"/>
      <c r="AR93" s="442" t="e">
        <f t="shared" si="91"/>
        <v>#N/A</v>
      </c>
      <c r="AS93" s="624"/>
      <c r="AT93" s="509"/>
      <c r="AU93" s="510"/>
      <c r="AV93" s="510"/>
      <c r="AW93" s="442" t="e">
        <f t="shared" si="93"/>
        <v>#N/A</v>
      </c>
      <c r="AX93" s="636"/>
      <c r="AZ93" s="524" t="e">
        <f t="shared" si="95"/>
        <v>#N/A</v>
      </c>
      <c r="BA93" s="636"/>
    </row>
    <row r="94" spans="2:53">
      <c r="B94" s="622"/>
      <c r="C94" s="301">
        <v>8</v>
      </c>
      <c r="D94" s="226"/>
      <c r="E94" s="182"/>
      <c r="F94" s="490"/>
      <c r="G94" s="491"/>
      <c r="H94" s="664"/>
      <c r="I94" s="516" t="str">
        <f t="shared" si="80"/>
        <v>-</v>
      </c>
      <c r="J94" s="516" t="str">
        <f t="shared" si="81"/>
        <v>-</v>
      </c>
      <c r="K94" s="200" t="str">
        <f t="shared" si="82"/>
        <v>-</v>
      </c>
      <c r="L94" s="596"/>
      <c r="M94" s="201" t="e">
        <f>RANK(K94, K$87:$K$101)</f>
        <v>#VALUE!</v>
      </c>
      <c r="N94" s="614"/>
      <c r="O94" s="614"/>
      <c r="P94" s="509"/>
      <c r="Q94" s="510"/>
      <c r="R94" s="510"/>
      <c r="S94" s="301" t="e">
        <f t="shared" si="97"/>
        <v>#N/A</v>
      </c>
      <c r="T94" s="624"/>
      <c r="U94" s="509"/>
      <c r="V94" s="510"/>
      <c r="W94" s="510"/>
      <c r="X94" s="442" t="e">
        <f t="shared" si="83"/>
        <v>#N/A</v>
      </c>
      <c r="Y94" s="624"/>
      <c r="Z94" s="509"/>
      <c r="AA94" s="510"/>
      <c r="AB94" s="510"/>
      <c r="AC94" s="442" t="e">
        <f t="shared" si="85"/>
        <v>#N/A</v>
      </c>
      <c r="AD94" s="624"/>
      <c r="AE94" s="509"/>
      <c r="AF94" s="510"/>
      <c r="AG94" s="510"/>
      <c r="AH94" s="442" t="e">
        <f t="shared" si="87"/>
        <v>#N/A</v>
      </c>
      <c r="AI94" s="624"/>
      <c r="AJ94" s="509"/>
      <c r="AK94" s="510"/>
      <c r="AL94" s="510"/>
      <c r="AM94" s="442" t="e">
        <f t="shared" si="89"/>
        <v>#N/A</v>
      </c>
      <c r="AN94" s="624"/>
      <c r="AO94" s="509"/>
      <c r="AP94" s="510"/>
      <c r="AQ94" s="510"/>
      <c r="AR94" s="442" t="e">
        <f t="shared" si="91"/>
        <v>#N/A</v>
      </c>
      <c r="AS94" s="624"/>
      <c r="AT94" s="509"/>
      <c r="AU94" s="510"/>
      <c r="AV94" s="510"/>
      <c r="AW94" s="442" t="e">
        <f t="shared" si="93"/>
        <v>#N/A</v>
      </c>
      <c r="AX94" s="636"/>
      <c r="AZ94" s="524" t="e">
        <f t="shared" si="95"/>
        <v>#N/A</v>
      </c>
      <c r="BA94" s="636"/>
    </row>
    <row r="95" spans="2:53">
      <c r="B95" s="622"/>
      <c r="C95" s="301">
        <v>9</v>
      </c>
      <c r="D95" s="226"/>
      <c r="E95" s="182"/>
      <c r="F95" s="490"/>
      <c r="G95" s="491"/>
      <c r="H95" s="664"/>
      <c r="I95" s="516" t="str">
        <f t="shared" si="80"/>
        <v>-</v>
      </c>
      <c r="J95" s="516" t="str">
        <f t="shared" si="81"/>
        <v>-</v>
      </c>
      <c r="K95" s="200" t="str">
        <f t="shared" si="82"/>
        <v>-</v>
      </c>
      <c r="L95" s="596"/>
      <c r="M95" s="201" t="e">
        <f>RANK(K95, K$87:$K$101)</f>
        <v>#VALUE!</v>
      </c>
      <c r="N95" s="614"/>
      <c r="O95" s="614"/>
      <c r="P95" s="509"/>
      <c r="Q95" s="510"/>
      <c r="R95" s="510"/>
      <c r="S95" s="301" t="e">
        <f t="shared" si="97"/>
        <v>#N/A</v>
      </c>
      <c r="T95" s="624"/>
      <c r="U95" s="509"/>
      <c r="V95" s="510"/>
      <c r="W95" s="510"/>
      <c r="X95" s="442" t="e">
        <f t="shared" si="83"/>
        <v>#N/A</v>
      </c>
      <c r="Y95" s="624"/>
      <c r="Z95" s="509"/>
      <c r="AA95" s="510"/>
      <c r="AB95" s="510"/>
      <c r="AC95" s="442" t="e">
        <f t="shared" si="85"/>
        <v>#N/A</v>
      </c>
      <c r="AD95" s="624"/>
      <c r="AE95" s="509"/>
      <c r="AF95" s="510"/>
      <c r="AG95" s="510"/>
      <c r="AH95" s="442" t="e">
        <f t="shared" si="87"/>
        <v>#N/A</v>
      </c>
      <c r="AI95" s="624"/>
      <c r="AJ95" s="509"/>
      <c r="AK95" s="510"/>
      <c r="AL95" s="510"/>
      <c r="AM95" s="442" t="e">
        <f t="shared" si="89"/>
        <v>#N/A</v>
      </c>
      <c r="AN95" s="624"/>
      <c r="AO95" s="509"/>
      <c r="AP95" s="510"/>
      <c r="AQ95" s="510"/>
      <c r="AR95" s="442" t="e">
        <f t="shared" si="91"/>
        <v>#N/A</v>
      </c>
      <c r="AS95" s="624"/>
      <c r="AT95" s="509"/>
      <c r="AU95" s="510"/>
      <c r="AV95" s="510"/>
      <c r="AW95" s="442" t="e">
        <f t="shared" si="93"/>
        <v>#N/A</v>
      </c>
      <c r="AX95" s="636"/>
      <c r="AZ95" s="524" t="e">
        <f t="shared" si="95"/>
        <v>#N/A</v>
      </c>
      <c r="BA95" s="636"/>
    </row>
    <row r="96" spans="2:53">
      <c r="B96" s="622"/>
      <c r="C96" s="301">
        <v>10</v>
      </c>
      <c r="D96" s="226"/>
      <c r="E96" s="182"/>
      <c r="F96" s="490"/>
      <c r="G96" s="491"/>
      <c r="H96" s="664"/>
      <c r="I96" s="516" t="str">
        <f t="shared" si="80"/>
        <v>-</v>
      </c>
      <c r="J96" s="516" t="str">
        <f t="shared" si="81"/>
        <v>-</v>
      </c>
      <c r="K96" s="200" t="str">
        <f t="shared" si="82"/>
        <v>-</v>
      </c>
      <c r="L96" s="596"/>
      <c r="M96" s="201" t="e">
        <f>RANK(K96, K$87:$K$101)</f>
        <v>#VALUE!</v>
      </c>
      <c r="N96" s="614"/>
      <c r="O96" s="614"/>
      <c r="P96" s="509"/>
      <c r="Q96" s="510"/>
      <c r="R96" s="510"/>
      <c r="S96" s="301" t="e">
        <f t="shared" si="97"/>
        <v>#N/A</v>
      </c>
      <c r="T96" s="624"/>
      <c r="U96" s="509"/>
      <c r="V96" s="510"/>
      <c r="W96" s="510"/>
      <c r="X96" s="442" t="e">
        <f t="shared" si="83"/>
        <v>#N/A</v>
      </c>
      <c r="Y96" s="624"/>
      <c r="Z96" s="509"/>
      <c r="AA96" s="510"/>
      <c r="AB96" s="510"/>
      <c r="AC96" s="442" t="e">
        <f t="shared" si="85"/>
        <v>#N/A</v>
      </c>
      <c r="AD96" s="624"/>
      <c r="AE96" s="509"/>
      <c r="AF96" s="510"/>
      <c r="AG96" s="510"/>
      <c r="AH96" s="442" t="e">
        <f t="shared" si="87"/>
        <v>#N/A</v>
      </c>
      <c r="AI96" s="624"/>
      <c r="AJ96" s="509"/>
      <c r="AK96" s="510"/>
      <c r="AL96" s="510"/>
      <c r="AM96" s="442" t="e">
        <f t="shared" si="89"/>
        <v>#N/A</v>
      </c>
      <c r="AN96" s="624"/>
      <c r="AO96" s="509"/>
      <c r="AP96" s="510"/>
      <c r="AQ96" s="510"/>
      <c r="AR96" s="442" t="e">
        <f t="shared" si="91"/>
        <v>#N/A</v>
      </c>
      <c r="AS96" s="624"/>
      <c r="AT96" s="509"/>
      <c r="AU96" s="510"/>
      <c r="AV96" s="510"/>
      <c r="AW96" s="442" t="e">
        <f t="shared" si="93"/>
        <v>#N/A</v>
      </c>
      <c r="AX96" s="636"/>
      <c r="AZ96" s="524" t="e">
        <f t="shared" si="95"/>
        <v>#N/A</v>
      </c>
      <c r="BA96" s="636"/>
    </row>
    <row r="97" spans="2:53">
      <c r="B97" s="622"/>
      <c r="C97" s="301">
        <v>11</v>
      </c>
      <c r="D97" s="226"/>
      <c r="E97" s="182"/>
      <c r="F97" s="490"/>
      <c r="G97" s="491"/>
      <c r="H97" s="664"/>
      <c r="I97" s="516" t="str">
        <f t="shared" si="80"/>
        <v>-</v>
      </c>
      <c r="J97" s="516" t="str">
        <f t="shared" si="81"/>
        <v>-</v>
      </c>
      <c r="K97" s="200" t="str">
        <f t="shared" si="82"/>
        <v>-</v>
      </c>
      <c r="L97" s="596"/>
      <c r="M97" s="201" t="e">
        <f>RANK(K97, K$87:$K$101)</f>
        <v>#VALUE!</v>
      </c>
      <c r="N97" s="614"/>
      <c r="O97" s="614"/>
      <c r="P97" s="509"/>
      <c r="Q97" s="510"/>
      <c r="R97" s="510"/>
      <c r="S97" s="301" t="e">
        <f t="shared" si="97"/>
        <v>#N/A</v>
      </c>
      <c r="T97" s="624"/>
      <c r="U97" s="509"/>
      <c r="V97" s="510"/>
      <c r="W97" s="510"/>
      <c r="X97" s="442" t="e">
        <f t="shared" si="83"/>
        <v>#N/A</v>
      </c>
      <c r="Y97" s="624"/>
      <c r="Z97" s="509"/>
      <c r="AA97" s="510"/>
      <c r="AB97" s="510"/>
      <c r="AC97" s="442" t="e">
        <f t="shared" si="85"/>
        <v>#N/A</v>
      </c>
      <c r="AD97" s="624"/>
      <c r="AE97" s="509"/>
      <c r="AF97" s="510"/>
      <c r="AG97" s="510"/>
      <c r="AH97" s="442" t="e">
        <f t="shared" si="87"/>
        <v>#N/A</v>
      </c>
      <c r="AI97" s="624"/>
      <c r="AJ97" s="509"/>
      <c r="AK97" s="510"/>
      <c r="AL97" s="510"/>
      <c r="AM97" s="442" t="e">
        <f t="shared" si="89"/>
        <v>#N/A</v>
      </c>
      <c r="AN97" s="624"/>
      <c r="AO97" s="509"/>
      <c r="AP97" s="510"/>
      <c r="AQ97" s="510"/>
      <c r="AR97" s="442" t="e">
        <f t="shared" si="91"/>
        <v>#N/A</v>
      </c>
      <c r="AS97" s="624"/>
      <c r="AT97" s="509"/>
      <c r="AU97" s="510"/>
      <c r="AV97" s="510"/>
      <c r="AW97" s="442" t="e">
        <f t="shared" si="93"/>
        <v>#N/A</v>
      </c>
      <c r="AX97" s="636"/>
      <c r="AZ97" s="524" t="e">
        <f t="shared" si="95"/>
        <v>#N/A</v>
      </c>
      <c r="BA97" s="636"/>
    </row>
    <row r="98" spans="2:53">
      <c r="B98" s="622"/>
      <c r="C98" s="301">
        <v>12</v>
      </c>
      <c r="D98" s="226"/>
      <c r="E98" s="182"/>
      <c r="F98" s="490"/>
      <c r="G98" s="491"/>
      <c r="H98" s="664"/>
      <c r="I98" s="516" t="str">
        <f t="shared" si="80"/>
        <v>-</v>
      </c>
      <c r="J98" s="516" t="str">
        <f t="shared" si="81"/>
        <v>-</v>
      </c>
      <c r="K98" s="200" t="str">
        <f t="shared" si="82"/>
        <v>-</v>
      </c>
      <c r="L98" s="596"/>
      <c r="M98" s="201" t="e">
        <f>RANK(K98, K$87:$K$101)</f>
        <v>#VALUE!</v>
      </c>
      <c r="N98" s="614"/>
      <c r="O98" s="614"/>
      <c r="P98" s="509"/>
      <c r="Q98" s="510"/>
      <c r="R98" s="510"/>
      <c r="S98" s="301" t="e">
        <f t="shared" si="97"/>
        <v>#N/A</v>
      </c>
      <c r="T98" s="624"/>
      <c r="U98" s="509"/>
      <c r="V98" s="510"/>
      <c r="W98" s="510"/>
      <c r="X98" s="442" t="e">
        <f t="shared" si="83"/>
        <v>#N/A</v>
      </c>
      <c r="Y98" s="624"/>
      <c r="Z98" s="509"/>
      <c r="AA98" s="510"/>
      <c r="AB98" s="510"/>
      <c r="AC98" s="442" t="e">
        <f t="shared" si="85"/>
        <v>#N/A</v>
      </c>
      <c r="AD98" s="624"/>
      <c r="AE98" s="509"/>
      <c r="AF98" s="510"/>
      <c r="AG98" s="510"/>
      <c r="AH98" s="442" t="e">
        <f t="shared" si="87"/>
        <v>#N/A</v>
      </c>
      <c r="AI98" s="624"/>
      <c r="AJ98" s="509"/>
      <c r="AK98" s="510"/>
      <c r="AL98" s="510"/>
      <c r="AM98" s="442" t="e">
        <f t="shared" si="89"/>
        <v>#N/A</v>
      </c>
      <c r="AN98" s="624"/>
      <c r="AO98" s="509"/>
      <c r="AP98" s="510"/>
      <c r="AQ98" s="510"/>
      <c r="AR98" s="442" t="e">
        <f t="shared" si="91"/>
        <v>#N/A</v>
      </c>
      <c r="AS98" s="624"/>
      <c r="AT98" s="509"/>
      <c r="AU98" s="510"/>
      <c r="AV98" s="510"/>
      <c r="AW98" s="442" t="e">
        <f t="shared" si="93"/>
        <v>#N/A</v>
      </c>
      <c r="AX98" s="636"/>
      <c r="AZ98" s="524" t="e">
        <f t="shared" si="95"/>
        <v>#N/A</v>
      </c>
      <c r="BA98" s="636"/>
    </row>
    <row r="99" spans="2:53">
      <c r="B99" s="622"/>
      <c r="C99" s="301">
        <v>13</v>
      </c>
      <c r="D99" s="226"/>
      <c r="E99" s="182"/>
      <c r="F99" s="490"/>
      <c r="G99" s="491"/>
      <c r="H99" s="664"/>
      <c r="I99" s="516" t="str">
        <f t="shared" si="80"/>
        <v>-</v>
      </c>
      <c r="J99" s="516" t="str">
        <f t="shared" si="81"/>
        <v>-</v>
      </c>
      <c r="K99" s="200" t="str">
        <f t="shared" si="82"/>
        <v>-</v>
      </c>
      <c r="L99" s="596"/>
      <c r="M99" s="201" t="e">
        <f>RANK(K99, K$87:$K$101)</f>
        <v>#VALUE!</v>
      </c>
      <c r="N99" s="614"/>
      <c r="O99" s="614"/>
      <c r="P99" s="509"/>
      <c r="Q99" s="510"/>
      <c r="R99" s="510"/>
      <c r="S99" s="301" t="e">
        <f t="shared" si="97"/>
        <v>#N/A</v>
      </c>
      <c r="T99" s="624"/>
      <c r="U99" s="509"/>
      <c r="V99" s="510"/>
      <c r="W99" s="510"/>
      <c r="X99" s="442" t="e">
        <f t="shared" si="83"/>
        <v>#N/A</v>
      </c>
      <c r="Y99" s="624"/>
      <c r="Z99" s="509"/>
      <c r="AA99" s="510"/>
      <c r="AB99" s="510"/>
      <c r="AC99" s="442" t="e">
        <f t="shared" si="85"/>
        <v>#N/A</v>
      </c>
      <c r="AD99" s="624"/>
      <c r="AE99" s="509"/>
      <c r="AF99" s="510"/>
      <c r="AG99" s="510"/>
      <c r="AH99" s="442" t="e">
        <f t="shared" si="87"/>
        <v>#N/A</v>
      </c>
      <c r="AI99" s="624"/>
      <c r="AJ99" s="509"/>
      <c r="AK99" s="510"/>
      <c r="AL99" s="510"/>
      <c r="AM99" s="442" t="e">
        <f t="shared" si="89"/>
        <v>#N/A</v>
      </c>
      <c r="AN99" s="624"/>
      <c r="AO99" s="509"/>
      <c r="AP99" s="510"/>
      <c r="AQ99" s="510"/>
      <c r="AR99" s="442" t="e">
        <f t="shared" si="91"/>
        <v>#N/A</v>
      </c>
      <c r="AS99" s="624"/>
      <c r="AT99" s="509"/>
      <c r="AU99" s="510"/>
      <c r="AV99" s="510"/>
      <c r="AW99" s="442" t="e">
        <f t="shared" si="93"/>
        <v>#N/A</v>
      </c>
      <c r="AX99" s="636"/>
      <c r="AZ99" s="524" t="e">
        <f t="shared" si="95"/>
        <v>#N/A</v>
      </c>
      <c r="BA99" s="636"/>
    </row>
    <row r="100" spans="2:53">
      <c r="B100" s="622"/>
      <c r="C100" s="301">
        <v>14</v>
      </c>
      <c r="D100" s="226"/>
      <c r="E100" s="182"/>
      <c r="F100" s="490"/>
      <c r="G100" s="491"/>
      <c r="H100" s="664"/>
      <c r="I100" s="516" t="str">
        <f t="shared" si="80"/>
        <v>-</v>
      </c>
      <c r="J100" s="516" t="str">
        <f t="shared" si="81"/>
        <v>-</v>
      </c>
      <c r="K100" s="200" t="str">
        <f t="shared" si="82"/>
        <v>-</v>
      </c>
      <c r="L100" s="596"/>
      <c r="M100" s="201" t="e">
        <f>RANK(K100, K$87:$K$101)</f>
        <v>#VALUE!</v>
      </c>
      <c r="N100" s="614"/>
      <c r="O100" s="614"/>
      <c r="P100" s="509"/>
      <c r="Q100" s="510"/>
      <c r="R100" s="510"/>
      <c r="S100" s="301" t="e">
        <f t="shared" si="97"/>
        <v>#N/A</v>
      </c>
      <c r="T100" s="624"/>
      <c r="U100" s="509"/>
      <c r="V100" s="510"/>
      <c r="W100" s="510"/>
      <c r="X100" s="442" t="e">
        <f t="shared" si="83"/>
        <v>#N/A</v>
      </c>
      <c r="Y100" s="624"/>
      <c r="Z100" s="509"/>
      <c r="AA100" s="510"/>
      <c r="AB100" s="510"/>
      <c r="AC100" s="442" t="e">
        <f t="shared" si="85"/>
        <v>#N/A</v>
      </c>
      <c r="AD100" s="624"/>
      <c r="AE100" s="509"/>
      <c r="AF100" s="510"/>
      <c r="AG100" s="510"/>
      <c r="AH100" s="442" t="e">
        <f t="shared" si="87"/>
        <v>#N/A</v>
      </c>
      <c r="AI100" s="624"/>
      <c r="AJ100" s="509"/>
      <c r="AK100" s="510"/>
      <c r="AL100" s="510"/>
      <c r="AM100" s="442" t="e">
        <f t="shared" si="89"/>
        <v>#N/A</v>
      </c>
      <c r="AN100" s="624"/>
      <c r="AO100" s="509"/>
      <c r="AP100" s="510"/>
      <c r="AQ100" s="510"/>
      <c r="AR100" s="442" t="e">
        <f t="shared" si="91"/>
        <v>#N/A</v>
      </c>
      <c r="AS100" s="624"/>
      <c r="AT100" s="509"/>
      <c r="AU100" s="510"/>
      <c r="AV100" s="510"/>
      <c r="AW100" s="442" t="e">
        <f t="shared" si="93"/>
        <v>#N/A</v>
      </c>
      <c r="AX100" s="636"/>
      <c r="AZ100" s="524" t="e">
        <f t="shared" si="95"/>
        <v>#N/A</v>
      </c>
      <c r="BA100" s="636"/>
    </row>
    <row r="101" spans="2:53">
      <c r="B101" s="622"/>
      <c r="C101" s="301">
        <v>15</v>
      </c>
      <c r="D101" s="226"/>
      <c r="E101" s="182"/>
      <c r="F101" s="490"/>
      <c r="G101" s="491"/>
      <c r="H101" s="665"/>
      <c r="I101" s="520"/>
      <c r="J101" s="520"/>
      <c r="K101" s="520"/>
      <c r="L101" s="597"/>
      <c r="M101" s="199" t="e">
        <f>RANK(K101, K$87:$K$101)</f>
        <v>#N/A</v>
      </c>
      <c r="N101" s="614"/>
      <c r="O101" s="614"/>
      <c r="P101" s="509"/>
      <c r="Q101" s="510"/>
      <c r="R101" s="510"/>
      <c r="S101" s="301" t="e">
        <f t="shared" si="97"/>
        <v>#N/A</v>
      </c>
      <c r="T101" s="625"/>
      <c r="U101" s="509"/>
      <c r="V101" s="510"/>
      <c r="W101" s="510"/>
      <c r="X101" s="442" t="e">
        <f t="shared" si="83"/>
        <v>#N/A</v>
      </c>
      <c r="Y101" s="625"/>
      <c r="Z101" s="509"/>
      <c r="AA101" s="510"/>
      <c r="AB101" s="510"/>
      <c r="AC101" s="442" t="e">
        <f t="shared" si="85"/>
        <v>#N/A</v>
      </c>
      <c r="AD101" s="625"/>
      <c r="AE101" s="509"/>
      <c r="AF101" s="510"/>
      <c r="AG101" s="510"/>
      <c r="AH101" s="442" t="e">
        <f t="shared" si="87"/>
        <v>#N/A</v>
      </c>
      <c r="AI101" s="625"/>
      <c r="AJ101" s="509"/>
      <c r="AK101" s="510"/>
      <c r="AL101" s="510"/>
      <c r="AM101" s="442" t="e">
        <f t="shared" si="89"/>
        <v>#N/A</v>
      </c>
      <c r="AN101" s="625"/>
      <c r="AO101" s="509"/>
      <c r="AP101" s="510"/>
      <c r="AQ101" s="510"/>
      <c r="AR101" s="442" t="e">
        <f t="shared" si="91"/>
        <v>#N/A</v>
      </c>
      <c r="AS101" s="625"/>
      <c r="AT101" s="509"/>
      <c r="AU101" s="510"/>
      <c r="AV101" s="510"/>
      <c r="AW101" s="442" t="e">
        <f t="shared" si="93"/>
        <v>#N/A</v>
      </c>
      <c r="AX101" s="636"/>
      <c r="AZ101" s="524" t="e">
        <f t="shared" si="95"/>
        <v>#N/A</v>
      </c>
      <c r="BA101" s="636"/>
    </row>
    <row r="102" spans="2:53" ht="15.75">
      <c r="B102" s="626" t="s">
        <v>163</v>
      </c>
      <c r="C102" s="627"/>
      <c r="D102" s="627"/>
      <c r="E102" s="627"/>
      <c r="F102" s="627"/>
      <c r="G102" s="627"/>
      <c r="H102" s="628"/>
      <c r="I102" s="208"/>
      <c r="J102" s="208"/>
      <c r="K102" s="208"/>
      <c r="L102" s="208"/>
      <c r="M102" s="207"/>
      <c r="N102" s="615" t="s">
        <v>156</v>
      </c>
      <c r="O102" s="615" t="s">
        <v>105</v>
      </c>
      <c r="P102" s="621">
        <f>P82+7</f>
        <v>46147</v>
      </c>
      <c r="Q102" s="622"/>
      <c r="R102" s="622"/>
      <c r="S102" s="622"/>
      <c r="T102" s="622"/>
      <c r="U102" s="618">
        <f>P102+1</f>
        <v>46148</v>
      </c>
      <c r="V102" s="619"/>
      <c r="W102" s="619"/>
      <c r="X102" s="619"/>
      <c r="Y102" s="620"/>
      <c r="Z102" s="618">
        <f>U102+1</f>
        <v>46149</v>
      </c>
      <c r="AA102" s="619"/>
      <c r="AB102" s="619"/>
      <c r="AC102" s="619"/>
      <c r="AD102" s="620"/>
      <c r="AE102" s="618">
        <f>Z102+1</f>
        <v>46150</v>
      </c>
      <c r="AF102" s="619"/>
      <c r="AG102" s="619"/>
      <c r="AH102" s="619"/>
      <c r="AI102" s="620"/>
      <c r="AJ102" s="618">
        <f>AE102+1</f>
        <v>46151</v>
      </c>
      <c r="AK102" s="619"/>
      <c r="AL102" s="619"/>
      <c r="AM102" s="619"/>
      <c r="AN102" s="620"/>
      <c r="AO102" s="618">
        <f>AJ102+1</f>
        <v>46152</v>
      </c>
      <c r="AP102" s="619"/>
      <c r="AQ102" s="619"/>
      <c r="AR102" s="619"/>
      <c r="AS102" s="620"/>
      <c r="AT102" s="618">
        <f>AO102+1</f>
        <v>46153</v>
      </c>
      <c r="AU102" s="619"/>
      <c r="AV102" s="619"/>
      <c r="AW102" s="619"/>
      <c r="AX102" s="620"/>
    </row>
    <row r="103" spans="2:53" ht="15.75">
      <c r="B103" s="629"/>
      <c r="C103" s="629"/>
      <c r="D103" s="629"/>
      <c r="E103" s="629"/>
      <c r="F103" s="629"/>
      <c r="G103" s="629"/>
      <c r="H103" s="629"/>
      <c r="I103" s="205"/>
      <c r="J103" s="205"/>
      <c r="K103" s="205"/>
      <c r="L103" s="205"/>
      <c r="M103" s="206"/>
      <c r="N103" s="617"/>
      <c r="O103" s="617"/>
      <c r="P103" s="621" t="s">
        <v>158</v>
      </c>
      <c r="Q103" s="622"/>
      <c r="R103" s="622"/>
      <c r="S103" s="622"/>
      <c r="T103" s="622"/>
      <c r="U103" s="621" t="s">
        <v>114</v>
      </c>
      <c r="V103" s="622"/>
      <c r="W103" s="622"/>
      <c r="X103" s="622"/>
      <c r="Y103" s="622"/>
      <c r="Z103" s="621" t="s">
        <v>159</v>
      </c>
      <c r="AA103" s="622"/>
      <c r="AB103" s="622"/>
      <c r="AC103" s="622"/>
      <c r="AD103" s="622"/>
      <c r="AE103" s="621" t="s">
        <v>157</v>
      </c>
      <c r="AF103" s="622"/>
      <c r="AG103" s="622"/>
      <c r="AH103" s="622"/>
      <c r="AI103" s="622"/>
      <c r="AJ103" s="621" t="s">
        <v>160</v>
      </c>
      <c r="AK103" s="622"/>
      <c r="AL103" s="622"/>
      <c r="AM103" s="622"/>
      <c r="AN103" s="622"/>
      <c r="AO103" s="621" t="s">
        <v>115</v>
      </c>
      <c r="AP103" s="622"/>
      <c r="AQ103" s="622"/>
      <c r="AR103" s="622"/>
      <c r="AS103" s="622"/>
      <c r="AT103" s="621" t="s">
        <v>162</v>
      </c>
      <c r="AU103" s="622"/>
      <c r="AV103" s="622"/>
      <c r="AW103" s="622"/>
      <c r="AX103" s="622"/>
    </row>
    <row r="104" spans="2:53">
      <c r="B104" s="614" t="s">
        <v>695</v>
      </c>
      <c r="C104" s="614" t="s">
        <v>696</v>
      </c>
      <c r="D104" s="614"/>
      <c r="E104" s="614" t="s">
        <v>697</v>
      </c>
      <c r="F104" s="614"/>
      <c r="G104" s="614"/>
      <c r="H104" s="630" t="s">
        <v>698</v>
      </c>
      <c r="I104" s="614" t="s">
        <v>699</v>
      </c>
      <c r="J104" s="614"/>
      <c r="K104" s="614"/>
      <c r="L104" s="630" t="s">
        <v>395</v>
      </c>
      <c r="M104" s="615" t="s">
        <v>700</v>
      </c>
      <c r="N104" s="614"/>
      <c r="O104" s="614" t="s">
        <v>686</v>
      </c>
      <c r="P104" s="611" t="s">
        <v>687</v>
      </c>
      <c r="Q104" s="612"/>
      <c r="R104" s="612"/>
      <c r="S104" s="613"/>
      <c r="T104" s="614" t="s">
        <v>683</v>
      </c>
      <c r="U104" s="611" t="s">
        <v>687</v>
      </c>
      <c r="V104" s="612"/>
      <c r="W104" s="612"/>
      <c r="X104" s="613"/>
      <c r="Y104" s="614" t="s">
        <v>683</v>
      </c>
      <c r="Z104" s="611" t="s">
        <v>687</v>
      </c>
      <c r="AA104" s="612"/>
      <c r="AB104" s="612"/>
      <c r="AC104" s="613"/>
      <c r="AD104" s="614" t="s">
        <v>683</v>
      </c>
      <c r="AE104" s="611" t="s">
        <v>687</v>
      </c>
      <c r="AF104" s="612"/>
      <c r="AG104" s="612"/>
      <c r="AH104" s="613"/>
      <c r="AI104" s="614" t="s">
        <v>683</v>
      </c>
      <c r="AJ104" s="611" t="s">
        <v>687</v>
      </c>
      <c r="AK104" s="612"/>
      <c r="AL104" s="612"/>
      <c r="AM104" s="613"/>
      <c r="AN104" s="614" t="s">
        <v>683</v>
      </c>
      <c r="AO104" s="611" t="s">
        <v>687</v>
      </c>
      <c r="AP104" s="612"/>
      <c r="AQ104" s="612"/>
      <c r="AR104" s="613"/>
      <c r="AS104" s="614" t="s">
        <v>683</v>
      </c>
      <c r="AT104" s="611" t="s">
        <v>687</v>
      </c>
      <c r="AU104" s="612"/>
      <c r="AV104" s="612"/>
      <c r="AW104" s="613"/>
      <c r="AX104" s="614" t="s">
        <v>683</v>
      </c>
      <c r="BA104" s="614" t="s">
        <v>395</v>
      </c>
    </row>
    <row r="105" spans="2:53">
      <c r="B105" s="614"/>
      <c r="C105" s="614"/>
      <c r="D105" s="614"/>
      <c r="E105" s="614" t="s">
        <v>702</v>
      </c>
      <c r="F105" s="614"/>
      <c r="G105" s="614"/>
      <c r="H105" s="631"/>
      <c r="I105" s="614" t="s">
        <v>702</v>
      </c>
      <c r="J105" s="614"/>
      <c r="K105" s="614"/>
      <c r="L105" s="631"/>
      <c r="M105" s="616"/>
      <c r="N105" s="614"/>
      <c r="O105" s="614"/>
      <c r="P105" s="611" t="s">
        <v>689</v>
      </c>
      <c r="Q105" s="612"/>
      <c r="R105" s="612"/>
      <c r="S105" s="613"/>
      <c r="T105" s="614"/>
      <c r="U105" s="611" t="s">
        <v>689</v>
      </c>
      <c r="V105" s="612"/>
      <c r="W105" s="612"/>
      <c r="X105" s="613"/>
      <c r="Y105" s="614"/>
      <c r="Z105" s="611" t="s">
        <v>689</v>
      </c>
      <c r="AA105" s="612"/>
      <c r="AB105" s="612"/>
      <c r="AC105" s="613"/>
      <c r="AD105" s="614"/>
      <c r="AE105" s="611" t="s">
        <v>689</v>
      </c>
      <c r="AF105" s="612"/>
      <c r="AG105" s="612"/>
      <c r="AH105" s="613"/>
      <c r="AI105" s="614"/>
      <c r="AJ105" s="611" t="s">
        <v>689</v>
      </c>
      <c r="AK105" s="612"/>
      <c r="AL105" s="612"/>
      <c r="AM105" s="613"/>
      <c r="AN105" s="614"/>
      <c r="AO105" s="611" t="s">
        <v>689</v>
      </c>
      <c r="AP105" s="612"/>
      <c r="AQ105" s="612"/>
      <c r="AR105" s="613"/>
      <c r="AS105" s="614"/>
      <c r="AT105" s="611" t="s">
        <v>689</v>
      </c>
      <c r="AU105" s="612"/>
      <c r="AV105" s="612"/>
      <c r="AW105" s="613"/>
      <c r="AX105" s="614"/>
      <c r="BA105" s="614"/>
    </row>
    <row r="106" spans="2:53">
      <c r="B106" s="614"/>
      <c r="C106" s="614"/>
      <c r="D106" s="614"/>
      <c r="E106" s="447" t="s">
        <v>703</v>
      </c>
      <c r="F106" s="447" t="s">
        <v>704</v>
      </c>
      <c r="G106" s="447" t="s">
        <v>705</v>
      </c>
      <c r="H106" s="632"/>
      <c r="I106" s="447" t="s">
        <v>703</v>
      </c>
      <c r="J106" s="447" t="s">
        <v>704</v>
      </c>
      <c r="K106" s="447" t="s">
        <v>705</v>
      </c>
      <c r="L106" s="632"/>
      <c r="M106" s="617"/>
      <c r="N106" s="614"/>
      <c r="O106" s="614"/>
      <c r="P106" s="447" t="s">
        <v>690</v>
      </c>
      <c r="Q106" s="447" t="s">
        <v>691</v>
      </c>
      <c r="R106" s="447" t="s">
        <v>692</v>
      </c>
      <c r="S106" s="447" t="s">
        <v>685</v>
      </c>
      <c r="T106" s="614"/>
      <c r="U106" s="447" t="s">
        <v>690</v>
      </c>
      <c r="V106" s="447" t="s">
        <v>691</v>
      </c>
      <c r="W106" s="447" t="s">
        <v>692</v>
      </c>
      <c r="X106" s="447" t="s">
        <v>685</v>
      </c>
      <c r="Y106" s="614"/>
      <c r="Z106" s="447" t="s">
        <v>690</v>
      </c>
      <c r="AA106" s="447" t="s">
        <v>691</v>
      </c>
      <c r="AB106" s="447" t="s">
        <v>692</v>
      </c>
      <c r="AC106" s="447" t="s">
        <v>685</v>
      </c>
      <c r="AD106" s="614"/>
      <c r="AE106" s="447" t="s">
        <v>690</v>
      </c>
      <c r="AF106" s="447" t="s">
        <v>691</v>
      </c>
      <c r="AG106" s="447" t="s">
        <v>692</v>
      </c>
      <c r="AH106" s="447" t="s">
        <v>685</v>
      </c>
      <c r="AI106" s="614"/>
      <c r="AJ106" s="447" t="s">
        <v>690</v>
      </c>
      <c r="AK106" s="447" t="s">
        <v>691</v>
      </c>
      <c r="AL106" s="447" t="s">
        <v>692</v>
      </c>
      <c r="AM106" s="447" t="s">
        <v>685</v>
      </c>
      <c r="AN106" s="614"/>
      <c r="AO106" s="447" t="s">
        <v>690</v>
      </c>
      <c r="AP106" s="447" t="s">
        <v>691</v>
      </c>
      <c r="AQ106" s="447" t="s">
        <v>692</v>
      </c>
      <c r="AR106" s="447" t="s">
        <v>685</v>
      </c>
      <c r="AS106" s="614"/>
      <c r="AT106" s="447" t="s">
        <v>690</v>
      </c>
      <c r="AU106" s="447" t="s">
        <v>691</v>
      </c>
      <c r="AV106" s="447" t="s">
        <v>692</v>
      </c>
      <c r="AW106" s="447" t="s">
        <v>685</v>
      </c>
      <c r="AX106" s="614"/>
      <c r="AZ106" s="523" t="s">
        <v>685</v>
      </c>
      <c r="BA106" s="614"/>
    </row>
    <row r="107" spans="2:53">
      <c r="B107" s="614" t="s">
        <v>136</v>
      </c>
      <c r="C107" s="452">
        <v>1</v>
      </c>
      <c r="D107" s="226"/>
      <c r="E107" s="182"/>
      <c r="F107" s="466"/>
      <c r="G107" s="467"/>
      <c r="H107" s="658" t="e">
        <f>AVERAGE(G107:G121)</f>
        <v>#DIV/0!</v>
      </c>
      <c r="I107" s="516" t="str">
        <f t="shared" ref="I107:I120" si="98">IFERROR(AVERAGE(P107,U107,Z107,AE107,AJ107,AO107,AT107),"-")</f>
        <v>-</v>
      </c>
      <c r="J107" s="516" t="str">
        <f t="shared" ref="J107:J120" si="99">IFERROR(AVERAGE(Q107,V107,AA107,AF107,AK107,AP107,AU107),"-")</f>
        <v>-</v>
      </c>
      <c r="K107" s="200" t="str">
        <f t="shared" ref="K107:K120" si="100">IFERROR(AVERAGE(R107,W107,AB107,AG107,AL107,AQ107,AV107),"-")</f>
        <v>-</v>
      </c>
      <c r="L107" s="595" t="str">
        <f>IFERROR(AVERAGE(K107:K121),"-")</f>
        <v>-</v>
      </c>
      <c r="M107" s="453" t="e">
        <f>RANK(K107, K$67:$K$81)</f>
        <v>#VALUE!</v>
      </c>
      <c r="N107" s="614"/>
      <c r="O107" s="614"/>
      <c r="P107" s="452"/>
      <c r="Q107" s="453"/>
      <c r="R107" s="453"/>
      <c r="S107" s="452" t="e">
        <f>RANK(R107, R$67:R$81)</f>
        <v>#N/A</v>
      </c>
      <c r="T107" s="661" t="e">
        <f>AVERAGE(R107:R121)</f>
        <v>#DIV/0!</v>
      </c>
      <c r="U107" s="470"/>
      <c r="V107" s="473"/>
      <c r="W107" s="473"/>
      <c r="X107" s="452" t="e">
        <f>RANK(W107, W$67:W$81)</f>
        <v>#N/A</v>
      </c>
      <c r="Y107" s="661" t="e">
        <f>AVERAGE(W107:W121)</f>
        <v>#DIV/0!</v>
      </c>
      <c r="Z107" s="470"/>
      <c r="AA107" s="473"/>
      <c r="AB107" s="473"/>
      <c r="AC107" s="452" t="e">
        <f>RANK(AB107, AB$67:AB$81)</f>
        <v>#N/A</v>
      </c>
      <c r="AD107" s="661" t="e">
        <f>AVERAGE(AB107:AB121)</f>
        <v>#DIV/0!</v>
      </c>
      <c r="AE107" s="470"/>
      <c r="AF107" s="473"/>
      <c r="AG107" s="473"/>
      <c r="AH107" s="452" t="e">
        <f>RANK(AG107, AG$67:AG$81)</f>
        <v>#N/A</v>
      </c>
      <c r="AI107" s="661" t="e">
        <f>AVERAGE(AG107:AG121)</f>
        <v>#DIV/0!</v>
      </c>
      <c r="AJ107" s="470"/>
      <c r="AK107" s="473"/>
      <c r="AL107" s="473"/>
      <c r="AM107" s="452" t="e">
        <f>RANK(AL107, AL$67:AL$81)</f>
        <v>#N/A</v>
      </c>
      <c r="AN107" s="661" t="e">
        <f>AVERAGE(AL107:AL121)</f>
        <v>#DIV/0!</v>
      </c>
      <c r="AO107" s="470"/>
      <c r="AP107" s="473"/>
      <c r="AQ107" s="473"/>
      <c r="AR107" s="452" t="e">
        <f>RANK(AQ107, AQ$67:AQ$81)</f>
        <v>#N/A</v>
      </c>
      <c r="AS107" s="661" t="e">
        <f>AVERAGE(AQ107:AQ121)</f>
        <v>#DIV/0!</v>
      </c>
      <c r="AT107" s="182"/>
      <c r="AU107" s="182"/>
      <c r="AV107" s="467"/>
      <c r="AW107" s="452" t="e">
        <f>RANK(AV107, AV$67:AV$81)</f>
        <v>#N/A</v>
      </c>
      <c r="AX107" s="661" t="e">
        <f>AVERAGE(AV107:AV121)</f>
        <v>#DIV/0!</v>
      </c>
      <c r="AZ107" s="525" t="e">
        <f>RANK(AY107, AY$67:AY$81)</f>
        <v>#N/A</v>
      </c>
      <c r="BA107" s="661" t="e">
        <f>AVERAGE(AY107:AY121)</f>
        <v>#DIV/0!</v>
      </c>
    </row>
    <row r="108" spans="2:53">
      <c r="B108" s="647"/>
      <c r="C108" s="452">
        <v>2</v>
      </c>
      <c r="D108" s="226"/>
      <c r="E108" s="182"/>
      <c r="F108" s="466"/>
      <c r="G108" s="467"/>
      <c r="H108" s="659"/>
      <c r="I108" s="516" t="str">
        <f t="shared" si="98"/>
        <v>-</v>
      </c>
      <c r="J108" s="516" t="str">
        <f t="shared" si="99"/>
        <v>-</v>
      </c>
      <c r="K108" s="200" t="str">
        <f t="shared" si="100"/>
        <v>-</v>
      </c>
      <c r="L108" s="596"/>
      <c r="M108" s="453" t="e">
        <f>RANK(K108, K$67:$K$81)</f>
        <v>#VALUE!</v>
      </c>
      <c r="N108" s="614"/>
      <c r="O108" s="614"/>
      <c r="P108" s="452"/>
      <c r="Q108" s="453"/>
      <c r="R108" s="453"/>
      <c r="S108" s="452" t="e">
        <f t="shared" ref="S108:S121" si="101">RANK(R108, R$67:R$81)</f>
        <v>#N/A</v>
      </c>
      <c r="T108" s="661"/>
      <c r="U108" s="470"/>
      <c r="V108" s="473"/>
      <c r="W108" s="473"/>
      <c r="X108" s="452" t="e">
        <f t="shared" ref="X108:X121" si="102">RANK(W108, W$67:W$81)</f>
        <v>#N/A</v>
      </c>
      <c r="Y108" s="661"/>
      <c r="Z108" s="470"/>
      <c r="AA108" s="473"/>
      <c r="AB108" s="473"/>
      <c r="AC108" s="452" t="e">
        <f t="shared" ref="AC108:AC121" si="103">RANK(AB108, AB$67:AB$81)</f>
        <v>#N/A</v>
      </c>
      <c r="AD108" s="661"/>
      <c r="AE108" s="470"/>
      <c r="AF108" s="473"/>
      <c r="AG108" s="473"/>
      <c r="AH108" s="452" t="e">
        <f t="shared" ref="AH108:AH121" si="104">RANK(AG108, AG$67:AG$81)</f>
        <v>#N/A</v>
      </c>
      <c r="AI108" s="661"/>
      <c r="AJ108" s="470"/>
      <c r="AK108" s="473"/>
      <c r="AL108" s="473"/>
      <c r="AM108" s="452" t="e">
        <f t="shared" ref="AM108:AM121" si="105">RANK(AL108, AL$67:AL$81)</f>
        <v>#N/A</v>
      </c>
      <c r="AN108" s="661"/>
      <c r="AO108" s="470"/>
      <c r="AP108" s="473"/>
      <c r="AQ108" s="473"/>
      <c r="AR108" s="452" t="e">
        <f t="shared" ref="AR108:AR121" si="106">RANK(AQ108, AQ$67:AQ$81)</f>
        <v>#N/A</v>
      </c>
      <c r="AS108" s="661"/>
      <c r="AT108" s="466"/>
      <c r="AU108" s="182"/>
      <c r="AV108" s="467"/>
      <c r="AW108" s="452" t="e">
        <f t="shared" ref="AW108:AW121" si="107">RANK(AV108, AV$67:AV$81)</f>
        <v>#N/A</v>
      </c>
      <c r="AX108" s="661"/>
      <c r="AZ108" s="525" t="e">
        <f t="shared" ref="AZ108:AZ121" si="108">RANK(AY108, AY$67:AY$81)</f>
        <v>#N/A</v>
      </c>
      <c r="BA108" s="661"/>
    </row>
    <row r="109" spans="2:53">
      <c r="B109" s="647"/>
      <c r="C109" s="452">
        <v>3</v>
      </c>
      <c r="D109" s="226"/>
      <c r="E109" s="182"/>
      <c r="F109" s="466"/>
      <c r="G109" s="467"/>
      <c r="H109" s="659"/>
      <c r="I109" s="516" t="str">
        <f t="shared" si="98"/>
        <v>-</v>
      </c>
      <c r="J109" s="516" t="str">
        <f t="shared" si="99"/>
        <v>-</v>
      </c>
      <c r="K109" s="200" t="str">
        <f t="shared" si="100"/>
        <v>-</v>
      </c>
      <c r="L109" s="596"/>
      <c r="M109" s="453" t="e">
        <f>RANK(K109, K$67:$K$81)</f>
        <v>#VALUE!</v>
      </c>
      <c r="N109" s="614"/>
      <c r="O109" s="614"/>
      <c r="P109" s="452"/>
      <c r="Q109" s="453"/>
      <c r="R109" s="453"/>
      <c r="S109" s="452" t="e">
        <f t="shared" si="101"/>
        <v>#N/A</v>
      </c>
      <c r="T109" s="661"/>
      <c r="U109" s="470"/>
      <c r="V109" s="473"/>
      <c r="W109" s="473"/>
      <c r="X109" s="452" t="e">
        <f t="shared" si="102"/>
        <v>#N/A</v>
      </c>
      <c r="Y109" s="661"/>
      <c r="Z109" s="470"/>
      <c r="AA109" s="473"/>
      <c r="AB109" s="473"/>
      <c r="AC109" s="452" t="e">
        <f t="shared" si="103"/>
        <v>#N/A</v>
      </c>
      <c r="AD109" s="661"/>
      <c r="AE109" s="470"/>
      <c r="AF109" s="473"/>
      <c r="AG109" s="473"/>
      <c r="AH109" s="452" t="e">
        <f t="shared" si="104"/>
        <v>#N/A</v>
      </c>
      <c r="AI109" s="661"/>
      <c r="AJ109" s="470"/>
      <c r="AK109" s="473"/>
      <c r="AL109" s="473"/>
      <c r="AM109" s="452" t="e">
        <f t="shared" si="105"/>
        <v>#N/A</v>
      </c>
      <c r="AN109" s="661"/>
      <c r="AO109" s="470"/>
      <c r="AP109" s="473"/>
      <c r="AQ109" s="473"/>
      <c r="AR109" s="452" t="e">
        <f t="shared" si="106"/>
        <v>#N/A</v>
      </c>
      <c r="AS109" s="661"/>
      <c r="AT109" s="466"/>
      <c r="AU109" s="182"/>
      <c r="AV109" s="467"/>
      <c r="AW109" s="452" t="e">
        <f t="shared" si="107"/>
        <v>#N/A</v>
      </c>
      <c r="AX109" s="661"/>
      <c r="AZ109" s="525" t="e">
        <f t="shared" si="108"/>
        <v>#N/A</v>
      </c>
      <c r="BA109" s="661"/>
    </row>
    <row r="110" spans="2:53">
      <c r="B110" s="647"/>
      <c r="C110" s="452">
        <v>4</v>
      </c>
      <c r="D110" s="226"/>
      <c r="E110" s="182"/>
      <c r="F110" s="466"/>
      <c r="G110" s="467"/>
      <c r="H110" s="659"/>
      <c r="I110" s="516" t="str">
        <f t="shared" si="98"/>
        <v>-</v>
      </c>
      <c r="J110" s="516" t="str">
        <f t="shared" si="99"/>
        <v>-</v>
      </c>
      <c r="K110" s="200" t="str">
        <f t="shared" si="100"/>
        <v>-</v>
      </c>
      <c r="L110" s="596"/>
      <c r="M110" s="453" t="e">
        <f>RANK(K110, K$67:$K$81)</f>
        <v>#VALUE!</v>
      </c>
      <c r="N110" s="614"/>
      <c r="O110" s="614"/>
      <c r="P110" s="452"/>
      <c r="Q110" s="453"/>
      <c r="R110" s="453"/>
      <c r="S110" s="452" t="e">
        <f t="shared" si="101"/>
        <v>#N/A</v>
      </c>
      <c r="T110" s="661"/>
      <c r="U110" s="470"/>
      <c r="V110" s="473"/>
      <c r="W110" s="473"/>
      <c r="X110" s="452" t="e">
        <f t="shared" si="102"/>
        <v>#N/A</v>
      </c>
      <c r="Y110" s="661"/>
      <c r="Z110" s="470"/>
      <c r="AA110" s="473"/>
      <c r="AB110" s="473"/>
      <c r="AC110" s="452" t="e">
        <f t="shared" si="103"/>
        <v>#N/A</v>
      </c>
      <c r="AD110" s="661"/>
      <c r="AE110" s="470"/>
      <c r="AF110" s="473"/>
      <c r="AG110" s="473"/>
      <c r="AH110" s="452" t="e">
        <f t="shared" si="104"/>
        <v>#N/A</v>
      </c>
      <c r="AI110" s="661"/>
      <c r="AJ110" s="470"/>
      <c r="AK110" s="473"/>
      <c r="AL110" s="473"/>
      <c r="AM110" s="452" t="e">
        <f t="shared" si="105"/>
        <v>#N/A</v>
      </c>
      <c r="AN110" s="661"/>
      <c r="AO110" s="470"/>
      <c r="AP110" s="473"/>
      <c r="AQ110" s="473"/>
      <c r="AR110" s="452" t="e">
        <f t="shared" si="106"/>
        <v>#N/A</v>
      </c>
      <c r="AS110" s="661"/>
      <c r="AT110" s="466"/>
      <c r="AU110" s="182"/>
      <c r="AV110" s="467"/>
      <c r="AW110" s="452" t="e">
        <f t="shared" si="107"/>
        <v>#N/A</v>
      </c>
      <c r="AX110" s="661"/>
      <c r="AZ110" s="525" t="e">
        <f t="shared" si="108"/>
        <v>#N/A</v>
      </c>
      <c r="BA110" s="661"/>
    </row>
    <row r="111" spans="2:53">
      <c r="B111" s="647"/>
      <c r="C111" s="452">
        <v>5</v>
      </c>
      <c r="D111" s="226"/>
      <c r="E111" s="182"/>
      <c r="F111" s="466"/>
      <c r="G111" s="467"/>
      <c r="H111" s="659"/>
      <c r="I111" s="516" t="str">
        <f t="shared" si="98"/>
        <v>-</v>
      </c>
      <c r="J111" s="516" t="str">
        <f t="shared" si="99"/>
        <v>-</v>
      </c>
      <c r="K111" s="200" t="str">
        <f t="shared" si="100"/>
        <v>-</v>
      </c>
      <c r="L111" s="596"/>
      <c r="M111" s="453" t="e">
        <f>RANK(K111, K$67:$K$81)</f>
        <v>#VALUE!</v>
      </c>
      <c r="N111" s="614"/>
      <c r="O111" s="614"/>
      <c r="P111" s="452"/>
      <c r="Q111" s="453"/>
      <c r="R111" s="453"/>
      <c r="S111" s="452" t="e">
        <f t="shared" si="101"/>
        <v>#N/A</v>
      </c>
      <c r="T111" s="661"/>
      <c r="U111" s="470"/>
      <c r="V111" s="473"/>
      <c r="W111" s="473"/>
      <c r="X111" s="452" t="e">
        <f t="shared" si="102"/>
        <v>#N/A</v>
      </c>
      <c r="Y111" s="661"/>
      <c r="Z111" s="470"/>
      <c r="AA111" s="473"/>
      <c r="AB111" s="473"/>
      <c r="AC111" s="452" t="e">
        <f t="shared" si="103"/>
        <v>#N/A</v>
      </c>
      <c r="AD111" s="661"/>
      <c r="AE111" s="470"/>
      <c r="AF111" s="473"/>
      <c r="AG111" s="473"/>
      <c r="AH111" s="452" t="e">
        <f t="shared" si="104"/>
        <v>#N/A</v>
      </c>
      <c r="AI111" s="661"/>
      <c r="AJ111" s="470"/>
      <c r="AK111" s="473"/>
      <c r="AL111" s="473"/>
      <c r="AM111" s="452" t="e">
        <f t="shared" si="105"/>
        <v>#N/A</v>
      </c>
      <c r="AN111" s="661"/>
      <c r="AO111" s="470"/>
      <c r="AP111" s="473"/>
      <c r="AQ111" s="473"/>
      <c r="AR111" s="452" t="e">
        <f t="shared" si="106"/>
        <v>#N/A</v>
      </c>
      <c r="AS111" s="661"/>
      <c r="AT111" s="466"/>
      <c r="AU111" s="182"/>
      <c r="AV111" s="467"/>
      <c r="AW111" s="452" t="e">
        <f t="shared" si="107"/>
        <v>#N/A</v>
      </c>
      <c r="AX111" s="661"/>
      <c r="AZ111" s="525" t="e">
        <f t="shared" si="108"/>
        <v>#N/A</v>
      </c>
      <c r="BA111" s="661"/>
    </row>
    <row r="112" spans="2:53">
      <c r="B112" s="647"/>
      <c r="C112" s="452">
        <v>6</v>
      </c>
      <c r="D112" s="226"/>
      <c r="E112" s="182"/>
      <c r="F112" s="466"/>
      <c r="G112" s="467"/>
      <c r="H112" s="659"/>
      <c r="I112" s="516" t="str">
        <f t="shared" si="98"/>
        <v>-</v>
      </c>
      <c r="J112" s="516" t="str">
        <f t="shared" si="99"/>
        <v>-</v>
      </c>
      <c r="K112" s="200" t="str">
        <f t="shared" si="100"/>
        <v>-</v>
      </c>
      <c r="L112" s="596"/>
      <c r="M112" s="453" t="e">
        <f>RANK(K112, K$67:$K$81)</f>
        <v>#VALUE!</v>
      </c>
      <c r="N112" s="614"/>
      <c r="O112" s="614"/>
      <c r="P112" s="452"/>
      <c r="Q112" s="453"/>
      <c r="R112" s="453"/>
      <c r="S112" s="452" t="e">
        <f t="shared" si="101"/>
        <v>#N/A</v>
      </c>
      <c r="T112" s="661"/>
      <c r="U112" s="470"/>
      <c r="V112" s="473"/>
      <c r="W112" s="473"/>
      <c r="X112" s="452" t="e">
        <f t="shared" si="102"/>
        <v>#N/A</v>
      </c>
      <c r="Y112" s="661"/>
      <c r="Z112" s="470"/>
      <c r="AA112" s="473"/>
      <c r="AB112" s="473"/>
      <c r="AC112" s="452" t="e">
        <f t="shared" si="103"/>
        <v>#N/A</v>
      </c>
      <c r="AD112" s="661"/>
      <c r="AE112" s="470"/>
      <c r="AF112" s="473"/>
      <c r="AG112" s="473"/>
      <c r="AH112" s="452" t="e">
        <f t="shared" si="104"/>
        <v>#N/A</v>
      </c>
      <c r="AI112" s="661"/>
      <c r="AJ112" s="470"/>
      <c r="AK112" s="473"/>
      <c r="AL112" s="473"/>
      <c r="AM112" s="452" t="e">
        <f t="shared" si="105"/>
        <v>#N/A</v>
      </c>
      <c r="AN112" s="661"/>
      <c r="AO112" s="470"/>
      <c r="AP112" s="473"/>
      <c r="AQ112" s="473"/>
      <c r="AR112" s="452" t="e">
        <f t="shared" si="106"/>
        <v>#N/A</v>
      </c>
      <c r="AS112" s="661"/>
      <c r="AT112" s="466"/>
      <c r="AU112" s="182"/>
      <c r="AV112" s="467"/>
      <c r="AW112" s="452" t="e">
        <f t="shared" si="107"/>
        <v>#N/A</v>
      </c>
      <c r="AX112" s="661"/>
      <c r="AZ112" s="525" t="e">
        <f t="shared" si="108"/>
        <v>#N/A</v>
      </c>
      <c r="BA112" s="661"/>
    </row>
    <row r="113" spans="2:53">
      <c r="B113" s="647"/>
      <c r="C113" s="452">
        <v>7</v>
      </c>
      <c r="D113" s="226"/>
      <c r="E113" s="182"/>
      <c r="F113" s="466"/>
      <c r="G113" s="467"/>
      <c r="H113" s="659"/>
      <c r="I113" s="516" t="str">
        <f t="shared" si="98"/>
        <v>-</v>
      </c>
      <c r="J113" s="516" t="str">
        <f t="shared" si="99"/>
        <v>-</v>
      </c>
      <c r="K113" s="200" t="str">
        <f t="shared" si="100"/>
        <v>-</v>
      </c>
      <c r="L113" s="596"/>
      <c r="M113" s="453" t="e">
        <f>RANK(K113, K$67:$K$81)</f>
        <v>#VALUE!</v>
      </c>
      <c r="N113" s="614"/>
      <c r="O113" s="614"/>
      <c r="P113" s="452"/>
      <c r="Q113" s="453"/>
      <c r="R113" s="453"/>
      <c r="S113" s="452" t="e">
        <f t="shared" si="101"/>
        <v>#N/A</v>
      </c>
      <c r="T113" s="661"/>
      <c r="U113" s="470"/>
      <c r="V113" s="473"/>
      <c r="W113" s="473"/>
      <c r="X113" s="452" t="e">
        <f t="shared" si="102"/>
        <v>#N/A</v>
      </c>
      <c r="Y113" s="661"/>
      <c r="Z113" s="470"/>
      <c r="AA113" s="473"/>
      <c r="AB113" s="473"/>
      <c r="AC113" s="452" t="e">
        <f t="shared" si="103"/>
        <v>#N/A</v>
      </c>
      <c r="AD113" s="661"/>
      <c r="AE113" s="470"/>
      <c r="AF113" s="473"/>
      <c r="AG113" s="473"/>
      <c r="AH113" s="452" t="e">
        <f t="shared" si="104"/>
        <v>#N/A</v>
      </c>
      <c r="AI113" s="661"/>
      <c r="AJ113" s="470"/>
      <c r="AK113" s="473"/>
      <c r="AL113" s="473"/>
      <c r="AM113" s="452" t="e">
        <f t="shared" si="105"/>
        <v>#N/A</v>
      </c>
      <c r="AN113" s="661"/>
      <c r="AO113" s="470"/>
      <c r="AP113" s="473"/>
      <c r="AQ113" s="473"/>
      <c r="AR113" s="452" t="e">
        <f t="shared" si="106"/>
        <v>#N/A</v>
      </c>
      <c r="AS113" s="661"/>
      <c r="AT113" s="466"/>
      <c r="AU113" s="182"/>
      <c r="AV113" s="467"/>
      <c r="AW113" s="452" t="e">
        <f t="shared" si="107"/>
        <v>#N/A</v>
      </c>
      <c r="AX113" s="661"/>
      <c r="AZ113" s="525" t="e">
        <f t="shared" si="108"/>
        <v>#N/A</v>
      </c>
      <c r="BA113" s="661"/>
    </row>
    <row r="114" spans="2:53">
      <c r="B114" s="647"/>
      <c r="C114" s="452">
        <v>8</v>
      </c>
      <c r="D114" s="226"/>
      <c r="E114" s="182"/>
      <c r="F114" s="466"/>
      <c r="G114" s="467"/>
      <c r="H114" s="659"/>
      <c r="I114" s="516" t="str">
        <f t="shared" si="98"/>
        <v>-</v>
      </c>
      <c r="J114" s="516" t="str">
        <f t="shared" si="99"/>
        <v>-</v>
      </c>
      <c r="K114" s="200" t="str">
        <f t="shared" si="100"/>
        <v>-</v>
      </c>
      <c r="L114" s="596"/>
      <c r="M114" s="453" t="e">
        <f>RANK(K114, K$67:$K$81)</f>
        <v>#VALUE!</v>
      </c>
      <c r="N114" s="614"/>
      <c r="O114" s="614"/>
      <c r="P114" s="452"/>
      <c r="Q114" s="453"/>
      <c r="R114" s="453"/>
      <c r="S114" s="452" t="e">
        <f t="shared" si="101"/>
        <v>#N/A</v>
      </c>
      <c r="T114" s="661"/>
      <c r="U114" s="470"/>
      <c r="V114" s="473"/>
      <c r="W114" s="473"/>
      <c r="X114" s="452" t="e">
        <f t="shared" si="102"/>
        <v>#N/A</v>
      </c>
      <c r="Y114" s="661"/>
      <c r="Z114" s="470"/>
      <c r="AA114" s="473"/>
      <c r="AB114" s="473"/>
      <c r="AC114" s="452" t="e">
        <f t="shared" si="103"/>
        <v>#N/A</v>
      </c>
      <c r="AD114" s="661"/>
      <c r="AE114" s="470"/>
      <c r="AF114" s="473"/>
      <c r="AG114" s="473"/>
      <c r="AH114" s="452" t="e">
        <f t="shared" si="104"/>
        <v>#N/A</v>
      </c>
      <c r="AI114" s="661"/>
      <c r="AJ114" s="470"/>
      <c r="AK114" s="473"/>
      <c r="AL114" s="473"/>
      <c r="AM114" s="452" t="e">
        <f t="shared" si="105"/>
        <v>#N/A</v>
      </c>
      <c r="AN114" s="661"/>
      <c r="AO114" s="470"/>
      <c r="AP114" s="473"/>
      <c r="AQ114" s="473"/>
      <c r="AR114" s="452" t="e">
        <f t="shared" si="106"/>
        <v>#N/A</v>
      </c>
      <c r="AS114" s="661"/>
      <c r="AT114" s="466"/>
      <c r="AU114" s="182"/>
      <c r="AV114" s="467"/>
      <c r="AW114" s="452" t="e">
        <f t="shared" si="107"/>
        <v>#N/A</v>
      </c>
      <c r="AX114" s="661"/>
      <c r="AZ114" s="525" t="e">
        <f t="shared" si="108"/>
        <v>#N/A</v>
      </c>
      <c r="BA114" s="661"/>
    </row>
    <row r="115" spans="2:53">
      <c r="B115" s="647"/>
      <c r="C115" s="452">
        <v>9</v>
      </c>
      <c r="D115" s="226"/>
      <c r="E115" s="182"/>
      <c r="F115" s="466"/>
      <c r="G115" s="467"/>
      <c r="H115" s="659"/>
      <c r="I115" s="516" t="str">
        <f t="shared" si="98"/>
        <v>-</v>
      </c>
      <c r="J115" s="516" t="str">
        <f t="shared" si="99"/>
        <v>-</v>
      </c>
      <c r="K115" s="200" t="str">
        <f t="shared" si="100"/>
        <v>-</v>
      </c>
      <c r="L115" s="596"/>
      <c r="M115" s="453" t="e">
        <f>RANK(K115, K$67:$K$81)</f>
        <v>#VALUE!</v>
      </c>
      <c r="N115" s="614"/>
      <c r="O115" s="614"/>
      <c r="P115" s="452"/>
      <c r="Q115" s="453"/>
      <c r="R115" s="453"/>
      <c r="S115" s="452" t="e">
        <f t="shared" si="101"/>
        <v>#N/A</v>
      </c>
      <c r="T115" s="661"/>
      <c r="U115" s="470"/>
      <c r="V115" s="473"/>
      <c r="W115" s="473"/>
      <c r="X115" s="452" t="e">
        <f t="shared" si="102"/>
        <v>#N/A</v>
      </c>
      <c r="Y115" s="661"/>
      <c r="Z115" s="470"/>
      <c r="AA115" s="473"/>
      <c r="AB115" s="473"/>
      <c r="AC115" s="452" t="e">
        <f t="shared" si="103"/>
        <v>#N/A</v>
      </c>
      <c r="AD115" s="661"/>
      <c r="AE115" s="470"/>
      <c r="AF115" s="473"/>
      <c r="AG115" s="473"/>
      <c r="AH115" s="452" t="e">
        <f t="shared" si="104"/>
        <v>#N/A</v>
      </c>
      <c r="AI115" s="661"/>
      <c r="AJ115" s="470"/>
      <c r="AK115" s="473"/>
      <c r="AL115" s="473"/>
      <c r="AM115" s="452" t="e">
        <f t="shared" si="105"/>
        <v>#N/A</v>
      </c>
      <c r="AN115" s="661"/>
      <c r="AO115" s="470"/>
      <c r="AP115" s="473"/>
      <c r="AQ115" s="473"/>
      <c r="AR115" s="452" t="e">
        <f t="shared" si="106"/>
        <v>#N/A</v>
      </c>
      <c r="AS115" s="661"/>
      <c r="AT115" s="466"/>
      <c r="AU115" s="182"/>
      <c r="AV115" s="467"/>
      <c r="AW115" s="452" t="e">
        <f t="shared" si="107"/>
        <v>#N/A</v>
      </c>
      <c r="AX115" s="661"/>
      <c r="AZ115" s="525" t="e">
        <f t="shared" si="108"/>
        <v>#N/A</v>
      </c>
      <c r="BA115" s="661"/>
    </row>
    <row r="116" spans="2:53">
      <c r="B116" s="647"/>
      <c r="C116" s="452">
        <v>10</v>
      </c>
      <c r="D116" s="226"/>
      <c r="E116" s="182"/>
      <c r="F116" s="466"/>
      <c r="G116" s="467"/>
      <c r="H116" s="659"/>
      <c r="I116" s="516" t="str">
        <f t="shared" si="98"/>
        <v>-</v>
      </c>
      <c r="J116" s="516" t="str">
        <f t="shared" si="99"/>
        <v>-</v>
      </c>
      <c r="K116" s="200" t="str">
        <f t="shared" si="100"/>
        <v>-</v>
      </c>
      <c r="L116" s="596"/>
      <c r="M116" s="453" t="e">
        <f>RANK(K116, K$67:$K$81)</f>
        <v>#VALUE!</v>
      </c>
      <c r="N116" s="614"/>
      <c r="O116" s="614"/>
      <c r="P116" s="452"/>
      <c r="Q116" s="453"/>
      <c r="R116" s="453"/>
      <c r="S116" s="452" t="e">
        <f t="shared" si="101"/>
        <v>#N/A</v>
      </c>
      <c r="T116" s="661"/>
      <c r="U116" s="470"/>
      <c r="V116" s="473"/>
      <c r="W116" s="473"/>
      <c r="X116" s="452" t="e">
        <f t="shared" si="102"/>
        <v>#N/A</v>
      </c>
      <c r="Y116" s="661"/>
      <c r="Z116" s="470"/>
      <c r="AA116" s="473"/>
      <c r="AB116" s="473"/>
      <c r="AC116" s="452" t="e">
        <f t="shared" si="103"/>
        <v>#N/A</v>
      </c>
      <c r="AD116" s="661"/>
      <c r="AE116" s="470"/>
      <c r="AF116" s="473"/>
      <c r="AG116" s="473"/>
      <c r="AH116" s="452" t="e">
        <f t="shared" si="104"/>
        <v>#N/A</v>
      </c>
      <c r="AI116" s="661"/>
      <c r="AJ116" s="470"/>
      <c r="AK116" s="473"/>
      <c r="AL116" s="473"/>
      <c r="AM116" s="452" t="e">
        <f t="shared" si="105"/>
        <v>#N/A</v>
      </c>
      <c r="AN116" s="661"/>
      <c r="AO116" s="470"/>
      <c r="AP116" s="473"/>
      <c r="AQ116" s="473"/>
      <c r="AR116" s="452" t="e">
        <f t="shared" si="106"/>
        <v>#N/A</v>
      </c>
      <c r="AS116" s="661"/>
      <c r="AT116" s="466"/>
      <c r="AU116" s="182"/>
      <c r="AV116" s="467"/>
      <c r="AW116" s="452" t="e">
        <f t="shared" si="107"/>
        <v>#N/A</v>
      </c>
      <c r="AX116" s="661"/>
      <c r="AZ116" s="525" t="e">
        <f t="shared" si="108"/>
        <v>#N/A</v>
      </c>
      <c r="BA116" s="661"/>
    </row>
    <row r="117" spans="2:53">
      <c r="B117" s="647"/>
      <c r="C117" s="452">
        <v>11</v>
      </c>
      <c r="D117" s="226"/>
      <c r="E117" s="182"/>
      <c r="F117" s="466"/>
      <c r="G117" s="467"/>
      <c r="H117" s="659"/>
      <c r="I117" s="516" t="str">
        <f t="shared" si="98"/>
        <v>-</v>
      </c>
      <c r="J117" s="516" t="str">
        <f t="shared" si="99"/>
        <v>-</v>
      </c>
      <c r="K117" s="200" t="str">
        <f t="shared" si="100"/>
        <v>-</v>
      </c>
      <c r="L117" s="596"/>
      <c r="M117" s="453" t="e">
        <f>RANK(K117, K$67:$K$81)</f>
        <v>#VALUE!</v>
      </c>
      <c r="N117" s="614"/>
      <c r="O117" s="614"/>
      <c r="P117" s="452"/>
      <c r="Q117" s="453"/>
      <c r="R117" s="453"/>
      <c r="S117" s="452" t="e">
        <f t="shared" si="101"/>
        <v>#N/A</v>
      </c>
      <c r="T117" s="661"/>
      <c r="U117" s="470"/>
      <c r="V117" s="473"/>
      <c r="W117" s="473"/>
      <c r="X117" s="452" t="e">
        <f t="shared" si="102"/>
        <v>#N/A</v>
      </c>
      <c r="Y117" s="661"/>
      <c r="Z117" s="470"/>
      <c r="AA117" s="473"/>
      <c r="AB117" s="473"/>
      <c r="AC117" s="452" t="e">
        <f t="shared" si="103"/>
        <v>#N/A</v>
      </c>
      <c r="AD117" s="661"/>
      <c r="AE117" s="470"/>
      <c r="AF117" s="473"/>
      <c r="AG117" s="473"/>
      <c r="AH117" s="452" t="e">
        <f t="shared" si="104"/>
        <v>#N/A</v>
      </c>
      <c r="AI117" s="661"/>
      <c r="AJ117" s="470"/>
      <c r="AK117" s="473"/>
      <c r="AL117" s="473"/>
      <c r="AM117" s="452" t="e">
        <f t="shared" si="105"/>
        <v>#N/A</v>
      </c>
      <c r="AN117" s="661"/>
      <c r="AO117" s="470"/>
      <c r="AP117" s="473"/>
      <c r="AQ117" s="473"/>
      <c r="AR117" s="452" t="e">
        <f t="shared" si="106"/>
        <v>#N/A</v>
      </c>
      <c r="AS117" s="661"/>
      <c r="AT117" s="466"/>
      <c r="AU117" s="182"/>
      <c r="AV117" s="467"/>
      <c r="AW117" s="452" t="e">
        <f t="shared" si="107"/>
        <v>#N/A</v>
      </c>
      <c r="AX117" s="661"/>
      <c r="AZ117" s="525" t="e">
        <f t="shared" si="108"/>
        <v>#N/A</v>
      </c>
      <c r="BA117" s="661"/>
    </row>
    <row r="118" spans="2:53">
      <c r="B118" s="647"/>
      <c r="C118" s="452">
        <v>12</v>
      </c>
      <c r="D118" s="226"/>
      <c r="E118" s="182"/>
      <c r="F118" s="466"/>
      <c r="G118" s="467"/>
      <c r="H118" s="659"/>
      <c r="I118" s="516" t="str">
        <f t="shared" si="98"/>
        <v>-</v>
      </c>
      <c r="J118" s="516" t="str">
        <f t="shared" si="99"/>
        <v>-</v>
      </c>
      <c r="K118" s="200" t="str">
        <f t="shared" si="100"/>
        <v>-</v>
      </c>
      <c r="L118" s="596"/>
      <c r="M118" s="453" t="e">
        <f>RANK(K118, K$67:$K$81)</f>
        <v>#VALUE!</v>
      </c>
      <c r="N118" s="614"/>
      <c r="O118" s="614"/>
      <c r="P118" s="452"/>
      <c r="Q118" s="453"/>
      <c r="R118" s="453"/>
      <c r="S118" s="452" t="e">
        <f t="shared" si="101"/>
        <v>#N/A</v>
      </c>
      <c r="T118" s="661"/>
      <c r="U118" s="470"/>
      <c r="V118" s="473"/>
      <c r="W118" s="473"/>
      <c r="X118" s="452" t="e">
        <f t="shared" si="102"/>
        <v>#N/A</v>
      </c>
      <c r="Y118" s="661"/>
      <c r="Z118" s="470"/>
      <c r="AA118" s="473"/>
      <c r="AB118" s="473"/>
      <c r="AC118" s="452" t="e">
        <f t="shared" si="103"/>
        <v>#N/A</v>
      </c>
      <c r="AD118" s="661"/>
      <c r="AE118" s="470"/>
      <c r="AF118" s="473"/>
      <c r="AG118" s="473"/>
      <c r="AH118" s="452" t="e">
        <f t="shared" si="104"/>
        <v>#N/A</v>
      </c>
      <c r="AI118" s="661"/>
      <c r="AJ118" s="470"/>
      <c r="AK118" s="473"/>
      <c r="AL118" s="473"/>
      <c r="AM118" s="452" t="e">
        <f t="shared" si="105"/>
        <v>#N/A</v>
      </c>
      <c r="AN118" s="661"/>
      <c r="AO118" s="470"/>
      <c r="AP118" s="473"/>
      <c r="AQ118" s="473"/>
      <c r="AR118" s="452" t="e">
        <f t="shared" si="106"/>
        <v>#N/A</v>
      </c>
      <c r="AS118" s="661"/>
      <c r="AT118" s="466"/>
      <c r="AU118" s="182"/>
      <c r="AV118" s="467"/>
      <c r="AW118" s="452" t="e">
        <f t="shared" si="107"/>
        <v>#N/A</v>
      </c>
      <c r="AX118" s="661"/>
      <c r="AZ118" s="525" t="e">
        <f t="shared" si="108"/>
        <v>#N/A</v>
      </c>
      <c r="BA118" s="661"/>
    </row>
    <row r="119" spans="2:53">
      <c r="B119" s="647"/>
      <c r="C119" s="452">
        <v>13</v>
      </c>
      <c r="D119" s="226"/>
      <c r="E119" s="182"/>
      <c r="F119" s="466"/>
      <c r="G119" s="467"/>
      <c r="H119" s="659"/>
      <c r="I119" s="516" t="str">
        <f t="shared" si="98"/>
        <v>-</v>
      </c>
      <c r="J119" s="516" t="str">
        <f t="shared" si="99"/>
        <v>-</v>
      </c>
      <c r="K119" s="200" t="str">
        <f t="shared" si="100"/>
        <v>-</v>
      </c>
      <c r="L119" s="596"/>
      <c r="M119" s="453" t="e">
        <f>RANK(K119, K$67:$K$81)</f>
        <v>#VALUE!</v>
      </c>
      <c r="N119" s="614"/>
      <c r="O119" s="614"/>
      <c r="P119" s="452"/>
      <c r="Q119" s="453"/>
      <c r="R119" s="453"/>
      <c r="S119" s="452" t="e">
        <f t="shared" si="101"/>
        <v>#N/A</v>
      </c>
      <c r="T119" s="661"/>
      <c r="U119" s="470"/>
      <c r="V119" s="473"/>
      <c r="W119" s="473"/>
      <c r="X119" s="452" t="e">
        <f t="shared" si="102"/>
        <v>#N/A</v>
      </c>
      <c r="Y119" s="661"/>
      <c r="Z119" s="470"/>
      <c r="AA119" s="473"/>
      <c r="AB119" s="473"/>
      <c r="AC119" s="452" t="e">
        <f t="shared" si="103"/>
        <v>#N/A</v>
      </c>
      <c r="AD119" s="661"/>
      <c r="AE119" s="470"/>
      <c r="AF119" s="473"/>
      <c r="AG119" s="473"/>
      <c r="AH119" s="452" t="e">
        <f t="shared" si="104"/>
        <v>#N/A</v>
      </c>
      <c r="AI119" s="661"/>
      <c r="AJ119" s="470"/>
      <c r="AK119" s="473"/>
      <c r="AL119" s="473"/>
      <c r="AM119" s="452" t="e">
        <f t="shared" si="105"/>
        <v>#N/A</v>
      </c>
      <c r="AN119" s="661"/>
      <c r="AO119" s="470"/>
      <c r="AP119" s="473"/>
      <c r="AQ119" s="473"/>
      <c r="AR119" s="452" t="e">
        <f t="shared" si="106"/>
        <v>#N/A</v>
      </c>
      <c r="AS119" s="661"/>
      <c r="AT119" s="466"/>
      <c r="AU119" s="182"/>
      <c r="AV119" s="467"/>
      <c r="AW119" s="452" t="e">
        <f t="shared" si="107"/>
        <v>#N/A</v>
      </c>
      <c r="AX119" s="661"/>
      <c r="AZ119" s="525" t="e">
        <f t="shared" si="108"/>
        <v>#N/A</v>
      </c>
      <c r="BA119" s="661"/>
    </row>
    <row r="120" spans="2:53">
      <c r="B120" s="647"/>
      <c r="C120" s="452">
        <v>14</v>
      </c>
      <c r="D120" s="226"/>
      <c r="E120" s="182"/>
      <c r="F120" s="466"/>
      <c r="G120" s="467"/>
      <c r="H120" s="659"/>
      <c r="I120" s="516" t="str">
        <f t="shared" si="98"/>
        <v>-</v>
      </c>
      <c r="J120" s="516" t="str">
        <f t="shared" si="99"/>
        <v>-</v>
      </c>
      <c r="K120" s="200" t="str">
        <f t="shared" si="100"/>
        <v>-</v>
      </c>
      <c r="L120" s="596"/>
      <c r="M120" s="453" t="e">
        <f>RANK(K120, K$67:$K$81)</f>
        <v>#VALUE!</v>
      </c>
      <c r="N120" s="614"/>
      <c r="O120" s="614"/>
      <c r="P120" s="452"/>
      <c r="Q120" s="453"/>
      <c r="R120" s="453"/>
      <c r="S120" s="452" t="e">
        <f t="shared" si="101"/>
        <v>#N/A</v>
      </c>
      <c r="T120" s="661"/>
      <c r="U120" s="470"/>
      <c r="V120" s="473"/>
      <c r="W120" s="473"/>
      <c r="X120" s="452" t="e">
        <f t="shared" si="102"/>
        <v>#N/A</v>
      </c>
      <c r="Y120" s="661"/>
      <c r="Z120" s="470"/>
      <c r="AA120" s="473"/>
      <c r="AB120" s="473"/>
      <c r="AC120" s="452" t="e">
        <f t="shared" si="103"/>
        <v>#N/A</v>
      </c>
      <c r="AD120" s="661"/>
      <c r="AE120" s="470"/>
      <c r="AF120" s="473"/>
      <c r="AG120" s="473"/>
      <c r="AH120" s="452" t="e">
        <f t="shared" si="104"/>
        <v>#N/A</v>
      </c>
      <c r="AI120" s="661"/>
      <c r="AJ120" s="470"/>
      <c r="AK120" s="473"/>
      <c r="AL120" s="473"/>
      <c r="AM120" s="452" t="e">
        <f t="shared" si="105"/>
        <v>#N/A</v>
      </c>
      <c r="AN120" s="661"/>
      <c r="AO120" s="470"/>
      <c r="AP120" s="473"/>
      <c r="AQ120" s="473"/>
      <c r="AR120" s="452" t="e">
        <f t="shared" si="106"/>
        <v>#N/A</v>
      </c>
      <c r="AS120" s="661"/>
      <c r="AT120" s="466"/>
      <c r="AU120" s="182"/>
      <c r="AV120" s="467"/>
      <c r="AW120" s="452" t="e">
        <f t="shared" si="107"/>
        <v>#N/A</v>
      </c>
      <c r="AX120" s="661"/>
      <c r="AZ120" s="525" t="e">
        <f t="shared" si="108"/>
        <v>#N/A</v>
      </c>
      <c r="BA120" s="661"/>
    </row>
    <row r="121" spans="2:53">
      <c r="B121" s="647"/>
      <c r="C121" s="452">
        <v>15</v>
      </c>
      <c r="D121" s="226"/>
      <c r="E121" s="182"/>
      <c r="F121" s="466"/>
      <c r="G121" s="467"/>
      <c r="H121" s="669"/>
      <c r="I121" s="520"/>
      <c r="J121" s="520"/>
      <c r="K121" s="520"/>
      <c r="L121" s="597"/>
      <c r="M121" s="453" t="e">
        <f>RANK(K121, K$47:$K$61)</f>
        <v>#N/A</v>
      </c>
      <c r="N121" s="614"/>
      <c r="O121" s="614"/>
      <c r="P121" s="452"/>
      <c r="Q121" s="453"/>
      <c r="R121" s="453"/>
      <c r="S121" s="452" t="e">
        <f t="shared" si="101"/>
        <v>#N/A</v>
      </c>
      <c r="T121" s="661"/>
      <c r="U121" s="470"/>
      <c r="V121" s="473"/>
      <c r="W121" s="473"/>
      <c r="X121" s="452" t="e">
        <f t="shared" si="102"/>
        <v>#N/A</v>
      </c>
      <c r="Y121" s="661"/>
      <c r="Z121" s="470"/>
      <c r="AA121" s="473"/>
      <c r="AB121" s="473"/>
      <c r="AC121" s="452" t="e">
        <f t="shared" si="103"/>
        <v>#N/A</v>
      </c>
      <c r="AD121" s="661"/>
      <c r="AE121" s="470"/>
      <c r="AF121" s="473"/>
      <c r="AG121" s="473"/>
      <c r="AH121" s="452" t="e">
        <f t="shared" si="104"/>
        <v>#N/A</v>
      </c>
      <c r="AI121" s="661"/>
      <c r="AJ121" s="470"/>
      <c r="AK121" s="473"/>
      <c r="AL121" s="473"/>
      <c r="AM121" s="452" t="e">
        <f t="shared" si="105"/>
        <v>#N/A</v>
      </c>
      <c r="AN121" s="661"/>
      <c r="AO121" s="470"/>
      <c r="AP121" s="473"/>
      <c r="AQ121" s="473"/>
      <c r="AR121" s="452" t="e">
        <f t="shared" si="106"/>
        <v>#N/A</v>
      </c>
      <c r="AS121" s="661"/>
      <c r="AT121" s="466"/>
      <c r="AU121" s="182"/>
      <c r="AV121" s="467"/>
      <c r="AW121" s="452" t="e">
        <f t="shared" si="107"/>
        <v>#N/A</v>
      </c>
      <c r="AX121" s="661"/>
      <c r="AZ121" s="525" t="e">
        <f t="shared" si="108"/>
        <v>#N/A</v>
      </c>
      <c r="BA121" s="661"/>
    </row>
    <row r="123" spans="2:53" ht="15.75">
      <c r="B123" s="653" t="s">
        <v>560</v>
      </c>
      <c r="C123" s="654"/>
      <c r="D123" s="654"/>
      <c r="E123" s="654"/>
      <c r="F123" s="654"/>
      <c r="G123" s="654"/>
      <c r="H123" s="655"/>
      <c r="I123" s="338"/>
      <c r="J123" s="338"/>
      <c r="K123" s="338"/>
      <c r="L123" s="338"/>
      <c r="M123" s="339"/>
    </row>
    <row r="124" spans="2:53" ht="15.75">
      <c r="B124" s="656"/>
      <c r="C124" s="656"/>
      <c r="D124" s="656"/>
      <c r="E124" s="656"/>
      <c r="F124" s="656"/>
      <c r="G124" s="656"/>
      <c r="H124" s="656"/>
      <c r="I124" s="340"/>
      <c r="J124" s="340"/>
      <c r="K124" s="340"/>
      <c r="L124" s="340"/>
      <c r="M124" s="341"/>
    </row>
    <row r="125" spans="2:53">
      <c r="B125" s="614" t="s">
        <v>561</v>
      </c>
      <c r="C125" s="614" t="s">
        <v>562</v>
      </c>
      <c r="D125" s="614"/>
      <c r="E125" s="614" t="s">
        <v>563</v>
      </c>
      <c r="F125" s="614"/>
      <c r="G125" s="614"/>
      <c r="H125" s="630" t="s">
        <v>564</v>
      </c>
      <c r="I125" s="657" t="s">
        <v>565</v>
      </c>
      <c r="J125" s="657"/>
      <c r="K125" s="657"/>
      <c r="L125" s="673" t="s">
        <v>564</v>
      </c>
      <c r="M125" s="676" t="s">
        <v>566</v>
      </c>
    </row>
    <row r="126" spans="2:53">
      <c r="B126" s="614"/>
      <c r="C126" s="614"/>
      <c r="D126" s="614"/>
      <c r="E126" s="614" t="s">
        <v>567</v>
      </c>
      <c r="F126" s="614"/>
      <c r="G126" s="614"/>
      <c r="H126" s="631"/>
      <c r="I126" s="657" t="s">
        <v>567</v>
      </c>
      <c r="J126" s="657"/>
      <c r="K126" s="657"/>
      <c r="L126" s="674"/>
      <c r="M126" s="677"/>
    </row>
    <row r="127" spans="2:53">
      <c r="B127" s="614"/>
      <c r="C127" s="614"/>
      <c r="D127" s="614"/>
      <c r="E127" s="335" t="s">
        <v>568</v>
      </c>
      <c r="F127" s="335" t="s">
        <v>569</v>
      </c>
      <c r="G127" s="335" t="s">
        <v>570</v>
      </c>
      <c r="H127" s="632"/>
      <c r="I127" s="342" t="s">
        <v>568</v>
      </c>
      <c r="J127" s="342" t="s">
        <v>569</v>
      </c>
      <c r="K127" s="342" t="s">
        <v>570</v>
      </c>
      <c r="L127" s="675"/>
      <c r="M127" s="678"/>
    </row>
    <row r="128" spans="2:53">
      <c r="B128" s="614" t="s">
        <v>578</v>
      </c>
      <c r="C128" s="334">
        <v>1</v>
      </c>
      <c r="D128" s="226"/>
      <c r="E128" s="182"/>
      <c r="F128" s="334"/>
      <c r="G128" s="337"/>
      <c r="H128" s="663" t="e">
        <f>AVERAGE(G128:G142)</f>
        <v>#DIV/0!</v>
      </c>
      <c r="I128" s="199" t="e">
        <f t="shared" ref="I128:J133" si="109">AVERAGEIF($D$7:$D$121,$D128,I$7:I$121)</f>
        <v>#DIV/0!</v>
      </c>
      <c r="J128" s="199" t="e">
        <f t="shared" si="109"/>
        <v>#DIV/0!</v>
      </c>
      <c r="K128" s="199" t="e">
        <f t="shared" ref="K128:K133" si="110">AVERAGEIF($D$7:$D$121,$D128,K$7:K$121)</f>
        <v>#DIV/0!</v>
      </c>
      <c r="L128" s="670" t="e">
        <f>AVERAGE(K128:K142)</f>
        <v>#DIV/0!</v>
      </c>
      <c r="M128" s="199" t="e">
        <f>RANK(K128, K$128:$K$142)</f>
        <v>#DIV/0!</v>
      </c>
    </row>
    <row r="129" spans="2:13">
      <c r="B129" s="622"/>
      <c r="C129" s="334">
        <v>2</v>
      </c>
      <c r="D129" s="226"/>
      <c r="E129" s="182"/>
      <c r="F129" s="334"/>
      <c r="G129" s="337"/>
      <c r="H129" s="664"/>
      <c r="I129" s="199" t="e">
        <f t="shared" si="109"/>
        <v>#DIV/0!</v>
      </c>
      <c r="J129" s="199" t="e">
        <f t="shared" si="109"/>
        <v>#DIV/0!</v>
      </c>
      <c r="K129" s="199" t="e">
        <f t="shared" si="110"/>
        <v>#DIV/0!</v>
      </c>
      <c r="L129" s="671"/>
      <c r="M129" s="199" t="e">
        <f>RANK(K129, K$128:$K$142)</f>
        <v>#DIV/0!</v>
      </c>
    </row>
    <row r="130" spans="2:13">
      <c r="B130" s="622"/>
      <c r="C130" s="334">
        <v>3</v>
      </c>
      <c r="D130" s="226"/>
      <c r="E130" s="182"/>
      <c r="F130" s="334"/>
      <c r="G130" s="337"/>
      <c r="H130" s="664"/>
      <c r="I130" s="199" t="e">
        <f t="shared" si="109"/>
        <v>#DIV/0!</v>
      </c>
      <c r="J130" s="199" t="e">
        <f t="shared" si="109"/>
        <v>#DIV/0!</v>
      </c>
      <c r="K130" s="199" t="e">
        <f t="shared" si="110"/>
        <v>#DIV/0!</v>
      </c>
      <c r="L130" s="671"/>
      <c r="M130" s="199" t="e">
        <f>RANK(K130, K$128:$K$142)</f>
        <v>#DIV/0!</v>
      </c>
    </row>
    <row r="131" spans="2:13">
      <c r="B131" s="622"/>
      <c r="C131" s="334">
        <v>4</v>
      </c>
      <c r="D131" s="226"/>
      <c r="E131" s="182"/>
      <c r="F131" s="334"/>
      <c r="G131" s="337"/>
      <c r="H131" s="664"/>
      <c r="I131" s="199" t="e">
        <f t="shared" si="109"/>
        <v>#DIV/0!</v>
      </c>
      <c r="J131" s="199" t="e">
        <f t="shared" si="109"/>
        <v>#DIV/0!</v>
      </c>
      <c r="K131" s="199" t="e">
        <f t="shared" si="110"/>
        <v>#DIV/0!</v>
      </c>
      <c r="L131" s="671"/>
      <c r="M131" s="199" t="e">
        <f>RANK(K131, K$128:$K$142)</f>
        <v>#DIV/0!</v>
      </c>
    </row>
    <row r="132" spans="2:13">
      <c r="B132" s="622"/>
      <c r="C132" s="334">
        <v>5</v>
      </c>
      <c r="D132" s="226"/>
      <c r="E132" s="182"/>
      <c r="F132" s="334"/>
      <c r="G132" s="337"/>
      <c r="H132" s="664"/>
      <c r="I132" s="199" t="e">
        <f t="shared" si="109"/>
        <v>#DIV/0!</v>
      </c>
      <c r="J132" s="199" t="e">
        <f t="shared" si="109"/>
        <v>#DIV/0!</v>
      </c>
      <c r="K132" s="199" t="e">
        <f t="shared" si="110"/>
        <v>#DIV/0!</v>
      </c>
      <c r="L132" s="671"/>
      <c r="M132" s="199" t="e">
        <f>RANK(K132, K$128:$K$142)</f>
        <v>#DIV/0!</v>
      </c>
    </row>
    <row r="133" spans="2:13">
      <c r="B133" s="622"/>
      <c r="C133" s="334">
        <v>6</v>
      </c>
      <c r="D133" s="343"/>
      <c r="E133" s="182"/>
      <c r="F133" s="334"/>
      <c r="G133" s="337"/>
      <c r="H133" s="664"/>
      <c r="I133" s="199" t="e">
        <f t="shared" si="109"/>
        <v>#DIV/0!</v>
      </c>
      <c r="J133" s="199" t="e">
        <f t="shared" si="109"/>
        <v>#DIV/0!</v>
      </c>
      <c r="K133" s="199" t="e">
        <f t="shared" si="110"/>
        <v>#DIV/0!</v>
      </c>
      <c r="L133" s="671"/>
      <c r="M133" s="199" t="e">
        <f>RANK(K133, K$128:$K$142)</f>
        <v>#DIV/0!</v>
      </c>
    </row>
    <row r="134" spans="2:13">
      <c r="B134" s="622"/>
      <c r="C134" s="334">
        <v>7</v>
      </c>
      <c r="D134" s="226"/>
      <c r="E134" s="182"/>
      <c r="F134" s="334"/>
      <c r="G134" s="337"/>
      <c r="H134" s="664"/>
      <c r="I134" s="199"/>
      <c r="J134" s="199"/>
      <c r="K134" s="199"/>
      <c r="L134" s="671"/>
      <c r="M134" s="199" t="e">
        <f>RANK(K134, K$128:$K$142)</f>
        <v>#DIV/0!</v>
      </c>
    </row>
    <row r="135" spans="2:13">
      <c r="B135" s="622"/>
      <c r="C135" s="334">
        <v>8</v>
      </c>
      <c r="D135" s="226"/>
      <c r="E135" s="182"/>
      <c r="F135" s="334"/>
      <c r="G135" s="337"/>
      <c r="H135" s="664"/>
      <c r="I135" s="199"/>
      <c r="J135" s="199"/>
      <c r="K135" s="199"/>
      <c r="L135" s="671"/>
      <c r="M135" s="199" t="e">
        <f>RANK(K135, K$128:$K$142)</f>
        <v>#DIV/0!</v>
      </c>
    </row>
    <row r="136" spans="2:13">
      <c r="B136" s="622"/>
      <c r="C136" s="334">
        <v>9</v>
      </c>
      <c r="D136" s="226"/>
      <c r="E136" s="334"/>
      <c r="F136" s="334"/>
      <c r="G136" s="334"/>
      <c r="H136" s="664"/>
      <c r="I136" s="199"/>
      <c r="J136" s="199"/>
      <c r="K136" s="199"/>
      <c r="L136" s="671"/>
      <c r="M136" s="199" t="e">
        <f>RANK(K136, K$128:$K$142)</f>
        <v>#DIV/0!</v>
      </c>
    </row>
    <row r="137" spans="2:13">
      <c r="B137" s="622"/>
      <c r="C137" s="334">
        <v>10</v>
      </c>
      <c r="D137" s="226"/>
      <c r="E137" s="334"/>
      <c r="F137" s="334"/>
      <c r="G137" s="334"/>
      <c r="H137" s="664"/>
      <c r="I137" s="199"/>
      <c r="J137" s="199"/>
      <c r="K137" s="199"/>
      <c r="L137" s="671"/>
      <c r="M137" s="199" t="e">
        <f>RANK(K137, K$128:$K$142)</f>
        <v>#DIV/0!</v>
      </c>
    </row>
    <row r="138" spans="2:13">
      <c r="B138" s="622"/>
      <c r="C138" s="334">
        <v>11</v>
      </c>
      <c r="D138" s="226"/>
      <c r="E138" s="334"/>
      <c r="F138" s="334"/>
      <c r="G138" s="334"/>
      <c r="H138" s="664"/>
      <c r="I138" s="199"/>
      <c r="J138" s="199"/>
      <c r="K138" s="199"/>
      <c r="L138" s="671"/>
      <c r="M138" s="199" t="e">
        <f>RANK(K138, K$128:$K$142)</f>
        <v>#DIV/0!</v>
      </c>
    </row>
    <row r="139" spans="2:13">
      <c r="B139" s="622"/>
      <c r="C139" s="334">
        <v>12</v>
      </c>
      <c r="D139" s="226"/>
      <c r="E139" s="334"/>
      <c r="F139" s="334"/>
      <c r="G139" s="334"/>
      <c r="H139" s="664"/>
      <c r="I139" s="199"/>
      <c r="J139" s="199"/>
      <c r="K139" s="199"/>
      <c r="L139" s="671"/>
      <c r="M139" s="199" t="e">
        <f>RANK(K139, K$128:$K$142)</f>
        <v>#DIV/0!</v>
      </c>
    </row>
    <row r="140" spans="2:13">
      <c r="B140" s="622"/>
      <c r="C140" s="334">
        <v>13</v>
      </c>
      <c r="D140" s="226"/>
      <c r="E140" s="334"/>
      <c r="F140" s="334"/>
      <c r="G140" s="334"/>
      <c r="H140" s="664"/>
      <c r="I140" s="199"/>
      <c r="J140" s="199"/>
      <c r="K140" s="199"/>
      <c r="L140" s="671"/>
      <c r="M140" s="199" t="e">
        <f>RANK(K140, K$128:$K$142)</f>
        <v>#DIV/0!</v>
      </c>
    </row>
    <row r="141" spans="2:13">
      <c r="B141" s="622"/>
      <c r="C141" s="334">
        <v>14</v>
      </c>
      <c r="D141" s="226"/>
      <c r="E141" s="334"/>
      <c r="F141" s="334"/>
      <c r="G141" s="334"/>
      <c r="H141" s="664"/>
      <c r="I141" s="199"/>
      <c r="J141" s="199"/>
      <c r="K141" s="199"/>
      <c r="L141" s="671"/>
      <c r="M141" s="199" t="e">
        <f>RANK(K141, K$128:$K$142)</f>
        <v>#DIV/0!</v>
      </c>
    </row>
    <row r="142" spans="2:13">
      <c r="B142" s="622"/>
      <c r="C142" s="334">
        <v>15</v>
      </c>
      <c r="D142" s="226"/>
      <c r="E142" s="334"/>
      <c r="F142" s="334"/>
      <c r="G142" s="334"/>
      <c r="H142" s="665"/>
      <c r="I142" s="199"/>
      <c r="J142" s="199"/>
      <c r="K142" s="199"/>
      <c r="L142" s="672"/>
      <c r="M142" s="199" t="e">
        <f>RANK(K142, K$128:$K$142)</f>
        <v>#DIV/0!</v>
      </c>
    </row>
  </sheetData>
  <mergeCells count="379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120"/>
    </row>
    <row r="2" spans="1:13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3" ht="15.75" customHeight="1">
      <c r="A3" s="711" t="s">
        <v>205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152"/>
    </row>
    <row r="4" spans="1:13" s="12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131"/>
    </row>
    <row r="5" spans="1:13" s="154" customFormat="1" ht="16.350000000000001" customHeight="1">
      <c r="A5" s="69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9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01" t="s">
        <v>187</v>
      </c>
      <c r="B7" s="701"/>
      <c r="C7" s="448" t="s">
        <v>414</v>
      </c>
      <c r="D7" s="701" t="s">
        <v>12</v>
      </c>
      <c r="E7" s="704"/>
      <c r="F7" s="704"/>
      <c r="G7" s="448" t="s">
        <v>46</v>
      </c>
      <c r="H7" s="448" t="s">
        <v>638</v>
      </c>
      <c r="I7" s="448" t="s">
        <v>411</v>
      </c>
      <c r="J7" s="222" t="s">
        <v>412</v>
      </c>
      <c r="K7" s="701" t="s">
        <v>413</v>
      </c>
      <c r="L7" s="704"/>
      <c r="M7" s="153"/>
    </row>
    <row r="8" spans="1:13" ht="15.75" customHeight="1">
      <c r="A8" s="699">
        <v>1</v>
      </c>
      <c r="B8" s="701" t="s">
        <v>150</v>
      </c>
      <c r="C8" s="449">
        <v>1</v>
      </c>
      <c r="D8" s="480" t="s">
        <v>362</v>
      </c>
      <c r="E8" s="445"/>
      <c r="F8" s="446"/>
      <c r="G8" s="481">
        <v>3</v>
      </c>
      <c r="H8" s="481">
        <v>3286.069073783362</v>
      </c>
      <c r="I8" s="481">
        <v>1095.3563579277873</v>
      </c>
      <c r="J8" s="241" t="s">
        <v>843</v>
      </c>
      <c r="K8" s="705" t="s">
        <v>844</v>
      </c>
      <c r="L8" s="706"/>
      <c r="M8" s="131"/>
    </row>
    <row r="9" spans="1:13" ht="15.75" customHeight="1">
      <c r="A9" s="699"/>
      <c r="B9" s="701"/>
      <c r="C9" s="449">
        <v>2</v>
      </c>
      <c r="D9" s="480" t="s">
        <v>358</v>
      </c>
      <c r="E9" s="445"/>
      <c r="F9" s="446"/>
      <c r="G9" s="481">
        <v>3</v>
      </c>
      <c r="H9" s="481">
        <v>3262.1005532857553</v>
      </c>
      <c r="I9" s="481">
        <v>1087.3668510952518</v>
      </c>
      <c r="J9" s="241" t="s">
        <v>843</v>
      </c>
      <c r="K9" s="707"/>
      <c r="L9" s="708"/>
      <c r="M9" s="131"/>
    </row>
    <row r="10" spans="1:13" ht="15.75" customHeight="1">
      <c r="A10" s="699"/>
      <c r="B10" s="701"/>
      <c r="C10" s="449">
        <v>3</v>
      </c>
      <c r="D10" s="480" t="s">
        <v>360</v>
      </c>
      <c r="E10" s="445"/>
      <c r="F10" s="446"/>
      <c r="G10" s="481">
        <v>3</v>
      </c>
      <c r="H10" s="481">
        <v>3243.2689864279332</v>
      </c>
      <c r="I10" s="481">
        <v>1081.0896621426443</v>
      </c>
      <c r="J10" s="241" t="s">
        <v>843</v>
      </c>
      <c r="K10" s="707"/>
      <c r="L10" s="708"/>
      <c r="M10" s="131"/>
    </row>
    <row r="11" spans="1:13" ht="15.75" customHeight="1">
      <c r="A11" s="699"/>
      <c r="B11" s="701"/>
      <c r="C11" s="449">
        <v>4</v>
      </c>
      <c r="D11" s="480" t="s">
        <v>359</v>
      </c>
      <c r="E11" s="445"/>
      <c r="F11" s="446"/>
      <c r="G11" s="481">
        <v>3</v>
      </c>
      <c r="H11" s="481">
        <v>3227.7787114845883</v>
      </c>
      <c r="I11" s="481">
        <v>1075.9262371615293</v>
      </c>
      <c r="J11" s="242" t="s">
        <v>845</v>
      </c>
      <c r="K11" s="707"/>
      <c r="L11" s="708"/>
      <c r="M11" s="131"/>
    </row>
    <row r="12" spans="1:13" ht="15.75" customHeight="1">
      <c r="A12" s="699"/>
      <c r="B12" s="701"/>
      <c r="C12" s="449">
        <v>5</v>
      </c>
      <c r="D12" s="488" t="s">
        <v>363</v>
      </c>
      <c r="E12" s="445"/>
      <c r="F12" s="446"/>
      <c r="G12" s="481">
        <v>3</v>
      </c>
      <c r="H12" s="481">
        <v>3073.0056958772147</v>
      </c>
      <c r="I12" s="481">
        <v>1024.3352319590715</v>
      </c>
      <c r="J12" s="242" t="s">
        <v>845</v>
      </c>
      <c r="K12" s="709"/>
      <c r="L12" s="710"/>
      <c r="M12" s="131"/>
    </row>
    <row r="13" spans="1:13" ht="15.75" customHeight="1">
      <c r="A13" s="699"/>
      <c r="B13" s="701"/>
      <c r="C13" s="165" t="s">
        <v>415</v>
      </c>
      <c r="D13" s="480" t="s">
        <v>802</v>
      </c>
      <c r="E13" s="445"/>
      <c r="F13" s="446"/>
      <c r="G13" s="481">
        <v>12.142857142857142</v>
      </c>
      <c r="H13" s="481">
        <v>1253.5496390402056</v>
      </c>
      <c r="I13" s="481">
        <v>103.23709152482742</v>
      </c>
      <c r="J13" s="240" t="s">
        <v>846</v>
      </c>
      <c r="K13" s="703"/>
      <c r="L13" s="704"/>
      <c r="M13" s="131"/>
    </row>
    <row r="14" spans="1:13" ht="15.75" customHeight="1">
      <c r="A14" s="699"/>
      <c r="B14" s="701"/>
      <c r="C14" s="165" t="s">
        <v>416</v>
      </c>
      <c r="D14" s="480" t="s">
        <v>642</v>
      </c>
      <c r="E14" s="445"/>
      <c r="F14" s="446"/>
      <c r="G14" s="481">
        <v>12</v>
      </c>
      <c r="H14" s="481">
        <v>1286.0577770803882</v>
      </c>
      <c r="I14" s="481">
        <v>107.17148142336568</v>
      </c>
      <c r="J14" s="242" t="s">
        <v>845</v>
      </c>
      <c r="K14" s="703" t="s">
        <v>847</v>
      </c>
      <c r="L14" s="704"/>
      <c r="M14" s="131"/>
    </row>
    <row r="15" spans="1:13" ht="15.75" customHeight="1">
      <c r="A15" s="699"/>
      <c r="B15" s="701"/>
      <c r="C15" s="165" t="s">
        <v>457</v>
      </c>
      <c r="D15" s="480" t="s">
        <v>820</v>
      </c>
      <c r="E15" s="445"/>
      <c r="F15" s="446"/>
      <c r="G15" s="481">
        <v>12</v>
      </c>
      <c r="H15" s="481">
        <v>1392.4896376089384</v>
      </c>
      <c r="I15" s="481">
        <v>116.04080313407817</v>
      </c>
      <c r="J15" s="241" t="s">
        <v>843</v>
      </c>
      <c r="K15" s="705" t="s">
        <v>848</v>
      </c>
      <c r="L15" s="706"/>
      <c r="M15" s="131"/>
    </row>
    <row r="16" spans="1:13" ht="15.75" customHeight="1">
      <c r="A16" s="699"/>
      <c r="B16" s="701"/>
      <c r="C16" s="165" t="s">
        <v>418</v>
      </c>
      <c r="D16" s="480" t="s">
        <v>679</v>
      </c>
      <c r="E16" s="445"/>
      <c r="F16" s="446"/>
      <c r="G16" s="481">
        <v>4</v>
      </c>
      <c r="H16" s="481">
        <v>2197.5714285714316</v>
      </c>
      <c r="I16" s="481">
        <v>549.39285714285791</v>
      </c>
      <c r="J16" s="242" t="s">
        <v>845</v>
      </c>
      <c r="K16" s="707"/>
      <c r="L16" s="708"/>
      <c r="M16" s="152"/>
    </row>
    <row r="17" spans="1:13" ht="15.75" customHeight="1">
      <c r="A17" s="699"/>
      <c r="B17" s="701"/>
      <c r="C17" s="165" t="s">
        <v>458</v>
      </c>
      <c r="D17" s="488" t="s">
        <v>780</v>
      </c>
      <c r="E17" s="445"/>
      <c r="F17" s="446"/>
      <c r="G17" s="481">
        <v>4</v>
      </c>
      <c r="H17" s="481">
        <v>2212.1632653061179</v>
      </c>
      <c r="I17" s="481">
        <v>553.04081632652947</v>
      </c>
      <c r="J17" s="241" t="s">
        <v>843</v>
      </c>
      <c r="K17" s="709"/>
      <c r="L17" s="710"/>
      <c r="M17" s="152"/>
    </row>
    <row r="18" spans="1:13" s="162" customFormat="1" ht="15.75" customHeight="1">
      <c r="A18" s="697" t="s">
        <v>187</v>
      </c>
      <c r="B18" s="697"/>
      <c r="C18" s="450" t="s">
        <v>414</v>
      </c>
      <c r="D18" s="697" t="s">
        <v>12</v>
      </c>
      <c r="E18" s="698"/>
      <c r="F18" s="698"/>
      <c r="G18" s="534" t="s">
        <v>849</v>
      </c>
      <c r="H18" s="534" t="s">
        <v>850</v>
      </c>
      <c r="I18" s="534" t="s">
        <v>851</v>
      </c>
      <c r="J18" s="222" t="s">
        <v>852</v>
      </c>
      <c r="K18" s="697" t="s">
        <v>853</v>
      </c>
      <c r="L18" s="698"/>
      <c r="M18" s="155"/>
    </row>
    <row r="19" spans="1:13" ht="15.75" customHeight="1">
      <c r="A19" s="699">
        <v>2</v>
      </c>
      <c r="B19" s="701" t="s">
        <v>151</v>
      </c>
      <c r="C19" s="449">
        <v>1</v>
      </c>
      <c r="D19" s="444" t="s">
        <v>580</v>
      </c>
      <c r="E19" s="445"/>
      <c r="F19" s="446"/>
      <c r="G19" s="481">
        <v>5</v>
      </c>
      <c r="H19" s="481">
        <v>1523.535936113575</v>
      </c>
      <c r="I19" s="481">
        <v>304.70718722271505</v>
      </c>
      <c r="J19" s="240" t="s">
        <v>846</v>
      </c>
      <c r="K19" s="702"/>
      <c r="L19" s="696"/>
      <c r="M19" s="152"/>
    </row>
    <row r="20" spans="1:13" ht="15.75" customHeight="1">
      <c r="A20" s="699"/>
      <c r="B20" s="701"/>
      <c r="C20" s="449">
        <v>2</v>
      </c>
      <c r="D20" s="444" t="s">
        <v>639</v>
      </c>
      <c r="E20" s="445"/>
      <c r="F20" s="446"/>
      <c r="G20" s="481">
        <v>6</v>
      </c>
      <c r="H20" s="481">
        <v>1557.4028828314551</v>
      </c>
      <c r="I20" s="481">
        <v>259.56714713857582</v>
      </c>
      <c r="J20" s="240" t="s">
        <v>846</v>
      </c>
      <c r="K20" s="700"/>
      <c r="L20" s="696"/>
      <c r="M20" s="152"/>
    </row>
    <row r="21" spans="1:13" ht="15.75" customHeight="1">
      <c r="A21" s="699"/>
      <c r="B21" s="701"/>
      <c r="C21" s="449">
        <v>3</v>
      </c>
      <c r="D21" s="482" t="s">
        <v>783</v>
      </c>
      <c r="E21" s="445"/>
      <c r="F21" s="446"/>
      <c r="G21" s="481">
        <v>12.714285714285714</v>
      </c>
      <c r="H21" s="481">
        <v>2471.1758503401356</v>
      </c>
      <c r="I21" s="481">
        <v>194.65626199197624</v>
      </c>
      <c r="J21" s="241" t="s">
        <v>843</v>
      </c>
      <c r="K21" s="691" t="s">
        <v>854</v>
      </c>
      <c r="L21" s="692"/>
      <c r="M21" s="152"/>
    </row>
    <row r="22" spans="1:13" ht="15.75" customHeight="1">
      <c r="A22" s="699"/>
      <c r="B22" s="701"/>
      <c r="C22" s="449">
        <v>4</v>
      </c>
      <c r="D22" s="482" t="s">
        <v>855</v>
      </c>
      <c r="E22" s="445"/>
      <c r="F22" s="446"/>
      <c r="G22" s="481">
        <v>12.714285714285714</v>
      </c>
      <c r="H22" s="481">
        <v>2407.6571428571438</v>
      </c>
      <c r="I22" s="481">
        <v>189.74200244200256</v>
      </c>
      <c r="J22" s="242" t="s">
        <v>845</v>
      </c>
      <c r="K22" s="693"/>
      <c r="L22" s="694"/>
      <c r="M22" s="152"/>
    </row>
    <row r="23" spans="1:13" ht="15.75" customHeight="1">
      <c r="A23" s="699"/>
      <c r="B23" s="701"/>
      <c r="C23" s="449">
        <v>5</v>
      </c>
      <c r="D23" s="482" t="s">
        <v>782</v>
      </c>
      <c r="E23" s="445"/>
      <c r="F23" s="446"/>
      <c r="G23" s="481">
        <v>10</v>
      </c>
      <c r="H23" s="481">
        <v>1319.9803294584974</v>
      </c>
      <c r="I23" s="481">
        <v>131.9980329458497</v>
      </c>
      <c r="J23" s="242" t="s">
        <v>845</v>
      </c>
      <c r="K23" s="695" t="s">
        <v>856</v>
      </c>
      <c r="L23" s="696"/>
      <c r="M23" s="152"/>
    </row>
    <row r="24" spans="1:13" ht="15.75" customHeight="1">
      <c r="A24" s="699"/>
      <c r="B24" s="701"/>
      <c r="C24" s="165" t="s">
        <v>415</v>
      </c>
      <c r="D24" s="444" t="s">
        <v>784</v>
      </c>
      <c r="E24" s="445"/>
      <c r="F24" s="446"/>
      <c r="G24" s="481">
        <v>13</v>
      </c>
      <c r="H24" s="481">
        <v>1104.1000000000008</v>
      </c>
      <c r="I24" s="481">
        <v>84.9307692307693</v>
      </c>
      <c r="J24" s="240" t="s">
        <v>846</v>
      </c>
      <c r="K24" s="700"/>
      <c r="L24" s="696"/>
      <c r="M24" s="152"/>
    </row>
    <row r="25" spans="1:13" ht="15.75" customHeight="1">
      <c r="A25" s="699"/>
      <c r="B25" s="701"/>
      <c r="C25" s="165" t="s">
        <v>416</v>
      </c>
      <c r="D25" s="444" t="s">
        <v>803</v>
      </c>
      <c r="E25" s="445"/>
      <c r="F25" s="446"/>
      <c r="G25" s="481">
        <v>13</v>
      </c>
      <c r="H25" s="481">
        <v>1191.136734693878</v>
      </c>
      <c r="I25" s="481">
        <v>91.625902668759849</v>
      </c>
      <c r="J25" s="240" t="s">
        <v>846</v>
      </c>
      <c r="K25" s="700"/>
      <c r="L25" s="696"/>
      <c r="M25" s="152"/>
    </row>
    <row r="26" spans="1:13" ht="15.75" customHeight="1">
      <c r="A26" s="699"/>
      <c r="B26" s="701"/>
      <c r="C26" s="165" t="s">
        <v>457</v>
      </c>
      <c r="E26" s="445"/>
      <c r="F26" s="446"/>
      <c r="G26" s="535"/>
      <c r="H26" s="535"/>
      <c r="I26" s="535"/>
      <c r="J26" s="535"/>
      <c r="K26" s="700"/>
      <c r="L26" s="696"/>
      <c r="M26" s="152"/>
    </row>
    <row r="27" spans="1:13" ht="15.75" customHeight="1">
      <c r="A27" s="699"/>
      <c r="B27" s="701"/>
      <c r="C27" s="165" t="s">
        <v>418</v>
      </c>
      <c r="D27" s="444"/>
      <c r="E27" s="445"/>
      <c r="F27" s="446"/>
      <c r="G27" s="535"/>
      <c r="H27" s="535"/>
      <c r="I27" s="535"/>
      <c r="J27" s="535"/>
      <c r="K27" s="700"/>
      <c r="L27" s="696"/>
      <c r="M27" s="152"/>
    </row>
    <row r="28" spans="1:13" ht="15.75" customHeight="1">
      <c r="A28" s="699"/>
      <c r="B28" s="701"/>
      <c r="C28" s="165" t="s">
        <v>458</v>
      </c>
      <c r="D28" s="444"/>
      <c r="E28" s="445"/>
      <c r="F28" s="446"/>
      <c r="G28" s="535"/>
      <c r="H28" s="535"/>
      <c r="I28" s="535"/>
      <c r="J28" s="535"/>
      <c r="K28" s="700"/>
      <c r="L28" s="696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6">
    <mergeCell ref="A1:L2"/>
    <mergeCell ref="A5:A6"/>
    <mergeCell ref="A7:B7"/>
    <mergeCell ref="D7:F7"/>
    <mergeCell ref="K7:L7"/>
    <mergeCell ref="A3:L4"/>
    <mergeCell ref="K13:L13"/>
    <mergeCell ref="A8:A17"/>
    <mergeCell ref="B8:B17"/>
    <mergeCell ref="K14:L14"/>
    <mergeCell ref="K8:L12"/>
    <mergeCell ref="K15:L17"/>
    <mergeCell ref="K21:L22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120"/>
    </row>
    <row r="2" spans="1:13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3" ht="15.75" customHeight="1">
      <c r="A3" s="711" t="s">
        <v>205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152"/>
    </row>
    <row r="4" spans="1:13" s="12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131"/>
    </row>
    <row r="5" spans="1:13" s="154" customFormat="1" ht="16.350000000000001" customHeight="1">
      <c r="A5" s="69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99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01" t="s">
        <v>187</v>
      </c>
      <c r="B7" s="701"/>
      <c r="C7" s="448" t="s">
        <v>414</v>
      </c>
      <c r="D7" s="701" t="s">
        <v>12</v>
      </c>
      <c r="E7" s="704"/>
      <c r="F7" s="704"/>
      <c r="G7" s="486" t="s">
        <v>750</v>
      </c>
      <c r="H7" s="486" t="s">
        <v>751</v>
      </c>
      <c r="I7" s="486" t="s">
        <v>752</v>
      </c>
      <c r="J7" s="222" t="s">
        <v>753</v>
      </c>
      <c r="K7" s="701" t="s">
        <v>754</v>
      </c>
      <c r="L7" s="704"/>
      <c r="M7" s="153"/>
    </row>
    <row r="8" spans="1:13" ht="15.75" customHeight="1">
      <c r="A8" s="699">
        <v>3</v>
      </c>
      <c r="B8" s="701" t="s">
        <v>152</v>
      </c>
      <c r="C8" s="449">
        <v>1</v>
      </c>
      <c r="D8" s="444" t="s">
        <v>385</v>
      </c>
      <c r="E8" s="445"/>
      <c r="F8" s="446"/>
      <c r="G8" s="481">
        <v>5</v>
      </c>
      <c r="H8" s="481">
        <v>2160.0676959743241</v>
      </c>
      <c r="I8" s="481">
        <v>432.01353919486485</v>
      </c>
      <c r="J8" s="240" t="s">
        <v>846</v>
      </c>
      <c r="K8" s="713"/>
      <c r="L8" s="698"/>
      <c r="M8" s="131"/>
    </row>
    <row r="9" spans="1:13" ht="15.75" customHeight="1">
      <c r="A9" s="699"/>
      <c r="B9" s="701"/>
      <c r="C9" s="449">
        <v>2</v>
      </c>
      <c r="D9" s="444" t="s">
        <v>465</v>
      </c>
      <c r="E9" s="445"/>
      <c r="F9" s="446"/>
      <c r="G9" s="481">
        <v>5</v>
      </c>
      <c r="H9" s="481">
        <v>2144.6531057490783</v>
      </c>
      <c r="I9" s="481">
        <v>428.93062114981569</v>
      </c>
      <c r="J9" s="240" t="s">
        <v>846</v>
      </c>
      <c r="K9" s="713"/>
      <c r="L9" s="698"/>
      <c r="M9" s="131"/>
    </row>
    <row r="10" spans="1:13" ht="15.75" customHeight="1">
      <c r="A10" s="699"/>
      <c r="B10" s="701"/>
      <c r="C10" s="449">
        <v>3</v>
      </c>
      <c r="D10" s="444" t="s">
        <v>770</v>
      </c>
      <c r="E10" s="445"/>
      <c r="F10" s="446"/>
      <c r="G10" s="481">
        <v>5</v>
      </c>
      <c r="H10" s="481">
        <v>2116.1786609380592</v>
      </c>
      <c r="I10" s="481">
        <v>423.23573218761175</v>
      </c>
      <c r="J10" s="240" t="s">
        <v>846</v>
      </c>
      <c r="K10" s="713"/>
      <c r="L10" s="698"/>
      <c r="M10" s="131"/>
    </row>
    <row r="11" spans="1:13" ht="15.75" customHeight="1">
      <c r="A11" s="699"/>
      <c r="B11" s="701"/>
      <c r="C11" s="449">
        <v>4</v>
      </c>
      <c r="D11" s="444" t="s">
        <v>388</v>
      </c>
      <c r="E11" s="445"/>
      <c r="F11" s="446"/>
      <c r="G11" s="481">
        <v>10</v>
      </c>
      <c r="H11" s="481">
        <v>2253.7451094564594</v>
      </c>
      <c r="I11" s="481">
        <v>225.37451094564591</v>
      </c>
      <c r="J11" s="240" t="s">
        <v>846</v>
      </c>
      <c r="K11" s="713"/>
      <c r="L11" s="698"/>
      <c r="M11" s="131"/>
    </row>
    <row r="12" spans="1:13" ht="15.75" customHeight="1">
      <c r="A12" s="699"/>
      <c r="B12" s="701"/>
      <c r="C12" s="449">
        <v>5</v>
      </c>
      <c r="D12" s="444" t="s">
        <v>387</v>
      </c>
      <c r="E12" s="445"/>
      <c r="F12" s="446"/>
      <c r="G12" s="481">
        <v>13</v>
      </c>
      <c r="H12" s="481">
        <v>2114.4377296741995</v>
      </c>
      <c r="I12" s="481">
        <v>162.64905612878459</v>
      </c>
      <c r="J12" s="241" t="s">
        <v>843</v>
      </c>
      <c r="K12" s="716" t="s">
        <v>848</v>
      </c>
      <c r="L12" s="698"/>
      <c r="M12" s="131"/>
    </row>
    <row r="13" spans="1:13" ht="15.75" customHeight="1">
      <c r="A13" s="699"/>
      <c r="B13" s="701"/>
      <c r="C13" s="165" t="s">
        <v>415</v>
      </c>
      <c r="D13" s="444" t="s">
        <v>384</v>
      </c>
      <c r="E13" s="445"/>
      <c r="F13" s="446"/>
      <c r="G13" s="481">
        <v>18.142857142857142</v>
      </c>
      <c r="H13" s="481">
        <v>1160.9133096601377</v>
      </c>
      <c r="I13" s="481">
        <v>64.028168116337753</v>
      </c>
      <c r="J13" s="240" t="s">
        <v>846</v>
      </c>
      <c r="K13" s="713"/>
      <c r="L13" s="698"/>
      <c r="M13" s="131"/>
    </row>
    <row r="14" spans="1:13" ht="15.75" customHeight="1">
      <c r="A14" s="699"/>
      <c r="B14" s="701"/>
      <c r="C14" s="165" t="s">
        <v>416</v>
      </c>
      <c r="D14" s="444" t="s">
        <v>386</v>
      </c>
      <c r="E14" s="445"/>
      <c r="F14" s="446"/>
      <c r="G14" s="481">
        <v>12</v>
      </c>
      <c r="H14" s="481">
        <v>1878.0923409640552</v>
      </c>
      <c r="I14" s="481">
        <v>156.50769508033792</v>
      </c>
      <c r="J14" s="240" t="s">
        <v>846</v>
      </c>
      <c r="K14" s="713"/>
      <c r="L14" s="698"/>
      <c r="M14" s="131"/>
    </row>
    <row r="15" spans="1:13" ht="15.75" customHeight="1">
      <c r="A15" s="699"/>
      <c r="B15" s="701"/>
      <c r="C15" s="165" t="s">
        <v>457</v>
      </c>
      <c r="D15" s="444" t="s">
        <v>675</v>
      </c>
      <c r="E15" s="445"/>
      <c r="F15" s="446"/>
      <c r="G15" s="481">
        <v>12</v>
      </c>
      <c r="H15" s="481">
        <v>1890.0497420702454</v>
      </c>
      <c r="I15" s="481">
        <v>157.50414517252042</v>
      </c>
      <c r="J15" s="240" t="s">
        <v>846</v>
      </c>
      <c r="K15" s="714"/>
      <c r="L15" s="715"/>
      <c r="M15" s="131"/>
    </row>
    <row r="16" spans="1:13" ht="15.75" customHeight="1">
      <c r="A16" s="699"/>
      <c r="B16" s="701"/>
      <c r="C16" s="165" t="s">
        <v>418</v>
      </c>
      <c r="D16" s="444" t="s">
        <v>785</v>
      </c>
      <c r="E16" s="445"/>
      <c r="F16" s="446"/>
      <c r="G16" s="481">
        <v>13</v>
      </c>
      <c r="H16" s="481">
        <v>2112.6907192857834</v>
      </c>
      <c r="I16" s="481">
        <v>162.51467071429104</v>
      </c>
      <c r="J16" s="242" t="s">
        <v>845</v>
      </c>
      <c r="K16" s="716" t="s">
        <v>848</v>
      </c>
      <c r="L16" s="698"/>
      <c r="M16" s="152"/>
    </row>
    <row r="17" spans="1:13" ht="15.75" customHeight="1">
      <c r="A17" s="699"/>
      <c r="B17" s="701"/>
      <c r="C17" s="165" t="s">
        <v>458</v>
      </c>
      <c r="D17" s="444"/>
      <c r="E17" s="445"/>
      <c r="F17" s="446"/>
      <c r="G17" s="481"/>
      <c r="H17" s="481"/>
      <c r="I17" s="481"/>
      <c r="J17" s="240"/>
      <c r="K17" s="713"/>
      <c r="L17" s="698"/>
      <c r="M17" s="152"/>
    </row>
    <row r="18" spans="1:13" s="162" customFormat="1" ht="15.75" customHeight="1">
      <c r="A18" s="697" t="s">
        <v>187</v>
      </c>
      <c r="B18" s="697"/>
      <c r="C18" s="450" t="s">
        <v>414</v>
      </c>
      <c r="D18" s="697" t="s">
        <v>12</v>
      </c>
      <c r="E18" s="698"/>
      <c r="F18" s="698"/>
      <c r="G18" s="534" t="s">
        <v>849</v>
      </c>
      <c r="H18" s="534" t="s">
        <v>850</v>
      </c>
      <c r="I18" s="534" t="s">
        <v>851</v>
      </c>
      <c r="J18" s="222" t="s">
        <v>852</v>
      </c>
      <c r="K18" s="697" t="s">
        <v>853</v>
      </c>
      <c r="L18" s="698"/>
      <c r="M18" s="155"/>
    </row>
    <row r="19" spans="1:13" ht="15.75" customHeight="1">
      <c r="A19" s="699">
        <v>4</v>
      </c>
      <c r="B19" s="701" t="s">
        <v>153</v>
      </c>
      <c r="C19" s="449">
        <v>1</v>
      </c>
      <c r="D19" s="482" t="s">
        <v>857</v>
      </c>
      <c r="E19" s="445"/>
      <c r="F19" s="446"/>
      <c r="G19" s="481">
        <v>13</v>
      </c>
      <c r="H19" s="481">
        <v>1505.6034632034623</v>
      </c>
      <c r="I19" s="481">
        <v>115.81565101565094</v>
      </c>
      <c r="J19" s="240" t="s">
        <v>846</v>
      </c>
      <c r="K19" s="702"/>
      <c r="L19" s="696"/>
      <c r="M19" s="152"/>
    </row>
    <row r="20" spans="1:13" ht="15.75" customHeight="1">
      <c r="A20" s="699"/>
      <c r="B20" s="701"/>
      <c r="C20" s="449">
        <v>2</v>
      </c>
      <c r="D20" s="482" t="s">
        <v>742</v>
      </c>
      <c r="E20" s="445"/>
      <c r="F20" s="446"/>
      <c r="G20" s="481">
        <v>13</v>
      </c>
      <c r="H20" s="481">
        <v>1391</v>
      </c>
      <c r="I20" s="481">
        <v>107</v>
      </c>
      <c r="J20" s="240" t="s">
        <v>846</v>
      </c>
      <c r="K20" s="700"/>
      <c r="L20" s="696"/>
      <c r="M20" s="152"/>
    </row>
    <row r="21" spans="1:13" ht="15.75" customHeight="1">
      <c r="A21" s="699"/>
      <c r="B21" s="701"/>
      <c r="C21" s="449">
        <v>3</v>
      </c>
      <c r="D21" s="444"/>
      <c r="E21" s="445"/>
      <c r="F21" s="446"/>
      <c r="G21" s="512"/>
      <c r="H21" s="512"/>
      <c r="I21" s="512"/>
      <c r="J21" s="512"/>
      <c r="K21" s="700"/>
      <c r="L21" s="696"/>
      <c r="M21" s="152"/>
    </row>
    <row r="22" spans="1:13" ht="15.75" customHeight="1">
      <c r="A22" s="699"/>
      <c r="B22" s="701"/>
      <c r="C22" s="449">
        <v>4</v>
      </c>
      <c r="D22" s="444"/>
      <c r="E22" s="445"/>
      <c r="F22" s="446"/>
      <c r="G22" s="512"/>
      <c r="H22" s="512"/>
      <c r="I22" s="512"/>
      <c r="J22" s="512"/>
      <c r="K22" s="700"/>
      <c r="L22" s="696"/>
      <c r="M22" s="152"/>
    </row>
    <row r="23" spans="1:13" ht="15.75" customHeight="1">
      <c r="A23" s="699"/>
      <c r="B23" s="701"/>
      <c r="C23" s="449">
        <v>5</v>
      </c>
      <c r="D23" s="444"/>
      <c r="E23" s="445"/>
      <c r="F23" s="446"/>
      <c r="G23" s="512"/>
      <c r="H23" s="512"/>
      <c r="I23" s="512"/>
      <c r="J23" s="512"/>
      <c r="K23" s="700"/>
      <c r="L23" s="696"/>
      <c r="M23" s="152"/>
    </row>
    <row r="24" spans="1:13" ht="15.75" customHeight="1">
      <c r="A24" s="699"/>
      <c r="B24" s="701"/>
      <c r="C24" s="165" t="s">
        <v>415</v>
      </c>
      <c r="D24" s="482"/>
      <c r="E24" s="445"/>
      <c r="F24" s="446"/>
      <c r="G24" s="504"/>
      <c r="H24" s="504"/>
      <c r="I24" s="504"/>
      <c r="J24" s="504"/>
      <c r="K24" s="702"/>
      <c r="L24" s="696"/>
      <c r="M24" s="152"/>
    </row>
    <row r="25" spans="1:13" ht="15.75" customHeight="1">
      <c r="A25" s="699"/>
      <c r="B25" s="701"/>
      <c r="C25" s="165" t="s">
        <v>416</v>
      </c>
      <c r="D25" s="444"/>
      <c r="E25" s="445"/>
      <c r="F25" s="446"/>
      <c r="G25" s="504"/>
      <c r="H25" s="504"/>
      <c r="I25" s="504"/>
      <c r="J25" s="504"/>
      <c r="K25" s="700"/>
      <c r="L25" s="696"/>
      <c r="M25" s="152"/>
    </row>
    <row r="26" spans="1:13" ht="15.75" customHeight="1">
      <c r="A26" s="699"/>
      <c r="B26" s="701"/>
      <c r="C26" s="165" t="s">
        <v>457</v>
      </c>
      <c r="D26" s="444"/>
      <c r="E26" s="445"/>
      <c r="F26" s="446"/>
      <c r="G26" s="504"/>
      <c r="H26" s="504"/>
      <c r="I26" s="504"/>
      <c r="J26" s="504"/>
      <c r="K26" s="700"/>
      <c r="L26" s="696"/>
      <c r="M26" s="152"/>
    </row>
    <row r="27" spans="1:13" ht="15.75" customHeight="1">
      <c r="A27" s="699"/>
      <c r="B27" s="701"/>
      <c r="C27" s="165" t="s">
        <v>418</v>
      </c>
      <c r="D27" s="444"/>
      <c r="E27" s="445"/>
      <c r="F27" s="446"/>
      <c r="G27" s="504"/>
      <c r="H27" s="504"/>
      <c r="I27" s="504"/>
      <c r="J27" s="504"/>
      <c r="K27" s="700"/>
      <c r="L27" s="696"/>
      <c r="M27" s="152"/>
    </row>
    <row r="28" spans="1:13" ht="15.75" customHeight="1">
      <c r="A28" s="699"/>
      <c r="B28" s="701"/>
      <c r="C28" s="165" t="s">
        <v>458</v>
      </c>
      <c r="D28" s="444"/>
      <c r="E28" s="445"/>
      <c r="F28" s="446"/>
      <c r="G28" s="504"/>
      <c r="H28" s="504"/>
      <c r="I28" s="504"/>
      <c r="J28" s="504"/>
      <c r="K28" s="700"/>
      <c r="L28" s="696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:L2"/>
    <mergeCell ref="K11:L11"/>
    <mergeCell ref="K12:L12"/>
    <mergeCell ref="A3:L4"/>
    <mergeCell ref="K8:L8"/>
    <mergeCell ref="K9:L9"/>
    <mergeCell ref="K10:L10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120"/>
    </row>
    <row r="2" spans="1:18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8" ht="15.75" customHeight="1">
      <c r="A3" s="711" t="s">
        <v>205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152"/>
    </row>
    <row r="4" spans="1:18" s="12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131"/>
    </row>
    <row r="5" spans="1:18" s="154" customFormat="1" ht="16.350000000000001" customHeight="1">
      <c r="A5" s="69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99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01" t="s">
        <v>706</v>
      </c>
      <c r="B7" s="701"/>
      <c r="C7" s="448" t="s">
        <v>707</v>
      </c>
      <c r="D7" s="701" t="s">
        <v>12</v>
      </c>
      <c r="E7" s="704"/>
      <c r="F7" s="704"/>
      <c r="G7" s="486" t="s">
        <v>750</v>
      </c>
      <c r="H7" s="486" t="s">
        <v>751</v>
      </c>
      <c r="I7" s="486" t="s">
        <v>752</v>
      </c>
      <c r="J7" s="222" t="s">
        <v>753</v>
      </c>
      <c r="K7" s="701" t="s">
        <v>754</v>
      </c>
      <c r="L7" s="704"/>
      <c r="M7" s="153"/>
    </row>
    <row r="8" spans="1:18" ht="15.75" customHeight="1">
      <c r="A8" s="699">
        <v>5</v>
      </c>
      <c r="B8" s="701" t="s">
        <v>133</v>
      </c>
      <c r="C8" s="449">
        <v>1</v>
      </c>
      <c r="D8" s="528" t="s">
        <v>841</v>
      </c>
      <c r="E8" s="445"/>
      <c r="F8" s="446"/>
      <c r="G8" s="481">
        <v>6.1428571428571432</v>
      </c>
      <c r="H8" s="481">
        <v>1444.2136233083472</v>
      </c>
      <c r="I8" s="481">
        <v>235.73462495656787</v>
      </c>
      <c r="J8" s="240" t="s">
        <v>846</v>
      </c>
      <c r="K8" s="717"/>
      <c r="L8" s="704"/>
      <c r="M8" s="131"/>
      <c r="P8" s="252"/>
      <c r="Q8" s="252"/>
      <c r="R8" s="252"/>
    </row>
    <row r="9" spans="1:18" ht="15.75" customHeight="1">
      <c r="A9" s="699"/>
      <c r="B9" s="701"/>
      <c r="C9" s="449">
        <v>2</v>
      </c>
      <c r="D9" s="482" t="s">
        <v>367</v>
      </c>
      <c r="E9" s="445"/>
      <c r="F9" s="446"/>
      <c r="G9" s="481">
        <v>6</v>
      </c>
      <c r="H9" s="481">
        <v>1414.1403226216937</v>
      </c>
      <c r="I9" s="481">
        <v>235.6900537702823</v>
      </c>
      <c r="J9" s="240" t="s">
        <v>846</v>
      </c>
      <c r="K9" s="717"/>
      <c r="L9" s="704"/>
      <c r="M9" s="131"/>
      <c r="P9" s="252"/>
      <c r="Q9" s="252"/>
      <c r="R9" s="252"/>
    </row>
    <row r="10" spans="1:18" ht="15.75" customHeight="1">
      <c r="A10" s="699"/>
      <c r="B10" s="701"/>
      <c r="C10" s="449">
        <v>3</v>
      </c>
      <c r="D10" s="444" t="s">
        <v>370</v>
      </c>
      <c r="E10" s="445"/>
      <c r="F10" s="446"/>
      <c r="G10" s="481">
        <v>14.857142857142858</v>
      </c>
      <c r="H10" s="481">
        <v>1330.8224700956557</v>
      </c>
      <c r="I10" s="481">
        <v>89.637824536989299</v>
      </c>
      <c r="J10" s="240" t="s">
        <v>846</v>
      </c>
      <c r="K10" s="717"/>
      <c r="L10" s="704"/>
      <c r="M10" s="131"/>
      <c r="P10" s="252"/>
      <c r="Q10" s="252"/>
      <c r="R10" s="252"/>
    </row>
    <row r="11" spans="1:18" ht="15.75" customHeight="1">
      <c r="A11" s="699"/>
      <c r="B11" s="701"/>
      <c r="C11" s="449">
        <v>4</v>
      </c>
      <c r="D11" s="444" t="s">
        <v>369</v>
      </c>
      <c r="E11" s="445"/>
      <c r="F11" s="446"/>
      <c r="G11" s="481">
        <v>16</v>
      </c>
      <c r="H11" s="481">
        <v>1378.0846400400553</v>
      </c>
      <c r="I11" s="481">
        <v>86.130290002503457</v>
      </c>
      <c r="J11" s="241" t="s">
        <v>843</v>
      </c>
      <c r="K11" s="719" t="s">
        <v>848</v>
      </c>
      <c r="L11" s="720"/>
      <c r="M11" s="131"/>
      <c r="P11" s="252"/>
      <c r="Q11" s="252"/>
      <c r="R11" s="252"/>
    </row>
    <row r="12" spans="1:18" ht="15.75" customHeight="1">
      <c r="A12" s="699"/>
      <c r="B12" s="701"/>
      <c r="C12" s="449">
        <v>5</v>
      </c>
      <c r="D12" s="444" t="s">
        <v>353</v>
      </c>
      <c r="E12" s="445"/>
      <c r="F12" s="446"/>
      <c r="G12" s="481">
        <v>16</v>
      </c>
      <c r="H12" s="481">
        <v>1366.6229583424702</v>
      </c>
      <c r="I12" s="481">
        <v>85.413934896404385</v>
      </c>
      <c r="J12" s="242" t="s">
        <v>845</v>
      </c>
      <c r="K12" s="721"/>
      <c r="L12" s="722"/>
      <c r="M12" s="131"/>
      <c r="P12" s="252"/>
      <c r="Q12" s="252"/>
      <c r="R12" s="252"/>
    </row>
    <row r="13" spans="1:18" ht="15.75" customHeight="1">
      <c r="A13" s="699"/>
      <c r="B13" s="701"/>
      <c r="C13" s="165" t="s">
        <v>708</v>
      </c>
      <c r="D13" s="444" t="s">
        <v>677</v>
      </c>
      <c r="E13" s="445"/>
      <c r="F13" s="446"/>
      <c r="G13" s="481">
        <v>19.857142857142858</v>
      </c>
      <c r="H13" s="481">
        <v>1216.5982976184332</v>
      </c>
      <c r="I13" s="481">
        <v>61.283298339568276</v>
      </c>
      <c r="J13" s="240" t="s">
        <v>846</v>
      </c>
      <c r="K13" s="717"/>
      <c r="L13" s="704"/>
      <c r="M13" s="131"/>
      <c r="P13" s="252"/>
      <c r="Q13" s="252"/>
      <c r="R13" s="252"/>
    </row>
    <row r="14" spans="1:18" ht="15.75" customHeight="1">
      <c r="A14" s="699"/>
      <c r="B14" s="701"/>
      <c r="C14" s="165" t="s">
        <v>709</v>
      </c>
      <c r="D14" s="444" t="s">
        <v>669</v>
      </c>
      <c r="E14" s="445"/>
      <c r="F14" s="446"/>
      <c r="G14" s="481">
        <v>20</v>
      </c>
      <c r="H14" s="481">
        <v>1232.6115240189599</v>
      </c>
      <c r="I14" s="481">
        <v>61.630576200947999</v>
      </c>
      <c r="J14" s="240" t="s">
        <v>846</v>
      </c>
      <c r="K14" s="717"/>
      <c r="L14" s="704"/>
      <c r="M14" s="131"/>
      <c r="P14" s="252"/>
      <c r="Q14" s="252"/>
      <c r="R14" s="252"/>
    </row>
    <row r="15" spans="1:18" ht="15.75" customHeight="1">
      <c r="A15" s="699"/>
      <c r="B15" s="701"/>
      <c r="C15" s="165" t="s">
        <v>710</v>
      </c>
      <c r="D15" s="444" t="s">
        <v>744</v>
      </c>
      <c r="E15" s="445"/>
      <c r="F15" s="446"/>
      <c r="G15" s="481">
        <v>21</v>
      </c>
      <c r="H15" s="481">
        <v>1367.5186036716702</v>
      </c>
      <c r="I15" s="481">
        <v>65.119933508174796</v>
      </c>
      <c r="J15" s="240" t="s">
        <v>846</v>
      </c>
      <c r="K15" s="717"/>
      <c r="L15" s="704"/>
      <c r="M15" s="131"/>
      <c r="P15" s="252"/>
      <c r="Q15" s="252"/>
      <c r="R15" s="252"/>
    </row>
    <row r="16" spans="1:18" ht="15.75" customHeight="1">
      <c r="A16" s="699"/>
      <c r="B16" s="701"/>
      <c r="C16" s="165" t="s">
        <v>711</v>
      </c>
      <c r="D16" s="482" t="s">
        <v>793</v>
      </c>
      <c r="E16" s="445"/>
      <c r="F16" s="446"/>
      <c r="G16" s="481">
        <v>19</v>
      </c>
      <c r="H16" s="481">
        <v>1259.9920864072119</v>
      </c>
      <c r="I16" s="481">
        <v>66.315372968800631</v>
      </c>
      <c r="J16" s="240" t="s">
        <v>846</v>
      </c>
      <c r="K16" s="717"/>
      <c r="L16" s="704"/>
      <c r="M16" s="152"/>
      <c r="P16" s="252"/>
      <c r="Q16" s="252"/>
      <c r="R16" s="252"/>
    </row>
    <row r="17" spans="1:18" ht="15.75" customHeight="1">
      <c r="A17" s="699"/>
      <c r="B17" s="701"/>
      <c r="C17" s="165" t="s">
        <v>712</v>
      </c>
      <c r="D17" s="482" t="s">
        <v>666</v>
      </c>
      <c r="E17" s="445"/>
      <c r="F17" s="446"/>
      <c r="G17" s="481">
        <v>20</v>
      </c>
      <c r="H17" s="481">
        <v>1333.4447440068288</v>
      </c>
      <c r="I17" s="481">
        <v>66.672237200341442</v>
      </c>
      <c r="J17" s="240" t="s">
        <v>846</v>
      </c>
      <c r="K17" s="717"/>
      <c r="L17" s="704"/>
      <c r="M17" s="152"/>
      <c r="P17" s="252"/>
      <c r="Q17" s="252"/>
      <c r="R17" s="252"/>
    </row>
    <row r="18" spans="1:18" s="162" customFormat="1" ht="15.75" customHeight="1">
      <c r="A18" s="697" t="s">
        <v>706</v>
      </c>
      <c r="B18" s="697"/>
      <c r="C18" s="450" t="s">
        <v>707</v>
      </c>
      <c r="D18" s="697" t="s">
        <v>12</v>
      </c>
      <c r="E18" s="698"/>
      <c r="F18" s="698"/>
      <c r="G18" s="534" t="s">
        <v>849</v>
      </c>
      <c r="H18" s="534" t="s">
        <v>850</v>
      </c>
      <c r="I18" s="534" t="s">
        <v>851</v>
      </c>
      <c r="J18" s="222" t="s">
        <v>852</v>
      </c>
      <c r="K18" s="697" t="s">
        <v>853</v>
      </c>
      <c r="L18" s="698"/>
      <c r="M18" s="155"/>
    </row>
    <row r="19" spans="1:18" ht="15.75" customHeight="1">
      <c r="A19" s="699">
        <v>6</v>
      </c>
      <c r="B19" s="701" t="s">
        <v>131</v>
      </c>
      <c r="C19" s="449">
        <v>1</v>
      </c>
      <c r="D19" s="444" t="s">
        <v>644</v>
      </c>
      <c r="E19" s="445"/>
      <c r="F19" s="446"/>
      <c r="G19" s="481">
        <v>16</v>
      </c>
      <c r="H19" s="481">
        <v>1291.2296146582487</v>
      </c>
      <c r="I19" s="481">
        <v>80.701850916140543</v>
      </c>
      <c r="J19" s="240" t="s">
        <v>846</v>
      </c>
      <c r="K19" s="717"/>
      <c r="L19" s="704"/>
      <c r="M19" s="152"/>
      <c r="P19" s="252"/>
      <c r="Q19" s="252"/>
      <c r="R19" s="252"/>
    </row>
    <row r="20" spans="1:18" ht="15.75" customHeight="1">
      <c r="A20" s="699"/>
      <c r="B20" s="701"/>
      <c r="C20" s="449">
        <v>2</v>
      </c>
      <c r="D20" s="444" t="s">
        <v>373</v>
      </c>
      <c r="E20" s="445"/>
      <c r="F20" s="446"/>
      <c r="G20" s="481">
        <v>17</v>
      </c>
      <c r="H20" s="481">
        <v>1355.9619666991748</v>
      </c>
      <c r="I20" s="481">
        <v>79.762468629363227</v>
      </c>
      <c r="J20" s="240" t="s">
        <v>846</v>
      </c>
      <c r="K20" s="717"/>
      <c r="L20" s="704"/>
      <c r="M20" s="152"/>
      <c r="P20" s="252"/>
      <c r="Q20" s="252"/>
      <c r="R20" s="252"/>
    </row>
    <row r="21" spans="1:18" ht="15.75" customHeight="1">
      <c r="A21" s="699"/>
      <c r="B21" s="701"/>
      <c r="C21" s="449">
        <v>3</v>
      </c>
      <c r="D21" s="444" t="s">
        <v>371</v>
      </c>
      <c r="E21" s="445"/>
      <c r="F21" s="446"/>
      <c r="G21" s="481">
        <v>18</v>
      </c>
      <c r="H21" s="481">
        <v>1354.6423872171447</v>
      </c>
      <c r="I21" s="481">
        <v>75.257910400952468</v>
      </c>
      <c r="J21" s="240" t="s">
        <v>846</v>
      </c>
      <c r="K21" s="717"/>
      <c r="L21" s="704"/>
      <c r="M21" s="152"/>
      <c r="P21" s="252"/>
      <c r="Q21" s="252"/>
      <c r="R21" s="252"/>
    </row>
    <row r="22" spans="1:18" ht="15.75" customHeight="1">
      <c r="A22" s="699"/>
      <c r="B22" s="701"/>
      <c r="C22" s="449">
        <v>4</v>
      </c>
      <c r="D22" s="444" t="s">
        <v>374</v>
      </c>
      <c r="E22" s="445"/>
      <c r="F22" s="446"/>
      <c r="G22" s="481">
        <v>17</v>
      </c>
      <c r="H22" s="481">
        <v>1269.6820304246528</v>
      </c>
      <c r="I22" s="481">
        <v>74.687178260273711</v>
      </c>
      <c r="J22" s="240" t="s">
        <v>846</v>
      </c>
      <c r="K22" s="717"/>
      <c r="L22" s="704"/>
      <c r="M22" s="152"/>
      <c r="P22" s="252"/>
      <c r="Q22" s="252"/>
      <c r="R22" s="252"/>
    </row>
    <row r="23" spans="1:18" ht="15.75" customHeight="1">
      <c r="A23" s="699"/>
      <c r="B23" s="701"/>
      <c r="C23" s="449">
        <v>5</v>
      </c>
      <c r="D23" s="444" t="s">
        <v>372</v>
      </c>
      <c r="E23" s="445"/>
      <c r="F23" s="446"/>
      <c r="G23" s="481">
        <v>18</v>
      </c>
      <c r="H23" s="481">
        <v>1330.5286027952443</v>
      </c>
      <c r="I23" s="481">
        <v>73.918255710846907</v>
      </c>
      <c r="J23" s="241" t="s">
        <v>843</v>
      </c>
      <c r="K23" s="718" t="s">
        <v>858</v>
      </c>
      <c r="L23" s="704"/>
      <c r="M23" s="152"/>
      <c r="P23" s="252"/>
      <c r="Q23" s="252"/>
      <c r="R23" s="252"/>
    </row>
    <row r="24" spans="1:18" ht="15.75" customHeight="1">
      <c r="A24" s="699"/>
      <c r="B24" s="701"/>
      <c r="C24" s="165" t="s">
        <v>708</v>
      </c>
      <c r="D24" s="482" t="s">
        <v>375</v>
      </c>
      <c r="E24" s="445"/>
      <c r="F24" s="446"/>
      <c r="G24" s="481">
        <v>21</v>
      </c>
      <c r="H24" s="481">
        <v>1288.3416995830596</v>
      </c>
      <c r="I24" s="481">
        <v>61.349604742050452</v>
      </c>
      <c r="J24" s="240" t="s">
        <v>846</v>
      </c>
      <c r="K24" s="717"/>
      <c r="L24" s="704"/>
      <c r="M24" s="152"/>
      <c r="P24" s="252"/>
      <c r="Q24" s="252"/>
      <c r="R24" s="252"/>
    </row>
    <row r="25" spans="1:18" ht="15.75" customHeight="1">
      <c r="A25" s="699"/>
      <c r="B25" s="701"/>
      <c r="C25" s="165" t="s">
        <v>709</v>
      </c>
      <c r="D25" s="444" t="s">
        <v>582</v>
      </c>
      <c r="E25" s="445"/>
      <c r="F25" s="446"/>
      <c r="G25" s="481">
        <v>18</v>
      </c>
      <c r="H25" s="481">
        <v>1223.2519510976695</v>
      </c>
      <c r="I25" s="481">
        <v>67.958441727648307</v>
      </c>
      <c r="J25" s="240" t="s">
        <v>846</v>
      </c>
      <c r="K25" s="718"/>
      <c r="L25" s="704"/>
      <c r="M25" s="152"/>
      <c r="P25" s="252"/>
      <c r="Q25" s="252"/>
      <c r="R25" s="252"/>
    </row>
    <row r="26" spans="1:18" ht="15.75" customHeight="1">
      <c r="A26" s="699"/>
      <c r="B26" s="701"/>
      <c r="C26" s="165" t="s">
        <v>710</v>
      </c>
      <c r="D26" s="444" t="s">
        <v>767</v>
      </c>
      <c r="E26" s="445"/>
      <c r="F26" s="446"/>
      <c r="G26" s="481">
        <v>19</v>
      </c>
      <c r="H26" s="481">
        <v>1327.5093033743947</v>
      </c>
      <c r="I26" s="481">
        <v>69.868910703915518</v>
      </c>
      <c r="J26" s="240" t="s">
        <v>846</v>
      </c>
      <c r="K26" s="718"/>
      <c r="L26" s="704"/>
      <c r="M26" s="152"/>
      <c r="P26" s="252"/>
      <c r="Q26" s="252"/>
      <c r="R26" s="252"/>
    </row>
    <row r="27" spans="1:18" ht="15.75" customHeight="1">
      <c r="A27" s="699"/>
      <c r="B27" s="701"/>
      <c r="C27" s="165" t="s">
        <v>711</v>
      </c>
      <c r="D27" s="444" t="s">
        <v>376</v>
      </c>
      <c r="E27" s="445"/>
      <c r="F27" s="446"/>
      <c r="G27" s="481">
        <v>19</v>
      </c>
      <c r="H27" s="481">
        <v>1335.8237863501015</v>
      </c>
      <c r="I27" s="481">
        <v>70.306515071057973</v>
      </c>
      <c r="J27" s="242" t="s">
        <v>845</v>
      </c>
      <c r="K27" s="718" t="s">
        <v>848</v>
      </c>
      <c r="L27" s="704"/>
      <c r="M27" s="152"/>
      <c r="P27" s="252"/>
      <c r="Q27" s="252"/>
      <c r="R27" s="252"/>
    </row>
    <row r="28" spans="1:18" ht="15.75" customHeight="1">
      <c r="A28" s="699"/>
      <c r="B28" s="701"/>
      <c r="C28" s="165" t="s">
        <v>712</v>
      </c>
      <c r="D28" s="444" t="s">
        <v>828</v>
      </c>
      <c r="E28" s="445"/>
      <c r="F28" s="446"/>
      <c r="G28" s="481">
        <v>18</v>
      </c>
      <c r="H28" s="481">
        <v>1274.2167552735384</v>
      </c>
      <c r="I28" s="481">
        <v>70.789819737418796</v>
      </c>
      <c r="J28" s="242" t="s">
        <v>845</v>
      </c>
      <c r="K28" s="718" t="s">
        <v>859</v>
      </c>
      <c r="L28" s="704"/>
      <c r="M28" s="152"/>
      <c r="P28" s="252"/>
      <c r="Q28" s="252"/>
      <c r="R28" s="252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K26:L26"/>
    <mergeCell ref="K27:L27"/>
    <mergeCell ref="K28:L28"/>
    <mergeCell ref="K8:L8"/>
    <mergeCell ref="K9:L9"/>
    <mergeCell ref="K10:L10"/>
    <mergeCell ref="K11:L12"/>
    <mergeCell ref="K13:L13"/>
    <mergeCell ref="K14:L14"/>
    <mergeCell ref="K15:L15"/>
    <mergeCell ref="K16:L16"/>
    <mergeCell ref="K17:L17"/>
    <mergeCell ref="K21:L21"/>
    <mergeCell ref="K24:L24"/>
    <mergeCell ref="K25:L25"/>
    <mergeCell ref="K23:L23"/>
    <mergeCell ref="K19:L19"/>
    <mergeCell ref="K20:L20"/>
    <mergeCell ref="K22:L22"/>
    <mergeCell ref="K18:L18"/>
    <mergeCell ref="A1:L2"/>
    <mergeCell ref="A3:L4"/>
    <mergeCell ref="A5:A6"/>
    <mergeCell ref="A7:B7"/>
    <mergeCell ref="D7:F7"/>
    <mergeCell ref="K7:L7"/>
    <mergeCell ref="A19:A28"/>
    <mergeCell ref="A8:A17"/>
    <mergeCell ref="B8:B17"/>
    <mergeCell ref="A18:B18"/>
    <mergeCell ref="D18:F18"/>
    <mergeCell ref="B19:B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120"/>
    </row>
    <row r="2" spans="1:13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3" ht="15.75" customHeight="1">
      <c r="A3" s="711" t="s">
        <v>205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152"/>
    </row>
    <row r="4" spans="1:13" s="121" customFormat="1" ht="15.75" customHeight="1">
      <c r="A4" s="711"/>
      <c r="B4" s="711"/>
      <c r="C4" s="711"/>
      <c r="D4" s="711"/>
      <c r="E4" s="711"/>
      <c r="F4" s="711"/>
      <c r="G4" s="711"/>
      <c r="H4" s="711"/>
      <c r="I4" s="711"/>
      <c r="J4" s="711"/>
      <c r="K4" s="711"/>
      <c r="L4" s="711"/>
      <c r="M4" s="131"/>
    </row>
    <row r="5" spans="1:13" s="154" customFormat="1" ht="16.350000000000001" customHeight="1">
      <c r="A5" s="72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28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29" t="s">
        <v>706</v>
      </c>
      <c r="B7" s="730"/>
      <c r="C7" s="448" t="s">
        <v>707</v>
      </c>
      <c r="D7" s="729" t="s">
        <v>12</v>
      </c>
      <c r="E7" s="731"/>
      <c r="F7" s="730"/>
      <c r="G7" s="486" t="s">
        <v>46</v>
      </c>
      <c r="H7" s="486" t="s">
        <v>755</v>
      </c>
      <c r="I7" s="486" t="s">
        <v>756</v>
      </c>
      <c r="J7" s="222" t="s">
        <v>757</v>
      </c>
      <c r="K7" s="729" t="s">
        <v>51</v>
      </c>
      <c r="L7" s="730"/>
      <c r="M7" s="153"/>
    </row>
    <row r="8" spans="1:13" ht="15.75" customHeight="1">
      <c r="A8" s="727">
        <v>7</v>
      </c>
      <c r="B8" s="733" t="s">
        <v>135</v>
      </c>
      <c r="C8" s="449">
        <v>1</v>
      </c>
      <c r="D8" s="444" t="s">
        <v>640</v>
      </c>
      <c r="E8" s="445"/>
      <c r="F8" s="446"/>
      <c r="G8" s="481">
        <v>14</v>
      </c>
      <c r="H8" s="481">
        <v>1258.3170970905521</v>
      </c>
      <c r="I8" s="481">
        <v>89.879792649325154</v>
      </c>
      <c r="J8" s="240" t="s">
        <v>846</v>
      </c>
      <c r="K8" s="723"/>
      <c r="L8" s="724"/>
      <c r="M8" s="131"/>
    </row>
    <row r="9" spans="1:13" ht="15.75" customHeight="1">
      <c r="A9" s="732"/>
      <c r="B9" s="734"/>
      <c r="C9" s="449">
        <v>2</v>
      </c>
      <c r="D9" s="482" t="s">
        <v>676</v>
      </c>
      <c r="E9" s="445"/>
      <c r="F9" s="446"/>
      <c r="G9" s="481">
        <v>17</v>
      </c>
      <c r="H9" s="481">
        <v>1451.2692657682478</v>
      </c>
      <c r="I9" s="481">
        <v>85.368780339308699</v>
      </c>
      <c r="J9" s="240" t="s">
        <v>846</v>
      </c>
      <c r="K9" s="725"/>
      <c r="L9" s="726"/>
      <c r="M9" s="131"/>
    </row>
    <row r="10" spans="1:13" ht="15.75" customHeight="1">
      <c r="A10" s="732"/>
      <c r="B10" s="734"/>
      <c r="C10" s="449">
        <v>3</v>
      </c>
      <c r="D10" s="444" t="s">
        <v>795</v>
      </c>
      <c r="E10" s="445"/>
      <c r="F10" s="446"/>
      <c r="G10" s="481">
        <v>16</v>
      </c>
      <c r="H10" s="481">
        <v>1304.2932735187153</v>
      </c>
      <c r="I10" s="481">
        <v>81.518329594919706</v>
      </c>
      <c r="J10" s="240" t="s">
        <v>846</v>
      </c>
      <c r="K10" s="725"/>
      <c r="L10" s="726"/>
      <c r="M10" s="131"/>
    </row>
    <row r="11" spans="1:13" ht="15.75" customHeight="1">
      <c r="A11" s="732"/>
      <c r="B11" s="734"/>
      <c r="C11" s="449">
        <v>4</v>
      </c>
      <c r="D11" s="444"/>
      <c r="E11" s="445"/>
      <c r="F11" s="446"/>
      <c r="G11" s="481"/>
      <c r="H11" s="481"/>
      <c r="I11" s="481"/>
      <c r="J11" s="240"/>
      <c r="K11" s="725"/>
      <c r="L11" s="726"/>
      <c r="M11" s="131"/>
    </row>
    <row r="12" spans="1:13" ht="15.75" customHeight="1">
      <c r="A12" s="732"/>
      <c r="B12" s="734"/>
      <c r="C12" s="449">
        <v>5</v>
      </c>
      <c r="D12" s="444"/>
      <c r="E12" s="445"/>
      <c r="F12" s="446"/>
      <c r="G12" s="481"/>
      <c r="H12" s="481"/>
      <c r="I12" s="481"/>
      <c r="J12" s="240"/>
      <c r="K12" s="725"/>
      <c r="L12" s="726"/>
      <c r="M12" s="131"/>
    </row>
    <row r="13" spans="1:13" ht="15.75" customHeight="1">
      <c r="A13" s="732"/>
      <c r="B13" s="734"/>
      <c r="C13" s="165" t="s">
        <v>708</v>
      </c>
      <c r="D13" s="482"/>
      <c r="E13" s="445"/>
      <c r="F13" s="446"/>
      <c r="G13" s="481"/>
      <c r="H13" s="481"/>
      <c r="I13" s="481"/>
      <c r="J13" s="240"/>
      <c r="K13" s="725"/>
      <c r="L13" s="726"/>
      <c r="M13" s="131"/>
    </row>
    <row r="14" spans="1:13" ht="15.75" customHeight="1">
      <c r="A14" s="732"/>
      <c r="B14" s="734"/>
      <c r="C14" s="165" t="s">
        <v>709</v>
      </c>
      <c r="D14" s="444"/>
      <c r="E14" s="445"/>
      <c r="F14" s="446"/>
      <c r="G14" s="481"/>
      <c r="H14" s="481"/>
      <c r="I14" s="481"/>
      <c r="J14" s="240"/>
      <c r="K14" s="736"/>
      <c r="L14" s="726"/>
      <c r="M14" s="131"/>
    </row>
    <row r="15" spans="1:13" ht="15.75" customHeight="1">
      <c r="A15" s="732"/>
      <c r="B15" s="734"/>
      <c r="C15" s="165" t="s">
        <v>710</v>
      </c>
      <c r="D15" s="444"/>
      <c r="E15" s="445"/>
      <c r="F15" s="446"/>
      <c r="G15" s="481"/>
      <c r="H15" s="481"/>
      <c r="I15" s="481"/>
      <c r="J15" s="240"/>
      <c r="K15" s="736"/>
      <c r="L15" s="726"/>
      <c r="M15" s="131"/>
    </row>
    <row r="16" spans="1:13" ht="15.75" customHeight="1">
      <c r="A16" s="732"/>
      <c r="B16" s="734"/>
      <c r="C16" s="165" t="s">
        <v>711</v>
      </c>
      <c r="D16" s="444"/>
      <c r="E16" s="445"/>
      <c r="F16" s="446"/>
      <c r="G16" s="481"/>
      <c r="H16" s="481"/>
      <c r="I16" s="481"/>
      <c r="J16" s="240"/>
      <c r="K16" s="736"/>
      <c r="L16" s="726"/>
      <c r="M16" s="152"/>
    </row>
    <row r="17" spans="1:13" ht="15.75" customHeight="1">
      <c r="A17" s="728"/>
      <c r="B17" s="735"/>
      <c r="C17" s="165" t="s">
        <v>712</v>
      </c>
      <c r="D17" s="444"/>
      <c r="E17" s="445"/>
      <c r="F17" s="446"/>
      <c r="G17" s="535"/>
      <c r="H17" s="535"/>
      <c r="I17" s="535"/>
      <c r="J17" s="535"/>
      <c r="K17" s="736"/>
      <c r="L17" s="726"/>
      <c r="M17" s="152"/>
    </row>
    <row r="18" spans="1:13" s="162" customFormat="1" ht="15.75" customHeight="1">
      <c r="A18" s="737" t="s">
        <v>706</v>
      </c>
      <c r="B18" s="738"/>
      <c r="C18" s="450" t="s">
        <v>707</v>
      </c>
      <c r="D18" s="737" t="s">
        <v>12</v>
      </c>
      <c r="E18" s="739"/>
      <c r="F18" s="738"/>
      <c r="G18" s="534" t="s">
        <v>849</v>
      </c>
      <c r="H18" s="534" t="s">
        <v>850</v>
      </c>
      <c r="I18" s="534" t="s">
        <v>851</v>
      </c>
      <c r="J18" s="222" t="s">
        <v>852</v>
      </c>
      <c r="K18" s="737" t="s">
        <v>853</v>
      </c>
      <c r="L18" s="738"/>
      <c r="M18" s="155"/>
    </row>
    <row r="19" spans="1:13" ht="15.75" customHeight="1">
      <c r="A19" s="727">
        <v>8</v>
      </c>
      <c r="B19" s="733" t="s">
        <v>136</v>
      </c>
      <c r="C19" s="449">
        <v>1</v>
      </c>
      <c r="D19" s="444" t="s">
        <v>378</v>
      </c>
      <c r="E19" s="445"/>
      <c r="F19" s="446"/>
      <c r="G19" s="481">
        <v>19</v>
      </c>
      <c r="H19" s="481">
        <v>2520.008327161951</v>
      </c>
      <c r="I19" s="481">
        <v>132.63201721905006</v>
      </c>
      <c r="J19" s="240" t="s">
        <v>846</v>
      </c>
      <c r="K19" s="742"/>
      <c r="L19" s="743"/>
      <c r="M19" s="152"/>
    </row>
    <row r="20" spans="1:13" ht="15.75" customHeight="1">
      <c r="A20" s="732"/>
      <c r="B20" s="734"/>
      <c r="C20" s="449">
        <v>2</v>
      </c>
      <c r="D20" s="444" t="s">
        <v>380</v>
      </c>
      <c r="E20" s="445"/>
      <c r="F20" s="446"/>
      <c r="G20" s="481">
        <v>20</v>
      </c>
      <c r="H20" s="481">
        <v>2540.4945325138756</v>
      </c>
      <c r="I20" s="481">
        <v>127.02472662569379</v>
      </c>
      <c r="J20" s="240" t="s">
        <v>846</v>
      </c>
      <c r="K20" s="742"/>
      <c r="L20" s="743"/>
      <c r="M20" s="152"/>
    </row>
    <row r="21" spans="1:13" ht="15.75" customHeight="1">
      <c r="A21" s="732"/>
      <c r="B21" s="734"/>
      <c r="C21" s="449">
        <v>3</v>
      </c>
      <c r="D21" s="482" t="s">
        <v>379</v>
      </c>
      <c r="E21" s="445"/>
      <c r="F21" s="446"/>
      <c r="G21" s="481">
        <v>19.714285714285715</v>
      </c>
      <c r="H21" s="481">
        <v>2492.9689091273453</v>
      </c>
      <c r="I21" s="481">
        <v>126.4528214994498</v>
      </c>
      <c r="J21" s="240" t="s">
        <v>846</v>
      </c>
      <c r="K21" s="742"/>
      <c r="L21" s="743"/>
      <c r="M21" s="152"/>
    </row>
    <row r="22" spans="1:13" ht="15.75" customHeight="1">
      <c r="A22" s="732"/>
      <c r="B22" s="734"/>
      <c r="C22" s="449">
        <v>4</v>
      </c>
      <c r="D22" s="444" t="s">
        <v>645</v>
      </c>
      <c r="E22" s="445"/>
      <c r="F22" s="446"/>
      <c r="G22" s="481">
        <v>18</v>
      </c>
      <c r="H22" s="481">
        <v>2223.3353472450258</v>
      </c>
      <c r="I22" s="481">
        <v>123.51863040250143</v>
      </c>
      <c r="J22" s="240" t="s">
        <v>846</v>
      </c>
      <c r="K22" s="742"/>
      <c r="L22" s="743"/>
      <c r="M22" s="152"/>
    </row>
    <row r="23" spans="1:13" ht="15.75" customHeight="1">
      <c r="A23" s="732"/>
      <c r="B23" s="734"/>
      <c r="C23" s="449">
        <v>5</v>
      </c>
      <c r="D23" s="444" t="s">
        <v>377</v>
      </c>
      <c r="E23" s="445"/>
      <c r="F23" s="446"/>
      <c r="G23" s="481">
        <v>20</v>
      </c>
      <c r="H23" s="481">
        <v>2253.5505589906697</v>
      </c>
      <c r="I23" s="481">
        <v>112.67752794953348</v>
      </c>
      <c r="J23" s="240" t="s">
        <v>846</v>
      </c>
      <c r="K23" s="742"/>
      <c r="L23" s="743"/>
      <c r="M23" s="152"/>
    </row>
    <row r="24" spans="1:13" ht="15.75" customHeight="1">
      <c r="A24" s="732"/>
      <c r="B24" s="734"/>
      <c r="C24" s="165" t="s">
        <v>708</v>
      </c>
      <c r="D24" s="444"/>
      <c r="E24" s="445"/>
      <c r="F24" s="446"/>
      <c r="G24" s="535"/>
      <c r="H24" s="535"/>
      <c r="I24" s="535"/>
      <c r="J24" s="535"/>
      <c r="K24" s="742"/>
      <c r="L24" s="743"/>
      <c r="M24" s="152"/>
    </row>
    <row r="25" spans="1:13" ht="15.75" customHeight="1">
      <c r="A25" s="732"/>
      <c r="B25" s="734"/>
      <c r="C25" s="165" t="s">
        <v>709</v>
      </c>
      <c r="D25" s="444"/>
      <c r="E25" s="445"/>
      <c r="F25" s="446"/>
      <c r="G25" s="535"/>
      <c r="H25" s="535"/>
      <c r="I25" s="535"/>
      <c r="J25" s="535"/>
      <c r="K25" s="740"/>
      <c r="L25" s="741"/>
      <c r="M25" s="152"/>
    </row>
    <row r="26" spans="1:13" ht="15.75" customHeight="1">
      <c r="A26" s="732"/>
      <c r="B26" s="734"/>
      <c r="C26" s="165" t="s">
        <v>710</v>
      </c>
      <c r="D26" s="444"/>
      <c r="E26" s="445"/>
      <c r="F26" s="446"/>
      <c r="G26" s="535"/>
      <c r="H26" s="535"/>
      <c r="I26" s="535"/>
      <c r="J26" s="535"/>
      <c r="K26" s="740"/>
      <c r="L26" s="741"/>
      <c r="M26" s="152"/>
    </row>
    <row r="27" spans="1:13" ht="15.75" customHeight="1">
      <c r="A27" s="732"/>
      <c r="B27" s="734"/>
      <c r="C27" s="165" t="s">
        <v>711</v>
      </c>
      <c r="D27" s="444"/>
      <c r="E27" s="445"/>
      <c r="F27" s="446"/>
      <c r="G27" s="535"/>
      <c r="H27" s="535"/>
      <c r="I27" s="535"/>
      <c r="J27" s="535"/>
      <c r="K27" s="740"/>
      <c r="L27" s="741"/>
      <c r="M27" s="152"/>
    </row>
    <row r="28" spans="1:13" ht="15.75" customHeight="1">
      <c r="A28" s="728"/>
      <c r="B28" s="735"/>
      <c r="C28" s="165" t="s">
        <v>712</v>
      </c>
      <c r="D28" s="444"/>
      <c r="E28" s="445"/>
      <c r="F28" s="446"/>
      <c r="G28" s="535"/>
      <c r="H28" s="535"/>
      <c r="I28" s="535"/>
      <c r="J28" s="535"/>
      <c r="K28" s="740"/>
      <c r="L28" s="74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19"/>
    <mergeCell ref="K20:L20"/>
    <mergeCell ref="K21:L21"/>
    <mergeCell ref="K11:L11"/>
    <mergeCell ref="K12:L12"/>
    <mergeCell ref="A18:B18"/>
    <mergeCell ref="D18:F18"/>
    <mergeCell ref="K18:L18"/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D8" sqref="D8:L17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120"/>
    </row>
    <row r="2" spans="1:13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</row>
    <row r="3" spans="1:13" ht="15.75" customHeight="1">
      <c r="A3" s="711" t="s">
        <v>205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152"/>
    </row>
    <row r="4" spans="1:13" s="121" customFormat="1" ht="15.75" customHeight="1">
      <c r="A4" s="711"/>
      <c r="B4" s="711"/>
      <c r="C4" s="711"/>
      <c r="D4" s="711"/>
      <c r="E4" s="711"/>
      <c r="F4" s="711"/>
      <c r="G4" s="711"/>
      <c r="H4" s="711"/>
      <c r="I4" s="711"/>
      <c r="J4" s="711"/>
      <c r="K4" s="711"/>
      <c r="L4" s="711"/>
      <c r="M4" s="131"/>
    </row>
    <row r="5" spans="1:13" s="154" customFormat="1" ht="16.350000000000001" customHeight="1">
      <c r="A5" s="727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28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29" t="s">
        <v>706</v>
      </c>
      <c r="B7" s="730"/>
      <c r="C7" s="448" t="s">
        <v>707</v>
      </c>
      <c r="D7" s="729" t="s">
        <v>12</v>
      </c>
      <c r="E7" s="731"/>
      <c r="F7" s="730"/>
      <c r="G7" s="486" t="s">
        <v>750</v>
      </c>
      <c r="H7" s="486" t="s">
        <v>751</v>
      </c>
      <c r="I7" s="486" t="s">
        <v>752</v>
      </c>
      <c r="J7" s="222" t="s">
        <v>753</v>
      </c>
      <c r="K7" s="729" t="s">
        <v>754</v>
      </c>
      <c r="L7" s="730"/>
      <c r="M7" s="153"/>
    </row>
    <row r="8" spans="1:13" ht="15.75" customHeight="1">
      <c r="A8" s="727">
        <v>9</v>
      </c>
      <c r="B8" s="733" t="s">
        <v>137</v>
      </c>
      <c r="C8" s="449">
        <v>1</v>
      </c>
      <c r="D8" s="444" t="s">
        <v>797</v>
      </c>
      <c r="E8" s="445"/>
      <c r="F8" s="446"/>
      <c r="G8" s="481">
        <v>6</v>
      </c>
      <c r="H8" s="481">
        <v>1529.6832648443992</v>
      </c>
      <c r="I8" s="481">
        <v>254.9472108073999</v>
      </c>
      <c r="J8" s="240" t="s">
        <v>846</v>
      </c>
      <c r="K8" s="714"/>
      <c r="L8" s="724"/>
      <c r="M8" s="131"/>
    </row>
    <row r="9" spans="1:13" ht="15.75" customHeight="1">
      <c r="A9" s="732"/>
      <c r="B9" s="734"/>
      <c r="C9" s="449">
        <v>2</v>
      </c>
      <c r="D9" s="444" t="s">
        <v>768</v>
      </c>
      <c r="E9" s="445"/>
      <c r="F9" s="446"/>
      <c r="G9" s="481">
        <v>7</v>
      </c>
      <c r="H9" s="481">
        <v>1469.2867286770729</v>
      </c>
      <c r="I9" s="481">
        <v>209.89810409672472</v>
      </c>
      <c r="J9" s="241" t="s">
        <v>843</v>
      </c>
      <c r="K9" s="744" t="s">
        <v>860</v>
      </c>
      <c r="L9" s="745"/>
      <c r="M9" s="131"/>
    </row>
    <row r="10" spans="1:13" ht="15.75" customHeight="1">
      <c r="A10" s="732"/>
      <c r="B10" s="734"/>
      <c r="C10" s="449">
        <v>3</v>
      </c>
      <c r="D10" s="444" t="s">
        <v>422</v>
      </c>
      <c r="E10" s="445"/>
      <c r="F10" s="446"/>
      <c r="G10" s="481">
        <v>7</v>
      </c>
      <c r="H10" s="481">
        <v>1455.1310726178745</v>
      </c>
      <c r="I10" s="481">
        <v>207.87586751683921</v>
      </c>
      <c r="J10" s="241" t="s">
        <v>843</v>
      </c>
      <c r="K10" s="746"/>
      <c r="L10" s="747"/>
      <c r="M10" s="131"/>
    </row>
    <row r="11" spans="1:13" ht="15.75" customHeight="1">
      <c r="A11" s="732"/>
      <c r="B11" s="734"/>
      <c r="C11" s="449">
        <v>4</v>
      </c>
      <c r="D11" s="482" t="s">
        <v>382</v>
      </c>
      <c r="E11" s="445"/>
      <c r="F11" s="446"/>
      <c r="G11" s="481">
        <v>7</v>
      </c>
      <c r="H11" s="481">
        <v>1451.3843670634001</v>
      </c>
      <c r="I11" s="481">
        <v>207.34062386620005</v>
      </c>
      <c r="J11" s="242" t="s">
        <v>845</v>
      </c>
      <c r="K11" s="746"/>
      <c r="L11" s="747"/>
      <c r="M11" s="131"/>
    </row>
    <row r="12" spans="1:13" ht="15.75" customHeight="1">
      <c r="A12" s="732"/>
      <c r="B12" s="734"/>
      <c r="C12" s="449">
        <v>5</v>
      </c>
      <c r="D12" s="444" t="s">
        <v>381</v>
      </c>
      <c r="E12" s="445"/>
      <c r="F12" s="446"/>
      <c r="G12" s="535">
        <v>7</v>
      </c>
      <c r="H12" s="481">
        <v>1444.1347755388135</v>
      </c>
      <c r="I12" s="481">
        <v>206.30496793411618</v>
      </c>
      <c r="J12" s="242" t="s">
        <v>845</v>
      </c>
      <c r="K12" s="748"/>
      <c r="L12" s="749"/>
      <c r="M12" s="131"/>
    </row>
    <row r="13" spans="1:13" ht="15.75" customHeight="1">
      <c r="A13" s="732"/>
      <c r="B13" s="734"/>
      <c r="C13" s="165" t="s">
        <v>708</v>
      </c>
      <c r="D13" s="444" t="s">
        <v>349</v>
      </c>
      <c r="E13" s="445"/>
      <c r="F13" s="446"/>
      <c r="G13" s="481">
        <v>20</v>
      </c>
      <c r="H13" s="481">
        <v>1389.2054192839237</v>
      </c>
      <c r="I13" s="481">
        <v>69.460270964196184</v>
      </c>
      <c r="J13" s="240" t="s">
        <v>846</v>
      </c>
      <c r="K13" s="723"/>
      <c r="L13" s="724"/>
      <c r="M13" s="131"/>
    </row>
    <row r="14" spans="1:13" ht="15.75" customHeight="1">
      <c r="A14" s="732"/>
      <c r="B14" s="734"/>
      <c r="C14" s="165" t="s">
        <v>709</v>
      </c>
      <c r="D14" s="444" t="s">
        <v>383</v>
      </c>
      <c r="E14" s="445"/>
      <c r="F14" s="446"/>
      <c r="G14" s="481">
        <v>16.142857142857142</v>
      </c>
      <c r="H14" s="481">
        <v>1393.2153192150829</v>
      </c>
      <c r="I14" s="481">
        <v>86.361990045798805</v>
      </c>
      <c r="J14" s="240" t="s">
        <v>846</v>
      </c>
      <c r="K14" s="736"/>
      <c r="L14" s="726"/>
      <c r="M14" s="131"/>
    </row>
    <row r="15" spans="1:13" ht="15.75" customHeight="1">
      <c r="A15" s="732"/>
      <c r="B15" s="734"/>
      <c r="C15" s="165" t="s">
        <v>710</v>
      </c>
      <c r="D15" s="444"/>
      <c r="E15" s="445"/>
      <c r="F15" s="446"/>
      <c r="G15" s="481"/>
      <c r="H15" s="481"/>
      <c r="I15" s="481"/>
      <c r="J15" s="240"/>
      <c r="K15" s="736"/>
      <c r="L15" s="726"/>
      <c r="M15" s="131"/>
    </row>
    <row r="16" spans="1:13" ht="15.75" customHeight="1">
      <c r="A16" s="732"/>
      <c r="B16" s="734"/>
      <c r="C16" s="165" t="s">
        <v>711</v>
      </c>
      <c r="D16" s="444"/>
      <c r="E16" s="445"/>
      <c r="F16" s="446"/>
      <c r="G16" s="481"/>
      <c r="H16" s="481"/>
      <c r="I16" s="481"/>
      <c r="J16" s="241"/>
      <c r="K16" s="736"/>
      <c r="L16" s="726"/>
      <c r="M16" s="152"/>
    </row>
    <row r="17" spans="1:13" ht="15.75" customHeight="1">
      <c r="A17" s="728"/>
      <c r="B17" s="735"/>
      <c r="C17" s="165" t="s">
        <v>712</v>
      </c>
      <c r="D17" s="444"/>
      <c r="E17" s="445"/>
      <c r="F17" s="446"/>
      <c r="G17" s="535"/>
      <c r="H17" s="535"/>
      <c r="I17" s="535"/>
      <c r="J17" s="535"/>
      <c r="K17" s="736"/>
      <c r="L17" s="726"/>
      <c r="M17" s="152"/>
    </row>
    <row r="18" spans="1:13" s="162" customFormat="1" ht="15.75" customHeight="1">
      <c r="A18" s="737" t="s">
        <v>187</v>
      </c>
      <c r="B18" s="738"/>
      <c r="C18" s="285" t="s">
        <v>414</v>
      </c>
      <c r="D18" s="737" t="s">
        <v>12</v>
      </c>
      <c r="E18" s="739"/>
      <c r="F18" s="738"/>
      <c r="G18" s="513" t="s">
        <v>821</v>
      </c>
      <c r="H18" s="513" t="s">
        <v>822</v>
      </c>
      <c r="I18" s="513" t="s">
        <v>823</v>
      </c>
      <c r="J18" s="222" t="s">
        <v>824</v>
      </c>
      <c r="K18" s="737" t="s">
        <v>825</v>
      </c>
      <c r="L18" s="738"/>
      <c r="M18" s="155"/>
    </row>
    <row r="19" spans="1:13" ht="15.75" customHeight="1">
      <c r="A19" s="727"/>
      <c r="B19" s="733"/>
      <c r="C19" s="284">
        <v>1</v>
      </c>
      <c r="D19" s="444"/>
      <c r="E19" s="445"/>
      <c r="F19" s="446"/>
      <c r="G19" s="512"/>
      <c r="H19" s="512"/>
      <c r="I19" s="512"/>
      <c r="J19" s="512"/>
      <c r="K19" s="750"/>
      <c r="L19" s="751"/>
      <c r="M19" s="152"/>
    </row>
    <row r="20" spans="1:13" ht="15.75" customHeight="1">
      <c r="A20" s="732"/>
      <c r="B20" s="734"/>
      <c r="C20" s="284">
        <v>2</v>
      </c>
      <c r="D20" s="444"/>
      <c r="E20" s="445"/>
      <c r="F20" s="446"/>
      <c r="G20" s="512"/>
      <c r="H20" s="512"/>
      <c r="I20" s="512"/>
      <c r="J20" s="512"/>
      <c r="K20" s="752"/>
      <c r="L20" s="753"/>
      <c r="M20" s="152"/>
    </row>
    <row r="21" spans="1:13" ht="15.75" customHeight="1">
      <c r="A21" s="732"/>
      <c r="B21" s="734"/>
      <c r="C21" s="284">
        <v>3</v>
      </c>
      <c r="D21" s="444"/>
      <c r="E21" s="445"/>
      <c r="F21" s="446"/>
      <c r="G21" s="512"/>
      <c r="H21" s="512"/>
      <c r="I21" s="512"/>
      <c r="J21" s="512"/>
      <c r="K21" s="752"/>
      <c r="L21" s="753"/>
      <c r="M21" s="152"/>
    </row>
    <row r="22" spans="1:13" ht="15.75" customHeight="1">
      <c r="A22" s="732"/>
      <c r="B22" s="734"/>
      <c r="C22" s="284">
        <v>4</v>
      </c>
      <c r="D22" s="752"/>
      <c r="E22" s="754"/>
      <c r="F22" s="753"/>
      <c r="G22" s="283"/>
      <c r="H22" s="283"/>
      <c r="I22" s="283"/>
      <c r="J22" s="283"/>
      <c r="K22" s="752"/>
      <c r="L22" s="753"/>
      <c r="M22" s="152"/>
    </row>
    <row r="23" spans="1:13" ht="15.75" customHeight="1">
      <c r="A23" s="732"/>
      <c r="B23" s="734"/>
      <c r="C23" s="284">
        <v>5</v>
      </c>
      <c r="D23" s="752"/>
      <c r="E23" s="754"/>
      <c r="F23" s="753"/>
      <c r="G23" s="283"/>
      <c r="H23" s="283"/>
      <c r="I23" s="283"/>
      <c r="J23" s="283"/>
      <c r="K23" s="752"/>
      <c r="L23" s="753"/>
      <c r="M23" s="152"/>
    </row>
    <row r="24" spans="1:13" ht="15.75" customHeight="1">
      <c r="A24" s="732"/>
      <c r="B24" s="734"/>
      <c r="C24" s="165" t="s">
        <v>415</v>
      </c>
      <c r="D24" s="750"/>
      <c r="E24" s="755"/>
      <c r="F24" s="751"/>
      <c r="G24" s="283"/>
      <c r="H24" s="283"/>
      <c r="I24" s="283"/>
      <c r="J24" s="283"/>
      <c r="K24" s="750"/>
      <c r="L24" s="751"/>
      <c r="M24" s="152"/>
    </row>
    <row r="25" spans="1:13" ht="15.75" customHeight="1">
      <c r="A25" s="732"/>
      <c r="B25" s="734"/>
      <c r="C25" s="165" t="s">
        <v>416</v>
      </c>
      <c r="D25" s="752"/>
      <c r="E25" s="754"/>
      <c r="F25" s="753"/>
      <c r="G25" s="283"/>
      <c r="H25" s="283"/>
      <c r="I25" s="283"/>
      <c r="J25" s="283"/>
      <c r="K25" s="752"/>
      <c r="L25" s="753"/>
      <c r="M25" s="152"/>
    </row>
    <row r="26" spans="1:13" ht="15.75" customHeight="1">
      <c r="A26" s="732"/>
      <c r="B26" s="734"/>
      <c r="C26" s="165" t="s">
        <v>417</v>
      </c>
      <c r="D26" s="752"/>
      <c r="E26" s="754"/>
      <c r="F26" s="753"/>
      <c r="G26" s="283"/>
      <c r="H26" s="283"/>
      <c r="I26" s="283"/>
      <c r="J26" s="283"/>
      <c r="K26" s="752"/>
      <c r="L26" s="753"/>
      <c r="M26" s="152"/>
    </row>
    <row r="27" spans="1:13" ht="15.75" customHeight="1">
      <c r="A27" s="732"/>
      <c r="B27" s="734"/>
      <c r="C27" s="165" t="s">
        <v>418</v>
      </c>
      <c r="D27" s="752"/>
      <c r="E27" s="754"/>
      <c r="F27" s="753"/>
      <c r="G27" s="283"/>
      <c r="H27" s="283"/>
      <c r="I27" s="283"/>
      <c r="J27" s="283"/>
      <c r="K27" s="752"/>
      <c r="L27" s="753"/>
      <c r="M27" s="152"/>
    </row>
    <row r="28" spans="1:13" ht="15.75" customHeight="1">
      <c r="A28" s="728"/>
      <c r="B28" s="735"/>
      <c r="C28" s="165" t="s">
        <v>419</v>
      </c>
      <c r="D28" s="752"/>
      <c r="E28" s="754"/>
      <c r="F28" s="753"/>
      <c r="G28" s="283"/>
      <c r="H28" s="283"/>
      <c r="I28" s="283"/>
      <c r="J28" s="283"/>
      <c r="K28" s="752"/>
      <c r="L28" s="753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7">
    <mergeCell ref="K25:L25"/>
    <mergeCell ref="K22:L22"/>
    <mergeCell ref="D23:F23"/>
    <mergeCell ref="K24:L24"/>
    <mergeCell ref="K23:L23"/>
    <mergeCell ref="D24:F24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8:L8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9:L12"/>
    <mergeCell ref="K17:L1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58" t="s">
        <v>236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</row>
    <row r="2" spans="1:14" s="184" customFormat="1" ht="15.75" customHeigh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</row>
    <row r="3" spans="1:14" ht="15.75" customHeight="1">
      <c r="A3" s="759" t="s">
        <v>237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185"/>
    </row>
    <row r="4" spans="1:14" s="184" customFormat="1" ht="15.75" customHeight="1">
      <c r="A4" s="759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59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60" t="s">
        <v>239</v>
      </c>
      <c r="B6" s="761" t="s">
        <v>10</v>
      </c>
      <c r="C6" s="761"/>
      <c r="D6" s="762"/>
      <c r="E6" s="760" t="s">
        <v>239</v>
      </c>
      <c r="F6" s="764">
        <v>1</v>
      </c>
      <c r="G6" s="764"/>
      <c r="H6" s="764">
        <v>2</v>
      </c>
      <c r="I6" s="764"/>
      <c r="J6" s="764">
        <v>3</v>
      </c>
      <c r="K6" s="764"/>
      <c r="L6" s="764">
        <v>4</v>
      </c>
      <c r="M6" s="764"/>
    </row>
    <row r="7" spans="1:14" ht="31.35" customHeight="1">
      <c r="A7" s="760"/>
      <c r="B7" s="761"/>
      <c r="C7" s="761"/>
      <c r="D7" s="763"/>
      <c r="E7" s="760"/>
      <c r="F7" s="756" t="s">
        <v>250</v>
      </c>
      <c r="G7" s="756"/>
      <c r="H7" s="756" t="s">
        <v>240</v>
      </c>
      <c r="I7" s="756"/>
      <c r="J7" s="756" t="s">
        <v>241</v>
      </c>
      <c r="K7" s="756"/>
      <c r="L7" s="756" t="s">
        <v>242</v>
      </c>
      <c r="M7" s="756"/>
    </row>
    <row r="8" spans="1:14" ht="15.75" customHeight="1">
      <c r="A8" s="760"/>
      <c r="B8" s="216" t="s">
        <v>11</v>
      </c>
      <c r="C8" s="216" t="s">
        <v>243</v>
      </c>
      <c r="D8" s="763"/>
      <c r="E8" s="760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763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763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63"/>
      <c r="E11" s="760" t="s">
        <v>239</v>
      </c>
      <c r="F11" s="764">
        <v>5</v>
      </c>
      <c r="G11" s="764"/>
      <c r="H11" s="764">
        <v>6</v>
      </c>
      <c r="I11" s="764"/>
      <c r="J11" s="764">
        <v>7</v>
      </c>
      <c r="K11" s="764"/>
      <c r="L11" s="765">
        <v>8</v>
      </c>
      <c r="M11" s="765"/>
    </row>
    <row r="12" spans="1:14" ht="31.35" customHeight="1">
      <c r="D12" s="763"/>
      <c r="E12" s="760"/>
      <c r="F12" s="756" t="s">
        <v>246</v>
      </c>
      <c r="G12" s="756"/>
      <c r="H12" s="756" t="s">
        <v>247</v>
      </c>
      <c r="I12" s="756"/>
      <c r="J12" s="756" t="s">
        <v>248</v>
      </c>
      <c r="K12" s="756"/>
      <c r="L12" s="757" t="s">
        <v>249</v>
      </c>
      <c r="M12" s="757"/>
    </row>
    <row r="13" spans="1:14" ht="15.75" customHeight="1">
      <c r="D13" s="763"/>
      <c r="E13" s="760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763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63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zoomScale="110" zoomScaleNormal="110" zoomScaleSheetLayoutView="115" workbookViewId="0">
      <selection activeCell="H14" sqref="H14:H15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3" ht="15.75" customHeight="1">
      <c r="A1" s="758" t="s">
        <v>236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</row>
    <row r="2" spans="1:13" s="184" customFormat="1" ht="15.75" customHeight="1" thickBo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</row>
    <row r="3" spans="1:13" ht="15.75" customHeight="1">
      <c r="A3" s="766" t="s">
        <v>861</v>
      </c>
      <c r="B3" s="767"/>
      <c r="C3" s="767"/>
      <c r="D3" s="767"/>
      <c r="E3" s="767"/>
      <c r="F3" s="767"/>
      <c r="G3" s="767"/>
      <c r="H3" s="767"/>
      <c r="I3" s="767"/>
      <c r="J3" s="767"/>
      <c r="K3" s="767"/>
      <c r="L3" s="767"/>
      <c r="M3" s="768"/>
    </row>
    <row r="4" spans="1:13" ht="15.75" customHeight="1">
      <c r="A4" s="769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70"/>
    </row>
    <row r="5" spans="1:13" ht="15.75" customHeight="1">
      <c r="A5" s="265" t="s">
        <v>238</v>
      </c>
      <c r="B5" s="344">
        <v>58053442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266"/>
    </row>
    <row r="6" spans="1:13" ht="15.75" customHeight="1">
      <c r="A6" s="771" t="s">
        <v>197</v>
      </c>
      <c r="B6" s="761" t="s">
        <v>10</v>
      </c>
      <c r="C6" s="761"/>
      <c r="D6" s="762"/>
      <c r="E6" s="760" t="s">
        <v>197</v>
      </c>
      <c r="F6" s="764">
        <v>1</v>
      </c>
      <c r="G6" s="764"/>
      <c r="H6" s="764">
        <v>2</v>
      </c>
      <c r="I6" s="764"/>
      <c r="J6" s="764">
        <v>3</v>
      </c>
      <c r="K6" s="764"/>
      <c r="L6" s="764">
        <v>4</v>
      </c>
      <c r="M6" s="773"/>
    </row>
    <row r="7" spans="1:13" ht="15.75" customHeight="1">
      <c r="A7" s="771"/>
      <c r="B7" s="761"/>
      <c r="C7" s="761"/>
      <c r="D7" s="763"/>
      <c r="E7" s="760"/>
      <c r="F7" s="756" t="s">
        <v>250</v>
      </c>
      <c r="G7" s="756"/>
      <c r="H7" s="756" t="s">
        <v>240</v>
      </c>
      <c r="I7" s="756"/>
      <c r="J7" s="756" t="s">
        <v>164</v>
      </c>
      <c r="K7" s="756"/>
      <c r="L7" s="756" t="s">
        <v>581</v>
      </c>
      <c r="M7" s="774"/>
    </row>
    <row r="8" spans="1:13" ht="15.75" customHeight="1">
      <c r="A8" s="771"/>
      <c r="B8" s="522" t="s">
        <v>11</v>
      </c>
      <c r="C8" s="522" t="s">
        <v>41</v>
      </c>
      <c r="D8" s="763"/>
      <c r="E8" s="760"/>
      <c r="F8" s="522" t="s">
        <v>11</v>
      </c>
      <c r="G8" s="522" t="s">
        <v>41</v>
      </c>
      <c r="H8" s="522" t="s">
        <v>11</v>
      </c>
      <c r="I8" s="522" t="s">
        <v>41</v>
      </c>
      <c r="J8" s="522" t="s">
        <v>11</v>
      </c>
      <c r="K8" s="522" t="s">
        <v>41</v>
      </c>
      <c r="L8" s="522" t="s">
        <v>11</v>
      </c>
      <c r="M8" s="267" t="s">
        <v>41</v>
      </c>
    </row>
    <row r="9" spans="1:13" ht="15.75" customHeight="1">
      <c r="A9" s="268" t="s">
        <v>244</v>
      </c>
      <c r="B9" s="269">
        <v>141120.03600000002</v>
      </c>
      <c r="C9" s="191">
        <f>B9/B5</f>
        <v>2.4308642371282658E-3</v>
      </c>
      <c r="D9" s="763"/>
      <c r="E9" s="189" t="s">
        <v>244</v>
      </c>
      <c r="F9" s="270">
        <v>0</v>
      </c>
      <c r="G9" s="193">
        <f>IFERROR(F9/B9,"")</f>
        <v>0</v>
      </c>
      <c r="H9" s="270">
        <v>864.78</v>
      </c>
      <c r="I9" s="193">
        <f>IFERROR(H9/B9,"")</f>
        <v>6.1279746272173558E-3</v>
      </c>
      <c r="J9" s="270">
        <v>0</v>
      </c>
      <c r="K9" s="193">
        <f>IFERROR(J9/B9,"")</f>
        <v>0</v>
      </c>
      <c r="L9" s="270">
        <v>10808.857</v>
      </c>
      <c r="M9" s="271">
        <f>IFERROR(L9/B9,"")</f>
        <v>7.6593354893985416E-2</v>
      </c>
    </row>
    <row r="10" spans="1:13" ht="15.75" customHeight="1">
      <c r="A10" s="272" t="s">
        <v>245</v>
      </c>
      <c r="B10" s="273">
        <v>98704.34776622786</v>
      </c>
      <c r="C10" s="191">
        <f>B10/B5</f>
        <v>1.7002324817575478E-3</v>
      </c>
      <c r="D10" s="763"/>
      <c r="E10" s="195" t="s">
        <v>245</v>
      </c>
      <c r="F10" s="270">
        <v>0</v>
      </c>
      <c r="G10" s="193">
        <f>IFERROR(F10/B10,"")</f>
        <v>0</v>
      </c>
      <c r="H10" s="270">
        <v>0</v>
      </c>
      <c r="I10" s="193">
        <f>IFERROR(H10/B10,"")</f>
        <v>0</v>
      </c>
      <c r="J10" s="270">
        <v>1471.9663800000062</v>
      </c>
      <c r="K10" s="193">
        <f>IFERROR(J10/B10,"")</f>
        <v>1.4912882900419167E-2</v>
      </c>
      <c r="L10" s="270">
        <v>15927.431469999921</v>
      </c>
      <c r="M10" s="271">
        <f>IFERROR(L10/B10,"")</f>
        <v>0.16136504450363801</v>
      </c>
    </row>
    <row r="11" spans="1:13" ht="15.75" customHeight="1">
      <c r="A11" s="274"/>
      <c r="B11" s="185"/>
      <c r="C11" s="185"/>
      <c r="D11" s="763"/>
      <c r="E11" s="760" t="s">
        <v>197</v>
      </c>
      <c r="F11" s="775">
        <v>5</v>
      </c>
      <c r="G11" s="776"/>
      <c r="H11" s="775">
        <v>6</v>
      </c>
      <c r="I11" s="776"/>
      <c r="J11" s="775">
        <v>7</v>
      </c>
      <c r="K11" s="776"/>
      <c r="L11" s="777">
        <v>8</v>
      </c>
      <c r="M11" s="778"/>
    </row>
    <row r="12" spans="1:13" ht="15.75" customHeight="1">
      <c r="A12" s="274"/>
      <c r="B12" s="185"/>
      <c r="C12" s="185"/>
      <c r="D12" s="763"/>
      <c r="E12" s="760"/>
      <c r="F12" s="779" t="s">
        <v>188</v>
      </c>
      <c r="G12" s="780"/>
      <c r="H12" s="779" t="s">
        <v>165</v>
      </c>
      <c r="I12" s="780"/>
      <c r="J12" s="779" t="s">
        <v>189</v>
      </c>
      <c r="K12" s="780"/>
      <c r="L12" s="781" t="s">
        <v>249</v>
      </c>
      <c r="M12" s="782"/>
    </row>
    <row r="13" spans="1:13" ht="15.75" customHeight="1">
      <c r="A13" s="274"/>
      <c r="B13" s="185"/>
      <c r="C13" s="185"/>
      <c r="D13" s="763"/>
      <c r="E13" s="760"/>
      <c r="F13" s="522" t="s">
        <v>11</v>
      </c>
      <c r="G13" s="522" t="s">
        <v>41</v>
      </c>
      <c r="H13" s="522" t="s">
        <v>11</v>
      </c>
      <c r="I13" s="522" t="s">
        <v>41</v>
      </c>
      <c r="J13" s="522" t="s">
        <v>11</v>
      </c>
      <c r="K13" s="522" t="s">
        <v>41</v>
      </c>
      <c r="L13" s="522" t="s">
        <v>11</v>
      </c>
      <c r="M13" s="267" t="s">
        <v>41</v>
      </c>
    </row>
    <row r="14" spans="1:13" ht="15.75" customHeight="1">
      <c r="A14" s="275"/>
      <c r="B14" s="276"/>
      <c r="C14" s="276"/>
      <c r="D14" s="763"/>
      <c r="E14" s="189" t="s">
        <v>244</v>
      </c>
      <c r="F14" s="270">
        <v>1858.9889999999998</v>
      </c>
      <c r="G14" s="193">
        <f>IFERROR(F14/B9,"")</f>
        <v>1.31731046327114E-2</v>
      </c>
      <c r="H14" s="270">
        <v>0</v>
      </c>
      <c r="I14" s="193">
        <f>IFERROR(H14/B9,"")</f>
        <v>0</v>
      </c>
      <c r="J14" s="270">
        <v>0</v>
      </c>
      <c r="K14" s="193">
        <f>IFERROR(J14/B9,"")</f>
        <v>0</v>
      </c>
      <c r="L14" s="270">
        <v>0</v>
      </c>
      <c r="M14" s="271">
        <f>IFERROR(L14/B9,"")</f>
        <v>0</v>
      </c>
    </row>
    <row r="15" spans="1:13" ht="15.75" customHeight="1" thickBot="1">
      <c r="A15" s="277"/>
      <c r="B15" s="278"/>
      <c r="C15" s="278"/>
      <c r="D15" s="772"/>
      <c r="E15" s="279" t="s">
        <v>245</v>
      </c>
      <c r="F15" s="280">
        <v>12547.123100000061</v>
      </c>
      <c r="G15" s="281">
        <f>IFERROR(F15/B10,"")</f>
        <v>0.12711824133336824</v>
      </c>
      <c r="H15" s="280">
        <v>0</v>
      </c>
      <c r="I15" s="281">
        <f>IFERROR(H15/B10,"")</f>
        <v>0</v>
      </c>
      <c r="J15" s="280">
        <v>0</v>
      </c>
      <c r="K15" s="281">
        <f>IFERROR(J15/B10,"")</f>
        <v>0</v>
      </c>
      <c r="L15" s="280">
        <v>0</v>
      </c>
      <c r="M15" s="282">
        <f>IFERROR(L15/B10,"")</f>
        <v>0</v>
      </c>
    </row>
  </sheetData>
  <mergeCells count="23">
    <mergeCell ref="H11:I11"/>
    <mergeCell ref="J11:K11"/>
    <mergeCell ref="L11:M11"/>
    <mergeCell ref="F12:G12"/>
    <mergeCell ref="H12:I12"/>
    <mergeCell ref="J12:K12"/>
    <mergeCell ref="L12:M12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</row>
    <row r="2" spans="1:17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</row>
    <row r="3" spans="1:17" ht="15.75" customHeight="1">
      <c r="A3" s="711" t="s">
        <v>210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152"/>
    </row>
    <row r="4" spans="1:17" s="12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131"/>
    </row>
    <row r="5" spans="1:17" ht="15.75" customHeight="1">
      <c r="A5" s="586" t="s">
        <v>190</v>
      </c>
      <c r="B5" s="813">
        <v>1</v>
      </c>
      <c r="C5" s="813"/>
      <c r="D5" s="813">
        <v>2</v>
      </c>
      <c r="E5" s="813"/>
      <c r="F5" s="813">
        <v>3</v>
      </c>
      <c r="G5" s="813"/>
      <c r="H5" s="809">
        <v>4</v>
      </c>
      <c r="I5" s="809"/>
      <c r="J5" s="809">
        <v>5</v>
      </c>
      <c r="K5" s="809"/>
      <c r="L5" s="809">
        <v>6</v>
      </c>
      <c r="M5" s="809"/>
      <c r="N5" s="809">
        <v>7</v>
      </c>
      <c r="O5" s="809"/>
      <c r="P5" s="809">
        <v>8</v>
      </c>
      <c r="Q5" s="809"/>
    </row>
    <row r="6" spans="1:17" ht="15.75" customHeight="1">
      <c r="A6" s="586"/>
      <c r="B6" s="814" t="s">
        <v>321</v>
      </c>
      <c r="C6" s="814"/>
      <c r="D6" s="814" t="s">
        <v>211</v>
      </c>
      <c r="E6" s="814"/>
      <c r="F6" s="814" t="s">
        <v>164</v>
      </c>
      <c r="G6" s="814"/>
      <c r="H6" s="586" t="s">
        <v>581</v>
      </c>
      <c r="I6" s="586"/>
      <c r="J6" s="586" t="s">
        <v>188</v>
      </c>
      <c r="K6" s="586"/>
      <c r="L6" s="586" t="s">
        <v>165</v>
      </c>
      <c r="M6" s="586"/>
      <c r="N6" s="586" t="s">
        <v>189</v>
      </c>
      <c r="O6" s="586"/>
      <c r="P6" s="812" t="s">
        <v>214</v>
      </c>
      <c r="Q6" s="586"/>
    </row>
    <row r="8" spans="1:17" s="154" customFormat="1" ht="15.75" customHeight="1">
      <c r="A8" s="802" t="s">
        <v>862</v>
      </c>
      <c r="B8" s="803"/>
      <c r="C8" s="539" t="s">
        <v>863</v>
      </c>
      <c r="D8" s="804" t="s">
        <v>12</v>
      </c>
      <c r="E8" s="805"/>
      <c r="F8" s="806"/>
      <c r="G8" s="537" t="s">
        <v>864</v>
      </c>
      <c r="H8" s="538"/>
      <c r="I8" s="539"/>
      <c r="J8" s="170" t="s">
        <v>865</v>
      </c>
      <c r="K8" s="170" t="s">
        <v>866</v>
      </c>
      <c r="L8" s="170" t="s">
        <v>867</v>
      </c>
      <c r="M8" s="170" t="s">
        <v>11</v>
      </c>
      <c r="N8" s="357" t="s">
        <v>868</v>
      </c>
      <c r="O8" s="807" t="s">
        <v>869</v>
      </c>
      <c r="P8" s="808"/>
    </row>
    <row r="9" spans="1:17" ht="15.75" customHeight="1">
      <c r="A9" s="727">
        <v>1</v>
      </c>
      <c r="B9" s="789" t="s">
        <v>870</v>
      </c>
      <c r="C9" s="171">
        <v>1</v>
      </c>
      <c r="D9" s="540">
        <v>0</v>
      </c>
      <c r="E9" s="792"/>
      <c r="F9" s="793"/>
      <c r="G9" s="540">
        <v>0</v>
      </c>
      <c r="H9" s="792"/>
      <c r="I9" s="793"/>
      <c r="J9" s="4">
        <v>0</v>
      </c>
      <c r="K9" s="14">
        <v>0</v>
      </c>
      <c r="L9" s="4">
        <v>0</v>
      </c>
      <c r="M9" s="16">
        <v>0</v>
      </c>
      <c r="N9" s="172"/>
      <c r="O9" s="800"/>
      <c r="P9" s="801"/>
    </row>
    <row r="10" spans="1:17" ht="15.75" customHeight="1">
      <c r="A10" s="732"/>
      <c r="B10" s="790"/>
      <c r="C10" s="171">
        <v>2</v>
      </c>
      <c r="D10" s="540">
        <v>0</v>
      </c>
      <c r="E10" s="792"/>
      <c r="F10" s="793"/>
      <c r="G10" s="540">
        <v>0</v>
      </c>
      <c r="H10" s="792"/>
      <c r="I10" s="793"/>
      <c r="J10" s="4">
        <v>0</v>
      </c>
      <c r="K10" s="14">
        <v>0</v>
      </c>
      <c r="L10" s="4">
        <v>0</v>
      </c>
      <c r="M10" s="16">
        <v>0</v>
      </c>
      <c r="N10" s="172"/>
      <c r="O10" s="800"/>
      <c r="P10" s="801"/>
    </row>
    <row r="11" spans="1:17" ht="15.75" customHeight="1">
      <c r="A11" s="732"/>
      <c r="B11" s="790"/>
      <c r="C11" s="171">
        <v>3</v>
      </c>
      <c r="D11" s="540">
        <v>0</v>
      </c>
      <c r="E11" s="792"/>
      <c r="F11" s="793"/>
      <c r="G11" s="540">
        <v>0</v>
      </c>
      <c r="H11" s="792"/>
      <c r="I11" s="793"/>
      <c r="J11" s="4">
        <v>0</v>
      </c>
      <c r="K11" s="14">
        <v>0</v>
      </c>
      <c r="L11" s="4">
        <v>0</v>
      </c>
      <c r="M11" s="16">
        <v>0</v>
      </c>
      <c r="N11" s="172"/>
      <c r="O11" s="800"/>
      <c r="P11" s="801"/>
    </row>
    <row r="12" spans="1:17" ht="15.75" customHeight="1">
      <c r="A12" s="732"/>
      <c r="B12" s="790"/>
      <c r="C12" s="171">
        <v>4</v>
      </c>
      <c r="D12" s="540">
        <v>0</v>
      </c>
      <c r="E12" s="792"/>
      <c r="F12" s="793"/>
      <c r="G12" s="540">
        <v>0</v>
      </c>
      <c r="H12" s="792"/>
      <c r="I12" s="793"/>
      <c r="J12" s="4">
        <v>0</v>
      </c>
      <c r="K12" s="14">
        <v>0</v>
      </c>
      <c r="L12" s="4">
        <v>0</v>
      </c>
      <c r="M12" s="16">
        <v>0</v>
      </c>
      <c r="N12" s="172"/>
      <c r="O12" s="800"/>
      <c r="P12" s="801"/>
    </row>
    <row r="13" spans="1:17" ht="15.75" customHeight="1" thickBot="1">
      <c r="A13" s="732"/>
      <c r="B13" s="790"/>
      <c r="C13" s="173">
        <v>5</v>
      </c>
      <c r="D13" s="797">
        <v>0</v>
      </c>
      <c r="E13" s="798"/>
      <c r="F13" s="799"/>
      <c r="G13" s="797">
        <v>0</v>
      </c>
      <c r="H13" s="798"/>
      <c r="I13" s="799"/>
      <c r="J13" s="4">
        <v>0</v>
      </c>
      <c r="K13" s="14">
        <v>0</v>
      </c>
      <c r="L13" s="4">
        <v>0</v>
      </c>
      <c r="M13" s="16">
        <v>0</v>
      </c>
      <c r="N13" s="174"/>
      <c r="O13" s="810"/>
      <c r="P13" s="811"/>
    </row>
    <row r="14" spans="1:17" ht="15.75" customHeight="1" thickTop="1" thickBot="1">
      <c r="A14" s="728"/>
      <c r="B14" s="791"/>
      <c r="C14" s="783"/>
      <c r="D14" s="784"/>
      <c r="E14" s="784"/>
      <c r="F14" s="784"/>
      <c r="G14" s="784"/>
      <c r="H14" s="784"/>
      <c r="I14" s="785"/>
      <c r="J14" s="355" t="s">
        <v>871</v>
      </c>
      <c r="K14" s="245">
        <v>0</v>
      </c>
      <c r="L14" s="355" t="s">
        <v>872</v>
      </c>
      <c r="M14" s="247">
        <v>0</v>
      </c>
      <c r="N14" s="786"/>
      <c r="O14" s="787"/>
      <c r="P14" s="788"/>
    </row>
    <row r="15" spans="1:17" ht="15.75" customHeight="1" thickTop="1"/>
    <row r="16" spans="1:17" ht="15.75" customHeight="1">
      <c r="A16" s="802" t="s">
        <v>862</v>
      </c>
      <c r="B16" s="803"/>
      <c r="C16" s="539" t="s">
        <v>863</v>
      </c>
      <c r="D16" s="804" t="s">
        <v>12</v>
      </c>
      <c r="E16" s="805"/>
      <c r="F16" s="806"/>
      <c r="G16" s="537" t="s">
        <v>864</v>
      </c>
      <c r="H16" s="538"/>
      <c r="I16" s="539"/>
      <c r="J16" s="170" t="s">
        <v>865</v>
      </c>
      <c r="K16" s="170" t="s">
        <v>866</v>
      </c>
      <c r="L16" s="170" t="s">
        <v>867</v>
      </c>
      <c r="M16" s="170" t="s">
        <v>11</v>
      </c>
      <c r="N16" s="357" t="s">
        <v>868</v>
      </c>
      <c r="O16" s="807" t="s">
        <v>869</v>
      </c>
      <c r="P16" s="808"/>
    </row>
    <row r="17" spans="1:16" ht="15.75" customHeight="1">
      <c r="A17" s="727">
        <v>2</v>
      </c>
      <c r="B17" s="789" t="s">
        <v>873</v>
      </c>
      <c r="C17" s="171">
        <v>1</v>
      </c>
      <c r="D17" s="540" t="s">
        <v>781</v>
      </c>
      <c r="E17" s="792"/>
      <c r="F17" s="793"/>
      <c r="G17" s="540" t="s">
        <v>826</v>
      </c>
      <c r="H17" s="792"/>
      <c r="I17" s="793"/>
      <c r="J17" s="358">
        <v>423.77</v>
      </c>
      <c r="K17" s="14">
        <v>6.2131096613855241E-2</v>
      </c>
      <c r="L17" s="4">
        <v>0.4</v>
      </c>
      <c r="M17" s="330">
        <v>169.50800000000001</v>
      </c>
      <c r="N17" s="172"/>
      <c r="O17" s="800" t="s">
        <v>585</v>
      </c>
      <c r="P17" s="801"/>
    </row>
    <row r="18" spans="1:16" ht="15.75" customHeight="1">
      <c r="A18" s="732"/>
      <c r="B18" s="790"/>
      <c r="C18" s="171">
        <v>2</v>
      </c>
      <c r="D18" s="540" t="s">
        <v>744</v>
      </c>
      <c r="E18" s="792"/>
      <c r="F18" s="793"/>
      <c r="G18" s="540" t="s">
        <v>874</v>
      </c>
      <c r="H18" s="792"/>
      <c r="I18" s="793"/>
      <c r="J18" s="358">
        <v>298.2</v>
      </c>
      <c r="K18" s="14">
        <v>0.26260504201680673</v>
      </c>
      <c r="L18" s="4">
        <v>0.5</v>
      </c>
      <c r="M18" s="330">
        <v>149.1</v>
      </c>
      <c r="N18" s="172"/>
      <c r="O18" s="800" t="s">
        <v>585</v>
      </c>
      <c r="P18" s="801"/>
    </row>
    <row r="19" spans="1:16" ht="15.75" customHeight="1">
      <c r="A19" s="732"/>
      <c r="B19" s="790"/>
      <c r="C19" s="171">
        <v>3</v>
      </c>
      <c r="D19" s="540">
        <v>0</v>
      </c>
      <c r="E19" s="792"/>
      <c r="F19" s="793"/>
      <c r="G19" s="540">
        <v>0</v>
      </c>
      <c r="H19" s="792"/>
      <c r="I19" s="793"/>
      <c r="J19" s="358">
        <v>0</v>
      </c>
      <c r="K19" s="14">
        <v>0</v>
      </c>
      <c r="L19" s="4">
        <v>0</v>
      </c>
      <c r="M19" s="330">
        <v>0</v>
      </c>
      <c r="N19" s="172"/>
      <c r="O19" s="800"/>
      <c r="P19" s="801"/>
    </row>
    <row r="20" spans="1:16" ht="15.75" customHeight="1">
      <c r="A20" s="732"/>
      <c r="B20" s="790"/>
      <c r="C20" s="171">
        <v>4</v>
      </c>
      <c r="D20" s="540">
        <v>0</v>
      </c>
      <c r="E20" s="792"/>
      <c r="F20" s="793"/>
      <c r="G20" s="540">
        <v>0</v>
      </c>
      <c r="H20" s="792"/>
      <c r="I20" s="793"/>
      <c r="J20" s="358">
        <v>0</v>
      </c>
      <c r="K20" s="14">
        <v>0</v>
      </c>
      <c r="L20" s="4">
        <v>0</v>
      </c>
      <c r="M20" s="330">
        <v>0</v>
      </c>
      <c r="N20" s="172"/>
      <c r="O20" s="800"/>
      <c r="P20" s="801"/>
    </row>
    <row r="21" spans="1:16" ht="15.75" customHeight="1" thickBot="1">
      <c r="A21" s="732"/>
      <c r="B21" s="790"/>
      <c r="C21" s="173">
        <v>5</v>
      </c>
      <c r="D21" s="540">
        <v>0</v>
      </c>
      <c r="E21" s="792"/>
      <c r="F21" s="793"/>
      <c r="G21" s="540">
        <v>0</v>
      </c>
      <c r="H21" s="792"/>
      <c r="I21" s="793"/>
      <c r="J21" s="358">
        <v>0</v>
      </c>
      <c r="K21" s="14">
        <v>0</v>
      </c>
      <c r="L21" s="4">
        <v>0</v>
      </c>
      <c r="M21" s="330">
        <v>0</v>
      </c>
      <c r="N21" s="174"/>
      <c r="O21" s="800"/>
      <c r="P21" s="801"/>
    </row>
    <row r="22" spans="1:16" ht="15.75" customHeight="1" thickTop="1" thickBot="1">
      <c r="A22" s="728"/>
      <c r="B22" s="791"/>
      <c r="C22" s="794"/>
      <c r="D22" s="795"/>
      <c r="E22" s="795"/>
      <c r="F22" s="795"/>
      <c r="G22" s="795"/>
      <c r="H22" s="795"/>
      <c r="I22" s="796"/>
      <c r="J22" s="355" t="s">
        <v>871</v>
      </c>
      <c r="K22" s="245">
        <v>2.2577091746206752E-3</v>
      </c>
      <c r="L22" s="355" t="s">
        <v>872</v>
      </c>
      <c r="M22" s="247">
        <v>318.608</v>
      </c>
      <c r="N22" s="786"/>
      <c r="O22" s="787"/>
      <c r="P22" s="788"/>
    </row>
    <row r="23" spans="1:16" ht="15.75" customHeight="1" thickTop="1"/>
    <row r="24" spans="1:16" ht="15.75" customHeight="1">
      <c r="A24" s="802" t="s">
        <v>862</v>
      </c>
      <c r="B24" s="803"/>
      <c r="C24" s="539" t="s">
        <v>863</v>
      </c>
      <c r="D24" s="804" t="s">
        <v>12</v>
      </c>
      <c r="E24" s="805"/>
      <c r="F24" s="806"/>
      <c r="G24" s="537" t="s">
        <v>864</v>
      </c>
      <c r="H24" s="538"/>
      <c r="I24" s="539"/>
      <c r="J24" s="170" t="s">
        <v>865</v>
      </c>
      <c r="K24" s="170" t="s">
        <v>866</v>
      </c>
      <c r="L24" s="170" t="s">
        <v>867</v>
      </c>
      <c r="M24" s="170" t="s">
        <v>11</v>
      </c>
      <c r="N24" s="357" t="s">
        <v>868</v>
      </c>
      <c r="O24" s="807" t="s">
        <v>869</v>
      </c>
      <c r="P24" s="808"/>
    </row>
    <row r="25" spans="1:16" ht="15.75" customHeight="1">
      <c r="A25" s="727">
        <v>3</v>
      </c>
      <c r="B25" s="789" t="s">
        <v>875</v>
      </c>
      <c r="C25" s="171">
        <v>1</v>
      </c>
      <c r="D25" s="540" t="s">
        <v>795</v>
      </c>
      <c r="E25" s="792"/>
      <c r="F25" s="793"/>
      <c r="G25" s="540" t="s">
        <v>805</v>
      </c>
      <c r="H25" s="792"/>
      <c r="I25" s="793"/>
      <c r="J25" s="358">
        <v>153.91</v>
      </c>
      <c r="K25" s="14">
        <v>2.7812543457099149E-2</v>
      </c>
      <c r="L25" s="4">
        <v>1.2</v>
      </c>
      <c r="M25" s="330">
        <v>184.69199999999998</v>
      </c>
      <c r="N25" s="172"/>
      <c r="O25" s="800" t="s">
        <v>876</v>
      </c>
      <c r="P25" s="801"/>
    </row>
    <row r="26" spans="1:16" ht="15.75" customHeight="1">
      <c r="A26" s="732"/>
      <c r="B26" s="790"/>
      <c r="C26" s="171">
        <v>2</v>
      </c>
      <c r="D26" s="540" t="s">
        <v>676</v>
      </c>
      <c r="E26" s="792"/>
      <c r="F26" s="793"/>
      <c r="G26" s="540" t="s">
        <v>808</v>
      </c>
      <c r="H26" s="792"/>
      <c r="I26" s="793"/>
      <c r="J26" s="358">
        <v>77.8</v>
      </c>
      <c r="K26" s="14">
        <v>2.8201547056295663E-2</v>
      </c>
      <c r="L26" s="4">
        <v>2.1</v>
      </c>
      <c r="M26" s="330">
        <v>163.38</v>
      </c>
      <c r="N26" s="172"/>
      <c r="O26" s="800" t="s">
        <v>876</v>
      </c>
      <c r="P26" s="801"/>
    </row>
    <row r="27" spans="1:16" ht="15.75" customHeight="1">
      <c r="A27" s="732"/>
      <c r="B27" s="790"/>
      <c r="C27" s="171">
        <v>3</v>
      </c>
      <c r="D27" s="540" t="s">
        <v>788</v>
      </c>
      <c r="E27" s="792"/>
      <c r="F27" s="793"/>
      <c r="G27" s="540" t="s">
        <v>877</v>
      </c>
      <c r="H27" s="792"/>
      <c r="I27" s="793"/>
      <c r="J27" s="358">
        <v>116.39</v>
      </c>
      <c r="K27" s="14">
        <v>5.2016645326504483E-2</v>
      </c>
      <c r="L27" s="4">
        <v>1.3</v>
      </c>
      <c r="M27" s="330">
        <v>151.30700000000002</v>
      </c>
      <c r="N27" s="172"/>
      <c r="O27" s="800" t="s">
        <v>876</v>
      </c>
      <c r="P27" s="801"/>
    </row>
    <row r="28" spans="1:16" ht="15.75" customHeight="1">
      <c r="A28" s="732"/>
      <c r="B28" s="790"/>
      <c r="C28" s="171">
        <v>4</v>
      </c>
      <c r="D28" s="540">
        <v>0</v>
      </c>
      <c r="E28" s="792"/>
      <c r="F28" s="793"/>
      <c r="G28" s="540">
        <v>0</v>
      </c>
      <c r="H28" s="792"/>
      <c r="I28" s="793"/>
      <c r="J28" s="358">
        <v>0</v>
      </c>
      <c r="K28" s="14">
        <v>0</v>
      </c>
      <c r="L28" s="4">
        <v>0</v>
      </c>
      <c r="M28" s="330">
        <v>0</v>
      </c>
      <c r="N28" s="172"/>
      <c r="O28" s="800"/>
      <c r="P28" s="801"/>
    </row>
    <row r="29" spans="1:16" ht="15.75" customHeight="1" thickBot="1">
      <c r="A29" s="732"/>
      <c r="B29" s="790"/>
      <c r="C29" s="173">
        <v>5</v>
      </c>
      <c r="D29" s="797">
        <v>0</v>
      </c>
      <c r="E29" s="798"/>
      <c r="F29" s="799"/>
      <c r="G29" s="797">
        <v>0</v>
      </c>
      <c r="H29" s="798"/>
      <c r="I29" s="799"/>
      <c r="J29" s="358">
        <v>0</v>
      </c>
      <c r="K29" s="14">
        <v>0</v>
      </c>
      <c r="L29" s="4">
        <v>0</v>
      </c>
      <c r="M29" s="330">
        <v>0</v>
      </c>
      <c r="N29" s="174"/>
      <c r="O29" s="800"/>
      <c r="P29" s="801"/>
    </row>
    <row r="30" spans="1:16" ht="15.75" customHeight="1" thickTop="1" thickBot="1">
      <c r="A30" s="728"/>
      <c r="B30" s="791"/>
      <c r="C30" s="783"/>
      <c r="D30" s="784"/>
      <c r="E30" s="784"/>
      <c r="F30" s="784"/>
      <c r="G30" s="784"/>
      <c r="H30" s="784"/>
      <c r="I30" s="785"/>
      <c r="J30" s="355" t="s">
        <v>871</v>
      </c>
      <c r="K30" s="245">
        <v>3.5386824872975509E-3</v>
      </c>
      <c r="L30" s="355" t="s">
        <v>872</v>
      </c>
      <c r="M30" s="247">
        <v>499.37900000000002</v>
      </c>
      <c r="N30" s="786"/>
      <c r="O30" s="787"/>
      <c r="P30" s="788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</row>
    <row r="2" spans="1:17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</row>
    <row r="3" spans="1:17" s="120" customFormat="1" ht="15.75" customHeight="1">
      <c r="A3" s="711" t="s">
        <v>210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152"/>
    </row>
    <row r="4" spans="1:17" s="121" customFormat="1" ht="15.7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131"/>
    </row>
    <row r="5" spans="1:17" s="120" customFormat="1" ht="15.75" customHeight="1">
      <c r="A5" s="586" t="s">
        <v>190</v>
      </c>
      <c r="B5" s="809">
        <v>1</v>
      </c>
      <c r="C5" s="809"/>
      <c r="D5" s="809">
        <v>2</v>
      </c>
      <c r="E5" s="809"/>
      <c r="F5" s="809">
        <v>3</v>
      </c>
      <c r="G5" s="809"/>
      <c r="H5" s="813">
        <v>4</v>
      </c>
      <c r="I5" s="813"/>
      <c r="J5" s="813">
        <v>5</v>
      </c>
      <c r="K5" s="813"/>
      <c r="L5" s="813">
        <v>6</v>
      </c>
      <c r="M5" s="813"/>
      <c r="N5" s="813">
        <v>7</v>
      </c>
      <c r="O5" s="813"/>
      <c r="P5" s="809">
        <v>8</v>
      </c>
      <c r="Q5" s="809"/>
    </row>
    <row r="6" spans="1:17" s="120" customFormat="1" ht="15.75" customHeight="1">
      <c r="A6" s="586"/>
      <c r="B6" s="586" t="s">
        <v>322</v>
      </c>
      <c r="C6" s="586"/>
      <c r="D6" s="586" t="s">
        <v>211</v>
      </c>
      <c r="E6" s="586"/>
      <c r="F6" s="586" t="s">
        <v>164</v>
      </c>
      <c r="G6" s="586"/>
      <c r="H6" s="814" t="s">
        <v>581</v>
      </c>
      <c r="I6" s="814"/>
      <c r="J6" s="814" t="s">
        <v>188</v>
      </c>
      <c r="K6" s="814"/>
      <c r="L6" s="814" t="s">
        <v>165</v>
      </c>
      <c r="M6" s="814"/>
      <c r="N6" s="814" t="s">
        <v>189</v>
      </c>
      <c r="O6" s="814"/>
      <c r="P6" s="812" t="s">
        <v>214</v>
      </c>
      <c r="Q6" s="586"/>
    </row>
    <row r="7" spans="1:17" s="120" customFormat="1" ht="15.75" customHeight="1">
      <c r="B7" s="175"/>
      <c r="C7" s="161"/>
    </row>
    <row r="8" spans="1:17" s="110" customFormat="1" ht="15.75" customHeight="1">
      <c r="A8" s="815" t="s">
        <v>862</v>
      </c>
      <c r="B8" s="816"/>
      <c r="C8" s="117" t="s">
        <v>863</v>
      </c>
      <c r="D8" s="817" t="s">
        <v>12</v>
      </c>
      <c r="E8" s="818"/>
      <c r="F8" s="819"/>
      <c r="G8" s="115" t="s">
        <v>864</v>
      </c>
      <c r="H8" s="116"/>
      <c r="I8" s="117"/>
      <c r="J8" s="114" t="s">
        <v>865</v>
      </c>
      <c r="K8" s="114" t="s">
        <v>866</v>
      </c>
      <c r="L8" s="114" t="s">
        <v>867</v>
      </c>
      <c r="M8" s="118" t="s">
        <v>11</v>
      </c>
      <c r="N8" s="357" t="s">
        <v>868</v>
      </c>
      <c r="O8" s="820" t="s">
        <v>869</v>
      </c>
      <c r="P8" s="821"/>
    </row>
    <row r="9" spans="1:17" ht="15.75" customHeight="1">
      <c r="A9" s="816">
        <v>4</v>
      </c>
      <c r="B9" s="823" t="s">
        <v>581</v>
      </c>
      <c r="C9" s="112">
        <v>1</v>
      </c>
      <c r="D9" s="540" t="s">
        <v>804</v>
      </c>
      <c r="E9" s="792"/>
      <c r="F9" s="793"/>
      <c r="G9" s="540" t="s">
        <v>806</v>
      </c>
      <c r="H9" s="792"/>
      <c r="I9" s="793"/>
      <c r="J9" s="358">
        <v>447.3</v>
      </c>
      <c r="K9" s="14">
        <v>3.1887755102040813E-3</v>
      </c>
      <c r="L9" s="4">
        <v>0.5</v>
      </c>
      <c r="M9" s="330">
        <v>223.65</v>
      </c>
      <c r="N9" s="4"/>
      <c r="O9" s="800" t="s">
        <v>878</v>
      </c>
      <c r="P9" s="829"/>
      <c r="Q9" s="264"/>
    </row>
    <row r="10" spans="1:17" ht="15.75" customHeight="1">
      <c r="A10" s="816"/>
      <c r="B10" s="823"/>
      <c r="C10" s="112">
        <v>2</v>
      </c>
      <c r="D10" s="540" t="s">
        <v>828</v>
      </c>
      <c r="E10" s="792"/>
      <c r="F10" s="793"/>
      <c r="G10" s="540" t="s">
        <v>833</v>
      </c>
      <c r="H10" s="792"/>
      <c r="I10" s="793"/>
      <c r="J10" s="358">
        <v>92.67</v>
      </c>
      <c r="K10" s="14">
        <v>2.918287937743191E-2</v>
      </c>
      <c r="L10" s="4">
        <v>2.1</v>
      </c>
      <c r="M10" s="330">
        <v>194.607</v>
      </c>
      <c r="N10" s="4"/>
      <c r="O10" s="800" t="s">
        <v>878</v>
      </c>
      <c r="P10" s="829"/>
      <c r="Q10" s="264"/>
    </row>
    <row r="11" spans="1:17" ht="15.75" customHeight="1">
      <c r="A11" s="816"/>
      <c r="B11" s="823"/>
      <c r="C11" s="112">
        <v>3</v>
      </c>
      <c r="D11" s="540" t="s">
        <v>579</v>
      </c>
      <c r="E11" s="792"/>
      <c r="F11" s="793"/>
      <c r="G11" s="540" t="s">
        <v>879</v>
      </c>
      <c r="H11" s="792"/>
      <c r="I11" s="793"/>
      <c r="J11" s="358">
        <v>120.23</v>
      </c>
      <c r="K11" s="14">
        <v>2.6562629700340335E-2</v>
      </c>
      <c r="L11" s="4">
        <v>1.6</v>
      </c>
      <c r="M11" s="330">
        <v>192.36800000000002</v>
      </c>
      <c r="N11" s="4"/>
      <c r="O11" s="800" t="s">
        <v>878</v>
      </c>
      <c r="P11" s="829"/>
      <c r="Q11" s="264"/>
    </row>
    <row r="12" spans="1:17" ht="15.75" customHeight="1">
      <c r="A12" s="816"/>
      <c r="B12" s="823"/>
      <c r="C12" s="112">
        <v>4</v>
      </c>
      <c r="D12" s="540" t="s">
        <v>352</v>
      </c>
      <c r="E12" s="792"/>
      <c r="F12" s="793"/>
      <c r="G12" s="540" t="s">
        <v>673</v>
      </c>
      <c r="H12" s="792"/>
      <c r="I12" s="793"/>
      <c r="J12" s="358">
        <v>111.17</v>
      </c>
      <c r="K12" s="14">
        <v>4.9153547006693553E-3</v>
      </c>
      <c r="L12" s="4">
        <v>1.7</v>
      </c>
      <c r="M12" s="330">
        <v>188.989</v>
      </c>
      <c r="N12" s="4"/>
      <c r="O12" s="800" t="s">
        <v>878</v>
      </c>
      <c r="P12" s="829"/>
      <c r="Q12" s="264"/>
    </row>
    <row r="13" spans="1:17" ht="15.75" customHeight="1" thickBot="1">
      <c r="A13" s="816"/>
      <c r="B13" s="823"/>
      <c r="C13" s="113">
        <v>5</v>
      </c>
      <c r="D13" s="540" t="s">
        <v>376</v>
      </c>
      <c r="E13" s="792"/>
      <c r="F13" s="793"/>
      <c r="G13" s="540" t="s">
        <v>827</v>
      </c>
      <c r="H13" s="792"/>
      <c r="I13" s="793"/>
      <c r="J13" s="358">
        <v>151.29</v>
      </c>
      <c r="K13" s="14">
        <v>3.3149171270718231E-2</v>
      </c>
      <c r="L13" s="4">
        <v>1.2</v>
      </c>
      <c r="M13" s="330">
        <v>181.54799999999997</v>
      </c>
      <c r="N13" s="27"/>
      <c r="O13" s="800" t="s">
        <v>878</v>
      </c>
      <c r="P13" s="829"/>
      <c r="Q13" s="264"/>
    </row>
    <row r="14" spans="1:17" ht="15.75" customHeight="1" thickTop="1" thickBot="1">
      <c r="A14" s="816"/>
      <c r="B14" s="823"/>
      <c r="C14" s="831"/>
      <c r="D14" s="831"/>
      <c r="E14" s="831"/>
      <c r="F14" s="831"/>
      <c r="G14" s="831"/>
      <c r="H14" s="831"/>
      <c r="I14" s="831"/>
      <c r="J14" s="246" t="s">
        <v>871</v>
      </c>
      <c r="K14" s="245">
        <v>6.9526767977865301E-3</v>
      </c>
      <c r="L14" s="246" t="s">
        <v>872</v>
      </c>
      <c r="M14" s="247">
        <v>981.16200000000003</v>
      </c>
      <c r="N14" s="830"/>
      <c r="O14" s="830"/>
      <c r="P14" s="830"/>
      <c r="Q14" s="264"/>
    </row>
    <row r="15" spans="1:17" ht="15.75" customHeight="1" thickTop="1">
      <c r="A15" s="536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6"/>
      <c r="Q15" s="264"/>
    </row>
    <row r="16" spans="1:17" ht="15.75" customHeight="1">
      <c r="A16" s="815" t="s">
        <v>862</v>
      </c>
      <c r="B16" s="816"/>
      <c r="C16" s="117" t="s">
        <v>863</v>
      </c>
      <c r="D16" s="817" t="s">
        <v>12</v>
      </c>
      <c r="E16" s="818"/>
      <c r="F16" s="819"/>
      <c r="G16" s="115" t="s">
        <v>864</v>
      </c>
      <c r="H16" s="116"/>
      <c r="I16" s="117"/>
      <c r="J16" s="114" t="s">
        <v>865</v>
      </c>
      <c r="K16" s="114" t="s">
        <v>866</v>
      </c>
      <c r="L16" s="114" t="s">
        <v>867</v>
      </c>
      <c r="M16" s="118" t="s">
        <v>11</v>
      </c>
      <c r="N16" s="357" t="s">
        <v>868</v>
      </c>
      <c r="O16" s="820" t="s">
        <v>869</v>
      </c>
      <c r="P16" s="821"/>
      <c r="Q16" s="264"/>
    </row>
    <row r="17" spans="1:17" ht="15.75" customHeight="1">
      <c r="A17" s="816">
        <v>5</v>
      </c>
      <c r="B17" s="822" t="s">
        <v>212</v>
      </c>
      <c r="C17" s="112">
        <v>1</v>
      </c>
      <c r="D17" s="540" t="s">
        <v>677</v>
      </c>
      <c r="E17" s="792"/>
      <c r="F17" s="793"/>
      <c r="G17" s="540" t="s">
        <v>880</v>
      </c>
      <c r="H17" s="792"/>
      <c r="I17" s="793"/>
      <c r="J17" s="358">
        <v>260.60000000000002</v>
      </c>
      <c r="K17" s="14">
        <v>2.2580645161290325E-2</v>
      </c>
      <c r="L17" s="4">
        <v>0.70000000000000007</v>
      </c>
      <c r="M17" s="330">
        <v>182.42000000000004</v>
      </c>
      <c r="N17" s="4"/>
      <c r="O17" s="800" t="s">
        <v>598</v>
      </c>
      <c r="P17" s="829"/>
      <c r="Q17" s="264"/>
    </row>
    <row r="18" spans="1:17" ht="15.75" customHeight="1">
      <c r="A18" s="816"/>
      <c r="B18" s="823"/>
      <c r="C18" s="112">
        <v>2</v>
      </c>
      <c r="D18" s="540" t="s">
        <v>666</v>
      </c>
      <c r="E18" s="792"/>
      <c r="F18" s="793"/>
      <c r="G18" s="540" t="s">
        <v>881</v>
      </c>
      <c r="H18" s="792"/>
      <c r="I18" s="793"/>
      <c r="J18" s="358">
        <v>258.37</v>
      </c>
      <c r="K18" s="14">
        <v>1.6650016650016652E-2</v>
      </c>
      <c r="L18" s="4">
        <v>0.70000000000000007</v>
      </c>
      <c r="M18" s="330">
        <v>180.85900000000001</v>
      </c>
      <c r="N18" s="4"/>
      <c r="O18" s="800" t="s">
        <v>598</v>
      </c>
      <c r="P18" s="829"/>
      <c r="Q18" s="264"/>
    </row>
    <row r="19" spans="1:17" ht="15.75" customHeight="1">
      <c r="A19" s="816"/>
      <c r="B19" s="823"/>
      <c r="C19" s="112">
        <v>3</v>
      </c>
      <c r="D19" s="540" t="s">
        <v>352</v>
      </c>
      <c r="E19" s="792"/>
      <c r="F19" s="793"/>
      <c r="G19" s="540" t="s">
        <v>668</v>
      </c>
      <c r="H19" s="792"/>
      <c r="I19" s="793"/>
      <c r="J19" s="358">
        <v>136.88999999999999</v>
      </c>
      <c r="K19" s="14">
        <v>3.0658063542374162E-3</v>
      </c>
      <c r="L19" s="4">
        <v>1.3</v>
      </c>
      <c r="M19" s="330">
        <v>177.95699999999999</v>
      </c>
      <c r="N19" s="4"/>
      <c r="O19" s="800" t="s">
        <v>598</v>
      </c>
      <c r="P19" s="829"/>
      <c r="Q19" s="264"/>
    </row>
    <row r="20" spans="1:17" ht="15.75" customHeight="1">
      <c r="A20" s="816"/>
      <c r="B20" s="823"/>
      <c r="C20" s="112">
        <v>4</v>
      </c>
      <c r="D20" s="540" t="s">
        <v>355</v>
      </c>
      <c r="E20" s="792"/>
      <c r="F20" s="793"/>
      <c r="G20" s="540" t="s">
        <v>749</v>
      </c>
      <c r="H20" s="792"/>
      <c r="I20" s="793"/>
      <c r="J20" s="358">
        <v>581.91999999999996</v>
      </c>
      <c r="K20" s="14">
        <v>1.6013664994128322E-2</v>
      </c>
      <c r="L20" s="4">
        <v>0.3</v>
      </c>
      <c r="M20" s="330">
        <v>174.57599999999999</v>
      </c>
      <c r="N20" s="4"/>
      <c r="O20" s="800" t="s">
        <v>598</v>
      </c>
      <c r="P20" s="829"/>
      <c r="Q20" s="264"/>
    </row>
    <row r="21" spans="1:17" ht="15.75" customHeight="1" thickBot="1">
      <c r="A21" s="816"/>
      <c r="B21" s="823"/>
      <c r="C21" s="113">
        <v>5</v>
      </c>
      <c r="D21" s="540" t="s">
        <v>374</v>
      </c>
      <c r="E21" s="792"/>
      <c r="F21" s="793"/>
      <c r="G21" s="540" t="s">
        <v>882</v>
      </c>
      <c r="H21" s="792"/>
      <c r="I21" s="793"/>
      <c r="J21" s="358">
        <v>241.7</v>
      </c>
      <c r="K21" s="14">
        <v>1.7039922103213246E-2</v>
      </c>
      <c r="L21" s="4">
        <v>0.70000000000000007</v>
      </c>
      <c r="M21" s="330">
        <v>169.19</v>
      </c>
      <c r="N21" s="4"/>
      <c r="O21" s="800" t="s">
        <v>598</v>
      </c>
      <c r="P21" s="829"/>
      <c r="Q21" s="264"/>
    </row>
    <row r="22" spans="1:17" ht="15.75" customHeight="1" thickTop="1" thickBot="1">
      <c r="A22" s="816"/>
      <c r="B22" s="823"/>
      <c r="C22" s="824"/>
      <c r="D22" s="824"/>
      <c r="E22" s="824"/>
      <c r="F22" s="824"/>
      <c r="G22" s="824"/>
      <c r="H22" s="824"/>
      <c r="I22" s="825"/>
      <c r="J22" s="119" t="s">
        <v>871</v>
      </c>
      <c r="K22" s="245">
        <v>6.2712710759229122E-3</v>
      </c>
      <c r="L22" s="119" t="s">
        <v>872</v>
      </c>
      <c r="M22" s="247">
        <v>885.00200000000018</v>
      </c>
      <c r="N22" s="826"/>
      <c r="O22" s="827"/>
      <c r="P22" s="828"/>
      <c r="Q22" s="264"/>
    </row>
    <row r="23" spans="1:17" ht="15.75" customHeight="1" thickTop="1">
      <c r="A23" s="536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Q23" s="264"/>
    </row>
    <row r="24" spans="1:17" ht="15.75" customHeight="1">
      <c r="A24" s="815" t="s">
        <v>862</v>
      </c>
      <c r="B24" s="816"/>
      <c r="C24" s="117" t="s">
        <v>863</v>
      </c>
      <c r="D24" s="817" t="s">
        <v>12</v>
      </c>
      <c r="E24" s="818"/>
      <c r="F24" s="819"/>
      <c r="G24" s="115" t="s">
        <v>864</v>
      </c>
      <c r="H24" s="116"/>
      <c r="I24" s="117"/>
      <c r="J24" s="114" t="s">
        <v>865</v>
      </c>
      <c r="K24" s="114" t="s">
        <v>866</v>
      </c>
      <c r="L24" s="114" t="s">
        <v>867</v>
      </c>
      <c r="M24" s="118" t="s">
        <v>11</v>
      </c>
      <c r="N24" s="357" t="s">
        <v>868</v>
      </c>
      <c r="O24" s="820" t="s">
        <v>869</v>
      </c>
      <c r="P24" s="821"/>
      <c r="Q24" s="264"/>
    </row>
    <row r="25" spans="1:17" ht="15.75" customHeight="1">
      <c r="A25" s="816">
        <v>6</v>
      </c>
      <c r="B25" s="822" t="s">
        <v>213</v>
      </c>
      <c r="C25" s="112">
        <v>1</v>
      </c>
      <c r="D25" s="540" t="s">
        <v>640</v>
      </c>
      <c r="E25" s="792"/>
      <c r="F25" s="793"/>
      <c r="G25" s="540" t="s">
        <v>423</v>
      </c>
      <c r="H25" s="792"/>
      <c r="I25" s="793"/>
      <c r="J25" s="358">
        <v>13.45</v>
      </c>
      <c r="K25" s="14">
        <v>1.6427104722792608E-2</v>
      </c>
      <c r="L25" s="4">
        <v>16</v>
      </c>
      <c r="M25" s="330">
        <v>215.2</v>
      </c>
      <c r="N25" s="4"/>
      <c r="O25" s="800" t="s">
        <v>883</v>
      </c>
      <c r="P25" s="829"/>
      <c r="Q25" s="264"/>
    </row>
    <row r="26" spans="1:17" ht="15.75" customHeight="1">
      <c r="A26" s="816"/>
      <c r="B26" s="823"/>
      <c r="C26" s="112">
        <v>2</v>
      </c>
      <c r="D26" s="540" t="s">
        <v>744</v>
      </c>
      <c r="E26" s="792"/>
      <c r="F26" s="793"/>
      <c r="G26" s="540" t="s">
        <v>354</v>
      </c>
      <c r="H26" s="792"/>
      <c r="I26" s="793"/>
      <c r="J26" s="358">
        <v>487.6</v>
      </c>
      <c r="K26" s="14">
        <v>1.0557989758749935E-2</v>
      </c>
      <c r="L26" s="4">
        <v>0.4</v>
      </c>
      <c r="M26" s="330">
        <v>195.04000000000002</v>
      </c>
      <c r="N26" s="4"/>
      <c r="O26" s="800" t="s">
        <v>796</v>
      </c>
      <c r="P26" s="829"/>
      <c r="Q26" s="264"/>
    </row>
    <row r="27" spans="1:17" ht="15.75" customHeight="1">
      <c r="A27" s="816"/>
      <c r="B27" s="823"/>
      <c r="C27" s="112">
        <v>3</v>
      </c>
      <c r="D27" s="540" t="s">
        <v>743</v>
      </c>
      <c r="E27" s="792"/>
      <c r="F27" s="793"/>
      <c r="G27" s="540" t="s">
        <v>884</v>
      </c>
      <c r="H27" s="792"/>
      <c r="I27" s="793"/>
      <c r="J27" s="358">
        <v>444.88</v>
      </c>
      <c r="K27" s="14">
        <v>2.1244954323348206E-2</v>
      </c>
      <c r="L27" s="4">
        <v>0.4</v>
      </c>
      <c r="M27" s="330">
        <v>177.952</v>
      </c>
      <c r="N27" s="4"/>
      <c r="O27" s="800" t="s">
        <v>796</v>
      </c>
      <c r="P27" s="829"/>
      <c r="Q27" s="264"/>
    </row>
    <row r="28" spans="1:17" ht="15.75" customHeight="1">
      <c r="A28" s="816"/>
      <c r="B28" s="823"/>
      <c r="C28" s="112">
        <v>4</v>
      </c>
      <c r="D28" s="540" t="s">
        <v>645</v>
      </c>
      <c r="E28" s="792"/>
      <c r="F28" s="793"/>
      <c r="G28" s="540" t="s">
        <v>885</v>
      </c>
      <c r="H28" s="792"/>
      <c r="I28" s="793"/>
      <c r="J28" s="358">
        <v>52.55</v>
      </c>
      <c r="K28" s="14">
        <v>3.7442665917813349E-3</v>
      </c>
      <c r="L28" s="4">
        <v>2.8</v>
      </c>
      <c r="M28" s="330">
        <v>147.13999999999999</v>
      </c>
      <c r="N28" s="4"/>
      <c r="O28" s="800" t="s">
        <v>883</v>
      </c>
      <c r="P28" s="829"/>
      <c r="Q28" s="264"/>
    </row>
    <row r="29" spans="1:17" ht="15.75" customHeight="1" thickBot="1">
      <c r="A29" s="816"/>
      <c r="B29" s="823"/>
      <c r="C29" s="113">
        <v>5</v>
      </c>
      <c r="D29" s="540">
        <v>0</v>
      </c>
      <c r="E29" s="792"/>
      <c r="F29" s="793"/>
      <c r="G29" s="540">
        <v>0</v>
      </c>
      <c r="H29" s="792"/>
      <c r="I29" s="793"/>
      <c r="J29" s="358">
        <v>0</v>
      </c>
      <c r="K29" s="14">
        <v>0</v>
      </c>
      <c r="L29" s="4">
        <v>0</v>
      </c>
      <c r="M29" s="330">
        <v>0</v>
      </c>
      <c r="N29" s="4"/>
      <c r="O29" s="800"/>
      <c r="P29" s="829"/>
      <c r="Q29" s="264"/>
    </row>
    <row r="30" spans="1:17" ht="15.75" customHeight="1" thickTop="1" thickBot="1">
      <c r="A30" s="816"/>
      <c r="B30" s="823"/>
      <c r="C30" s="824"/>
      <c r="D30" s="824"/>
      <c r="E30" s="824"/>
      <c r="F30" s="824"/>
      <c r="G30" s="824"/>
      <c r="H30" s="824"/>
      <c r="I30" s="825"/>
      <c r="J30" s="119" t="s">
        <v>871</v>
      </c>
      <c r="K30" s="245">
        <v>5.2106846117868045E-3</v>
      </c>
      <c r="L30" s="119" t="s">
        <v>872</v>
      </c>
      <c r="M30" s="247">
        <v>735.33199999999999</v>
      </c>
      <c r="N30" s="826"/>
      <c r="O30" s="827"/>
      <c r="P30" s="828"/>
      <c r="Q30" s="264"/>
    </row>
    <row r="31" spans="1:17" ht="15.75" customHeight="1" thickTop="1">
      <c r="A31" s="536"/>
      <c r="D31" s="536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6"/>
      <c r="Q31" s="264"/>
    </row>
    <row r="32" spans="1:17" ht="15.75" customHeight="1">
      <c r="A32" s="815" t="s">
        <v>862</v>
      </c>
      <c r="B32" s="816"/>
      <c r="C32" s="117" t="s">
        <v>863</v>
      </c>
      <c r="D32" s="817" t="s">
        <v>12</v>
      </c>
      <c r="E32" s="818"/>
      <c r="F32" s="819"/>
      <c r="G32" s="115" t="s">
        <v>864</v>
      </c>
      <c r="H32" s="116"/>
      <c r="I32" s="117"/>
      <c r="J32" s="114" t="s">
        <v>865</v>
      </c>
      <c r="K32" s="114" t="s">
        <v>866</v>
      </c>
      <c r="L32" s="114" t="s">
        <v>867</v>
      </c>
      <c r="M32" s="118" t="s">
        <v>11</v>
      </c>
      <c r="N32" s="118" t="s">
        <v>13</v>
      </c>
      <c r="O32" s="820" t="s">
        <v>869</v>
      </c>
      <c r="P32" s="821"/>
      <c r="Q32" s="264"/>
    </row>
    <row r="33" spans="1:17" ht="15.75" customHeight="1">
      <c r="A33" s="816">
        <v>7</v>
      </c>
      <c r="B33" s="822" t="s">
        <v>886</v>
      </c>
      <c r="C33" s="112">
        <v>1</v>
      </c>
      <c r="D33" s="540" t="s">
        <v>345</v>
      </c>
      <c r="E33" s="792"/>
      <c r="F33" s="793"/>
      <c r="G33" s="540" t="s">
        <v>798</v>
      </c>
      <c r="H33" s="792"/>
      <c r="I33" s="793"/>
      <c r="J33" s="4">
        <v>846.44</v>
      </c>
      <c r="K33" s="14">
        <v>3.6016567621105708E-2</v>
      </c>
      <c r="L33" s="4">
        <v>0.2</v>
      </c>
      <c r="M33" s="330">
        <v>169.28800000000001</v>
      </c>
      <c r="N33" s="4"/>
      <c r="O33" s="800" t="s">
        <v>887</v>
      </c>
      <c r="P33" s="829"/>
      <c r="Q33" s="264"/>
    </row>
    <row r="34" spans="1:17" ht="15.75" customHeight="1">
      <c r="A34" s="816"/>
      <c r="B34" s="823"/>
      <c r="C34" s="112">
        <v>2</v>
      </c>
      <c r="D34" s="540">
        <v>0</v>
      </c>
      <c r="E34" s="792"/>
      <c r="F34" s="793"/>
      <c r="G34" s="540">
        <v>0</v>
      </c>
      <c r="H34" s="792"/>
      <c r="I34" s="793"/>
      <c r="J34" s="4">
        <v>0</v>
      </c>
      <c r="K34" s="14">
        <v>0</v>
      </c>
      <c r="L34" s="4">
        <v>0</v>
      </c>
      <c r="M34" s="330">
        <v>0</v>
      </c>
      <c r="N34" s="4"/>
      <c r="O34" s="800"/>
      <c r="P34" s="829"/>
      <c r="Q34" s="264"/>
    </row>
    <row r="35" spans="1:17" ht="15.75" customHeight="1">
      <c r="A35" s="816"/>
      <c r="B35" s="823"/>
      <c r="C35" s="112">
        <v>3</v>
      </c>
      <c r="D35" s="540">
        <v>0</v>
      </c>
      <c r="E35" s="792"/>
      <c r="F35" s="793"/>
      <c r="G35" s="540">
        <v>0</v>
      </c>
      <c r="H35" s="792"/>
      <c r="I35" s="793"/>
      <c r="J35" s="4">
        <v>0</v>
      </c>
      <c r="K35" s="14">
        <v>0</v>
      </c>
      <c r="L35" s="4">
        <v>0</v>
      </c>
      <c r="M35" s="330">
        <v>0</v>
      </c>
      <c r="N35" s="4"/>
      <c r="O35" s="800"/>
      <c r="P35" s="829"/>
      <c r="Q35" s="264"/>
    </row>
    <row r="36" spans="1:17" ht="15.75" customHeight="1">
      <c r="A36" s="816"/>
      <c r="B36" s="823"/>
      <c r="C36" s="112">
        <v>4</v>
      </c>
      <c r="D36" s="540">
        <v>0</v>
      </c>
      <c r="E36" s="792"/>
      <c r="F36" s="793"/>
      <c r="G36" s="540">
        <v>0</v>
      </c>
      <c r="H36" s="792"/>
      <c r="I36" s="793"/>
      <c r="J36" s="4">
        <v>0</v>
      </c>
      <c r="K36" s="14">
        <v>0</v>
      </c>
      <c r="L36" s="4">
        <v>0</v>
      </c>
      <c r="M36" s="330">
        <v>0</v>
      </c>
      <c r="N36" s="4"/>
      <c r="O36" s="800"/>
      <c r="P36" s="829"/>
      <c r="Q36" s="264"/>
    </row>
    <row r="37" spans="1:17" ht="15.75" customHeight="1" thickBot="1">
      <c r="A37" s="816"/>
      <c r="B37" s="823"/>
      <c r="C37" s="113">
        <v>5</v>
      </c>
      <c r="D37" s="540">
        <v>0</v>
      </c>
      <c r="E37" s="792"/>
      <c r="F37" s="793"/>
      <c r="G37" s="540">
        <v>0</v>
      </c>
      <c r="H37" s="792"/>
      <c r="I37" s="793"/>
      <c r="J37" s="4">
        <v>0</v>
      </c>
      <c r="K37" s="14">
        <v>0</v>
      </c>
      <c r="L37" s="4">
        <v>0</v>
      </c>
      <c r="M37" s="330">
        <v>0</v>
      </c>
      <c r="N37" s="4"/>
      <c r="O37" s="800"/>
      <c r="P37" s="829"/>
      <c r="Q37" s="264"/>
    </row>
    <row r="38" spans="1:17" ht="15.75" customHeight="1" thickTop="1" thickBot="1">
      <c r="A38" s="816"/>
      <c r="B38" s="823"/>
      <c r="C38" s="824"/>
      <c r="D38" s="824"/>
      <c r="E38" s="824"/>
      <c r="F38" s="824"/>
      <c r="G38" s="824"/>
      <c r="H38" s="824"/>
      <c r="I38" s="825"/>
      <c r="J38" s="119" t="s">
        <v>871</v>
      </c>
      <c r="K38" s="245">
        <v>1.1996028685820346E-3</v>
      </c>
      <c r="L38" s="119" t="s">
        <v>872</v>
      </c>
      <c r="M38" s="247">
        <v>169.28800000000001</v>
      </c>
      <c r="N38" s="826"/>
      <c r="O38" s="827"/>
      <c r="P38" s="828"/>
      <c r="Q38" s="264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60" customWidth="1"/>
    <col min="3" max="3" width="4" style="361" customWidth="1"/>
    <col min="4" max="17" width="9.5703125" style="183" customWidth="1"/>
    <col min="18" max="16384" width="12.5703125" style="183"/>
  </cols>
  <sheetData>
    <row r="1" spans="1:23" ht="15.75" customHeight="1">
      <c r="A1" s="758" t="s">
        <v>588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</row>
    <row r="2" spans="1:23" s="184" customFormat="1" ht="15.75" customHeigh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  <c r="R2" s="183"/>
      <c r="S2" s="183"/>
      <c r="T2" s="183"/>
      <c r="U2" s="183"/>
      <c r="V2" s="183"/>
      <c r="W2" s="183"/>
    </row>
    <row r="3" spans="1:23" ht="15.75" customHeight="1">
      <c r="A3" s="759" t="s">
        <v>589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185"/>
    </row>
    <row r="4" spans="1:23" s="184" customFormat="1" ht="15.75" customHeight="1">
      <c r="A4" s="759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59"/>
      <c r="N4" s="186"/>
      <c r="R4" s="183"/>
      <c r="S4" s="183"/>
      <c r="T4" s="183"/>
      <c r="U4" s="183"/>
      <c r="V4" s="183"/>
      <c r="W4" s="183"/>
    </row>
    <row r="5" spans="1:23" ht="15.75" customHeight="1">
      <c r="A5" s="761" t="s">
        <v>583</v>
      </c>
      <c r="B5" s="833">
        <v>1</v>
      </c>
      <c r="C5" s="833"/>
      <c r="D5" s="833">
        <v>2</v>
      </c>
      <c r="E5" s="833"/>
      <c r="F5" s="833">
        <v>3</v>
      </c>
      <c r="G5" s="833"/>
      <c r="H5" s="764">
        <v>4</v>
      </c>
      <c r="I5" s="764"/>
      <c r="J5" s="764">
        <v>5</v>
      </c>
      <c r="K5" s="764"/>
      <c r="L5" s="764">
        <v>6</v>
      </c>
      <c r="M5" s="764"/>
      <c r="N5" s="764">
        <v>7</v>
      </c>
      <c r="O5" s="764"/>
      <c r="P5" s="764">
        <v>8</v>
      </c>
      <c r="Q5" s="764"/>
    </row>
    <row r="6" spans="1:23" ht="15.75" customHeight="1">
      <c r="A6" s="761"/>
      <c r="B6" s="834" t="s">
        <v>590</v>
      </c>
      <c r="C6" s="834"/>
      <c r="D6" s="834" t="s">
        <v>591</v>
      </c>
      <c r="E6" s="834"/>
      <c r="F6" s="834" t="s">
        <v>592</v>
      </c>
      <c r="G6" s="834"/>
      <c r="H6" s="832" t="s">
        <v>593</v>
      </c>
      <c r="I6" s="761"/>
      <c r="J6" s="761" t="s">
        <v>594</v>
      </c>
      <c r="K6" s="761"/>
      <c r="L6" s="761" t="s">
        <v>595</v>
      </c>
      <c r="M6" s="761"/>
      <c r="N6" s="761" t="s">
        <v>596</v>
      </c>
      <c r="O6" s="761"/>
      <c r="P6" s="832" t="s">
        <v>597</v>
      </c>
      <c r="Q6" s="761"/>
    </row>
    <row r="8" spans="1:23" s="359" customFormat="1" ht="15.75" customHeight="1">
      <c r="A8" s="802" t="s">
        <v>862</v>
      </c>
      <c r="B8" s="803"/>
      <c r="C8" s="539" t="s">
        <v>863</v>
      </c>
      <c r="D8" s="804" t="s">
        <v>12</v>
      </c>
      <c r="E8" s="805"/>
      <c r="F8" s="806"/>
      <c r="G8" s="537" t="s">
        <v>864</v>
      </c>
      <c r="H8" s="538"/>
      <c r="I8" s="539"/>
      <c r="J8" s="170" t="s">
        <v>865</v>
      </c>
      <c r="K8" s="357" t="s">
        <v>888</v>
      </c>
      <c r="L8" s="170" t="s">
        <v>867</v>
      </c>
      <c r="M8" s="170" t="s">
        <v>11</v>
      </c>
      <c r="N8" s="357" t="s">
        <v>868</v>
      </c>
      <c r="O8" s="807" t="s">
        <v>869</v>
      </c>
      <c r="P8" s="808"/>
      <c r="R8" s="183"/>
      <c r="S8" s="183"/>
      <c r="T8" s="183"/>
      <c r="U8" s="183"/>
      <c r="V8" s="183"/>
      <c r="W8" s="183"/>
    </row>
    <row r="9" spans="1:23" ht="15.75" customHeight="1">
      <c r="A9" s="727">
        <v>1</v>
      </c>
      <c r="B9" s="789" t="s">
        <v>870</v>
      </c>
      <c r="C9" s="171">
        <v>1</v>
      </c>
      <c r="D9" s="540">
        <v>0</v>
      </c>
      <c r="E9" s="792"/>
      <c r="F9" s="793"/>
      <c r="G9" s="540">
        <v>0</v>
      </c>
      <c r="H9" s="792"/>
      <c r="I9" s="793"/>
      <c r="J9" s="4">
        <v>0</v>
      </c>
      <c r="K9" s="14">
        <v>0</v>
      </c>
      <c r="L9" s="358">
        <v>0</v>
      </c>
      <c r="M9" s="16">
        <v>0</v>
      </c>
      <c r="N9" s="172"/>
      <c r="O9" s="800"/>
      <c r="P9" s="801"/>
    </row>
    <row r="10" spans="1:23" ht="15.75" customHeight="1">
      <c r="A10" s="732"/>
      <c r="B10" s="790"/>
      <c r="C10" s="171">
        <v>2</v>
      </c>
      <c r="D10" s="540">
        <v>0</v>
      </c>
      <c r="E10" s="792"/>
      <c r="F10" s="793"/>
      <c r="G10" s="540">
        <v>0</v>
      </c>
      <c r="H10" s="792"/>
      <c r="I10" s="793"/>
      <c r="J10" s="4">
        <v>0</v>
      </c>
      <c r="K10" s="14">
        <v>0</v>
      </c>
      <c r="L10" s="358">
        <v>0</v>
      </c>
      <c r="M10" s="16">
        <v>0</v>
      </c>
      <c r="N10" s="172"/>
      <c r="O10" s="800"/>
      <c r="P10" s="801"/>
    </row>
    <row r="11" spans="1:23" ht="15.75" customHeight="1">
      <c r="A11" s="732"/>
      <c r="B11" s="790"/>
      <c r="C11" s="171">
        <v>3</v>
      </c>
      <c r="D11" s="540">
        <v>0</v>
      </c>
      <c r="E11" s="792"/>
      <c r="F11" s="793"/>
      <c r="G11" s="540">
        <v>0</v>
      </c>
      <c r="H11" s="792"/>
      <c r="I11" s="793"/>
      <c r="J11" s="4">
        <v>0</v>
      </c>
      <c r="K11" s="14">
        <v>0</v>
      </c>
      <c r="L11" s="358">
        <v>0</v>
      </c>
      <c r="M11" s="16">
        <v>0</v>
      </c>
      <c r="N11" s="172"/>
      <c r="O11" s="800"/>
      <c r="P11" s="801"/>
    </row>
    <row r="12" spans="1:23" ht="15.75" customHeight="1">
      <c r="A12" s="732"/>
      <c r="B12" s="790"/>
      <c r="C12" s="171">
        <v>4</v>
      </c>
      <c r="D12" s="540">
        <v>0</v>
      </c>
      <c r="E12" s="792"/>
      <c r="F12" s="793"/>
      <c r="G12" s="540">
        <v>0</v>
      </c>
      <c r="H12" s="792"/>
      <c r="I12" s="793"/>
      <c r="J12" s="4">
        <v>0</v>
      </c>
      <c r="K12" s="14">
        <v>0</v>
      </c>
      <c r="L12" s="358">
        <v>0</v>
      </c>
      <c r="M12" s="16">
        <v>0</v>
      </c>
      <c r="N12" s="172"/>
      <c r="O12" s="800"/>
      <c r="P12" s="801"/>
    </row>
    <row r="13" spans="1:23" ht="15.75" customHeight="1" thickBot="1">
      <c r="A13" s="732"/>
      <c r="B13" s="790"/>
      <c r="C13" s="173">
        <v>5</v>
      </c>
      <c r="D13" s="797">
        <v>0</v>
      </c>
      <c r="E13" s="798"/>
      <c r="F13" s="799"/>
      <c r="G13" s="797">
        <v>0</v>
      </c>
      <c r="H13" s="798"/>
      <c r="I13" s="799"/>
      <c r="J13" s="4">
        <v>0</v>
      </c>
      <c r="K13" s="14">
        <v>0</v>
      </c>
      <c r="L13" s="358">
        <v>0</v>
      </c>
      <c r="M13" s="16">
        <v>0</v>
      </c>
      <c r="N13" s="174"/>
      <c r="O13" s="810"/>
      <c r="P13" s="811"/>
    </row>
    <row r="14" spans="1:23" ht="15.75" customHeight="1" thickTop="1" thickBot="1">
      <c r="A14" s="728"/>
      <c r="B14" s="791"/>
      <c r="C14" s="783"/>
      <c r="D14" s="784"/>
      <c r="E14" s="784"/>
      <c r="F14" s="784"/>
      <c r="G14" s="784"/>
      <c r="H14" s="784"/>
      <c r="I14" s="785"/>
      <c r="J14" s="355" t="s">
        <v>871</v>
      </c>
      <c r="K14" s="245">
        <v>0</v>
      </c>
      <c r="L14" s="355" t="s">
        <v>872</v>
      </c>
      <c r="M14" s="247">
        <v>0</v>
      </c>
      <c r="N14" s="786"/>
      <c r="O14" s="787"/>
      <c r="P14" s="788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02" t="s">
        <v>862</v>
      </c>
      <c r="B16" s="803"/>
      <c r="C16" s="539" t="s">
        <v>863</v>
      </c>
      <c r="D16" s="804" t="s">
        <v>12</v>
      </c>
      <c r="E16" s="805"/>
      <c r="F16" s="806"/>
      <c r="G16" s="537" t="s">
        <v>864</v>
      </c>
      <c r="H16" s="538"/>
      <c r="I16" s="539"/>
      <c r="J16" s="170" t="s">
        <v>865</v>
      </c>
      <c r="K16" s="357" t="s">
        <v>888</v>
      </c>
      <c r="L16" s="170" t="s">
        <v>867</v>
      </c>
      <c r="M16" s="170" t="s">
        <v>11</v>
      </c>
      <c r="N16" s="357" t="s">
        <v>868</v>
      </c>
      <c r="O16" s="807" t="s">
        <v>869</v>
      </c>
      <c r="P16" s="808"/>
    </row>
    <row r="17" spans="1:16" ht="15.75" customHeight="1">
      <c r="A17" s="727">
        <v>2</v>
      </c>
      <c r="B17" s="789" t="s">
        <v>873</v>
      </c>
      <c r="C17" s="171">
        <v>1</v>
      </c>
      <c r="D17" s="540" t="s">
        <v>790</v>
      </c>
      <c r="E17" s="792"/>
      <c r="F17" s="793"/>
      <c r="G17" s="540" t="s">
        <v>889</v>
      </c>
      <c r="H17" s="792"/>
      <c r="I17" s="793"/>
      <c r="J17" s="358">
        <v>631.87</v>
      </c>
      <c r="K17" s="14">
        <v>0.13325517780382959</v>
      </c>
      <c r="L17" s="358">
        <v>0.34099999999999991</v>
      </c>
      <c r="M17" s="330">
        <v>215.46766999999994</v>
      </c>
      <c r="N17" s="172"/>
      <c r="O17" s="800" t="s">
        <v>585</v>
      </c>
      <c r="P17" s="801"/>
    </row>
    <row r="18" spans="1:16" ht="15.75" customHeight="1">
      <c r="A18" s="732"/>
      <c r="B18" s="790"/>
      <c r="C18" s="171">
        <v>2</v>
      </c>
      <c r="D18" s="540">
        <v>0</v>
      </c>
      <c r="E18" s="792"/>
      <c r="F18" s="793"/>
      <c r="G18" s="540">
        <v>0</v>
      </c>
      <c r="H18" s="792"/>
      <c r="I18" s="793"/>
      <c r="J18" s="358">
        <v>0</v>
      </c>
      <c r="K18" s="14">
        <v>0</v>
      </c>
      <c r="L18" s="358">
        <v>0</v>
      </c>
      <c r="M18" s="330">
        <v>0</v>
      </c>
      <c r="N18" s="172"/>
      <c r="O18" s="800"/>
      <c r="P18" s="801"/>
    </row>
    <row r="19" spans="1:16" ht="15.75" customHeight="1">
      <c r="A19" s="732"/>
      <c r="B19" s="790"/>
      <c r="C19" s="171">
        <v>3</v>
      </c>
      <c r="D19" s="540">
        <v>0</v>
      </c>
      <c r="E19" s="792"/>
      <c r="F19" s="793"/>
      <c r="G19" s="540">
        <v>0</v>
      </c>
      <c r="H19" s="792"/>
      <c r="I19" s="793"/>
      <c r="J19" s="358">
        <v>0</v>
      </c>
      <c r="K19" s="14">
        <v>0</v>
      </c>
      <c r="L19" s="358">
        <v>0</v>
      </c>
      <c r="M19" s="330">
        <v>0</v>
      </c>
      <c r="N19" s="172"/>
      <c r="O19" s="800"/>
      <c r="P19" s="801"/>
    </row>
    <row r="20" spans="1:16" ht="15.75" customHeight="1">
      <c r="A20" s="732"/>
      <c r="B20" s="790"/>
      <c r="C20" s="171">
        <v>4</v>
      </c>
      <c r="D20" s="540">
        <v>0</v>
      </c>
      <c r="E20" s="792"/>
      <c r="F20" s="793"/>
      <c r="G20" s="540">
        <v>0</v>
      </c>
      <c r="H20" s="792"/>
      <c r="I20" s="793"/>
      <c r="J20" s="358">
        <v>0</v>
      </c>
      <c r="K20" s="14">
        <v>0</v>
      </c>
      <c r="L20" s="358">
        <v>0</v>
      </c>
      <c r="M20" s="330">
        <v>0</v>
      </c>
      <c r="N20" s="172"/>
      <c r="O20" s="800"/>
      <c r="P20" s="801"/>
    </row>
    <row r="21" spans="1:16" ht="15.75" customHeight="1" thickBot="1">
      <c r="A21" s="732"/>
      <c r="B21" s="790"/>
      <c r="C21" s="173">
        <v>5</v>
      </c>
      <c r="D21" s="540">
        <v>0</v>
      </c>
      <c r="E21" s="792"/>
      <c r="F21" s="793"/>
      <c r="G21" s="540">
        <v>0</v>
      </c>
      <c r="H21" s="792"/>
      <c r="I21" s="793"/>
      <c r="J21" s="358">
        <v>0</v>
      </c>
      <c r="K21" s="14">
        <v>0</v>
      </c>
      <c r="L21" s="358">
        <v>0</v>
      </c>
      <c r="M21" s="330">
        <v>0</v>
      </c>
      <c r="N21" s="174"/>
      <c r="O21" s="800"/>
      <c r="P21" s="801"/>
    </row>
    <row r="22" spans="1:16" ht="15.75" customHeight="1" thickTop="1" thickBot="1">
      <c r="A22" s="728"/>
      <c r="B22" s="791"/>
      <c r="C22" s="794"/>
      <c r="D22" s="795"/>
      <c r="E22" s="795"/>
      <c r="F22" s="795"/>
      <c r="G22" s="795"/>
      <c r="H22" s="795"/>
      <c r="I22" s="796"/>
      <c r="J22" s="355" t="s">
        <v>871</v>
      </c>
      <c r="K22" s="245">
        <v>2.1829602735465637E-3</v>
      </c>
      <c r="L22" s="355" t="s">
        <v>872</v>
      </c>
      <c r="M22" s="247">
        <v>215.46766999999994</v>
      </c>
      <c r="N22" s="786"/>
      <c r="O22" s="787"/>
      <c r="P22" s="788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02" t="s">
        <v>862</v>
      </c>
      <c r="B24" s="803"/>
      <c r="C24" s="539" t="s">
        <v>863</v>
      </c>
      <c r="D24" s="804" t="s">
        <v>12</v>
      </c>
      <c r="E24" s="805"/>
      <c r="F24" s="806"/>
      <c r="G24" s="537" t="s">
        <v>864</v>
      </c>
      <c r="H24" s="538"/>
      <c r="I24" s="539"/>
      <c r="J24" s="170" t="s">
        <v>865</v>
      </c>
      <c r="K24" s="357" t="s">
        <v>888</v>
      </c>
      <c r="L24" s="170" t="s">
        <v>867</v>
      </c>
      <c r="M24" s="170" t="s">
        <v>11</v>
      </c>
      <c r="N24" s="357" t="s">
        <v>868</v>
      </c>
      <c r="O24" s="807" t="s">
        <v>869</v>
      </c>
      <c r="P24" s="808"/>
    </row>
    <row r="25" spans="1:16" ht="15.75" customHeight="1">
      <c r="A25" s="727">
        <v>3</v>
      </c>
      <c r="B25" s="789" t="s">
        <v>875</v>
      </c>
      <c r="C25" s="171">
        <v>1</v>
      </c>
      <c r="D25" s="540" t="s">
        <v>795</v>
      </c>
      <c r="E25" s="792"/>
      <c r="F25" s="793"/>
      <c r="G25" s="540" t="s">
        <v>805</v>
      </c>
      <c r="H25" s="792"/>
      <c r="I25" s="793"/>
      <c r="J25" s="358">
        <v>153.91</v>
      </c>
      <c r="K25" s="14">
        <v>2.9064107912668627E-2</v>
      </c>
      <c r="L25" s="358">
        <v>1.2540000000000007</v>
      </c>
      <c r="M25" s="330">
        <v>193.00314000000012</v>
      </c>
      <c r="N25" s="172"/>
      <c r="O25" s="800" t="s">
        <v>670</v>
      </c>
      <c r="P25" s="801"/>
    </row>
    <row r="26" spans="1:16" ht="15.75" customHeight="1">
      <c r="A26" s="732"/>
      <c r="B26" s="790"/>
      <c r="C26" s="171">
        <v>2</v>
      </c>
      <c r="D26" s="540" t="s">
        <v>368</v>
      </c>
      <c r="E26" s="792"/>
      <c r="F26" s="793"/>
      <c r="G26" s="540" t="s">
        <v>769</v>
      </c>
      <c r="H26" s="792"/>
      <c r="I26" s="793"/>
      <c r="J26" s="358">
        <v>418.41</v>
      </c>
      <c r="K26" s="14">
        <v>2.0554836854966216E-2</v>
      </c>
      <c r="L26" s="358">
        <v>0.28599999999999992</v>
      </c>
      <c r="M26" s="330">
        <v>119.66525999999993</v>
      </c>
      <c r="N26" s="172"/>
      <c r="O26" s="800" t="s">
        <v>670</v>
      </c>
      <c r="P26" s="801"/>
    </row>
    <row r="27" spans="1:16" ht="15.75" customHeight="1">
      <c r="A27" s="732"/>
      <c r="B27" s="790"/>
      <c r="C27" s="171">
        <v>3</v>
      </c>
      <c r="D27" s="540" t="s">
        <v>361</v>
      </c>
      <c r="E27" s="792"/>
      <c r="F27" s="793"/>
      <c r="G27" s="540" t="s">
        <v>890</v>
      </c>
      <c r="H27" s="792"/>
      <c r="I27" s="793"/>
      <c r="J27" s="358">
        <v>413.08</v>
      </c>
      <c r="K27" s="14">
        <v>5.6731757451182634E-2</v>
      </c>
      <c r="L27" s="358">
        <v>0.28453608247423023</v>
      </c>
      <c r="M27" s="330">
        <v>117.53616494845502</v>
      </c>
      <c r="N27" s="172"/>
      <c r="O27" s="800" t="s">
        <v>670</v>
      </c>
      <c r="P27" s="801"/>
    </row>
    <row r="28" spans="1:16" ht="15.75" customHeight="1">
      <c r="A28" s="732"/>
      <c r="B28" s="790"/>
      <c r="C28" s="171">
        <v>4</v>
      </c>
      <c r="D28" s="540">
        <v>0</v>
      </c>
      <c r="E28" s="792"/>
      <c r="F28" s="793"/>
      <c r="G28" s="540">
        <v>0</v>
      </c>
      <c r="H28" s="792"/>
      <c r="I28" s="793"/>
      <c r="J28" s="358">
        <v>0</v>
      </c>
      <c r="K28" s="14">
        <v>0</v>
      </c>
      <c r="L28" s="358">
        <v>0</v>
      </c>
      <c r="M28" s="330">
        <v>0</v>
      </c>
      <c r="N28" s="172"/>
      <c r="O28" s="800"/>
      <c r="P28" s="801"/>
    </row>
    <row r="29" spans="1:16" ht="15.75" customHeight="1" thickBot="1">
      <c r="A29" s="732"/>
      <c r="B29" s="790"/>
      <c r="C29" s="173">
        <v>5</v>
      </c>
      <c r="D29" s="797">
        <v>0</v>
      </c>
      <c r="E29" s="798"/>
      <c r="F29" s="799"/>
      <c r="G29" s="797">
        <v>0</v>
      </c>
      <c r="H29" s="798"/>
      <c r="I29" s="799"/>
      <c r="J29" s="358">
        <v>0</v>
      </c>
      <c r="K29" s="14">
        <v>0</v>
      </c>
      <c r="L29" s="358">
        <v>0</v>
      </c>
      <c r="M29" s="330">
        <v>0</v>
      </c>
      <c r="N29" s="174"/>
      <c r="O29" s="810"/>
      <c r="P29" s="811"/>
    </row>
    <row r="30" spans="1:16" ht="15.75" customHeight="1" thickTop="1" thickBot="1">
      <c r="A30" s="728"/>
      <c r="B30" s="791"/>
      <c r="C30" s="783"/>
      <c r="D30" s="784"/>
      <c r="E30" s="784"/>
      <c r="F30" s="784"/>
      <c r="G30" s="784"/>
      <c r="H30" s="784"/>
      <c r="I30" s="785"/>
      <c r="J30" s="355" t="s">
        <v>871</v>
      </c>
      <c r="K30" s="245">
        <v>4.358516870678837E-3</v>
      </c>
      <c r="L30" s="355" t="s">
        <v>872</v>
      </c>
      <c r="M30" s="247">
        <v>430.20456494845507</v>
      </c>
      <c r="N30" s="786"/>
      <c r="O30" s="787"/>
      <c r="P30" s="788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D29:F29"/>
    <mergeCell ref="G29:I29"/>
    <mergeCell ref="O29:P29"/>
    <mergeCell ref="D28:F28"/>
    <mergeCell ref="G28:I28"/>
    <mergeCell ref="O28:P2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63" customWidth="1"/>
    <col min="2" max="2" width="11.42578125" style="364" customWidth="1"/>
    <col min="3" max="3" width="4" style="365" customWidth="1"/>
    <col min="4" max="17" width="9.5703125" style="363" customWidth="1"/>
    <col min="18" max="16384" width="12.5703125" style="363"/>
  </cols>
  <sheetData>
    <row r="1" spans="1:23" s="183" customFormat="1" ht="15.75" customHeight="1">
      <c r="A1" s="758" t="s">
        <v>588</v>
      </c>
      <c r="B1" s="758"/>
      <c r="C1" s="758"/>
      <c r="D1" s="758"/>
      <c r="E1" s="758"/>
      <c r="F1" s="758"/>
      <c r="G1" s="758"/>
      <c r="H1" s="758"/>
      <c r="I1" s="758"/>
      <c r="J1" s="758"/>
      <c r="K1" s="758"/>
      <c r="L1" s="758"/>
      <c r="M1" s="758"/>
      <c r="N1" s="758"/>
      <c r="O1" s="758"/>
      <c r="P1" s="758"/>
      <c r="Q1" s="758"/>
    </row>
    <row r="2" spans="1:23" s="184" customFormat="1" ht="15.75" customHeight="1">
      <c r="A2" s="758"/>
      <c r="B2" s="758"/>
      <c r="C2" s="758"/>
      <c r="D2" s="758"/>
      <c r="E2" s="758"/>
      <c r="F2" s="758"/>
      <c r="G2" s="758"/>
      <c r="H2" s="758"/>
      <c r="I2" s="758"/>
      <c r="J2" s="758"/>
      <c r="K2" s="758"/>
      <c r="L2" s="758"/>
      <c r="M2" s="758"/>
      <c r="N2" s="758"/>
      <c r="O2" s="758"/>
      <c r="P2" s="758"/>
      <c r="Q2" s="758"/>
    </row>
    <row r="3" spans="1:23" s="183" customFormat="1" ht="15.75" customHeight="1">
      <c r="A3" s="759" t="s">
        <v>589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N3" s="185"/>
    </row>
    <row r="4" spans="1:23" s="184" customFormat="1" ht="15.75" customHeight="1">
      <c r="A4" s="759"/>
      <c r="B4" s="759"/>
      <c r="C4" s="759"/>
      <c r="D4" s="759"/>
      <c r="E4" s="759"/>
      <c r="F4" s="759"/>
      <c r="G4" s="759"/>
      <c r="H4" s="759"/>
      <c r="I4" s="759"/>
      <c r="J4" s="759"/>
      <c r="K4" s="759"/>
      <c r="L4" s="759"/>
      <c r="M4" s="759"/>
      <c r="N4" s="186"/>
    </row>
    <row r="5" spans="1:23" s="183" customFormat="1" ht="15.75" customHeight="1">
      <c r="A5" s="761" t="s">
        <v>583</v>
      </c>
      <c r="B5" s="764">
        <v>1</v>
      </c>
      <c r="C5" s="764"/>
      <c r="D5" s="764">
        <v>2</v>
      </c>
      <c r="E5" s="764"/>
      <c r="F5" s="764">
        <v>3</v>
      </c>
      <c r="G5" s="764"/>
      <c r="H5" s="833">
        <v>4</v>
      </c>
      <c r="I5" s="833"/>
      <c r="J5" s="833">
        <v>5</v>
      </c>
      <c r="K5" s="833"/>
      <c r="L5" s="833">
        <v>6</v>
      </c>
      <c r="M5" s="833"/>
      <c r="N5" s="833">
        <v>7</v>
      </c>
      <c r="O5" s="833"/>
      <c r="P5" s="764">
        <v>8</v>
      </c>
      <c r="Q5" s="764"/>
    </row>
    <row r="6" spans="1:23" s="183" customFormat="1" ht="15.75" customHeight="1">
      <c r="A6" s="761"/>
      <c r="B6" s="761" t="s">
        <v>590</v>
      </c>
      <c r="C6" s="761"/>
      <c r="D6" s="761" t="s">
        <v>591</v>
      </c>
      <c r="E6" s="761"/>
      <c r="F6" s="761" t="s">
        <v>592</v>
      </c>
      <c r="G6" s="761"/>
      <c r="H6" s="835" t="s">
        <v>593</v>
      </c>
      <c r="I6" s="834"/>
      <c r="J6" s="834" t="s">
        <v>594</v>
      </c>
      <c r="K6" s="834"/>
      <c r="L6" s="834" t="s">
        <v>595</v>
      </c>
      <c r="M6" s="834"/>
      <c r="N6" s="834" t="s">
        <v>596</v>
      </c>
      <c r="O6" s="834"/>
      <c r="P6" s="832" t="s">
        <v>597</v>
      </c>
      <c r="Q6" s="761"/>
    </row>
    <row r="7" spans="1:23" s="183" customFormat="1" ht="15.75" customHeight="1">
      <c r="B7" s="360"/>
      <c r="C7" s="361"/>
    </row>
    <row r="8" spans="1:23" s="362" customFormat="1" ht="15.75" customHeight="1">
      <c r="A8" s="815" t="s">
        <v>862</v>
      </c>
      <c r="B8" s="816"/>
      <c r="C8" s="117" t="s">
        <v>863</v>
      </c>
      <c r="D8" s="817" t="s">
        <v>12</v>
      </c>
      <c r="E8" s="818"/>
      <c r="F8" s="819"/>
      <c r="G8" s="115" t="s">
        <v>864</v>
      </c>
      <c r="H8" s="116"/>
      <c r="I8" s="117"/>
      <c r="J8" s="114" t="s">
        <v>865</v>
      </c>
      <c r="K8" s="114" t="s">
        <v>888</v>
      </c>
      <c r="L8" s="114" t="s">
        <v>867</v>
      </c>
      <c r="M8" s="118" t="s">
        <v>11</v>
      </c>
      <c r="N8" s="357" t="s">
        <v>868</v>
      </c>
      <c r="O8" s="820" t="s">
        <v>869</v>
      </c>
      <c r="P8" s="821"/>
      <c r="R8" s="183"/>
      <c r="S8" s="183"/>
      <c r="T8" s="183"/>
      <c r="U8" s="183"/>
      <c r="V8" s="183"/>
      <c r="W8" s="183"/>
    </row>
    <row r="9" spans="1:23" ht="15.75" customHeight="1">
      <c r="A9" s="816">
        <v>4</v>
      </c>
      <c r="B9" s="823" t="s">
        <v>581</v>
      </c>
      <c r="C9" s="112">
        <v>1</v>
      </c>
      <c r="D9" s="540" t="s">
        <v>804</v>
      </c>
      <c r="E9" s="792"/>
      <c r="F9" s="793"/>
      <c r="G9" s="540" t="s">
        <v>806</v>
      </c>
      <c r="H9" s="792"/>
      <c r="I9" s="793"/>
      <c r="J9" s="358">
        <v>447.3</v>
      </c>
      <c r="K9" s="14">
        <v>3.1730534537466716E-3</v>
      </c>
      <c r="L9" s="358">
        <v>0.52000000000000457</v>
      </c>
      <c r="M9" s="330">
        <v>232.59600000000205</v>
      </c>
      <c r="N9" s="4"/>
      <c r="O9" s="800" t="s">
        <v>521</v>
      </c>
      <c r="P9" s="829"/>
      <c r="R9" s="183"/>
      <c r="S9" s="183"/>
      <c r="T9" s="183"/>
      <c r="U9" s="183"/>
      <c r="V9" s="183"/>
      <c r="W9" s="183"/>
    </row>
    <row r="10" spans="1:23" ht="15.75" customHeight="1">
      <c r="A10" s="816"/>
      <c r="B10" s="823"/>
      <c r="C10" s="112">
        <v>2</v>
      </c>
      <c r="D10" s="540" t="s">
        <v>349</v>
      </c>
      <c r="E10" s="792"/>
      <c r="F10" s="793"/>
      <c r="G10" s="540" t="s">
        <v>891</v>
      </c>
      <c r="H10" s="792"/>
      <c r="I10" s="793"/>
      <c r="J10" s="358">
        <v>758.19</v>
      </c>
      <c r="K10" s="14">
        <v>1.2128816394813849E-2</v>
      </c>
      <c r="L10" s="358">
        <v>0.28999999999999915</v>
      </c>
      <c r="M10" s="330">
        <v>219.87509999999938</v>
      </c>
      <c r="N10" s="4"/>
      <c r="O10" s="800" t="s">
        <v>521</v>
      </c>
      <c r="P10" s="829"/>
      <c r="R10" s="183"/>
      <c r="S10" s="183"/>
      <c r="T10" s="183"/>
      <c r="U10" s="183"/>
      <c r="V10" s="183"/>
      <c r="W10" s="183"/>
    </row>
    <row r="11" spans="1:23" ht="15.75" customHeight="1">
      <c r="A11" s="816"/>
      <c r="B11" s="823"/>
      <c r="C11" s="112">
        <v>3</v>
      </c>
      <c r="D11" s="540" t="s">
        <v>377</v>
      </c>
      <c r="E11" s="792"/>
      <c r="F11" s="793"/>
      <c r="G11" s="540" t="s">
        <v>799</v>
      </c>
      <c r="H11" s="792"/>
      <c r="I11" s="793"/>
      <c r="J11" s="358">
        <v>371.13</v>
      </c>
      <c r="K11" s="14">
        <v>4.0118901615149314E-3</v>
      </c>
      <c r="L11" s="358">
        <v>0.57899999999999641</v>
      </c>
      <c r="M11" s="330">
        <v>214.88426999999865</v>
      </c>
      <c r="N11" s="4"/>
      <c r="O11" s="800" t="s">
        <v>521</v>
      </c>
      <c r="P11" s="829"/>
      <c r="R11" s="183"/>
      <c r="S11" s="183"/>
      <c r="T11" s="183"/>
      <c r="U11" s="183"/>
      <c r="V11" s="183"/>
      <c r="W11" s="183"/>
    </row>
    <row r="12" spans="1:23" ht="15.75" customHeight="1">
      <c r="A12" s="816"/>
      <c r="B12" s="823"/>
      <c r="C12" s="112">
        <v>4</v>
      </c>
      <c r="D12" s="540" t="s">
        <v>379</v>
      </c>
      <c r="E12" s="792"/>
      <c r="F12" s="793"/>
      <c r="G12" s="540" t="s">
        <v>815</v>
      </c>
      <c r="H12" s="792"/>
      <c r="I12" s="793"/>
      <c r="J12" s="358">
        <v>116.66</v>
      </c>
      <c r="K12" s="14">
        <v>4.5959006339681722E-3</v>
      </c>
      <c r="L12" s="358">
        <v>1.5549999999999613</v>
      </c>
      <c r="M12" s="330">
        <v>181.40629999999547</v>
      </c>
      <c r="N12" s="4"/>
      <c r="O12" s="800" t="s">
        <v>521</v>
      </c>
      <c r="P12" s="829"/>
      <c r="R12" s="183"/>
      <c r="S12" s="183"/>
      <c r="T12" s="183"/>
      <c r="U12" s="183"/>
      <c r="V12" s="183"/>
      <c r="W12" s="183"/>
    </row>
    <row r="13" spans="1:23" ht="15.75" customHeight="1" thickBot="1">
      <c r="A13" s="816"/>
      <c r="B13" s="823"/>
      <c r="C13" s="113">
        <v>5</v>
      </c>
      <c r="D13" s="540" t="s">
        <v>352</v>
      </c>
      <c r="E13" s="792"/>
      <c r="F13" s="793"/>
      <c r="G13" s="540" t="s">
        <v>673</v>
      </c>
      <c r="H13" s="792"/>
      <c r="I13" s="793"/>
      <c r="J13" s="358">
        <v>111.17</v>
      </c>
      <c r="K13" s="14">
        <v>4.1780514955688996E-3</v>
      </c>
      <c r="L13" s="358">
        <v>1.4449999999999819</v>
      </c>
      <c r="M13" s="330">
        <v>160.64064999999798</v>
      </c>
      <c r="N13" s="4"/>
      <c r="O13" s="800" t="s">
        <v>521</v>
      </c>
      <c r="P13" s="829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16"/>
      <c r="B14" s="823"/>
      <c r="C14" s="831"/>
      <c r="D14" s="831"/>
      <c r="E14" s="831"/>
      <c r="F14" s="831"/>
      <c r="G14" s="831"/>
      <c r="H14" s="831"/>
      <c r="I14" s="831"/>
      <c r="J14" s="246" t="s">
        <v>871</v>
      </c>
      <c r="K14" s="245">
        <v>1.0226523378591892E-2</v>
      </c>
      <c r="L14" s="246" t="s">
        <v>872</v>
      </c>
      <c r="M14" s="247">
        <v>1009.4023199999936</v>
      </c>
      <c r="N14" s="830"/>
      <c r="O14" s="830"/>
      <c r="P14" s="830"/>
      <c r="R14" s="183"/>
      <c r="S14" s="183"/>
      <c r="T14" s="183"/>
      <c r="U14" s="183"/>
      <c r="V14" s="183"/>
      <c r="W14" s="183"/>
    </row>
    <row r="15" spans="1:23" ht="15.75" customHeight="1" thickTop="1">
      <c r="A15" s="536"/>
      <c r="B15" s="111"/>
      <c r="C15" s="109"/>
      <c r="D15" s="536"/>
      <c r="E15" s="536"/>
      <c r="F15" s="536"/>
      <c r="G15" s="536"/>
      <c r="H15" s="536"/>
      <c r="I15" s="536"/>
      <c r="J15" s="536"/>
      <c r="K15" s="536"/>
      <c r="L15" s="536"/>
      <c r="M15" s="536"/>
      <c r="N15" s="536"/>
      <c r="O15" s="536"/>
      <c r="P15" s="536"/>
      <c r="R15" s="183"/>
      <c r="S15" s="183"/>
      <c r="T15" s="183"/>
      <c r="U15" s="183"/>
      <c r="V15" s="183"/>
      <c r="W15" s="183"/>
    </row>
    <row r="16" spans="1:23" ht="15.75" customHeight="1">
      <c r="A16" s="815" t="s">
        <v>862</v>
      </c>
      <c r="B16" s="816"/>
      <c r="C16" s="117" t="s">
        <v>863</v>
      </c>
      <c r="D16" s="817" t="s">
        <v>12</v>
      </c>
      <c r="E16" s="818"/>
      <c r="F16" s="819"/>
      <c r="G16" s="115" t="s">
        <v>864</v>
      </c>
      <c r="H16" s="116"/>
      <c r="I16" s="117"/>
      <c r="J16" s="114" t="s">
        <v>865</v>
      </c>
      <c r="K16" s="114" t="s">
        <v>888</v>
      </c>
      <c r="L16" s="114" t="s">
        <v>867</v>
      </c>
      <c r="M16" s="118" t="s">
        <v>11</v>
      </c>
      <c r="N16" s="357" t="s">
        <v>868</v>
      </c>
      <c r="O16" s="820" t="s">
        <v>869</v>
      </c>
      <c r="P16" s="821"/>
      <c r="R16" s="183"/>
      <c r="S16" s="183"/>
      <c r="T16" s="183"/>
      <c r="U16" s="183"/>
      <c r="V16" s="183"/>
      <c r="W16" s="183"/>
    </row>
    <row r="17" spans="1:23" ht="15.75" customHeight="1">
      <c r="A17" s="816">
        <v>5</v>
      </c>
      <c r="B17" s="822" t="s">
        <v>212</v>
      </c>
      <c r="C17" s="112">
        <v>1</v>
      </c>
      <c r="D17" s="540" t="s">
        <v>355</v>
      </c>
      <c r="E17" s="792"/>
      <c r="F17" s="793"/>
      <c r="G17" s="540" t="s">
        <v>749</v>
      </c>
      <c r="H17" s="792"/>
      <c r="I17" s="793"/>
      <c r="J17" s="358">
        <v>581.91999999999996</v>
      </c>
      <c r="K17" s="14">
        <v>1.9536671292836382E-2</v>
      </c>
      <c r="L17" s="358">
        <v>0.36599999999999683</v>
      </c>
      <c r="M17" s="330">
        <v>212.98271999999812</v>
      </c>
      <c r="N17" s="4"/>
      <c r="O17" s="800" t="s">
        <v>598</v>
      </c>
      <c r="P17" s="801"/>
      <c r="R17" s="183"/>
      <c r="S17" s="183"/>
      <c r="T17" s="183"/>
      <c r="U17" s="183"/>
      <c r="V17" s="183"/>
      <c r="W17" s="183"/>
    </row>
    <row r="18" spans="1:23" ht="15.75" customHeight="1">
      <c r="A18" s="816"/>
      <c r="B18" s="823"/>
      <c r="C18" s="112">
        <v>2</v>
      </c>
      <c r="D18" s="540" t="s">
        <v>579</v>
      </c>
      <c r="E18" s="792"/>
      <c r="F18" s="793"/>
      <c r="G18" s="540" t="s">
        <v>829</v>
      </c>
      <c r="H18" s="792"/>
      <c r="I18" s="793"/>
      <c r="J18" s="358">
        <v>237.97</v>
      </c>
      <c r="K18" s="14">
        <v>2.3776223776223696E-2</v>
      </c>
      <c r="L18" s="358">
        <v>0.84999999999999709</v>
      </c>
      <c r="M18" s="330">
        <v>202.27449999999931</v>
      </c>
      <c r="N18" s="4"/>
      <c r="O18" s="800" t="s">
        <v>598</v>
      </c>
      <c r="P18" s="801"/>
      <c r="R18" s="183"/>
      <c r="S18" s="183"/>
      <c r="T18" s="183"/>
      <c r="U18" s="183"/>
      <c r="V18" s="183"/>
      <c r="W18" s="183"/>
    </row>
    <row r="19" spans="1:23" ht="15.75" customHeight="1">
      <c r="A19" s="816"/>
      <c r="B19" s="823"/>
      <c r="C19" s="112">
        <v>3</v>
      </c>
      <c r="D19" s="540" t="s">
        <v>347</v>
      </c>
      <c r="E19" s="792"/>
      <c r="F19" s="793"/>
      <c r="G19" s="540" t="s">
        <v>830</v>
      </c>
      <c r="H19" s="792"/>
      <c r="I19" s="793"/>
      <c r="J19" s="358">
        <v>272.74</v>
      </c>
      <c r="K19" s="14">
        <v>9.9396521121759614E-3</v>
      </c>
      <c r="L19" s="358">
        <v>0.55999999999999373</v>
      </c>
      <c r="M19" s="330">
        <v>152.73439999999829</v>
      </c>
      <c r="N19" s="4"/>
      <c r="O19" s="800" t="s">
        <v>598</v>
      </c>
      <c r="P19" s="801"/>
      <c r="R19" s="183"/>
      <c r="S19" s="183"/>
      <c r="T19" s="183"/>
      <c r="U19" s="183"/>
      <c r="V19" s="183"/>
      <c r="W19" s="183"/>
    </row>
    <row r="20" spans="1:23" ht="15.75" customHeight="1">
      <c r="A20" s="816"/>
      <c r="B20" s="823"/>
      <c r="C20" s="112">
        <v>4</v>
      </c>
      <c r="D20" s="540" t="s">
        <v>352</v>
      </c>
      <c r="E20" s="792"/>
      <c r="F20" s="793"/>
      <c r="G20" s="540" t="s">
        <v>668</v>
      </c>
      <c r="H20" s="792"/>
      <c r="I20" s="793"/>
      <c r="J20" s="358">
        <v>136.88999999999999</v>
      </c>
      <c r="K20" s="14">
        <v>2.5281761689860609E-3</v>
      </c>
      <c r="L20" s="358">
        <v>1.0699999999999705</v>
      </c>
      <c r="M20" s="330">
        <v>146.47229999999595</v>
      </c>
      <c r="N20" s="4"/>
      <c r="O20" s="800" t="s">
        <v>598</v>
      </c>
      <c r="P20" s="801"/>
      <c r="R20" s="183"/>
      <c r="S20" s="183"/>
      <c r="T20" s="183"/>
      <c r="U20" s="183"/>
      <c r="V20" s="183"/>
      <c r="W20" s="183"/>
    </row>
    <row r="21" spans="1:23" ht="15.75" customHeight="1" thickBot="1">
      <c r="A21" s="816"/>
      <c r="B21" s="823"/>
      <c r="C21" s="113">
        <v>5</v>
      </c>
      <c r="D21" s="540" t="s">
        <v>816</v>
      </c>
      <c r="E21" s="792"/>
      <c r="F21" s="793"/>
      <c r="G21" s="540" t="s">
        <v>817</v>
      </c>
      <c r="H21" s="792"/>
      <c r="I21" s="793"/>
      <c r="J21" s="358">
        <v>310.27999999999997</v>
      </c>
      <c r="K21" s="14">
        <v>5.4219707685053478E-3</v>
      </c>
      <c r="L21" s="358">
        <v>0.45999999999999375</v>
      </c>
      <c r="M21" s="330">
        <v>142.72879999999805</v>
      </c>
      <c r="N21" s="4"/>
      <c r="O21" s="800" t="s">
        <v>598</v>
      </c>
      <c r="P21" s="801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16"/>
      <c r="B22" s="823"/>
      <c r="C22" s="824"/>
      <c r="D22" s="824"/>
      <c r="E22" s="824"/>
      <c r="F22" s="824"/>
      <c r="G22" s="824"/>
      <c r="H22" s="824"/>
      <c r="I22" s="825"/>
      <c r="J22" s="119" t="s">
        <v>871</v>
      </c>
      <c r="K22" s="245">
        <v>8.6844474372108869E-3</v>
      </c>
      <c r="L22" s="119" t="s">
        <v>872</v>
      </c>
      <c r="M22" s="247">
        <v>857.19271999998966</v>
      </c>
      <c r="N22" s="826"/>
      <c r="O22" s="827"/>
      <c r="P22" s="828"/>
      <c r="R22" s="183"/>
      <c r="S22" s="183"/>
      <c r="T22" s="183"/>
      <c r="U22" s="183"/>
      <c r="V22" s="183"/>
      <c r="W22" s="183"/>
    </row>
    <row r="23" spans="1:23" ht="15.75" customHeight="1" thickTop="1">
      <c r="A23" s="536"/>
      <c r="B23" s="111"/>
      <c r="C23" s="109"/>
      <c r="D23" s="536"/>
      <c r="E23" s="536"/>
      <c r="F23" s="536"/>
      <c r="G23" s="536"/>
      <c r="H23" s="536"/>
      <c r="I23" s="536"/>
      <c r="J23" s="536"/>
      <c r="K23" s="536"/>
      <c r="L23" s="536"/>
      <c r="M23" s="536"/>
      <c r="N23" s="536"/>
      <c r="O23" s="536"/>
      <c r="P23" s="536"/>
      <c r="R23" s="183"/>
      <c r="S23" s="183"/>
      <c r="T23" s="183"/>
      <c r="U23" s="183"/>
      <c r="V23" s="183"/>
      <c r="W23" s="183"/>
    </row>
    <row r="24" spans="1:23" ht="15.75" customHeight="1">
      <c r="A24" s="815" t="s">
        <v>862</v>
      </c>
      <c r="B24" s="816"/>
      <c r="C24" s="117" t="s">
        <v>863</v>
      </c>
      <c r="D24" s="817" t="s">
        <v>12</v>
      </c>
      <c r="E24" s="818"/>
      <c r="F24" s="819"/>
      <c r="G24" s="115" t="s">
        <v>864</v>
      </c>
      <c r="H24" s="116"/>
      <c r="I24" s="117"/>
      <c r="J24" s="114" t="s">
        <v>865</v>
      </c>
      <c r="K24" s="114" t="s">
        <v>888</v>
      </c>
      <c r="L24" s="114" t="s">
        <v>867</v>
      </c>
      <c r="M24" s="118" t="s">
        <v>11</v>
      </c>
      <c r="N24" s="357" t="s">
        <v>868</v>
      </c>
      <c r="O24" s="820" t="s">
        <v>869</v>
      </c>
      <c r="P24" s="821"/>
      <c r="R24" s="183"/>
      <c r="S24" s="183"/>
      <c r="T24" s="183"/>
      <c r="U24" s="183"/>
      <c r="V24" s="183"/>
      <c r="W24" s="183"/>
    </row>
    <row r="25" spans="1:23" ht="15.75" customHeight="1">
      <c r="A25" s="816">
        <v>6</v>
      </c>
      <c r="B25" s="822" t="s">
        <v>213</v>
      </c>
      <c r="C25" s="112">
        <v>1</v>
      </c>
      <c r="D25" s="540" t="s">
        <v>744</v>
      </c>
      <c r="E25" s="792"/>
      <c r="F25" s="793"/>
      <c r="G25" s="540" t="s">
        <v>354</v>
      </c>
      <c r="H25" s="792"/>
      <c r="I25" s="793"/>
      <c r="J25" s="358">
        <v>487.6</v>
      </c>
      <c r="K25" s="14">
        <v>1.0927519400306182E-2</v>
      </c>
      <c r="L25" s="358">
        <v>0.41400000000000003</v>
      </c>
      <c r="M25" s="330">
        <v>201.8664</v>
      </c>
      <c r="N25" s="4"/>
      <c r="O25" s="800" t="s">
        <v>892</v>
      </c>
      <c r="P25" s="829"/>
      <c r="R25" s="183"/>
      <c r="S25" s="183"/>
      <c r="T25" s="183"/>
      <c r="U25" s="183"/>
      <c r="V25" s="183"/>
      <c r="W25" s="183"/>
    </row>
    <row r="26" spans="1:23" ht="15.75" customHeight="1">
      <c r="A26" s="816"/>
      <c r="B26" s="823"/>
      <c r="C26" s="112">
        <v>2</v>
      </c>
      <c r="D26" s="540" t="s">
        <v>743</v>
      </c>
      <c r="E26" s="792"/>
      <c r="F26" s="793"/>
      <c r="G26" s="540" t="s">
        <v>884</v>
      </c>
      <c r="H26" s="792"/>
      <c r="I26" s="793"/>
      <c r="J26" s="358">
        <v>444.88</v>
      </c>
      <c r="K26" s="14">
        <v>1.7458665741704262E-2</v>
      </c>
      <c r="L26" s="358">
        <v>0.30200000000000032</v>
      </c>
      <c r="M26" s="330">
        <v>134.35376000000014</v>
      </c>
      <c r="N26" s="4"/>
      <c r="O26" s="800" t="s">
        <v>893</v>
      </c>
      <c r="P26" s="829"/>
      <c r="R26" s="183"/>
      <c r="S26" s="183"/>
      <c r="T26" s="183"/>
      <c r="U26" s="183"/>
      <c r="V26" s="183"/>
      <c r="W26" s="183"/>
    </row>
    <row r="27" spans="1:23" ht="15.75" customHeight="1">
      <c r="A27" s="816"/>
      <c r="B27" s="823"/>
      <c r="C27" s="112">
        <v>3</v>
      </c>
      <c r="D27" s="540">
        <v>0</v>
      </c>
      <c r="E27" s="792"/>
      <c r="F27" s="793"/>
      <c r="G27" s="540">
        <v>0</v>
      </c>
      <c r="H27" s="792"/>
      <c r="I27" s="793"/>
      <c r="J27" s="358">
        <v>0</v>
      </c>
      <c r="K27" s="14">
        <v>0</v>
      </c>
      <c r="L27" s="358">
        <v>0</v>
      </c>
      <c r="M27" s="330">
        <v>0</v>
      </c>
      <c r="N27" s="4"/>
      <c r="O27" s="800"/>
      <c r="P27" s="829"/>
      <c r="R27" s="183"/>
      <c r="S27" s="183"/>
      <c r="T27" s="183"/>
      <c r="U27" s="183"/>
      <c r="V27" s="183"/>
      <c r="W27" s="183"/>
    </row>
    <row r="28" spans="1:23" ht="15.75" customHeight="1">
      <c r="A28" s="816"/>
      <c r="B28" s="823"/>
      <c r="C28" s="112">
        <v>4</v>
      </c>
      <c r="D28" s="540">
        <v>0</v>
      </c>
      <c r="E28" s="792"/>
      <c r="F28" s="793"/>
      <c r="G28" s="540">
        <v>0</v>
      </c>
      <c r="H28" s="792"/>
      <c r="I28" s="793"/>
      <c r="J28" s="358">
        <v>0</v>
      </c>
      <c r="K28" s="14">
        <v>0</v>
      </c>
      <c r="L28" s="358">
        <v>0</v>
      </c>
      <c r="M28" s="330">
        <v>0</v>
      </c>
      <c r="N28" s="4"/>
      <c r="O28" s="800"/>
      <c r="P28" s="829"/>
      <c r="R28" s="183"/>
      <c r="S28" s="183"/>
      <c r="T28" s="183"/>
      <c r="U28" s="183"/>
      <c r="V28" s="183"/>
      <c r="W28" s="183"/>
    </row>
    <row r="29" spans="1:23" ht="15.75" customHeight="1" thickBot="1">
      <c r="A29" s="816"/>
      <c r="B29" s="823"/>
      <c r="C29" s="113">
        <v>5</v>
      </c>
      <c r="D29" s="540">
        <v>0</v>
      </c>
      <c r="E29" s="792"/>
      <c r="F29" s="793"/>
      <c r="G29" s="540">
        <v>0</v>
      </c>
      <c r="H29" s="792"/>
      <c r="I29" s="793"/>
      <c r="J29" s="358">
        <v>0</v>
      </c>
      <c r="K29" s="14">
        <v>0</v>
      </c>
      <c r="L29" s="358">
        <v>0</v>
      </c>
      <c r="M29" s="330">
        <v>0</v>
      </c>
      <c r="N29" s="4"/>
      <c r="O29" s="800"/>
      <c r="P29" s="829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16"/>
      <c r="B30" s="823"/>
      <c r="C30" s="824"/>
      <c r="D30" s="824"/>
      <c r="E30" s="824"/>
      <c r="F30" s="824"/>
      <c r="G30" s="824"/>
      <c r="H30" s="824"/>
      <c r="I30" s="825"/>
      <c r="J30" s="119" t="s">
        <v>871</v>
      </c>
      <c r="K30" s="245">
        <v>3.4063358667472941E-3</v>
      </c>
      <c r="L30" s="119" t="s">
        <v>872</v>
      </c>
      <c r="M30" s="247">
        <v>336.22016000000013</v>
      </c>
      <c r="N30" s="826"/>
      <c r="O30" s="827"/>
      <c r="P30" s="828"/>
      <c r="R30" s="183"/>
      <c r="S30" s="183"/>
      <c r="T30" s="183"/>
      <c r="U30" s="183"/>
      <c r="V30" s="183"/>
      <c r="W30" s="183"/>
    </row>
    <row r="31" spans="1:23" ht="15.75" customHeight="1" thickTop="1">
      <c r="A31" s="536"/>
      <c r="B31" s="111"/>
      <c r="C31" s="109"/>
      <c r="D31" s="536"/>
      <c r="E31" s="536"/>
      <c r="F31" s="536"/>
      <c r="G31" s="536"/>
      <c r="H31" s="536"/>
      <c r="I31" s="536"/>
      <c r="J31" s="536"/>
      <c r="K31" s="536"/>
      <c r="L31" s="536"/>
      <c r="M31" s="536"/>
      <c r="N31" s="536"/>
      <c r="O31" s="536"/>
      <c r="P31" s="536"/>
      <c r="R31" s="183"/>
      <c r="S31" s="183"/>
      <c r="T31" s="183"/>
      <c r="U31" s="183"/>
      <c r="V31" s="183"/>
      <c r="W31" s="183"/>
    </row>
    <row r="32" spans="1:23" ht="15.75" customHeight="1">
      <c r="A32" s="815" t="s">
        <v>862</v>
      </c>
      <c r="B32" s="816"/>
      <c r="C32" s="117" t="s">
        <v>863</v>
      </c>
      <c r="D32" s="817" t="s">
        <v>12</v>
      </c>
      <c r="E32" s="818"/>
      <c r="F32" s="819"/>
      <c r="G32" s="115" t="s">
        <v>864</v>
      </c>
      <c r="H32" s="116"/>
      <c r="I32" s="117"/>
      <c r="J32" s="114" t="s">
        <v>865</v>
      </c>
      <c r="K32" s="114" t="s">
        <v>888</v>
      </c>
      <c r="L32" s="114" t="s">
        <v>867</v>
      </c>
      <c r="M32" s="118" t="s">
        <v>11</v>
      </c>
      <c r="N32" s="118" t="s">
        <v>13</v>
      </c>
      <c r="O32" s="820" t="s">
        <v>869</v>
      </c>
      <c r="P32" s="821"/>
      <c r="R32" s="183"/>
      <c r="S32" s="183"/>
      <c r="T32" s="183"/>
      <c r="U32" s="183"/>
      <c r="V32" s="183"/>
      <c r="W32" s="183"/>
    </row>
    <row r="33" spans="1:23" ht="15.75" customHeight="1">
      <c r="A33" s="816">
        <v>7</v>
      </c>
      <c r="B33" s="822" t="s">
        <v>886</v>
      </c>
      <c r="C33" s="112">
        <v>1</v>
      </c>
      <c r="D33" s="540" t="s">
        <v>771</v>
      </c>
      <c r="E33" s="792"/>
      <c r="F33" s="793"/>
      <c r="G33" s="540" t="s">
        <v>772</v>
      </c>
      <c r="H33" s="792"/>
      <c r="I33" s="793"/>
      <c r="J33" s="358">
        <v>1760</v>
      </c>
      <c r="K33" s="14">
        <v>2.9159519725557421E-2</v>
      </c>
      <c r="L33" s="358">
        <v>0.10199999999999987</v>
      </c>
      <c r="M33" s="330">
        <v>179.51999999999975</v>
      </c>
      <c r="N33" s="4"/>
      <c r="O33" s="800" t="s">
        <v>887</v>
      </c>
      <c r="P33" s="829"/>
      <c r="R33" s="183"/>
      <c r="S33" s="183"/>
      <c r="T33" s="183"/>
      <c r="U33" s="183"/>
      <c r="V33" s="183"/>
      <c r="W33" s="183"/>
    </row>
    <row r="34" spans="1:23" ht="15.75" customHeight="1">
      <c r="A34" s="816"/>
      <c r="B34" s="823"/>
      <c r="C34" s="112">
        <v>2</v>
      </c>
      <c r="D34" s="540" t="s">
        <v>894</v>
      </c>
      <c r="E34" s="792"/>
      <c r="F34" s="793"/>
      <c r="G34" s="540" t="s">
        <v>895</v>
      </c>
      <c r="H34" s="792"/>
      <c r="I34" s="793"/>
      <c r="J34" s="358">
        <v>952.28</v>
      </c>
      <c r="K34" s="14">
        <v>9.3896713615024257E-3</v>
      </c>
      <c r="L34" s="358">
        <v>0.12000000000000099</v>
      </c>
      <c r="M34" s="330">
        <v>114.27360000000094</v>
      </c>
      <c r="N34" s="4"/>
      <c r="O34" s="800" t="s">
        <v>887</v>
      </c>
      <c r="P34" s="829"/>
      <c r="R34" s="183"/>
      <c r="S34" s="183"/>
      <c r="T34" s="183"/>
      <c r="U34" s="183"/>
      <c r="V34" s="183"/>
      <c r="W34" s="183"/>
    </row>
    <row r="35" spans="1:23" ht="15.75" customHeight="1">
      <c r="A35" s="816"/>
      <c r="B35" s="823"/>
      <c r="C35" s="112">
        <v>3</v>
      </c>
      <c r="D35" s="540">
        <v>0</v>
      </c>
      <c r="E35" s="792"/>
      <c r="F35" s="793"/>
      <c r="G35" s="540">
        <v>0</v>
      </c>
      <c r="H35" s="792"/>
      <c r="I35" s="793"/>
      <c r="J35" s="358">
        <v>0</v>
      </c>
      <c r="K35" s="14">
        <v>0</v>
      </c>
      <c r="L35" s="358">
        <v>0</v>
      </c>
      <c r="M35" s="330">
        <v>0</v>
      </c>
      <c r="N35" s="4"/>
      <c r="O35" s="800"/>
      <c r="P35" s="829"/>
      <c r="R35" s="183"/>
      <c r="S35" s="183"/>
      <c r="T35" s="183"/>
      <c r="U35" s="183"/>
      <c r="V35" s="183"/>
      <c r="W35" s="183"/>
    </row>
    <row r="36" spans="1:23" ht="15.75" customHeight="1">
      <c r="A36" s="816"/>
      <c r="B36" s="823"/>
      <c r="C36" s="112">
        <v>4</v>
      </c>
      <c r="D36" s="540">
        <v>0</v>
      </c>
      <c r="E36" s="792"/>
      <c r="F36" s="793"/>
      <c r="G36" s="540">
        <v>0</v>
      </c>
      <c r="H36" s="792"/>
      <c r="I36" s="793"/>
      <c r="J36" s="358">
        <v>0</v>
      </c>
      <c r="K36" s="14">
        <v>0</v>
      </c>
      <c r="L36" s="358">
        <v>0</v>
      </c>
      <c r="M36" s="330">
        <v>0</v>
      </c>
      <c r="N36" s="4"/>
      <c r="O36" s="800"/>
      <c r="P36" s="829"/>
      <c r="R36" s="183"/>
      <c r="S36" s="183"/>
      <c r="T36" s="183"/>
      <c r="U36" s="183"/>
      <c r="V36" s="183"/>
      <c r="W36" s="183"/>
    </row>
    <row r="37" spans="1:23" ht="15.75" customHeight="1" thickBot="1">
      <c r="A37" s="816"/>
      <c r="B37" s="823"/>
      <c r="C37" s="113">
        <v>5</v>
      </c>
      <c r="D37" s="540">
        <v>0</v>
      </c>
      <c r="E37" s="792"/>
      <c r="F37" s="793"/>
      <c r="G37" s="540">
        <v>0</v>
      </c>
      <c r="H37" s="792"/>
      <c r="I37" s="793"/>
      <c r="J37" s="358">
        <v>0</v>
      </c>
      <c r="K37" s="14">
        <v>0</v>
      </c>
      <c r="L37" s="358">
        <v>0</v>
      </c>
      <c r="M37" s="330">
        <v>0</v>
      </c>
      <c r="N37" s="4"/>
      <c r="O37" s="800"/>
      <c r="P37" s="829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16"/>
      <c r="B38" s="823"/>
      <c r="C38" s="824"/>
      <c r="D38" s="824"/>
      <c r="E38" s="824"/>
      <c r="F38" s="824"/>
      <c r="G38" s="824"/>
      <c r="H38" s="824"/>
      <c r="I38" s="825"/>
      <c r="J38" s="119" t="s">
        <v>871</v>
      </c>
      <c r="K38" s="245">
        <v>2.9765011030296632E-3</v>
      </c>
      <c r="L38" s="119" t="s">
        <v>872</v>
      </c>
      <c r="M38" s="247">
        <v>293.79360000000071</v>
      </c>
      <c r="N38" s="826"/>
      <c r="O38" s="827"/>
      <c r="P38" s="828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67" t="s">
        <v>204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  <c r="M1" s="567"/>
      <c r="N1" s="567"/>
      <c r="O1" s="567"/>
      <c r="P1" s="567"/>
      <c r="Q1" s="567"/>
    </row>
    <row r="2" spans="1:17" s="121" customFormat="1" ht="15.75" customHeight="1">
      <c r="A2" s="567"/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</row>
    <row r="3" spans="1:17" ht="15.75" customHeight="1">
      <c r="A3" s="711" t="s">
        <v>215</v>
      </c>
      <c r="B3" s="711"/>
      <c r="C3" s="711"/>
      <c r="D3" s="711"/>
      <c r="E3" s="711"/>
      <c r="F3" s="711"/>
      <c r="G3" s="711"/>
      <c r="H3" s="711"/>
      <c r="I3" s="711"/>
      <c r="J3" s="711"/>
      <c r="K3" s="711"/>
      <c r="L3" s="711"/>
      <c r="M3" s="711"/>
      <c r="N3" s="711"/>
      <c r="O3" s="711"/>
      <c r="P3" s="711"/>
      <c r="Q3" s="711"/>
    </row>
    <row r="4" spans="1:17" s="121" customFormat="1" ht="15.75" customHeight="1">
      <c r="A4" s="841"/>
      <c r="B4" s="841"/>
      <c r="C4" s="841"/>
      <c r="D4" s="841"/>
      <c r="E4" s="841"/>
      <c r="F4" s="841"/>
      <c r="G4" s="841"/>
      <c r="H4" s="841"/>
      <c r="I4" s="841"/>
      <c r="J4" s="841"/>
      <c r="K4" s="841"/>
      <c r="L4" s="841"/>
      <c r="M4" s="841"/>
      <c r="N4" s="841"/>
      <c r="O4" s="841"/>
      <c r="P4" s="841"/>
      <c r="Q4" s="841"/>
    </row>
    <row r="5" spans="1:17" ht="15.75" customHeight="1">
      <c r="A5" s="586" t="s">
        <v>190</v>
      </c>
      <c r="B5" s="809">
        <v>1</v>
      </c>
      <c r="C5" s="809"/>
      <c r="D5" s="809">
        <v>2</v>
      </c>
      <c r="E5" s="809"/>
      <c r="F5" s="809">
        <v>3</v>
      </c>
      <c r="G5" s="809"/>
      <c r="H5" s="809">
        <v>4</v>
      </c>
      <c r="I5" s="809"/>
      <c r="J5" s="809">
        <v>5</v>
      </c>
      <c r="K5" s="809"/>
      <c r="L5" s="809">
        <v>6</v>
      </c>
      <c r="M5" s="809"/>
      <c r="N5" s="809">
        <v>7</v>
      </c>
      <c r="O5" s="809"/>
      <c r="P5" s="813">
        <v>8</v>
      </c>
      <c r="Q5" s="813"/>
    </row>
    <row r="6" spans="1:17" ht="15.75" customHeight="1">
      <c r="A6" s="586"/>
      <c r="B6" s="586" t="s">
        <v>323</v>
      </c>
      <c r="C6" s="586"/>
      <c r="D6" s="586" t="s">
        <v>216</v>
      </c>
      <c r="E6" s="586"/>
      <c r="F6" s="586" t="s">
        <v>164</v>
      </c>
      <c r="G6" s="586"/>
      <c r="H6" s="586" t="s">
        <v>581</v>
      </c>
      <c r="I6" s="586"/>
      <c r="J6" s="586" t="s">
        <v>188</v>
      </c>
      <c r="K6" s="586"/>
      <c r="L6" s="586" t="s">
        <v>165</v>
      </c>
      <c r="M6" s="586"/>
      <c r="N6" s="586" t="s">
        <v>189</v>
      </c>
      <c r="O6" s="586"/>
      <c r="P6" s="814" t="s">
        <v>217</v>
      </c>
      <c r="Q6" s="814"/>
    </row>
    <row r="8" spans="1:17" s="154" customFormat="1" ht="15.75" customHeight="1">
      <c r="A8" s="163" t="s">
        <v>192</v>
      </c>
      <c r="B8" s="180" t="s">
        <v>18</v>
      </c>
      <c r="C8" s="839" t="s">
        <v>12</v>
      </c>
      <c r="D8" s="839"/>
      <c r="E8" s="839"/>
      <c r="F8" s="839" t="s">
        <v>53</v>
      </c>
      <c r="G8" s="839"/>
      <c r="H8" s="839"/>
      <c r="I8" s="180" t="s">
        <v>54</v>
      </c>
      <c r="J8" s="181" t="s">
        <v>19</v>
      </c>
      <c r="K8" s="180" t="s">
        <v>57</v>
      </c>
      <c r="L8" s="180" t="s">
        <v>2</v>
      </c>
      <c r="M8" s="842" t="s">
        <v>50</v>
      </c>
      <c r="N8" s="843"/>
      <c r="O8" s="843"/>
      <c r="P8" s="843"/>
      <c r="Q8" s="843"/>
    </row>
    <row r="9" spans="1:17" ht="15.75" customHeight="1">
      <c r="A9" s="839" t="s">
        <v>191</v>
      </c>
      <c r="B9" s="156">
        <v>1</v>
      </c>
      <c r="C9" s="702"/>
      <c r="D9" s="696"/>
      <c r="E9" s="696"/>
      <c r="F9" s="702"/>
      <c r="G9" s="696"/>
      <c r="H9" s="696"/>
      <c r="I9" s="164"/>
      <c r="J9" s="178"/>
      <c r="K9" s="178"/>
      <c r="L9" s="179">
        <f>K9-J9</f>
        <v>0</v>
      </c>
      <c r="M9" s="702"/>
      <c r="N9" s="702"/>
      <c r="O9" s="702"/>
      <c r="P9" s="702"/>
      <c r="Q9" s="702"/>
    </row>
    <row r="10" spans="1:17" ht="15.75" customHeight="1">
      <c r="A10" s="840"/>
      <c r="B10" s="156">
        <v>2</v>
      </c>
      <c r="C10" s="702"/>
      <c r="D10" s="696"/>
      <c r="E10" s="696"/>
      <c r="F10" s="702"/>
      <c r="G10" s="696"/>
      <c r="H10" s="696"/>
      <c r="I10" s="164"/>
      <c r="J10" s="178"/>
      <c r="K10" s="178"/>
      <c r="L10" s="179">
        <f>K10-J10</f>
        <v>0</v>
      </c>
      <c r="M10" s="702"/>
      <c r="N10" s="702"/>
      <c r="O10" s="702"/>
      <c r="P10" s="702"/>
      <c r="Q10" s="702"/>
    </row>
    <row r="11" spans="1:17" ht="15.75" customHeight="1">
      <c r="A11" s="840"/>
      <c r="B11" s="156">
        <v>3</v>
      </c>
      <c r="C11" s="702"/>
      <c r="D11" s="696"/>
      <c r="E11" s="696"/>
      <c r="F11" s="702"/>
      <c r="G11" s="696"/>
      <c r="H11" s="696"/>
      <c r="I11" s="164"/>
      <c r="J11" s="178"/>
      <c r="K11" s="178"/>
      <c r="L11" s="179">
        <f>K11-J11</f>
        <v>0</v>
      </c>
      <c r="M11" s="702"/>
      <c r="N11" s="702"/>
      <c r="O11" s="702"/>
      <c r="P11" s="702"/>
      <c r="Q11" s="702"/>
    </row>
    <row r="12" spans="1:17" ht="15.75" customHeight="1">
      <c r="A12" s="840"/>
      <c r="B12" s="156">
        <v>4</v>
      </c>
      <c r="C12" s="702"/>
      <c r="D12" s="696"/>
      <c r="E12" s="696"/>
      <c r="F12" s="702"/>
      <c r="G12" s="696"/>
      <c r="H12" s="696"/>
      <c r="I12" s="164"/>
      <c r="J12" s="178"/>
      <c r="K12" s="178"/>
      <c r="L12" s="179">
        <f>K12-J12</f>
        <v>0</v>
      </c>
      <c r="M12" s="702"/>
      <c r="N12" s="702"/>
      <c r="O12" s="702"/>
      <c r="P12" s="702"/>
      <c r="Q12" s="702"/>
    </row>
    <row r="13" spans="1:17" ht="15.75" customHeight="1">
      <c r="A13" s="840"/>
      <c r="B13" s="156">
        <v>5</v>
      </c>
      <c r="C13" s="702"/>
      <c r="D13" s="696"/>
      <c r="E13" s="696"/>
      <c r="F13" s="702"/>
      <c r="G13" s="696"/>
      <c r="H13" s="696"/>
      <c r="I13" s="164"/>
      <c r="J13" s="178"/>
      <c r="K13" s="178"/>
      <c r="L13" s="179">
        <f>K13-J13</f>
        <v>0</v>
      </c>
      <c r="M13" s="702"/>
      <c r="N13" s="702"/>
      <c r="O13" s="702"/>
      <c r="P13" s="702"/>
      <c r="Q13" s="702"/>
    </row>
    <row r="14" spans="1:17" ht="15.75" customHeight="1">
      <c r="A14" s="837"/>
      <c r="B14" s="837"/>
      <c r="C14" s="837"/>
      <c r="D14" s="837"/>
      <c r="E14" s="837"/>
      <c r="F14" s="837"/>
      <c r="G14" s="837"/>
      <c r="H14" s="837"/>
      <c r="I14" s="837"/>
      <c r="J14" s="837"/>
      <c r="K14" s="837"/>
      <c r="L14" s="837"/>
      <c r="M14" s="837"/>
      <c r="N14" s="837"/>
      <c r="O14" s="838"/>
    </row>
    <row r="15" spans="1:17" s="154" customFormat="1" ht="15.75" customHeight="1">
      <c r="A15" s="163" t="s">
        <v>192</v>
      </c>
      <c r="B15" s="163" t="s">
        <v>18</v>
      </c>
      <c r="C15" s="836" t="s">
        <v>12</v>
      </c>
      <c r="D15" s="836"/>
      <c r="E15" s="836"/>
      <c r="F15" s="836" t="s">
        <v>53</v>
      </c>
      <c r="G15" s="836"/>
      <c r="H15" s="836"/>
      <c r="I15" s="163" t="s">
        <v>54</v>
      </c>
      <c r="J15" s="177" t="s">
        <v>19</v>
      </c>
      <c r="K15" s="163" t="s">
        <v>57</v>
      </c>
      <c r="L15" s="163" t="s">
        <v>2</v>
      </c>
      <c r="M15" s="836" t="s">
        <v>50</v>
      </c>
      <c r="N15" s="836"/>
      <c r="O15" s="836"/>
      <c r="P15" s="836"/>
      <c r="Q15" s="836"/>
    </row>
    <row r="16" spans="1:17" ht="15.75" customHeight="1">
      <c r="A16" s="836" t="s">
        <v>193</v>
      </c>
      <c r="B16" s="156">
        <v>1</v>
      </c>
      <c r="C16" s="702"/>
      <c r="D16" s="696"/>
      <c r="E16" s="696"/>
      <c r="F16" s="702"/>
      <c r="G16" s="696"/>
      <c r="H16" s="696"/>
      <c r="I16" s="164"/>
      <c r="J16" s="178"/>
      <c r="K16" s="178"/>
      <c r="L16" s="179">
        <f>K16-J16</f>
        <v>0</v>
      </c>
      <c r="M16" s="702"/>
      <c r="N16" s="702"/>
      <c r="O16" s="702"/>
      <c r="P16" s="702"/>
      <c r="Q16" s="702"/>
    </row>
    <row r="17" spans="1:17" ht="15.75" customHeight="1">
      <c r="A17" s="836"/>
      <c r="B17" s="156">
        <v>2</v>
      </c>
      <c r="C17" s="702"/>
      <c r="D17" s="696"/>
      <c r="E17" s="696"/>
      <c r="F17" s="702"/>
      <c r="G17" s="696"/>
      <c r="H17" s="696"/>
      <c r="I17" s="164"/>
      <c r="J17" s="178"/>
      <c r="K17" s="178"/>
      <c r="L17" s="179">
        <f>K17-J17</f>
        <v>0</v>
      </c>
      <c r="M17" s="702"/>
      <c r="N17" s="702"/>
      <c r="O17" s="702"/>
      <c r="P17" s="702"/>
      <c r="Q17" s="702"/>
    </row>
    <row r="18" spans="1:17" ht="15.75" customHeight="1">
      <c r="A18" s="836"/>
      <c r="B18" s="156">
        <v>3</v>
      </c>
      <c r="C18" s="702"/>
      <c r="D18" s="696"/>
      <c r="E18" s="696"/>
      <c r="F18" s="702"/>
      <c r="G18" s="696"/>
      <c r="H18" s="696"/>
      <c r="I18" s="164"/>
      <c r="J18" s="178"/>
      <c r="K18" s="178"/>
      <c r="L18" s="179">
        <f>K18-J18</f>
        <v>0</v>
      </c>
      <c r="M18" s="702"/>
      <c r="N18" s="702"/>
      <c r="O18" s="702"/>
      <c r="P18" s="702"/>
      <c r="Q18" s="702"/>
    </row>
    <row r="19" spans="1:17" ht="15.75" customHeight="1">
      <c r="A19" s="836"/>
      <c r="B19" s="156">
        <v>4</v>
      </c>
      <c r="C19" s="702"/>
      <c r="D19" s="696"/>
      <c r="E19" s="696"/>
      <c r="F19" s="702"/>
      <c r="G19" s="696"/>
      <c r="H19" s="696"/>
      <c r="I19" s="164"/>
      <c r="J19" s="178"/>
      <c r="K19" s="178"/>
      <c r="L19" s="179">
        <f>K19-J19</f>
        <v>0</v>
      </c>
      <c r="M19" s="702"/>
      <c r="N19" s="702"/>
      <c r="O19" s="702"/>
      <c r="P19" s="702"/>
      <c r="Q19" s="702"/>
    </row>
    <row r="20" spans="1:17" ht="15.75" customHeight="1">
      <c r="A20" s="836"/>
      <c r="B20" s="156">
        <v>5</v>
      </c>
      <c r="C20" s="702"/>
      <c r="D20" s="696"/>
      <c r="E20" s="696"/>
      <c r="F20" s="702"/>
      <c r="G20" s="696"/>
      <c r="H20" s="696"/>
      <c r="I20" s="164"/>
      <c r="J20" s="178"/>
      <c r="K20" s="178"/>
      <c r="L20" s="179">
        <f>K20-J20</f>
        <v>0</v>
      </c>
      <c r="M20" s="702"/>
      <c r="N20" s="702"/>
      <c r="O20" s="702"/>
      <c r="P20" s="702"/>
      <c r="Q20" s="70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66"/>
    <col min="2" max="2" width="12.42578125" style="366" customWidth="1"/>
    <col min="3" max="3" width="8.85546875" style="366"/>
    <col min="4" max="4" width="11.5703125" style="366" customWidth="1"/>
    <col min="5" max="5" width="39.28515625" style="366" bestFit="1" customWidth="1"/>
    <col min="6" max="6" width="11.42578125" style="366" bestFit="1" customWidth="1"/>
    <col min="7" max="7" width="14.140625" style="366" customWidth="1"/>
    <col min="8" max="8" width="14" style="366" customWidth="1"/>
    <col min="9" max="9" width="16.85546875" style="366" customWidth="1"/>
    <col min="10" max="10" width="14" style="366" customWidth="1"/>
    <col min="11" max="11" width="11.5703125" style="366" bestFit="1" customWidth="1"/>
    <col min="12" max="12" width="13.42578125" style="366" bestFit="1" customWidth="1"/>
    <col min="13" max="13" width="19.140625" style="366" bestFit="1" customWidth="1"/>
    <col min="14" max="14" width="15.28515625" style="366" bestFit="1" customWidth="1"/>
    <col min="15" max="15" width="12.5703125" style="366" bestFit="1" customWidth="1"/>
    <col min="16" max="16" width="9.7109375" style="366" bestFit="1" customWidth="1"/>
    <col min="17" max="17" width="12.140625" style="366" bestFit="1" customWidth="1"/>
    <col min="18" max="18" width="10.7109375" style="366" customWidth="1"/>
    <col min="19" max="19" width="13.42578125" style="366" bestFit="1" customWidth="1"/>
    <col min="20" max="20" width="12.42578125" style="366" bestFit="1" customWidth="1"/>
    <col min="21" max="21" width="25.28515625" style="366" bestFit="1" customWidth="1"/>
    <col min="22" max="23" width="88.28515625" style="366" customWidth="1"/>
    <col min="24" max="24" width="7.42578125" style="366" bestFit="1" customWidth="1"/>
    <col min="25" max="25" width="69.5703125" style="366" bestFit="1" customWidth="1"/>
    <col min="26" max="26" width="11.42578125" style="366" bestFit="1" customWidth="1"/>
    <col min="27" max="27" width="21.5703125" style="366" customWidth="1"/>
    <col min="28" max="28" width="19.42578125" style="366" bestFit="1" customWidth="1"/>
    <col min="29" max="34" width="14.42578125" style="366" customWidth="1"/>
    <col min="35" max="35" width="11.42578125" style="366" bestFit="1" customWidth="1"/>
    <col min="36" max="16384" width="8.85546875" style="366"/>
  </cols>
  <sheetData>
    <row r="2" spans="2:35" ht="41.1" customHeight="1">
      <c r="B2" s="855" t="s">
        <v>599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AA2" s="367"/>
      <c r="AB2" s="367"/>
    </row>
    <row r="3" spans="2:35" ht="17.100000000000001" customHeight="1">
      <c r="B3" s="857" t="s">
        <v>600</v>
      </c>
      <c r="C3" s="858"/>
      <c r="D3" s="851" t="s">
        <v>168</v>
      </c>
      <c r="E3" s="851"/>
      <c r="F3" s="851"/>
      <c r="G3" s="851" t="s">
        <v>182</v>
      </c>
      <c r="H3" s="851"/>
      <c r="I3" s="851"/>
      <c r="J3" s="851"/>
      <c r="K3" s="851"/>
      <c r="L3" s="851"/>
      <c r="M3" s="851"/>
      <c r="N3" s="851"/>
      <c r="O3" s="851"/>
      <c r="P3" s="851"/>
      <c r="Q3" s="851"/>
      <c r="R3" s="851"/>
      <c r="S3" s="851"/>
      <c r="T3" s="851" t="s">
        <v>169</v>
      </c>
      <c r="U3" s="863" t="s">
        <v>601</v>
      </c>
      <c r="V3" s="866" t="s">
        <v>602</v>
      </c>
      <c r="W3" s="866" t="s">
        <v>603</v>
      </c>
      <c r="X3" s="869" t="s">
        <v>604</v>
      </c>
      <c r="Y3" s="853" t="s">
        <v>170</v>
      </c>
      <c r="AA3" s="851" t="s">
        <v>605</v>
      </c>
      <c r="AB3" s="851"/>
      <c r="AC3" s="851"/>
      <c r="AD3" s="851"/>
      <c r="AE3" s="851"/>
      <c r="AF3" s="851"/>
      <c r="AG3" s="851"/>
      <c r="AH3" s="851"/>
      <c r="AI3" s="851"/>
    </row>
    <row r="4" spans="2:35" ht="17.100000000000001" customHeight="1">
      <c r="B4" s="859"/>
      <c r="C4" s="860"/>
      <c r="D4" s="852" t="s">
        <v>167</v>
      </c>
      <c r="E4" s="851" t="s">
        <v>171</v>
      </c>
      <c r="F4" s="851"/>
      <c r="G4" s="851" t="s">
        <v>183</v>
      </c>
      <c r="H4" s="851"/>
      <c r="I4" s="851"/>
      <c r="J4" s="851"/>
      <c r="K4" s="851"/>
      <c r="L4" s="851"/>
      <c r="M4" s="851"/>
      <c r="N4" s="851"/>
      <c r="O4" s="851" t="s">
        <v>172</v>
      </c>
      <c r="P4" s="851"/>
      <c r="Q4" s="851"/>
      <c r="R4" s="851"/>
      <c r="S4" s="851"/>
      <c r="T4" s="851"/>
      <c r="U4" s="864"/>
      <c r="V4" s="867"/>
      <c r="W4" s="867"/>
      <c r="X4" s="870"/>
      <c r="Y4" s="853"/>
      <c r="AA4" s="851"/>
      <c r="AB4" s="851"/>
      <c r="AC4" s="851"/>
      <c r="AD4" s="851"/>
      <c r="AE4" s="851"/>
      <c r="AF4" s="851"/>
      <c r="AG4" s="851"/>
      <c r="AH4" s="851"/>
      <c r="AI4" s="851"/>
    </row>
    <row r="5" spans="2:35" ht="17.100000000000001" customHeight="1">
      <c r="B5" s="859"/>
      <c r="C5" s="860"/>
      <c r="D5" s="852"/>
      <c r="E5" s="852" t="s">
        <v>173</v>
      </c>
      <c r="F5" s="853" t="s">
        <v>606</v>
      </c>
      <c r="G5" s="854" t="s">
        <v>184</v>
      </c>
      <c r="H5" s="854"/>
      <c r="I5" s="854"/>
      <c r="J5" s="854"/>
      <c r="K5" s="854"/>
      <c r="L5" s="854"/>
      <c r="M5" s="854"/>
      <c r="N5" s="854"/>
      <c r="O5" s="854" t="s">
        <v>166</v>
      </c>
      <c r="P5" s="854"/>
      <c r="Q5" s="854" t="s">
        <v>174</v>
      </c>
      <c r="R5" s="854"/>
      <c r="S5" s="854"/>
      <c r="T5" s="851"/>
      <c r="U5" s="864"/>
      <c r="V5" s="867"/>
      <c r="W5" s="867"/>
      <c r="X5" s="870"/>
      <c r="Y5" s="853"/>
      <c r="AA5" s="851"/>
      <c r="AB5" s="851"/>
      <c r="AC5" s="851"/>
      <c r="AD5" s="851"/>
      <c r="AE5" s="851"/>
      <c r="AF5" s="851"/>
      <c r="AG5" s="851"/>
      <c r="AH5" s="851"/>
      <c r="AI5" s="851"/>
    </row>
    <row r="6" spans="2:35" ht="38.450000000000003" customHeight="1">
      <c r="B6" s="861"/>
      <c r="C6" s="862"/>
      <c r="D6" s="852"/>
      <c r="E6" s="852"/>
      <c r="F6" s="853"/>
      <c r="G6" s="368" t="s">
        <v>175</v>
      </c>
      <c r="H6" s="368" t="s">
        <v>607</v>
      </c>
      <c r="I6" s="368" t="s">
        <v>608</v>
      </c>
      <c r="J6" s="368" t="s">
        <v>176</v>
      </c>
      <c r="K6" s="368" t="s">
        <v>609</v>
      </c>
      <c r="L6" s="368" t="s">
        <v>177</v>
      </c>
      <c r="M6" s="368" t="s">
        <v>185</v>
      </c>
      <c r="N6" s="368" t="s">
        <v>178</v>
      </c>
      <c r="O6" s="369" t="s">
        <v>179</v>
      </c>
      <c r="P6" s="369" t="s">
        <v>180</v>
      </c>
      <c r="Q6" s="369" t="s">
        <v>179</v>
      </c>
      <c r="R6" s="369" t="s">
        <v>180</v>
      </c>
      <c r="S6" s="368" t="s">
        <v>181</v>
      </c>
      <c r="T6" s="851"/>
      <c r="U6" s="865"/>
      <c r="V6" s="868"/>
      <c r="W6" s="868"/>
      <c r="X6" s="871"/>
      <c r="Y6" s="853"/>
      <c r="AA6" s="223" t="s">
        <v>610</v>
      </c>
      <c r="AB6" s="223" t="s">
        <v>611</v>
      </c>
      <c r="AC6" s="356" t="s">
        <v>612</v>
      </c>
      <c r="AD6" s="356" t="s">
        <v>613</v>
      </c>
      <c r="AE6" s="356" t="s">
        <v>614</v>
      </c>
      <c r="AF6" s="356" t="s">
        <v>615</v>
      </c>
      <c r="AG6" s="356" t="s">
        <v>616</v>
      </c>
      <c r="AH6" s="356" t="s">
        <v>617</v>
      </c>
      <c r="AI6" s="356" t="s">
        <v>618</v>
      </c>
    </row>
    <row r="7" spans="2:35" s="382" customFormat="1" ht="27" customHeight="1">
      <c r="B7" s="844"/>
      <c r="C7" s="845"/>
      <c r="D7" s="370">
        <v>1</v>
      </c>
      <c r="E7" s="371" t="s">
        <v>354</v>
      </c>
      <c r="F7" s="372">
        <v>1121.48</v>
      </c>
      <c r="G7" s="372">
        <v>261.78199999999998</v>
      </c>
      <c r="H7" s="372">
        <v>266.2</v>
      </c>
      <c r="I7" s="373">
        <v>1.0168766378131422</v>
      </c>
      <c r="J7" s="372">
        <v>0</v>
      </c>
      <c r="K7" s="373">
        <v>0</v>
      </c>
      <c r="L7" s="372">
        <v>487.6</v>
      </c>
      <c r="M7" s="373">
        <v>1.0168766378131422</v>
      </c>
      <c r="N7" s="374">
        <v>2154.2168000000033</v>
      </c>
      <c r="O7" s="372">
        <v>2.3000000000000003</v>
      </c>
      <c r="P7" s="373">
        <v>8.7859363898205398E-3</v>
      </c>
      <c r="Q7" s="375">
        <v>4.4180000000000064</v>
      </c>
      <c r="R7" s="373">
        <v>1.6876637813142258E-2</v>
      </c>
      <c r="S7" s="372">
        <v>2154.2168000000033</v>
      </c>
      <c r="T7" s="383" t="s">
        <v>346</v>
      </c>
      <c r="U7" s="376" t="s">
        <v>213</v>
      </c>
      <c r="V7" s="409" t="s">
        <v>814</v>
      </c>
      <c r="W7" s="409" t="s">
        <v>672</v>
      </c>
      <c r="X7" s="377">
        <v>1</v>
      </c>
      <c r="Y7" s="378" t="s">
        <v>744</v>
      </c>
      <c r="Z7" s="379" t="s">
        <v>619</v>
      </c>
      <c r="AA7" s="380">
        <f>SUM(X7:X26)</f>
        <v>20</v>
      </c>
      <c r="AB7" s="381">
        <f>SUMIF($U$7:$U$26,TRIM(AB6),$X$7:$X$26)</f>
        <v>0</v>
      </c>
      <c r="AC7" s="381">
        <f>SUMIF($U$7:$U$26,TRIM(AC6),$X$7:$X$26)</f>
        <v>1</v>
      </c>
      <c r="AD7" s="381">
        <f t="shared" ref="AD7:AI7" ca="1" si="0">SUMIF($U$7:$U$9710,TRIM(AD6),$X$7:$X$26)</f>
        <v>0</v>
      </c>
      <c r="AE7" s="381">
        <f t="shared" ca="1" si="0"/>
        <v>12</v>
      </c>
      <c r="AF7" s="381">
        <f t="shared" ca="1" si="0"/>
        <v>3</v>
      </c>
      <c r="AG7" s="381">
        <f t="shared" ca="1" si="0"/>
        <v>4</v>
      </c>
      <c r="AH7" s="381">
        <f t="shared" ca="1" si="0"/>
        <v>0</v>
      </c>
      <c r="AI7" s="381">
        <f t="shared" ca="1" si="0"/>
        <v>0</v>
      </c>
    </row>
    <row r="8" spans="2:35" s="382" customFormat="1" ht="27" customHeight="1">
      <c r="B8" s="846"/>
      <c r="C8" s="847"/>
      <c r="D8" s="370">
        <v>2</v>
      </c>
      <c r="E8" s="371" t="s">
        <v>896</v>
      </c>
      <c r="F8" s="372">
        <v>1008.7139999999999</v>
      </c>
      <c r="G8" s="372">
        <v>8005.3919999999998</v>
      </c>
      <c r="H8" s="372">
        <v>8032.1</v>
      </c>
      <c r="I8" s="373">
        <v>1.0033362513665789</v>
      </c>
      <c r="J8" s="372">
        <v>0</v>
      </c>
      <c r="K8" s="373">
        <v>0</v>
      </c>
      <c r="L8" s="372">
        <v>68.62</v>
      </c>
      <c r="M8" s="373">
        <v>1.0033362513665789</v>
      </c>
      <c r="N8" s="374">
        <v>1832.7029600000371</v>
      </c>
      <c r="O8" s="372">
        <v>14.699999999999998</v>
      </c>
      <c r="P8" s="373">
        <v>1.8362623591699192E-3</v>
      </c>
      <c r="Q8" s="375">
        <v>26.708000000000538</v>
      </c>
      <c r="R8" s="373">
        <v>3.336251366578993E-3</v>
      </c>
      <c r="S8" s="372">
        <v>1832.7029600000371</v>
      </c>
      <c r="T8" s="383" t="s">
        <v>346</v>
      </c>
      <c r="U8" s="376" t="s">
        <v>213</v>
      </c>
      <c r="V8" s="409" t="s">
        <v>883</v>
      </c>
      <c r="W8" s="409" t="s">
        <v>897</v>
      </c>
      <c r="X8" s="377">
        <v>1</v>
      </c>
      <c r="Y8" s="378" t="s">
        <v>898</v>
      </c>
      <c r="AA8" s="380"/>
      <c r="AB8" s="384">
        <f>SUMIF($U$7:$U$26,TRIM(AB6),$F$7:$F$26)</f>
        <v>0</v>
      </c>
      <c r="AC8" s="384">
        <f>SUMIF($U$7:$U$26,TRIM(AC6),$F$7:$F$26)</f>
        <v>864.78</v>
      </c>
      <c r="AD8" s="384">
        <f t="shared" ref="AD8:AI8" ca="1" si="1">SUMIF($U$7:$U$176,TRIM(AD6),$F$7:$F$26)</f>
        <v>0</v>
      </c>
      <c r="AE8" s="384">
        <f t="shared" ca="1" si="1"/>
        <v>10808.857</v>
      </c>
      <c r="AF8" s="384">
        <f t="shared" ca="1" si="1"/>
        <v>2779.0829999999996</v>
      </c>
      <c r="AG8" s="384">
        <f t="shared" ca="1" si="1"/>
        <v>3923.0039999999999</v>
      </c>
      <c r="AH8" s="384">
        <f t="shared" ca="1" si="1"/>
        <v>0</v>
      </c>
      <c r="AI8" s="384">
        <f t="shared" ca="1" si="1"/>
        <v>0</v>
      </c>
    </row>
    <row r="9" spans="2:35" s="382" customFormat="1" ht="27" customHeight="1">
      <c r="B9" s="846"/>
      <c r="C9" s="847"/>
      <c r="D9" s="370">
        <v>3</v>
      </c>
      <c r="E9" s="371" t="s">
        <v>678</v>
      </c>
      <c r="F9" s="372">
        <v>1006.4580000000001</v>
      </c>
      <c r="G9" s="372">
        <v>662.28499999999997</v>
      </c>
      <c r="H9" s="372">
        <v>674.9</v>
      </c>
      <c r="I9" s="373">
        <v>1.0190476909487607</v>
      </c>
      <c r="J9" s="372">
        <v>0</v>
      </c>
      <c r="K9" s="373">
        <v>0</v>
      </c>
      <c r="L9" s="372">
        <v>117.03</v>
      </c>
      <c r="M9" s="373">
        <v>1.0190476909487607</v>
      </c>
      <c r="N9" s="374">
        <v>1476.333450000001</v>
      </c>
      <c r="O9" s="372">
        <v>8.6</v>
      </c>
      <c r="P9" s="373">
        <v>1.2985346187819444E-2</v>
      </c>
      <c r="Q9" s="375">
        <v>12.615000000000009</v>
      </c>
      <c r="R9" s="373">
        <v>1.9047690948760746E-2</v>
      </c>
      <c r="S9" s="372">
        <v>1476.333450000001</v>
      </c>
      <c r="T9" s="383" t="s">
        <v>344</v>
      </c>
      <c r="U9" s="376" t="s">
        <v>581</v>
      </c>
      <c r="V9" s="409" t="s">
        <v>766</v>
      </c>
      <c r="W9" s="409" t="s">
        <v>674</v>
      </c>
      <c r="X9" s="377">
        <v>1</v>
      </c>
      <c r="Y9" s="378" t="s">
        <v>677</v>
      </c>
    </row>
    <row r="10" spans="2:35" s="382" customFormat="1" ht="27" customHeight="1">
      <c r="B10" s="846"/>
      <c r="C10" s="847"/>
      <c r="D10" s="370">
        <v>4</v>
      </c>
      <c r="E10" s="371" t="s">
        <v>745</v>
      </c>
      <c r="F10" s="372">
        <v>976.82</v>
      </c>
      <c r="G10" s="372">
        <v>784</v>
      </c>
      <c r="H10" s="372">
        <v>801.6</v>
      </c>
      <c r="I10" s="373">
        <v>1.0224489795918368</v>
      </c>
      <c r="J10" s="372">
        <v>0</v>
      </c>
      <c r="K10" s="373">
        <v>0</v>
      </c>
      <c r="L10" s="372">
        <v>75.14</v>
      </c>
      <c r="M10" s="373">
        <v>1.0224489795918368</v>
      </c>
      <c r="N10" s="374">
        <v>1322.4640000000018</v>
      </c>
      <c r="O10" s="372">
        <v>12.999999999999998</v>
      </c>
      <c r="P10" s="373">
        <v>1.6581632653061222E-2</v>
      </c>
      <c r="Q10" s="375">
        <v>17.600000000000023</v>
      </c>
      <c r="R10" s="373">
        <v>2.2448979591836764E-2</v>
      </c>
      <c r="S10" s="372">
        <v>1322.4640000000018</v>
      </c>
      <c r="T10" s="383" t="s">
        <v>344</v>
      </c>
      <c r="U10" s="376" t="s">
        <v>581</v>
      </c>
      <c r="V10" s="409" t="s">
        <v>899</v>
      </c>
      <c r="W10" s="409" t="s">
        <v>900</v>
      </c>
      <c r="X10" s="377">
        <v>1</v>
      </c>
      <c r="Y10" s="378" t="s">
        <v>352</v>
      </c>
    </row>
    <row r="11" spans="2:35" s="382" customFormat="1" ht="27" customHeight="1">
      <c r="B11" s="846"/>
      <c r="C11" s="847"/>
      <c r="D11" s="370">
        <v>5</v>
      </c>
      <c r="E11" s="371" t="s">
        <v>668</v>
      </c>
      <c r="F11" s="372">
        <v>958.2299999999999</v>
      </c>
      <c r="G11" s="372">
        <v>2672.364</v>
      </c>
      <c r="H11" s="372">
        <v>2684.2999999999997</v>
      </c>
      <c r="I11" s="373">
        <v>1.0044664574137354</v>
      </c>
      <c r="J11" s="372">
        <v>0</v>
      </c>
      <c r="K11" s="373">
        <v>0</v>
      </c>
      <c r="L11" s="372">
        <v>136.88999999999999</v>
      </c>
      <c r="M11" s="373">
        <v>1.0044664574137354</v>
      </c>
      <c r="N11" s="374">
        <v>1633.9190399999579</v>
      </c>
      <c r="O11" s="372">
        <v>7</v>
      </c>
      <c r="P11" s="373">
        <v>2.6194036441143497E-3</v>
      </c>
      <c r="Q11" s="375">
        <v>11.935999999999694</v>
      </c>
      <c r="R11" s="373">
        <v>4.4664574137354392E-3</v>
      </c>
      <c r="S11" s="372">
        <v>1633.9190399999579</v>
      </c>
      <c r="T11" s="376" t="s">
        <v>346</v>
      </c>
      <c r="U11" s="376" t="s">
        <v>212</v>
      </c>
      <c r="V11" s="409" t="s">
        <v>800</v>
      </c>
      <c r="W11" s="409" t="s">
        <v>801</v>
      </c>
      <c r="X11" s="377">
        <v>1</v>
      </c>
      <c r="Y11" s="378" t="s">
        <v>352</v>
      </c>
    </row>
    <row r="12" spans="2:35" s="382" customFormat="1" ht="27" customHeight="1">
      <c r="B12" s="846"/>
      <c r="C12" s="847"/>
      <c r="D12" s="370">
        <v>6</v>
      </c>
      <c r="E12" s="371" t="s">
        <v>833</v>
      </c>
      <c r="F12" s="372">
        <v>945.23399999999992</v>
      </c>
      <c r="G12" s="372">
        <v>505.96</v>
      </c>
      <c r="H12" s="372">
        <v>519.4</v>
      </c>
      <c r="I12" s="373">
        <v>1.0265633646928611</v>
      </c>
      <c r="J12" s="372">
        <v>0</v>
      </c>
      <c r="K12" s="373">
        <v>0</v>
      </c>
      <c r="L12" s="372">
        <v>92.67</v>
      </c>
      <c r="M12" s="373">
        <v>1.0265633646928611</v>
      </c>
      <c r="N12" s="374">
        <v>1245.4847999999997</v>
      </c>
      <c r="O12" s="372">
        <v>10.199999999999999</v>
      </c>
      <c r="P12" s="373">
        <v>2.0159696418689223E-2</v>
      </c>
      <c r="Q12" s="375">
        <v>13.439999999999998</v>
      </c>
      <c r="R12" s="373">
        <v>2.6563364692861094E-2</v>
      </c>
      <c r="S12" s="372">
        <v>1245.4847999999997</v>
      </c>
      <c r="T12" s="376" t="s">
        <v>344</v>
      </c>
      <c r="U12" s="376" t="s">
        <v>581</v>
      </c>
      <c r="V12" s="409" t="s">
        <v>901</v>
      </c>
      <c r="W12" s="409" t="s">
        <v>674</v>
      </c>
      <c r="X12" s="377">
        <v>1</v>
      </c>
      <c r="Y12" s="378" t="s">
        <v>828</v>
      </c>
    </row>
    <row r="13" spans="2:35" s="382" customFormat="1" ht="27" customHeight="1">
      <c r="B13" s="846"/>
      <c r="C13" s="847"/>
      <c r="D13" s="370">
        <v>7</v>
      </c>
      <c r="E13" s="371" t="s">
        <v>673</v>
      </c>
      <c r="F13" s="372">
        <v>944.94500000000005</v>
      </c>
      <c r="G13" s="372">
        <v>2132.4300000000003</v>
      </c>
      <c r="H13" s="372">
        <v>2147.3000000000002</v>
      </c>
      <c r="I13" s="373">
        <v>1.0069732652420009</v>
      </c>
      <c r="J13" s="372">
        <v>0</v>
      </c>
      <c r="K13" s="373">
        <v>0</v>
      </c>
      <c r="L13" s="372">
        <v>111.17</v>
      </c>
      <c r="M13" s="373">
        <v>1.0069732652420009</v>
      </c>
      <c r="N13" s="374">
        <v>1653.0978999999879</v>
      </c>
      <c r="O13" s="372">
        <v>8.5000000000000018</v>
      </c>
      <c r="P13" s="373">
        <v>3.9860628484874065E-3</v>
      </c>
      <c r="Q13" s="375">
        <v>14.869999999999891</v>
      </c>
      <c r="R13" s="373">
        <v>6.9732652420008579E-3</v>
      </c>
      <c r="S13" s="372">
        <v>1653.0978999999879</v>
      </c>
      <c r="T13" s="376" t="s">
        <v>344</v>
      </c>
      <c r="U13" s="376" t="s">
        <v>581</v>
      </c>
      <c r="V13" s="409" t="s">
        <v>766</v>
      </c>
      <c r="W13" s="409" t="s">
        <v>674</v>
      </c>
      <c r="X13" s="377">
        <v>1</v>
      </c>
      <c r="Y13" s="378" t="s">
        <v>352</v>
      </c>
      <c r="AB13" s="382">
        <v>1</v>
      </c>
      <c r="AC13" s="385" t="s">
        <v>584</v>
      </c>
    </row>
    <row r="14" spans="2:35" s="382" customFormat="1" ht="27" customHeight="1">
      <c r="B14" s="846"/>
      <c r="C14" s="847"/>
      <c r="D14" s="370">
        <v>8</v>
      </c>
      <c r="E14" s="371" t="s">
        <v>423</v>
      </c>
      <c r="F14" s="372">
        <v>941.5</v>
      </c>
      <c r="G14" s="372">
        <v>6374</v>
      </c>
      <c r="H14" s="372">
        <v>6444</v>
      </c>
      <c r="I14" s="373">
        <v>1.0109821148415439</v>
      </c>
      <c r="J14" s="372">
        <v>0</v>
      </c>
      <c r="K14" s="373">
        <v>0</v>
      </c>
      <c r="L14" s="372">
        <v>13.45</v>
      </c>
      <c r="M14" s="373">
        <v>1.0109821148415439</v>
      </c>
      <c r="N14" s="374">
        <v>941.5</v>
      </c>
      <c r="O14" s="372">
        <v>70</v>
      </c>
      <c r="P14" s="373">
        <v>1.0982114841543772E-2</v>
      </c>
      <c r="Q14" s="375">
        <v>70</v>
      </c>
      <c r="R14" s="373">
        <v>1.0982114841543772E-2</v>
      </c>
      <c r="S14" s="372">
        <v>941.5</v>
      </c>
      <c r="T14" s="370" t="s">
        <v>346</v>
      </c>
      <c r="U14" s="376" t="s">
        <v>213</v>
      </c>
      <c r="V14" s="409" t="s">
        <v>902</v>
      </c>
      <c r="W14" s="409" t="s">
        <v>903</v>
      </c>
      <c r="X14" s="377">
        <v>1</v>
      </c>
      <c r="Y14" s="378" t="s">
        <v>640</v>
      </c>
      <c r="AB14" s="382">
        <v>2</v>
      </c>
      <c r="AC14" s="385" t="s">
        <v>351</v>
      </c>
    </row>
    <row r="15" spans="2:35" s="382" customFormat="1" ht="27" customHeight="1">
      <c r="B15" s="846"/>
      <c r="C15" s="847"/>
      <c r="D15" s="370">
        <v>9</v>
      </c>
      <c r="E15" s="371" t="s">
        <v>880</v>
      </c>
      <c r="F15" s="372">
        <v>938.16000000000008</v>
      </c>
      <c r="G15" s="372">
        <v>230.36</v>
      </c>
      <c r="H15" s="372">
        <v>235.4</v>
      </c>
      <c r="I15" s="373">
        <v>1.0218787984025004</v>
      </c>
      <c r="J15" s="372">
        <v>0.5</v>
      </c>
      <c r="K15" s="373">
        <v>2.1705157145337729E-3</v>
      </c>
      <c r="L15" s="372">
        <v>260.60000000000002</v>
      </c>
      <c r="M15" s="373">
        <v>1.0240493141170341</v>
      </c>
      <c r="N15" s="374">
        <v>1313.4239999999979</v>
      </c>
      <c r="O15" s="372">
        <v>3.6000000000000005</v>
      </c>
      <c r="P15" s="373">
        <v>1.5627713144643167E-2</v>
      </c>
      <c r="Q15" s="375">
        <v>5.539999999999992</v>
      </c>
      <c r="R15" s="373">
        <v>2.4049314117034173E-2</v>
      </c>
      <c r="S15" s="372">
        <v>1443.7239999999981</v>
      </c>
      <c r="T15" s="376" t="s">
        <v>346</v>
      </c>
      <c r="U15" s="376" t="s">
        <v>212</v>
      </c>
      <c r="V15" s="409" t="s">
        <v>813</v>
      </c>
      <c r="W15" s="409" t="s">
        <v>672</v>
      </c>
      <c r="X15" s="377">
        <v>1</v>
      </c>
      <c r="Y15" s="378" t="s">
        <v>677</v>
      </c>
      <c r="AB15" s="382">
        <v>3</v>
      </c>
      <c r="AC15" s="385" t="s">
        <v>392</v>
      </c>
    </row>
    <row r="16" spans="2:35" s="382" customFormat="1" ht="27" customHeight="1">
      <c r="B16" s="846"/>
      <c r="C16" s="847"/>
      <c r="D16" s="370">
        <v>10</v>
      </c>
      <c r="E16" s="371" t="s">
        <v>810</v>
      </c>
      <c r="F16" s="372">
        <v>901.01</v>
      </c>
      <c r="G16" s="372">
        <v>2118.96</v>
      </c>
      <c r="H16" s="372">
        <v>2137.5</v>
      </c>
      <c r="I16" s="373">
        <v>1.0087495752633366</v>
      </c>
      <c r="J16" s="372">
        <v>0</v>
      </c>
      <c r="K16" s="373">
        <v>0</v>
      </c>
      <c r="L16" s="372">
        <v>81.91</v>
      </c>
      <c r="M16" s="373">
        <v>1.0087495752633366</v>
      </c>
      <c r="N16" s="374">
        <v>1518.611399999997</v>
      </c>
      <c r="O16" s="372">
        <v>10.999999999999998</v>
      </c>
      <c r="P16" s="373">
        <v>5.1912258843961178E-3</v>
      </c>
      <c r="Q16" s="375">
        <v>18.539999999999964</v>
      </c>
      <c r="R16" s="373">
        <v>8.7495752633367143E-3</v>
      </c>
      <c r="S16" s="372">
        <v>1518.611399999997</v>
      </c>
      <c r="T16" s="376" t="s">
        <v>344</v>
      </c>
      <c r="U16" s="376" t="s">
        <v>581</v>
      </c>
      <c r="V16" s="409" t="s">
        <v>766</v>
      </c>
      <c r="W16" s="409" t="s">
        <v>674</v>
      </c>
      <c r="X16" s="377">
        <v>1</v>
      </c>
      <c r="Y16" s="378" t="s">
        <v>767</v>
      </c>
      <c r="AB16" s="382">
        <v>4</v>
      </c>
      <c r="AC16" s="385" t="s">
        <v>620</v>
      </c>
    </row>
    <row r="17" spans="2:29" s="382" customFormat="1" ht="27" customHeight="1">
      <c r="B17" s="846"/>
      <c r="C17" s="847"/>
      <c r="D17" s="370">
        <v>11</v>
      </c>
      <c r="E17" s="371" t="s">
        <v>831</v>
      </c>
      <c r="F17" s="372">
        <v>894.14200000000005</v>
      </c>
      <c r="G17" s="372">
        <v>769.755</v>
      </c>
      <c r="H17" s="372">
        <v>783</v>
      </c>
      <c r="I17" s="373">
        <v>1.0172067735838026</v>
      </c>
      <c r="J17" s="372">
        <v>0</v>
      </c>
      <c r="K17" s="373">
        <v>0</v>
      </c>
      <c r="L17" s="372">
        <v>103.97</v>
      </c>
      <c r="M17" s="373">
        <v>1.0172067735838026</v>
      </c>
      <c r="N17" s="374">
        <v>1377.0826500000005</v>
      </c>
      <c r="O17" s="372">
        <v>8.6000000000000014</v>
      </c>
      <c r="P17" s="373">
        <v>1.1172386018928102E-2</v>
      </c>
      <c r="Q17" s="375">
        <v>13.245000000000005</v>
      </c>
      <c r="R17" s="373">
        <v>1.7206773583802643E-2</v>
      </c>
      <c r="S17" s="372">
        <v>1377.0826500000005</v>
      </c>
      <c r="T17" s="376" t="s">
        <v>344</v>
      </c>
      <c r="U17" s="376" t="s">
        <v>581</v>
      </c>
      <c r="V17" s="409" t="s">
        <v>765</v>
      </c>
      <c r="W17" s="409" t="s">
        <v>671</v>
      </c>
      <c r="X17" s="377">
        <v>1</v>
      </c>
      <c r="Y17" s="378" t="s">
        <v>643</v>
      </c>
      <c r="AB17" s="382">
        <v>5</v>
      </c>
      <c r="AC17" s="385" t="s">
        <v>212</v>
      </c>
    </row>
    <row r="18" spans="2:29" s="382" customFormat="1" ht="27" customHeight="1">
      <c r="B18" s="846"/>
      <c r="C18" s="847"/>
      <c r="D18" s="370">
        <v>12</v>
      </c>
      <c r="E18" s="371" t="s">
        <v>904</v>
      </c>
      <c r="F18" s="372">
        <v>892.5</v>
      </c>
      <c r="G18" s="372">
        <v>1181.6200000000001</v>
      </c>
      <c r="H18" s="372">
        <v>1190</v>
      </c>
      <c r="I18" s="373">
        <v>1.0070919584976556</v>
      </c>
      <c r="J18" s="372">
        <v>0</v>
      </c>
      <c r="K18" s="373">
        <v>0</v>
      </c>
      <c r="L18" s="372">
        <v>178.5</v>
      </c>
      <c r="M18" s="373">
        <v>1.0070919584976556</v>
      </c>
      <c r="N18" s="374">
        <v>1495.829999999979</v>
      </c>
      <c r="O18" s="372">
        <v>4.9999999999999991</v>
      </c>
      <c r="P18" s="373">
        <v>4.23147881721704E-3</v>
      </c>
      <c r="Q18" s="375">
        <v>8.3799999999998818</v>
      </c>
      <c r="R18" s="373">
        <v>7.0919584976556604E-3</v>
      </c>
      <c r="S18" s="372">
        <v>1495.829999999979</v>
      </c>
      <c r="T18" s="370" t="s">
        <v>344</v>
      </c>
      <c r="U18" s="376" t="s">
        <v>581</v>
      </c>
      <c r="V18" s="409" t="s">
        <v>905</v>
      </c>
      <c r="W18" s="409" t="s">
        <v>906</v>
      </c>
      <c r="X18" s="377">
        <v>1</v>
      </c>
      <c r="Y18" s="378" t="s">
        <v>907</v>
      </c>
      <c r="AB18" s="382">
        <v>6</v>
      </c>
      <c r="AC18" s="385" t="s">
        <v>213</v>
      </c>
    </row>
    <row r="19" spans="2:29" s="382" customFormat="1" ht="27" customHeight="1">
      <c r="B19" s="846"/>
      <c r="C19" s="847"/>
      <c r="D19" s="370">
        <v>13</v>
      </c>
      <c r="E19" s="371" t="s">
        <v>393</v>
      </c>
      <c r="F19" s="372">
        <v>882.69299999999998</v>
      </c>
      <c r="G19" s="372">
        <v>585.27</v>
      </c>
      <c r="H19" s="372">
        <v>589.1</v>
      </c>
      <c r="I19" s="373">
        <v>1.0065439882447418</v>
      </c>
      <c r="J19" s="372">
        <v>0</v>
      </c>
      <c r="K19" s="373">
        <v>0</v>
      </c>
      <c r="L19" s="372">
        <v>420.33</v>
      </c>
      <c r="M19" s="373">
        <v>1.0065439882447418</v>
      </c>
      <c r="N19" s="374">
        <v>1609.8639000000171</v>
      </c>
      <c r="O19" s="372">
        <v>2.1</v>
      </c>
      <c r="P19" s="373">
        <v>3.5880875493362039E-3</v>
      </c>
      <c r="Q19" s="375">
        <v>3.8300000000000409</v>
      </c>
      <c r="R19" s="373">
        <v>6.5439882447418133E-3</v>
      </c>
      <c r="S19" s="372">
        <v>1609.8639000000171</v>
      </c>
      <c r="T19" s="370" t="s">
        <v>346</v>
      </c>
      <c r="U19" s="376" t="s">
        <v>212</v>
      </c>
      <c r="V19" s="409" t="s">
        <v>813</v>
      </c>
      <c r="W19" s="409" t="s">
        <v>672</v>
      </c>
      <c r="X19" s="377">
        <v>1</v>
      </c>
      <c r="Y19" s="378" t="s">
        <v>375</v>
      </c>
      <c r="AB19" s="382">
        <v>7</v>
      </c>
      <c r="AC19" s="385" t="s">
        <v>621</v>
      </c>
    </row>
    <row r="20" spans="2:29" s="382" customFormat="1" ht="27" customHeight="1">
      <c r="B20" s="846"/>
      <c r="C20" s="847"/>
      <c r="D20" s="370">
        <v>14</v>
      </c>
      <c r="E20" s="371" t="s">
        <v>809</v>
      </c>
      <c r="F20" s="372">
        <v>873.81</v>
      </c>
      <c r="G20" s="372">
        <v>1021.02</v>
      </c>
      <c r="H20" s="372">
        <v>1035.7</v>
      </c>
      <c r="I20" s="373">
        <v>1.0143777790836614</v>
      </c>
      <c r="J20" s="372">
        <v>0</v>
      </c>
      <c r="K20" s="373">
        <v>0</v>
      </c>
      <c r="L20" s="372">
        <v>91.98</v>
      </c>
      <c r="M20" s="373">
        <v>1.0143777790836614</v>
      </c>
      <c r="N20" s="374">
        <v>1350.2664000000059</v>
      </c>
      <c r="O20" s="372">
        <v>9.5</v>
      </c>
      <c r="P20" s="373">
        <v>9.3044210691269509E-3</v>
      </c>
      <c r="Q20" s="375">
        <v>14.680000000000064</v>
      </c>
      <c r="R20" s="373">
        <v>1.43777790836615E-2</v>
      </c>
      <c r="S20" s="372">
        <v>1350.2664000000059</v>
      </c>
      <c r="T20" s="376" t="s">
        <v>344</v>
      </c>
      <c r="U20" s="376" t="s">
        <v>581</v>
      </c>
      <c r="V20" s="409" t="s">
        <v>837</v>
      </c>
      <c r="W20" s="409" t="s">
        <v>838</v>
      </c>
      <c r="X20" s="377">
        <v>1</v>
      </c>
      <c r="Y20" s="378" t="s">
        <v>793</v>
      </c>
      <c r="AB20" s="382">
        <v>8</v>
      </c>
      <c r="AC20" s="386" t="s">
        <v>622</v>
      </c>
    </row>
    <row r="21" spans="2:29" s="382" customFormat="1" ht="27" customHeight="1">
      <c r="B21" s="846"/>
      <c r="C21" s="847"/>
      <c r="D21" s="370">
        <v>15</v>
      </c>
      <c r="E21" s="371" t="s">
        <v>874</v>
      </c>
      <c r="F21" s="372">
        <v>864.78</v>
      </c>
      <c r="G21" s="372">
        <v>13.777999999999999</v>
      </c>
      <c r="H21" s="372">
        <v>18.100000000000001</v>
      </c>
      <c r="I21" s="373">
        <v>1.3136884888953406</v>
      </c>
      <c r="J21" s="372">
        <v>0</v>
      </c>
      <c r="K21" s="373">
        <v>0</v>
      </c>
      <c r="L21" s="372">
        <v>298.2</v>
      </c>
      <c r="M21" s="373">
        <v>1.3136884888953406</v>
      </c>
      <c r="N21" s="374">
        <v>1288.8204000000007</v>
      </c>
      <c r="O21" s="372">
        <v>2.8999999999999995</v>
      </c>
      <c r="P21" s="373">
        <v>0.21048047612135287</v>
      </c>
      <c r="Q21" s="375">
        <v>4.3220000000000027</v>
      </c>
      <c r="R21" s="373">
        <v>0.31368848889534062</v>
      </c>
      <c r="S21" s="372">
        <v>1288.8204000000007</v>
      </c>
      <c r="T21" s="376" t="s">
        <v>350</v>
      </c>
      <c r="U21" s="376" t="s">
        <v>351</v>
      </c>
      <c r="V21" s="409" t="s">
        <v>834</v>
      </c>
      <c r="W21" s="409" t="s">
        <v>835</v>
      </c>
      <c r="X21" s="377">
        <v>1</v>
      </c>
      <c r="Y21" s="378" t="s">
        <v>744</v>
      </c>
      <c r="AC21" s="385"/>
    </row>
    <row r="22" spans="2:29" s="382" customFormat="1" ht="27" customHeight="1">
      <c r="B22" s="846"/>
      <c r="C22" s="847"/>
      <c r="D22" s="370">
        <v>16</v>
      </c>
      <c r="E22" s="371" t="s">
        <v>908</v>
      </c>
      <c r="F22" s="372">
        <v>852.14700000000005</v>
      </c>
      <c r="G22" s="372">
        <v>587.28</v>
      </c>
      <c r="H22" s="372">
        <v>601.79999999999995</v>
      </c>
      <c r="I22" s="373">
        <v>1.0247241520228851</v>
      </c>
      <c r="J22" s="372">
        <v>0</v>
      </c>
      <c r="K22" s="373">
        <v>0</v>
      </c>
      <c r="L22" s="372">
        <v>76.77</v>
      </c>
      <c r="M22" s="373">
        <v>1.0247241520228851</v>
      </c>
      <c r="N22" s="374">
        <v>1114.7003999999986</v>
      </c>
      <c r="O22" s="372">
        <v>11.1</v>
      </c>
      <c r="P22" s="373">
        <v>1.8900694728238659E-2</v>
      </c>
      <c r="Q22" s="375">
        <v>14.519999999999982</v>
      </c>
      <c r="R22" s="373">
        <v>2.4724152022885134E-2</v>
      </c>
      <c r="S22" s="372">
        <v>1114.7003999999986</v>
      </c>
      <c r="T22" s="376" t="s">
        <v>344</v>
      </c>
      <c r="U22" s="376" t="s">
        <v>581</v>
      </c>
      <c r="V22" s="409" t="s">
        <v>909</v>
      </c>
      <c r="W22" s="409" t="s">
        <v>674</v>
      </c>
      <c r="X22" s="377">
        <v>1</v>
      </c>
      <c r="Y22" s="378" t="s">
        <v>816</v>
      </c>
      <c r="AC22" s="385"/>
    </row>
    <row r="23" spans="2:29" s="382" customFormat="1" ht="27" customHeight="1">
      <c r="B23" s="846"/>
      <c r="C23" s="847"/>
      <c r="D23" s="370">
        <v>17</v>
      </c>
      <c r="E23" s="371" t="s">
        <v>885</v>
      </c>
      <c r="F23" s="372">
        <v>851.31</v>
      </c>
      <c r="G23" s="372">
        <v>6594.2100000000009</v>
      </c>
      <c r="H23" s="372">
        <v>6617.9</v>
      </c>
      <c r="I23" s="373">
        <v>1.0035925455816541</v>
      </c>
      <c r="J23" s="372">
        <v>0</v>
      </c>
      <c r="K23" s="373">
        <v>0</v>
      </c>
      <c r="L23" s="372">
        <v>52.55</v>
      </c>
      <c r="M23" s="373">
        <v>1.0035925455816541</v>
      </c>
      <c r="N23" s="374">
        <v>1244.9094999999311</v>
      </c>
      <c r="O23" s="372">
        <v>16.2</v>
      </c>
      <c r="P23" s="373">
        <v>2.4567006510256722E-3</v>
      </c>
      <c r="Q23" s="375">
        <v>23.68999999999869</v>
      </c>
      <c r="R23" s="373">
        <v>3.5925455816540096E-3</v>
      </c>
      <c r="S23" s="372">
        <v>1244.9094999999311</v>
      </c>
      <c r="T23" s="376" t="s">
        <v>346</v>
      </c>
      <c r="U23" s="376" t="s">
        <v>213</v>
      </c>
      <c r="V23" s="409" t="s">
        <v>902</v>
      </c>
      <c r="W23" s="409" t="s">
        <v>903</v>
      </c>
      <c r="X23" s="377">
        <v>1</v>
      </c>
      <c r="Y23" s="378" t="s">
        <v>645</v>
      </c>
      <c r="AB23" s="387">
        <v>1</v>
      </c>
      <c r="AC23" s="385" t="s">
        <v>350</v>
      </c>
    </row>
    <row r="24" spans="2:29" s="382" customFormat="1" ht="27" customHeight="1">
      <c r="B24" s="846"/>
      <c r="C24" s="847"/>
      <c r="D24" s="370">
        <v>18</v>
      </c>
      <c r="E24" s="371" t="s">
        <v>748</v>
      </c>
      <c r="F24" s="372">
        <v>851.1339999999999</v>
      </c>
      <c r="G24" s="372">
        <v>1399.9749999999999</v>
      </c>
      <c r="H24" s="372">
        <v>1417.8</v>
      </c>
      <c r="I24" s="373">
        <v>1.0127323702208968</v>
      </c>
      <c r="J24" s="372">
        <v>0</v>
      </c>
      <c r="K24" s="373">
        <v>0</v>
      </c>
      <c r="L24" s="372">
        <v>72.13</v>
      </c>
      <c r="M24" s="373">
        <v>1.0127323702208968</v>
      </c>
      <c r="N24" s="374">
        <v>1285.7172500000031</v>
      </c>
      <c r="O24" s="372">
        <v>11.8</v>
      </c>
      <c r="P24" s="373">
        <v>8.4287219414632408E-3</v>
      </c>
      <c r="Q24" s="375">
        <v>17.825000000000045</v>
      </c>
      <c r="R24" s="373">
        <v>1.2732370220896835E-2</v>
      </c>
      <c r="S24" s="372">
        <v>1285.7172500000031</v>
      </c>
      <c r="T24" s="376" t="s">
        <v>344</v>
      </c>
      <c r="U24" s="376" t="s">
        <v>581</v>
      </c>
      <c r="V24" s="409" t="s">
        <v>765</v>
      </c>
      <c r="W24" s="409" t="s">
        <v>671</v>
      </c>
      <c r="X24" s="377">
        <v>1</v>
      </c>
      <c r="Y24" s="378" t="s">
        <v>667</v>
      </c>
      <c r="AB24" s="382">
        <v>2</v>
      </c>
      <c r="AC24" s="385" t="s">
        <v>394</v>
      </c>
    </row>
    <row r="25" spans="2:29" s="382" customFormat="1" ht="27" customHeight="1">
      <c r="B25" s="846"/>
      <c r="C25" s="847"/>
      <c r="D25" s="370">
        <v>19</v>
      </c>
      <c r="E25" s="371" t="s">
        <v>910</v>
      </c>
      <c r="F25" s="372">
        <v>842.28399999999999</v>
      </c>
      <c r="G25" s="372">
        <v>2035.08</v>
      </c>
      <c r="H25" s="372">
        <v>2053.3000000000002</v>
      </c>
      <c r="I25" s="373">
        <v>1.0089529649940052</v>
      </c>
      <c r="J25" s="372">
        <v>0</v>
      </c>
      <c r="K25" s="373">
        <v>0</v>
      </c>
      <c r="L25" s="372">
        <v>71.38</v>
      </c>
      <c r="M25" s="373">
        <v>1.0089529649940052</v>
      </c>
      <c r="N25" s="374">
        <v>1300.5436000000182</v>
      </c>
      <c r="O25" s="372">
        <v>11.8</v>
      </c>
      <c r="P25" s="373">
        <v>5.7982978556125565E-3</v>
      </c>
      <c r="Q25" s="375">
        <v>18.220000000000255</v>
      </c>
      <c r="R25" s="373">
        <v>8.9529649940052747E-3</v>
      </c>
      <c r="S25" s="372">
        <v>1300.5436000000182</v>
      </c>
      <c r="T25" s="383" t="s">
        <v>344</v>
      </c>
      <c r="U25" s="376" t="s">
        <v>581</v>
      </c>
      <c r="V25" s="409" t="s">
        <v>765</v>
      </c>
      <c r="W25" s="409" t="s">
        <v>671</v>
      </c>
      <c r="X25" s="377">
        <v>1</v>
      </c>
      <c r="Y25" s="378" t="s">
        <v>666</v>
      </c>
      <c r="AB25" s="388">
        <v>3</v>
      </c>
      <c r="AC25" s="385" t="s">
        <v>344</v>
      </c>
    </row>
    <row r="26" spans="2:29" s="382" customFormat="1" ht="27" customHeight="1">
      <c r="B26" s="848"/>
      <c r="C26" s="849"/>
      <c r="D26" s="370">
        <v>20</v>
      </c>
      <c r="E26" s="371" t="s">
        <v>911</v>
      </c>
      <c r="F26" s="372">
        <v>828.37300000000005</v>
      </c>
      <c r="G26" s="372">
        <v>610.10400000000004</v>
      </c>
      <c r="H26" s="372">
        <v>622.20000000000005</v>
      </c>
      <c r="I26" s="373">
        <v>1.0198261280044059</v>
      </c>
      <c r="J26" s="372">
        <v>0</v>
      </c>
      <c r="K26" s="373">
        <v>0</v>
      </c>
      <c r="L26" s="372">
        <v>91.03</v>
      </c>
      <c r="M26" s="373">
        <v>1.0198261280044059</v>
      </c>
      <c r="N26" s="374">
        <v>1101.0988800000002</v>
      </c>
      <c r="O26" s="372">
        <v>9.1</v>
      </c>
      <c r="P26" s="373">
        <v>1.4915489818129367E-2</v>
      </c>
      <c r="Q26" s="375">
        <v>12.096000000000004</v>
      </c>
      <c r="R26" s="373">
        <v>1.9826128004405811E-2</v>
      </c>
      <c r="S26" s="372">
        <v>1101.0988800000002</v>
      </c>
      <c r="T26" s="376" t="s">
        <v>344</v>
      </c>
      <c r="U26" s="376" t="s">
        <v>581</v>
      </c>
      <c r="V26" s="409" t="s">
        <v>766</v>
      </c>
      <c r="W26" s="409" t="s">
        <v>674</v>
      </c>
      <c r="X26" s="377">
        <v>1</v>
      </c>
      <c r="Y26" s="378" t="s">
        <v>373</v>
      </c>
      <c r="AB26" s="388">
        <v>4</v>
      </c>
      <c r="AC26" s="385" t="s">
        <v>346</v>
      </c>
    </row>
    <row r="27" spans="2:29" ht="29.45" customHeight="1">
      <c r="C27" s="850"/>
      <c r="AB27" s="382"/>
      <c r="AC27" s="385"/>
    </row>
    <row r="28" spans="2:29">
      <c r="C28" s="850"/>
    </row>
    <row r="29" spans="2:29">
      <c r="C29" s="850"/>
    </row>
    <row r="30" spans="2:29">
      <c r="C30" s="850"/>
    </row>
    <row r="31" spans="2:29">
      <c r="C31" s="850"/>
    </row>
    <row r="32" spans="2:29">
      <c r="C32" s="850"/>
    </row>
    <row r="33" spans="3:3">
      <c r="C33" s="850"/>
    </row>
    <row r="34" spans="3:3">
      <c r="C34" s="850"/>
    </row>
    <row r="35" spans="3:3">
      <c r="C35" s="850"/>
    </row>
    <row r="36" spans="3:3">
      <c r="C36" s="850"/>
    </row>
    <row r="67" ht="14.1" customHeight="1"/>
    <row r="77" ht="14.1" customHeight="1"/>
    <row r="87" ht="14.1" customHeight="1"/>
    <row r="112" spans="26:26">
      <c r="Z112" s="389" t="s">
        <v>623</v>
      </c>
    </row>
    <row r="113" spans="26:26">
      <c r="Z113" s="382" t="s">
        <v>624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66"/>
    <col min="2" max="2" width="12.42578125" style="366" customWidth="1"/>
    <col min="3" max="3" width="8.85546875" style="366"/>
    <col min="4" max="4" width="11.5703125" style="366" customWidth="1"/>
    <col min="5" max="5" width="39.28515625" style="366" bestFit="1" customWidth="1"/>
    <col min="6" max="6" width="13.42578125" style="366" bestFit="1" customWidth="1"/>
    <col min="7" max="7" width="14.140625" style="366" customWidth="1"/>
    <col min="8" max="8" width="14" style="366" customWidth="1"/>
    <col min="9" max="9" width="16.85546875" style="366" customWidth="1"/>
    <col min="10" max="10" width="14" style="366" customWidth="1"/>
    <col min="11" max="11" width="11.7109375" style="366" bestFit="1" customWidth="1"/>
    <col min="12" max="12" width="13.42578125" style="366" bestFit="1" customWidth="1"/>
    <col min="13" max="13" width="19.28515625" style="366" bestFit="1" customWidth="1"/>
    <col min="14" max="14" width="15.42578125" style="366" bestFit="1" customWidth="1"/>
    <col min="15" max="15" width="12.7109375" style="366" bestFit="1" customWidth="1"/>
    <col min="16" max="16" width="9.85546875" style="366" bestFit="1" customWidth="1"/>
    <col min="17" max="17" width="12.28515625" style="366" bestFit="1" customWidth="1"/>
    <col min="18" max="18" width="10.7109375" style="366" customWidth="1"/>
    <col min="19" max="19" width="10.7109375" style="366" bestFit="1" customWidth="1"/>
    <col min="20" max="20" width="12.42578125" style="366" bestFit="1" customWidth="1"/>
    <col min="21" max="21" width="25.28515625" style="366" bestFit="1" customWidth="1"/>
    <col min="22" max="23" width="88.28515625" style="366" customWidth="1"/>
    <col min="24" max="24" width="7.42578125" style="366" bestFit="1" customWidth="1"/>
    <col min="25" max="25" width="69.5703125" style="366" bestFit="1" customWidth="1"/>
    <col min="26" max="26" width="11.42578125" style="366" bestFit="1" customWidth="1"/>
    <col min="27" max="27" width="21.5703125" style="366" customWidth="1"/>
    <col min="28" max="28" width="19.42578125" style="366" bestFit="1" customWidth="1"/>
    <col min="29" max="34" width="14.42578125" style="366" customWidth="1"/>
    <col min="35" max="35" width="11.42578125" style="366" bestFit="1" customWidth="1"/>
    <col min="36" max="16384" width="8.85546875" style="366"/>
  </cols>
  <sheetData>
    <row r="2" spans="2:35" ht="41.1" customHeight="1">
      <c r="B2" s="855" t="s">
        <v>625</v>
      </c>
      <c r="C2" s="856"/>
      <c r="D2" s="856"/>
      <c r="E2" s="856"/>
      <c r="F2" s="856"/>
      <c r="G2" s="856"/>
      <c r="H2" s="856"/>
      <c r="I2" s="856"/>
      <c r="J2" s="856"/>
      <c r="K2" s="856"/>
      <c r="L2" s="856"/>
      <c r="M2" s="856"/>
      <c r="N2" s="856"/>
      <c r="O2" s="856"/>
      <c r="P2" s="856"/>
      <c r="Q2" s="856"/>
      <c r="R2" s="856"/>
      <c r="S2" s="856"/>
      <c r="T2" s="856"/>
      <c r="U2" s="856"/>
      <c r="V2" s="856"/>
      <c r="W2" s="856"/>
      <c r="X2" s="856"/>
      <c r="Y2" s="856"/>
      <c r="AA2" s="367"/>
      <c r="AB2" s="367"/>
    </row>
    <row r="3" spans="2:35" ht="17.100000000000001" customHeight="1">
      <c r="B3" s="857" t="s">
        <v>600</v>
      </c>
      <c r="C3" s="858"/>
      <c r="D3" s="851" t="s">
        <v>168</v>
      </c>
      <c r="E3" s="851"/>
      <c r="F3" s="851"/>
      <c r="G3" s="851" t="s">
        <v>182</v>
      </c>
      <c r="H3" s="851"/>
      <c r="I3" s="851"/>
      <c r="J3" s="851"/>
      <c r="K3" s="851"/>
      <c r="L3" s="851"/>
      <c r="M3" s="851"/>
      <c r="N3" s="851"/>
      <c r="O3" s="851"/>
      <c r="P3" s="851"/>
      <c r="Q3" s="851"/>
      <c r="R3" s="851"/>
      <c r="S3" s="851"/>
      <c r="T3" s="851" t="s">
        <v>169</v>
      </c>
      <c r="U3" s="863" t="s">
        <v>601</v>
      </c>
      <c r="V3" s="872" t="s">
        <v>626</v>
      </c>
      <c r="W3" s="872" t="s">
        <v>603</v>
      </c>
      <c r="X3" s="869" t="s">
        <v>627</v>
      </c>
      <c r="Y3" s="853" t="s">
        <v>170</v>
      </c>
      <c r="AA3" s="851" t="s">
        <v>628</v>
      </c>
      <c r="AB3" s="851"/>
      <c r="AC3" s="851"/>
      <c r="AD3" s="851"/>
      <c r="AE3" s="851"/>
      <c r="AF3" s="851"/>
      <c r="AG3" s="851"/>
      <c r="AH3" s="851"/>
      <c r="AI3" s="851"/>
    </row>
    <row r="4" spans="2:35" ht="17.100000000000001" customHeight="1">
      <c r="B4" s="859"/>
      <c r="C4" s="860"/>
      <c r="D4" s="852" t="s">
        <v>167</v>
      </c>
      <c r="E4" s="851" t="s">
        <v>171</v>
      </c>
      <c r="F4" s="851"/>
      <c r="G4" s="851" t="s">
        <v>183</v>
      </c>
      <c r="H4" s="851"/>
      <c r="I4" s="851"/>
      <c r="J4" s="851"/>
      <c r="K4" s="851"/>
      <c r="L4" s="851"/>
      <c r="M4" s="851"/>
      <c r="N4" s="851"/>
      <c r="O4" s="851" t="s">
        <v>172</v>
      </c>
      <c r="P4" s="851"/>
      <c r="Q4" s="851"/>
      <c r="R4" s="851"/>
      <c r="S4" s="851"/>
      <c r="T4" s="851"/>
      <c r="U4" s="864"/>
      <c r="V4" s="870"/>
      <c r="W4" s="873"/>
      <c r="X4" s="870"/>
      <c r="Y4" s="853"/>
      <c r="AA4" s="851"/>
      <c r="AB4" s="851"/>
      <c r="AC4" s="851"/>
      <c r="AD4" s="851"/>
      <c r="AE4" s="851"/>
      <c r="AF4" s="851"/>
      <c r="AG4" s="851"/>
      <c r="AH4" s="851"/>
      <c r="AI4" s="851"/>
    </row>
    <row r="5" spans="2:35" ht="17.100000000000001" customHeight="1">
      <c r="B5" s="859"/>
      <c r="C5" s="860"/>
      <c r="D5" s="852"/>
      <c r="E5" s="852" t="s">
        <v>173</v>
      </c>
      <c r="F5" s="853" t="s">
        <v>641</v>
      </c>
      <c r="G5" s="854" t="s">
        <v>184</v>
      </c>
      <c r="H5" s="854"/>
      <c r="I5" s="854"/>
      <c r="J5" s="854"/>
      <c r="K5" s="854"/>
      <c r="L5" s="854"/>
      <c r="M5" s="854"/>
      <c r="N5" s="854"/>
      <c r="O5" s="854" t="s">
        <v>166</v>
      </c>
      <c r="P5" s="854"/>
      <c r="Q5" s="854" t="s">
        <v>174</v>
      </c>
      <c r="R5" s="854"/>
      <c r="S5" s="854"/>
      <c r="T5" s="851"/>
      <c r="U5" s="864"/>
      <c r="V5" s="870"/>
      <c r="W5" s="873"/>
      <c r="X5" s="870"/>
      <c r="Y5" s="853"/>
      <c r="AA5" s="851"/>
      <c r="AB5" s="851"/>
      <c r="AC5" s="851"/>
      <c r="AD5" s="851"/>
      <c r="AE5" s="851"/>
      <c r="AF5" s="851"/>
      <c r="AG5" s="851"/>
      <c r="AH5" s="851"/>
      <c r="AI5" s="851"/>
    </row>
    <row r="6" spans="2:35" ht="38.450000000000003" customHeight="1">
      <c r="B6" s="861"/>
      <c r="C6" s="862"/>
      <c r="D6" s="852"/>
      <c r="E6" s="852"/>
      <c r="F6" s="853"/>
      <c r="G6" s="368" t="s">
        <v>175</v>
      </c>
      <c r="H6" s="368" t="s">
        <v>629</v>
      </c>
      <c r="I6" s="368" t="s">
        <v>630</v>
      </c>
      <c r="J6" s="368" t="s">
        <v>176</v>
      </c>
      <c r="K6" s="368" t="s">
        <v>631</v>
      </c>
      <c r="L6" s="368" t="s">
        <v>177</v>
      </c>
      <c r="M6" s="368" t="s">
        <v>185</v>
      </c>
      <c r="N6" s="368" t="s">
        <v>178</v>
      </c>
      <c r="O6" s="369" t="s">
        <v>179</v>
      </c>
      <c r="P6" s="369" t="s">
        <v>180</v>
      </c>
      <c r="Q6" s="369" t="s">
        <v>179</v>
      </c>
      <c r="R6" s="369" t="s">
        <v>180</v>
      </c>
      <c r="S6" s="368" t="s">
        <v>181</v>
      </c>
      <c r="T6" s="851"/>
      <c r="U6" s="865"/>
      <c r="V6" s="871"/>
      <c r="W6" s="874"/>
      <c r="X6" s="871"/>
      <c r="Y6" s="853"/>
      <c r="AA6" s="223" t="s">
        <v>632</v>
      </c>
      <c r="AB6" s="223" t="s">
        <v>584</v>
      </c>
      <c r="AC6" s="356" t="s">
        <v>633</v>
      </c>
      <c r="AD6" s="356" t="s">
        <v>586</v>
      </c>
      <c r="AE6" s="356" t="s">
        <v>634</v>
      </c>
      <c r="AF6" s="356" t="s">
        <v>635</v>
      </c>
      <c r="AG6" s="356" t="s">
        <v>636</v>
      </c>
      <c r="AH6" s="356" t="s">
        <v>587</v>
      </c>
      <c r="AI6" s="356" t="s">
        <v>637</v>
      </c>
    </row>
    <row r="7" spans="2:35" s="382" customFormat="1" ht="27" customHeight="1">
      <c r="B7" s="844"/>
      <c r="C7" s="845"/>
      <c r="D7" s="370">
        <v>1</v>
      </c>
      <c r="E7" s="371" t="s">
        <v>354</v>
      </c>
      <c r="F7" s="372">
        <v>2154.2168000000033</v>
      </c>
      <c r="G7" s="372">
        <v>261.78199999999998</v>
      </c>
      <c r="H7" s="372">
        <v>266.2</v>
      </c>
      <c r="I7" s="373">
        <v>1.0168766378131422</v>
      </c>
      <c r="J7" s="372">
        <v>0</v>
      </c>
      <c r="K7" s="373">
        <v>0</v>
      </c>
      <c r="L7" s="372">
        <v>487.6</v>
      </c>
      <c r="M7" s="373">
        <v>1.0168766378131422</v>
      </c>
      <c r="N7" s="374">
        <v>2154.2168000000033</v>
      </c>
      <c r="O7" s="372">
        <v>2.3000000000000003</v>
      </c>
      <c r="P7" s="373">
        <v>8.7859363898205398E-3</v>
      </c>
      <c r="Q7" s="372">
        <v>1121.48</v>
      </c>
      <c r="R7" s="375">
        <v>4.4180000000000064</v>
      </c>
      <c r="S7" s="373">
        <v>1.6876637813142258E-2</v>
      </c>
      <c r="T7" s="409" t="s">
        <v>346</v>
      </c>
      <c r="U7" s="376" t="s">
        <v>213</v>
      </c>
      <c r="V7" s="409" t="s">
        <v>912</v>
      </c>
      <c r="W7" s="409" t="s">
        <v>672</v>
      </c>
      <c r="X7" s="377" t="s">
        <v>744</v>
      </c>
      <c r="Y7" s="378" t="s">
        <v>804</v>
      </c>
      <c r="Z7" s="379" t="s">
        <v>619</v>
      </c>
      <c r="AA7" s="380">
        <f>SUM(X7:X26)</f>
        <v>0</v>
      </c>
      <c r="AB7" s="381">
        <f>SUMIF($U$7:$U$26,TRIM(AB6),$X$7:$X$26)</f>
        <v>0</v>
      </c>
      <c r="AC7" s="381">
        <f>SUMIF($U$7:$U$26,TRIM(AC6),$X$7:$X$26)</f>
        <v>0</v>
      </c>
      <c r="AD7" s="381">
        <f t="shared" ref="AD7:AI7" ca="1" si="0">SUMIF($U$7:$U$9710,TRIM(AD6),$X$7:$X$26)</f>
        <v>0</v>
      </c>
      <c r="AE7" s="381">
        <f t="shared" ca="1" si="0"/>
        <v>0</v>
      </c>
      <c r="AF7" s="381">
        <f t="shared" ca="1" si="0"/>
        <v>0</v>
      </c>
      <c r="AG7" s="381">
        <f t="shared" ca="1" si="0"/>
        <v>0</v>
      </c>
      <c r="AH7" s="381">
        <f t="shared" ca="1" si="0"/>
        <v>0</v>
      </c>
      <c r="AI7" s="381">
        <f t="shared" ca="1" si="0"/>
        <v>0</v>
      </c>
    </row>
    <row r="8" spans="2:35" s="382" customFormat="1" ht="27" customHeight="1">
      <c r="B8" s="846"/>
      <c r="C8" s="847"/>
      <c r="D8" s="370">
        <v>2</v>
      </c>
      <c r="E8" s="371" t="s">
        <v>806</v>
      </c>
      <c r="F8" s="372">
        <v>2030.7419999999838</v>
      </c>
      <c r="G8" s="372">
        <v>1039.76</v>
      </c>
      <c r="H8" s="372">
        <v>1042.5</v>
      </c>
      <c r="I8" s="373">
        <v>1.0026352235131184</v>
      </c>
      <c r="J8" s="372">
        <v>1.8</v>
      </c>
      <c r="K8" s="373">
        <v>1.731168731245672E-3</v>
      </c>
      <c r="L8" s="372">
        <v>447.3</v>
      </c>
      <c r="M8" s="373">
        <v>1.004366392244364</v>
      </c>
      <c r="N8" s="374">
        <v>2030.7420000000041</v>
      </c>
      <c r="O8" s="372">
        <v>1.7</v>
      </c>
      <c r="P8" s="373">
        <v>1.6349926906209125E-3</v>
      </c>
      <c r="Q8" s="372">
        <v>760.41</v>
      </c>
      <c r="R8" s="375">
        <v>4.5399999999999636</v>
      </c>
      <c r="S8" s="373">
        <v>4.3663922443640492E-3</v>
      </c>
      <c r="T8" s="409" t="s">
        <v>344</v>
      </c>
      <c r="U8" s="376" t="s">
        <v>581</v>
      </c>
      <c r="V8" s="409" t="s">
        <v>814</v>
      </c>
      <c r="W8" s="410" t="s">
        <v>672</v>
      </c>
      <c r="X8" s="377" t="s">
        <v>804</v>
      </c>
      <c r="Y8" s="378" t="s">
        <v>744</v>
      </c>
      <c r="AA8" s="380"/>
      <c r="AB8" s="384">
        <f>SUMIF($U$7:$U$26,TRIM(AB6),$F$7:$F$26)</f>
        <v>0</v>
      </c>
      <c r="AC8" s="384">
        <f>SUMIF($U$7:$U$26,TRIM(AC6),$F$7:$F$26)</f>
        <v>0</v>
      </c>
      <c r="AD8" s="384">
        <f t="shared" ref="AD8:AI8" ca="1" si="1">SUMIF($U$7:$U$176,TRIM(AD6),$F$7:$F$26)</f>
        <v>1471.9663800000062</v>
      </c>
      <c r="AE8" s="384">
        <f t="shared" ca="1" si="1"/>
        <v>15927.431469999921</v>
      </c>
      <c r="AF8" s="384">
        <f t="shared" ca="1" si="1"/>
        <v>10830.591819999934</v>
      </c>
      <c r="AG8" s="384">
        <f t="shared" ca="1" si="1"/>
        <v>3669.4780799999999</v>
      </c>
      <c r="AH8" s="384">
        <f t="shared" ca="1" si="1"/>
        <v>0</v>
      </c>
      <c r="AI8" s="384">
        <f t="shared" ca="1" si="1"/>
        <v>0</v>
      </c>
    </row>
    <row r="9" spans="2:35" s="382" customFormat="1" ht="27" customHeight="1">
      <c r="B9" s="846"/>
      <c r="C9" s="847"/>
      <c r="D9" s="370">
        <v>3</v>
      </c>
      <c r="E9" s="371" t="s">
        <v>896</v>
      </c>
      <c r="F9" s="372">
        <v>1832.7029600000371</v>
      </c>
      <c r="G9" s="372">
        <v>8005.3919999999998</v>
      </c>
      <c r="H9" s="372">
        <v>8032.1</v>
      </c>
      <c r="I9" s="373">
        <v>1.0033362513665789</v>
      </c>
      <c r="J9" s="372">
        <v>0</v>
      </c>
      <c r="K9" s="373">
        <v>0</v>
      </c>
      <c r="L9" s="372">
        <v>68.62</v>
      </c>
      <c r="M9" s="373">
        <v>1.0033362513665789</v>
      </c>
      <c r="N9" s="374">
        <v>1832.7029600000371</v>
      </c>
      <c r="O9" s="372">
        <v>14.699999999999998</v>
      </c>
      <c r="P9" s="373">
        <v>1.8362623591699192E-3</v>
      </c>
      <c r="Q9" s="372">
        <v>1008.7139999999999</v>
      </c>
      <c r="R9" s="375">
        <v>26.708000000000538</v>
      </c>
      <c r="S9" s="373">
        <v>3.336251366578993E-3</v>
      </c>
      <c r="T9" s="458" t="s">
        <v>344</v>
      </c>
      <c r="U9" s="376" t="s">
        <v>581</v>
      </c>
      <c r="V9" s="409" t="s">
        <v>913</v>
      </c>
      <c r="W9" s="409" t="s">
        <v>897</v>
      </c>
      <c r="X9" s="377" t="s">
        <v>898</v>
      </c>
      <c r="Y9" s="378" t="s">
        <v>377</v>
      </c>
    </row>
    <row r="10" spans="2:35" s="382" customFormat="1" ht="27" customHeight="1">
      <c r="B10" s="846"/>
      <c r="C10" s="847"/>
      <c r="D10" s="370">
        <v>4</v>
      </c>
      <c r="E10" s="371" t="s">
        <v>799</v>
      </c>
      <c r="F10" s="372">
        <v>1809.2587499999156</v>
      </c>
      <c r="G10" s="372">
        <v>1030.5250000000001</v>
      </c>
      <c r="H10" s="372">
        <v>1033.3</v>
      </c>
      <c r="I10" s="373">
        <v>1.0026928022124644</v>
      </c>
      <c r="J10" s="372">
        <v>2.1</v>
      </c>
      <c r="K10" s="373">
        <v>2.0377962688920693E-3</v>
      </c>
      <c r="L10" s="372">
        <v>371.13</v>
      </c>
      <c r="M10" s="373">
        <v>1.0047305984813564</v>
      </c>
      <c r="N10" s="374">
        <v>1809.2587499999493</v>
      </c>
      <c r="O10" s="372">
        <v>1.4000000000000004</v>
      </c>
      <c r="P10" s="373">
        <v>1.3585308459280465E-3</v>
      </c>
      <c r="Q10" s="372">
        <v>519.58199999999999</v>
      </c>
      <c r="R10" s="375">
        <v>4.8749999999997726</v>
      </c>
      <c r="S10" s="373">
        <v>4.7305984813563687E-3</v>
      </c>
      <c r="T10" s="409" t="s">
        <v>344</v>
      </c>
      <c r="U10" s="376" t="s">
        <v>581</v>
      </c>
      <c r="V10" s="409" t="s">
        <v>836</v>
      </c>
      <c r="W10" s="409" t="s">
        <v>672</v>
      </c>
      <c r="X10" s="377" t="s">
        <v>377</v>
      </c>
      <c r="Y10" s="378" t="s">
        <v>375</v>
      </c>
    </row>
    <row r="11" spans="2:35" s="382" customFormat="1" ht="27" customHeight="1">
      <c r="B11" s="846"/>
      <c r="C11" s="847"/>
      <c r="D11" s="370">
        <v>5</v>
      </c>
      <c r="E11" s="371" t="s">
        <v>673</v>
      </c>
      <c r="F11" s="372">
        <v>1653.0978999999879</v>
      </c>
      <c r="G11" s="372">
        <v>2132.4300000000003</v>
      </c>
      <c r="H11" s="372">
        <v>2147.3000000000002</v>
      </c>
      <c r="I11" s="373">
        <v>1.0069732652420009</v>
      </c>
      <c r="J11" s="372">
        <v>0</v>
      </c>
      <c r="K11" s="373">
        <v>0</v>
      </c>
      <c r="L11" s="372">
        <v>111.17</v>
      </c>
      <c r="M11" s="373">
        <v>1.0069732652420009</v>
      </c>
      <c r="N11" s="374">
        <v>1653.0978999999879</v>
      </c>
      <c r="O11" s="372">
        <v>8.5000000000000018</v>
      </c>
      <c r="P11" s="373">
        <v>3.9860628484874065E-3</v>
      </c>
      <c r="Q11" s="372">
        <v>944.94500000000005</v>
      </c>
      <c r="R11" s="375">
        <v>14.869999999999891</v>
      </c>
      <c r="S11" s="373">
        <v>6.9732652420008579E-3</v>
      </c>
      <c r="T11" s="409" t="s">
        <v>344</v>
      </c>
      <c r="U11" s="376" t="s">
        <v>581</v>
      </c>
      <c r="V11" s="409" t="s">
        <v>766</v>
      </c>
      <c r="W11" s="409" t="s">
        <v>674</v>
      </c>
      <c r="X11" s="377" t="s">
        <v>352</v>
      </c>
      <c r="Y11" s="378" t="s">
        <v>816</v>
      </c>
    </row>
    <row r="12" spans="2:35" s="382" customFormat="1" ht="27" customHeight="1">
      <c r="B12" s="846"/>
      <c r="C12" s="847"/>
      <c r="D12" s="370">
        <v>6</v>
      </c>
      <c r="E12" s="371" t="s">
        <v>668</v>
      </c>
      <c r="F12" s="372">
        <v>1633.9190399999579</v>
      </c>
      <c r="G12" s="372">
        <v>2672.364</v>
      </c>
      <c r="H12" s="372">
        <v>2684.2999999999997</v>
      </c>
      <c r="I12" s="373">
        <v>1.0044664574137354</v>
      </c>
      <c r="J12" s="372">
        <v>0</v>
      </c>
      <c r="K12" s="373">
        <v>0</v>
      </c>
      <c r="L12" s="372">
        <v>136.88999999999999</v>
      </c>
      <c r="M12" s="373">
        <v>1.0044664574137354</v>
      </c>
      <c r="N12" s="374">
        <v>1633.9190399999579</v>
      </c>
      <c r="O12" s="372">
        <v>7</v>
      </c>
      <c r="P12" s="373">
        <v>2.6194036441143497E-3</v>
      </c>
      <c r="Q12" s="372">
        <v>958.2299999999999</v>
      </c>
      <c r="R12" s="375">
        <v>11.935999999999694</v>
      </c>
      <c r="S12" s="373">
        <v>4.4664574137354392E-3</v>
      </c>
      <c r="T12" s="409" t="s">
        <v>346</v>
      </c>
      <c r="U12" s="376" t="s">
        <v>212</v>
      </c>
      <c r="V12" s="409" t="s">
        <v>800</v>
      </c>
      <c r="W12" s="409" t="s">
        <v>801</v>
      </c>
      <c r="X12" s="377" t="s">
        <v>352</v>
      </c>
      <c r="Y12" s="378" t="s">
        <v>355</v>
      </c>
    </row>
    <row r="13" spans="2:35" s="382" customFormat="1" ht="27" customHeight="1">
      <c r="B13" s="846"/>
      <c r="C13" s="847"/>
      <c r="D13" s="370">
        <v>7</v>
      </c>
      <c r="E13" s="371" t="s">
        <v>393</v>
      </c>
      <c r="F13" s="372">
        <v>1609.8639000000171</v>
      </c>
      <c r="G13" s="372">
        <v>585.27</v>
      </c>
      <c r="H13" s="372">
        <v>589.1</v>
      </c>
      <c r="I13" s="373">
        <v>1.0065439882447418</v>
      </c>
      <c r="J13" s="372">
        <v>0</v>
      </c>
      <c r="K13" s="373">
        <v>0</v>
      </c>
      <c r="L13" s="372">
        <v>420.33</v>
      </c>
      <c r="M13" s="373">
        <v>1.0065439882447418</v>
      </c>
      <c r="N13" s="374">
        <v>1609.8639000000171</v>
      </c>
      <c r="O13" s="372">
        <v>2.1</v>
      </c>
      <c r="P13" s="373">
        <v>3.5880875493362039E-3</v>
      </c>
      <c r="Q13" s="372">
        <v>882.69299999999998</v>
      </c>
      <c r="R13" s="375">
        <v>3.8300000000000409</v>
      </c>
      <c r="S13" s="373">
        <v>6.5439882447418133E-3</v>
      </c>
      <c r="T13" s="458" t="s">
        <v>346</v>
      </c>
      <c r="U13" s="376" t="s">
        <v>212</v>
      </c>
      <c r="V13" s="409" t="s">
        <v>836</v>
      </c>
      <c r="W13" s="409" t="s">
        <v>672</v>
      </c>
      <c r="X13" s="377" t="s">
        <v>375</v>
      </c>
      <c r="Y13" s="378" t="s">
        <v>352</v>
      </c>
      <c r="AB13" s="382">
        <v>1</v>
      </c>
      <c r="AC13" s="385" t="s">
        <v>584</v>
      </c>
    </row>
    <row r="14" spans="2:35" s="382" customFormat="1" ht="27" customHeight="1">
      <c r="B14" s="846"/>
      <c r="C14" s="847"/>
      <c r="D14" s="370">
        <v>8</v>
      </c>
      <c r="E14" s="371" t="s">
        <v>830</v>
      </c>
      <c r="F14" s="372">
        <v>1581.8919999999875</v>
      </c>
      <c r="G14" s="372">
        <v>409.50000000000006</v>
      </c>
      <c r="H14" s="372">
        <v>414.7</v>
      </c>
      <c r="I14" s="373">
        <v>1.0126984126984124</v>
      </c>
      <c r="J14" s="372">
        <v>0.6</v>
      </c>
      <c r="K14" s="373">
        <v>1.465201465201465E-3</v>
      </c>
      <c r="L14" s="372">
        <v>272.74</v>
      </c>
      <c r="M14" s="373">
        <v>1.0141636141636141</v>
      </c>
      <c r="N14" s="374">
        <v>1581.8919999999814</v>
      </c>
      <c r="O14" s="372">
        <v>2.8000000000000003</v>
      </c>
      <c r="P14" s="373">
        <v>6.8376068376068376E-3</v>
      </c>
      <c r="Q14" s="372">
        <v>763.67200000000003</v>
      </c>
      <c r="R14" s="375">
        <v>5.7999999999999545</v>
      </c>
      <c r="S14" s="373">
        <v>1.4163614163614051E-2</v>
      </c>
      <c r="T14" s="376" t="s">
        <v>346</v>
      </c>
      <c r="U14" s="376" t="s">
        <v>212</v>
      </c>
      <c r="V14" s="409" t="s">
        <v>836</v>
      </c>
      <c r="W14" s="409" t="s">
        <v>672</v>
      </c>
      <c r="X14" s="377" t="s">
        <v>347</v>
      </c>
      <c r="Y14" s="378" t="s">
        <v>812</v>
      </c>
      <c r="AB14" s="382">
        <v>2</v>
      </c>
      <c r="AC14" s="385" t="s">
        <v>351</v>
      </c>
    </row>
    <row r="15" spans="2:35" s="382" customFormat="1" ht="27" customHeight="1">
      <c r="B15" s="846"/>
      <c r="C15" s="847"/>
      <c r="D15" s="370">
        <v>9</v>
      </c>
      <c r="E15" s="371" t="s">
        <v>749</v>
      </c>
      <c r="F15" s="372">
        <v>1571.183999999985</v>
      </c>
      <c r="G15" s="372">
        <v>123.50000000000003</v>
      </c>
      <c r="H15" s="372">
        <v>125.5</v>
      </c>
      <c r="I15" s="373">
        <v>1.0161943319838054</v>
      </c>
      <c r="J15" s="372">
        <v>0.7</v>
      </c>
      <c r="K15" s="373">
        <v>5.6680161943319825E-3</v>
      </c>
      <c r="L15" s="372">
        <v>581.91999999999996</v>
      </c>
      <c r="M15" s="373">
        <v>1.0218623481781375</v>
      </c>
      <c r="N15" s="374">
        <v>1571.1839999999834</v>
      </c>
      <c r="O15" s="372">
        <v>1.3</v>
      </c>
      <c r="P15" s="373">
        <v>1.0526315789473682E-2</v>
      </c>
      <c r="Q15" s="372">
        <v>756.49599999999998</v>
      </c>
      <c r="R15" s="375">
        <v>2.6999999999999744</v>
      </c>
      <c r="S15" s="373">
        <v>2.1862348178137439E-2</v>
      </c>
      <c r="T15" s="376" t="s">
        <v>346</v>
      </c>
      <c r="U15" s="376" t="s">
        <v>212</v>
      </c>
      <c r="V15" s="409" t="s">
        <v>836</v>
      </c>
      <c r="W15" s="409" t="s">
        <v>672</v>
      </c>
      <c r="X15" s="377" t="s">
        <v>355</v>
      </c>
      <c r="Y15" s="378" t="s">
        <v>677</v>
      </c>
      <c r="AB15" s="382">
        <v>3</v>
      </c>
      <c r="AC15" s="385" t="s">
        <v>392</v>
      </c>
    </row>
    <row r="16" spans="2:35" s="382" customFormat="1" ht="27" customHeight="1">
      <c r="B16" s="846"/>
      <c r="C16" s="847"/>
      <c r="D16" s="370">
        <v>10</v>
      </c>
      <c r="E16" s="371" t="s">
        <v>817</v>
      </c>
      <c r="F16" s="372">
        <v>1557.6055999999942</v>
      </c>
      <c r="G16" s="372">
        <v>587.28</v>
      </c>
      <c r="H16" s="372">
        <v>589.5</v>
      </c>
      <c r="I16" s="373">
        <v>1.0037801389456478</v>
      </c>
      <c r="J16" s="372">
        <v>2.8</v>
      </c>
      <c r="K16" s="373">
        <v>4.767742814330473E-3</v>
      </c>
      <c r="L16" s="372">
        <v>310.27999999999997</v>
      </c>
      <c r="M16" s="373">
        <v>1.0085478817599782</v>
      </c>
      <c r="N16" s="374">
        <v>1557.6056000000083</v>
      </c>
      <c r="O16" s="372">
        <v>2.2999999999999998</v>
      </c>
      <c r="P16" s="373">
        <v>3.9163601689143164E-3</v>
      </c>
      <c r="Q16" s="372">
        <v>713.64399999999989</v>
      </c>
      <c r="R16" s="375">
        <v>5.0199999999999818</v>
      </c>
      <c r="S16" s="373">
        <v>8.5478817599781744E-3</v>
      </c>
      <c r="T16" s="409" t="s">
        <v>346</v>
      </c>
      <c r="U16" s="376" t="s">
        <v>212</v>
      </c>
      <c r="V16" s="409" t="s">
        <v>836</v>
      </c>
      <c r="W16" s="409" t="s">
        <v>672</v>
      </c>
      <c r="X16" s="377" t="s">
        <v>816</v>
      </c>
      <c r="Y16" s="378" t="s">
        <v>781</v>
      </c>
      <c r="AB16" s="382">
        <v>4</v>
      </c>
      <c r="AC16" s="385" t="s">
        <v>620</v>
      </c>
    </row>
    <row r="17" spans="2:29" s="382" customFormat="1" ht="27" customHeight="1">
      <c r="B17" s="846"/>
      <c r="C17" s="847"/>
      <c r="D17" s="370">
        <v>11</v>
      </c>
      <c r="E17" s="371" t="s">
        <v>810</v>
      </c>
      <c r="F17" s="372">
        <v>1518.611399999997</v>
      </c>
      <c r="G17" s="372">
        <v>2118.96</v>
      </c>
      <c r="H17" s="372">
        <v>2137.5</v>
      </c>
      <c r="I17" s="373">
        <v>1.0087495752633366</v>
      </c>
      <c r="J17" s="372">
        <v>0</v>
      </c>
      <c r="K17" s="373">
        <v>0</v>
      </c>
      <c r="L17" s="372">
        <v>81.91</v>
      </c>
      <c r="M17" s="373">
        <v>1.0087495752633366</v>
      </c>
      <c r="N17" s="374">
        <v>1518.611399999997</v>
      </c>
      <c r="O17" s="372">
        <v>10.999999999999998</v>
      </c>
      <c r="P17" s="373">
        <v>5.1912258843961178E-3</v>
      </c>
      <c r="Q17" s="372">
        <v>901.01</v>
      </c>
      <c r="R17" s="375">
        <v>18.539999999999964</v>
      </c>
      <c r="S17" s="373">
        <v>8.7495752633367143E-3</v>
      </c>
      <c r="T17" s="376" t="s">
        <v>344</v>
      </c>
      <c r="U17" s="376" t="s">
        <v>581</v>
      </c>
      <c r="V17" s="409" t="s">
        <v>766</v>
      </c>
      <c r="W17" s="409" t="s">
        <v>674</v>
      </c>
      <c r="X17" s="377" t="s">
        <v>767</v>
      </c>
      <c r="Y17" s="378" t="s">
        <v>767</v>
      </c>
      <c r="AB17" s="382">
        <v>5</v>
      </c>
      <c r="AC17" s="385" t="s">
        <v>212</v>
      </c>
    </row>
    <row r="18" spans="2:29" s="382" customFormat="1" ht="27" customHeight="1">
      <c r="B18" s="846"/>
      <c r="C18" s="847"/>
      <c r="D18" s="370">
        <v>12</v>
      </c>
      <c r="E18" s="371" t="s">
        <v>884</v>
      </c>
      <c r="F18" s="372">
        <v>1515.2612799999963</v>
      </c>
      <c r="G18" s="372">
        <v>122.09400000000001</v>
      </c>
      <c r="H18" s="372">
        <v>125.5</v>
      </c>
      <c r="I18" s="373">
        <v>1.0278965387324519</v>
      </c>
      <c r="J18" s="372">
        <v>0</v>
      </c>
      <c r="K18" s="373">
        <v>0</v>
      </c>
      <c r="L18" s="372">
        <v>444.88</v>
      </c>
      <c r="M18" s="373">
        <v>1.0278965387324519</v>
      </c>
      <c r="N18" s="374">
        <v>1515.2612799999963</v>
      </c>
      <c r="O18" s="372">
        <v>1.8000000000000003</v>
      </c>
      <c r="P18" s="373">
        <v>1.4742739200943537E-2</v>
      </c>
      <c r="Q18" s="372">
        <v>800.78399999999999</v>
      </c>
      <c r="R18" s="375">
        <v>3.4059999999999917</v>
      </c>
      <c r="S18" s="373">
        <v>2.7896538732451976E-2</v>
      </c>
      <c r="T18" s="376" t="s">
        <v>346</v>
      </c>
      <c r="U18" s="376" t="s">
        <v>213</v>
      </c>
      <c r="V18" s="409" t="s">
        <v>836</v>
      </c>
      <c r="W18" s="409" t="s">
        <v>672</v>
      </c>
      <c r="X18" s="377" t="s">
        <v>743</v>
      </c>
      <c r="Y18" s="378" t="s">
        <v>352</v>
      </c>
      <c r="AB18" s="382">
        <v>6</v>
      </c>
      <c r="AC18" s="385" t="s">
        <v>213</v>
      </c>
    </row>
    <row r="19" spans="2:29" s="382" customFormat="1" ht="27" customHeight="1">
      <c r="B19" s="846"/>
      <c r="C19" s="847"/>
      <c r="D19" s="370">
        <v>13</v>
      </c>
      <c r="E19" s="371" t="s">
        <v>678</v>
      </c>
      <c r="F19" s="372">
        <v>1476.333450000001</v>
      </c>
      <c r="G19" s="372">
        <v>662.28499999999997</v>
      </c>
      <c r="H19" s="372">
        <v>674.9</v>
      </c>
      <c r="I19" s="373">
        <v>1.0190476909487607</v>
      </c>
      <c r="J19" s="372">
        <v>0</v>
      </c>
      <c r="K19" s="373">
        <v>0</v>
      </c>
      <c r="L19" s="372">
        <v>117.03</v>
      </c>
      <c r="M19" s="373">
        <v>1.0190476909487607</v>
      </c>
      <c r="N19" s="374">
        <v>1476.333450000001</v>
      </c>
      <c r="O19" s="372">
        <v>8.6</v>
      </c>
      <c r="P19" s="373">
        <v>1.2985346187819444E-2</v>
      </c>
      <c r="Q19" s="372">
        <v>1006.4580000000001</v>
      </c>
      <c r="R19" s="375">
        <v>12.615000000000009</v>
      </c>
      <c r="S19" s="373">
        <v>1.9047690948760746E-2</v>
      </c>
      <c r="T19" s="376" t="s">
        <v>344</v>
      </c>
      <c r="U19" s="376" t="s">
        <v>581</v>
      </c>
      <c r="V19" s="409" t="s">
        <v>766</v>
      </c>
      <c r="W19" s="409" t="s">
        <v>674</v>
      </c>
      <c r="X19" s="377" t="s">
        <v>907</v>
      </c>
      <c r="Y19" s="378" t="s">
        <v>795</v>
      </c>
      <c r="AB19" s="382">
        <v>7</v>
      </c>
      <c r="AC19" s="385" t="s">
        <v>621</v>
      </c>
    </row>
    <row r="20" spans="2:29" s="382" customFormat="1" ht="27" customHeight="1">
      <c r="B20" s="846"/>
      <c r="C20" s="847"/>
      <c r="D20" s="370">
        <v>14</v>
      </c>
      <c r="E20" s="371" t="s">
        <v>769</v>
      </c>
      <c r="F20" s="372">
        <v>1471.9663800000062</v>
      </c>
      <c r="G20" s="372">
        <v>90.881999999999991</v>
      </c>
      <c r="H20" s="372">
        <v>94</v>
      </c>
      <c r="I20" s="373">
        <v>1.0343082238507075</v>
      </c>
      <c r="J20" s="372">
        <v>0.4</v>
      </c>
      <c r="K20" s="373">
        <v>4.4013115908540755E-3</v>
      </c>
      <c r="L20" s="372">
        <v>418.41</v>
      </c>
      <c r="M20" s="373">
        <v>1.0387095354415619</v>
      </c>
      <c r="N20" s="374">
        <v>1471.9663800000039</v>
      </c>
      <c r="O20" s="372">
        <v>1.9</v>
      </c>
      <c r="P20" s="373">
        <v>2.0906230056556854E-2</v>
      </c>
      <c r="Q20" s="372">
        <v>794.97900000000004</v>
      </c>
      <c r="R20" s="375">
        <v>3.5180000000000149</v>
      </c>
      <c r="S20" s="373">
        <v>3.8709535441561756E-2</v>
      </c>
      <c r="T20" s="376" t="s">
        <v>350</v>
      </c>
      <c r="U20" s="376" t="s">
        <v>392</v>
      </c>
      <c r="V20" s="409" t="s">
        <v>832</v>
      </c>
      <c r="W20" s="409" t="s">
        <v>671</v>
      </c>
      <c r="X20" s="377" t="s">
        <v>677</v>
      </c>
      <c r="Y20" s="378" t="s">
        <v>347</v>
      </c>
      <c r="AB20" s="382">
        <v>8</v>
      </c>
      <c r="AC20" s="386" t="s">
        <v>622</v>
      </c>
    </row>
    <row r="21" spans="2:29" s="382" customFormat="1" ht="27" customHeight="1">
      <c r="B21" s="846"/>
      <c r="C21" s="847"/>
      <c r="D21" s="370">
        <v>15</v>
      </c>
      <c r="E21" s="371" t="s">
        <v>815</v>
      </c>
      <c r="F21" s="372">
        <v>1464.0830000000212</v>
      </c>
      <c r="G21" s="372">
        <v>1955.9499999999998</v>
      </c>
      <c r="H21" s="372">
        <v>1966.4</v>
      </c>
      <c r="I21" s="373">
        <v>1.0053426723587005</v>
      </c>
      <c r="J21" s="372">
        <v>2.1</v>
      </c>
      <c r="K21" s="373">
        <v>1.0736470768680183E-3</v>
      </c>
      <c r="L21" s="372">
        <v>116.66</v>
      </c>
      <c r="M21" s="373">
        <v>1.0064163194355684</v>
      </c>
      <c r="N21" s="374">
        <v>1464.0830000000317</v>
      </c>
      <c r="O21" s="372">
        <v>7</v>
      </c>
      <c r="P21" s="373">
        <v>3.5788235895600606E-3</v>
      </c>
      <c r="Q21" s="372">
        <v>816.62</v>
      </c>
      <c r="R21" s="375">
        <v>12.550000000000182</v>
      </c>
      <c r="S21" s="373">
        <v>6.4163194355684877E-3</v>
      </c>
      <c r="T21" s="376" t="s">
        <v>344</v>
      </c>
      <c r="U21" s="376" t="s">
        <v>581</v>
      </c>
      <c r="V21" s="409" t="s">
        <v>914</v>
      </c>
      <c r="W21" s="409" t="s">
        <v>674</v>
      </c>
      <c r="X21" s="377" t="s">
        <v>368</v>
      </c>
      <c r="Y21" s="378" t="s">
        <v>807</v>
      </c>
      <c r="AC21" s="385"/>
    </row>
    <row r="22" spans="2:29" s="382" customFormat="1" ht="27" customHeight="1">
      <c r="B22" s="846"/>
      <c r="C22" s="847"/>
      <c r="D22" s="370">
        <v>16</v>
      </c>
      <c r="E22" s="371" t="s">
        <v>880</v>
      </c>
      <c r="F22" s="372">
        <v>1443.7239999999981</v>
      </c>
      <c r="G22" s="372">
        <v>230.36</v>
      </c>
      <c r="H22" s="372">
        <v>235.4</v>
      </c>
      <c r="I22" s="373">
        <v>1.0218787984025004</v>
      </c>
      <c r="J22" s="372">
        <v>0.5</v>
      </c>
      <c r="K22" s="373">
        <v>2.1705157145337729E-3</v>
      </c>
      <c r="L22" s="372">
        <v>260.60000000000002</v>
      </c>
      <c r="M22" s="373">
        <v>1.0240493141170341</v>
      </c>
      <c r="N22" s="374">
        <v>1443.7239999999981</v>
      </c>
      <c r="O22" s="372">
        <v>3.6000000000000005</v>
      </c>
      <c r="P22" s="373">
        <v>1.5627713144643167E-2</v>
      </c>
      <c r="Q22" s="372">
        <v>938.16000000000008</v>
      </c>
      <c r="R22" s="375">
        <v>5.539999999999992</v>
      </c>
      <c r="S22" s="373">
        <v>2.4049314117034173E-2</v>
      </c>
      <c r="T22" s="409" t="s">
        <v>346</v>
      </c>
      <c r="U22" s="376" t="s">
        <v>212</v>
      </c>
      <c r="V22" s="409" t="s">
        <v>836</v>
      </c>
      <c r="W22" s="409" t="s">
        <v>672</v>
      </c>
      <c r="X22" s="377" t="s">
        <v>379</v>
      </c>
      <c r="Y22" s="378" t="s">
        <v>349</v>
      </c>
      <c r="AC22" s="385"/>
    </row>
    <row r="23" spans="2:29" s="382" customFormat="1" ht="27" customHeight="1">
      <c r="B23" s="846"/>
      <c r="C23" s="847"/>
      <c r="D23" s="370">
        <v>17</v>
      </c>
      <c r="E23" s="371" t="s">
        <v>881</v>
      </c>
      <c r="F23" s="372">
        <v>1432.4032799999954</v>
      </c>
      <c r="G23" s="372">
        <v>293.95600000000002</v>
      </c>
      <c r="H23" s="372">
        <v>298.5</v>
      </c>
      <c r="I23" s="373">
        <v>1.0154580957694348</v>
      </c>
      <c r="J23" s="372">
        <v>1</v>
      </c>
      <c r="K23" s="373">
        <v>3.4018696675692959E-3</v>
      </c>
      <c r="L23" s="372">
        <v>258.37</v>
      </c>
      <c r="M23" s="373">
        <v>1.0188599654370041</v>
      </c>
      <c r="N23" s="374">
        <v>1432.4032799999954</v>
      </c>
      <c r="O23" s="372">
        <v>3.2</v>
      </c>
      <c r="P23" s="373">
        <v>1.0885982936221747E-2</v>
      </c>
      <c r="Q23" s="527">
        <v>826.78399999999988</v>
      </c>
      <c r="R23" s="375">
        <v>5.5439999999999827</v>
      </c>
      <c r="S23" s="373">
        <v>1.8859965437004116E-2</v>
      </c>
      <c r="T23" s="376" t="s">
        <v>346</v>
      </c>
      <c r="U23" s="376" t="s">
        <v>212</v>
      </c>
      <c r="V23" s="409" t="s">
        <v>836</v>
      </c>
      <c r="W23" s="409" t="s">
        <v>672</v>
      </c>
      <c r="X23" s="377" t="s">
        <v>677</v>
      </c>
      <c r="Y23" s="378" t="s">
        <v>643</v>
      </c>
      <c r="AB23" s="387">
        <v>1</v>
      </c>
      <c r="AC23" s="385" t="s">
        <v>350</v>
      </c>
    </row>
    <row r="24" spans="2:29" s="382" customFormat="1" ht="27" customHeight="1">
      <c r="B24" s="846"/>
      <c r="C24" s="847"/>
      <c r="D24" s="370">
        <v>18</v>
      </c>
      <c r="E24" s="371" t="s">
        <v>915</v>
      </c>
      <c r="F24" s="372">
        <v>1393.3274399999814</v>
      </c>
      <c r="G24" s="372">
        <v>538.82400000000007</v>
      </c>
      <c r="H24" s="372">
        <v>544</v>
      </c>
      <c r="I24" s="373">
        <v>1.0096061051475063</v>
      </c>
      <c r="J24" s="372">
        <v>0</v>
      </c>
      <c r="K24" s="373">
        <v>0</v>
      </c>
      <c r="L24" s="372">
        <v>269.19</v>
      </c>
      <c r="M24" s="373">
        <v>1.0096061051475063</v>
      </c>
      <c r="N24" s="374">
        <v>1393.3274399999814</v>
      </c>
      <c r="O24" s="372">
        <v>2.9999999999999996</v>
      </c>
      <c r="P24" s="373">
        <v>5.5676807269163945E-3</v>
      </c>
      <c r="Q24" s="372">
        <v>807.57</v>
      </c>
      <c r="R24" s="375">
        <v>5.1759999999999309</v>
      </c>
      <c r="S24" s="373">
        <v>9.6061051475062921E-3</v>
      </c>
      <c r="T24" s="376" t="s">
        <v>344</v>
      </c>
      <c r="U24" s="376" t="s">
        <v>581</v>
      </c>
      <c r="V24" s="409" t="s">
        <v>818</v>
      </c>
      <c r="W24" s="376" t="s">
        <v>819</v>
      </c>
      <c r="X24" s="377" t="s">
        <v>666</v>
      </c>
      <c r="Y24" s="378" t="s">
        <v>368</v>
      </c>
      <c r="AB24" s="382">
        <v>2</v>
      </c>
      <c r="AC24" s="385" t="s">
        <v>394</v>
      </c>
    </row>
    <row r="25" spans="2:29" s="382" customFormat="1" ht="27" customHeight="1">
      <c r="B25" s="846"/>
      <c r="C25" s="847"/>
      <c r="D25" s="370">
        <v>19</v>
      </c>
      <c r="E25" s="371" t="s">
        <v>831</v>
      </c>
      <c r="F25" s="372">
        <v>1377.0826500000005</v>
      </c>
      <c r="G25" s="372">
        <v>769.755</v>
      </c>
      <c r="H25" s="372">
        <v>783</v>
      </c>
      <c r="I25" s="373">
        <v>1.0172067735838026</v>
      </c>
      <c r="J25" s="372">
        <v>0</v>
      </c>
      <c r="K25" s="373">
        <v>0</v>
      </c>
      <c r="L25" s="372">
        <v>103.97</v>
      </c>
      <c r="M25" s="373">
        <v>1.0172067735838026</v>
      </c>
      <c r="N25" s="374">
        <v>1377.0826500000005</v>
      </c>
      <c r="O25" s="372">
        <v>8.6000000000000014</v>
      </c>
      <c r="P25" s="373">
        <v>1.1172386018928102E-2</v>
      </c>
      <c r="Q25" s="372">
        <v>894.14200000000005</v>
      </c>
      <c r="R25" s="375">
        <v>13.245000000000005</v>
      </c>
      <c r="S25" s="373">
        <v>1.7206773583802643E-2</v>
      </c>
      <c r="T25" s="376" t="s">
        <v>344</v>
      </c>
      <c r="U25" s="376" t="s">
        <v>581</v>
      </c>
      <c r="V25" s="409" t="s">
        <v>765</v>
      </c>
      <c r="W25" s="409" t="s">
        <v>671</v>
      </c>
      <c r="X25" s="377" t="s">
        <v>371</v>
      </c>
      <c r="Y25" s="378" t="s">
        <v>676</v>
      </c>
      <c r="AB25" s="388">
        <v>3</v>
      </c>
      <c r="AC25" s="385" t="s">
        <v>344</v>
      </c>
    </row>
    <row r="26" spans="2:29" s="382" customFormat="1" ht="27" customHeight="1">
      <c r="B26" s="848"/>
      <c r="C26" s="849"/>
      <c r="D26" s="370">
        <v>20</v>
      </c>
      <c r="E26" s="371" t="s">
        <v>811</v>
      </c>
      <c r="F26" s="372">
        <v>1372.191919999997</v>
      </c>
      <c r="G26" s="372">
        <v>313.61600000000004</v>
      </c>
      <c r="H26" s="372">
        <v>317.40000000000003</v>
      </c>
      <c r="I26" s="373">
        <v>1.0120657109331157</v>
      </c>
      <c r="J26" s="372">
        <v>0</v>
      </c>
      <c r="K26" s="373">
        <v>0</v>
      </c>
      <c r="L26" s="372">
        <v>362.63</v>
      </c>
      <c r="M26" s="373">
        <v>1.0120657109331157</v>
      </c>
      <c r="N26" s="374">
        <v>1372.191919999997</v>
      </c>
      <c r="O26" s="372">
        <v>2.2000000000000002</v>
      </c>
      <c r="P26" s="373">
        <v>7.0149482169277076E-3</v>
      </c>
      <c r="Q26" s="372">
        <v>797.78599999999994</v>
      </c>
      <c r="R26" s="375">
        <v>3.7839999999999918</v>
      </c>
      <c r="S26" s="373">
        <v>1.206571093311563E-2</v>
      </c>
      <c r="T26" s="376" t="s">
        <v>344</v>
      </c>
      <c r="U26" s="376" t="s">
        <v>581</v>
      </c>
      <c r="V26" s="409" t="s">
        <v>818</v>
      </c>
      <c r="W26" s="410" t="s">
        <v>819</v>
      </c>
      <c r="X26" s="377" t="s">
        <v>812</v>
      </c>
      <c r="Y26" s="378" t="s">
        <v>643</v>
      </c>
      <c r="AB26" s="388">
        <v>4</v>
      </c>
      <c r="AC26" s="385" t="s">
        <v>346</v>
      </c>
    </row>
    <row r="27" spans="2:29" ht="29.45" customHeight="1">
      <c r="C27" s="850"/>
      <c r="AB27" s="382"/>
      <c r="AC27" s="385"/>
    </row>
    <row r="28" spans="2:29">
      <c r="C28" s="850"/>
    </row>
    <row r="29" spans="2:29">
      <c r="C29" s="850"/>
    </row>
    <row r="30" spans="2:29">
      <c r="C30" s="850"/>
    </row>
    <row r="31" spans="2:29">
      <c r="C31" s="850"/>
    </row>
    <row r="32" spans="2:29">
      <c r="C32" s="850"/>
    </row>
    <row r="33" spans="3:3">
      <c r="C33" s="850"/>
    </row>
    <row r="34" spans="3:3">
      <c r="C34" s="850"/>
    </row>
    <row r="35" spans="3:3">
      <c r="C35" s="850"/>
    </row>
    <row r="36" spans="3:3">
      <c r="C36" s="850"/>
    </row>
    <row r="67" ht="14.1" customHeight="1"/>
    <row r="77" ht="14.1" customHeight="1"/>
    <row r="87" ht="14.1" customHeight="1"/>
    <row r="112" spans="26:26">
      <c r="Z112" s="389" t="s">
        <v>623</v>
      </c>
    </row>
    <row r="113" spans="26:26">
      <c r="Z113" s="382" t="s">
        <v>624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70"/>
  <sheetViews>
    <sheetView zoomScale="70" zoomScaleNormal="70" workbookViewId="0">
      <selection activeCell="M24" sqref="M24"/>
    </sheetView>
  </sheetViews>
  <sheetFormatPr defaultColWidth="8.28515625" defaultRowHeight="15"/>
  <cols>
    <col min="1" max="1" width="18.42578125" style="390" customWidth="1"/>
    <col min="2" max="2" width="21.140625" style="390" bestFit="1" customWidth="1"/>
    <col min="3" max="6" width="14.28515625" style="390" customWidth="1"/>
    <col min="7" max="10" width="18.42578125" style="390" customWidth="1"/>
    <col min="11" max="11" width="17.140625" style="390" bestFit="1" customWidth="1"/>
    <col min="12" max="12" width="16" style="390" customWidth="1"/>
    <col min="13" max="13" width="23.28515625" style="390" bestFit="1" customWidth="1"/>
    <col min="14" max="15" width="13.28515625" style="390" bestFit="1" customWidth="1"/>
    <col min="16" max="16" width="8.28515625" style="390"/>
    <col min="17" max="17" width="12.85546875" style="390" bestFit="1" customWidth="1"/>
    <col min="18" max="16384" width="8.28515625" style="390"/>
  </cols>
  <sheetData>
    <row r="1" spans="1:18" ht="27" customHeight="1">
      <c r="A1" s="875" t="s">
        <v>646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</row>
    <row r="2" spans="1:18" ht="16.5" customHeight="1">
      <c r="A2" s="876" t="s">
        <v>647</v>
      </c>
      <c r="B2" s="876" t="s">
        <v>648</v>
      </c>
      <c r="C2" s="876" t="s">
        <v>649</v>
      </c>
      <c r="D2" s="876" t="s">
        <v>650</v>
      </c>
      <c r="E2" s="876" t="s">
        <v>651</v>
      </c>
      <c r="F2" s="876" t="s">
        <v>652</v>
      </c>
      <c r="G2" s="876" t="s">
        <v>653</v>
      </c>
      <c r="H2" s="876"/>
      <c r="I2" s="876" t="s">
        <v>654</v>
      </c>
      <c r="J2" s="876"/>
      <c r="K2" s="876" t="s">
        <v>655</v>
      </c>
      <c r="L2" s="876"/>
      <c r="M2" s="877" t="s">
        <v>656</v>
      </c>
      <c r="N2" s="877"/>
      <c r="O2" s="877"/>
    </row>
    <row r="3" spans="1:18" ht="37.5" customHeight="1">
      <c r="A3" s="876"/>
      <c r="B3" s="876"/>
      <c r="C3" s="876"/>
      <c r="D3" s="876"/>
      <c r="E3" s="876"/>
      <c r="F3" s="876"/>
      <c r="G3" s="495" t="s">
        <v>657</v>
      </c>
      <c r="H3" s="495" t="s">
        <v>658</v>
      </c>
      <c r="I3" s="495" t="s">
        <v>657</v>
      </c>
      <c r="J3" s="495" t="s">
        <v>658</v>
      </c>
      <c r="K3" s="495" t="s">
        <v>659</v>
      </c>
      <c r="L3" s="495" t="s">
        <v>660</v>
      </c>
      <c r="M3" s="429" t="s">
        <v>661</v>
      </c>
      <c r="N3" s="391" t="s">
        <v>662</v>
      </c>
      <c r="O3" s="391" t="s">
        <v>663</v>
      </c>
    </row>
    <row r="4" spans="1:18" ht="18.75">
      <c r="A4" s="459">
        <v>46113</v>
      </c>
      <c r="B4" s="411">
        <v>7706722</v>
      </c>
      <c r="C4" s="411">
        <v>18834</v>
      </c>
      <c r="D4" s="436">
        <f t="shared" ref="D4:D37" si="0">C4/B4</f>
        <v>2.4438405848816137E-3</v>
      </c>
      <c r="E4" s="412">
        <v>13226.808161899937</v>
      </c>
      <c r="F4" s="395">
        <f t="shared" ref="F4:F37" si="1">E4/B4</f>
        <v>1.7162690131939282E-3</v>
      </c>
      <c r="G4" s="411">
        <v>1749.3900000000003</v>
      </c>
      <c r="H4" s="396">
        <f t="shared" ref="H4:H37" si="2">G4/C4</f>
        <v>9.2884676648614231E-2</v>
      </c>
      <c r="I4" s="397">
        <v>1574.7586099999955</v>
      </c>
      <c r="J4" s="396">
        <f t="shared" ref="J4:J12" si="3">I4/E4</f>
        <v>0.11905809706502862</v>
      </c>
      <c r="K4" s="413">
        <v>3245.5180000000005</v>
      </c>
      <c r="L4" s="414">
        <f t="shared" ref="L4:L37" si="4">K4/C4</f>
        <v>0.17232228947647873</v>
      </c>
      <c r="M4" s="497">
        <f>SUM(B4:B9)</f>
        <v>44423805</v>
      </c>
      <c r="N4" s="498">
        <f>SUM(C4:C9)</f>
        <v>108448</v>
      </c>
      <c r="O4" s="498">
        <f>SUM(E4:E9)</f>
        <v>80207.92985613097</v>
      </c>
    </row>
    <row r="5" spans="1:18" ht="18.75">
      <c r="A5" s="459">
        <f>A4+1</f>
        <v>46114</v>
      </c>
      <c r="B5" s="411">
        <v>7008581</v>
      </c>
      <c r="C5" s="411">
        <v>16969</v>
      </c>
      <c r="D5" s="436">
        <f t="shared" si="0"/>
        <v>2.4211748426678668E-3</v>
      </c>
      <c r="E5" s="412">
        <v>14120.839738265822</v>
      </c>
      <c r="F5" s="395">
        <f t="shared" si="1"/>
        <v>2.0147929713968953E-3</v>
      </c>
      <c r="G5" s="411">
        <v>1353.3689999999999</v>
      </c>
      <c r="H5" s="396">
        <f t="shared" si="2"/>
        <v>7.9755377453002527E-2</v>
      </c>
      <c r="I5" s="397">
        <v>1551.2935699999998</v>
      </c>
      <c r="J5" s="396">
        <f t="shared" si="3"/>
        <v>0.10985845025888764</v>
      </c>
      <c r="K5" s="413">
        <v>3249.6240000000007</v>
      </c>
      <c r="L5" s="414">
        <f t="shared" si="4"/>
        <v>0.19150356532500445</v>
      </c>
      <c r="M5" s="497"/>
      <c r="N5" s="498"/>
      <c r="O5" s="498"/>
    </row>
    <row r="6" spans="1:18" ht="18.75">
      <c r="A6" s="459">
        <f t="shared" ref="A6:A37" si="5">A5+1</f>
        <v>46115</v>
      </c>
      <c r="B6" s="411">
        <v>6828155</v>
      </c>
      <c r="C6" s="411">
        <v>16662</v>
      </c>
      <c r="D6" s="436">
        <f t="shared" si="0"/>
        <v>2.4401906517939327E-3</v>
      </c>
      <c r="E6" s="412">
        <v>13454.166739179895</v>
      </c>
      <c r="F6" s="395">
        <f t="shared" si="1"/>
        <v>1.9703956250524328E-3</v>
      </c>
      <c r="G6" s="411">
        <v>1316</v>
      </c>
      <c r="H6" s="396">
        <f t="shared" si="2"/>
        <v>7.8982114992197816E-2</v>
      </c>
      <c r="I6" s="397">
        <v>1565</v>
      </c>
      <c r="J6" s="396">
        <f t="shared" si="3"/>
        <v>0.11632084173912917</v>
      </c>
      <c r="K6" s="413">
        <v>3487</v>
      </c>
      <c r="L6" s="414">
        <f t="shared" si="4"/>
        <v>0.20927859800744208</v>
      </c>
      <c r="M6" s="497"/>
      <c r="N6" s="498"/>
      <c r="O6" s="498"/>
    </row>
    <row r="7" spans="1:18" ht="18.75">
      <c r="A7" s="459">
        <f t="shared" si="5"/>
        <v>46116</v>
      </c>
      <c r="B7" s="411">
        <v>6946481</v>
      </c>
      <c r="C7" s="411">
        <v>17073</v>
      </c>
      <c r="D7" s="436">
        <f t="shared" si="0"/>
        <v>2.4577912183161516E-3</v>
      </c>
      <c r="E7" s="412">
        <v>12011.701619029729</v>
      </c>
      <c r="F7" s="395">
        <f t="shared" si="1"/>
        <v>1.7291779275045492E-3</v>
      </c>
      <c r="G7" s="411">
        <v>1418</v>
      </c>
      <c r="H7" s="396">
        <f t="shared" si="2"/>
        <v>8.305511626544837E-2</v>
      </c>
      <c r="I7" s="397">
        <v>1554</v>
      </c>
      <c r="J7" s="396">
        <f t="shared" si="3"/>
        <v>0.12937384304802002</v>
      </c>
      <c r="K7" s="413">
        <v>2696</v>
      </c>
      <c r="L7" s="414">
        <f t="shared" si="4"/>
        <v>0.15791015053007673</v>
      </c>
      <c r="M7" s="497"/>
      <c r="N7" s="498"/>
      <c r="O7" s="498"/>
    </row>
    <row r="8" spans="1:18" ht="18.75">
      <c r="A8" s="459">
        <f t="shared" si="5"/>
        <v>46117</v>
      </c>
      <c r="B8" s="411">
        <v>7261197</v>
      </c>
      <c r="C8" s="411">
        <v>17701</v>
      </c>
      <c r="D8" s="436">
        <f t="shared" si="0"/>
        <v>2.4377523430365545E-3</v>
      </c>
      <c r="E8" s="412">
        <v>12515.079403818056</v>
      </c>
      <c r="F8" s="395">
        <f t="shared" si="1"/>
        <v>1.7235559651966549E-3</v>
      </c>
      <c r="G8" s="411">
        <v>1386</v>
      </c>
      <c r="H8" s="396">
        <f t="shared" si="2"/>
        <v>7.8300660979605669E-2</v>
      </c>
      <c r="I8" s="397">
        <v>1530</v>
      </c>
      <c r="J8" s="396">
        <f t="shared" si="3"/>
        <v>0.1222525203901809</v>
      </c>
      <c r="K8" s="413">
        <v>2531</v>
      </c>
      <c r="L8" s="414">
        <f t="shared" si="4"/>
        <v>0.14298627196203603</v>
      </c>
      <c r="M8" s="497"/>
      <c r="N8" s="498"/>
      <c r="O8" s="498"/>
      <c r="P8" s="401"/>
      <c r="Q8" s="401"/>
      <c r="R8" s="401"/>
    </row>
    <row r="9" spans="1:18" ht="18.75">
      <c r="A9" s="459">
        <f t="shared" si="5"/>
        <v>46118</v>
      </c>
      <c r="B9" s="411">
        <v>8672669</v>
      </c>
      <c r="C9" s="411">
        <v>21209</v>
      </c>
      <c r="D9" s="436">
        <f t="shared" si="0"/>
        <v>2.4454986117883664E-3</v>
      </c>
      <c r="E9" s="412">
        <v>14879.334193937533</v>
      </c>
      <c r="F9" s="395">
        <f t="shared" si="1"/>
        <v>1.7156580279885619E-3</v>
      </c>
      <c r="G9" s="411">
        <v>1317</v>
      </c>
      <c r="H9" s="396">
        <f t="shared" si="2"/>
        <v>6.209627988118252E-2</v>
      </c>
      <c r="I9" s="397">
        <v>1447</v>
      </c>
      <c r="J9" s="396">
        <f t="shared" si="3"/>
        <v>9.7248975064325713E-2</v>
      </c>
      <c r="K9" s="413">
        <v>2524</v>
      </c>
      <c r="L9" s="414">
        <f t="shared" si="4"/>
        <v>0.11900608232354189</v>
      </c>
      <c r="M9" s="497"/>
      <c r="N9" s="498"/>
      <c r="O9" s="498"/>
    </row>
    <row r="10" spans="1:18" ht="18.75">
      <c r="A10" s="400">
        <f t="shared" si="5"/>
        <v>46119</v>
      </c>
      <c r="B10" s="411">
        <v>8371655</v>
      </c>
      <c r="C10" s="411">
        <v>20321.036000000011</v>
      </c>
      <c r="D10" s="436">
        <f t="shared" si="0"/>
        <v>2.4273618537792121E-3</v>
      </c>
      <c r="E10" s="412">
        <v>13221.651357475468</v>
      </c>
      <c r="F10" s="395">
        <f t="shared" si="1"/>
        <v>1.5793354309841326E-3</v>
      </c>
      <c r="G10" s="411">
        <v>1429</v>
      </c>
      <c r="H10" s="396">
        <f t="shared" si="2"/>
        <v>7.0321217874915395E-2</v>
      </c>
      <c r="I10" s="397">
        <v>1373</v>
      </c>
      <c r="J10" s="396">
        <f t="shared" si="3"/>
        <v>0.10384481959764515</v>
      </c>
      <c r="K10" s="413">
        <v>2990</v>
      </c>
      <c r="L10" s="414">
        <f t="shared" si="4"/>
        <v>0.14713816756192935</v>
      </c>
      <c r="M10" s="497">
        <f>SUM(B10:B16)</f>
        <v>58053442</v>
      </c>
      <c r="N10" s="498">
        <f>SUM(C10:C16)</f>
        <v>141120.03600000002</v>
      </c>
      <c r="O10" s="498">
        <f>SUM(E10:E16)</f>
        <v>98704.34776622786</v>
      </c>
      <c r="P10" s="402"/>
      <c r="Q10" s="402"/>
    </row>
    <row r="11" spans="1:18" ht="18.75">
      <c r="A11" s="400">
        <f t="shared" si="5"/>
        <v>46120</v>
      </c>
      <c r="B11" s="411">
        <v>8123789</v>
      </c>
      <c r="C11" s="411">
        <v>19662</v>
      </c>
      <c r="D11" s="436">
        <f t="shared" si="0"/>
        <v>2.4202991978250544E-3</v>
      </c>
      <c r="E11" s="412">
        <v>13538.044121184537</v>
      </c>
      <c r="F11" s="395">
        <f t="shared" si="1"/>
        <v>1.666469195739148E-3</v>
      </c>
      <c r="G11" s="411">
        <v>1332</v>
      </c>
      <c r="H11" s="396">
        <f t="shared" si="2"/>
        <v>6.7744888617638083E-2</v>
      </c>
      <c r="I11" s="397">
        <v>1310</v>
      </c>
      <c r="J11" s="396">
        <f t="shared" si="3"/>
        <v>9.6764347070644574E-2</v>
      </c>
      <c r="K11" s="413">
        <v>3098</v>
      </c>
      <c r="L11" s="414">
        <f t="shared" si="4"/>
        <v>0.1575628115145967</v>
      </c>
      <c r="M11" s="497"/>
      <c r="N11" s="498"/>
      <c r="O11" s="498"/>
    </row>
    <row r="12" spans="1:18" ht="18.75">
      <c r="A12" s="400">
        <f t="shared" si="5"/>
        <v>46121</v>
      </c>
      <c r="B12" s="411">
        <v>7630691</v>
      </c>
      <c r="C12" s="411">
        <v>18523</v>
      </c>
      <c r="D12" s="436">
        <f t="shared" si="0"/>
        <v>2.4274341602877119E-3</v>
      </c>
      <c r="E12" s="412">
        <v>14167.710263381849</v>
      </c>
      <c r="F12" s="395">
        <f t="shared" si="1"/>
        <v>1.8566746135286894E-3</v>
      </c>
      <c r="G12" s="411">
        <v>1522</v>
      </c>
      <c r="H12" s="396">
        <f t="shared" si="2"/>
        <v>8.2168115316093499E-2</v>
      </c>
      <c r="I12" s="397">
        <v>1544</v>
      </c>
      <c r="J12" s="396">
        <f t="shared" si="3"/>
        <v>0.10898020719626472</v>
      </c>
      <c r="K12" s="413">
        <v>3585</v>
      </c>
      <c r="L12" s="414">
        <f t="shared" si="4"/>
        <v>0.19354316255466178</v>
      </c>
      <c r="M12" s="497"/>
      <c r="N12" s="498"/>
      <c r="O12" s="498"/>
    </row>
    <row r="13" spans="1:18" ht="18.75">
      <c r="A13" s="400">
        <f t="shared" si="5"/>
        <v>46122</v>
      </c>
      <c r="B13" s="411">
        <v>7424675</v>
      </c>
      <c r="C13" s="411">
        <v>18035</v>
      </c>
      <c r="D13" s="436">
        <f t="shared" si="0"/>
        <v>2.4290625515594961E-3</v>
      </c>
      <c r="E13" s="412">
        <v>13305.905397522471</v>
      </c>
      <c r="F13" s="395">
        <f t="shared" si="1"/>
        <v>1.7921195739237705E-3</v>
      </c>
      <c r="G13" s="411">
        <v>1612</v>
      </c>
      <c r="H13" s="396">
        <f t="shared" si="2"/>
        <v>8.9381757693373989E-2</v>
      </c>
      <c r="I13" s="397">
        <v>1468</v>
      </c>
      <c r="J13" s="396">
        <v>0.10802855250570315</v>
      </c>
      <c r="K13" s="413">
        <v>3219</v>
      </c>
      <c r="L13" s="414">
        <f t="shared" si="4"/>
        <v>0.17848627668422512</v>
      </c>
      <c r="M13" s="497"/>
      <c r="N13" s="498"/>
      <c r="O13" s="498"/>
    </row>
    <row r="14" spans="1:18" ht="18.75">
      <c r="A14" s="400">
        <f t="shared" si="5"/>
        <v>46123</v>
      </c>
      <c r="B14" s="411">
        <v>7969209</v>
      </c>
      <c r="C14" s="411">
        <v>19513</v>
      </c>
      <c r="D14" s="436">
        <f t="shared" si="0"/>
        <v>2.4485491596468356E-3</v>
      </c>
      <c r="E14" s="412">
        <v>13307.965212654541</v>
      </c>
      <c r="F14" s="395">
        <f t="shared" si="1"/>
        <v>1.6699229763775226E-3</v>
      </c>
      <c r="G14" s="411">
        <v>1543</v>
      </c>
      <c r="H14" s="396">
        <f t="shared" si="2"/>
        <v>7.9075488136114383E-2</v>
      </c>
      <c r="I14" s="397">
        <v>1354</v>
      </c>
      <c r="J14" s="396">
        <v>9.5655245496291064E-2</v>
      </c>
      <c r="K14" s="413">
        <v>3078</v>
      </c>
      <c r="L14" s="414">
        <f t="shared" si="4"/>
        <v>0.15774099318403115</v>
      </c>
      <c r="M14" s="497"/>
      <c r="N14" s="498"/>
      <c r="O14" s="498"/>
    </row>
    <row r="15" spans="1:18" ht="18.75">
      <c r="A15" s="400">
        <f t="shared" si="5"/>
        <v>46124</v>
      </c>
      <c r="B15" s="411">
        <v>9249267</v>
      </c>
      <c r="C15" s="411">
        <v>22452</v>
      </c>
      <c r="D15" s="436">
        <f t="shared" si="0"/>
        <v>2.4274356011130395E-3</v>
      </c>
      <c r="E15" s="412">
        <v>16128.570969212458</v>
      </c>
      <c r="F15" s="395">
        <f t="shared" si="1"/>
        <v>1.7437674757591556E-3</v>
      </c>
      <c r="G15" s="411">
        <v>1352</v>
      </c>
      <c r="H15" s="396">
        <f t="shared" si="2"/>
        <v>6.0217352574380899E-2</v>
      </c>
      <c r="I15" s="397">
        <v>1439</v>
      </c>
      <c r="J15" s="396">
        <v>0.11056473300038418</v>
      </c>
      <c r="K15" s="413">
        <v>3363</v>
      </c>
      <c r="L15" s="414">
        <f t="shared" si="4"/>
        <v>0.14978621058257616</v>
      </c>
      <c r="M15" s="497"/>
      <c r="N15" s="498"/>
      <c r="O15" s="498"/>
    </row>
    <row r="16" spans="1:18" ht="18.75">
      <c r="A16" s="400">
        <f t="shared" si="5"/>
        <v>46125</v>
      </c>
      <c r="B16" s="411">
        <v>9284156</v>
      </c>
      <c r="C16" s="411">
        <v>22614</v>
      </c>
      <c r="D16" s="436">
        <f t="shared" si="0"/>
        <v>2.4357626045921677E-3</v>
      </c>
      <c r="E16" s="412">
        <v>15034.500444796533</v>
      </c>
      <c r="F16" s="395">
        <f t="shared" si="1"/>
        <v>1.6193718034031885E-3</v>
      </c>
      <c r="G16" s="411">
        <v>1499</v>
      </c>
      <c r="H16" s="396">
        <f t="shared" si="2"/>
        <v>6.6286371274431766E-2</v>
      </c>
      <c r="I16" s="397">
        <v>1398</v>
      </c>
      <c r="J16" s="396">
        <v>0.10546167773083887</v>
      </c>
      <c r="K16" s="413">
        <v>3152</v>
      </c>
      <c r="L16" s="414">
        <f t="shared" si="4"/>
        <v>0.13938268329353498</v>
      </c>
      <c r="M16" s="497"/>
      <c r="N16" s="498"/>
      <c r="O16" s="498"/>
    </row>
    <row r="17" spans="1:15" ht="18.75">
      <c r="A17" s="459">
        <f t="shared" si="5"/>
        <v>46126</v>
      </c>
      <c r="B17" s="411"/>
      <c r="C17" s="411"/>
      <c r="D17" s="436" t="e">
        <f t="shared" si="0"/>
        <v>#DIV/0!</v>
      </c>
      <c r="E17" s="412"/>
      <c r="F17" s="395" t="e">
        <f t="shared" si="1"/>
        <v>#DIV/0!</v>
      </c>
      <c r="G17" s="411"/>
      <c r="H17" s="396" t="e">
        <f t="shared" si="2"/>
        <v>#DIV/0!</v>
      </c>
      <c r="I17" s="397"/>
      <c r="J17" s="396">
        <v>0.10872850255450817</v>
      </c>
      <c r="K17" s="413"/>
      <c r="L17" s="414" t="e">
        <f t="shared" si="4"/>
        <v>#DIV/0!</v>
      </c>
      <c r="M17" s="497">
        <f>SUM(B17:B23)</f>
        <v>0</v>
      </c>
      <c r="N17" s="498">
        <f>SUM(C17:C23)</f>
        <v>0</v>
      </c>
      <c r="O17" s="498">
        <f>SUM(E17:E23)</f>
        <v>0</v>
      </c>
    </row>
    <row r="18" spans="1:15" ht="18.75">
      <c r="A18" s="459">
        <f t="shared" si="5"/>
        <v>46127</v>
      </c>
      <c r="B18" s="411"/>
      <c r="C18" s="411"/>
      <c r="D18" s="436" t="e">
        <f t="shared" si="0"/>
        <v>#DIV/0!</v>
      </c>
      <c r="E18" s="412"/>
      <c r="F18" s="395" t="e">
        <f t="shared" si="1"/>
        <v>#DIV/0!</v>
      </c>
      <c r="G18" s="411"/>
      <c r="H18" s="396" t="e">
        <f t="shared" si="2"/>
        <v>#DIV/0!</v>
      </c>
      <c r="I18" s="397"/>
      <c r="J18" s="396">
        <v>0.10872850255450817</v>
      </c>
      <c r="K18" s="413"/>
      <c r="L18" s="414" t="e">
        <f t="shared" si="4"/>
        <v>#DIV/0!</v>
      </c>
      <c r="M18" s="497"/>
      <c r="N18" s="498"/>
      <c r="O18" s="498"/>
    </row>
    <row r="19" spans="1:15" ht="18.75">
      <c r="A19" s="459">
        <f t="shared" si="5"/>
        <v>46128</v>
      </c>
      <c r="B19" s="411"/>
      <c r="C19" s="411"/>
      <c r="D19" s="436" t="e">
        <f t="shared" si="0"/>
        <v>#DIV/0!</v>
      </c>
      <c r="E19" s="412"/>
      <c r="F19" s="395" t="e">
        <f t="shared" si="1"/>
        <v>#DIV/0!</v>
      </c>
      <c r="G19" s="411"/>
      <c r="H19" s="396" t="e">
        <f t="shared" si="2"/>
        <v>#DIV/0!</v>
      </c>
      <c r="I19" s="397"/>
      <c r="J19" s="396">
        <v>0.10872850255450817</v>
      </c>
      <c r="K19" s="413"/>
      <c r="L19" s="414" t="e">
        <f t="shared" si="4"/>
        <v>#DIV/0!</v>
      </c>
      <c r="M19" s="497"/>
      <c r="N19" s="498"/>
      <c r="O19" s="498"/>
    </row>
    <row r="20" spans="1:15" ht="18.75">
      <c r="A20" s="459">
        <f t="shared" si="5"/>
        <v>46129</v>
      </c>
      <c r="B20" s="411"/>
      <c r="C20" s="411"/>
      <c r="D20" s="436" t="e">
        <f t="shared" si="0"/>
        <v>#DIV/0!</v>
      </c>
      <c r="E20" s="412"/>
      <c r="F20" s="395" t="e">
        <f t="shared" si="1"/>
        <v>#DIV/0!</v>
      </c>
      <c r="G20" s="411"/>
      <c r="H20" s="396" t="e">
        <f t="shared" si="2"/>
        <v>#DIV/0!</v>
      </c>
      <c r="I20" s="397"/>
      <c r="J20" s="396">
        <v>0.10872850255450817</v>
      </c>
      <c r="K20" s="413"/>
      <c r="L20" s="414" t="e">
        <f t="shared" si="4"/>
        <v>#DIV/0!</v>
      </c>
      <c r="M20" s="497"/>
      <c r="N20" s="498"/>
      <c r="O20" s="498"/>
    </row>
    <row r="21" spans="1:15" ht="18.75">
      <c r="A21" s="459">
        <f t="shared" si="5"/>
        <v>46130</v>
      </c>
      <c r="B21" s="411"/>
      <c r="C21" s="411"/>
      <c r="D21" s="436" t="e">
        <f t="shared" si="0"/>
        <v>#DIV/0!</v>
      </c>
      <c r="E21" s="412"/>
      <c r="F21" s="395" t="e">
        <f t="shared" si="1"/>
        <v>#DIV/0!</v>
      </c>
      <c r="G21" s="411"/>
      <c r="H21" s="396" t="e">
        <f t="shared" si="2"/>
        <v>#DIV/0!</v>
      </c>
      <c r="I21" s="397"/>
      <c r="J21" s="396">
        <v>0.10872850255450817</v>
      </c>
      <c r="K21" s="413"/>
      <c r="L21" s="414" t="e">
        <f t="shared" si="4"/>
        <v>#DIV/0!</v>
      </c>
      <c r="M21" s="497"/>
      <c r="N21" s="498"/>
      <c r="O21" s="498"/>
    </row>
    <row r="22" spans="1:15" ht="18.75">
      <c r="A22" s="459">
        <f t="shared" si="5"/>
        <v>46131</v>
      </c>
      <c r="B22" s="411"/>
      <c r="C22" s="411"/>
      <c r="D22" s="436" t="e">
        <f t="shared" si="0"/>
        <v>#DIV/0!</v>
      </c>
      <c r="E22" s="412"/>
      <c r="F22" s="395" t="e">
        <f t="shared" si="1"/>
        <v>#DIV/0!</v>
      </c>
      <c r="G22" s="411"/>
      <c r="H22" s="396" t="e">
        <f t="shared" si="2"/>
        <v>#DIV/0!</v>
      </c>
      <c r="I22" s="397"/>
      <c r="J22" s="396">
        <v>0.10872850255450817</v>
      </c>
      <c r="K22" s="413"/>
      <c r="L22" s="414" t="e">
        <f t="shared" si="4"/>
        <v>#DIV/0!</v>
      </c>
      <c r="M22" s="497"/>
      <c r="N22" s="498"/>
      <c r="O22" s="498"/>
    </row>
    <row r="23" spans="1:15" ht="18.75">
      <c r="A23" s="459">
        <f t="shared" si="5"/>
        <v>46132</v>
      </c>
      <c r="B23" s="411"/>
      <c r="C23" s="411"/>
      <c r="D23" s="436" t="e">
        <f t="shared" si="0"/>
        <v>#DIV/0!</v>
      </c>
      <c r="E23" s="412"/>
      <c r="F23" s="395" t="e">
        <f t="shared" si="1"/>
        <v>#DIV/0!</v>
      </c>
      <c r="G23" s="411"/>
      <c r="H23" s="396" t="e">
        <f t="shared" si="2"/>
        <v>#DIV/0!</v>
      </c>
      <c r="I23" s="397"/>
      <c r="J23" s="396">
        <v>0.10872850255450817</v>
      </c>
      <c r="K23" s="413"/>
      <c r="L23" s="414" t="e">
        <f t="shared" si="4"/>
        <v>#DIV/0!</v>
      </c>
      <c r="M23" s="497"/>
      <c r="N23" s="498"/>
      <c r="O23" s="498"/>
    </row>
    <row r="24" spans="1:15" ht="18.75">
      <c r="A24" s="400">
        <f t="shared" si="5"/>
        <v>46133</v>
      </c>
      <c r="B24" s="411"/>
      <c r="C24" s="411"/>
      <c r="D24" s="436" t="e">
        <f t="shared" si="0"/>
        <v>#DIV/0!</v>
      </c>
      <c r="E24" s="412"/>
      <c r="F24" s="395" t="e">
        <f t="shared" si="1"/>
        <v>#DIV/0!</v>
      </c>
      <c r="G24" s="411"/>
      <c r="H24" s="396" t="e">
        <f t="shared" si="2"/>
        <v>#DIV/0!</v>
      </c>
      <c r="I24" s="397"/>
      <c r="J24" s="396">
        <v>0.10872850255450817</v>
      </c>
      <c r="K24" s="413"/>
      <c r="L24" s="414" t="e">
        <f t="shared" si="4"/>
        <v>#DIV/0!</v>
      </c>
      <c r="M24" s="497">
        <f>SUM(B24:B30)</f>
        <v>0</v>
      </c>
      <c r="N24" s="498">
        <f>SUM(C24:C30)</f>
        <v>0</v>
      </c>
      <c r="O24" s="498">
        <f>SUM(E24:E30)</f>
        <v>0</v>
      </c>
    </row>
    <row r="25" spans="1:15" ht="18.75">
      <c r="A25" s="400">
        <f t="shared" si="5"/>
        <v>46134</v>
      </c>
      <c r="B25" s="411"/>
      <c r="C25" s="411"/>
      <c r="D25" s="436" t="e">
        <f t="shared" si="0"/>
        <v>#DIV/0!</v>
      </c>
      <c r="E25" s="412"/>
      <c r="F25" s="395" t="e">
        <f t="shared" si="1"/>
        <v>#DIV/0!</v>
      </c>
      <c r="G25" s="411"/>
      <c r="H25" s="396" t="e">
        <f t="shared" si="2"/>
        <v>#DIV/0!</v>
      </c>
      <c r="I25" s="397"/>
      <c r="J25" s="396">
        <v>0.10872850255450817</v>
      </c>
      <c r="K25" s="413"/>
      <c r="L25" s="414" t="e">
        <f t="shared" si="4"/>
        <v>#DIV/0!</v>
      </c>
      <c r="M25" s="497"/>
      <c r="N25" s="498"/>
      <c r="O25" s="498"/>
    </row>
    <row r="26" spans="1:15" ht="18.75">
      <c r="A26" s="400">
        <f t="shared" si="5"/>
        <v>46135</v>
      </c>
      <c r="B26" s="411"/>
      <c r="C26" s="411"/>
      <c r="D26" s="436" t="e">
        <f t="shared" si="0"/>
        <v>#DIV/0!</v>
      </c>
      <c r="E26" s="412"/>
      <c r="F26" s="395" t="e">
        <f t="shared" si="1"/>
        <v>#DIV/0!</v>
      </c>
      <c r="G26" s="411"/>
      <c r="H26" s="396" t="e">
        <f t="shared" si="2"/>
        <v>#DIV/0!</v>
      </c>
      <c r="I26" s="397"/>
      <c r="J26" s="396">
        <v>0.10872850255450817</v>
      </c>
      <c r="K26" s="413"/>
      <c r="L26" s="414" t="e">
        <f t="shared" si="4"/>
        <v>#DIV/0!</v>
      </c>
      <c r="M26" s="497"/>
      <c r="N26" s="498"/>
      <c r="O26" s="498"/>
    </row>
    <row r="27" spans="1:15" ht="18.75">
      <c r="A27" s="400">
        <f t="shared" si="5"/>
        <v>46136</v>
      </c>
      <c r="B27" s="411"/>
      <c r="C27" s="411"/>
      <c r="D27" s="436" t="e">
        <f t="shared" si="0"/>
        <v>#DIV/0!</v>
      </c>
      <c r="E27" s="412"/>
      <c r="F27" s="395" t="e">
        <f t="shared" si="1"/>
        <v>#DIV/0!</v>
      </c>
      <c r="G27" s="411"/>
      <c r="H27" s="396" t="e">
        <f t="shared" si="2"/>
        <v>#DIV/0!</v>
      </c>
      <c r="I27" s="397"/>
      <c r="J27" s="396">
        <v>0.10872850255450817</v>
      </c>
      <c r="K27" s="413"/>
      <c r="L27" s="414" t="e">
        <f t="shared" si="4"/>
        <v>#DIV/0!</v>
      </c>
      <c r="M27" s="497"/>
      <c r="N27" s="498"/>
      <c r="O27" s="498"/>
    </row>
    <row r="28" spans="1:15" ht="18.75">
      <c r="A28" s="400">
        <f t="shared" si="5"/>
        <v>46137</v>
      </c>
      <c r="B28" s="411"/>
      <c r="C28" s="411"/>
      <c r="D28" s="436" t="e">
        <f t="shared" si="0"/>
        <v>#DIV/0!</v>
      </c>
      <c r="E28" s="412"/>
      <c r="F28" s="395" t="e">
        <f t="shared" si="1"/>
        <v>#DIV/0!</v>
      </c>
      <c r="G28" s="411"/>
      <c r="H28" s="396" t="e">
        <f t="shared" si="2"/>
        <v>#DIV/0!</v>
      </c>
      <c r="I28" s="397"/>
      <c r="J28" s="396">
        <v>0.10872850255450817</v>
      </c>
      <c r="K28" s="413"/>
      <c r="L28" s="414" t="e">
        <f t="shared" si="4"/>
        <v>#DIV/0!</v>
      </c>
      <c r="M28" s="497"/>
      <c r="N28" s="498"/>
      <c r="O28" s="498"/>
    </row>
    <row r="29" spans="1:15" ht="18.75">
      <c r="A29" s="400">
        <f t="shared" si="5"/>
        <v>46138</v>
      </c>
      <c r="B29" s="411"/>
      <c r="C29" s="411"/>
      <c r="D29" s="436" t="e">
        <f t="shared" si="0"/>
        <v>#DIV/0!</v>
      </c>
      <c r="E29" s="412"/>
      <c r="F29" s="395" t="e">
        <f t="shared" si="1"/>
        <v>#DIV/0!</v>
      </c>
      <c r="G29" s="411"/>
      <c r="H29" s="396" t="e">
        <f t="shared" si="2"/>
        <v>#DIV/0!</v>
      </c>
      <c r="I29" s="397"/>
      <c r="J29" s="396">
        <v>0.10872850255450817</v>
      </c>
      <c r="K29" s="413"/>
      <c r="L29" s="414" t="e">
        <f t="shared" si="4"/>
        <v>#DIV/0!</v>
      </c>
      <c r="M29" s="497"/>
      <c r="N29" s="498"/>
      <c r="O29" s="498"/>
    </row>
    <row r="30" spans="1:15" ht="18.75">
      <c r="A30" s="400">
        <f t="shared" si="5"/>
        <v>46139</v>
      </c>
      <c r="B30" s="411"/>
      <c r="C30" s="411"/>
      <c r="D30" s="436" t="e">
        <f t="shared" si="0"/>
        <v>#DIV/0!</v>
      </c>
      <c r="E30" s="412"/>
      <c r="F30" s="395" t="e">
        <f t="shared" si="1"/>
        <v>#DIV/0!</v>
      </c>
      <c r="G30" s="411"/>
      <c r="H30" s="396" t="e">
        <f t="shared" si="2"/>
        <v>#DIV/0!</v>
      </c>
      <c r="I30" s="397"/>
      <c r="J30" s="396">
        <v>0.10872850255450817</v>
      </c>
      <c r="K30" s="413"/>
      <c r="L30" s="414" t="e">
        <f t="shared" si="4"/>
        <v>#DIV/0!</v>
      </c>
      <c r="M30" s="497"/>
      <c r="N30" s="498"/>
      <c r="O30" s="498"/>
    </row>
    <row r="31" spans="1:15" ht="18.75">
      <c r="A31" s="459">
        <f t="shared" si="5"/>
        <v>46140</v>
      </c>
      <c r="B31" s="411"/>
      <c r="C31" s="411"/>
      <c r="D31" s="436" t="e">
        <f t="shared" si="0"/>
        <v>#DIV/0!</v>
      </c>
      <c r="E31" s="412"/>
      <c r="F31" s="395" t="e">
        <f t="shared" si="1"/>
        <v>#DIV/0!</v>
      </c>
      <c r="G31" s="411"/>
      <c r="H31" s="396" t="e">
        <f t="shared" si="2"/>
        <v>#DIV/0!</v>
      </c>
      <c r="I31" s="397"/>
      <c r="J31" s="396">
        <v>0.10872850255450817</v>
      </c>
      <c r="K31" s="413"/>
      <c r="L31" s="414" t="e">
        <f t="shared" si="4"/>
        <v>#DIV/0!</v>
      </c>
      <c r="M31" s="497">
        <f>SUM(B31:B37)</f>
        <v>0</v>
      </c>
      <c r="N31" s="498">
        <f>SUM(C31:C37)</f>
        <v>0</v>
      </c>
      <c r="O31" s="498">
        <f>SUM(E31:E37)</f>
        <v>0</v>
      </c>
    </row>
    <row r="32" spans="1:15" ht="18.75">
      <c r="A32" s="459">
        <f t="shared" si="5"/>
        <v>46141</v>
      </c>
      <c r="B32" s="411"/>
      <c r="C32" s="411"/>
      <c r="D32" s="436" t="e">
        <f t="shared" si="0"/>
        <v>#DIV/0!</v>
      </c>
      <c r="E32" s="412"/>
      <c r="F32" s="395" t="e">
        <f t="shared" si="1"/>
        <v>#DIV/0!</v>
      </c>
      <c r="G32" s="411"/>
      <c r="H32" s="396" t="e">
        <f t="shared" si="2"/>
        <v>#DIV/0!</v>
      </c>
      <c r="I32" s="397"/>
      <c r="J32" s="396">
        <v>0.10872850255450817</v>
      </c>
      <c r="K32" s="413"/>
      <c r="L32" s="414" t="e">
        <f t="shared" si="4"/>
        <v>#DIV/0!</v>
      </c>
      <c r="M32" s="497"/>
      <c r="N32" s="498"/>
      <c r="O32" s="498"/>
    </row>
    <row r="33" spans="1:15" ht="18.75">
      <c r="A33" s="459">
        <f t="shared" si="5"/>
        <v>46142</v>
      </c>
      <c r="B33" s="411"/>
      <c r="C33" s="411"/>
      <c r="D33" s="436" t="e">
        <f t="shared" si="0"/>
        <v>#DIV/0!</v>
      </c>
      <c r="E33" s="412"/>
      <c r="F33" s="395" t="e">
        <f t="shared" si="1"/>
        <v>#DIV/0!</v>
      </c>
      <c r="G33" s="411"/>
      <c r="H33" s="396" t="e">
        <f t="shared" si="2"/>
        <v>#DIV/0!</v>
      </c>
      <c r="I33" s="397"/>
      <c r="J33" s="396">
        <v>0.10872850255450817</v>
      </c>
      <c r="K33" s="413"/>
      <c r="L33" s="414" t="e">
        <f t="shared" si="4"/>
        <v>#DIV/0!</v>
      </c>
      <c r="M33" s="497"/>
      <c r="N33" s="498"/>
      <c r="O33" s="498"/>
    </row>
    <row r="34" spans="1:15" ht="18.75">
      <c r="A34" s="459">
        <f t="shared" si="5"/>
        <v>46143</v>
      </c>
      <c r="B34" s="411"/>
      <c r="C34" s="411"/>
      <c r="D34" s="436" t="e">
        <f t="shared" si="0"/>
        <v>#DIV/0!</v>
      </c>
      <c r="E34" s="412"/>
      <c r="F34" s="395" t="e">
        <f t="shared" si="1"/>
        <v>#DIV/0!</v>
      </c>
      <c r="G34" s="411"/>
      <c r="H34" s="396" t="e">
        <f t="shared" si="2"/>
        <v>#DIV/0!</v>
      </c>
      <c r="I34" s="397"/>
      <c r="J34" s="396">
        <v>0.10872850255450817</v>
      </c>
      <c r="K34" s="413"/>
      <c r="L34" s="414" t="e">
        <f t="shared" si="4"/>
        <v>#DIV/0!</v>
      </c>
      <c r="M34" s="497"/>
      <c r="N34" s="498"/>
      <c r="O34" s="498"/>
    </row>
    <row r="35" spans="1:15" ht="18.75">
      <c r="A35" s="459">
        <f t="shared" si="5"/>
        <v>46144</v>
      </c>
      <c r="B35" s="411"/>
      <c r="C35" s="411"/>
      <c r="D35" s="436" t="e">
        <f t="shared" si="0"/>
        <v>#DIV/0!</v>
      </c>
      <c r="E35" s="412"/>
      <c r="F35" s="395" t="e">
        <f t="shared" si="1"/>
        <v>#DIV/0!</v>
      </c>
      <c r="G35" s="411"/>
      <c r="H35" s="396" t="e">
        <f t="shared" si="2"/>
        <v>#DIV/0!</v>
      </c>
      <c r="I35" s="397"/>
      <c r="J35" s="396">
        <v>0.10872850255450817</v>
      </c>
      <c r="K35" s="413"/>
      <c r="L35" s="414" t="e">
        <f t="shared" si="4"/>
        <v>#DIV/0!</v>
      </c>
      <c r="M35" s="497"/>
      <c r="N35" s="498"/>
      <c r="O35" s="498"/>
    </row>
    <row r="36" spans="1:15" ht="18.75">
      <c r="A36" s="459">
        <f t="shared" si="5"/>
        <v>46145</v>
      </c>
      <c r="B36" s="411"/>
      <c r="C36" s="411"/>
      <c r="D36" s="436" t="e">
        <f t="shared" si="0"/>
        <v>#DIV/0!</v>
      </c>
      <c r="E36" s="412"/>
      <c r="F36" s="395" t="e">
        <f t="shared" si="1"/>
        <v>#DIV/0!</v>
      </c>
      <c r="G36" s="411"/>
      <c r="H36" s="396" t="e">
        <f t="shared" si="2"/>
        <v>#DIV/0!</v>
      </c>
      <c r="I36" s="397"/>
      <c r="J36" s="396">
        <v>0.10872850255450817</v>
      </c>
      <c r="K36" s="413"/>
      <c r="L36" s="414" t="e">
        <f t="shared" si="4"/>
        <v>#DIV/0!</v>
      </c>
      <c r="M36" s="497"/>
      <c r="N36" s="498"/>
      <c r="O36" s="498"/>
    </row>
    <row r="37" spans="1:15" ht="18.75">
      <c r="A37" s="459">
        <f t="shared" si="5"/>
        <v>46146</v>
      </c>
      <c r="B37" s="411"/>
      <c r="C37" s="411"/>
      <c r="D37" s="436" t="e">
        <f t="shared" si="0"/>
        <v>#DIV/0!</v>
      </c>
      <c r="E37" s="412"/>
      <c r="F37" s="395" t="e">
        <f t="shared" si="1"/>
        <v>#DIV/0!</v>
      </c>
      <c r="G37" s="411"/>
      <c r="H37" s="396" t="e">
        <f t="shared" si="2"/>
        <v>#DIV/0!</v>
      </c>
      <c r="I37" s="397"/>
      <c r="J37" s="396">
        <v>0.10872850255450817</v>
      </c>
      <c r="K37" s="413"/>
      <c r="L37" s="414" t="e">
        <f t="shared" si="4"/>
        <v>#DIV/0!</v>
      </c>
      <c r="M37" s="497"/>
      <c r="N37" s="498"/>
      <c r="O37" s="498"/>
    </row>
    <row r="38" spans="1:15" ht="18.75">
      <c r="A38" s="400"/>
      <c r="B38" s="411"/>
      <c r="C38" s="411"/>
      <c r="D38" s="436"/>
      <c r="E38" s="412"/>
      <c r="F38" s="395"/>
      <c r="G38" s="411"/>
      <c r="H38" s="396"/>
      <c r="I38" s="397"/>
      <c r="J38" s="396"/>
      <c r="K38" s="413"/>
      <c r="L38" s="414"/>
      <c r="M38" s="497"/>
      <c r="N38" s="498"/>
      <c r="O38" s="498"/>
    </row>
    <row r="39" spans="1:15" ht="18.75">
      <c r="A39" s="400"/>
      <c r="B39" s="411"/>
      <c r="C39" s="411"/>
      <c r="D39" s="436"/>
      <c r="E39" s="412"/>
      <c r="F39" s="395"/>
      <c r="G39" s="411"/>
      <c r="H39" s="396"/>
      <c r="I39" s="397"/>
      <c r="J39" s="396"/>
      <c r="K39" s="413"/>
      <c r="L39" s="414"/>
      <c r="M39" s="497"/>
      <c r="N39" s="498"/>
      <c r="O39" s="498"/>
    </row>
    <row r="40" spans="1:15" ht="19.5" thickBot="1">
      <c r="A40" s="400"/>
      <c r="B40" s="437"/>
      <c r="C40" s="437"/>
      <c r="D40" s="438"/>
      <c r="E40" s="439"/>
      <c r="F40" s="433"/>
      <c r="G40" s="437"/>
      <c r="H40" s="434"/>
      <c r="I40" s="435"/>
      <c r="J40" s="434"/>
      <c r="K40" s="440"/>
      <c r="L40" s="441"/>
      <c r="M40" s="497"/>
      <c r="N40" s="498"/>
      <c r="O40" s="498"/>
    </row>
    <row r="41" spans="1:15" ht="18.75">
      <c r="A41" s="400" t="s">
        <v>664</v>
      </c>
      <c r="B41" s="392">
        <f>AVERAGE(B4:B40)</f>
        <v>7882865.153846154</v>
      </c>
      <c r="C41" s="392">
        <f>AVERAGE(C4:C40)</f>
        <v>19197.541230769231</v>
      </c>
      <c r="D41" s="393">
        <f t="shared" ref="D41:D42" si="6">C41/B41</f>
        <v>2.4353507076551343E-3</v>
      </c>
      <c r="E41" s="394">
        <f>AVERAGE(E4:E40)</f>
        <v>13762.482894027602</v>
      </c>
      <c r="F41" s="405">
        <f t="shared" ref="F41" si="7">E41/B41</f>
        <v>1.7458731851213649E-3</v>
      </c>
      <c r="G41" s="392">
        <f>AVERAGE(G4:G40)</f>
        <v>1448.3660769230769</v>
      </c>
      <c r="H41" s="406">
        <f t="shared" ref="H41:H42" si="8">G41/C41</f>
        <v>7.5445394778039604E-2</v>
      </c>
      <c r="I41" s="432">
        <f>AVERAGE(I4:I40)</f>
        <v>1469.8501676923074</v>
      </c>
      <c r="J41" s="406">
        <f t="shared" ref="J41:J42" si="9">I41/E41</f>
        <v>0.10680123485059276</v>
      </c>
      <c r="K41" s="398">
        <f>AVERAGE(K4:K40)</f>
        <v>3093.7032307692307</v>
      </c>
      <c r="L41" s="399">
        <f t="shared" ref="L41:L42" si="10">K41/C41</f>
        <v>0.1611510137460071</v>
      </c>
      <c r="M41" s="499"/>
      <c r="N41" s="500"/>
      <c r="O41" s="500"/>
    </row>
    <row r="42" spans="1:15" ht="18.75">
      <c r="A42" s="400" t="s">
        <v>665</v>
      </c>
      <c r="B42" s="392">
        <f>SUM(B4:B40)</f>
        <v>102477247</v>
      </c>
      <c r="C42" s="392">
        <f>SUM(C4:C40)</f>
        <v>249568.03600000002</v>
      </c>
      <c r="D42" s="393">
        <f t="shared" si="6"/>
        <v>2.4353507076551348E-3</v>
      </c>
      <c r="E42" s="392">
        <f>SUM(E4:E40)</f>
        <v>178912.27762235882</v>
      </c>
      <c r="F42" s="405">
        <f>E42/B42</f>
        <v>1.7458731851213646E-3</v>
      </c>
      <c r="G42" s="392">
        <f>SUM(G4:G40)</f>
        <v>18828.758999999998</v>
      </c>
      <c r="H42" s="406">
        <f t="shared" si="8"/>
        <v>7.544539477803959E-2</v>
      </c>
      <c r="I42" s="392">
        <f>SUM(I4:I40)</f>
        <v>19108.052179999995</v>
      </c>
      <c r="J42" s="406">
        <f t="shared" si="9"/>
        <v>0.10680123485059276</v>
      </c>
      <c r="K42" s="392">
        <f>SUM(K4:K40)</f>
        <v>40218.142</v>
      </c>
      <c r="L42" s="399">
        <f t="shared" si="10"/>
        <v>0.1611510137460071</v>
      </c>
      <c r="M42" s="399"/>
      <c r="N42" s="403"/>
      <c r="O42" s="404"/>
    </row>
    <row r="43" spans="1:15" ht="18.75">
      <c r="A43" s="407"/>
      <c r="B43" s="407"/>
      <c r="C43" s="407"/>
      <c r="D43" s="407"/>
      <c r="E43" s="407"/>
      <c r="F43" s="407"/>
      <c r="G43" s="407"/>
      <c r="H43" s="407"/>
      <c r="I43" s="407"/>
      <c r="J43" s="407"/>
      <c r="K43" s="407"/>
      <c r="L43" s="407"/>
      <c r="M43" s="407"/>
    </row>
    <row r="44" spans="1:15" ht="18.75">
      <c r="A44" s="407"/>
      <c r="B44" s="407"/>
      <c r="C44" s="407"/>
      <c r="D44" s="407"/>
      <c r="E44" s="407"/>
      <c r="F44" s="407"/>
      <c r="G44" s="407"/>
      <c r="H44" s="407"/>
      <c r="I44" s="407"/>
      <c r="J44" s="407"/>
      <c r="K44" s="407"/>
      <c r="L44" s="407"/>
      <c r="M44" s="407"/>
    </row>
    <row r="45" spans="1:15" ht="18.75">
      <c r="A45" s="407"/>
      <c r="B45" s="407"/>
      <c r="C45" s="407"/>
      <c r="D45" s="407"/>
      <c r="E45" s="407"/>
      <c r="F45" s="407"/>
      <c r="G45" s="407"/>
      <c r="H45" s="407"/>
      <c r="I45" s="407"/>
      <c r="J45" s="407"/>
      <c r="K45" s="407"/>
      <c r="L45" s="407"/>
      <c r="M45" s="407"/>
    </row>
    <row r="46" spans="1:15" ht="18.75">
      <c r="A46" s="407"/>
      <c r="B46" s="407"/>
      <c r="C46" s="407"/>
      <c r="D46" s="407"/>
      <c r="E46" s="407"/>
      <c r="F46" s="407"/>
      <c r="G46" s="407"/>
      <c r="H46" s="407"/>
      <c r="I46" s="407"/>
      <c r="J46" s="407"/>
      <c r="K46" s="407"/>
      <c r="L46" s="407"/>
      <c r="M46" s="407"/>
    </row>
    <row r="47" spans="1:15" ht="18.75">
      <c r="A47" s="407"/>
      <c r="B47" s="407"/>
      <c r="C47" s="407"/>
      <c r="D47" s="407"/>
      <c r="E47" s="407"/>
      <c r="F47" s="407"/>
      <c r="G47" s="407"/>
      <c r="H47" s="407"/>
      <c r="I47" s="407"/>
      <c r="J47" s="407"/>
      <c r="K47" s="407"/>
      <c r="L47" s="407"/>
      <c r="M47" s="407"/>
    </row>
    <row r="48" spans="1:15" ht="18.75">
      <c r="A48" s="407"/>
      <c r="B48" s="407"/>
      <c r="C48" s="407"/>
      <c r="D48" s="407"/>
      <c r="E48" s="407"/>
      <c r="F48" s="407"/>
      <c r="G48" s="407"/>
      <c r="H48" s="407"/>
      <c r="I48" s="407"/>
      <c r="J48" s="407"/>
      <c r="K48" s="407"/>
      <c r="L48" s="407"/>
      <c r="M48" s="407"/>
    </row>
    <row r="49" spans="1:13" ht="18.75">
      <c r="A49" s="407"/>
      <c r="B49" s="407"/>
      <c r="C49" s="407"/>
      <c r="D49" s="407"/>
      <c r="E49" s="407"/>
      <c r="F49" s="407"/>
      <c r="G49" s="407"/>
      <c r="H49" s="407"/>
      <c r="I49" s="407"/>
      <c r="J49" s="407"/>
      <c r="K49" s="407"/>
      <c r="L49" s="407"/>
      <c r="M49" s="407"/>
    </row>
    <row r="50" spans="1:13" ht="18.75">
      <c r="A50" s="407"/>
      <c r="B50" s="407"/>
      <c r="C50" s="407"/>
      <c r="D50" s="407"/>
      <c r="E50" s="407"/>
      <c r="F50" s="407"/>
      <c r="G50" s="407"/>
      <c r="H50" s="407"/>
      <c r="I50" s="407"/>
      <c r="J50" s="407"/>
      <c r="K50" s="407"/>
      <c r="L50" s="407"/>
      <c r="M50" s="407"/>
    </row>
    <row r="51" spans="1:13" ht="18.75">
      <c r="A51" s="407"/>
      <c r="B51" s="407"/>
      <c r="C51" s="407"/>
      <c r="D51" s="407"/>
      <c r="E51" s="407"/>
      <c r="F51" s="407"/>
      <c r="G51" s="407"/>
      <c r="H51" s="407"/>
      <c r="I51" s="407"/>
      <c r="J51" s="407"/>
      <c r="K51" s="407"/>
      <c r="L51" s="407"/>
      <c r="M51" s="407"/>
    </row>
    <row r="52" spans="1:13" ht="18.75">
      <c r="A52" s="407"/>
      <c r="B52" s="407"/>
      <c r="C52" s="407"/>
      <c r="D52" s="407"/>
      <c r="E52" s="407"/>
      <c r="F52" s="407"/>
      <c r="G52" s="407"/>
      <c r="H52" s="407"/>
      <c r="I52" s="407"/>
      <c r="J52" s="407"/>
      <c r="K52" s="407"/>
      <c r="L52" s="407"/>
      <c r="M52" s="407"/>
    </row>
    <row r="53" spans="1:13" ht="18.75">
      <c r="A53" s="407"/>
      <c r="B53" s="407"/>
      <c r="C53" s="407"/>
      <c r="D53" s="407"/>
      <c r="E53" s="407"/>
      <c r="F53" s="407"/>
      <c r="G53" s="407"/>
      <c r="H53" s="407"/>
      <c r="I53" s="407"/>
      <c r="J53" s="407"/>
      <c r="K53" s="407"/>
      <c r="L53" s="407"/>
      <c r="M53" s="407"/>
    </row>
    <row r="54" spans="1:13" ht="18.75">
      <c r="A54" s="407"/>
      <c r="B54" s="407"/>
      <c r="C54" s="407"/>
      <c r="D54" s="407"/>
      <c r="E54" s="407"/>
      <c r="F54" s="407"/>
      <c r="G54" s="407"/>
      <c r="H54" s="407"/>
      <c r="I54" s="407"/>
      <c r="J54" s="407"/>
      <c r="K54" s="407"/>
      <c r="L54" s="407"/>
      <c r="M54" s="407"/>
    </row>
    <row r="55" spans="1:13" ht="18.75">
      <c r="A55" s="407"/>
      <c r="B55" s="407"/>
      <c r="C55" s="407"/>
      <c r="D55" s="407"/>
      <c r="E55" s="407"/>
      <c r="F55" s="407"/>
      <c r="G55" s="407"/>
      <c r="H55" s="407"/>
      <c r="I55" s="407"/>
      <c r="J55" s="407"/>
      <c r="K55" s="407"/>
      <c r="L55" s="407"/>
      <c r="M55" s="407"/>
    </row>
    <row r="56" spans="1:13" ht="18.75">
      <c r="A56" s="407"/>
      <c r="B56" s="407"/>
      <c r="C56" s="407"/>
      <c r="D56" s="407"/>
      <c r="E56" s="407"/>
      <c r="F56" s="407"/>
      <c r="G56" s="407"/>
      <c r="H56" s="407"/>
      <c r="I56" s="407"/>
      <c r="J56" s="407"/>
      <c r="K56" s="407"/>
      <c r="L56" s="407"/>
      <c r="M56" s="407"/>
    </row>
    <row r="57" spans="1:13" ht="18.75">
      <c r="A57" s="407"/>
      <c r="B57" s="407"/>
      <c r="C57" s="407"/>
      <c r="D57" s="407"/>
      <c r="E57" s="407"/>
      <c r="F57" s="407"/>
      <c r="G57" s="407"/>
      <c r="H57" s="407"/>
      <c r="I57" s="407"/>
      <c r="J57" s="407"/>
      <c r="K57" s="407"/>
      <c r="L57" s="407"/>
      <c r="M57" s="407"/>
    </row>
    <row r="58" spans="1:13" ht="18.75">
      <c r="A58" s="407"/>
      <c r="B58" s="407"/>
      <c r="C58" s="407"/>
      <c r="D58" s="407"/>
      <c r="E58" s="407"/>
      <c r="F58" s="407"/>
      <c r="G58" s="407"/>
      <c r="H58" s="407"/>
      <c r="I58" s="407"/>
      <c r="J58" s="407"/>
      <c r="K58" s="407"/>
      <c r="L58" s="407"/>
      <c r="M58" s="407"/>
    </row>
    <row r="59" spans="1:13" ht="18.75">
      <c r="A59" s="407"/>
      <c r="B59" s="407"/>
      <c r="C59" s="407"/>
      <c r="D59" s="407"/>
      <c r="E59" s="407"/>
      <c r="F59" s="407"/>
      <c r="G59" s="407"/>
      <c r="H59" s="407"/>
      <c r="I59" s="407"/>
      <c r="J59" s="407"/>
      <c r="K59" s="407"/>
      <c r="L59" s="407"/>
      <c r="M59" s="407"/>
    </row>
    <row r="60" spans="1:13" ht="18.75">
      <c r="A60" s="407"/>
      <c r="B60" s="407"/>
      <c r="C60" s="407"/>
      <c r="D60" s="407"/>
      <c r="E60" s="407"/>
      <c r="F60" s="407"/>
      <c r="G60" s="407"/>
      <c r="H60" s="407"/>
      <c r="I60" s="407"/>
      <c r="J60" s="407"/>
      <c r="K60" s="407"/>
      <c r="L60" s="407"/>
      <c r="M60" s="407"/>
    </row>
    <row r="61" spans="1:13" ht="18.75">
      <c r="A61" s="407"/>
      <c r="B61" s="407"/>
      <c r="C61" s="407"/>
      <c r="D61" s="407"/>
      <c r="E61" s="407"/>
      <c r="F61" s="407"/>
      <c r="G61" s="407"/>
      <c r="H61" s="407"/>
      <c r="I61" s="407"/>
      <c r="J61" s="407"/>
      <c r="K61" s="407"/>
      <c r="L61" s="407"/>
      <c r="M61" s="407"/>
    </row>
    <row r="62" spans="1:13" ht="18.75">
      <c r="A62" s="407"/>
      <c r="B62" s="407"/>
      <c r="C62" s="407"/>
      <c r="D62" s="407"/>
      <c r="E62" s="407"/>
      <c r="F62" s="407"/>
      <c r="G62" s="407"/>
      <c r="H62" s="407"/>
      <c r="I62" s="407"/>
      <c r="J62" s="407"/>
      <c r="K62" s="407"/>
      <c r="L62" s="407"/>
      <c r="M62" s="407"/>
    </row>
    <row r="63" spans="1:13" ht="18.75">
      <c r="A63" s="407"/>
      <c r="B63" s="407"/>
      <c r="C63" s="407"/>
      <c r="D63" s="407"/>
      <c r="E63" s="407"/>
      <c r="F63" s="407"/>
      <c r="G63" s="407"/>
      <c r="H63" s="407"/>
      <c r="I63" s="407"/>
      <c r="J63" s="407"/>
      <c r="K63" s="407"/>
      <c r="L63" s="407"/>
      <c r="M63" s="407"/>
    </row>
    <row r="64" spans="1:13" ht="18.75">
      <c r="A64" s="407"/>
      <c r="B64" s="407"/>
      <c r="C64" s="407"/>
      <c r="D64" s="407"/>
      <c r="E64" s="407"/>
      <c r="F64" s="407"/>
      <c r="G64" s="407"/>
      <c r="H64" s="407"/>
      <c r="I64" s="407"/>
      <c r="J64" s="407"/>
      <c r="K64" s="407"/>
      <c r="L64" s="407"/>
      <c r="M64" s="407"/>
    </row>
    <row r="65" spans="1:13" ht="18.75">
      <c r="A65" s="407"/>
      <c r="B65" s="407"/>
      <c r="C65" s="407"/>
      <c r="D65" s="407"/>
      <c r="E65" s="407"/>
      <c r="F65" s="407"/>
      <c r="G65" s="407"/>
      <c r="H65" s="407"/>
      <c r="I65" s="407"/>
      <c r="J65" s="407"/>
      <c r="K65" s="407"/>
      <c r="L65" s="407"/>
      <c r="M65" s="407"/>
    </row>
    <row r="66" spans="1:13" ht="18.75">
      <c r="A66" s="407"/>
      <c r="B66" s="407"/>
      <c r="C66" s="407"/>
      <c r="D66" s="407"/>
      <c r="E66" s="407"/>
      <c r="F66" s="407"/>
      <c r="G66" s="407"/>
      <c r="H66" s="407"/>
      <c r="I66" s="407"/>
      <c r="J66" s="407"/>
      <c r="K66" s="407"/>
      <c r="L66" s="407"/>
      <c r="M66" s="407"/>
    </row>
    <row r="67" spans="1:13" ht="18.75">
      <c r="A67" s="407"/>
      <c r="B67" s="407"/>
      <c r="C67" s="407"/>
      <c r="D67" s="407"/>
      <c r="E67" s="407"/>
      <c r="F67" s="407"/>
      <c r="G67" s="407"/>
      <c r="H67" s="407"/>
      <c r="I67" s="407"/>
      <c r="J67" s="407"/>
      <c r="K67" s="407"/>
      <c r="L67" s="407"/>
      <c r="M67" s="407"/>
    </row>
    <row r="68" spans="1:13" ht="18.75">
      <c r="A68" s="407"/>
      <c r="B68" s="407"/>
      <c r="C68" s="407"/>
      <c r="D68" s="407"/>
      <c r="E68" s="407"/>
      <c r="F68" s="407"/>
      <c r="G68" s="407"/>
      <c r="H68" s="407"/>
      <c r="I68" s="407"/>
      <c r="J68" s="407"/>
      <c r="K68" s="407"/>
      <c r="L68" s="407"/>
      <c r="M68" s="407"/>
    </row>
    <row r="69" spans="1:13" ht="18.75">
      <c r="A69" s="407"/>
      <c r="B69" s="407"/>
      <c r="C69" s="407"/>
      <c r="D69" s="407"/>
      <c r="E69" s="407"/>
      <c r="F69" s="407"/>
      <c r="G69" s="407"/>
      <c r="H69" s="407"/>
      <c r="I69" s="407"/>
      <c r="J69" s="407"/>
      <c r="K69" s="407"/>
      <c r="L69" s="407"/>
      <c r="M69" s="407"/>
    </row>
    <row r="70" spans="1:13" ht="18.75">
      <c r="A70" s="407"/>
      <c r="B70" s="407"/>
      <c r="C70" s="407"/>
      <c r="D70" s="407"/>
      <c r="E70" s="407"/>
      <c r="F70" s="407"/>
      <c r="G70" s="407"/>
      <c r="H70" s="407"/>
      <c r="I70" s="407"/>
      <c r="J70" s="407"/>
      <c r="K70" s="407"/>
      <c r="L70" s="407"/>
      <c r="M70" s="407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41:J42 H41:H42">
    <cfRule type="cellIs" dxfId="50" priority="171" operator="greaterThan">
      <formula>0.16</formula>
    </cfRule>
  </conditionalFormatting>
  <conditionalFormatting sqref="L42:M42 L41">
    <cfRule type="cellIs" dxfId="49" priority="169" operator="greaterThan">
      <formula>0.15</formula>
    </cfRule>
  </conditionalFormatting>
  <conditionalFormatting sqref="D41:D42">
    <cfRule type="cellIs" dxfId="48" priority="170" operator="greaterThan">
      <formula>0.0025</formula>
    </cfRule>
  </conditionalFormatting>
  <conditionalFormatting sqref="D25:D33">
    <cfRule type="cellIs" dxfId="47" priority="65" operator="greaterThan">
      <formula>0.0025</formula>
    </cfRule>
  </conditionalFormatting>
  <conditionalFormatting sqref="J25:J30">
    <cfRule type="cellIs" dxfId="46" priority="63" operator="greaterThan">
      <formula>0.16</formula>
    </cfRule>
  </conditionalFormatting>
  <conditionalFormatting sqref="L31">
    <cfRule type="cellIs" dxfId="45" priority="58" operator="greaterThan">
      <formula>0.15</formula>
    </cfRule>
  </conditionalFormatting>
  <conditionalFormatting sqref="H31">
    <cfRule type="cellIs" dxfId="44" priority="60" operator="greaterThan">
      <formula>0.16</formula>
    </cfRule>
  </conditionalFormatting>
  <conditionalFormatting sqref="H25:H30">
    <cfRule type="cellIs" dxfId="43" priority="64" operator="greaterThan">
      <formula>0.16</formula>
    </cfRule>
  </conditionalFormatting>
  <conditionalFormatting sqref="L25:L30">
    <cfRule type="cellIs" dxfId="42" priority="62" operator="greaterThan">
      <formula>0.15</formula>
    </cfRule>
  </conditionalFormatting>
  <conditionalFormatting sqref="D31:D40">
    <cfRule type="cellIs" dxfId="41" priority="61" operator="greaterThan">
      <formula>0.0025</formula>
    </cfRule>
  </conditionalFormatting>
  <conditionalFormatting sqref="J31">
    <cfRule type="cellIs" dxfId="40" priority="59" operator="greaterThan">
      <formula>0.16</formula>
    </cfRule>
  </conditionalFormatting>
  <conditionalFormatting sqref="H32:H33 H36:H39">
    <cfRule type="cellIs" dxfId="39" priority="47" operator="greaterThan">
      <formula>0.16</formula>
    </cfRule>
  </conditionalFormatting>
  <conditionalFormatting sqref="L32:L33 L36:L39">
    <cfRule type="cellIs" dxfId="38" priority="45" operator="greaterThan">
      <formula>0.15</formula>
    </cfRule>
  </conditionalFormatting>
  <conditionalFormatting sqref="D32:D33 D36:D39">
    <cfRule type="cellIs" dxfId="37" priority="48" operator="greaterThan">
      <formula>0.0025</formula>
    </cfRule>
  </conditionalFormatting>
  <conditionalFormatting sqref="J32:J33 J36:J39">
    <cfRule type="cellIs" dxfId="36" priority="46" operator="greaterThan">
      <formula>0.16</formula>
    </cfRule>
  </conditionalFormatting>
  <conditionalFormatting sqref="H40">
    <cfRule type="cellIs" dxfId="35" priority="43" operator="greaterThan">
      <formula>0.16</formula>
    </cfRule>
  </conditionalFormatting>
  <conditionalFormatting sqref="L40">
    <cfRule type="cellIs" dxfId="34" priority="41" operator="greaterThan">
      <formula>0.15</formula>
    </cfRule>
  </conditionalFormatting>
  <conditionalFormatting sqref="D40">
    <cfRule type="cellIs" dxfId="33" priority="44" operator="greaterThan">
      <formula>0.0025</formula>
    </cfRule>
  </conditionalFormatting>
  <conditionalFormatting sqref="J40">
    <cfRule type="cellIs" dxfId="32" priority="42" operator="greaterThan">
      <formula>0.16</formula>
    </cfRule>
  </conditionalFormatting>
  <conditionalFormatting sqref="L24">
    <cfRule type="cellIs" dxfId="31" priority="9" operator="greaterThan">
      <formula>0.15</formula>
    </cfRule>
  </conditionalFormatting>
  <conditionalFormatting sqref="H6:H9">
    <cfRule type="cellIs" dxfId="30" priority="31" operator="greaterThan">
      <formula>0.16</formula>
    </cfRule>
  </conditionalFormatting>
  <conditionalFormatting sqref="L6:L9">
    <cfRule type="cellIs" dxfId="29" priority="29" operator="greaterThan">
      <formula>0.15</formula>
    </cfRule>
  </conditionalFormatting>
  <conditionalFormatting sqref="D6:D9">
    <cfRule type="cellIs" dxfId="28" priority="32" operator="greaterThan">
      <formula>0.0025</formula>
    </cfRule>
  </conditionalFormatting>
  <conditionalFormatting sqref="J6:J9">
    <cfRule type="cellIs" dxfId="27" priority="30" operator="greaterThan">
      <formula>0.16</formula>
    </cfRule>
  </conditionalFormatting>
  <conditionalFormatting sqref="H10">
    <cfRule type="cellIs" dxfId="26" priority="27" operator="greaterThan">
      <formula>0.16</formula>
    </cfRule>
  </conditionalFormatting>
  <conditionalFormatting sqref="L10:L33">
    <cfRule type="cellIs" dxfId="25" priority="25" operator="greaterThan">
      <formula>0.15</formula>
    </cfRule>
  </conditionalFormatting>
  <conditionalFormatting sqref="D10">
    <cfRule type="cellIs" dxfId="24" priority="28" operator="greaterThan">
      <formula>0.0025</formula>
    </cfRule>
  </conditionalFormatting>
  <conditionalFormatting sqref="J10">
    <cfRule type="cellIs" dxfId="23" priority="26" operator="greaterThan">
      <formula>0.16</formula>
    </cfRule>
  </conditionalFormatting>
  <conditionalFormatting sqref="H11:H40">
    <cfRule type="cellIs" dxfId="22" priority="23" operator="greaterThan">
      <formula>0.16</formula>
    </cfRule>
  </conditionalFormatting>
  <conditionalFormatting sqref="L11:L16">
    <cfRule type="cellIs" dxfId="21" priority="21" operator="greaterThan">
      <formula>0.15</formula>
    </cfRule>
  </conditionalFormatting>
  <conditionalFormatting sqref="D11:D40">
    <cfRule type="cellIs" dxfId="20" priority="24" operator="greaterThan">
      <formula>0.0025</formula>
    </cfRule>
  </conditionalFormatting>
  <conditionalFormatting sqref="J11:J16">
    <cfRule type="cellIs" dxfId="19" priority="22" operator="greaterThan">
      <formula>0.16</formula>
    </cfRule>
  </conditionalFormatting>
  <conditionalFormatting sqref="H17">
    <cfRule type="cellIs" dxfId="18" priority="19" operator="greaterThan">
      <formula>0.16</formula>
    </cfRule>
  </conditionalFormatting>
  <conditionalFormatting sqref="L4:L33">
    <cfRule type="cellIs" dxfId="17" priority="17" operator="greaterThan">
      <formula>0.15</formula>
    </cfRule>
  </conditionalFormatting>
  <conditionalFormatting sqref="D17">
    <cfRule type="cellIs" dxfId="16" priority="20" operator="greaterThan">
      <formula>0.0025</formula>
    </cfRule>
  </conditionalFormatting>
  <conditionalFormatting sqref="J17:J33">
    <cfRule type="cellIs" dxfId="15" priority="18" operator="greaterThan">
      <formula>0.16</formula>
    </cfRule>
  </conditionalFormatting>
  <conditionalFormatting sqref="H18:H40">
    <cfRule type="cellIs" dxfId="14" priority="15" operator="greaterThan">
      <formula>0.16</formula>
    </cfRule>
  </conditionalFormatting>
  <conditionalFormatting sqref="L18:L33">
    <cfRule type="cellIs" dxfId="13" priority="13" operator="greaterThan">
      <formula>0.15</formula>
    </cfRule>
  </conditionalFormatting>
  <conditionalFormatting sqref="D18:D40">
    <cfRule type="cellIs" dxfId="12" priority="16" operator="greaterThan">
      <formula>0.0025</formula>
    </cfRule>
  </conditionalFormatting>
  <conditionalFormatting sqref="J18:J33">
    <cfRule type="cellIs" dxfId="11" priority="14" operator="greaterThan">
      <formula>0.16</formula>
    </cfRule>
  </conditionalFormatting>
  <conditionalFormatting sqref="H24:H40">
    <cfRule type="cellIs" dxfId="10" priority="11" operator="greaterThan">
      <formula>0.16</formula>
    </cfRule>
  </conditionalFormatting>
  <conditionalFormatting sqref="D24">
    <cfRule type="cellIs" dxfId="9" priority="12" operator="greaterThan">
      <formula>0.0025</formula>
    </cfRule>
  </conditionalFormatting>
  <conditionalFormatting sqref="J24">
    <cfRule type="cellIs" dxfId="8" priority="10" operator="greaterThan">
      <formula>0.16</formula>
    </cfRule>
  </conditionalFormatting>
  <conditionalFormatting sqref="H4:H40">
    <cfRule type="cellIs" dxfId="7" priority="7" operator="greaterThan">
      <formula>0.16</formula>
    </cfRule>
  </conditionalFormatting>
  <conditionalFormatting sqref="L4:L33">
    <cfRule type="cellIs" dxfId="6" priority="5" operator="greaterThan">
      <formula>0.15</formula>
    </cfRule>
  </conditionalFormatting>
  <conditionalFormatting sqref="D4:D40">
    <cfRule type="cellIs" dxfId="5" priority="8" operator="greaterThan">
      <formula>0.0025</formula>
    </cfRule>
  </conditionalFormatting>
  <conditionalFormatting sqref="J4:J33">
    <cfRule type="cellIs" dxfId="4" priority="6" operator="greaterThan">
      <formula>0.16</formula>
    </cfRule>
  </conditionalFormatting>
  <conditionalFormatting sqref="H34:H35">
    <cfRule type="cellIs" dxfId="3" priority="3" operator="greaterThan">
      <formula>0.16</formula>
    </cfRule>
  </conditionalFormatting>
  <conditionalFormatting sqref="L34:L35">
    <cfRule type="cellIs" dxfId="2" priority="1" operator="greaterThan">
      <formula>0.15</formula>
    </cfRule>
  </conditionalFormatting>
  <conditionalFormatting sqref="D34:D35">
    <cfRule type="cellIs" dxfId="1" priority="4" operator="greaterThan">
      <formula>0.0025</formula>
    </cfRule>
  </conditionalFormatting>
  <conditionalFormatting sqref="J34:J35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878" t="s">
        <v>252</v>
      </c>
      <c r="C2" s="878"/>
      <c r="D2" s="878"/>
      <c r="E2" s="878"/>
      <c r="F2" s="878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2026-04-15T08:28:09Z</dcterms:modified>
</cp:coreProperties>
</file>